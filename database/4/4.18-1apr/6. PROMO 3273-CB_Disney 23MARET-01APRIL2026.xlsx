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A59AEA4E-FDC4-4CDF-ADB3-8013E457A597}" xr6:coauthVersionLast="47" xr6:coauthVersionMax="47" xr10:uidLastSave="{00000000-0000-0000-0000-000000000000}"/>
  <bookViews>
    <workbookView xWindow="-120" yWindow="-120" windowWidth="20730" windowHeight="11160" activeTab="3" xr2:uid="{A98B006A-0C4C-4878-A4E4-90600620AB9F}"/>
  </bookViews>
  <sheets>
    <sheet name="2024 ALL D75" sheetId="1" r:id="rId1"/>
    <sheet name="2025 JAN-JUN D70" sheetId="2" r:id="rId2"/>
    <sheet name="2025 SEPT B1G1" sheetId="3" r:id="rId3"/>
    <sheet name="2025 OKT NOV B1 D30 " sheetId="4" r:id="rId4"/>
  </sheets>
  <externalReferences>
    <externalReference r:id="rId5"/>
  </externalReferences>
  <definedNames>
    <definedName name="_xlnm._FilterDatabase" localSheetId="1" hidden="1">'2025 JAN-JUN D70'!$A$1:$P$994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13" i="2" l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2" i="2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2" i="4"/>
  <c r="N4" i="4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N133" i="4" s="1"/>
  <c r="N134" i="4" s="1"/>
  <c r="N135" i="4" s="1"/>
  <c r="N136" i="4" s="1"/>
  <c r="N137" i="4" s="1"/>
  <c r="N138" i="4" s="1"/>
  <c r="N139" i="4" s="1"/>
  <c r="N140" i="4" s="1"/>
  <c r="N141" i="4" s="1"/>
  <c r="N142" i="4" s="1"/>
  <c r="N143" i="4" s="1"/>
  <c r="N144" i="4" s="1"/>
  <c r="N145" i="4" s="1"/>
  <c r="N146" i="4" s="1"/>
  <c r="N147" i="4" s="1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N202" i="4" s="1"/>
  <c r="N203" i="4" s="1"/>
  <c r="N204" i="4" s="1"/>
  <c r="N205" i="4" s="1"/>
  <c r="N206" i="4" s="1"/>
  <c r="N207" i="4" s="1"/>
  <c r="N208" i="4" s="1"/>
  <c r="N209" i="4" s="1"/>
  <c r="N210" i="4" s="1"/>
  <c r="N211" i="4" s="1"/>
  <c r="N212" i="4" s="1"/>
  <c r="N213" i="4" s="1"/>
  <c r="N214" i="4" s="1"/>
  <c r="N215" i="4" s="1"/>
  <c r="N216" i="4" s="1"/>
  <c r="N217" i="4" s="1"/>
  <c r="N218" i="4" s="1"/>
  <c r="N219" i="4" s="1"/>
  <c r="N220" i="4" s="1"/>
  <c r="N221" i="4" s="1"/>
  <c r="N222" i="4" s="1"/>
  <c r="N223" i="4" s="1"/>
  <c r="N224" i="4" s="1"/>
  <c r="N225" i="4" s="1"/>
  <c r="N226" i="4" s="1"/>
  <c r="N227" i="4" s="1"/>
  <c r="N228" i="4" s="1"/>
  <c r="N229" i="4" s="1"/>
  <c r="N230" i="4" s="1"/>
  <c r="N231" i="4" s="1"/>
  <c r="N232" i="4" s="1"/>
  <c r="N233" i="4" s="1"/>
  <c r="N234" i="4" s="1"/>
  <c r="N235" i="4" s="1"/>
  <c r="N236" i="4" s="1"/>
  <c r="N237" i="4" s="1"/>
  <c r="N238" i="4" s="1"/>
  <c r="N239" i="4" s="1"/>
  <c r="N240" i="4" s="1"/>
  <c r="N241" i="4" s="1"/>
  <c r="N242" i="4" s="1"/>
  <c r="N243" i="4" s="1"/>
  <c r="N244" i="4" s="1"/>
  <c r="N245" i="4" s="1"/>
  <c r="N246" i="4" s="1"/>
  <c r="N247" i="4" s="1"/>
  <c r="N248" i="4" s="1"/>
  <c r="N249" i="4" s="1"/>
  <c r="N250" i="4" s="1"/>
  <c r="N251" i="4" s="1"/>
  <c r="N252" i="4" s="1"/>
  <c r="N253" i="4" s="1"/>
  <c r="N254" i="4" s="1"/>
  <c r="N255" i="4" s="1"/>
  <c r="N256" i="4" s="1"/>
  <c r="N257" i="4" s="1"/>
  <c r="N258" i="4" s="1"/>
  <c r="N259" i="4" s="1"/>
  <c r="N260" i="4" s="1"/>
  <c r="N261" i="4" s="1"/>
  <c r="N262" i="4" s="1"/>
  <c r="N263" i="4" s="1"/>
  <c r="N264" i="4" s="1"/>
  <c r="N265" i="4" s="1"/>
  <c r="N266" i="4" s="1"/>
  <c r="N267" i="4" s="1"/>
  <c r="N268" i="4" s="1"/>
  <c r="N269" i="4" s="1"/>
  <c r="N270" i="4" s="1"/>
  <c r="N271" i="4" s="1"/>
  <c r="N272" i="4" s="1"/>
  <c r="N273" i="4" s="1"/>
  <c r="N274" i="4" s="1"/>
  <c r="N275" i="4" s="1"/>
  <c r="N276" i="4" s="1"/>
  <c r="N277" i="4" s="1"/>
  <c r="N278" i="4" s="1"/>
  <c r="N279" i="4" s="1"/>
  <c r="N280" i="4" s="1"/>
  <c r="N281" i="4" s="1"/>
  <c r="N282" i="4" s="1"/>
  <c r="N283" i="4" s="1"/>
  <c r="N284" i="4" s="1"/>
  <c r="N285" i="4" s="1"/>
  <c r="N286" i="4" s="1"/>
  <c r="N287" i="4" s="1"/>
  <c r="N288" i="4" s="1"/>
  <c r="N289" i="4" s="1"/>
  <c r="N290" i="4" s="1"/>
  <c r="N291" i="4" s="1"/>
  <c r="N292" i="4" s="1"/>
  <c r="N293" i="4" s="1"/>
  <c r="N294" i="4" s="1"/>
  <c r="N295" i="4" s="1"/>
  <c r="N296" i="4" s="1"/>
  <c r="N297" i="4" s="1"/>
  <c r="N298" i="4" s="1"/>
  <c r="N299" i="4" s="1"/>
  <c r="N300" i="4" s="1"/>
  <c r="N301" i="4" s="1"/>
  <c r="N302" i="4" s="1"/>
  <c r="N303" i="4" s="1"/>
  <c r="N304" i="4" s="1"/>
  <c r="N305" i="4" s="1"/>
  <c r="N306" i="4" s="1"/>
  <c r="N307" i="4" s="1"/>
  <c r="N308" i="4" s="1"/>
  <c r="N309" i="4" s="1"/>
  <c r="N310" i="4" s="1"/>
  <c r="N311" i="4" s="1"/>
  <c r="N312" i="4" s="1"/>
  <c r="N313" i="4" s="1"/>
  <c r="N314" i="4" s="1"/>
  <c r="N315" i="4" s="1"/>
  <c r="N316" i="4" s="1"/>
  <c r="N317" i="4" s="1"/>
  <c r="N318" i="4" s="1"/>
  <c r="N319" i="4" s="1"/>
  <c r="N320" i="4" s="1"/>
  <c r="N321" i="4" s="1"/>
  <c r="N322" i="4" s="1"/>
  <c r="N323" i="4" s="1"/>
  <c r="N324" i="4" s="1"/>
  <c r="N325" i="4" s="1"/>
  <c r="N326" i="4" s="1"/>
  <c r="N327" i="4" s="1"/>
  <c r="N328" i="4" s="1"/>
  <c r="N329" i="4" s="1"/>
  <c r="N330" i="4" s="1"/>
  <c r="N331" i="4" s="1"/>
  <c r="N332" i="4" s="1"/>
  <c r="N333" i="4" s="1"/>
  <c r="N334" i="4" s="1"/>
  <c r="N335" i="4" s="1"/>
  <c r="N336" i="4" s="1"/>
  <c r="N337" i="4" s="1"/>
  <c r="N338" i="4" s="1"/>
  <c r="N339" i="4" s="1"/>
  <c r="N340" i="4" s="1"/>
  <c r="N341" i="4" s="1"/>
  <c r="N342" i="4" s="1"/>
  <c r="N343" i="4" s="1"/>
  <c r="N344" i="4" s="1"/>
  <c r="N345" i="4" s="1"/>
  <c r="N346" i="4" s="1"/>
  <c r="N347" i="4" s="1"/>
  <c r="N348" i="4" s="1"/>
  <c r="N349" i="4" s="1"/>
  <c r="N350" i="4" s="1"/>
  <c r="N351" i="4" s="1"/>
  <c r="N352" i="4" s="1"/>
  <c r="N353" i="4" s="1"/>
  <c r="N354" i="4" s="1"/>
  <c r="N355" i="4" s="1"/>
  <c r="N356" i="4" s="1"/>
  <c r="N357" i="4" s="1"/>
  <c r="N358" i="4" s="1"/>
  <c r="N359" i="4" s="1"/>
  <c r="N360" i="4" s="1"/>
  <c r="N361" i="4" s="1"/>
  <c r="N362" i="4" s="1"/>
  <c r="N363" i="4" s="1"/>
  <c r="N364" i="4" s="1"/>
  <c r="N365" i="4" s="1"/>
  <c r="N366" i="4" s="1"/>
  <c r="N367" i="4" s="1"/>
  <c r="N368" i="4" s="1"/>
  <c r="N369" i="4" s="1"/>
  <c r="N370" i="4" s="1"/>
  <c r="N371" i="4" s="1"/>
  <c r="N372" i="4" s="1"/>
  <c r="N373" i="4" s="1"/>
  <c r="N374" i="4" s="1"/>
  <c r="N375" i="4" s="1"/>
  <c r="N376" i="4" s="1"/>
  <c r="N377" i="4" s="1"/>
  <c r="N378" i="4" s="1"/>
  <c r="N379" i="4" s="1"/>
  <c r="N380" i="4" s="1"/>
  <c r="N381" i="4" s="1"/>
  <c r="N382" i="4" s="1"/>
  <c r="N383" i="4" s="1"/>
  <c r="N384" i="4" s="1"/>
  <c r="N385" i="4" s="1"/>
  <c r="N386" i="4" s="1"/>
  <c r="N387" i="4" s="1"/>
  <c r="N3" i="4"/>
  <c r="B884" i="1"/>
  <c r="B885" i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883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A1299" i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5" i="3"/>
  <c r="A6" i="3" s="1"/>
  <c r="A7" i="3" s="1"/>
  <c r="A8" i="3" s="1"/>
  <c r="A4" i="3"/>
  <c r="P3" i="3"/>
  <c r="P4" i="3" s="1"/>
  <c r="P5" i="3" s="1"/>
  <c r="P6" i="3" s="1"/>
  <c r="P7" i="3" s="1"/>
  <c r="P8" i="3" s="1"/>
  <c r="O3" i="3"/>
  <c r="O4" i="3" s="1"/>
  <c r="O5" i="3" s="1"/>
  <c r="O6" i="3" s="1"/>
  <c r="O7" i="3" s="1"/>
  <c r="O8" i="3" s="1"/>
  <c r="N3" i="3"/>
  <c r="N4" i="3" s="1"/>
  <c r="N5" i="3" s="1"/>
  <c r="N6" i="3" s="1"/>
  <c r="N7" i="3" s="1"/>
  <c r="N8" i="3" s="1"/>
  <c r="A3" i="3"/>
  <c r="I2" i="3"/>
  <c r="I3" i="3" s="1"/>
  <c r="I4" i="3" s="1"/>
  <c r="I5" i="3" s="1"/>
  <c r="I6" i="3" s="1"/>
  <c r="I7" i="3" s="1"/>
  <c r="I8" i="3" s="1"/>
  <c r="F2" i="3"/>
  <c r="F3" i="3" s="1"/>
  <c r="F4" i="3" s="1"/>
  <c r="F5" i="3" s="1"/>
  <c r="F6" i="3" s="1"/>
  <c r="F7" i="3" s="1"/>
  <c r="F8" i="3" s="1"/>
  <c r="E2" i="3"/>
  <c r="E3" i="3" s="1"/>
  <c r="E4" i="3" s="1"/>
  <c r="E5" i="3" s="1"/>
  <c r="E6" i="3" s="1"/>
  <c r="E7" i="3" s="1"/>
  <c r="E8" i="3" s="1"/>
  <c r="D2" i="3"/>
  <c r="D3" i="3" s="1"/>
  <c r="D4" i="3" s="1"/>
  <c r="D5" i="3" s="1"/>
  <c r="D6" i="3" s="1"/>
  <c r="D7" i="3" s="1"/>
  <c r="D8" i="3" s="1"/>
  <c r="C2" i="3"/>
  <c r="C3" i="3" s="1"/>
  <c r="C4" i="3" s="1"/>
  <c r="C5" i="3" s="1"/>
  <c r="C6" i="3" s="1"/>
  <c r="C7" i="3" s="1"/>
  <c r="C8" i="3" s="1"/>
  <c r="B2" i="3"/>
  <c r="B3" i="3" s="1"/>
  <c r="B4" i="3" s="1"/>
  <c r="B5" i="3" s="1"/>
  <c r="B6" i="3" s="1"/>
  <c r="B7" i="3" s="1"/>
  <c r="B8" i="3" s="1"/>
  <c r="C995" i="2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B995" i="2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C913" i="2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B913" i="2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862" i="2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C857" i="2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B857" i="2"/>
  <c r="B858" i="2" s="1"/>
  <c r="B859" i="2" s="1"/>
  <c r="B860" i="2" s="1"/>
  <c r="B861" i="2" s="1"/>
  <c r="C114" i="2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B114" i="2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I91" i="2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90" i="2"/>
  <c r="C66" i="2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B66" i="2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N690" i="2" s="1"/>
  <c r="N691" i="2" s="1"/>
  <c r="N692" i="2" s="1"/>
  <c r="N693" i="2" s="1"/>
  <c r="N694" i="2" s="1"/>
  <c r="N695" i="2" s="1"/>
  <c r="N696" i="2" s="1"/>
  <c r="N697" i="2" s="1"/>
  <c r="N698" i="2" s="1"/>
  <c r="N699" i="2" s="1"/>
  <c r="N700" i="2" s="1"/>
  <c r="N701" i="2" s="1"/>
  <c r="N702" i="2" s="1"/>
  <c r="N703" i="2" s="1"/>
  <c r="N704" i="2" s="1"/>
  <c r="N705" i="2" s="1"/>
  <c r="N706" i="2" s="1"/>
  <c r="N707" i="2" s="1"/>
  <c r="N708" i="2" s="1"/>
  <c r="N709" i="2" s="1"/>
  <c r="N710" i="2" s="1"/>
  <c r="N711" i="2" s="1"/>
  <c r="N712" i="2" s="1"/>
  <c r="N713" i="2" s="1"/>
  <c r="N714" i="2" s="1"/>
  <c r="N715" i="2" s="1"/>
  <c r="N716" i="2" s="1"/>
  <c r="N717" i="2" s="1"/>
  <c r="N718" i="2" s="1"/>
  <c r="N719" i="2" s="1"/>
  <c r="N720" i="2" s="1"/>
  <c r="N721" i="2" s="1"/>
  <c r="N722" i="2" s="1"/>
  <c r="N723" i="2" s="1"/>
  <c r="N724" i="2" s="1"/>
  <c r="N725" i="2" s="1"/>
  <c r="N726" i="2" s="1"/>
  <c r="N727" i="2" s="1"/>
  <c r="N728" i="2" s="1"/>
  <c r="N729" i="2" s="1"/>
  <c r="N730" i="2" s="1"/>
  <c r="N731" i="2" s="1"/>
  <c r="N732" i="2" s="1"/>
  <c r="N733" i="2" s="1"/>
  <c r="N734" i="2" s="1"/>
  <c r="N735" i="2" s="1"/>
  <c r="N736" i="2" s="1"/>
  <c r="N737" i="2" s="1"/>
  <c r="N738" i="2" s="1"/>
  <c r="N739" i="2" s="1"/>
  <c r="N740" i="2" s="1"/>
  <c r="N741" i="2" s="1"/>
  <c r="N742" i="2" s="1"/>
  <c r="N743" i="2" s="1"/>
  <c r="N744" i="2" s="1"/>
  <c r="N745" i="2" s="1"/>
  <c r="N746" i="2" s="1"/>
  <c r="N747" i="2" s="1"/>
  <c r="N748" i="2" s="1"/>
  <c r="N749" i="2" s="1"/>
  <c r="N750" i="2" s="1"/>
  <c r="N751" i="2" s="1"/>
  <c r="N752" i="2" s="1"/>
  <c r="N753" i="2" s="1"/>
  <c r="N754" i="2" s="1"/>
  <c r="N755" i="2" s="1"/>
  <c r="N756" i="2" s="1"/>
  <c r="N757" i="2" s="1"/>
  <c r="N758" i="2" s="1"/>
  <c r="N759" i="2" s="1"/>
  <c r="N760" i="2" s="1"/>
  <c r="N761" i="2" s="1"/>
  <c r="N762" i="2" s="1"/>
  <c r="N763" i="2" s="1"/>
  <c r="N764" i="2" s="1"/>
  <c r="N765" i="2" s="1"/>
  <c r="N766" i="2" s="1"/>
  <c r="N767" i="2" s="1"/>
  <c r="N768" i="2" s="1"/>
  <c r="N769" i="2" s="1"/>
  <c r="N770" i="2" s="1"/>
  <c r="N771" i="2" s="1"/>
  <c r="N772" i="2" s="1"/>
  <c r="N773" i="2" s="1"/>
  <c r="N774" i="2" s="1"/>
  <c r="N775" i="2" s="1"/>
  <c r="N776" i="2" s="1"/>
  <c r="N777" i="2" s="1"/>
  <c r="N778" i="2" s="1"/>
  <c r="N779" i="2" s="1"/>
  <c r="N780" i="2" s="1"/>
  <c r="N781" i="2" s="1"/>
  <c r="N782" i="2" s="1"/>
  <c r="N783" i="2" s="1"/>
  <c r="N784" i="2" s="1"/>
  <c r="N785" i="2" s="1"/>
  <c r="N786" i="2" s="1"/>
  <c r="N787" i="2" s="1"/>
  <c r="N788" i="2" s="1"/>
  <c r="N789" i="2" s="1"/>
  <c r="N790" i="2" s="1"/>
  <c r="N791" i="2" s="1"/>
  <c r="N792" i="2" s="1"/>
  <c r="N793" i="2" s="1"/>
  <c r="N794" i="2" s="1"/>
  <c r="N795" i="2" s="1"/>
  <c r="N796" i="2" s="1"/>
  <c r="N797" i="2" s="1"/>
  <c r="N798" i="2" s="1"/>
  <c r="N799" i="2" s="1"/>
  <c r="N800" i="2" s="1"/>
  <c r="N801" i="2" s="1"/>
  <c r="N802" i="2" s="1"/>
  <c r="N803" i="2" s="1"/>
  <c r="N804" i="2" s="1"/>
  <c r="N805" i="2" s="1"/>
  <c r="N806" i="2" s="1"/>
  <c r="N807" i="2" s="1"/>
  <c r="N808" i="2" s="1"/>
  <c r="N809" i="2" s="1"/>
  <c r="N810" i="2" s="1"/>
  <c r="N811" i="2" s="1"/>
  <c r="N812" i="2" s="1"/>
  <c r="N813" i="2" s="1"/>
  <c r="N814" i="2" s="1"/>
  <c r="N815" i="2" s="1"/>
  <c r="N816" i="2" s="1"/>
  <c r="N817" i="2" s="1"/>
  <c r="N818" i="2" s="1"/>
  <c r="N819" i="2" s="1"/>
  <c r="N820" i="2" s="1"/>
  <c r="N821" i="2" s="1"/>
  <c r="N822" i="2" s="1"/>
  <c r="N823" i="2" s="1"/>
  <c r="N824" i="2" s="1"/>
  <c r="N825" i="2" s="1"/>
  <c r="N826" i="2" s="1"/>
  <c r="N827" i="2" s="1"/>
  <c r="N828" i="2" s="1"/>
  <c r="N829" i="2" s="1"/>
  <c r="N830" i="2" s="1"/>
  <c r="N831" i="2" s="1"/>
  <c r="N832" i="2" s="1"/>
  <c r="N833" i="2" s="1"/>
  <c r="N834" i="2" s="1"/>
  <c r="N835" i="2" s="1"/>
  <c r="N836" i="2" s="1"/>
  <c r="N837" i="2" s="1"/>
  <c r="N838" i="2" s="1"/>
  <c r="N839" i="2" s="1"/>
  <c r="N840" i="2" s="1"/>
  <c r="N841" i="2" s="1"/>
  <c r="N842" i="2" s="1"/>
  <c r="N843" i="2" s="1"/>
  <c r="N844" i="2" s="1"/>
  <c r="N845" i="2" s="1"/>
  <c r="N846" i="2" s="1"/>
  <c r="N847" i="2" s="1"/>
  <c r="N848" i="2" s="1"/>
  <c r="N849" i="2" s="1"/>
  <c r="N850" i="2" s="1"/>
  <c r="N851" i="2" s="1"/>
  <c r="N852" i="2" s="1"/>
  <c r="N853" i="2" s="1"/>
  <c r="N854" i="2" s="1"/>
  <c r="N855" i="2" s="1"/>
  <c r="N856" i="2" s="1"/>
  <c r="N857" i="2" s="1"/>
  <c r="N858" i="2" s="1"/>
  <c r="N859" i="2" s="1"/>
  <c r="N860" i="2" s="1"/>
  <c r="N861" i="2" s="1"/>
  <c r="N862" i="2" s="1"/>
  <c r="N863" i="2" s="1"/>
  <c r="N864" i="2" s="1"/>
  <c r="N865" i="2" s="1"/>
  <c r="N866" i="2" s="1"/>
  <c r="N867" i="2" s="1"/>
  <c r="N868" i="2" s="1"/>
  <c r="N869" i="2" s="1"/>
  <c r="N870" i="2" s="1"/>
  <c r="N871" i="2" s="1"/>
  <c r="N872" i="2" s="1"/>
  <c r="N873" i="2" s="1"/>
  <c r="N874" i="2" s="1"/>
  <c r="N875" i="2" s="1"/>
  <c r="N876" i="2" s="1"/>
  <c r="N877" i="2" s="1"/>
  <c r="N878" i="2" s="1"/>
  <c r="N879" i="2" s="1"/>
  <c r="N880" i="2" s="1"/>
  <c r="N881" i="2" s="1"/>
  <c r="N882" i="2" s="1"/>
  <c r="N883" i="2" s="1"/>
  <c r="N884" i="2" s="1"/>
  <c r="N885" i="2" s="1"/>
  <c r="N886" i="2" s="1"/>
  <c r="N887" i="2" s="1"/>
  <c r="N888" i="2" s="1"/>
  <c r="N889" i="2" s="1"/>
  <c r="N890" i="2" s="1"/>
  <c r="N891" i="2" s="1"/>
  <c r="N892" i="2" s="1"/>
  <c r="N893" i="2" s="1"/>
  <c r="N894" i="2" s="1"/>
  <c r="N895" i="2" s="1"/>
  <c r="N896" i="2" s="1"/>
  <c r="N897" i="2" s="1"/>
  <c r="N898" i="2" s="1"/>
  <c r="N899" i="2" s="1"/>
  <c r="N900" i="2" s="1"/>
  <c r="N901" i="2" s="1"/>
  <c r="N902" i="2" s="1"/>
  <c r="N903" i="2" s="1"/>
  <c r="N904" i="2" s="1"/>
  <c r="N905" i="2" s="1"/>
  <c r="N906" i="2" s="1"/>
  <c r="N907" i="2" s="1"/>
  <c r="N908" i="2" s="1"/>
  <c r="N909" i="2" s="1"/>
  <c r="N910" i="2" s="1"/>
  <c r="N911" i="2" s="1"/>
  <c r="N912" i="2" s="1"/>
  <c r="N913" i="2" s="1"/>
  <c r="N914" i="2" s="1"/>
  <c r="N915" i="2" s="1"/>
  <c r="N916" i="2" s="1"/>
  <c r="N917" i="2" s="1"/>
  <c r="N918" i="2" s="1"/>
  <c r="N919" i="2" s="1"/>
  <c r="N920" i="2" s="1"/>
  <c r="N921" i="2" s="1"/>
  <c r="N922" i="2" s="1"/>
  <c r="N923" i="2" s="1"/>
  <c r="N924" i="2" s="1"/>
  <c r="N925" i="2" s="1"/>
  <c r="N926" i="2" s="1"/>
  <c r="N927" i="2" s="1"/>
  <c r="N928" i="2" s="1"/>
  <c r="N929" i="2" s="1"/>
  <c r="N930" i="2" s="1"/>
  <c r="N931" i="2" s="1"/>
  <c r="N932" i="2" s="1"/>
  <c r="N933" i="2" s="1"/>
  <c r="N934" i="2" s="1"/>
  <c r="N935" i="2" s="1"/>
  <c r="N936" i="2" s="1"/>
  <c r="N937" i="2" s="1"/>
  <c r="N938" i="2" s="1"/>
  <c r="N939" i="2" s="1"/>
  <c r="N940" i="2" s="1"/>
  <c r="N941" i="2" s="1"/>
  <c r="N942" i="2" s="1"/>
  <c r="N943" i="2" s="1"/>
  <c r="N944" i="2" s="1"/>
  <c r="N945" i="2" s="1"/>
  <c r="N946" i="2" s="1"/>
  <c r="N947" i="2" s="1"/>
  <c r="N948" i="2" s="1"/>
  <c r="N949" i="2" s="1"/>
  <c r="N950" i="2" s="1"/>
  <c r="N951" i="2" s="1"/>
  <c r="N952" i="2" s="1"/>
  <c r="N953" i="2" s="1"/>
  <c r="N954" i="2" s="1"/>
  <c r="N955" i="2" s="1"/>
  <c r="N956" i="2" s="1"/>
  <c r="N957" i="2" s="1"/>
  <c r="N958" i="2" s="1"/>
  <c r="N959" i="2" s="1"/>
  <c r="N960" i="2" s="1"/>
  <c r="N961" i="2" s="1"/>
  <c r="N962" i="2" s="1"/>
  <c r="N963" i="2" s="1"/>
  <c r="N964" i="2" s="1"/>
  <c r="N965" i="2" s="1"/>
  <c r="N966" i="2" s="1"/>
  <c r="N967" i="2" s="1"/>
  <c r="N968" i="2" s="1"/>
  <c r="N969" i="2" s="1"/>
  <c r="N970" i="2" s="1"/>
  <c r="N971" i="2" s="1"/>
  <c r="N972" i="2" s="1"/>
  <c r="N973" i="2" s="1"/>
  <c r="N974" i="2" s="1"/>
  <c r="N975" i="2" s="1"/>
  <c r="N976" i="2" s="1"/>
  <c r="N977" i="2" s="1"/>
  <c r="N978" i="2" s="1"/>
  <c r="N979" i="2" s="1"/>
  <c r="N980" i="2" s="1"/>
  <c r="N981" i="2" s="1"/>
  <c r="N982" i="2" s="1"/>
  <c r="N983" i="2" s="1"/>
  <c r="N984" i="2" s="1"/>
  <c r="N985" i="2" s="1"/>
  <c r="N986" i="2" s="1"/>
  <c r="N987" i="2" s="1"/>
  <c r="N988" i="2" s="1"/>
  <c r="N989" i="2" s="1"/>
  <c r="N990" i="2" s="1"/>
  <c r="N991" i="2" s="1"/>
  <c r="N992" i="2" s="1"/>
  <c r="N993" i="2" s="1"/>
  <c r="N994" i="2" s="1"/>
  <c r="N995" i="2" s="1"/>
  <c r="N996" i="2" s="1"/>
  <c r="N997" i="2" s="1"/>
  <c r="N998" i="2" s="1"/>
  <c r="N999" i="2" s="1"/>
  <c r="N1000" i="2" s="1"/>
  <c r="N1001" i="2" s="1"/>
  <c r="N1002" i="2" s="1"/>
  <c r="N1003" i="2" s="1"/>
  <c r="N1004" i="2" s="1"/>
  <c r="N1005" i="2" s="1"/>
  <c r="N1006" i="2" s="1"/>
  <c r="N1007" i="2" s="1"/>
  <c r="N1008" i="2" s="1"/>
  <c r="N1009" i="2" s="1"/>
  <c r="N1010" i="2" s="1"/>
  <c r="N1011" i="2" s="1"/>
  <c r="N1012" i="2" s="1"/>
  <c r="N1013" i="2" s="1"/>
  <c r="N1014" i="2" s="1"/>
  <c r="N1015" i="2" s="1"/>
  <c r="N1016" i="2" s="1"/>
  <c r="N1017" i="2" s="1"/>
  <c r="N1018" i="2" s="1"/>
  <c r="N1019" i="2" s="1"/>
  <c r="N1020" i="2" s="1"/>
  <c r="N1021" i="2" s="1"/>
  <c r="N1022" i="2" s="1"/>
  <c r="N1023" i="2" s="1"/>
  <c r="N1024" i="2" s="1"/>
  <c r="N1025" i="2" s="1"/>
  <c r="N1026" i="2" s="1"/>
  <c r="N1027" i="2" s="1"/>
  <c r="N1028" i="2" s="1"/>
  <c r="N1029" i="2" s="1"/>
  <c r="N1030" i="2" s="1"/>
  <c r="N1031" i="2" s="1"/>
  <c r="N1032" i="2" s="1"/>
  <c r="N1033" i="2" s="1"/>
  <c r="N1034" i="2" s="1"/>
  <c r="N1035" i="2" s="1"/>
  <c r="N1036" i="2" s="1"/>
  <c r="N1037" i="2" s="1"/>
  <c r="N1038" i="2" s="1"/>
  <c r="N1039" i="2" s="1"/>
  <c r="N1040" i="2" s="1"/>
  <c r="N1041" i="2" s="1"/>
  <c r="N1042" i="2" s="1"/>
  <c r="N1043" i="2" s="1"/>
  <c r="N1044" i="2" s="1"/>
  <c r="N1045" i="2" s="1"/>
  <c r="N1046" i="2" s="1"/>
  <c r="N1047" i="2" s="1"/>
  <c r="N1048" i="2" s="1"/>
  <c r="N1049" i="2" s="1"/>
  <c r="N1050" i="2" s="1"/>
  <c r="N1051" i="2" s="1"/>
  <c r="N1052" i="2" s="1"/>
  <c r="N1053" i="2" s="1"/>
  <c r="N1054" i="2" s="1"/>
  <c r="N1055" i="2" s="1"/>
  <c r="N1056" i="2" s="1"/>
  <c r="N1057" i="2" s="1"/>
  <c r="N1058" i="2" s="1"/>
  <c r="N1059" i="2" s="1"/>
  <c r="N1060" i="2" s="1"/>
  <c r="N1061" i="2" s="1"/>
  <c r="N1062" i="2" s="1"/>
  <c r="N1063" i="2" s="1"/>
  <c r="N1064" i="2" s="1"/>
  <c r="N1065" i="2" s="1"/>
  <c r="N1066" i="2" s="1"/>
  <c r="N1067" i="2" s="1"/>
  <c r="N1068" i="2" s="1"/>
  <c r="N1069" i="2" s="1"/>
  <c r="N1070" i="2" s="1"/>
  <c r="N1071" i="2" s="1"/>
  <c r="N1072" i="2" s="1"/>
  <c r="N1073" i="2" s="1"/>
  <c r="N1074" i="2" s="1"/>
  <c r="N1075" i="2" s="1"/>
  <c r="N1076" i="2" s="1"/>
  <c r="N1077" i="2" s="1"/>
  <c r="N1078" i="2" s="1"/>
  <c r="N1079" i="2" s="1"/>
  <c r="N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E1598" i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O1597" i="1"/>
  <c r="O1596" i="1"/>
  <c r="O1595" i="1"/>
  <c r="O1594" i="1"/>
  <c r="O1593" i="1"/>
  <c r="D1593" i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O1592" i="1"/>
  <c r="O1591" i="1"/>
  <c r="O1590" i="1"/>
  <c r="E1590" i="1"/>
  <c r="E1591" i="1" s="1"/>
  <c r="E1592" i="1" s="1"/>
  <c r="E1593" i="1" s="1"/>
  <c r="E1594" i="1" s="1"/>
  <c r="E1595" i="1" s="1"/>
  <c r="E1596" i="1" s="1"/>
  <c r="E1597" i="1" s="1"/>
  <c r="O1589" i="1"/>
  <c r="O1588" i="1"/>
  <c r="E1588" i="1"/>
  <c r="E1589" i="1" s="1"/>
  <c r="O1587" i="1"/>
  <c r="I1587" i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F1587" i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E1587" i="1"/>
  <c r="D1587" i="1"/>
  <c r="D1588" i="1" s="1"/>
  <c r="D1589" i="1" s="1"/>
  <c r="D1590" i="1" s="1"/>
  <c r="D1591" i="1" s="1"/>
  <c r="D1592" i="1" s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I1400" i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O1399" i="1"/>
  <c r="O1398" i="1"/>
  <c r="I1398" i="1"/>
  <c r="I1399" i="1" s="1"/>
  <c r="O1397" i="1"/>
  <c r="I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A1300" i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A1074" i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A1062" i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O1061" i="1"/>
  <c r="O1060" i="1"/>
  <c r="O1059" i="1"/>
  <c r="O1058" i="1"/>
  <c r="A1058" i="1"/>
  <c r="A1059" i="1" s="1"/>
  <c r="A1060" i="1" s="1"/>
  <c r="A1061" i="1" s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O3" i="1"/>
  <c r="A3" i="1"/>
  <c r="O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FC1378B-52FE-486F-BDAB-E2EE1F14612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610A574A-2CB8-49DE-9627-287B929134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A48F8886-4660-4AF2-BC0E-C6028F41B8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49BD0828-3ACA-4BA1-948B-F5BD9570E1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E495ED7-9382-4554-A02E-C248D69357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5B850F63-E724-4384-B3EF-835E173D4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4D84E7E-D360-40D3-B79C-58C606A489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C7D99CC-5F68-4C74-8D24-6C8DC3608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9890742B-1E93-48C5-8B4D-60DAD8286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25DBC4E-A8A2-4BC8-A6FB-A4A0297146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19D400E6-649E-4BA2-ACD3-940058509A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C895FA4C-5CBD-4628-8E2B-BC705DCA3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E52C5E60-BCD9-49A0-89C0-0C3FFFC717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84CFD54D-1E09-4812-BE71-8F4F736E9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85F0B9E-A9AE-42A6-B8ED-23E66B3C8FEC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56B6C3A5-072E-4E12-B576-65FB23D2D8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A3C3CBC6-B10C-49ED-A271-069243D8CC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AF4E6D91-C9FC-4C20-9ED8-2E2E848E8B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3ECBE39D-7ADB-4C55-8C57-CD8991E20B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B9630D74-CFD8-4D29-B4DE-3FFFCC329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5B04806A-C6C8-4638-84CE-E4FE13BE85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2A93CF7-9166-4A4F-8CBC-793C1E5CB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E7C03ED-3C2E-45E7-A51D-4D50F33F97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F1F132D-9FF9-4147-9822-F7C0C1EDB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87B5EEE-74E9-481E-92BB-552E4DFE8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9D9F9732-9005-456E-AEEC-08E0A324BC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A8CB9F98-733C-44DE-8C39-648C490D7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D348064-D5C5-4B6C-8923-2DB95F425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A829B15-DB4E-43D0-A772-77CD2F24496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32366CB-1DE4-41BB-B738-DD45F60468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2E514DC-9A0C-4BD1-AD15-17D2225938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9523A58D-E745-4E63-BFDB-3AFCBDC264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1EB418F-B333-4E83-BD7E-B23FC0AAF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240F3B3C-F79D-40F5-ACE9-84E0AA4E6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7BFCB99-5B9E-4531-8A97-043581AC1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004E3BB-84E9-4141-A7A4-34D6F72D2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78C6C9B-BE87-43EE-B102-89BDBF782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DCD0967-AEA3-43E2-94FB-D6281771A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9A4B878-EDDD-402C-9CED-C68AD9393A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238D782-C1EC-4BF2-9F13-5ED9CB4EB2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3B51AAE-C8EC-4243-92B5-0FD089111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3D2F6DCA-B984-4053-AF44-B2AE50231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3D0463C4-26B5-4449-9939-8A33B675B593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BCFE878B-E50C-4894-9510-55BD841BFF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817D56EB-EE04-457F-B0B2-52AB6279F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63618160-8628-4801-9500-DFF00DAE34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3168C23-D0BA-48DF-A661-5E3998D562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D3A688D7-243D-4919-A963-72C73C01B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8E3DB5F-045F-4BA9-BCB4-867FC04578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AD7B96A-01A4-4CD4-8CE2-6934C20354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49E0AD5-D7F0-41E1-BDAC-A0CFA21994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99B87BB-C1A3-4C6C-A105-961A469CC9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E338EC4B-0FB0-4410-B179-71761D3B81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2C5AE4A-9A2B-4638-8644-CC22EC3F2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16670DE3-06D1-4D54-AA30-A36E1A529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8DF64EE-EAB1-415B-BF8B-F0419B605B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<sst xmlns="http://schemas.openxmlformats.org/spreadsheetml/2006/main" count="12699" uniqueCount="3798">
  <si>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</si>
  <si>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</si>
  <si>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</si>
  <si>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</si>
  <si>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</si>
  <si>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</si>
  <si>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</si>
  <si>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</si>
  <si>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</si>
  <si>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</si>
  <si>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</si>
  <si>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</si>
  <si>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</si>
  <si>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</si>
  <si>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</si>
  <si>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</si>
  <si>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2024 ALL D75</t>
  </si>
  <si>
    <t>DISNEY</t>
  </si>
  <si>
    <t>GNSW10</t>
  </si>
  <si>
    <t>66020100SWS TS STARWARS MARBLE FLOCKING STAR GNSW10:WHITE:3-4:TEXT:SS T-SHIRT</t>
  </si>
  <si>
    <t>PERCENTAGE</t>
  </si>
  <si>
    <t>66020100SWS TS STARWARS MARBLE FLOCKING STAR GNSW10:WHITE:4-5:TEXT:SS T-SHIRT</t>
  </si>
  <si>
    <t>66020100SWS TS STARWARS MARBLE FLOCKING STAR GNSW10:WHITE:5-6:TEXT:SS T-SHIRT</t>
  </si>
  <si>
    <t>66040100SWS TS STARWARS MARBLE FLOCKING STAR GNSW10:WHITE:7-8:TEXT:SS T-SHIRT</t>
  </si>
  <si>
    <t>66040100SWS TS STARWARS MARBLE FLOCKING STAR GNSW10:WHITE:9-10:TEXT:SS T-SHIRT</t>
  </si>
  <si>
    <t>66040100SWS TS STARWARS MARBLE FLOCKING STAR GNSW10:WHITE:11-12:TEXT:SS T-SHIRT</t>
  </si>
  <si>
    <t>66060100SWS TS STARWARS MARBLE FLOCKING STAR  GNSW10:WHITE:13-14:TEXT:SS T-SHIRT</t>
  </si>
  <si>
    <t>66060100SWS TS STARWARS MARBLE FLOCKING STAR  GNSW10:WHITE:15-16:TEXT:SS T-SHIRT</t>
  </si>
  <si>
    <t>A132</t>
  </si>
  <si>
    <t>66040100SWS TS STARWARS VADER THE BOSS FP  A132:WHITE:5-6:GRAPHIC:SS T-SHIRT</t>
  </si>
  <si>
    <t>66040100SWS TS STARWARS VADER THE BOSS FP  A132:WHITE:7-8:GRAPHIC:SS T-SHIRT</t>
  </si>
  <si>
    <t>66040100SWS TS STARWARS VADER THE BOSS FP  A132:WHITE:9-10:GRAPHIC:SS T-SHIRT</t>
  </si>
  <si>
    <t>66060100SWS TS STARWARS VADER THE BOSS FP A132:WHITE:11-12:GRAPHIC:SS T-SHIRT</t>
  </si>
  <si>
    <t>66060100SWS TS STARWARS VADER THE BOSS FP A132:WHITE:13-14:GRAPHIC:SS T-SHIRT</t>
  </si>
  <si>
    <t>66060100SWS TS STARWARS VADER THE BOSS FP A132:WHITE:15-16:GRAPHIC:SS T-SHIRT</t>
  </si>
  <si>
    <t>A558</t>
  </si>
  <si>
    <t>66040100SWS TS STARWARS HENLEY TROOPER  A558:BLACK:5-6:GRAPHIC:SS T-SHIRT</t>
  </si>
  <si>
    <t>66040100SWS TS STARWARS HENLEY TROOPER  A558:BLACK:7-8:GRAPHIC:SS T-SHIRT</t>
  </si>
  <si>
    <t>66040100SWS TS STARWARS HENLEY TROOPER  A558:BLACK:9-10:GRAPHIC:SS T-SHIRT</t>
  </si>
  <si>
    <t>66060100SWS TS STARWARS HENLEY TROOPER A558:BLACK:11-12:GRAPHIC:SS T-SHIRT</t>
  </si>
  <si>
    <t>66060100SWS TS STARWARS HENLEY TROOPER A558:BLACK:13-14:GRAPHIC:SS T-SHIRT</t>
  </si>
  <si>
    <t>66060100SWS TS STARWARS HENLEY TROOPER A558:BLACK:15-16:GRAPHIC:SS T-SHIRT</t>
  </si>
  <si>
    <t>A723</t>
  </si>
  <si>
    <t>66020100MCS TS SPD HALF BODY SPLATTER  A723:WHITE:3-4:GRAPHIC:SS T-SHIRT</t>
  </si>
  <si>
    <t>66020100MCS TS SPD HALF BODY SPLATTER  A723:WHITE:4-5:GRAPHIC:SS T-SHIRT</t>
  </si>
  <si>
    <t>66020100MCS TS SPD HALF BODY SPLATTER  A723:WHITE:5-6:GRAPHIC:SS T-SHIRT</t>
  </si>
  <si>
    <t>66040100MCS TS SPD HALF BODY SPLATTER A723:WHITE:7-8:GRAPHIC:SS T-SHIRT</t>
  </si>
  <si>
    <t>66040100MCS TS SPD HALF BODY SPLATTER A723:WHITE:9-10:GRAPHIC:SS T-SHIRT</t>
  </si>
  <si>
    <t>66040100MCS TS SPD HALF BODY SPLATTER A723:WHITE:11-12:GRAPHIC:SS T-SHIRT</t>
  </si>
  <si>
    <t>660060100MCS TS SPD HALF BODY SPLATTER A723:WHITE:13-14:GRAPHIC:SS T-SHIRT</t>
  </si>
  <si>
    <t>660060100MCS TS SPD HALF BODY SPLATTER A723:WHITE:15-16:GRAPHIC:SS T-SHIRT</t>
  </si>
  <si>
    <t>GNAVG43</t>
  </si>
  <si>
    <t>66020100OAV TS AVG KOTAK2 FLOCKING GNAVG43:WHITE:3-4:TEXT:SS T-SHIRT</t>
  </si>
  <si>
    <t>66020100OAV TS AVG KOTAK2 FLOCKING GNAVG43:WHITE:4-5:TEXT:SS T-SHIRT</t>
  </si>
  <si>
    <t>66020100OAV TS AVG KOTAK2 FLOCKING GNAVG43:WHITE:5-6:TEXT:SS T-SHIRT</t>
  </si>
  <si>
    <t>66040100OAV TS AVG KOTAK2 FLOCKING GNAVG43:WHITE:7-8:TEXT:SS T-SHIRT</t>
  </si>
  <si>
    <t>66040100OAV TS AVG KOTAK2 FLOCKING GNAVG43:WHITE:9-10:TEXT:SS T-SHIRT</t>
  </si>
  <si>
    <t>66040100OAV TS AVG KOTAK2 FLOCKING GNAVG43:WHITE:11-12:TEXT:SS T-SHIRT</t>
  </si>
  <si>
    <t>66060100OAV TS AVG KOTAK2 FLOCKING GNAVG43:WHITE:13-14:TEXT:SS T-SHIRT</t>
  </si>
  <si>
    <t>66060100OAV TS AVG KOTAK2 FLOCKING GNAVG43:WHITE:15-16:TEXT:SS T-SHIRT</t>
  </si>
  <si>
    <t>GNAVG42</t>
  </si>
  <si>
    <t>66020100OAV TS AVG KOTAK2 CUTSEWN GNAVG42:CLASSIC YELLOW:3-4:TEXT:SS T-SHIRT</t>
  </si>
  <si>
    <t>66020100OAV TS AVG KOTAK2 CUTSEWN GNAVG42:CLASSIC YELLOW:4-5:TEXT:SS T-SHIRT</t>
  </si>
  <si>
    <t>66020100OAV TS AVG KOTAK2 CUTSEWN GNAVG42:CLASSIC YELLOW:5-6:TEXT:SS T-SHIRT</t>
  </si>
  <si>
    <t>66040100OAV TS AVG KOTAK2 CUTSEWN GNAVG42:CLASSIC YELLOW:7-8:TEXT:SS T-SHIRT</t>
  </si>
  <si>
    <t>66040100OAV TS AVG KOTAK2 CUTSEWN GNAVG42:CLASSIC YELLOW:9-10:TEXT:SS T-SHIRT</t>
  </si>
  <si>
    <t>66040100OAV TS AVG KOTAK2 CUTSEWN GNAVG42:CLASSIC YELLOW:11-12:TEXT:SS T-SHIRT</t>
  </si>
  <si>
    <t>66060100OAV TS AVG KOTAK2 CUTSEWN GNAVG42:CLASSIC YELLOW:13-14:TEXT:SS T-SHIRT</t>
  </si>
  <si>
    <t>66060100OAV TS AVG KOTAK2 CUTSEWN GNAVG42:CLASSIC YELLOW:15-16:TEXT:SS T-SHIRT</t>
  </si>
  <si>
    <t>A497</t>
  </si>
  <si>
    <t>66020100OAV TS AVG CAPT AMRIK RUN A497:MISTY DARK BLUE:3-4:GRAPHIC:SS T-SHIRT</t>
  </si>
  <si>
    <t>66020100OAV TS AVG CAPT AMRIK RUN A497:MISTY DARK BLUE:4-5:GRAPHIC:SS T-SHIRT</t>
  </si>
  <si>
    <t>66020100OAV TS AVG CAPT AMRIK RUN A497:MISTY DARK BLUE:5-6:GRAPHIC:SS T-SHIRT</t>
  </si>
  <si>
    <t>66040100OAV TS AVG CAPT AMRIK RUN A497:MISTY DARK BLUE:7-8:GRAPHIC:SS T-SHIRT</t>
  </si>
  <si>
    <t>66040100OAV TS AVG CAPT AMRIK RUN A497:MISTY DARK BLUE:9-10:GRAPHIC:SS T-SHIRT</t>
  </si>
  <si>
    <t>66040100OAV TS AVG CAPT AMRIK RUN A497:MISTY DARK BLUE:11-12:GRAPHIC:SS T-SHIRT</t>
  </si>
  <si>
    <t>66060100OAV TS AVG CAPT AMRIK RUN A497:MISTY DARK BLUE:13-14:GRAPHIC:SS T-SHIRT</t>
  </si>
  <si>
    <t>66060100OAV TS AVG CAPT AMRIK RUN A497:MISTY DARK BLUE:15-16:GRAPHIC:SS T-SHIRT</t>
  </si>
  <si>
    <t>HR208</t>
  </si>
  <si>
    <t>66020100OAV TS AVG  CAPT AMRIK TIEDYE OMBRE HR208:NAVY BLUE:3-4:TEXT:SS T-SHIRT</t>
  </si>
  <si>
    <t>66020100OAV TS AVG  CAPT AMRIK TIEDYE OMBRE HR208:NAVY BLUE:4-5:TEXT:SS T-SHIRT</t>
  </si>
  <si>
    <t>66020100OAV TS AVG  CAPT AMRIK TIEDYE OMBRE HR208:NAVY BLUE:5-6:TEXT:SS T-SHIRT</t>
  </si>
  <si>
    <t>66040100OAV TS AVG  CAPT AMRIK TIEDYE OMBRE HR208:NAVY BLUE:7-8:TEXT:SS T-SHIRT</t>
  </si>
  <si>
    <t>66040100OAV TS AVG  CAPT AMRIK TIEDYE OMBRE HR208:NAVY BLUE:9-10:TEXT:SS T-SHIRT</t>
  </si>
  <si>
    <t>66040100OAV TS AVG  CAPT AMRIK TIEDYE OMBRE HR208:NAVY BLUE:11-12:TEXT:SS T-SHIRT</t>
  </si>
  <si>
    <t>66060100OAV TS AVG  CAPT AMRIK TIEDYE OMBRE HR208:NAVY BLUE:13-14:TEXT:SS T-SHIRT</t>
  </si>
  <si>
    <t>66060100OAV TS AVG  CAPT AMRIK TIEDYE OMBRE HR208:NAVY BLUE:15-16:TEXT:SS T-SHIRT</t>
  </si>
  <si>
    <t>A678</t>
  </si>
  <si>
    <t>66020100OAV TS AVG CAPT AMRIK SHIELD FP TIEDYE STRIPE A678:CLASSIC BLUE:3-4:GRAPHIC:SS T-SHIRT</t>
  </si>
  <si>
    <t>66020100OAV TS AVG CAPT AMRIK SHIELD FP TIEDYE STRIPE A678:CLASSIC BLUE:4-5:GRAPHIC:SS T-SHIRT</t>
  </si>
  <si>
    <t>66020100OAV TS AVG CAPT AMRIK SHIELD FP TIEDYE STRIPE A678:CLASSIC BLUE:5-6:GRAPHIC:SS T-SHIRT</t>
  </si>
  <si>
    <t>66040100OAV TS AVG CAPT AMRIK SHIELD FP TIEDYE STRIPE A678:CLASSIC BLUE:7-8:GRAPHIC:SS T-SHIRT</t>
  </si>
  <si>
    <t>66040100OAV TS AVG CAPT AMRIK SHIELD FP TIEDYE STRIPE A678:CLASSIC BLUE:9-10:GRAPHIC:SS T-SHIRT</t>
  </si>
  <si>
    <t>66040100OAV TS AVG CAPT AMRIK SHIELD FP TIEDYE STRIPE A678:CLASSIC BLUE:11-12:GRAPHIC:SS T-SHIRT</t>
  </si>
  <si>
    <t>66060100OAV TS AVG CAPT AMRIK SHIELD FP TIEDYE STRIPE A678:CLASSIC BLUE:13-14:GRAPHIC:SS T-SHIRT</t>
  </si>
  <si>
    <t>66060100OAV TS AVG CAPT AMRIK SHIELD FP TIEDYE STRIPE A678:CLASSIC BLUE:15-16:GRAPHIC:SS T-SHIRT</t>
  </si>
  <si>
    <t>N988</t>
  </si>
  <si>
    <t>66020100MCS TS SPD FACE FP TIEDYE TOOLKIT N988:WHITE:3-4:GRAPHIC:SS T-SHIRT</t>
  </si>
  <si>
    <t>66020100MCS TS SPD FACE FP TIEDYE TOOLKIT N988:WHITE:4-5:GRAPHIC:SS T-SHIRT</t>
  </si>
  <si>
    <t>66020100MCS TS SPD FACE FP TIEDYE TOOLKIT N988:WHITE:5-6:GRAPHIC:SS T-SHIRT</t>
  </si>
  <si>
    <t>66040100MCS TS SPD FACE FP TIEDYE TOOLKIT N988:WHITE:7-8:GRAPHIC:SS T-SHIRT</t>
  </si>
  <si>
    <t>66040100MCS TS SPD FACE FP TIEDYE TOOLKIT N988:WHITE:9-10:GRAPHIC:SS T-SHIRT</t>
  </si>
  <si>
    <t>66040100MCS TS SPD FACE FP TIEDYE TOOLKIT N988:WHITE:11-12:GRAPHIC:SS T-SHIRT</t>
  </si>
  <si>
    <t>66060100MCS TS SPD FACE FP TIEDYE TOOLKIT N988:WHITE:13-14:GRAPHIC:SS T-SHIRT</t>
  </si>
  <si>
    <t>66060100MCS TS SPD FACE FP TIEDYE TOOLKIT N988:WHITE:15-16:GRAPHIC:SS T-SHIRT</t>
  </si>
  <si>
    <t>N990</t>
  </si>
  <si>
    <t>66020100MCS TS SPD FLY SM TOOLKIT N990:MISTY DARK BLUE:3-4:GRAPHIC:SS T-SHIRT</t>
  </si>
  <si>
    <t>66020100MCS TS SPD FLY SM TOOLKIT N990:MISTY DARK BLUE:4-5:GRAPHIC:SS T-SHIRT</t>
  </si>
  <si>
    <t>66020100MCS TS SPD FLY SM TOOLKIT N990:MISTY DARK BLUE:5-6:GRAPHIC:SS T-SHIRT</t>
  </si>
  <si>
    <t>66040100MCS TS SPD FLY SM TOOLKIT  N990:MISTY DARK BLUE:7-8:GRAPHIC:SS T-SHIRT</t>
  </si>
  <si>
    <t>66040100MCS TS SPD FLY SM TOOLKIT  N990:MISTY DARK BLUE:9-10:GRAPHIC:SS T-SHIRT</t>
  </si>
  <si>
    <t>66040100MCS TS SPD FLY SM TOOLKIT  N990:MISTY DARK BLUE:11-12:GRAPHIC:SS T-SHIRT</t>
  </si>
  <si>
    <t>66060100MCS TS SPD FLY SM TOOLKIT  N990:MISTY DARK BLUE:13-14:GRAPHIC:SS T-SHIRT</t>
  </si>
  <si>
    <t>66060100MCS TS SPD FLY SM TOOLKIT  N990:MISTY DARK BLUE:15-16:GRAPHIC:SS T-SHIRT</t>
  </si>
  <si>
    <t>A431</t>
  </si>
  <si>
    <t>66020100OAV TS AVG LOGO OUTLINE CHAR FP A431:CLASSIC YELLOW:3-4:GRAPHIC:SS T-SHIRT</t>
  </si>
  <si>
    <t>66020100OAV TS AVG LOGO OUTLINE CHAR FP A431:CLASSIC YELLOW:4-5:GRAPHIC:SS T-SHIRT</t>
  </si>
  <si>
    <t>66020100OAV TS AVG LOGO OUTLINE CHAR FP A431:CLASSIC YELLOW:5-6:GRAPHIC:SS T-SHIRT</t>
  </si>
  <si>
    <t>66040100OAV TS AVG LOGO OUTLINE CHAR FP A431:CLASSIC YELLOW:7-8:GRAPHIC:SS T-SHIRT</t>
  </si>
  <si>
    <t>66040100OAV TS AVG LOGO OUTLINE CHAR FP A431:CLASSIC YELLOW:9-10:GRAPHIC:SS T-SHIRT</t>
  </si>
  <si>
    <t>66040100OAV TS AVG LOGO OUTLINE CHAR FP A431:CLASSIC YELLOW:11-12:GRAPHIC:SS T-SHIRT</t>
  </si>
  <si>
    <t>66060100OAV TS AVG LOGO OUTLINE CHAR FP A431:CLASSIC YELLOW:13-14:GRAPHIC:SS T-SHIRT</t>
  </si>
  <si>
    <t>66060100OAV TS AVG LOGO OUTLINE CHAR FP A431:CLASSIC YELLOW:15-16:GRAPHIC:SS T-SHIRT</t>
  </si>
  <si>
    <t>HR390</t>
  </si>
  <si>
    <t>66020100OAV TS AVG CAPT AMRIK SUPER SOLDIER HR390:MISTY DARK BLUE:3-4:GRAPHIC:SS T-SHIRT</t>
  </si>
  <si>
    <t>66020100OAV TS AVG CAPT AMRIK SUPER SOLDIER HR390:MISTY DARK BLUE:4-5:GRAPHIC:SS T-SHIRT</t>
  </si>
  <si>
    <t>66020100OAV TS AVG CAPT AMRIK SUPER SOLDIER HR390:MISTY DARK BLUE:5-6:GRAPHIC:SS T-SHIRT</t>
  </si>
  <si>
    <t>66040100OAV TS AVG CAPT AMRIK SUPER SOLDIER HR390:MISTY DARK BLUE:7-8:GRAPHIC:SS T-SHIRT</t>
  </si>
  <si>
    <t>66040100OAV TS AVG CAPT AMRIK SUPER SOLDIER HR390:MISTY DARK BLUE:9-10:GRAPHIC:SS T-SHIRT</t>
  </si>
  <si>
    <t>66040100OAV TS AVG CAPT AMRIK SUPER SOLDIER HR390:MISTY DARK BLUE:11-12:GRAPHIC:SS T-SHIRT</t>
  </si>
  <si>
    <t>66060100OAV TS AVG CAPT AMRIK SUPER SOLDIER HR390:MISTY DARK BLUE:13-14:GRAPHIC:SS T-SHIRT</t>
  </si>
  <si>
    <t>66060100OAV TS AVG CAPT AMRIK SUPER SOLDIER HR390:MISTY DARK BLUE:15-16:GRAPHIC:SS T-SHIRT</t>
  </si>
  <si>
    <t>N707</t>
  </si>
  <si>
    <t>66020100OAV TS AVG BEM LGN STRIP N707:MISTY DARK BLUE:3-4:GRAPHIC:SS T-SHIRT</t>
  </si>
  <si>
    <t>66020100OAV TS AVG BEM LGN STRIP N707:MISTY DARK BLUE:4-5:GRAPHIC:SS T-SHIRT</t>
  </si>
  <si>
    <t>66020100OAV TS AVG BEM LGN STRIP N707:MISTY DARK BLUE:5-6:GRAPHIC:SS T-SHIRT</t>
  </si>
  <si>
    <t>66040100OAV TS AVG BEM LGN STRIP N707:MISTY DARK BLUE:7-8:GRAPHIC:SS T-SHIRT</t>
  </si>
  <si>
    <t>66040100OAV TS AVG BEM LGN STRIP N707:MISTY DARK BLUE:9-10:GRAPHIC:SS T-SHIRT</t>
  </si>
  <si>
    <t>66040100OAV TS AVG BEM LGN STRIP N707:MISTY DARK BLUE:11-12:GRAPHIC:SS T-SHIRT</t>
  </si>
  <si>
    <t>66060100OAV TS AVG BEM LGN STRIP N707:MISTY DARK BLUE:13-14:GRAPHIC:SS T-SHIRT</t>
  </si>
  <si>
    <t>66060100OAV TS AVG BEM LGN STRIP N707:MISTY DARK BLUE:15-16:GRAPHIC:SS T-SHIRT</t>
  </si>
  <si>
    <t>N770</t>
  </si>
  <si>
    <t>66020100OAV TS AVG BEM FP N770:MISTY LIGHT YELLOW:3-4:GRAPHIC:SS T-SHIRT</t>
  </si>
  <si>
    <t>66020100OAV TS AVG BEM FP N770:MISTY LIGHT YELLOW:4-5:GRAPHIC:SS T-SHIRT</t>
  </si>
  <si>
    <t>66020100OAV TS AVG BEM FP N770:MISTY LIGHT YELLOW:5-6:GRAPHIC:SS T-SHIRT</t>
  </si>
  <si>
    <t>66040100OAV TS AVG BEM FP N770:MISTY LIGHT YELLOW:7-8:GRAPHIC:SS T-SHIRT</t>
  </si>
  <si>
    <t>66040100OAV TS AVG BEM FP N770:MISTY LIGHT YELLOW:9-10:GRAPHIC:SS T-SHIRT</t>
  </si>
  <si>
    <t>66040100OAV TS AVG BEM FP N770:MISTY LIGHT YELLOW:11-12:GRAPHIC:SS T-SHIRT</t>
  </si>
  <si>
    <t>66060100OAV TS AVG BEM FP N770:MISTY LIGHT YELLOW:13-14:GRAPHIC:SS T-SHIRT</t>
  </si>
  <si>
    <t>66060100OAV TS AVG BEM FP N770:MISTY LIGHT YELLOW:15-16:GRAPHIC:SS T-SHIRT</t>
  </si>
  <si>
    <t>HR389</t>
  </si>
  <si>
    <t>66020100OAV TS AVG ALL CHAR MASK DADA FP:NAVY BLUE:3-4:GRAPHIC:SS T-SHIRT</t>
  </si>
  <si>
    <t>66020100OAV TS AVG ALL CHAR MASK DADA FP:NAVY BLUE:4-5:GRAPHIC:SS T-SHIRT</t>
  </si>
  <si>
    <t>66020100OAV TS AVG ALL CHAR MASK DADA FP:NAVY BLUE:5-6:GRAPHIC:SS T-SHIRT</t>
  </si>
  <si>
    <t>66040100OAV TS AVG ALL CHAR MASK DADA FP:NAVY BLUE:7-8:GRAPHIC:SS T-SHIRT</t>
  </si>
  <si>
    <t>66040100OAV TS AVG ALL CHAR MASK DADA FP:NAVY BLUE:9-10:GRAPHIC:SS T-SHIRT</t>
  </si>
  <si>
    <t>66040100OAV TS AVG ALL CHAR MASK DADA FP:NAVY BLUE:11-12:GRAPHIC:SS T-SHIRT</t>
  </si>
  <si>
    <t>66060100OAV TS AVG ALL CHAR MASK DADA FP:NAVY BLUE:13-14:GRAPHIC:SS T-SHIRT</t>
  </si>
  <si>
    <t>66060100OAV TS AVG ALL CHAR MASK DADA FP:NAVY BLUE:15-16:GRAPHIC:SS T-SHIRT</t>
  </si>
  <si>
    <t>HR387</t>
  </si>
  <si>
    <t>66020100OAV TS AVG IRON MAN  LOGO DADA FP  HR387:CLASSIC RED:3-4:GRAPHIC:SS T-SHIRT</t>
  </si>
  <si>
    <t>66020100OAV TS AVG IRON MAN  LOGO DADA FP  HR387:CLASSIC RED:4-5:GRAPHIC:SS T-SHIRT</t>
  </si>
  <si>
    <t>66020100OAV TS AVG IRON MAN  LOGO DADA FP  HR387:CLASSIC RED:5-6:GRAPHIC:SS T-SHIRT</t>
  </si>
  <si>
    <t>66040100OAV TS AVG IRON MAN  LOGO DADA FP HR387:CLASSIC RED:7-8:GRAPHIC:SS T-SHIRT</t>
  </si>
  <si>
    <t>66040100OAV TS AVG IRON MAN  LOGO DADA FP HR387:CLASSIC RED:9-10:GRAPHIC:SS T-SHIRT</t>
  </si>
  <si>
    <t>66040100OAV TS AVG IRON MAN  LOGO DADA FP HR387:CLASSIC RED:11-12:GRAPHIC:SS T-SHIRT</t>
  </si>
  <si>
    <t>66060100OAV TS AVG IRON MAN  LOGO DADA FP HR387:CLASSIC RED:13-14:GRAPHIC:SS T-SHIRT</t>
  </si>
  <si>
    <t>66060100OAV TS AVG IRON MAN  LOGO DADA FP HR387:CLASSIC RED:15-16:GRAPHIC:SS T-SHIRT</t>
  </si>
  <si>
    <t>A434</t>
  </si>
  <si>
    <t>66020100OAV TS AVG MARVEL LOGO CHAR  A434:WHITE:3-4:GRAPHIC:SS T-SHIRT</t>
  </si>
  <si>
    <t>66020100OAV TS AVG MARVEL LOGO CHAR  A434:WHITE:4-5:GRAPHIC:SS T-SHIRT</t>
  </si>
  <si>
    <t>66020100OAV TS AVG MARVEL LOGO CHAR  A434:WHITE:5-6:GRAPHIC:SS T-SHIRT</t>
  </si>
  <si>
    <t>66040100OAV TS AVG MARVEL LOGO CHAR  A434:WHITE:7-8:GRAPHIC:SS T-SHIRT</t>
  </si>
  <si>
    <t>66040100OAV TS AVG MARVEL LOGO CHAR  A434:WHITE:9-10:GRAPHIC:SS T-SHIRT</t>
  </si>
  <si>
    <t>66040100OAV TS AVG MARVEL LOGO CHAR  A434:WHITE:11-12:GRAPHIC:SS T-SHIRT</t>
  </si>
  <si>
    <t>66060100OAV TS AVG MARVEL LOGO CHAR  A434:WHITE:13-14:GRAPHIC:SS T-SHIRT</t>
  </si>
  <si>
    <t>66060100OAV TS AVG MARVEL LOGO CHAR  A434:WHITE:15-16:GRAPHIC:SS T-SHIRT</t>
  </si>
  <si>
    <t>GNAVG40</t>
  </si>
  <si>
    <t>66020100OAV TS AVG KTG WORDING HD GNAVG40:CLASSIC RED:3-4:GRAPHIC:SS T-SHIRT</t>
  </si>
  <si>
    <t>66020100OAV TS AVG KTG WORDING HD GNAVG40:CLASSIC RED:4-5:GRAPHIC:SS T-SHIRT</t>
  </si>
  <si>
    <t>66020100OAV TS AVG KTG WORDING HD GNAVG40:CLASSIC RED:5-6:GRAPHIC:SS T-SHIRT</t>
  </si>
  <si>
    <t>66040100OAV TS AVG KTG WORDING HD  GNAVG40:CLASSIC RED:7-8:GRAPHIC:SS T-SHIRT</t>
  </si>
  <si>
    <t>66040100OAV TS AVG KTG WORDING HD  GNAVG40:CLASSIC RED:9-10:GRAPHIC:SS T-SHIRT</t>
  </si>
  <si>
    <t>66040100OAV TS AVG KTG WORDING HD  GNAVG40:CLASSIC RED:11-12:GRAPHIC:SS T-SHIRT</t>
  </si>
  <si>
    <t>66060100OAV TS AVG KTG WORDING HD GNAVG40:CLASSIC RED:13-14:GRAPHIC:SS T-SHIRT</t>
  </si>
  <si>
    <t>66060100OAV TS AVG KTG WORDING HD GNAVG40:CLASSIC RED:15-16:GRAPHIC:SS T-SHIRT</t>
  </si>
  <si>
    <t>GNAVG50</t>
  </si>
  <si>
    <t>66020100OAV TS AVG LOGO IRON VALCON HAWK  GNAVG50:CLASSIC RED:3-4:GRAPHIC:SS T-SHIRT</t>
  </si>
  <si>
    <t>66020100OAV TS AVG LOGO IRON VALCON HAWK  GNAVG50:CLASSIC RED:4-5:GRAPHIC:SS T-SHIRT</t>
  </si>
  <si>
    <t>66020100OAV TS AVG LOGO IRON VALCON HAWK  GNAVG50:CLASSIC RED:5-6:GRAPHIC:SS T-SHIRT</t>
  </si>
  <si>
    <t>66040100OAV TS AVG LOGO IRON VALCON HAWK  GNAVG50:CLASSIC RED:7-8:GRAPHIC:SS T-SHIRT</t>
  </si>
  <si>
    <t>66040100OAV TS AVG LOGO IRON VALCON HAWK  GNAVG50:CLASSIC RED:9-10:GRAPHIC:SS T-SHIRT</t>
  </si>
  <si>
    <t>66040100OAV TS AVG LOGO IRON VALCON HAWK  GNAVG50:CLASSIC RED:11-12:GRAPHIC:SS T-SHIRT</t>
  </si>
  <si>
    <t>66060100OAV TS AVG LOGO IRON VALCON HAWK  GNAVG50:CLASSIC RED:13-14:GRAPHIC:SS T-SHIRT</t>
  </si>
  <si>
    <t>66060100OAV TS AVG LOGO IRON VALCON HAWK  GNAVG50:CLASSIC RED:15-16:GRAPHIC:SS T-SHIRT</t>
  </si>
  <si>
    <t>A625</t>
  </si>
  <si>
    <t>66020100MCS TS SPD HALF BODY CUTSEWN KTG PETERBAN  A625:CLASSIC RED:3-4:GRAPHIC:SS T-SHIRT</t>
  </si>
  <si>
    <t>66020100MCS TS SPD HALF BODY CUTSEWN KTG PETERBAN  A625:CLASSIC RED:4-5:GRAPHIC:SS T-SHIRT</t>
  </si>
  <si>
    <t>66020100MCS TS SPD HALF BODY CUTSEWN KTG PETERBAN  A625:CLASSIC RED:5-6:GRAPHIC:SS T-SHIRT</t>
  </si>
  <si>
    <t>66040100MCS TS SPD HALF BODY CUTSEWN KTG PETERBAN  A625:CLASSIC RED:7-8:GRAPHIC:SS T-SHIRT</t>
  </si>
  <si>
    <t>66040100MCS TS SPD HALF BODY CUTSEWN KTG PETERBAN  A625:CLASSIC RED:9-10:GRAPHIC:SS T-SHIRT</t>
  </si>
  <si>
    <t>66040100MCS TS SPD HALF BODY CUTSEWN KTG PETERBAN  A625:CLASSIC RED:11-12:GRAPHIC:SS T-SHIRT</t>
  </si>
  <si>
    <t>66060100MCS TS SPD HALF BODY CUTSEWN KTG PETERBAN A625:CLASSIC RED:13-14:GRAPHIC:SS T-SHIRT</t>
  </si>
  <si>
    <t>66060100MCS TS SPD HALF BODY CUTSEWN KTG PETERBAN A625:CLASSIC RED:15-16:GRAPHIC:SS T-SHIRT</t>
  </si>
  <si>
    <t>A5926</t>
  </si>
  <si>
    <t>66020100MCS TS SPD AMAZING RESCUE BULDING SQUARE  A5926:CLASSIC YELLOW:3-4:GRAPHIC:SS T-SHIRT</t>
  </si>
  <si>
    <t>66020100MCS TS SPD AMAZING RESCUE BULDING SQUARE  A5926:CLASSIC YELLOW:4-5:GRAPHIC:SS T-SHIRT</t>
  </si>
  <si>
    <t>66020100MCS TS SPD AMAZING RESCUE BULDING SQUARE  A5926:CLASSIC YELLOW:5-6:GRAPHIC:SS T-SHIRT</t>
  </si>
  <si>
    <t>66040100MCS TS SPD AMAZING RESCUE BULDING SQUARE A5926:CLASSIC YELLOW:7-8:GRAPHIC:SS T-SHIRT</t>
  </si>
  <si>
    <t>66040100MCS TS SPD AMAZING RESCUE BULDING SQUARE A5926:CLASSIC YELLOW:9-10:GRAPHIC:SS T-SHIRT</t>
  </si>
  <si>
    <t>66040100MCS TS SPD AMAZING RESCUE BULDING SQUARE A5926:CLASSIC YELLOW:11-12:GRAPHIC:SS T-SHIRT</t>
  </si>
  <si>
    <t>66060100MCS TS SPD AMAZING RESCUE BULDING SQUARE A5926:CLASSIC YELLOW:13-14:GRAPHIC:SS T-SHIRT</t>
  </si>
  <si>
    <t>66060100MCS TS SPD AMAZING RESCUE BULDING SQUARE A5926:CLASSIC YELLOW:15-16:GRAPHIC:SS T-SHIRT</t>
  </si>
  <si>
    <t>A691</t>
  </si>
  <si>
    <t>66020100MCS TS SPD HALFBODY WEBBED WONDER JARING  LABA A691:BLACK:3-4:GRAPHIC:SS T-SHIRT</t>
  </si>
  <si>
    <t>66020100MCS TS SPD HALFBODY WEBBED WONDER JARING  LABA A691:BLACK:4-5:GRAPHIC:SS T-SHIRT</t>
  </si>
  <si>
    <t>66020100MCS TS SPD HALFBODY WEBBED WONDER JARING  LABA A691:BLACK:5-6:GRAPHIC:SS T-SHIRT</t>
  </si>
  <si>
    <t>66040100MCS TS SPD HALFBODY WEBBED WONDER JARING  LABA A691:BLACK:7-8:GRAPHIC:SS T-SHIRT</t>
  </si>
  <si>
    <t>66040100MCS TS SPD HALFBODY WEBBED WONDER JARING  LABA A691:BLACK:9-10:GRAPHIC:SS T-SHIRT</t>
  </si>
  <si>
    <t>66040100MCS TS SPD HALFBODY WEBBED WONDER JARING  LABA A691:BLACK:11-12:GRAPHIC:SS T-SHIRT</t>
  </si>
  <si>
    <t>66060100MCS TS SPD HALFBODY WEBBED WONDER JARING  LABA A691:BLACK:13-14:GRAPHIC:SS T-SHIRT</t>
  </si>
  <si>
    <t>66060100MCS TS SPD HALFBODY WEBBED WONDER JARING  LABA A691:BLACK:15-16:GRAPHIC:SS T-SHIRT</t>
  </si>
  <si>
    <t>GNSPD24</t>
  </si>
  <si>
    <t>66020100MCS TS SPD FACE FP SPLASH PAINT GNSPD24:BLACK:3-4:GRAPHIC:SS T-SHIRT</t>
  </si>
  <si>
    <t>66020100MCS TS SPD FACE FP SPLASH PAINT GNSPD24:BLACK:4-5:GRAPHIC:SS T-SHIRT</t>
  </si>
  <si>
    <t>66020100MCS TS SPD FACE FP SPLASH PAINT GNSPD24:BLACK:5-6:GRAPHIC:SS T-SHIRT</t>
  </si>
  <si>
    <t>66040100MCS TS SPD FACE FP SPLASH PAINT GNSPD24:BLACK:7-8:GRAPHIC:SS T-SHIRT</t>
  </si>
  <si>
    <t>66040100MCS TS SPD FACE FP SPLASH PAINT GNSPD24:BLACK:9-10:GRAPHIC:SS T-SHIRT</t>
  </si>
  <si>
    <t>66040100MCS TS SPD FACE FP SPLASH PAINT GNSPD24:BLACK:11-12:GRAPHIC:SS T-SHIRT</t>
  </si>
  <si>
    <t>66060100MCS TS SPD FACE FP SPLASH PAINT GNSPD24:BLACK:13-14:GRAPHIC:SS T-SHIRT</t>
  </si>
  <si>
    <t>66060100MCS TS SPD FACE FP SPLASH PAINT GNSPD24:BLACK:15-16:GRAPHIC:SS T-SHIRT</t>
  </si>
  <si>
    <t>GNSPD20</t>
  </si>
  <si>
    <t>66020100MCS TS SPD THWIP JONGKOK JARING CHENNILE  GNSPD20:CLASSIC RED:3-4:GRAPHIC:SS T-SHIRT</t>
  </si>
  <si>
    <t>66020100MCS TS SPD THWIP JONGKOK JARING CHENNILE  GNSPD20:CLASSIC RED:4-5:GRAPHIC:SS T-SHIRT</t>
  </si>
  <si>
    <t>66020100MCS TS SPD THWIP JONGKOK JARING CHENNILE  GNSPD20:CLASSIC RED:5-6:GRAPHIC:SS T-SHIRT</t>
  </si>
  <si>
    <t>66040100MCS TS SPD THWIP JONGKOK JARING CHENNILE  GNSPD20:CLASSIC RED:7-8:GRAPHIC:SS T-SHIRT</t>
  </si>
  <si>
    <t>66040100MCS TS SPD THWIP JONGKOK JARING CHENNILE  GNSPD20:CLASSIC RED:9-10:GRAPHIC:SS T-SHIRT</t>
  </si>
  <si>
    <t>66040100MCS TS SPD THWIP JONGKOK JARING CHENNILE  GNSPD20:CLASSIC RED:11-12:GRAPHIC:SS T-SHIRT</t>
  </si>
  <si>
    <t>66060100MCS TS SPD THWIP JONGKOK JARING CHENNILE GNSPD20:CLASSIC RED:13-14:GRAPHIC:SS T-SHIRT</t>
  </si>
  <si>
    <t>66060100MCS TS SPD THWIP JONGKOK JARING CHENNILE GNSPD20:CLASSIC RED:15-16:GRAPHIC:SS T-SHIRT</t>
  </si>
  <si>
    <t>A726</t>
  </si>
  <si>
    <t>66020100MCS TS SPD NEW YORK JUMP A726:MISTY DARK BLUE:3-4:GRAPHIC:SS T-SHIRT</t>
  </si>
  <si>
    <t>66020100MCS TS SPD NEW YORK JUMP A726:MISTY DARK BLUE:4-5:GRAPHIC:SS T-SHIRT</t>
  </si>
  <si>
    <t>66020100MCS TS SPD NEW YORK JUMP A726:MISTY DARK BLUE:5-6:GRAPHIC:SS T-SHIRT</t>
  </si>
  <si>
    <t>66040100MCS TS SPD NEW YORK JUMP A726:MISTY DARK BLUE:7-8:GRAPHIC:SS T-SHIRT</t>
  </si>
  <si>
    <t>66040100MCS TS SPD NEW YORK JUMP A726:MISTY DARK BLUE:9-10:GRAPHIC:SS T-SHIRT</t>
  </si>
  <si>
    <t>66040100MCS TS SPD NEW YORK JUMP A726:MISTY DARK BLUE:11-12:GRAPHIC:SS T-SHIRT</t>
  </si>
  <si>
    <t>66060100MCS TS SPD NEW YORK JUMP A726:MISTY DARK BLUE:13-14:GRAPHIC:SS T-SHIRT</t>
  </si>
  <si>
    <t>66060100MCS TS SPD NEW YORK JUMP A726:MISTY DARK BLUE:15-16:GRAPHIC:SS T-SHIRT</t>
  </si>
  <si>
    <t>GNAVG37</t>
  </si>
  <si>
    <t>66020100OAV TS AVG LOGO FP LIGHTING GNAVG37:CLASSIC RED:3-4:GRAPHIC:SS T-SHIRT</t>
  </si>
  <si>
    <t>66020100OAV TS AVG LOGO FP LIGHTING GNAVG37:CLASSIC RED:4-5:GRAPHIC:SS T-SHIRT</t>
  </si>
  <si>
    <t>66020100OAV TS AVG LOGO FP LIGHTING GNAVG37:CLASSIC RED:5-6:GRAPHIC:SS T-SHIRT</t>
  </si>
  <si>
    <t>66040100OAV TS AVG LOGO FP LIGHTING GNAVG37:CLASSIC RED:7-8:GRAPHIC:SS T-SHIRT</t>
  </si>
  <si>
    <t>66040100OAV TS AVG LOGO FP LIGHTING GNAVG37:CLASSIC RED:9-10:GRAPHIC:SS T-SHIRT</t>
  </si>
  <si>
    <t>66040100OAV TS AVG LOGO FP LIGHTING GNAVG37:CLASSIC RED:11-12:GRAPHIC:SS T-SHIRT</t>
  </si>
  <si>
    <t>66060100OAV TS AVG LOGO FP LIGHTING GNAVG37:CLASSIC RED:13-14:GRAPHIC:SS T-SHIRT</t>
  </si>
  <si>
    <t>66060100OAV TS AVG LOGO FP LIGHTING GNAVG37:CLASSIC RED:15-16:GRAPHIC:SS T-SHIRT</t>
  </si>
  <si>
    <t>A862</t>
  </si>
  <si>
    <t>66020100MCS TS SPD FACE AMAZING CRIME FIGHTER A862:MISTY DARK BLUE:3-4:GRAPHIC:SS T-SHIRT</t>
  </si>
  <si>
    <t>66020100MCS TS SPD FACE AMAZING CRIME FIGHTER A862:MISTY DARK BLUE:4-5:GRAPHIC:SS T-SHIRT</t>
  </si>
  <si>
    <t>66020100MCS TS SPD FACE AMAZING CRIME FIGHTER A862:MISTY DARK BLUE:5-6:GRAPHIC:SS T-SHIRT</t>
  </si>
  <si>
    <t>66040100MCS TS SPD FACE AMAZING CRIME FIGHTER A862:MISTY DARK BLUE:7-8:GRAPHIC:SS T-SHIRT</t>
  </si>
  <si>
    <t>66040100MCS TS SPD FACE AMAZING CRIME FIGHTER A862:MISTY DARK BLUE:9-10:GRAPHIC:SS T-SHIRT</t>
  </si>
  <si>
    <t>66040100MCS TS SPD FACE AMAZING CRIME FIGHTER A862:MISTY DARK BLUE:11-12:GRAPHIC:SS T-SHIRT</t>
  </si>
  <si>
    <t>KSPDCL22</t>
  </si>
  <si>
    <t>66020100MCS SS HENLEY SPD FACE KSPDCL22:WHITE:3-4:GRAPHIC:SS T-SHIRT</t>
  </si>
  <si>
    <t>66020100MCS SS HENLEY SPD FACE KSPDCL22:WHITE:4-5:GRAPHIC:SS T-SHIRT</t>
  </si>
  <si>
    <t>66020100MCS SS HENLEY SPD FACE KSPDCL22:WHITE:5-6:GRAPHIC:SS T-SHIRT</t>
  </si>
  <si>
    <t>66040100MCS SS HENLEY SPD FACE  KSPDCL22:WHITE:7-8:GRAPHIC:SS T-SHIRT</t>
  </si>
  <si>
    <t>66040100MCS SS HENLEY SPD FACE  KSPDCL22:WHITE:9-10:GRAPHIC:SS T-SHIRT</t>
  </si>
  <si>
    <t>66040100MCS SS HENLEY SPD FACE  KSPDCL22:WHITE:11-12:GRAPHIC:SS T-SHIRT</t>
  </si>
  <si>
    <t>66060100MCS SS HENLEY SPD FACE  KSPDCL22:WHITE:13-14:GRAPHIC:SS T-SHIRT</t>
  </si>
  <si>
    <t>66060100MCS SS HENLEY SPD FACE  KSPDCL22:WHITE:15-16:GRAPHIC:SS T-SHIRT</t>
  </si>
  <si>
    <t>N763-DS</t>
  </si>
  <si>
    <t>66060100MCS TS SPD FACE BULAT LGN KTG KOMB DF N763-DS:CLASSIC RED:7-8:GRAPHIC:SS T-SHIRT</t>
  </si>
  <si>
    <t>66060100MCS TS SPD FACE BULAT LGN KTG KOMB DF N763-DS:CLASSIC RED:9-10:GRAPHIC:SS T-SHIRT</t>
  </si>
  <si>
    <t>66060100MCS TS SPD FACE BULAT LGN KTG KOMB DF N763-DS:CLASSIC RED:11-12:GRAPHIC:SS T-SHIRT</t>
  </si>
  <si>
    <t>66060100MCS TS SPD FACE BULAT LGN KTG KOMB DF N763-DS:CLASSIC RED:13-14:GRAPHIC:SS T-SHIRT</t>
  </si>
  <si>
    <t>66060100MCS TS SPD FACE BULAT LGN KTG KOMB DF N763-DS:CLASSIC RED:15-16:GRAPHIC:SS T-SHIRT</t>
  </si>
  <si>
    <t>A687</t>
  </si>
  <si>
    <t>66020100OAV TS AVG IRONMAN HALF BODY SPLASH:CLASSIC RED:3-4:GRAPHIC:SS T-SHIRT</t>
  </si>
  <si>
    <t>66020100OAV TS AVG IRONMAN HALF BODY SPLASH:CLASSIC RED:4-5:GRAPHIC:SS T-SHIRT</t>
  </si>
  <si>
    <t>66020100OAV TS AVG IRONMAN HALF BODY SPLASH:CLASSIC RED:5-6:GRAPHIC:SS T-SHIRT</t>
  </si>
  <si>
    <t>66040100OAV TS AVG IRONMAN HALF BODY SPLASH:CLASSIC RED:7-8:GRAPHIC:SS T-SHIRT</t>
  </si>
  <si>
    <t>66040100OAV TS AVG IRONMAN HALF BODY SPLASH:CLASSIC RED:9-10:GRAPHIC:SS T-SHIRT</t>
  </si>
  <si>
    <t>66040100OAV TS AVG IRONMAN HALF BODY SPLASH:CLASSIC RED:11-12:GRAPHIC:SS T-SHIRT</t>
  </si>
  <si>
    <t>66060100OAV TS AVG IRONMAN HALF BODY SPLASH:CLASSIC RED:13-14:GRAPHIC:SS T-SHIRT</t>
  </si>
  <si>
    <t>66060100OAV TS AVG IRONMAN HALF BODY SPLASH:CLASSIC RED:15-16:GRAPHIC:SS T-SHIRT</t>
  </si>
  <si>
    <t>GNAVG47</t>
  </si>
  <si>
    <t>66020100OAV TS AVG SPLASH KOMB TANGAN GNAVG47:WHITE:3-4:TEXT:SS T-SHIRT</t>
  </si>
  <si>
    <t>66020100OAV TS AVG SPLASH KOMB TANGAN GNAVG47:WHITE:4-5:TEXT:SS T-SHIRT</t>
  </si>
  <si>
    <t>66020100OAV TS AVG SPLASH KOMB TANGAN GNAVG47:WHITE:5-6:TEXT:SS T-SHIRT</t>
  </si>
  <si>
    <t>66040100OAV TS AVG SPLASH KOMB TANGAN GNAVG47:WHITE:7-8:TEXT:SS T-SHIRT</t>
  </si>
  <si>
    <t>66040100OAV TS AVG SPLASH KOMB TANGAN GNAVG47:WHITE:9-10:TEXT:SS T-SHIRT</t>
  </si>
  <si>
    <t>66040100OAV TS AVG SPLASH KOMB TANGAN GNAVG47:WHITE:11-12:TEXT:SS T-SHIRT</t>
  </si>
  <si>
    <t>66060100OAV TS AVG SPLASH KOMB TANGAN GNAVG47:WHITE:13-14:TEXT:SS T-SHIRT</t>
  </si>
  <si>
    <t>66060100OAV TS AVG SPLASH KOMB TANGAN GNAVG47:WHITE:15-16:TEXT:SS T-SHIRT</t>
  </si>
  <si>
    <t>GNAVG48</t>
  </si>
  <si>
    <t>66020100OAV TS AVG HENLEY LGN CUTSEWN GNAVG48:CLASSIC RED:3-4:TEXT:SS T-SHIRT</t>
  </si>
  <si>
    <t>66020100OAV TS AVG HENLEY LGN CUTSEWN GNAVG48:CLASSIC RED:4-5:TEXT:SS T-SHIRT</t>
  </si>
  <si>
    <t>66020100OAV TS AVG HENLEY LGN CUTSEWN GNAVG48:CLASSIC RED:5-6:TEXT:SS T-SHIRT</t>
  </si>
  <si>
    <t>66040100OAV TS AVG HENLEY LGN CUTSEWN GNAVG48:CLASSIC RED:7-8:TEXT:SS T-SHIRT</t>
  </si>
  <si>
    <t>66040100OAV TS AVG HENLEY LGN CUTSEWN GNAVG48:CLASSIC RED:9-10:TEXT:SS T-SHIRT</t>
  </si>
  <si>
    <t>66040100OAV TS AVG HENLEY LGN CUTSEWN GNAVG48:CLASSIC RED:11-12:TEXT:SS T-SHIRT</t>
  </si>
  <si>
    <t>66060100OAV TS AVG HENLEY LGN CUTSEWN GNAVG48:CLASSIC RED:13-14:TEXT:SS T-SHIRT</t>
  </si>
  <si>
    <t>66060100OAV TS AVG HENLEY LGN CUTSEWN GNAVG48:CLASSIC RED:15-16:TEXT:SS T-SHIRT</t>
  </si>
  <si>
    <t>HD705</t>
  </si>
  <si>
    <t>66020100OAV TS HOODIE AVG IRON MAN FLY  HD705:CLASSIC RED:3-4:GRAPHIC:SS T-SHIRT</t>
  </si>
  <si>
    <t>66020100OAV TS HOODIE AVG IRON MAN FLY  HD705:CLASSIC RED:4-5:GRAPHIC:SS T-SHIRT</t>
  </si>
  <si>
    <t>66020100OAV TS HOODIE AVG IRON MAN FLY  HD705:CLASSIC RED:5-6:GRAPHIC:SS T-SHIRT</t>
  </si>
  <si>
    <t>66040100OAV TS HOODIE AVG IRON MAN FLY  HD705:CLASSIC RED:7-8:GRAPHIC:SS T-SHIRT</t>
  </si>
  <si>
    <t>66040100OAV TS HOODIE AVG IRON MAN FLY  HD705:CLASSIC RED:9-10:GRAPHIC:SS T-SHIRT</t>
  </si>
  <si>
    <t>66040100OAV TS HOODIE AVG IRON MAN FLY  HD705:CLASSIC RED:11-12:GRAPHIC:SS T-SHIRT</t>
  </si>
  <si>
    <t>66060100OAV TS HOODIE AVG IRON MAN FLY  HD705:CLASSIC RED:13-14:GRAPHIC:SS T-SHIRT</t>
  </si>
  <si>
    <t>66060100OAV TS HOODIE AVG IRON MAN FLY  HD705:CLASSIC RED:15-16:GRAPHIC:SS T-SHIRT</t>
  </si>
  <si>
    <t>KMRC28</t>
  </si>
  <si>
    <t>66020100MCS TS SPD TIE DYE KTG EYES  KMRC28:CLASSIC RED:3-4:GRAPHIC:SS T-SHIRT</t>
  </si>
  <si>
    <t>66020100MCS TS SPD TIE DYE KTG EYES  KMRC28:CLASSIC RED:4-5:GRAPHIC:SS T-SHIRT</t>
  </si>
  <si>
    <t>66020100MCS TS SPD TIE DYE KTG EYES  KMRC28:CLASSIC RED:5-6:GRAPHIC:SS T-SHIRT</t>
  </si>
  <si>
    <t>66040100MCS TS SPD TIE DYE KTG EYES  KMRC28:CLASSIC RED:7-8:GRAPHIC:SS T-SHIRT</t>
  </si>
  <si>
    <t>66040100MCS TS SPD TIE DYE KTG EYES  KMRC28:CLASSIC RED:9-10:GRAPHIC:SS T-SHIRT</t>
  </si>
  <si>
    <t>66040100MCS TS SPD TIE DYE KTG EYES  KMRC28:CLASSIC RED:11-12:GRAPHIC:SS T-SHIRT</t>
  </si>
  <si>
    <t>66060100MCS TS SPD TIE DYE KTG EYES  KMRC28:CLASSIC RED:13-14:GRAPHIC:SS T-SHIRT</t>
  </si>
  <si>
    <t>66060100MCS TS SPD TIE DYE KTG EYES  KMRC28:CLASSIC RED:15-16:GRAPHIC:SS T-SHIRT</t>
  </si>
  <si>
    <t>N806</t>
  </si>
  <si>
    <t>66020100MCS TS SPD WEBBED WONDER FP N806:MISTY MEDIUM YELLOW:3-4:GRAPHIC:SS T-SHIRT</t>
  </si>
  <si>
    <t>66020100MCS TS SPD WEBBED WONDER FP N806:MISTY MEDIUM YELLOW:4-5:GRAPHIC:SS T-SHIRT</t>
  </si>
  <si>
    <t>66020100MCS TS SPD WEBBED WONDER FP N806:MISTY MEDIUM YELLOW:5-6:GRAPHIC:SS T-SHIRT</t>
  </si>
  <si>
    <t>66040100MCS TS SPD WEBBED WONDER FP  N806:MISTY MEDIUM YELLOW:7-8:GRAPHIC:SS T-SHIRT</t>
  </si>
  <si>
    <t>66040100MCS TS SPD WEBBED WONDER FP  N806:MISTY MEDIUM YELLOW:9-10:GRAPHIC:SS T-SHIRT</t>
  </si>
  <si>
    <t>66040100MCS TS SPD WEBBED WONDER FP  N806:MISTY MEDIUM YELLOW:11-12:GRAPHIC:SS T-SHIRT</t>
  </si>
  <si>
    <t>66060100MCS TS SPD WEBBED WONDER FP N806:MISTY MEDIUM YELLOW:13-14:GRAPHIC:SS T-SHIRT</t>
  </si>
  <si>
    <t>66060100MCS TS SPD WEBBED WONDER FP N806:MISTY MEDIUM YELLOW:15-16:GRAPHIC:SS T-SHIRT</t>
  </si>
  <si>
    <t>A861</t>
  </si>
  <si>
    <t>66020100MCS TS SPD CUTSEWN AMAZING FACE  A861:NAVY BLUE:3-4:GRAPHIC:SS T-SHIRT</t>
  </si>
  <si>
    <t>66020100MCS TS SPD CUTSEWN AMAZING FACE  A861:NAVY BLUE:4-5:GRAPHIC:SS T-SHIRT</t>
  </si>
  <si>
    <t>66020100MCS TS SPD CUTSEWN AMAZING FACE  A861:NAVY BLUE:5-6:GRAPHIC:SS T-SHIRT</t>
  </si>
  <si>
    <t>66040100MCS TS SPD CUTSEWN AMAZING FACE  A861:NAVY BLUE:7-8:GRAPHIC:SS T-SHIRT</t>
  </si>
  <si>
    <t>66040100MCS TS SPD CUTSEWN AMAZING FACE  A861:NAVY BLUE:9-10:GRAPHIC:SS T-SHIRT</t>
  </si>
  <si>
    <t>66040100MCS TS SPD CUTSEWN AMAZING FACE  A861:NAVY BLUE:11-12:GRAPHIC:SS T-SHIRT</t>
  </si>
  <si>
    <t>66060100MCS TS SPD CUTSEWN AMAZING FACE  A861:NAVY BLUE:13-14:GRAPHIC:SS T-SHIRT</t>
  </si>
  <si>
    <t>66060100MCS TS SPD CUTSEWN AMAZING FACE  A861:NAVY BLUE:15-16:GRAPHIC:SS T-SHIRT</t>
  </si>
  <si>
    <t>KAVCL27</t>
  </si>
  <si>
    <t>66020100OAV SS HENLEY AVG STRIPE KTG KAVCL27:WHITE:3-4:STRIPES:SS T-SHIRT</t>
  </si>
  <si>
    <t>66020100OAV SS HENLEY AVG STRIPE KTG KAVCL27:WHITE:4-5:STRIPES:SS T-SHIRT</t>
  </si>
  <si>
    <t>66020100OAV SS HENLEY AVG STRIPE KTG KAVCL27:WHITE:5-6:STRIPES:SS T-SHIRT</t>
  </si>
  <si>
    <t>66040100OAV SS HENLEY AVG STRIPE KTG KAVCL27:WHITE:7-8:STRIPES:SS T-SHIRT</t>
  </si>
  <si>
    <t>66040100OAV SS HENLEY AVG STRIPE KTG KAVCL27:WHITE:9-10:STRIPES:SS T-SHIRT</t>
  </si>
  <si>
    <t>66040100OAV SS HENLEY AVG STRIPE KTG KAVCL27:WHITE:11-12:STRIPES:SS T-SHIRT</t>
  </si>
  <si>
    <t>66060100OAV SS HENLEY AVG STRIPE KTG KAVCL27:WHITE:13-14:STRIPES:SS T-SHIRT</t>
  </si>
  <si>
    <t>66060100OAV SS HENLEY AVG STRIPE KTG KAVCL27:WHITE:15-16:STRIPES:SS T-SHIRT</t>
  </si>
  <si>
    <t>HD401</t>
  </si>
  <si>
    <t>66020100MCS TS HOODIE SPD FACE CUTSEWN PETERBAN SPLASH  HD401:BLACK:3-4:GRAPHIC:SS T-SHIRT</t>
  </si>
  <si>
    <t>66020100MCS TS HOODIE SPD FACE CUTSEWN PETERBAN SPLASH  HD401:BLACK:4-5:GRAPHIC:SS T-SHIRT</t>
  </si>
  <si>
    <t>66020100MCS TS HOODIE SPD FACE CUTSEWN PETERBAN SPLASH  HD401:BLACK:5-6:GRAPHIC:SS T-SHIRT</t>
  </si>
  <si>
    <t>66040100MCS TS HOODIE SPD FACE CUTSEWN PETERBAN SPLASH  HD401:BLACK:7-8:GRAPHIC:SS T-SHIRT</t>
  </si>
  <si>
    <t>66040100MCS TS HOODIE SPD FACE CUTSEWN PETERBAN SPLASH  HD401:BLACK:9-10:GRAPHIC:SS T-SHIRT</t>
  </si>
  <si>
    <t>66040100MCS TS HOODIE SPD FACE CUTSEWN PETERBAN SPLASH  HD401:BLACK:11-12:GRAPHIC:SS T-SHIRT</t>
  </si>
  <si>
    <t>66060100MCS TS HOODIE SPD FACE CUTSEWN PETERBAN SPLASH  HD401:BLACK:13-14:GRAPHIC:SS T-SHIRT</t>
  </si>
  <si>
    <t>66060100MCS TS HOODIE SPD FACE CUTSEWN PETERBAN SPLASH  HD401:BLACK:15-16:GRAPHIC:SS T-SHIRT</t>
  </si>
  <si>
    <t>GNSPD19</t>
  </si>
  <si>
    <t>66020100MCS TS SPD FACE JARING WEB CRAWLING GNSPD19:NAVY BLUE:3-4:GRAPHIC:SS T-SHIRT</t>
  </si>
  <si>
    <t>66020100MCS TS SPD FACE JARING WEB CRAWLING GNSPD19:NAVY BLUE:4-5:GRAPHIC:SS T-SHIRT</t>
  </si>
  <si>
    <t>66020100MCS TS SPD FACE JARING WEB CRAWLING GNSPD19:NAVY BLUE:5-6:GRAPHIC:SS T-SHIRT</t>
  </si>
  <si>
    <t>66040100MCS TS SPD FACE JARING WEB CRAWLING GNSPD19:NAVY BLUE:7-8:GRAPHIC:SS T-SHIRT</t>
  </si>
  <si>
    <t>66040100MCS TS SPD FACE JARING WEB CRAWLING GNSPD19:NAVY BLUE:9-10:GRAPHIC:SS T-SHIRT</t>
  </si>
  <si>
    <t>66040100MCS TS SPD FACE JARING WEB CRAWLING GNSPD19:NAVY BLUE:11-12:GRAPHIC:SS T-SHIRT</t>
  </si>
  <si>
    <t>66060100MCS TS SPD FACE JARING WEB CRAWLING GNSPD19:NAVY BLUE:13-14:GRAPHIC:SS T-SHIRT</t>
  </si>
  <si>
    <t>66060100MCS TS SPD FACE JARING WEB CRAWLING GNSPD19:NAVY BLUE:15-16:GRAPHIC:SS T-SHIRT</t>
  </si>
  <si>
    <t>N764-DS</t>
  </si>
  <si>
    <t>66060100MCS TS SPD FACE BULAT CUTSEWN KOMB DF N764-DS:NAVY BLUE:7-8:GRAPHIC:SS T-SHIRT</t>
  </si>
  <si>
    <t>66060100MCS TS SPD FACE BULAT CUTSEWN KOMB DF N764-DS:NAVY BLUE:9-10:GRAPHIC:SS T-SHIRT</t>
  </si>
  <si>
    <t>66060100MCS TS SPD FACE BULAT CUTSEWN KOMB DF N764-DS:NAVY BLUE:11-12:GRAPHIC:SS T-SHIRT</t>
  </si>
  <si>
    <t>66060100MCS TS SPD FACE BULAT CUTSEWN KOMB DF N764-DS:NAVY BLUE:13-14:GRAPHIC:SS T-SHIRT</t>
  </si>
  <si>
    <t>66060100MCS TS SPD FACE BULAT CUTSEWN KOMB DF N764-DS:NAVY BLUE:15-16:GRAPHIC:SS T-SHIRT</t>
  </si>
  <si>
    <t>HR397</t>
  </si>
  <si>
    <t>66020100OAV TS AVG IRON MAN SPLASH HR397:CLASSIC ORANGE:3-4:GRAPHIC:SS T-SHIRT</t>
  </si>
  <si>
    <t>66020100OAV TS AVG IRON MAN SPLASH HR397:CLASSIC ORANGE:4-5:GRAPHIC:SS T-SHIRT</t>
  </si>
  <si>
    <t>66020100OAV TS AVG IRON MAN SPLASH HR397:CLASSIC ORANGE:5-6:GRAPHIC:SS T-SHIRT</t>
  </si>
  <si>
    <t>66040100OAV TS AVG IRON MAN SPLASH HR397:CLASSIC ORANGE:7-8:GRAPHIC:SS T-SHIRT</t>
  </si>
  <si>
    <t>66040100OAV TS AVG IRON MAN SPLASH HR397:CLASSIC ORANGE:9-10:GRAPHIC:SS T-SHIRT</t>
  </si>
  <si>
    <t>66040100OAV TS AVG IRON MAN SPLASH HR397:CLASSIC ORANGE:11-12:GRAPHIC:SS T-SHIRT</t>
  </si>
  <si>
    <t>A714</t>
  </si>
  <si>
    <t>66020100OAV TS AVG BEM COMIC A714:MISTY DARK BLUE:3-4:GRAPHIC:SS T-SHIRT</t>
  </si>
  <si>
    <t>66020100OAV TS AVG BEM COMIC A714:MISTY DARK BLUE:4-5:GRAPHIC:SS T-SHIRT</t>
  </si>
  <si>
    <t>66020100OAV TS AVG BEM COMIC A714:MISTY DARK BLUE:5-6:GRAPHIC:SS T-SHIRT</t>
  </si>
  <si>
    <t>66040100OAV TS AVG BEM COMIC A714:MISTY DARK BLUE:7-8:GRAPHIC:SS T-SHIRT</t>
  </si>
  <si>
    <t>66040100OAV TS AVG BEM COMIC A714:MISTY DARK BLUE:9-10:GRAPHIC:SS T-SHIRT</t>
  </si>
  <si>
    <t>66040100OAV TS AVG BEM COMIC A714:MISTY DARK BLUE:11-12:GRAPHIC:SS T-SHIRT</t>
  </si>
  <si>
    <t>66060100OAV TS AVG BEM COMIC A714:MISTY DARK BLUE:13-14:GRAPHIC:SS T-SHIRT</t>
  </si>
  <si>
    <t>66060100OAV TS AVG BEM COMIC A714:MISTY DARK BLUE:15-16:GRAPHIC:SS T-SHIRT</t>
  </si>
  <si>
    <t>A679</t>
  </si>
  <si>
    <t>66020100OAV TS AVG IRON MAN HEAVY METAL FP A679:CLASSIC RED:3-4:GRAPHIC:SS T-SHIRT</t>
  </si>
  <si>
    <t>66020100OAV TS AVG IRON MAN HEAVY METAL FP A679:CLASSIC RED:4-5:GRAPHIC:SS T-SHIRT</t>
  </si>
  <si>
    <t>66020100OAV TS AVG IRON MAN HEAVY METAL FP A679:CLASSIC RED:5-6:GRAPHIC:SS T-SHIRT</t>
  </si>
  <si>
    <t>66040100OAV TS AVG IRON MAN HEAVY METAL FP A679:CLASSIC RED:7-8:GRAPHIC:SS T-SHIRT</t>
  </si>
  <si>
    <t>66040100OAV TS AVG IRON MAN HEAVY METAL FP A679:CLASSIC RED:9-10:GRAPHIC:SS T-SHIRT</t>
  </si>
  <si>
    <t>66040100OAV TS AVG IRON MAN HEAVY METAL FP A679:CLASSIC RED:11-12:GRAPHIC:SS T-SHIRT</t>
  </si>
  <si>
    <t>66060100OAV TS AVG IRON MAN HEAVY METAL FP A679:CLASSIC RED:13-14:GRAPHIC:SS T-SHIRT</t>
  </si>
  <si>
    <t>66060100OAV TS AVG IRON MAN HEAVY METAL FP A679:CLASSIC RED:15-16:GRAPHIC:SS T-SHIRT</t>
  </si>
  <si>
    <t>GNAVG53</t>
  </si>
  <si>
    <t>66020100OAV TS AVG CHARACTER WAJIK  GNAVG53:PASTEL GREY:3-4:GRAPHIC:SS T-SHIRT</t>
  </si>
  <si>
    <t>66020100OAV TS AVG CHARACTER WAJIK  GNAVG53:PASTEL GREY:4-5:GRAPHIC:SS T-SHIRT</t>
  </si>
  <si>
    <t>66020100OAV TS AVG CHARACTER WAJIK  GNAVG53:PASTEL GREY:5-6:GRAPHIC:SS T-SHIRT</t>
  </si>
  <si>
    <t>66040100OAV TS AVG CHARACTER WAJIK GNAVG53:PASTEL GREY:7-8:GRAPHIC:SS T-SHIRT</t>
  </si>
  <si>
    <t>66040100OAV TS AVG CHARACTER WAJIK GNAVG53:PASTEL GREY:9-10:GRAPHIC:SS T-SHIRT</t>
  </si>
  <si>
    <t>66040100OAV TS AVG CHARACTER WAJIK GNAVG53:PASTEL GREY:11-12:GRAPHIC:SS T-SHIRT</t>
  </si>
  <si>
    <t>66060100OAV TS AVG CHARACTER WAJIK GNAVG53:PASTEL GREY:13-14:GRAPHIC:SS T-SHIRT</t>
  </si>
  <si>
    <t>66060100OAV TS AVG CHARACTER WAJIK GNAVG53:PASTEL GREY:15-16:GRAPHIC:SS T-SHIRT</t>
  </si>
  <si>
    <t>HD400</t>
  </si>
  <si>
    <t>66020100MCS TS HOODIE SPD SM SPLASH  HD400:CLASSIC RED:3-4:GRAPHIC:SS T-SHIRT</t>
  </si>
  <si>
    <t>66020100MCS TS HOODIE SPD SM SPLASH  HD400:CLASSIC RED:4-5:GRAPHIC:SS T-SHIRT</t>
  </si>
  <si>
    <t>66020100MCS TS HOODIE SPD SM SPLASH  HD400:CLASSIC RED:5-6:GRAPHIC:SS T-SHIRT</t>
  </si>
  <si>
    <t>66040100MCS TS HOODIE SPD SM SPLASH  HD400:CLASSIC RED:7-8:GRAPHIC:SS T-SHIRT</t>
  </si>
  <si>
    <t>66040100MCS TS HOODIE SPD SM SPLASH  HD400:CLASSIC RED:9-10:GRAPHIC:SS T-SHIRT</t>
  </si>
  <si>
    <t>66040100MCS TS HOODIE SPD SM SPLASH  HD400:CLASSIC RED:11-12:GRAPHIC:SS T-SHIRT</t>
  </si>
  <si>
    <t>66060100MCS TS HOODIE SPD SM SPLASH  HD400:CLASSIC RED:13-14:GRAPHIC:SS T-SHIRT</t>
  </si>
  <si>
    <t>66060100MCS TS HOODIE SPD SM SPLASH  HD400:CLASSIC RED:15-16:GRAPHIC:SS T-SHIRT</t>
  </si>
  <si>
    <t>KAVCL65</t>
  </si>
  <si>
    <t>66020100OAV SS SHIRT AVG CAPT AMRIK TIEDYE KAVCL65:CLASSIC BLUE:3-4:GRAPHIC:SS SHIRT</t>
  </si>
  <si>
    <t>66020100OAV SS SHIRT AVG CAPT AMRIK TIEDYE KAVCL65:CLASSIC BLUE:4-5:GRAPHIC:SS SHIRT</t>
  </si>
  <si>
    <t>66020100OAV SS SHIRT AVG CAPT AMRIK TIEDYE KAVCL65:CLASSIC BLUE:5-6:GRAPHIC:SS SHIRT</t>
  </si>
  <si>
    <t>66040100OAV SS SHIRT AVG CAPT AMRIK TIEDYE KAVCL65:CLASSIC BLUE:7-8:GRAPHIC:SS SHIRT</t>
  </si>
  <si>
    <t>66040100OAV SS SHIRT AVG CAPT AMRIK TIEDYE KAVCL65:CLASSIC BLUE:9-10:GRAPHIC:SS SHIRT</t>
  </si>
  <si>
    <t>66040100OAV SS SHIRT AVG CAPT AMRIK TIEDYE KAVCL65:CLASSIC BLUE:11-12:GRAPHIC:SS SHIRT</t>
  </si>
  <si>
    <t>66060100OAV SS SHIRT AVG CAPT AMRIK TIEDYE KAVCL65:CLASSIC BLUE:13-14:GRAPHIC:SS SHIRT</t>
  </si>
  <si>
    <t>66060100OAV SS SHIRT AVG CAPT AMRIK TIEDYE KAVCL65:CLASSIC BLUE:15-16:GRAPHIC:SS SHIRT</t>
  </si>
  <si>
    <t>KS213</t>
  </si>
  <si>
    <t>66020100MCS SS SHIRT KOKO SPD FACE PATTERN KS213:FROST GREY:3-4:GRAPHIC:SS SHIRT</t>
  </si>
  <si>
    <t>66020100MCS SS SHIRT KOKO SPD FACE PATTERN KS213:FROST GREY:4-5:GRAPHIC:SS SHIRT</t>
  </si>
  <si>
    <t>66020100MCS SS SHIRT KOKO SPD FACE PATTERN KS213:FROST GREY:5-6:GRAPHIC:SS SHIRT</t>
  </si>
  <si>
    <t>66040100MCS SS SHIRT KOKO SPD FACE PATTERN KS213:FROST GREY:7-8:GRAPHIC:SS SHIRT</t>
  </si>
  <si>
    <t>66040100MCS SS SHIRT KOKO SPD FACE PATTERN KS213:FROST GREY:9-10:GRAPHIC:SS SHIRT</t>
  </si>
  <si>
    <t>66040100MCS SS SHIRT KOKO SPD FACE PATTERN KS213:FROST GREY:11-12:GRAPHIC:SS SHIRT</t>
  </si>
  <si>
    <t>66060100MCS SS SHIRT KOKO SPD FACE PATTERN KS213:FROST GREY:13-14:GRAPHIC:SS SHIRT</t>
  </si>
  <si>
    <t>66060100MCS SS SHIRT KOKO SPD FACE PATTERN KS213:FROST GREY:15-16:GRAPHIC:SS SHIRT</t>
  </si>
  <si>
    <t>TPMVL11</t>
  </si>
  <si>
    <t>68040202OAV TOPI MARVEL FP SPLASH TPMVL11:PASTEL GREY:F:TEXT:CAPS</t>
  </si>
  <si>
    <t>TPMV020</t>
  </si>
  <si>
    <t>68040202OAV TOPI AVG CAPT AMRIK FP TIE DYE TPMV020:CLASSIC BLUE:F:GRAPHIC:CAPS</t>
  </si>
  <si>
    <t>TPSPD18</t>
  </si>
  <si>
    <t>68040202MCS TOPI SPD FACE HD WORD TPSPD18:NAVY BLUE:F:GRAPHIC:CAPS</t>
  </si>
  <si>
    <t>TPMRC10</t>
  </si>
  <si>
    <t>68040202OAV TOPI MARVEL COMICS FP SINTONG TPMRC10:BLACK:F:GRAPHIC:CAPS</t>
  </si>
  <si>
    <t>TSPDR152</t>
  </si>
  <si>
    <t>68040202MCS TOPI SPD FP COMIC EYE PLASTIC TSPDR152:CLASSIC RED:F:GRAPHIC:CAPS</t>
  </si>
  <si>
    <t>TPMZ01</t>
  </si>
  <si>
    <t>68040202MCS TOPI SPD FP 60 AMAZING TPMZ01:WHITE:F:GRAPHIC:CAPS</t>
  </si>
  <si>
    <t>KMRVL07</t>
  </si>
  <si>
    <t>66020100OAV LP DENIM MARVEL KTG CARGO KMRVL07:MEDIUM DENIM:3-4:TEXT:DENIM LONG PANTS</t>
  </si>
  <si>
    <t>66020100OAV LP DENIM MARVEL KTG CARGO KMRVL07:MEDIUM DENIM:4-5:TEXT:DENIM LONG PANTS</t>
  </si>
  <si>
    <t>66020100OAV LP DENIM MARVEL KTG CARGO KMRVL07:MEDIUM DENIM:5-6:TEXT:DENIM LONG PANTS</t>
  </si>
  <si>
    <t>66040100OAV LP DENIM MARVEL KTG CARGO KMRVL07:MEDIUM DENIM:7-8:TEXT:DENIM LONG PANTS</t>
  </si>
  <si>
    <t>66040100OAV LP DENIM MARVEL KTG CARGO KMRVL07:MEDIUM DENIM:9-10:TEXT:DENIM LONG PANTS</t>
  </si>
  <si>
    <t>66040100OAV LP DENIM MARVEL KTG CARGO KMRVL07:MEDIUM DENIM:11-12:TEXT:DENIM LONG PANTS</t>
  </si>
  <si>
    <t>66060100OAV LP DENIM MARVEL KTG CARGO KMRVL07:MEDIUM DENIM:13-14:TEXT:DENIM LONG PANTS</t>
  </si>
  <si>
    <t>66060100OAV LP DENIM MARVEL KTG CARGO KMRVL07:MEDIUM DENIM:15-16:TEXT:DENIM LONG PANTS</t>
  </si>
  <si>
    <t>GNAVG450</t>
  </si>
  <si>
    <t>66020100OAV LP KNIT AVG KOTAK2 GNAVG450:BLACK:3-4:GRAPHIC:JOGGER</t>
  </si>
  <si>
    <t>66020100OAV LP KNIT AVG KOTAK2 GNAVG450:BLACK:4-5:GRAPHIC:JOGGER</t>
  </si>
  <si>
    <t>66040100OAV LP KNIT AVG KOTAK2  GNAVG450:BLACK:5-6:GRAPHIC:JOGGER</t>
  </si>
  <si>
    <t>66040100OAV LP KNIT AVG KOTAK2  GNAVG450:BLACK:7-8:GRAPHIC:JOGGER</t>
  </si>
  <si>
    <t>66040100OAV LP KNIT AVG KOTAK2  GNAVG450:BLACK:9-10:GRAPHIC:JOGGER</t>
  </si>
  <si>
    <t>66060100OAV LP KNIT AVG KOTAK2  GNAVG450:BLACK:11-12:GRAPHIC:JOGGER</t>
  </si>
  <si>
    <t>66060100OAV LP KNIT AVG KOTAK2  GNAVG450:BLACK:13-14:GRAPHIC:JOGGER</t>
  </si>
  <si>
    <t>66060100OAV LP KNIT AVG KOTAK2  GNAVG450:BLACK:15-16:GRAPHIC:JOGGER</t>
  </si>
  <si>
    <t>KMRC37</t>
  </si>
  <si>
    <t>66020100MCS LP DENIM SPD FACE  KMRC37:DARK DENIM:3-4:GRAPHIC:DENIM LONG PANTS</t>
  </si>
  <si>
    <t>66020100MCS LP DENIM SPD FACE  KMRC37:DARK DENIM:4-5:GRAPHIC:DENIM LONG PANTS</t>
  </si>
  <si>
    <t>66020100MCS LP DENIM SPD FACE  KMRC37:DARK DENIM:5-6:GRAPHIC:DENIM LONG PANTS</t>
  </si>
  <si>
    <t>66040100MCS LP DENIM SPD FACE KMRC37:DARK DENIM:7-8:GRAPHIC:DENIM LONG PANTS</t>
  </si>
  <si>
    <t>66040100MCS LP DENIM SPD FACE KMRC37:DARK DENIM:9-10:GRAPHIC:DENIM LONG PANTS</t>
  </si>
  <si>
    <t>66040100MCS LP DENIM SPD FACE KMRC37:DARK DENIM:11-12:GRAPHIC:DENIM LONG PANTS</t>
  </si>
  <si>
    <t>66060100MCS LP DENIM SPD FACE KMRC37:DARK DENIM:13-14:GRAPHIC:DENIM LONG PANTS</t>
  </si>
  <si>
    <t>66060100MCS LP DENIM SPD FACE KMRC37:DARK DENIM:15-16:GRAPHIC:DENIM LONG PANTS</t>
  </si>
  <si>
    <t>GNAVG150</t>
  </si>
  <si>
    <t>66020100OAV LP WOVEN AVG W/ 3 KANTONG KARGO GNAVG150:BLACK:3-4:GRAPHIC:LONG PANTS</t>
  </si>
  <si>
    <t>66020100OAV LP WOVEN AVG W/ 3 KANTONG KARGO GNAVG150:BLACK:4-5:GRAPHIC:LONG PANTS</t>
  </si>
  <si>
    <t>66040100OAV LP WOVEN AVG W/ 3 KANTONG KARGO GNAVG150:BLACK:5-6:GRAPHIC:LONG PANTS</t>
  </si>
  <si>
    <t>66040100OAV LP WOVEN AVG W/ 3 KANTONG KARGO GNAVG150:BLACK:7-8:GRAPHIC:LONG PANTS</t>
  </si>
  <si>
    <t>66040100OAV LP WOVEN AVG W/ 3 KANTONG KARGO GNAVG150:BLACK:9-10:GRAPHIC:LONG PANTS</t>
  </si>
  <si>
    <t>66060100OAV LP WOVEN AVG W/ 3 KANTONG KARGO GNAVG150:BLACK:11-12:GRAPHIC:LONG PANTS</t>
  </si>
  <si>
    <t>66060100OAV LP WOVEN AVG W/ 3 KANTONG KARGO GNAVG150:BLACK:13-14:GRAPHIC:LONG PANTS</t>
  </si>
  <si>
    <t>66060100OAV LP WOVEN AVG W/ 3 KANTONG KARGO GNAVG150:BLACK:15-16:GRAPHIC:LONG PANTS</t>
  </si>
  <si>
    <t>GNSPD27</t>
  </si>
  <si>
    <t>66020100MCS LP WOVEN SPD FACE KTG CARGO GNSPD27:BLACK:3-4:GRAPHIC:JOGGER</t>
  </si>
  <si>
    <t>66020100MCS LP WOVEN SPD FACE KTG CARGO GNSPD27:BLACK:4-5:GRAPHIC:JOGGER</t>
  </si>
  <si>
    <t>66040100MCS LP WOVEN SPD FACE KTG CARGO GNSPD27:BLACK:5-6:GRAPHIC:JOGGER</t>
  </si>
  <si>
    <t>66040100MCS LP WOVEN SPD FACE KTG CARGO GNSPD27:BLACK:7-8:GRAPHIC:JOGGER</t>
  </si>
  <si>
    <t>66040100MCS LP WOVEN SPD FACE KTG CARGO GNSPD27:BLACK:9-10:GRAPHIC:JOGGER</t>
  </si>
  <si>
    <t>66060100MCS LP WOVEN SPD FACE KTG CARGO GNSPD27:BLACK:11-12:GRAPHIC:JOGGER</t>
  </si>
  <si>
    <t>66060100MCS LP WOVEN SPD FACE KTG CARGO GNSPD27:BLACK:13-14:GRAPHIC:JOGGER</t>
  </si>
  <si>
    <t>66060100MCS LP WOVEN SPD FACE KTG CARGO GNSPD27:BLACK:15-16:GRAPHIC:JOGGER</t>
  </si>
  <si>
    <t>KAVCL25</t>
  </si>
  <si>
    <t>66020100OAV CP DENIM AVG LOGO CAPT AMRIK  KAVCL25:MEDIUM DENIM:3-4:GRAPHIC:DENIM SHORT PANTS</t>
  </si>
  <si>
    <t>66020100OAV CP DENIM AVG LOGO CAPT AMRIK  KAVCL25:MEDIUM DENIM:4-5:GRAPHIC:DENIM SHORT PANTS</t>
  </si>
  <si>
    <t>66020100OAV CP DENIM AVG LOGO CAPT AMRIK  KAVCL25:MEDIUM DENIM:5-6:GRAPHIC:DENIM SHORT PANTS</t>
  </si>
  <si>
    <t>66040100OAV CP DENIM AVG LOGO CAPT AMRIK KAVCL25:MEDIUM DENIM:7-8:GRAPHIC:DENIM SHORT PANTS</t>
  </si>
  <si>
    <t>66040100OAV CP DENIM AVG LOGO CAPT AMRIK KAVCL25:MEDIUM DENIM:9-10:GRAPHIC:DENIM SHORT PANTS</t>
  </si>
  <si>
    <t>66040100OAV CP DENIM AVG LOGO CAPT AMRIK KAVCL25:MEDIUM DENIM:11-12:GRAPHIC:DENIM SHORT PANTS</t>
  </si>
  <si>
    <t>66060100OAV CP DENIM AVG LOGO CAPT AMRIK KAVCL25:MEDIUM DENIM:13-14:GRAPHIC:DENIM SHORT PANTS</t>
  </si>
  <si>
    <t>66060100OAV CP DENIM AVG LOGO CAPT AMRIK KAVCL25:MEDIUM DENIM:15-16:GRAPHIC:DENIM SHORT PANTS</t>
  </si>
  <si>
    <t>KSPDCL26</t>
  </si>
  <si>
    <t>66020100MCS CP DENIM SPD FACE KTG DEPAN  KSPDCL26:MEDIUM DENIM:3-4:GRAPHIC:DENIM SHORT PANTS</t>
  </si>
  <si>
    <t>66020100MCS CP DENIM SPD FACE KTG DEPAN  KSPDCL26:MEDIUM DENIM:4-5:GRAPHIC:DENIM SHORT PANTS</t>
  </si>
  <si>
    <t>66020100MCS CP DENIM SPD FACE KTG DEPAN  KSPDCL26:MEDIUM DENIM:5-6:GRAPHIC:DENIM SHORT PANTS</t>
  </si>
  <si>
    <t>66040100MCS CP DENIM SPD FACE KTG DEPAN KSPDCL26:MEDIUM DENIM:7-8:GRAPHIC:DENIM SHORT PANTS</t>
  </si>
  <si>
    <t>66040100MCS CP DENIM SPD FACE KTG DEPAN KSPDCL26:MEDIUM DENIM:9-10:GRAPHIC:DENIM SHORT PANTS</t>
  </si>
  <si>
    <t>66040100MCS CP DENIM SPD FACE KTG DEPAN KSPDCL26:MEDIUM DENIM:11-12:GRAPHIC:DENIM SHORT PANTS</t>
  </si>
  <si>
    <t>66060100MCS CP DENIM SPD FACE KTG DEPAN KSPDCL26:MEDIUM DENIM:13-14:GRAPHIC:DENIM SHORT PANTS</t>
  </si>
  <si>
    <t>66060100MCS CP DENIM SPD FACE KTG DEPAN KSPDCL26:MEDIUM DENIM:15-16:GRAPHIC:DENIM SHORT PANTS</t>
  </si>
  <si>
    <t>N992</t>
  </si>
  <si>
    <t>66020100MCS CP KNIT SPD FP TIEDYE TOOLKIT N992:WHITE:3-4:GRAPHIC:SHORT PANTS</t>
  </si>
  <si>
    <t>66020100MCS CP KNIT SPD FP TIEDYE TOOLKIT N992:WHITE:4-5:GRAPHIC:SHORT PANTS</t>
  </si>
  <si>
    <t>66040100MCS CP KNIT SPD FP TIEDYE TOOLKIT  N992:WHITE:5-6:GRAPHIC:SHORT PANTS</t>
  </si>
  <si>
    <t>66040100MCS CP KNIT SPD FP TIEDYE TOOLKIT  N992:WHITE:7-8:GRAPHIC:SHORT PANTS</t>
  </si>
  <si>
    <t>66040100MCS CP KNIT SPD FP TIEDYE TOOLKIT  N992:WHITE:9-10:GRAPHIC:SHORT PANTS</t>
  </si>
  <si>
    <t>66060100MCS CP KNIT SPD FP TIEDYE TOOLKIT N992:WHITE:11-12:GRAPHIC:SHORT PANTS</t>
  </si>
  <si>
    <t>66060100MCS CP KNIT SPD FP TIEDYE TOOLKIT N992:WHITE:13-14:GRAPHIC:SHORT PANTS</t>
  </si>
  <si>
    <t>66060100MCS CP KNIT SPD FP TIEDYE TOOLKIT N992:WHITE:15-16:GRAPHIC:SHORT PANTS</t>
  </si>
  <si>
    <t>KSPDCL01</t>
  </si>
  <si>
    <t>66020100MCS CP DENIM SPD FACE SPIDEY JARING:DARK DENIM:3-4:GRAPHIC:DENIM SHORT PANTS</t>
  </si>
  <si>
    <t>66020100MCS CP DENIM SPD FACE SPIDEY JARING:DARK DENIM:4-5:GRAPHIC:DENIM SHORT PANTS</t>
  </si>
  <si>
    <t>66020100MCS CP DENIM SPD FACE SPIDEY JARING:DARK DENIM:5-6:GRAPHIC:DENIM SHORT PANTS</t>
  </si>
  <si>
    <t>66040100MCS CP DENIM SPD FACE SPIDEY JARING:DARK DENIM:7-8:GRAPHIC:DENIM SHORT PANTS</t>
  </si>
  <si>
    <t>66040100MCS CP DENIM SPD FACE SPIDEY JARING:DARK DENIM:9-10:GRAPHIC:DENIM SHORT PANTS</t>
  </si>
  <si>
    <t>66040100MCS CP DENIM SPD FACE SPIDEY JARING:DARK DENIM:11-12:GRAPHIC:DENIM SHORT PANTS</t>
  </si>
  <si>
    <t>66060100MCS CP DENIM SPD FACE SPIDEY JARING:DARK DENIM:13-14:GRAPHIC:DENIM SHORT PANTS</t>
  </si>
  <si>
    <t>66060100MCS CP DENIM SPD FACE SPIDEY JARING:DARK DENIM:15-16:GRAPHIC:DENIM SHORT PANTS</t>
  </si>
  <si>
    <t>N761-DS</t>
  </si>
  <si>
    <t>66060100MCS CP KN SPD FACE BULAT BEYOND AMAZING N761-DS:NAVY BLUE:7-8:GRAPHIC:SHORT PANTS</t>
  </si>
  <si>
    <t>66060100MCS CP KN SPD FACE BULAT BEYOND AMAZING N761-DS:NAVY BLUE:9-10:GRAPHIC:SHORT PANTS</t>
  </si>
  <si>
    <t>66060100MCS CP KN SPD FACE BULAT BEYOND AMAZING N761-DS:NAVY BLUE:11-12:GRAPHIC:SHORT PANTS</t>
  </si>
  <si>
    <t>66060100MCS CP KN SPD FACE BULAT BEYOND AMAZING N761-DS:NAVY BLUE:13-14:GRAPHIC:SHORT PANTS</t>
  </si>
  <si>
    <t>66060100MCS CP KN SPD FACE BULAT BEYOND AMAZING N761-DS:NAVY BLUE:15-16:GRAPHIC:SHORT PANTS</t>
  </si>
  <si>
    <t>KAVCL30A</t>
  </si>
  <si>
    <t>66020100OAV CP DENIM AVG KTG CARGO A KAVCL30A:DARK DENIM:3-4:TEXT:DENIM SHORT PANTS</t>
  </si>
  <si>
    <t>66020100OAV CP DENIM AVG KTG CARGO A KAVCL30A:DARK DENIM:4-5:TEXT:DENIM SHORT PANTS</t>
  </si>
  <si>
    <t>66020100OAV CP DENIM AVG KTG CARGO A KAVCL30A:DARK DENIM:5-6:TEXT:DENIM SHORT PANTS</t>
  </si>
  <si>
    <t>66040100OAV CP DENIM AVG KTG CARGO B KAVCL30B:DARK DENIM:7-8:TEXT:DENIM SHORT PANTS</t>
  </si>
  <si>
    <t>66040100OAV CP DENIM AVG KTG CARGO B KAVCL30B:DARK DENIM:9-10:TEXT:DENIM SHORT PANTS</t>
  </si>
  <si>
    <t>66040100OAV CP DENIM AVG KTG CARGO B KAVCL30B:DARK DENIM:11-12:TEXT:DENIM SHORT PANTS</t>
  </si>
  <si>
    <t>66060100OAV CP DENIM AVG KTG CARGO C KAVCL30C:DARK DENIM:13-14:TEXT:DENIM SHORT PANTS</t>
  </si>
  <si>
    <t>66060100OAV CP DENIM AVG KTG CARGO C KAVCL30C:DARK DENIM:15-16:TEXT:DENIM SHORT PANTS</t>
  </si>
  <si>
    <t>HR405</t>
  </si>
  <si>
    <t>66020100OAV SWEATSHIRT AVG CAPT AMRIK LGN KOMB HR405:CLASSIC RED:3-4:GRAPHIC:SWEATSHIRT</t>
  </si>
  <si>
    <t>66020100OAV SWEATSHIRT AVG CAPT AMRIK LGN KOMB HR405:CLASSIC RED:4-5:GRAPHIC:SWEATSHIRT</t>
  </si>
  <si>
    <t>66020100OAV SWEATSHIRT AVG CAPT AMRIK LGN KOMB HR405:CLASSIC RED:5-6:GRAPHIC:SWEATSHIRT</t>
  </si>
  <si>
    <t>66040100OAV SWEATSHIRT AVG CAPT AMRIK LGN KOMB  HR405:CLASSIC RED:7-8:GRAPHIC:SWEATSHIRT</t>
  </si>
  <si>
    <t>66040100OAV SWEATSHIRT AVG CAPT AMRIK LGN KOMB  HR405:CLASSIC RED:9-10:GRAPHIC:SWEATSHIRT</t>
  </si>
  <si>
    <t>66040100OAV SWEATSHIRT AVG CAPT AMRIK LGN KOMB  HR405:CLASSIC RED:11-12:GRAPHIC:SWEATSHIRT</t>
  </si>
  <si>
    <t>66060100OAV SWEATSHIRT AVG CAPT AMRIK LGN KOMB  HR405:CLASSIC RED:13-14:GRAPHIC:SWEATSHIRT</t>
  </si>
  <si>
    <t>66060100OAV SWEATSHIRT AVG CAPT AMRIK LGN KOMB  HR405:CLASSIC RED:15-16:GRAPHIC:SWEATSHIRT</t>
  </si>
  <si>
    <t>A535</t>
  </si>
  <si>
    <t>66040100OAV SWEATSHIRT AVG GRAFITTI FP SPLASH WORDING A535:NAVY BLUE:5-6:GRAPHIC:SWEATSHIRT</t>
  </si>
  <si>
    <t>66040100OAV SWEATSHIRT AVG GRAFITTI FP SPLASH WORDING A535:NAVY BLUE:7-8:GRAPHIC:SWEATSHIRT</t>
  </si>
  <si>
    <t>66040100OAV SWEATSHIRT AVG GRAFITTI FP SPLASH WORDING A535:NAVY BLUE:9-10:GRAPHIC:SWEATSHIRT</t>
  </si>
  <si>
    <t>66060100OAV SWEATSHIRT AVG GRAFITTI FP SPLASH WORDING  A535:NAVY BLUE:11-12:GRAPHIC:SWEATSHIRT</t>
  </si>
  <si>
    <t>66060100OAV SWEATSHIRT AVG GRAFITTI FP SPLASH WORDING  A535:NAVY BLUE:13-14:GRAPHIC:SWEATSHIRT</t>
  </si>
  <si>
    <t>66060100OAV SWEATSHIRT AVG GRAFITTI FP SPLASH WORDING  A535:NAVY BLUE:15-16:GRAPHIC:SWEATSHIRT</t>
  </si>
  <si>
    <t>N805</t>
  </si>
  <si>
    <t>66020100MCS SWEATSHIRT SPD FP TOOLKIT  N805:MISTY DARK GREY:3-4:GRAPHIC:SWEATSHIRT</t>
  </si>
  <si>
    <t>66020100MCS SWEATSHIRT SPD FP TOOLKIT  N805:MISTY DARK GREY:4-5:GRAPHIC:SWEATSHIRT</t>
  </si>
  <si>
    <t>66020100MCS SWEATSHIRT SPD FP TOOLKIT  N805:MISTY DARK GREY:5-6:GRAPHIC:SWEATSHIRT</t>
  </si>
  <si>
    <t>66040100MCS SWEATSHIRT SPD FP TOOLKIT N805:MISTY DARK GREY:7-8:GRAPHIC:SWEATSHIRT</t>
  </si>
  <si>
    <t>66040100MCS SWEATSHIRT SPD FP TOOLKIT N805:MISTY DARK GREY:9-10:GRAPHIC:SWEATSHIRT</t>
  </si>
  <si>
    <t>66040100MCS SWEATSHIRT SPD FP TOOLKIT N805:MISTY DARK GREY:11-12:GRAPHIC:SWEATSHIRT</t>
  </si>
  <si>
    <t>66060100MCS SWEATSHIRT SPD FP TOOLKIT N805:MISTY DARK GREY:13-14:GRAPHIC:SWEATSHIRT</t>
  </si>
  <si>
    <t>66060100MCS SWEATSHIRT SPD FP TOOLKIT N805:MISTY DARK GREY:15-16:GRAPHIC:SWEATSHIRT</t>
  </si>
  <si>
    <t>N753-DS</t>
  </si>
  <si>
    <t>66060100MCS SWEATSHIRT SPD FACE BULAT BEYOND AMAZING N753-DS:NAVY BLUE:7-8:GRAPHIC:SWEATSHIRT</t>
  </si>
  <si>
    <t>66060100MCS SWEATSHIRT SPD FACE BULAT BEYOND AMAZING N753-DS:NAVY BLUE:9-10:GRAPHIC:SWEATSHIRT</t>
  </si>
  <si>
    <t>66060100MCS SWEATSHIRT SPD FACE BULAT BEYOND AMAZING N753-DS:NAVY BLUE:11-12:GRAPHIC:SWEATSHIRT</t>
  </si>
  <si>
    <t>66060100MCS SWEATSHIRT SPD FACE BULAT BEYOND AMAZING N753-DS:NAVY BLUE:13-14:GRAPHIC:SWEATSHIRT</t>
  </si>
  <si>
    <t>66060100MCS SWEATSHIRT SPD FACE BULAT BEYOND AMAZING N753-DS:NAVY BLUE:15-16:GRAPHIC:SWEATSHIRT</t>
  </si>
  <si>
    <t>GNSPD22</t>
  </si>
  <si>
    <t>66020100MCS SWEATER SPD WEBBED WODER LGN KTG ZIPPER GNSPD22:NAVY BLUE:3-4:GRAPHIC:SWEATSHIRT</t>
  </si>
  <si>
    <t>66020100MCS SWEATER SPD WEBBED WODER LGN KTG ZIPPER GNSPD22:NAVY BLUE:4-5:GRAPHIC:SWEATSHIRT</t>
  </si>
  <si>
    <t>66020100MCS SWEATER SPD WEBBED WODER LGN KTG ZIPPER GNSPD22:NAVY BLUE:5-6:GRAPHIC:SWEATSHIRT</t>
  </si>
  <si>
    <t>66040100MCS SWEATER SPD WEBBED WODER LGN KTG ZIPPER  GNSPD22:NAVY BLUE:7-8:GRAPHIC:SWEATSHIRT</t>
  </si>
  <si>
    <t>66040100MCS SWEATER SPD WEBBED WODER LGN KTG ZIPPER  GNSPD22:NAVY BLUE:9-10:GRAPHIC:SWEATSHIRT</t>
  </si>
  <si>
    <t>66040100MCS SWEATER SPD WEBBED WODER LGN KTG ZIPPER  GNSPD22:NAVY BLUE:11-12:GRAPHIC:SWEATSHIRT</t>
  </si>
  <si>
    <t>66060100MCS SWEATER SPD WEBBED WODER LGN KTG ZIPPER  GNSPD22:NAVY BLUE:13-14:GRAPHIC:SWEATSHIRT</t>
  </si>
  <si>
    <t>66060100MCS SWEATER SPD WEBBED WODER LGN KTG ZIPPER  GNSPD22:NAVY BLUE:15-16:GRAPHIC:SWEATSHIRT</t>
  </si>
  <si>
    <t>HR235</t>
  </si>
  <si>
    <t>66020100MCS SWEATSHIRT SPD FACE CUTSEWN FP SPLASH A HR235:BLACK:3-4:GRAPHIC:SWEATSHIRT</t>
  </si>
  <si>
    <t>66020100MCS SWEATSHIRT SPD FACE CUTSEWN FP SPLASH A HR235:BLACK:4-5:GRAPHIC:SWEATSHIRT</t>
  </si>
  <si>
    <t>66020100MCS SWEATSHIRT SPD FACE CUTSEWN FP SPLASH A HR235:BLACK:5-6:GRAPHIC:SWEATSHIRT</t>
  </si>
  <si>
    <t>66040100MCS SWEATSHIRT SPD FACE CUTSEWN FP SPLASH B HR235:BLACK:7-8:GRAPHIC:SWEATSHIRT</t>
  </si>
  <si>
    <t>66040100MCS SWEATSHIRT SPD FACE CUTSEWN FP SPLASH B HR235:BLACK:9-10:GRAPHIC:SWEATSHIRT</t>
  </si>
  <si>
    <t>66040100MCS SWEATSHIRT SPD FACE CUTSEWN FP SPLASH B HR235:BLACK:11-12:GRAPHIC:SWEATSHIRT</t>
  </si>
  <si>
    <t>66060100MCS SWEATSHIRT SPD FACE CUTSEWN FP SPLASH C HR235:BLACK:13-14:GRAPHIC:SWEATSHIRT</t>
  </si>
  <si>
    <t>66060100MCS SWEATSHIRT SPD FACE CUTSEWN FP SPLASH C HR235:BLACK:15-16:GRAPHIC:SWEATSHIRT</t>
  </si>
  <si>
    <t>KSPDCL16</t>
  </si>
  <si>
    <t>66020100MCS JAKET BOMBER SPD FACE WAFFLE KSPDCL16:NAVY BLUE:3-4:GRAPHIC:JACKET</t>
  </si>
  <si>
    <t>66020100MCS JAKET BOMBER SPD FACE WAFFLE KSPDCL16:NAVY BLUE:4-5:GRAPHIC:JACKET</t>
  </si>
  <si>
    <t>66020100MCS JAKET BOMBER SPD FACE WAFFLE KSPDCL16:NAVY BLUE:5-6:GRAPHIC:JACKET</t>
  </si>
  <si>
    <t>66040100MCS JAKET BOMBER SPD FACE WAFFLE  KSPDCL16:NAVY BLUE:7-8:GRAPHIC:JACKET</t>
  </si>
  <si>
    <t>66040100MCS JAKET BOMBER SPD FACE WAFFLE  KSPDCL16:NAVY BLUE:9-10:GRAPHIC:JACKET</t>
  </si>
  <si>
    <t>66040100MCS JAKET BOMBER SPD FACE WAFFLE  KSPDCL16:NAVY BLUE:11-12:GRAPHIC:JACKET</t>
  </si>
  <si>
    <t>66060100MCS JAKET BOMBER SPD FACE WAFFLE KSPDCL16:NAVY BLUE:13-14:GRAPHIC:JACKET</t>
  </si>
  <si>
    <t>66060100MCS JAKET BOMBER SPD FACE WAFFLE KSPDCL16:NAVY BLUE:15-16:GRAPHIC:JACKET</t>
  </si>
  <si>
    <t>GNAVG440</t>
  </si>
  <si>
    <t>66020100OAV JAKET AVG CUTSEWN  GNAVG440:CLASSIC YELLOW:3-4:TEXT:JACKET</t>
  </si>
  <si>
    <t>66020100OAV JAKET AVG CUTSEWN  GNAVG440:CLASSIC YELLOW:4-5:TEXT:JACKET</t>
  </si>
  <si>
    <t>66020100OAV JAKET AVG CUTSEWN  GNAVG440:CLASSIC YELLOW:5-6:TEXT:JACKET</t>
  </si>
  <si>
    <t>66040100OAV JAKET AVG CUTSEWN  GNAVG440:CLASSIC YELLOW:7-8:TEXT:JACKET</t>
  </si>
  <si>
    <t>66040100OAV JAKET AVG CUTSEWN  GNAVG440:CLASSIC YELLOW:9-10:TEXT:JACKET</t>
  </si>
  <si>
    <t>66040100OAV JAKET AVG CUTSEWN  GNAVG440:CLASSIC YELLOW:11-12:TEXT:JACKET</t>
  </si>
  <si>
    <t>66060100OAV JAKET AVG CUTSEWN GNAVG440:CLASSIC YELLOW:13-14:TEXT:JACKET</t>
  </si>
  <si>
    <t>66060100OAV JAKET AVG CUTSEWN GNAVG440:CLASSIC YELLOW:15-16:TEXT:JACKET</t>
  </si>
  <si>
    <t>N691</t>
  </si>
  <si>
    <t>66020100MCS JAKET SPD TO THE RESCUE CUTSEWN LGN  N691:CLASSIC RED:3-4:GRAPHIC:JACKET</t>
  </si>
  <si>
    <t>66020100MCS JAKET SPD TO THE RESCUE CUTSEWN LGN  N691:CLASSIC RED:4-5:GRAPHIC:JACKET</t>
  </si>
  <si>
    <t>66020100MCS JAKET SPD TO THE RESCUE CUTSEWN LGN  N691:CLASSIC RED:5-6:GRAPHIC:JACKET</t>
  </si>
  <si>
    <t>66040100MCS JAKET SPD TO THE RESCUE CUTSEWN LGN  N691:CLASSIC RED:7-8:GRAPHIC:JACKET</t>
  </si>
  <si>
    <t>66040100MCS JAKET SPD TO THE RESCUE CUTSEWN LGN  N691:CLASSIC RED:9-10:GRAPHIC:JACKET</t>
  </si>
  <si>
    <t>66040100MCS JAKET SPD TO THE RESCUE CUTSEWN LGN  N691:CLASSIC RED:11-12:GRAPHIC:JACKET</t>
  </si>
  <si>
    <t>66060100MCS JAKET SPD TO THE RESCUE CUTSEWN LGN  N691:CLASSIC RED:13-14:GRAPHIC:JACKET</t>
  </si>
  <si>
    <t>66060100MCS JAKET SPD TO THE RESCUE CUTSEWN LGN  N691:CLASSIC RED:15-16:GRAPHIC:JACKET</t>
  </si>
  <si>
    <t>HN21</t>
  </si>
  <si>
    <t>66040100SWS JAKET STARWARS TROOPER CUTSEWN HALF HN21:MISTY MEDIUM GREY:5-6:GRAPHIC:JACKET</t>
  </si>
  <si>
    <t>66040100SWS JAKET STARWARS TROOPER CUTSEWN HALF HN21:MISTY MEDIUM GREY:7-8:GRAPHIC:JACKET</t>
  </si>
  <si>
    <t>66040100SWS JAKET STARWARS TROOPER CUTSEWN HALF HN21:MISTY MEDIUM GREY:9-10:GRAPHIC:JACKET</t>
  </si>
  <si>
    <t>66060100SWS JAKET STARWARS TROOPER CUTSEWN HALF HN21:MISTY MEDIUM GREY:11-12:GRAPHIC:JACKET</t>
  </si>
  <si>
    <t>66060100SWS JAKET STARWARS TROOPER CUTSEWN HALF HN21:MISTY MEDIUM GREY:13-14:GRAPHIC:JACKET</t>
  </si>
  <si>
    <t>66060100SWS JAKET STARWARS TROOPER CUTSEWN HALF HN21:MISTY MEDIUM GREY:15-16:GRAPHIC:JACKET</t>
  </si>
  <si>
    <t>TPSTR080</t>
  </si>
  <si>
    <t>68040202SWS TOPI STARWARS LEATHER TPSTR080:BLACK:F:TEXT:CAPS</t>
  </si>
  <si>
    <t>KSWCL02</t>
  </si>
  <si>
    <t>66040100SWS CP WVN STARWARS FP SPLASH FOIL KSWCL02:BLACK:5-6:TEXT:SHORT PANTS</t>
  </si>
  <si>
    <t>66040100SWS CP WVN STARWARS FP SPLASH FOIL KSWCL02:BLACK:7-8:TEXT:SHORT PANTS</t>
  </si>
  <si>
    <t>66040100SWS CP WVN STARWARS FP SPLASH FOIL KSWCL02:BLACK:9-10:TEXT:SHORT PANTS</t>
  </si>
  <si>
    <t>66060100SWS CP WVN STARWARS FP SPLASH FOIL KSWCL02:BLACK:11-12:TEXT:SHORT PANTS</t>
  </si>
  <si>
    <t>66060100SWS CP WVN STARWARS FP SPLASH FOIL KSWCL02:BLACK:13-14:TEXT:SHORT PANTS</t>
  </si>
  <si>
    <t>66060100SWS CP WVN STARWARS FP SPLASH FOIL KSWCL02:BLACK:15-16:TEXT:SHORT PANTS</t>
  </si>
  <si>
    <t>N873</t>
  </si>
  <si>
    <t>66040100SWS LP KNIT STARWARS VADER CUTSEWN SAMPING N873:MISTY MEDIUM GREY:5-6:GRAPHIC:JOGGER</t>
  </si>
  <si>
    <t>66040100SWS LP KNIT STARWARS VADER CUTSEWN SAMPING N873:MISTY MEDIUM GREY:7-8:GRAPHIC:JOGGER</t>
  </si>
  <si>
    <t>66040100SWS LP KNIT STARWARS VADER CUTSEWN SAMPING N873:MISTY MEDIUM GREY:9-10:GRAPHIC:JOGGER</t>
  </si>
  <si>
    <t>66060100SWS LP KNIT STARWARS VADER CUTSEWN SAMPING  N873:MISTY MEDIUM GREY:11-12:GRAPHIC:JOGGER</t>
  </si>
  <si>
    <t>66060100SWS LP KNIT STARWARS VADER CUTSEWN SAMPING  N873:MISTY MEDIUM GREY:13-14:GRAPHIC:JOGGER</t>
  </si>
  <si>
    <t>66060100SWS LP KNIT STARWARS VADER CUTSEWN SAMPING  N873:MISTY MEDIUM GREY:15-16:GRAPHIC:JOGGER</t>
  </si>
  <si>
    <t>KKRT06</t>
  </si>
  <si>
    <t>66040100SWS KMJ SS KOKO STARWARS TROOPER KKRT06:WHITE:5-6:GRAPHIC:SS SHIRT</t>
  </si>
  <si>
    <t>66040100SWS KMJ SS KOKO STARWARS TROOPER KKRT06:WHITE:7-8:GRAPHIC:SS SHIRT</t>
  </si>
  <si>
    <t>66040100SWS KMJ SS KOKO STARWARS TROOPER KKRT06:WHITE:9-10:GRAPHIC:SS SHIRT</t>
  </si>
  <si>
    <t>66060100SWS KMJ SS KOKO STARWARS TROOPER KKRT06:WHITE:11-12:GRAPHIC:SS SHIRT</t>
  </si>
  <si>
    <t>66060100SWS KMJ SS KOKO STARWARS TROOPER KKRT06:WHITE:13-14:GRAPHIC:SS SHIRT</t>
  </si>
  <si>
    <t>66060100SWS KMJ SS KOKO STARWARS TROOPER KKRT06:WHITE:15-16:GRAPHIC:SS SHIRT</t>
  </si>
  <si>
    <t>N880</t>
  </si>
  <si>
    <t>66040100SWS TS STARWARS HUMAN CHARACTER N880:MISTY MEDIUM GREY:5-6:GRAPHIC:SS T-SHIRT</t>
  </si>
  <si>
    <t>66040100SWS TS STARWARS HUMAN CHARACTER N880:MISTY MEDIUM GREY:7-8:GRAPHIC:SS T-SHIRT</t>
  </si>
  <si>
    <t>66040100SWS TS STARWARS HUMAN CHARACTER N880:MISTY MEDIUM GREY:9-10:GRAPHIC:SS T-SHIRT</t>
  </si>
  <si>
    <t>66060100SWS TS STARWARS HUMAN CHARACTER N880:MISTY MEDIUM GREY:11-12:GRAPHIC:SS T-SHIRT</t>
  </si>
  <si>
    <t>66060100SWS TS STARWARS HUMAN CHARACTER N880:MISTY MEDIUM GREY:13-14:GRAPHIC:SS T-SHIRT</t>
  </si>
  <si>
    <t>66060100SWS TS STARWARS HUMAN CHARACTER N880:MISTY MEDIUM GREY:15-16:GRAPHIC:SS T-SHIRT</t>
  </si>
  <si>
    <t>N558</t>
  </si>
  <si>
    <t>66020100SWS TS STARWARS CHARACTER ANIME N558:WHITE:3-4:GRAPHIC:SS T-SHIRT</t>
  </si>
  <si>
    <t>66020100SWS TS STARWARS CHARACTER ANIME N558:WHITE:4-5:GRAPHIC:SS T-SHIRT</t>
  </si>
  <si>
    <t>66020100SWS TS STARWARS CHARACTER ANIME N558:WHITE:5-6:GRAPHIC:SS T-SHIRT</t>
  </si>
  <si>
    <t>66040100SWS TS STARWARS CHARACTER ANIME N558:WHITE:7-8:GRAPHIC:SS T-SHIRT</t>
  </si>
  <si>
    <t>66040100SWS TS STARWARS CHARACTER ANIME N558:WHITE:9-10:GRAPHIC:SS T-SHIRT</t>
  </si>
  <si>
    <t>66040100SWS TS STARWARS CHARACTER ANIME N558:WHITE:11-12:GRAPHIC:SS T-SHIRT</t>
  </si>
  <si>
    <t>66060100SWS TS STARWARS CHARACTER ANIME N558:WHITE:13-14:GRAPHIC:SS T-SHIRT</t>
  </si>
  <si>
    <t>66060100SWS TS STARWARS CHARACTER ANIME N558:WHITE:15-16:GRAPHIC:SS T-SHIRT</t>
  </si>
  <si>
    <t>GNSW12</t>
  </si>
  <si>
    <t>66020100SWS TS STARWARS FP SPLASH STACKING GNSW12:BLACK:3-4:TEXT:SS T-SHIRT</t>
  </si>
  <si>
    <t>66020100SWS TS STARWARS FP SPLASH STACKING GNSW12:BLACK:4-5:TEXT:SS T-SHIRT</t>
  </si>
  <si>
    <t>66020100SWS TS STARWARS FP SPLASH STACKING GNSW12:BLACK:5-6:TEXT:SS T-SHIRT</t>
  </si>
  <si>
    <t>66040100SWS TS STARWARS FP SPLASH STACKING GNSW12:BLACK:7-8:TEXT:SS T-SHIRT</t>
  </si>
  <si>
    <t>66040100SWS TS STARWARS FP SPLASH STACKING GNSW12:BLACK:9-10:TEXT:SS T-SHIRT</t>
  </si>
  <si>
    <t>66040100SWS TS STARWARS FP SPLASH STACKING GNSW12:BLACK:11-12:TEXT:SS T-SHIRT</t>
  </si>
  <si>
    <t>66060100SWS TS STARWARS FP SPLASH STACKING GNSW12:BLACK:13-14:TEXT:SS T-SHIRT</t>
  </si>
  <si>
    <t>66060100SWS TS STARWARS FP SPLASH STACKING GNSW12:BLACK:15-16:TEXT:SS T-SHIRT</t>
  </si>
  <si>
    <t>HN17</t>
  </si>
  <si>
    <t>66040100SWS TS STARWARS CUTSEWN DISTURBANCE SPLASH HN17:BLACK:5-6:TEXT:SS T-SHIRT</t>
  </si>
  <si>
    <t>66040100SWS TS STARWARS CUTSEWN DISTURBANCE SPLASH HN17:BLACK:7-8:TEXT:SS T-SHIRT</t>
  </si>
  <si>
    <t>66040100SWS TS STARWARS CUTSEWN DISTURBANCE SPLASH HN17:BLACK:9-10:TEXT:SS T-SHIRT</t>
  </si>
  <si>
    <t>66060100SWS TS STARWARS CUTSEWN DISTURBANCE SPLASH HN17:BLACK:11-12:TEXT:SS T-SHIRT</t>
  </si>
  <si>
    <t>66060100SWS TS STARWARS CUTSEWN DISTURBANCE SPLASH HN17:BLACK:13-14:TEXT:SS T-SHIRT</t>
  </si>
  <si>
    <t>66060100SWS TS STARWARS CUTSEWN DISTURBANCE SPLASH HN17:BLACK:15-16:TEXT:SS T-SHIRT</t>
  </si>
  <si>
    <t>A135</t>
  </si>
  <si>
    <t>66020100SWS TS STARWARS CUTSEWN A A135:BLACK:3-4:GRAPHIC:SS T-SHIRT</t>
  </si>
  <si>
    <t>66020100SWS TS STARWARS CUTSEWN A A135:BLACK:4-5:GRAPHIC:SS T-SHIRT</t>
  </si>
  <si>
    <t>66020100SWS TS STARWARS CUTSEWN A A135:BLACK:5-6:GRAPHIC:SS T-SHIRT</t>
  </si>
  <si>
    <t>66040100SWS TS STARWARS CUTSEWN B A135:BLACK:7-8:GRAPHIC:SS T-SHIRT</t>
  </si>
  <si>
    <t>66040100SWS TS STARWARS CUTSEWN B A135:BLACK:9-10:GRAPHIC:SS T-SHIRT</t>
  </si>
  <si>
    <t>66040100SWS TS STARWARS CUTSEWN B A135:BLACK:11-12:GRAPHIC:SS T-SHIRT</t>
  </si>
  <si>
    <t>66060100SWS TS STARWARS CUTSEWN C A135:BLACK:13-14:GRAPHIC:SS T-SHIRT</t>
  </si>
  <si>
    <t>66060100SWS TS STARWARS CUTSEWN C A135:BLACK:15-16:GRAPHIC:SS T-SHIRT</t>
  </si>
  <si>
    <t>A850</t>
  </si>
  <si>
    <t>66020100MCS TS SPD AMAZING CUTSEWN STRIPE DIAGONAL A850:NAVY BLUE:3-4:TEXT:SS T-SHIRT</t>
  </si>
  <si>
    <t>66020100MCS TS SPD AMAZING CUTSEWN STRIPE DIAGONAL A850:NAVY BLUE:4-5:TEXT:SS T-SHIRT</t>
  </si>
  <si>
    <t>66020100MCS TS SPD AMAZING CUTSEWN STRIPE DIAGONAL A850:NAVY BLUE:5-6:TEXT:SS T-SHIRT</t>
  </si>
  <si>
    <t>66040100MCS TS SPD AMAZING CUTSEWN STRIPE DIAGONAL A850:NAVY BLUE:7-8:TEXT:SS T-SHIRT</t>
  </si>
  <si>
    <t>66040100MCS TS SPD AMAZING CUTSEWN STRIPE DIAGONAL A850:NAVY BLUE:9-10:TEXT:SS T-SHIRT</t>
  </si>
  <si>
    <t>66040100MCS TS SPD AMAZING CUTSEWN STRIPE DIAGONAL A850:NAVY BLUE:11-12:TEXT:SS T-SHIRT</t>
  </si>
  <si>
    <t>66060100MCS TS SPD AMAZING CUTSEWN STRIPE DIAGONAL A850:NAVY BLUE:13-14:TEXT:SS T-SHIRT</t>
  </si>
  <si>
    <t>66060100MCS TS SPD AMAZING CUTSEWN STRIPE DIAGONAL A850:NAVY BLUE:15-16:TEXT:SS T-SHIRT</t>
  </si>
  <si>
    <t>HR377</t>
  </si>
  <si>
    <t>66020100MCS TS SPD AMAZING CUTSEWN FACE HR377:NAVY BLUE:3-4:TEXT:SS T-SHIRT</t>
  </si>
  <si>
    <t>66020100MCS TS SPD AMAZING CUTSEWN FACE HR377:NAVY BLUE:4-5:TEXT:SS T-SHIRT</t>
  </si>
  <si>
    <t>66020100MCS TS SPD AMAZING CUTSEWN FACE HR377:NAVY BLUE:5-6:TEXT:SS T-SHIRT</t>
  </si>
  <si>
    <t>66040100MCS TS SPD AMAZING CUTSEWN FACE HR377:NAVY BLUE:7-8:TEXT:SS T-SHIRT</t>
  </si>
  <si>
    <t>66040100MCS TS SPD AMAZING CUTSEWN FACE HR377:NAVY BLUE:9-10:TEXT:SS T-SHIRT</t>
  </si>
  <si>
    <t>66040100MCS TS SPD AMAZING CUTSEWN FACE HR377:NAVY BLUE:11-12:TEXT:SS T-SHIRT</t>
  </si>
  <si>
    <t>66060100MCS TS SPD AMAZING CUTSEWN FACE HR377:NAVY BLUE:13-14:TEXT:SS T-SHIRT</t>
  </si>
  <si>
    <t>66060100MCS TS SPD AMAZING CUTSEWN FACE HR377:NAVY BLUE:15-16:TEXT:SS T-SHIRT</t>
  </si>
  <si>
    <t>KMRVL38</t>
  </si>
  <si>
    <t>66020100OAV TS MARVEL LOGO TIEDYE A KMRVL38:BLACK:3-4:GRAPHIC:SS T-SHIRT</t>
  </si>
  <si>
    <t>66020100OAV TS MARVEL LOGO TIEDYE A KMRVL38:BLACK:4-5:GRAPHIC:SS T-SHIRT</t>
  </si>
  <si>
    <t>66020100OAV TS MARVEL LOGO TIEDYE A KMRVL38:BLACK:5-6:GRAPHIC:SS T-SHIRT</t>
  </si>
  <si>
    <t>66040100OAV TS MARVEL LOGO TIEDYE B KMRVL38:BLACK:7-8:GRAPHIC:SS T-SHIRT</t>
  </si>
  <si>
    <t>66040100OAV TS MARVEL LOGO TIEDYE B KMRVL38:BLACK:9-10:GRAPHIC:SS T-SHIRT</t>
  </si>
  <si>
    <t>66040100OAV TS MARVEL LOGO TIEDYE B KMRVL38:BLACK:11-12:GRAPHIC:SS T-SHIRT</t>
  </si>
  <si>
    <t>66060100OAV TS MARVEL LOGO TIEDYE C KMRVL38:BLACK:13-14:GRAPHIC:SS T-SHIRT</t>
  </si>
  <si>
    <t>66060100OAV TS MARVEL LOGO TIEDYE C KMRVL38:BLACK:15-16:GRAPHIC:SS T-SHIRT</t>
  </si>
  <si>
    <t>A688</t>
  </si>
  <si>
    <t>66020100OAV TS AVG TEAM ASSEMBLE SPLASH A688:CLASSIC RED:3-4:GRAPHIC:SS T-SHIRT</t>
  </si>
  <si>
    <t>66020100OAV TS AVG TEAM ASSEMBLE SPLASH A688:CLASSIC RED:4-5:GRAPHIC:SS T-SHIRT</t>
  </si>
  <si>
    <t>66020100OAV TS AVG TEAM ASSEMBLE SPLASH A688:CLASSIC RED:5-6:GRAPHIC:SS T-SHIRT</t>
  </si>
  <si>
    <t>66040100OAV TS AVG TEAM ASSEMBLE SPLASH A688:CLASSIC RED:7-8:GRAPHIC:SS T-SHIRT</t>
  </si>
  <si>
    <t>66040100OAV TS AVG TEAM ASSEMBLE SPLASH A688:CLASSIC RED:9-10:GRAPHIC:SS T-SHIRT</t>
  </si>
  <si>
    <t>66040100OAV TS AVG TEAM ASSEMBLE SPLASH A688:CLASSIC RED:11-12:GRAPHIC:SS T-SHIRT</t>
  </si>
  <si>
    <t>66060100OAV TS AVG TEAM ASSEMBLE SPLASH A688:CLASSIC RED:13-14:GRAPHIC:SS T-SHIRT</t>
  </si>
  <si>
    <t>66060100OAV TS AVG TEAM ASSEMBLE SPLASH A688:CLASSIC RED:15-16:GRAPHIC:SS T-SHIRT</t>
  </si>
  <si>
    <t>GNAVG54</t>
  </si>
  <si>
    <t>66020100OAV TS AVG FIND YOUR POWER GNAVG54:CLASSIC RED:3-4:GRAPHIC:SS T-SHIRT</t>
  </si>
  <si>
    <t>66020100OAV TS AVG FIND YOUR POWER GNAVG54:CLASSIC RED:4-5:GRAPHIC:SS T-SHIRT</t>
  </si>
  <si>
    <t>66020100OAV TS AVG FIND YOUR POWER GNAVG54:CLASSIC RED:5-6:GRAPHIC:SS T-SHIRT</t>
  </si>
  <si>
    <t>66040100OAV TS AVG FIND YOUR POWER GNAVG54:CLASSIC RED:7-8:GRAPHIC:SS T-SHIRT</t>
  </si>
  <si>
    <t>66040100OAV TS AVG FIND YOUR POWER GNAVG54:CLASSIC RED:9-10:GRAPHIC:SS T-SHIRT</t>
  </si>
  <si>
    <t>66040100OAV TS AVG FIND YOUR POWER GNAVG54:CLASSIC RED:11-12:GRAPHIC:SS T-SHIRT</t>
  </si>
  <si>
    <t>66060100OAV TS AVG FIND YOUR POWER GNAVG54:CLASSIC RED:13-14:GRAPHIC:SS T-SHIRT</t>
  </si>
  <si>
    <t>66060100OAV TS AVG FIND YOUR POWER GNAVG54:CLASSIC RED:15-16:GRAPHIC:SS T-SHIRT</t>
  </si>
  <si>
    <t>A870</t>
  </si>
  <si>
    <t>66020100MCS TS SPD AMAZING FACE CUT SEWN A870:CLASSIC RED:3-4:TEXT:SS T-SHIRT</t>
  </si>
  <si>
    <t>66020100MCS TS SPD AMAZING FACE CUT SEWN A870:CLASSIC RED:4-5:TEXT:SS T-SHIRT</t>
  </si>
  <si>
    <t>66020100MCS TS SPD AMAZING FACE CUT SEWN A870:CLASSIC RED:5-6:TEXT:SS T-SHIRT</t>
  </si>
  <si>
    <t>66040100MCS TS SPD AMAZING FACE CUT SEWN A870:CLASSIC RED:7-8:TEXT:SS T-SHIRT</t>
  </si>
  <si>
    <t>66040100MCS TS SPD AMAZING FACE CUT SEWN A870:CLASSIC RED:9-10:TEXT:SS T-SHIRT</t>
  </si>
  <si>
    <t>66040100MCS TS SPD AMAZING FACE CUT SEWN A870:CLASSIC RED:11-12:TEXT:SS T-SHIRT</t>
  </si>
  <si>
    <t>66060100MCS TS SPD AMAZING FACE CUT SEWN A870:CLASSIC RED:13-14:TEXT:SS T-SHIRT</t>
  </si>
  <si>
    <t>66060100MCS TS SPD AMAZING FACE CUT SEWN A870:CLASSIC RED:15-16:TEXT:SS T-SHIRT</t>
  </si>
  <si>
    <t>A465</t>
  </si>
  <si>
    <t>66020100OAV TS AVG HOLO IRONMAN A465:CLASSIC RED:3-4:TEXT:SS T-SHIRT</t>
  </si>
  <si>
    <t>66020100OAV TS AVG HOLO IRONMAN A465:CLASSIC RED:4-5:TEXT:SS T-SHIRT</t>
  </si>
  <si>
    <t>66020100OAV TS AVG HOLO IRONMAN A465:CLASSIC RED:5-6:TEXT:SS T-SHIRT</t>
  </si>
  <si>
    <t>66040100OAV TS AVG HOLO IRONMAN A465:CLASSIC RED:7-8:TEXT:SS T-SHIRT</t>
  </si>
  <si>
    <t>66040100OAV TS AVG HOLO IRONMAN A465:CLASSIC RED:9-10:TEXT:SS T-SHIRT</t>
  </si>
  <si>
    <t>66040100OAV TS AVG HOLO IRONMAN A465:CLASSIC RED:11-12:TEXT:SS T-SHIRT</t>
  </si>
  <si>
    <t>66060100OAV TS AVG HOLO IRONMAN A465:CLASSIC RED:13-14:TEXT:SS T-SHIRT</t>
  </si>
  <si>
    <t>66060100OAV TS AVG HOLO IRONMAN A465:CLASSIC RED:15-16:TEXT:SS T-SHIRT</t>
  </si>
  <si>
    <t>HR202</t>
  </si>
  <si>
    <t>66020100OAV TS AVG CAPT AMRIK SHIELD OMBRE CRACKING HR202:NAVY BLUE:3-4:GRAPHIC:SS T-SHIRT</t>
  </si>
  <si>
    <t>66020100OAV TS AVG CAPT AMRIK SHIELD OMBRE CRACKING HR202:NAVY BLUE:4-5:GRAPHIC:SS T-SHIRT</t>
  </si>
  <si>
    <t>66020100OAV TS AVG CAPT AMRIK SHIELD OMBRE CRACKING HR202:NAVY BLUE:5-6:GRAPHIC:SS T-SHIRT</t>
  </si>
  <si>
    <t>66040100OAV TS AVG CAPT AMRIK SHIELD OMBRE CRACKING HR202:NAVY BLUE:7-8:GRAPHIC:SS T-SHIRT</t>
  </si>
  <si>
    <t>66040100OAV TS AVG CAPT AMRIK SHIELD OMBRE CRACKING HR202:NAVY BLUE:9-10:GRAPHIC:SS T-SHIRT</t>
  </si>
  <si>
    <t>66040100OAV TS AVG CAPT AMRIK SHIELD OMBRE CRACKING HR202:NAVY BLUE:11-12:GRAPHIC:SS T-SHIRT</t>
  </si>
  <si>
    <t>66060100OAV TS AVG CAPT AMRIK SHIELD OMBRE CRACKING HR202:NAVY BLUE:13-14:GRAPHIC:SS T-SHIRT</t>
  </si>
  <si>
    <t>66060100OAV TS AVG CAPT AMRIK SHIELD OMBRE CRACKING HR202:NAVY BLUE:15-16:GRAPHIC:SS T-SHIRT</t>
  </si>
  <si>
    <t>HR207</t>
  </si>
  <si>
    <t>66020100OAV TS AVG CAPT AMRIK STAND FP TIEDYE HR207:NAVY BLUE:3-4:GRAPHIC:SS T-SHIRT</t>
  </si>
  <si>
    <t>66020100OAV TS AVG CAPT AMRIK STAND FP TIEDYE HR207:NAVY BLUE:4-5:GRAPHIC:SS T-SHIRT</t>
  </si>
  <si>
    <t>66020100OAV TS AVG CAPT AMRIK STAND FP TIEDYE HR207:NAVY BLUE:5-6:GRAPHIC:SS T-SHIRT</t>
  </si>
  <si>
    <t>66040100OAV TS AVG CAPT AMRIK STAND FP TIEDYE HR207:NAVY BLUE:7-8:GRAPHIC:SS T-SHIRT</t>
  </si>
  <si>
    <t>66040100OAV TS AVG CAPT AMRIK STAND FP TIEDYE HR207:NAVY BLUE:9-10:GRAPHIC:SS T-SHIRT</t>
  </si>
  <si>
    <t>66040100OAV TS AVG CAPT AMRIK STAND FP TIEDYE HR207:NAVY BLUE:11-12:GRAPHIC:SS T-SHIRT</t>
  </si>
  <si>
    <t>66060100OAV TS AVG CAPT AMRIK STAND FP TIEDYE HR207:NAVY BLUE:13-14:GRAPHIC:SS T-SHIRT</t>
  </si>
  <si>
    <t>66060100OAV TS AVG CAPT AMRIK STAND FP TIEDYE HR207:NAVY BLUE:15-16:GRAPHIC:SS T-SHIRT</t>
  </si>
  <si>
    <t>HD406</t>
  </si>
  <si>
    <t>66020100MCS TS HOODIE SPD WEB HEAD KOMB LGN GARIS HD406:NAVY BLUE:3-4:GRAPHIC:SS T-SHIRT</t>
  </si>
  <si>
    <t>66020100MCS TS HOODIE SPD WEB HEAD KOMB LGN GARIS HD406:NAVY BLUE:4-5:GRAPHIC:SS T-SHIRT</t>
  </si>
  <si>
    <t>66020100MCS TS HOODIE SPD WEB HEAD KOMB LGN GARIS HD406:NAVY BLUE:5-6:GRAPHIC:SS T-SHIRT</t>
  </si>
  <si>
    <t>66040100MCS TS HOODIE SPD WEB HEAD KOMB LGN GARIS HD406:NAVY BLUE:7-8:GRAPHIC:SS T-SHIRT</t>
  </si>
  <si>
    <t>66040100MCS TS HOODIE SPD WEB HEAD KOMB LGN GARIS HD406:NAVY BLUE:9-10:GRAPHIC:SS T-SHIRT</t>
  </si>
  <si>
    <t>66040100MCS TS HOODIE SPD WEB HEAD KOMB LGN GARIS HD406:NAVY BLUE:11-12:GRAPHIC:SS T-SHIRT</t>
  </si>
  <si>
    <t>66060100MCS TS HOODIE SPD WEB HEAD KOMB LGN GARIS  HD406:NAVY BLUE:13-14:GRAPHIC:SS T-SHIRT</t>
  </si>
  <si>
    <t>66060100MCS TS HOODIE SPD WEB HEAD KOMB LGN GARIS  HD406:NAVY BLUE:15-16:GRAPHIC:SS T-SHIRT</t>
  </si>
  <si>
    <t>KSPDCL44</t>
  </si>
  <si>
    <t>66020100MCS TS SPD FACE COURTESY TIE DYE KSPDCL44:LIGHT BLUE:4-5:GRAPHIC:SS T-SHIRT</t>
  </si>
  <si>
    <t>66020100MCS TS SPD FACE COURTESY TIE DYE KSPDCL44:LIGHT BLUE:5-6:GRAPHIC:SS T-SHIRT</t>
  </si>
  <si>
    <t>66040100MCS TS SPD FACE COURTESY TIE DYE KSPDCL44:LIGHT BLUE:7-8:GRAPHIC:SS T-SHIRT</t>
  </si>
  <si>
    <t>66040100MCS TS SPD FACE COURTESY TIE DYE KSPDCL44:LIGHT BLUE:9-10:GRAPHIC:SS T-SHIRT</t>
  </si>
  <si>
    <t>66040100MCS TS SPD FACE COURTESY TIE DYE KSPDCL44:LIGHT BLUE:11-12:GRAPHIC:SS T-SHIRT</t>
  </si>
  <si>
    <t>66060100MCS TS SPD FACE COURTESY TIE DYE KSPDCL44:LIGHT BLUE:13-14:GRAPHIC:SS T-SHIRT</t>
  </si>
  <si>
    <t>66060100MCS TS SPD FACE COURTESY TIE DYE KSPDCL44:LIGHT BLUE:15-16:GRAPHIC:SS T-SHIRT</t>
  </si>
  <si>
    <t>66020100MCS TS SPD FACE COURTESY TIE DYE KSPDCL44:LIGHT BLUE:3-4:GRAPHIC:SS T-SHIRT</t>
  </si>
  <si>
    <t>A866</t>
  </si>
  <si>
    <t>66020100MCS TS SPD PROTECTOR CUTSEWN CABUT BENANG A866:MISTY MEDIUM GREY:3-4:TEXT:SS T-SHIRT</t>
  </si>
  <si>
    <t>66020100MCS TS SPD PROTECTOR CUTSEWN CABUT BENANG A866:MISTY MEDIUM GREY:4-5:TEXT:SS T-SHIRT</t>
  </si>
  <si>
    <t>66020100MCS TS SPD PROTECTOR CUTSEWN CABUT BENANG A866:MISTY MEDIUM GREY:5-6:TEXT:SS T-SHIRT</t>
  </si>
  <si>
    <t>66040100MCS TS SPD PROTECTOR CUTSEWN CABUT BENANG A866:MISTY MEDIUM GREY:7-8:TEXT:SS T-SHIRT</t>
  </si>
  <si>
    <t>66040100MCS TS SPD PROTECTOR CUTSEWN CABUT BENANG A866:MISTY MEDIUM GREY:9-10:TEXT:SS T-SHIRT</t>
  </si>
  <si>
    <t>66040100MCS TS SPD PROTECTOR CUTSEWN CABUT BENANG A866:MISTY MEDIUM GREY:11-12:TEXT:SS T-SHIRT</t>
  </si>
  <si>
    <t>66060100MCS TS SPD PROTECTOR CUTSEWN CABUT BENANG A866:MISTY MEDIUM GREY:13-14:TEXT:SS T-SHIRT</t>
  </si>
  <si>
    <t>66060100MCS TS SPD PROTECTOR CUTSEWN CABUT BENANG A866:MISTY MEDIUM GREY:15-16:TEXT:SS T-SHIRT</t>
  </si>
  <si>
    <t>HR442</t>
  </si>
  <si>
    <t>66020100MCS TS SPD CHECK SPIDEY JUMP  HR442:MISTY MEDIUM BLUE:3-4:GRAPHIC:SS T-SHIRT</t>
  </si>
  <si>
    <t>66020100MCS TS SPD CHECK SPIDEY JUMP  HR442:MISTY MEDIUM BLUE:4-5:GRAPHIC:SS T-SHIRT</t>
  </si>
  <si>
    <t>66020100MCS TS SPD CHECK SPIDEY JUMP  HR442:MISTY MEDIUM BLUE:5-6:GRAPHIC:SS T-SHIRT</t>
  </si>
  <si>
    <t>66020100MCS TS SPD CHECK SPIDEY JUMP  HR442:MISTY MEDIUM BLUE:7-8:GRAPHIC:SS T-SHIRT</t>
  </si>
  <si>
    <t>66020100MCS TS SPD CHECK SPIDEY JUMP  HR442:MISTY MEDIUM BLUE:9-10:GRAPHIC:SS T-SHIRT</t>
  </si>
  <si>
    <t>A867</t>
  </si>
  <si>
    <t>66020100MCS TS SPD CUTSEWN HALF BODY A867:NAVY BLUE:3-4:GRAPHIC:SS T-SHIRT</t>
  </si>
  <si>
    <t>66020100MCS TS SPD CUTSEWN HALF BODY A867:NAVY BLUE:4-5:GRAPHIC:SS T-SHIRT</t>
  </si>
  <si>
    <t>66020100MCS TS SPD CUTSEWN HALF BODY A867:NAVY BLUE:5-6:GRAPHIC:SS T-SHIRT</t>
  </si>
  <si>
    <t>66040100MCS TS SPD CUTSEWN HALF BODY A867:NAVY BLUE:7-8:GRAPHIC:SS T-SHIRT</t>
  </si>
  <si>
    <t>66040100MCS TS SPD CUTSEWN HALF BODY A867:NAVY BLUE:9-10:GRAPHIC:SS T-SHIRT</t>
  </si>
  <si>
    <t>66040100MCS TS SPD CUTSEWN HALF BODY A867:NAVY BLUE:11-12:GRAPHIC:SS T-SHIRT</t>
  </si>
  <si>
    <t>66060100MCS TS SPD CUTSEWN HALF BODY A867:NAVY BLUE:13-14:GRAPHIC:SS T-SHIRT</t>
  </si>
  <si>
    <t>66060100MCS TS SPD CUTSEWN HALF BODY A867:NAVY BLUE:15-16:GRAPHIC:SS T-SHIRT</t>
  </si>
  <si>
    <t>HD703</t>
  </si>
  <si>
    <t>66020100OAV TS HOODIE AVG CAPT AMRIK FLY HD703:NAVY BLUE:3-4:GRAPHIC:SS T-SHIRT</t>
  </si>
  <si>
    <t>66020100OAV TS HOODIE AVG CAPT AMRIK FLY HD703:NAVY BLUE:4-5:GRAPHIC:SS T-SHIRT</t>
  </si>
  <si>
    <t>66020100OAV TS HOODIE AVG CAPT AMRIK FLY HD703:NAVY BLUE:5-6:GRAPHIC:SS T-SHIRT</t>
  </si>
  <si>
    <t>66040100OAV TS HOODIE AVG CAPT AMRIK FLY HD703:NAVY BLUE:7-8:GRAPHIC:SS T-SHIRT</t>
  </si>
  <si>
    <t>66040100OAV TS HOODIE AVG CAPT AMRIK FLY HD703:NAVY BLUE:9-10:GRAPHIC:SS T-SHIRT</t>
  </si>
  <si>
    <t>66040100OAV TS HOODIE AVG CAPT AMRIK FLY HD703:NAVY BLUE:11-12:GRAPHIC:SS T-SHIRT</t>
  </si>
  <si>
    <t>66060100OAV TS HOODIE AVG CAPT AMRIK FLY HD703:NAVY BLUE:13-14:GRAPHIC:SS T-SHIRT</t>
  </si>
  <si>
    <t>66060100OAV TS HOODIE AVG CAPT AMRIK FLY HD703:NAVY BLUE:15-16:GRAPHIC:SS T-SHIRT</t>
  </si>
  <si>
    <t>N751-DS</t>
  </si>
  <si>
    <t>66060100MCS TS SPD THE AMAZING CUTSEWN KOMB DF N751-DS:MISTY LIGHT BLUE:7-8:TEXT:SS T-SHIRT</t>
  </si>
  <si>
    <t>66060100MCS TS SPD THE AMAZING CUTSEWN KOMB DF N751-DS:MISTY LIGHT BLUE:9-10:TEXT:SS T-SHIRT</t>
  </si>
  <si>
    <t>66060100MCS TS SPD THE AMAZING CUTSEWN KOMB DF N751-DS:MISTY LIGHT BLUE:11-12:TEXT:SS T-SHIRT</t>
  </si>
  <si>
    <t>66060100MCS TS SPD THE AMAZING CUTSEWN KOMB DF N751-DS:MISTY LIGHT BLUE:13-14:TEXT:SS T-SHIRT</t>
  </si>
  <si>
    <t>66060100MCS TS SPD THE AMAZING CUTSEWN KOMB DF N751-DS:MISTY LIGHT BLUE:15-16:TEXT:SS T-SHIRT</t>
  </si>
  <si>
    <t>HR323</t>
  </si>
  <si>
    <t>66040100OAV TS AVG IRON  MAN FLY CITY  HR323:BLACK:5-6:GRAPHIC:SS T-SHIRT</t>
  </si>
  <si>
    <t>66040100OAV TS AVG IRON  MAN FLY CITY  HR323:BLACK:7-8:GRAPHIC:SS T-SHIRT</t>
  </si>
  <si>
    <t>66040100OAV TS AVG IRON  MAN FLY CITY  HR323:BLACK:9-10:GRAPHIC:SS T-SHIRT</t>
  </si>
  <si>
    <t>66060100OAV TS AVG IRON  MAN FLY CITY  HR323:BLACK:11-12:GRAPHIC:SS T-SHIRT</t>
  </si>
  <si>
    <t>66060100OAV TS AVG IRON  MAN FLY CITY  HR323:BLACK:13-14:GRAPHIC:SS T-SHIRT</t>
  </si>
  <si>
    <t>66060100OAV TS AVG IRON  MAN FLY CITY  HR323:BLACK:15-16:GRAPHIC:SS T-SHIRT</t>
  </si>
  <si>
    <t>A674</t>
  </si>
  <si>
    <t>66020100OAV TS AVG TEAM FP LIGHTING A674:MISTY DARK BLUE:3-4:GRAPHIC:SS T-SHIRT</t>
  </si>
  <si>
    <t>66020100OAV TS AVG TEAM FP LIGHTING A674:MISTY DARK BLUE:4-5:GRAPHIC:SS T-SHIRT</t>
  </si>
  <si>
    <t>66020100OAV TS AVG TEAM FP LIGHTING A674:MISTY DARK BLUE:5-6:GRAPHIC:SS T-SHIRT</t>
  </si>
  <si>
    <t>66040100OAV TS AVG TEAM FP LIGHTING A674:MISTY DARK BLUE:7-8:GRAPHIC:SS T-SHIRT</t>
  </si>
  <si>
    <t>66040100OAV TS AVG TEAM FP LIGHTING A674:MISTY DARK BLUE:9-10:GRAPHIC:SS T-SHIRT</t>
  </si>
  <si>
    <t>66040100OAV TS AVG TEAM FP LIGHTING A674:MISTY DARK BLUE:11-12:GRAPHIC:SS T-SHIRT</t>
  </si>
  <si>
    <t>66060100OAV TS AVG TEAM FP LIGHTING A674:MISTY DARK BLUE:13-14:GRAPHIC:SS T-SHIRT</t>
  </si>
  <si>
    <t>66060100OAV TS AVG TEAM FP LIGHTING A674:MISTY DARK BLUE:15-16:GRAPHIC:SS T-SHIRT</t>
  </si>
  <si>
    <t>N816</t>
  </si>
  <si>
    <t>66060100OAV TS AVG MARVEL STRIPE KTG N816:BLACK:7-8:TEXT:SS T-SHIRT</t>
  </si>
  <si>
    <t>66060100OAV TS AVG MARVEL STRIPE KTG N816:BLACK:9-10:TEXT:SS T-SHIRT</t>
  </si>
  <si>
    <t>66060100OAV TS AVG MARVEL STRIPE KTG N816:BLACK:11-12:TEXT:SS T-SHIRT</t>
  </si>
  <si>
    <t>66060100OAV TS AVG MARVEL STRIPE KTG N816:BLACK:13-14:TEXT:SS T-SHIRT</t>
  </si>
  <si>
    <t>66060100OAV TS AVG MARVEL STRIPE KTG N816:BLACK:15-16:TEXT:SS T-SHIRT</t>
  </si>
  <si>
    <t>HR407</t>
  </si>
  <si>
    <t>66020100OAV TS AVG MARVEL RAINBOW FP LIGHTNG HR407:NAVY BLUE:3-4:TEXT:SS T-SHIRT</t>
  </si>
  <si>
    <t>66020100OAV TS AVG MARVEL RAINBOW FP LIGHTNG HR407:NAVY BLUE:4-5:TEXT:SS T-SHIRT</t>
  </si>
  <si>
    <t>66020100OAV TS AVG MARVEL RAINBOW FP LIGHTNG HR407:NAVY BLUE:5-6:TEXT:SS T-SHIRT</t>
  </si>
  <si>
    <t>66040100OAV TS AVG MARVEL RAINBOW FP LIGHTNG  HR407:NAVY BLUE:7-8:TEXT:SS T-SHIRT</t>
  </si>
  <si>
    <t>66040100OAV TS AVG MARVEL RAINBOW FP LIGHTNG  HR407:NAVY BLUE:9-10:TEXT:SS T-SHIRT</t>
  </si>
  <si>
    <t>66040100OAV TS AVG MARVEL RAINBOW FP LIGHTNG  HR407:NAVY BLUE:11-12:TEXT:SS T-SHIRT</t>
  </si>
  <si>
    <t>66060100OAV TS AVG MARVEL RAINBOW FP LIGHTNG HR407:NAVY BLUE:13-14:TEXT:SS T-SHIRT</t>
  </si>
  <si>
    <t>66060100OAV TS AVG MARVEL RAINBOW FP LIGHTNG HR407:NAVY BLUE:15-16:TEXT:SS T-SHIRT</t>
  </si>
  <si>
    <t>HR449</t>
  </si>
  <si>
    <t>66060100MCS TS SPD VEST KERAH JARING HR449:NAVY BLUE:3-4:GRAPHIC:SS T-SHIRT</t>
  </si>
  <si>
    <t>66060100MCS TS SPD VEST KERAH JARING HR449:NAVY BLUE:4-5:GRAPHIC:SS T-SHIRT</t>
  </si>
  <si>
    <t>66060100MCS TS SPD VEST KERAH JARING HR449:NAVY BLUE:5-6:GRAPHIC:SS T-SHIRT</t>
  </si>
  <si>
    <t>66060100MCS TS SPD VEST KERAH JARING HR449:NAVY BLUE:7-8:GRAPHIC:SS T-SHIRT</t>
  </si>
  <si>
    <t>66060100MCS TS SPD VEST KERAH JARING HR449:NAVY BLUE:9-10:GRAPHIC:SS T-SHIRT</t>
  </si>
  <si>
    <t>HR448</t>
  </si>
  <si>
    <t>66060100MCS TS SPD JARING JUMP  HR448:CLASSIC RED:3-4:GRAPHIC:SS T-SHIRT</t>
  </si>
  <si>
    <t>66060100MCS TS SPD JARING JUMP  HR448:CLASSIC RED:4-5:GRAPHIC:SS T-SHIRT</t>
  </si>
  <si>
    <t>66060100MCS TS SPD JARING JUMP  HR448:CLASSIC RED:5-6:GRAPHIC:SS T-SHIRT</t>
  </si>
  <si>
    <t>66060100MCS TS SPD JARING JUMP  HR448:CLASSIC RED:7-8:GRAPHIC:SS T-SHIRT</t>
  </si>
  <si>
    <t>66060100MCS TS SPD JARING JUMP  HR448:CLASSIC RED:9-10:GRAPHIC:SS T-SHIRT</t>
  </si>
  <si>
    <t>N987</t>
  </si>
  <si>
    <t>66020100MCS TS SPD HALFBODY SM TOOLKIT N987:MISTY MEDIUM GREY:3-4:GRAPHIC:SHORT PANTS</t>
  </si>
  <si>
    <t>66020100MCS TS SPD HALFBODY SM TOOLKIT N987:MISTY MEDIUM GREY:4-5:GRAPHIC:SHORT PANTS</t>
  </si>
  <si>
    <t>66020100MCS TS SPD HALFBODY SM TOOLKIT N987:MISTY MEDIUM GREY:5-6:GRAPHIC:SHORT PANTS</t>
  </si>
  <si>
    <t>66040100MCS TS SPD HALFBODY SM TOOLKIT N987:MISTY MEDIUM GREY:7-8:GRAPHIC:SHORT PANTS</t>
  </si>
  <si>
    <t>66040100MCS TS SPD HALFBODY SM TOOLKIT N987:MISTY MEDIUM GREY:9-10:GRAPHIC:SHORT PANTS</t>
  </si>
  <si>
    <t>66040100MCS TS SPD HALFBODY SM TOOLKIT N987:MISTY MEDIUM GREY:11-12:GRAPHIC:SHORT PANTS</t>
  </si>
  <si>
    <t>66060100MCS TS SPD HALFBODY SM TOOLKIT N987:MISTY MEDIUM GREY:13-14:GRAPHIC:SHORT PANTS</t>
  </si>
  <si>
    <t>66060100MCS TS SPD HALFBODY SM TOOLKIT N987:MISTY MEDIUM GREY:15-16:GRAPHIC:SHORT PANTS</t>
  </si>
  <si>
    <t>HR443</t>
  </si>
  <si>
    <t>66020100OAV TS BPN WARIOIR KING SPLASH HR443:BLACK:3-4:GRAPHIC:SS T-SHIRT</t>
  </si>
  <si>
    <t>66020100OAV TS BPN WARIOIR KING SPLASH HR443:BLACK:4-5:GRAPHIC:SS T-SHIRT</t>
  </si>
  <si>
    <t>66020100OAV TS BPN WARIOIR KING SPLASH HR443:BLACK:5-6:GRAPHIC:SS T-SHIRT</t>
  </si>
  <si>
    <t>66040100OAV TS BPN WARIOIR KING SPLASH HR443:BLACK:7-8:GRAPHIC:SS T-SHIRT</t>
  </si>
  <si>
    <t>66040100OAV TS BPN WARIOIR KING SPLASH HR443:BLACK:9-10:GRAPHIC:SS T-SHIRT</t>
  </si>
  <si>
    <t>66040100OAV TS BPN WARIOIR KING SPLASH HR443:BLACK:11-12:GRAPHIC:SS T-SHIRT</t>
  </si>
  <si>
    <t>66060100OAV TS BPN WARIOIR KING SPLASH  HR443:BLACK:13-14:GRAPHIC:SS T-SHIRT</t>
  </si>
  <si>
    <t>66060100OAV TS BPN WARIOIR KING SPLASH  HR443:BLACK:15-16:GRAPHIC:SS T-SHIRT</t>
  </si>
  <si>
    <t>GNAVG58</t>
  </si>
  <si>
    <t>66020100OAV TS AVG KOMB PARKA KTG GNAVG58:NAVY BLUE:3-4:TEXT:SS T-SHIRT</t>
  </si>
  <si>
    <t>66020100OAV TS AVG KOMB PARKA KTG GNAVG58:NAVY BLUE:4-5:TEXT:SS T-SHIRT</t>
  </si>
  <si>
    <t>66020100OAV TS AVG KOMB PARKA KTG GNAVG58:NAVY BLUE:5-6:TEXT:SS T-SHIRT</t>
  </si>
  <si>
    <t>66040100OAV TS AVG KOMB PARKA KTG  GNAVG58:NAVY BLUE:7-8:TEXT:SS T-SHIRT</t>
  </si>
  <si>
    <t>66040100OAV TS AVG KOMB PARKA KTG  GNAVG58:NAVY BLUE:9-10:TEXT:SS T-SHIRT</t>
  </si>
  <si>
    <t>66040100OAV TS AVG KOMB PARKA KTG  GNAVG58:NAVY BLUE:11-12:TEXT:SS T-SHIRT</t>
  </si>
  <si>
    <t>66060100OAV TS AVG KOMB PARKA KTG GNAVG58:NAVY BLUE:13-14:TEXT:SS T-SHIRT</t>
  </si>
  <si>
    <t>66060100OAV TS AVG KOMB PARKA KTG GNAVG58:NAVY BLUE:15-16:TEXT:SS T-SHIRT</t>
  </si>
  <si>
    <t>GNAVG57</t>
  </si>
  <si>
    <t>66020100OAV TS HOODIE AVG KTG ZIPPER FP SPLASH GNAVG57:BLACK:3-4:TEXT:SS T-SHIRT</t>
  </si>
  <si>
    <t>66020100OAV TS HOODIE AVG KTG ZIPPER FP SPLASH GNAVG57:BLACK:4-5:TEXT:SS T-SHIRT</t>
  </si>
  <si>
    <t>66020100OAV TS HOODIE AVG KTG ZIPPER FP SPLASH GNAVG57:BLACK:5-6:TEXT:SS T-SHIRT</t>
  </si>
  <si>
    <t>66040100OAV TS HOODIE AVG KTG ZIPPER FP SPLASH GNAVG57:BLACK:7-8:TEXT:SS T-SHIRT</t>
  </si>
  <si>
    <t>66040100OAV TS HOODIE AVG KTG ZIPPER FP SPLASH GNAVG57:BLACK:9-10:TEXT:SS T-SHIRT</t>
  </si>
  <si>
    <t>66040100OAV TS HOODIE AVG KTG ZIPPER FP SPLASH GNAVG57:BLACK:11-12:TEXT:SS T-SHIRT</t>
  </si>
  <si>
    <t>66060100OAV TS HOODIE AVG KTG ZIPPER FP SPLASH GNAVG57:BLACK:13-14:TEXT:SS T-SHIRT</t>
  </si>
  <si>
    <t>66060100OAV TS HOODIE AVG KTG ZIPPER FP SPLASH GNAVG57:BLACK:15-16:TEXT:SS T-SHIRT</t>
  </si>
  <si>
    <t>HR445</t>
  </si>
  <si>
    <t>66020100MCS TS SPD CHECK SPIDEY VEST HR445:WHITE:3-4:GRAPHIC:SS T-SHIRT</t>
  </si>
  <si>
    <t>66020100MCS TS SPD CHECK SPIDEY VEST HR445:WHITE:4-5:GRAPHIC:SS T-SHIRT</t>
  </si>
  <si>
    <t>66020100MCS TS SPD CHECK SPIDEY VEST HR445:WHITE:5-6:GRAPHIC:SS T-SHIRT</t>
  </si>
  <si>
    <t>66020100MCS TS SPD CHECK SPIDEY VEST HR445:WHITE:7-8:GRAPHIC:SS T-SHIRT</t>
  </si>
  <si>
    <t>66020100MCS TS SPD CHECK SPIDEY VEST HR445:WHITE:9-10:GRAPHIC:SS T-SHIRT</t>
  </si>
  <si>
    <t>HR450</t>
  </si>
  <si>
    <t>66020100MCS TS SPD VEST THE AMAZING HR450:WHITE:3-4:GRAPHIC:SS T-SHIRT</t>
  </si>
  <si>
    <t>66020100MCS TS SPD VEST THE AMAZING HR450:WHITE:4-5:GRAPHIC:SS T-SHIRT</t>
  </si>
  <si>
    <t>66020100MCS TS SPD VEST THE AMAZING HR450:WHITE:5-6:GRAPHIC:SS T-SHIRT</t>
  </si>
  <si>
    <t>66020100MCS TS SPD VEST THE AMAZING HR450:WHITE:7-8:GRAPHIC:SS T-SHIRT</t>
  </si>
  <si>
    <t>66020100MCS TS SPD VEST THE AMAZING HR450:WHITE:9-10:GRAPHIC:SS T-SHIRT</t>
  </si>
  <si>
    <t>HR446</t>
  </si>
  <si>
    <t>66020100MCS TS SPD CHECK SPIDER SENSE FLY HR446:MISTY MEDIUM BLUE:3-4:GRAPHIC:SS T-SHIRT</t>
  </si>
  <si>
    <t>66020100MCS TS SPD CHECK SPIDER SENSE FLY HR446:MISTY MEDIUM BLUE:4-5:GRAPHIC:SS T-SHIRT</t>
  </si>
  <si>
    <t>66020100MCS TS SPD CHECK SPIDER SENSE FLY HR446:MISTY MEDIUM BLUE:5-6:GRAPHIC:SS T-SHIRT</t>
  </si>
  <si>
    <t>66020100MCS TS SPD CHECK SPIDER SENSE FLY HR446:MISTY MEDIUM BLUE:7-8:GRAPHIC:SS T-SHIRT</t>
  </si>
  <si>
    <t>66020100MCS TS SPD CHECK SPIDER SENSE FLY HR446:MISTY MEDIUM BLUE:9-10:GRAPHIC:SS T-SHIRT</t>
  </si>
  <si>
    <t>GNAVG51</t>
  </si>
  <si>
    <t>66020100OAV TS AVG MARVEL CHARACTER GNAVG51:NAVY BLUE:3-4:GRAPHIC:SS T-SHIRT</t>
  </si>
  <si>
    <t>66020100OAV TS AVG MARVEL CHARACTER GNAVG51:NAVY BLUE:4-5:GRAPHIC:SS T-SHIRT</t>
  </si>
  <si>
    <t>66020100OAV TS AVG MARVEL CHARACTER GNAVG51:NAVY BLUE:5-6:GRAPHIC:SS T-SHIRT</t>
  </si>
  <si>
    <t>66040100OAV TS AVG MARVEL CHARACTER GNAVG51:NAVY BLUE:7-8:GRAPHIC:SS T-SHIRT</t>
  </si>
  <si>
    <t>66040100OAV TS AVG MARVEL CHARACTER GNAVG51:NAVY BLUE:9-10:GRAPHIC:SS T-SHIRT</t>
  </si>
  <si>
    <t>66040100OAV TS AVG MARVEL CHARACTER GNAVG51:NAVY BLUE:11-12:GRAPHIC:SS T-SHIRT</t>
  </si>
  <si>
    <t>66060100OAV TS AVG MARVEL CHARACTER GNAVG51:NAVY BLUE:13-14:GRAPHIC:SS T-SHIRT</t>
  </si>
  <si>
    <t>66060100OAV TS AVG MARVEL CHARACTER GNAVG51:NAVY BLUE:15-16:GRAPHIC:SS T-SHIRT</t>
  </si>
  <si>
    <t>HR358</t>
  </si>
  <si>
    <t>66020100MCS TS SPD FACE WORDING HR358:MISTY DARK GREY:3-4:GRAPHIC:SS T-SHIRT</t>
  </si>
  <si>
    <t>66020100MCS TS SPD FACE WORDING HR358:MISTY DARK GREY:4-5:GRAPHIC:SS T-SHIRT</t>
  </si>
  <si>
    <t>66020100MCS TS SPD FACE WORDING HR358:MISTY DARK GREY:5-6:GRAPHIC:SS T-SHIRT</t>
  </si>
  <si>
    <t>66040100MCS TS SPD FACE WORDING HR358:MISTY DARK GREY:7-8:GRAPHIC:SS T-SHIRT</t>
  </si>
  <si>
    <t>66040100MCS TS SPD FACE WORDING HR358:MISTY DARK GREY:9-10:GRAPHIC:SS T-SHIRT</t>
  </si>
  <si>
    <t>66040100MCS TS SPD FACE WORDING HR358:MISTY DARK GREY:11-12:GRAPHIC:SS T-SHIRT</t>
  </si>
  <si>
    <t>66060100MCS TS SPD FACE WORDING HR358:MISTY DARK GREY:13-14:GRAPHIC:SS T-SHIRT</t>
  </si>
  <si>
    <t>66060100MCS TS SPD FACE WORDING HR358:MISTY DARK GREY:15-16:GRAPHIC:SS T-SHIRT</t>
  </si>
  <si>
    <t>HR384</t>
  </si>
  <si>
    <t>66020100MCS TS SPD JUMP FP CORAK HR384:MISTY MEDIUM BLUE:3-4:GRAPHIC:SS T-SHIRT</t>
  </si>
  <si>
    <t>66020100MCS TS SPD JUMP FP CORAK HR384:MISTY MEDIUM BLUE:4-5:GRAPHIC:SS T-SHIRT</t>
  </si>
  <si>
    <t>66020100MCS TS SPD JUMP FP CORAK HR384:MISTY MEDIUM BLUE:5-6:GRAPHIC:SS T-SHIRT</t>
  </si>
  <si>
    <t>66040100MCS TS SPD JUMP FP CORAK HR384:MISTY MEDIUM BLUE:7-8:GRAPHIC:SS T-SHIRT</t>
  </si>
  <si>
    <t>66040100MCS TS SPD JUMP FP CORAK HR384:MISTY MEDIUM BLUE:9-10:GRAPHIC:SS T-SHIRT</t>
  </si>
  <si>
    <t>66040100MCS TS SPD JUMP FP CORAK HR384:MISTY MEDIUM BLUE:11-12:GRAPHIC:SS T-SHIRT</t>
  </si>
  <si>
    <t>66060100MCS TS SPD JUMP FP CORAK HR384:MISTY MEDIUM BLUE:13-14:GRAPHIC:SS T-SHIRT</t>
  </si>
  <si>
    <t>66060100MCS TS SPD JUMP FP CORAK HR384:MISTY MEDIUM BLUE:15-16:GRAPHIC:SS T-SHIRT</t>
  </si>
  <si>
    <t>TPAVG21</t>
  </si>
  <si>
    <t>68040202OAV TOPI AVG TIEDYE LOGO TPAVG21:CLASSIC BLUE:F:TEXT:CAPS</t>
  </si>
  <si>
    <t>TSP132</t>
  </si>
  <si>
    <t>68040202MCS TOPI SPD HALF MESH TSP132:BLACK:F:TEXT:CAPS</t>
  </si>
  <si>
    <t>TSP152</t>
  </si>
  <si>
    <t>68040202MCS TOPI SPD FP PROTECTOR OF NYC TSP152:CLASSIC RED:F:TEXT:CAPS</t>
  </si>
  <si>
    <t>TPMRC12</t>
  </si>
  <si>
    <t>68040202OAV TOPI AVG MARVEL COMIC FP TPMRC12:ASSORTIVE COLOR:F:GRAPHIC:CAPS</t>
  </si>
  <si>
    <t>N767-DS</t>
  </si>
  <si>
    <t>66060100MCS LP KN IT SPD FACE BULAT KTG DEPAN N767-DS:MISTY LIGHT BLUE:7-8:TEXT:SS T-SHIRT</t>
  </si>
  <si>
    <t>66060100MCS LP KN IT SPD FACE BULAT KTG DEPAN N767-DS:MISTY LIGHT BLUE:9-10:TEXT:SS T-SHIRT</t>
  </si>
  <si>
    <t>66060100MCS LP KN IT SPD FACE BULAT KTG DEPAN N767-DS:MISTY LIGHT BLUE:11-12:TEXT:SS T-SHIRT</t>
  </si>
  <si>
    <t>66060100MCS LP KN IT SPD FACE BULAT KTG DEPAN N767-DS:MISTY LIGHT BLUE:13-14:TEXT:SS T-SHIRT</t>
  </si>
  <si>
    <t>66060100MCS LP KN IT SPD FACE BULAT KTG DEPAN N767-DS:MISTY LIGHT BLUE:15-16:TEXT:SS T-SHIRT</t>
  </si>
  <si>
    <t>GNSPD13</t>
  </si>
  <si>
    <t>66020100MCS LP KNIT SPD FACE 2 STRIPE  GNSPD13:NAVY BLUE:3-4:GRAPHIC:JOGGER</t>
  </si>
  <si>
    <t>66020100MCS LP KNIT SPD FACE 2 STRIPE  GNSPD13:NAVY BLUE:4-5:GRAPHIC:JOGGER</t>
  </si>
  <si>
    <t>66040100MCS LP KNIT SPD FACE 2 STRIPE GNSPD13:NAVY BLUE:5-6:GRAPHIC:JOGGER</t>
  </si>
  <si>
    <t>66040100MCS LP KNIT SPD FACE 2 STRIPE GNSPD13:NAVY BLUE:7-8:GRAPHIC:JOGGER</t>
  </si>
  <si>
    <t>66040100MCS LP KNIT SPD FACE 2 STRIPE GNSPD13:NAVY BLUE:9-10:GRAPHIC:JOGGER</t>
  </si>
  <si>
    <t>66060100MCS LP KNIT SPD FACE 2 STRIPE GNSPD13:NAVY BLUE:11-12:GRAPHIC:JOGGER</t>
  </si>
  <si>
    <t>66060100MCS LP KNIT SPD FACE 2 STRIPE GNSPD13:NAVY BLUE:13-14:GRAPHIC:JOGGER</t>
  </si>
  <si>
    <t>66060100MCS LP KNIT SPD FACE 2 STRIPE GNSPD13:NAVY BLUE:15-16:GRAPHIC:JOGGER</t>
  </si>
  <si>
    <t>A853</t>
  </si>
  <si>
    <t>66020100MCS CP KNIT SPD CUTSEWN FACE A853:NAVY BLUE:3-4:TEXT:SHORT PANTS</t>
  </si>
  <si>
    <t>66020100MCS CP KNIT SPD CUTSEWN FACE A853:NAVY BLUE:4-5:TEXT:SHORT PANTS</t>
  </si>
  <si>
    <t>66040100MCS CP KNIT SPD CUTSEWN FACE A853:NAVY BLUE:5-6:TEXT:SHORT PANTS</t>
  </si>
  <si>
    <t>66040100MCS CP KNIT SPD CUTSEWN FACE A853:NAVY BLUE:7-8:TEXT:SHORT PANTS</t>
  </si>
  <si>
    <t>66040100MCS CP KNIT SPD CUTSEWN FACE A853:NAVY BLUE:9-10:TEXT:SHORT PANTS</t>
  </si>
  <si>
    <t>66060100MCS CP KNIT SPD CUTSEWN FACE A853:NAVY BLUE:11-12:TEXT:SHORT PANTS</t>
  </si>
  <si>
    <t>66060100MCS CP KNIT SPD CUTSEWN FACE A853:NAVY BLUE:13-14:TEXT:SHORT PANTS</t>
  </si>
  <si>
    <t>66060100MCS CP KNIT SPD CUTSEWN FACE A853:NAVY BLUE:15-16:TEXT:SHORT PANTS</t>
  </si>
  <si>
    <t>HR447</t>
  </si>
  <si>
    <t>66020100MCS CP KNIT SPD CHECK FACE HR447:NAVY BLUE:3-4:GRAPHIC:SHORT PANTS</t>
  </si>
  <si>
    <t>66020100MCS CP KNIT SPD CHECK FACE HR447:NAVY BLUE:4-5:GRAPHIC:SHORT PANTS</t>
  </si>
  <si>
    <t>66020100MCS CP KNIT SPD CHECK FACE HR447:NAVY BLUE:5-6:GRAPHIC:SHORT PANTS</t>
  </si>
  <si>
    <t>66020100MCS CP KNIT SPD CHECK FACE HR447:NAVY BLUE:7-8:GRAPHIC:SHORT PANTS</t>
  </si>
  <si>
    <t>66020100MCS CP KNIT SPD CHECK FACE HR447:NAVY BLUE:9-10:GRAPHIC:SHORT PANTS</t>
  </si>
  <si>
    <t>KS217B</t>
  </si>
  <si>
    <t>66040100OAV LS SHIRT KOKO MARVEL PATTERN B KS217B:CLASSIC GREEN:5-6:TEXT:SS SHIRT</t>
  </si>
  <si>
    <t>66040100OAV LS SHIRT KOKO MARVEL PATTERN B KS217B:CLASSIC GREEN:7-8:TEXT:SS SHIRT</t>
  </si>
  <si>
    <t>66040100OAV LS SHIRT KOKO MARVEL PATTERN B KS217B:CLASSIC GREEN:9-10:TEXT:SS SHIRT</t>
  </si>
  <si>
    <t>66060100OAV LS SHIRT KOKO MARVEL PATTERN C KS217C:CLASSIC GREEN:11-12:TEXT:SS SHIRT</t>
  </si>
  <si>
    <t>66060100OAV LS SHIRT KOKO MARVEL PATTERN C KS217C:CLASSIC GREEN:13-14:TEXT:SS SHIRT</t>
  </si>
  <si>
    <t>66060100OAV LS SHIRT KOKO MARVEL PATTERN C KS217C:CLASSIC GREEN:15-16:TEXT:SS SHIRT</t>
  </si>
  <si>
    <t>KKRT05</t>
  </si>
  <si>
    <t>66040100OAV KMJ LS KOKO BLACK PANTHER KKRT05:WHITE:5-6:TEXT:LS SHIRT</t>
  </si>
  <si>
    <t>66040100OAV KMJ LS KOKO BLACK PANTHER KKRT05:WHITE:7-8:TEXT:LS SHIRT</t>
  </si>
  <si>
    <t>66040100OAV KMJ LS KOKO BLACK PANTHER KKRT05:WHITE:9-10:TEXT:LS SHIRT</t>
  </si>
  <si>
    <t>66060100OAV KMJ LS KOKO BLACK PANTHER KKRT05:WHITE:11-12:TEXT:LS SHIRT</t>
  </si>
  <si>
    <t>66060100OAV KMJ LS KOKO BLACK PANTHER KKRT05:WHITE:13-14:TEXT:LS SHIRT</t>
  </si>
  <si>
    <t>66060100OAV KMJ LS KOKO BLACK PANTHER KKRT05:WHITE:15-16:TEXT:LS SHIRT</t>
  </si>
  <si>
    <t>KKRT01A</t>
  </si>
  <si>
    <t>66020100OAV SS SHIRT KOKO AVG STRIPE PATTERN A KKRT01A:LIGHT BLUE:3-4:STRIPES:SS SHIRT</t>
  </si>
  <si>
    <t>66020100OAV SS SHIRT KOKO AVG STRIPE PATTERN A KKRT01A:LIGHT BLUE:4-5:STRIPES:SS SHIRT</t>
  </si>
  <si>
    <t>66020100OAV SS SHIRT KOKO AVG STRIPE PATTERN A KKRT01A:LIGHT BLUE:5-6:STRIPES:SS SHIRT</t>
  </si>
  <si>
    <t>66040100OAV SS SHIRT KOKO AVG STRIPE PATTERN B KKRT01B:LIGHT BLUE:7-8:STRIPES:SS SHIRT</t>
  </si>
  <si>
    <t>66040100OAV SS SHIRT KOKO AVG STRIPE PATTERN B KKRT01B:LIGHT BLUE:9-10:STRIPES:SS SHIRT</t>
  </si>
  <si>
    <t>66040100OAV SS SHIRT KOKO AVG STRIPE PATTERN B KKRT01B:LIGHT BLUE:11-12:STRIPES:SS SHIRT</t>
  </si>
  <si>
    <t>66060100OAV SS SHIRT KOKO AVG STRIPE PATTERN C KKRT01C:LIGHT BLUE:13-14:STRIPES:SS SHIRT</t>
  </si>
  <si>
    <t>66060100OAV SS SHIRT KOKO AVG STRIPE PATTERN C KKRT01C:LIGHT BLUE:15-16:STRIPES:SS SHIRT</t>
  </si>
  <si>
    <t>DDHN06</t>
  </si>
  <si>
    <t>66060100STD TS DONALD KTG FACE NOTHING TO IT DDHN06:MISTY LIGHT GREY:7-8:GRAPHIC:SS T-SHIRT</t>
  </si>
  <si>
    <t>66060100STD TS DONALD KTG FACE NOTHING TO IT DDHN06:MISTY LIGHT GREY:9-10:GRAPHIC:SS T-SHIRT</t>
  </si>
  <si>
    <t>66060100STD TS DONALD KTG FACE NOTHING TO IT DDHN06:MISTY LIGHT GREY:11-12:GRAPHIC:SS T-SHIRT</t>
  </si>
  <si>
    <t>66060100STD TS DONALD KTG FACE NOTHING TO IT DDHN06:MISTY LIGHT GREY:13-14:GRAPHIC:SS T-SHIRT</t>
  </si>
  <si>
    <t>66060100STD TS DONALD KTG FACE NOTHING TO IT DDHN06:MISTY LIGHT GREY:15-16:GRAPHIC:SS T-SHIRT</t>
  </si>
  <si>
    <t>DDA10</t>
  </si>
  <si>
    <t>66020100STD TS DONALD DUCK SHOUT DDA10:CLASSIC YELLOW:3-4:GRAPHIC:SS T-SHIRT</t>
  </si>
  <si>
    <t>66020100STD TS DONALD DUCK SHOUT DDA10:CLASSIC YELLOW:4-5:GRAPHIC:SS T-SHIRT</t>
  </si>
  <si>
    <t>66020100STD TS DONALD DUCK SHOUT DDA10:CLASSIC YELLOW:5-6:GRAPHIC:SS T-SHIRT</t>
  </si>
  <si>
    <t>66040100STD TS DONALD DUCK SHOUT DDA10:CLASSIC YELLOW:7-8:GRAPHIC:SS T-SHIRT</t>
  </si>
  <si>
    <t>66040100STD TS DONALD DUCK SHOUT DDA10:CLASSIC YELLOW:9-10:GRAPHIC:SS T-SHIRT</t>
  </si>
  <si>
    <t>66040100STD TS DONALD DUCK SHOUT DDA10:CLASSIC YELLOW:11-12:GRAPHIC:SS T-SHIRT</t>
  </si>
  <si>
    <t>GNSW16</t>
  </si>
  <si>
    <t>66020100SWS  TS STARWARS FLOCKING FP GNSW16:WHITE:3-4:TEXT:SS T-SHIRT</t>
  </si>
  <si>
    <t>66020100SWS  TS STARWARS FLOCKING FP GNSW16:WHITE:4-5:TEXT:SS T-SHIRT</t>
  </si>
  <si>
    <t>66020100SWS  TS STARWARS FLOCKING FP GNSW16:WHITE:5-6:TEXT:SS T-SHIRT</t>
  </si>
  <si>
    <t>66040100SWS  TS STARWARS FLOCKING FP GNSW16:WHITE:7-8:TEXT:SS T-SHIRT</t>
  </si>
  <si>
    <t>66040100SWS  TS STARWARS FLOCKING FP GNSW16:WHITE:9-10:TEXT:SS T-SHIRT</t>
  </si>
  <si>
    <t>66040100SWS  TS STARWARS FLOCKING FP GNSW16:WHITE:11-12:TEXT:SS T-SHIRT</t>
  </si>
  <si>
    <t>66060100SWS  TS STARWARS FLOCKING FP GNSW16:WHITE:13-14:TEXT:SS T-SHIRT</t>
  </si>
  <si>
    <t>66060100SWS  TS STARWARS FLOCKING FP GNSW16:WHITE:15-16:TEXT:SS T-SHIRT</t>
  </si>
  <si>
    <t>TPSTR09</t>
  </si>
  <si>
    <t>68040202SWS TOP STARWARS TROOPER TPSTR09:BLACK:F:GRAPHIC:CAPS</t>
  </si>
  <si>
    <t>DDA19</t>
  </si>
  <si>
    <t>66020100STD TS DONALD FP 1934 DDA19:NAVY BLUE:3-4:PRINT:SS T-SHIRT</t>
  </si>
  <si>
    <t>66020100STD TS DONALD FP 1934 DDA19:NAVY BLUE:4-5:PRINT:SS T-SHIRT</t>
  </si>
  <si>
    <t>66020100STD TS DONALD FP 1934 DDA19:NAVY BLUE:5-6:PRINT:SS T-SHIRT</t>
  </si>
  <si>
    <t>66040100STD TS DONALD FP 1934 DDA19:NAVY BLUE:7-8:PRINT:SS T-SHIRT</t>
  </si>
  <si>
    <t>66040100STD TS DONALD FP 1934 DDA19:NAVY BLUE:9-10:PRINT:SS T-SHIRT</t>
  </si>
  <si>
    <t>66040100STD TS DONALD FP 1934 DDA19:NAVY BLUE:11-12:PRINT:SS T-SHIRT</t>
  </si>
  <si>
    <t>66060100STD TS DONALD FP 1934 DDA19:NAVY BLUE:13-14:PRINT:SS T-SHIRT</t>
  </si>
  <si>
    <t>66060100STD TS DONALD FP 1934 DDA19:NAVY BLUE:15-16:PRINT:SS T-SHIRT</t>
  </si>
  <si>
    <t>DDHN01</t>
  </si>
  <si>
    <t>66020100STD TS DONALD JUMP SHOUT STRIPE KTG DDHN01:MISTY LIGHT BLUE:3-4:GRAPHIC:SS T-SHIRT</t>
  </si>
  <si>
    <t>66020100STD TS DONALD JUMP SHOUT STRIPE KTG DDHN01:MISTY LIGHT BLUE:4-5:GRAPHIC:SS T-SHIRT</t>
  </si>
  <si>
    <t>66020100STD TS DONALD JUMP SHOUT STRIPE KTG DDHN01:MISTY LIGHT BLUE:5-6:GRAPHIC:SS T-SHIRT</t>
  </si>
  <si>
    <t>66040100STD TS DONALD JUMP SHOUT STRIPE KTG DDHN01:MISTY LIGHT BLUE:7-8:GRAPHIC:SS T-SHIRT</t>
  </si>
  <si>
    <t>66040100STD TS DONALD JUMP SHOUT STRIPE KTG DDHN01:MISTY LIGHT BLUE:9-10:GRAPHIC:SS T-SHIRT</t>
  </si>
  <si>
    <t>66040100STD TS DONALD JUMP SHOUT STRIPE KTG DDHN01:MISTY LIGHT BLUE:11-12:GRAPHIC:SS T-SHIRT</t>
  </si>
  <si>
    <t>DDHN02</t>
  </si>
  <si>
    <t>66020100STD TS DONALD FACE HALF FP DDHN02:NAVY BLUE:3-4:GRAPHIC:SS T-SHIRT</t>
  </si>
  <si>
    <t>66020100STD TS DONALD FACE HALF FP DDHN02:NAVY BLUE:4-5:GRAPHIC:SS T-SHIRT</t>
  </si>
  <si>
    <t>66020100STD TS DONALD FACE HALF FP DDHN02:NAVY BLUE:5-6:GRAPHIC:SS T-SHIRT</t>
  </si>
  <si>
    <t>66040100STD TS DONALD FACE HALF FP DDHN02:NAVY BLUE:7-8:GRAPHIC:SS T-SHIRT</t>
  </si>
  <si>
    <t>66040100STD TS DONALD FACE HALF FP DDHN02:NAVY BLUE:9-10:GRAPHIC:SS T-SHIRT</t>
  </si>
  <si>
    <t>66040100STD TS DONALD FACE HALF FP DDHN02:NAVY BLUE:11-12:GRAPHIC:SS T-SHIRT</t>
  </si>
  <si>
    <t>DDHN10</t>
  </si>
  <si>
    <t>66020100STD TS HOODIE DONALD NOTHIN TO IT CUTSEWN TAPE DDHN10:MISTY LIGHT BLUE:3-4:GRAPHIC:SS T-SHIR</t>
  </si>
  <si>
    <t>66020100STD TS HOODIE DONALD NOTHIN TO IT CUTSEWN TAPE DDHN10:MISTY LIGHT BLUE:4-5:GRAPHIC:SS T-SHIR</t>
  </si>
  <si>
    <t>66020100STD TS HOODIE DONALD NOTHIN TO IT CUTSEWN TAPE DDHN10:MISTY LIGHT BLUE:5-6:GRAPHIC:SS T-SHIR</t>
  </si>
  <si>
    <t>66040100STD TS HOODIE DONALD NOTHIN TO IT CUTSEWN TAPE DDHN10:MISTY LIGHT BLUE:7-8:GRAPHIC:SS T-SHIR</t>
  </si>
  <si>
    <t>66040100STD TS HOODIE DONALD NOTHIN TO IT CUTSEWN TAPE DDHN10:MISTY LIGHT BLUE:9-10:GRAPHIC:SS T-SHI</t>
  </si>
  <si>
    <t>66040100STD TS HOODIE DONALD NOTHIN TO IT CUTSEWN TAPE DDHN10:MISTY LIGHT BLUE:11-12:GRAPHIC:SS T-SH</t>
  </si>
  <si>
    <t>DDA25</t>
  </si>
  <si>
    <t>66020100STD TS DONALD TIEDYE BIG FACE DDA25:LIGHT BLUE:3-4:GRAPHIC:SS T-SHIRT</t>
  </si>
  <si>
    <t>66020100STD TS DONALD TIEDYE BIG FACE DDA25:LIGHT BLUE:4-5:GRAPHIC:SS T-SHIRT</t>
  </si>
  <si>
    <t>66020100STD TS DONALD TIEDYE BIG FACE DDA25:LIGHT BLUE:5-6:GRAPHIC:SS T-SHIRT</t>
  </si>
  <si>
    <t>66040100STD TS DONALD TIEDYE BIG FACE DDA25:LIGHT BLUE:7-8:GRAPHIC:SS T-SHIRT</t>
  </si>
  <si>
    <t>66040100STD TS DONALD TIEDYE BIG FACE DDA25:LIGHT BLUE:9-10:GRAPHIC:SS T-SHIRT</t>
  </si>
  <si>
    <t>66040100STD TS DONALD TIEDYE BIG FACE DDA25:LIGHT BLUE:11-12:GRAPHIC:SS T-SHIRT</t>
  </si>
  <si>
    <t>66060100STD TS DONALD TIEDYE BIG FACE DDA25:LIGHT BLUE:13-14:GRAPHIC:SS T-SHIRT</t>
  </si>
  <si>
    <t>66060100STD TS DONALD TIEDYE BIG FACE DDA25:LIGHT BLUE:15-16:GRAPHIC:SS T-SHIRT</t>
  </si>
  <si>
    <t>DDA23</t>
  </si>
  <si>
    <t>66020100STD TS DONALD TIEDYE FULL BODY  DDA23:CLASSIC YELLOW:3-4:GRAPHIC:SS T-SHIRT</t>
  </si>
  <si>
    <t>66020100STD TS DONALD TIEDYE FULL BODY  DDA23:CLASSIC YELLOW:4-5:GRAPHIC:SS T-SHIRT</t>
  </si>
  <si>
    <t>66020100STD TS DONALD TIEDYE FULL BODY  DDA23:CLASSIC YELLOW:5-6:GRAPHIC:SS T-SHIRT</t>
  </si>
  <si>
    <t>66040100STD TS DONALD TIEDYE FULL BODY  DDA23:CLASSIC YELLOW:7-8:GRAPHIC:SS T-SHIRT</t>
  </si>
  <si>
    <t>66040100STD TS DONALD TIEDYE FULL BODY  DDA23:CLASSIC YELLOW:9-10:GRAPHIC:SS T-SHIRT</t>
  </si>
  <si>
    <t>66040100STD TS DONALD TIEDYE FULL BODY  DDA23:CLASSIC YELLOW:11-12:GRAPHIC:SS T-SHIRT</t>
  </si>
  <si>
    <t>DDA11</t>
  </si>
  <si>
    <t>66020100STD TS DONALD ALL ME DDA11:NAVY BLUE:3-4:GRAPHIC:SS T-SHIRT</t>
  </si>
  <si>
    <t>66020100STD TS DONALD ALL ME DDA11:NAVY BLUE:4-5:GRAPHIC:SS T-SHIRT</t>
  </si>
  <si>
    <t>66020100STD TS DONALD ALL ME DDA11:NAVY BLUE:5-6:GRAPHIC:SS T-SHIRT</t>
  </si>
  <si>
    <t>66040100STD TS DONALD ALL ME DDA11:NAVY BLUE:7-8:GRAPHIC:SS T-SHIRT</t>
  </si>
  <si>
    <t>66040100STD TS DONALD ALL ME DDA11:NAVY BLUE:9-10:GRAPHIC:SS T-SHIRT</t>
  </si>
  <si>
    <t>66040100STD TS DONALD ALL ME DDA11:NAVY BLUE:11-12:GRAPHIC:SS T-SHIRT</t>
  </si>
  <si>
    <t>66060100STD TS DONALD ALL ME DDA11:NAVY BLUE:13-14:GRAPHIC:SS T-SHIRT</t>
  </si>
  <si>
    <t>66060100STD TS DONALD ALL ME DDA11:NAVY BLUE:15-16:GRAPHIC:SS T-SHIRT</t>
  </si>
  <si>
    <t>DDHN07</t>
  </si>
  <si>
    <t>66020100STD TS DONALD OH BOY CUTSEWN STRIPE DDHN07:CLASSIC YELLOW:3-4:GRAPHIC:SS T-SHIRT</t>
  </si>
  <si>
    <t>66020100STD TS DONALD OH BOY CUTSEWN STRIPE DDHN07:CLASSIC YELLOW:4-5:GRAPHIC:SS T-SHIRT</t>
  </si>
  <si>
    <t>66020100STD TS DONALD OH BOY CUTSEWN STRIPE DDHN07:CLASSIC YELLOW:5-6:GRAPHIC:SS T-SHIRT</t>
  </si>
  <si>
    <t>66040100STD TS DONALD OH BOY CUTSEWN STRIPE DDHN07:CLASSIC YELLOW:7-8:GRAPHIC:SS T-SHIRT</t>
  </si>
  <si>
    <t>66040100STD TS DONALD OH BOY CUTSEWN STRIPE DDHN07:CLASSIC YELLOW:9-10:GRAPHIC:SS T-SHIRT</t>
  </si>
  <si>
    <t>66040100STD TS DONALD OH BOY CUTSEWN STRIPE DDHN07:CLASSIC YELLOW:11-12:GRAPHIC:SS T-SHIRT</t>
  </si>
  <si>
    <t>TA10</t>
  </si>
  <si>
    <t>66020100TS TS WODDY TOYS AT PLAY KTG TA10:NAVY BLUE:3-4:GRAPHIC:SS T-SHIRT</t>
  </si>
  <si>
    <t>66020100TS TS WODDY TOYS AT PLAY KTG TA10:NAVY BLUE:4-5:GRAPHIC:SS T-SHIRT</t>
  </si>
  <si>
    <t>66020100TS TS WODDY TOYS AT PLAY KTG TA10:NAVY BLUE:5-6:GRAPHIC:SS T-SHIRT</t>
  </si>
  <si>
    <t>66040100TS TS WODDY TOYS AT PLAY KTG TA10:NAVY BLUE:7-8:GRAPHIC:SS T-SHIRT</t>
  </si>
  <si>
    <t>66040100TS TS WODDY TOYS AT PLAY KTG TA10:NAVY BLUE:9-10:GRAPHIC:SS T-SHIRT</t>
  </si>
  <si>
    <t>66040100TS TS WODDY TOYS AT PLAY KTG TA10:NAVY BLUE:11-12:GRAPHIC:SS T-SHIRT</t>
  </si>
  <si>
    <t>TA09</t>
  </si>
  <si>
    <t>66020100TS TS TOY STORY REX BACK PRINT KTG TA09:CLASSIC YELLOW:3-4:GRAPHIC:SS T-SHIRT</t>
  </si>
  <si>
    <t>66020100TS TS TOY STORY REX BACK PRINT KTG TA09:CLASSIC YELLOW:4-5:GRAPHIC:SS T-SHIRT</t>
  </si>
  <si>
    <t>66020100TS TS TOY STORY REX BACK PRINT KTG TA09:CLASSIC YELLOW:5-6:GRAPHIC:SS T-SHIRT</t>
  </si>
  <si>
    <t>66040100TS TS TOY STORY REX BACK PRINT KTG TA09:CLASSIC YELLOW:7-8:GRAPHIC:SS T-SHIRT</t>
  </si>
  <si>
    <t>66040100TS TS TOY STORY REX BACK PRINT KTG TA09:CLASSIC YELLOW:9-10:GRAPHIC:SS T-SHIRT</t>
  </si>
  <si>
    <t>66040100TS TS TOY STORY REX BACK PRINT KTG TA09:CLASSIC YELLOW:11-12:GRAPHIC:SS T-SHIRT</t>
  </si>
  <si>
    <t>THN04</t>
  </si>
  <si>
    <t>66020100TS TS REX NERVOUSAURUS TAIL THN04:NAVY BLUE:3-4:GRAPHIC:SS T-SHIRT</t>
  </si>
  <si>
    <t>66020100TS TS REX NERVOUSAURUS TAIL THN04:NAVY BLUE:4-5:GRAPHIC:SS T-SHIRT</t>
  </si>
  <si>
    <t>66020100TS TS REX NERVOUSAURUS TAIL THN04:NAVY BLUE:5-6:GRAPHIC:SS T-SHIRT</t>
  </si>
  <si>
    <t>66040100TS TS REX NERVOUSAURUS TAIL THN04:NAVY BLUE:7-8:GRAPHIC:SS T-SHIRT</t>
  </si>
  <si>
    <t>66040100TS TS REX NERVOUSAURUS TAIL THN04:NAVY BLUE:9-10:GRAPHIC:SS T-SHIRT</t>
  </si>
  <si>
    <t>66040100TS TS REX NERVOUSAURUS TAIL THN04:NAVY BLUE:11-12:GRAPHIC:SS T-SHIRT</t>
  </si>
  <si>
    <t>TA11</t>
  </si>
  <si>
    <t>66020100TS TS TOY STORY CHARACTER KOTAK LGN KTG TA11:CLASSIC YELLOW:3-4:GRAPHIC:SS T-SHIRT</t>
  </si>
  <si>
    <t>66020100TS TS TOY STORY CHARACTER KOTAK LGN KTG TA11:CLASSIC YELLOW:4-5:GRAPHIC:SS T-SHIRT</t>
  </si>
  <si>
    <t>66020100TS TS TOY STORY CHARACTER KOTAK LGN KTG TA11:CLASSIC YELLOW:5-6:GRAPHIC:SS T-SHIRT</t>
  </si>
  <si>
    <t>66040100TS TS TOY STORY CHARACTER KOTAK LGN KTG TA11:CLASSIC YELLOW:7-8:GRAPHIC:SS T-SHIRT</t>
  </si>
  <si>
    <t>66040100TS TS TOY STORY CHARACTER KOTAK LGN KTG TA11:CLASSIC YELLOW:9-10:GRAPHIC:SS T-SHIRT</t>
  </si>
  <si>
    <t>66040100TS TS TOY STORY CHARACTER KOTAK LGN KTG TA11:CLASSIC YELLOW:11-12:GRAPHIC:SS T-SHIRT</t>
  </si>
  <si>
    <t>THN06</t>
  </si>
  <si>
    <t>66020100TS TS WODDY STAND THN06:WHITE:3-4:GRAPHIC:SS T-SHIRT</t>
  </si>
  <si>
    <t>66020100TS TS WODDY STAND THN06:WHITE:4-5:GRAPHIC:SS T-SHIRT</t>
  </si>
  <si>
    <t>66020100TS TS WODDY STAND THN06:WHITE:5-6:GRAPHIC:SS T-SHIRT</t>
  </si>
  <si>
    <t>66040100TS TS WODDY STAND THN06:WHITE:7-8:GRAPHIC:SS T-SHIRT</t>
  </si>
  <si>
    <t>66040100TS TS WODDY STAND THN06:WHITE:9-10:GRAPHIC:SS T-SHIRT</t>
  </si>
  <si>
    <t>66040100TS TS WODDY STAND THN06:WHITE:11-12:GRAPHIC:SS T-SHIRT</t>
  </si>
  <si>
    <t>TN001</t>
  </si>
  <si>
    <t>66020100TS TS BUZZ LIGHTYEAR FLY TN001:MISTY MEDIUM BLUE:3-4:GRAPHIC:SS T-SHIRT</t>
  </si>
  <si>
    <t>66020100TS TS BUZZ LIGHTYEAR FLY TN001:MISTY MEDIUM BLUE:4-5:GRAPHIC:SS T-SHIRT</t>
  </si>
  <si>
    <t>66020100TS TS BUZZ LIGHTYEAR FLY TN001:MISTY MEDIUM BLUE:5-6:GRAPHIC:SS T-SHIRT</t>
  </si>
  <si>
    <t>66040100TS TS BUZZ LIGHTYEAR FLY  TN001:MISTY MEDIUM BLUE:7-8:GRAPHIC:SS T-SHIRT</t>
  </si>
  <si>
    <t>66040100TS TS BUZZ LIGHTYEAR FLY  TN001:MISTY MEDIUM BLUE:9-10:GRAPHIC:SS T-SHIRT</t>
  </si>
  <si>
    <t>66040100TS TS BUZZ LIGHTYEAR FLY  TN001:MISTY MEDIUM BLUE:11-12:GRAPHIC:SS T-SHIRT</t>
  </si>
  <si>
    <t>DDHN11</t>
  </si>
  <si>
    <t>66020100STD SWEATSHIRT DONALD DUCK FACE STRIPE DDHN11:MISTY LIGHT BLUE:3-4:TEXT:SWEATSHIRT</t>
  </si>
  <si>
    <t>66020100STD SWEATSHIRT DONALD DUCK FACE STRIPE DDHN11:MISTY LIGHT BLUE:4-5:TEXT:SWEATSHIRT</t>
  </si>
  <si>
    <t>66020100STD SWEATSHIRT DONALD DUCK FACE STRIPE DDHN11:MISTY LIGHT BLUE:5-6:TEXT:SWEATSHIRT</t>
  </si>
  <si>
    <t>66040100STD SWEATSHIRT DONALD DUCK FACE STRIPE DDHN11:MISTY LIGHT BLUE:7-8:TEXT:SWEATSHIRT</t>
  </si>
  <si>
    <t>66040100STD SWEATSHIRT DONALD DUCK FACE STRIPE DDHN11:MISTY LIGHT BLUE:9-10:TEXT:SWEATSHIRT</t>
  </si>
  <si>
    <t>66040100STD SWEATSHIRT DONALD DUCK FACE STRIPE DDHN11:MISTY LIGHT BLUE:11-12:TEXT:SWEATSHIRT</t>
  </si>
  <si>
    <t>HN37</t>
  </si>
  <si>
    <t>66020100OAV TS AVG CAPT AMRIK PRINT BLKG HN37:CLASSIC BLUE:3-4:GRAPHIC:SS T-SHIRT</t>
  </si>
  <si>
    <t>66020100OAV TS AVG CAPT AMRIK PRINT BLKG HN37:CLASSIC BLUE:4-5:GRAPHIC:SS T-SHIRT</t>
  </si>
  <si>
    <t>66020100OAV TS AVG CAPT AMRIK PRINT BLKG HN37:CLASSIC BLUE:5-6:GRAPHIC:SS T-SHIRT</t>
  </si>
  <si>
    <t>66020100OAV TS AVG CAPT AMRIK PRINT BLKG HN37:CLASSIC BLUE:7-8:GRAPHIC:SS T-SHIRT</t>
  </si>
  <si>
    <t>66020100OAV TS AVG CAPT AMRIK PRINT BLKG HN37:CLASSIC BLUE:9-10:GRAPHIC:SS T-SHIRT</t>
  </si>
  <si>
    <t>HN39</t>
  </si>
  <si>
    <t>66020100OAV TS AVG IRON MAN PRINT BLKG HN39:CLASSIC RED:3-4:GRAPHIC:SS T-SHIRT</t>
  </si>
  <si>
    <t>66020100OAV TS AVG IRON MAN PRINT BLKG HN39:CLASSIC RED:4-5:GRAPHIC:SS T-SHIRT</t>
  </si>
  <si>
    <t>66020100OAV TS AVG IRON MAN PRINT BLKG HN39:CLASSIC RED:5-6:GRAPHIC:SS T-SHIRT</t>
  </si>
  <si>
    <t>66020100OAV TS AVG IRON MAN PRINT BLKG HN39:CLASSIC RED:7-8:GRAPHIC:SS T-SHIRT</t>
  </si>
  <si>
    <t>66020100OAV TS AVG IRON MAN PRINT BLKG HN39:CLASSIC RED:9-10:GRAPHIC:SS T-SHIRT</t>
  </si>
  <si>
    <t>TSP107</t>
  </si>
  <si>
    <t>68040202MCS TOPI SPD FP TO THE RESCUE:PASTEL GREY:F:GRAPHIC:CAPS</t>
  </si>
  <si>
    <t>TPAVG26</t>
  </si>
  <si>
    <t>68040202OAV TOPI AVG MARVEL COMIC FP:BLACK:F:GRAPHIC:CAPS</t>
  </si>
  <si>
    <t>DDHN09</t>
  </si>
  <si>
    <t>66020100STD LP KNIT DONALD KTG PHOOEY DDHN09:NAVY BLUE:3-4:GRAPHIC:JOGGER</t>
  </si>
  <si>
    <t>66020100STD LP KNIT DONALD KTG PHOOEY DDHN09:NAVY BLUE:4-5:GRAPHIC:JOGGER</t>
  </si>
  <si>
    <t>66020100STD LP KNIT DONALD KTG PHOOEY DDHN09:NAVY BLUE:5-6:GRAPHIC:JOGGER</t>
  </si>
  <si>
    <t>66040100STD LP KNIT DONALD KTG PHOOEY DDHN09:NAVY BLUE:7-8:GRAPHIC:JOGGER</t>
  </si>
  <si>
    <t>66040100STD LP KNIT DONALD KTG PHOOEY DDHN09:NAVY BLUE:9-10:GRAPHIC:JOGGER</t>
  </si>
  <si>
    <t>66040100STD LP KNIT DONALD KTG PHOOEY DDHN09:NAVY BLUE:11-12:GRAPHIC:JOGGER</t>
  </si>
  <si>
    <t>TA14</t>
  </si>
  <si>
    <t>66020100TS LP KNIT TOY STORY HORSE KTG CARGO TA14:NAVY BLUE:3-4:GRAPHIC:JOGGER</t>
  </si>
  <si>
    <t>66020100TS LP KNIT TOY STORY HORSE KTG CARGO TA14:NAVY BLUE:4-5:GRAPHIC:JOGGER</t>
  </si>
  <si>
    <t>66020100TS LP KNIT TOY STORY HORSE KTG CARGO TA14:NAVY BLUE:5-6:GRAPHIC:JOGGER</t>
  </si>
  <si>
    <t>66040100TS LP KNIT TOY STORY HORSE KTG CARGO TA14:NAVY BLUE:7-8:GRAPHIC:JOGGER</t>
  </si>
  <si>
    <t>66040100TS LP KNIT TOY STORY HORSE KTG CARGO TA14:NAVY BLUE:9-10:GRAPHIC:JOGGER</t>
  </si>
  <si>
    <t>66040100TS LP KNIT TOY STORY HORSE KTG CARGO TA14:NAVY BLUE:11-12:GRAPHIC:JOGGER</t>
  </si>
  <si>
    <t>DDHN08</t>
  </si>
  <si>
    <t>66020100STD CP KNIT DONALD FACE STRIPE DDHN08:NAVY BLUE:3-4:GRAPHIC:SHORT PANTS</t>
  </si>
  <si>
    <t>66020100STD CP KNIT DONALD FACE STRIPE DDHN08:NAVY BLUE:4-5:GRAPHIC:SHORT PANTS</t>
  </si>
  <si>
    <t>66020100STD CP KNIT DONALD FACE STRIPE DDHN08:NAVY BLUE:5-6:GRAPHIC:SHORT PANTS</t>
  </si>
  <si>
    <t>66040100STD CP KNIT DONALD FACE STRIPE DDHN08:NAVY BLUE:7-8:GRAPHIC:SHORT PANTS</t>
  </si>
  <si>
    <t>66040100STD CP KNIT DONALD FACE STRIPE DDHN08:NAVY BLUE:9-10:GRAPHIC:SHORT PANTS</t>
  </si>
  <si>
    <t>66040100STD CP KNIT DONALD FACE STRIPE DDHN08:NAVY BLUE:11-12:GRAPHIC:SHORT PANTS</t>
  </si>
  <si>
    <t>TA15</t>
  </si>
  <si>
    <t>66020100TS CP KNIT TOY STORY TO THE RESCUE KTG TA15:MISTY MEDIUM GREY:3-4:GRAPHIC:SHORT PANTS</t>
  </si>
  <si>
    <t>66020100TS CP KNIT TOY STORY TO THE RESCUE KTG TA15:MISTY MEDIUM GREY:4-5:GRAPHIC:SHORT PANTS</t>
  </si>
  <si>
    <t>66020100TS CP KNIT TOY STORY TO THE RESCUE KTG TA15:MISTY MEDIUM GREY:5-6:GRAPHIC:SHORT PANTS</t>
  </si>
  <si>
    <t>66040100TS CP KNIT TOY STORY TO THE RESCUE KTG  TA15:MISTY MEDIUM GREY:7-8:GRAPHIC:SHORT PANTS</t>
  </si>
  <si>
    <t>66040100TS CP KNIT TOY STORY TO THE RESCUE KTG  TA15:MISTY MEDIUM GREY:9-10:GRAPHIC:SHORT PANTS</t>
  </si>
  <si>
    <t>66040100TS CP KNIT TOY STORY TO THE RESCUE KTG  TA15:MISTY MEDIUM GREY:11-12:GRAPHIC:SHORT PANTS</t>
  </si>
  <si>
    <t>LKN14</t>
  </si>
  <si>
    <t>66020100LK TS LION KING SIMBA CUB PAWS LKN14:MISTY LIGHT GREY:3-4:GRAPHIC:SS T-SHIRT</t>
  </si>
  <si>
    <t>66020100LK TS LION KING SIMBA CUB PAWS LKN14:MISTY LIGHT GREY:4-5:GRAPHIC:SS T-SHIRT</t>
  </si>
  <si>
    <t>66020100LK TS LION KING SIMBA CUB PAWS LKN14:MISTY LIGHT GREY:5-6:GRAPHIC:SS T-SHIRT</t>
  </si>
  <si>
    <t>66020100LK TS LION KING SIMBA CUB PAWS LKN14:MISTY LIGHT GREY:7-8:GRAPHIC:SS T-SHIRT</t>
  </si>
  <si>
    <t>66020100LK TS LION KING SIMBA CUB PAWS LKN14:MISTY LIGHT GREY:9-10:GRAPHIC:SS T-SHIRT</t>
  </si>
  <si>
    <t>LKN09</t>
  </si>
  <si>
    <t>66020100LK TS LION KING SIMBA HEAR ME ROAR LKN09:MUSTARD:3-4:GRAPHIC:SS T-SHIRT</t>
  </si>
  <si>
    <t>66020100LK TS LION KING SIMBA HEAR ME ROAR LKN09:MUSTARD:4-5:GRAPHIC:SS T-SHIRT</t>
  </si>
  <si>
    <t>66020100LK TS LION KING SIMBA HEAR ME ROAR LKN09:MUSTARD:5-6:GRAPHIC:SS T-SHIRT</t>
  </si>
  <si>
    <t>66020100LK TS LION KING SIMBA HEAR ME ROAR LKN09:MUSTARD:7-8:GRAPHIC:SS T-SHIRT</t>
  </si>
  <si>
    <t>66020100LK TS LION KING SIMBA HEAR ME ROAR LKN09:MUSTARD:9-10:GRAPHIC:SS T-SHIRT</t>
  </si>
  <si>
    <t>GNDN03</t>
  </si>
  <si>
    <t>66020100LK TS LION KING SIMBA PUFF FP GNDN03:PASTEL YELLOW:3-4:GRAPHIC:SS T-SHIRT</t>
  </si>
  <si>
    <t>66020100LK TS LION KING SIMBA PUFF FP GNDN03:PASTEL YELLOW:4-5:GRAPHIC:SS T-SHIRT</t>
  </si>
  <si>
    <t>66020100LK TS LION KING SIMBA PUFF FP GNDN03:PASTEL YELLOW:5-6:GRAPHIC:SS T-SHIRT</t>
  </si>
  <si>
    <t>66020100LK TS LION KING SIMBA PUFF FP GNDN03:PASTEL YELLOW:7-8:GRAPHIC:SS T-SHIRT</t>
  </si>
  <si>
    <t>66020100LK TS LION KING SIMBA PUFF FP GNDN03:PASTEL YELLOW:9-10:GRAPHIC:SS T-SHIRT</t>
  </si>
  <si>
    <t>LKN12</t>
  </si>
  <si>
    <t>66020100LK TS LION KING SIMBA HALF BODY LKN12:CLASSIC GREEN:3-4:GRAPHIC:SS T-SHIRT</t>
  </si>
  <si>
    <t>66020100LK TS LION KING SIMBA HALF BODY LKN12:CLASSIC GREEN:4-5:GRAPHIC:SS T-SHIRT</t>
  </si>
  <si>
    <t>66020100LK TS LION KING SIMBA HALF BODY LKN12:CLASSIC GREEN:5-6:GRAPHIC:SS T-SHIRT</t>
  </si>
  <si>
    <t>66020100LK TS LION KING SIMBA HALF BODY LKN12:CLASSIC GREEN:7-8:GRAPHIC:SS T-SHIRT</t>
  </si>
  <si>
    <t>66020100LK TS LION KING SIMBA HALF BODY LKN12:CLASSIC GREEN:9-10:GRAPHIC:SS T-SHIRT</t>
  </si>
  <si>
    <t>LKN10</t>
  </si>
  <si>
    <t>66020100LK TS LION KING SIMBA SIT LKN10:MISTY DARK GREY:3-4:GRAPHIC:SS T-SHIRT</t>
  </si>
  <si>
    <t>66020100LK TS LION KING SIMBA SIT LKN10:MISTY DARK GREY:4-5:GRAPHIC:SS T-SHIRT</t>
  </si>
  <si>
    <t>66020100LK TS LION KING SIMBA SIT LKN10:MISTY DARK GREY:5-6:GRAPHIC:SS T-SHIRT</t>
  </si>
  <si>
    <t>66020100LK TS LION KING SIMBA SIT LKN10:MISTY DARK GREY:7-8:GRAPHIC:SS T-SHIRT</t>
  </si>
  <si>
    <t>66020100LK TS LION KING SIMBA SIT LKN10:MISTY DARK GREY:9-10:GRAPHIC:SS T-SHIRT</t>
  </si>
  <si>
    <t>GNSPD28</t>
  </si>
  <si>
    <t>66020100MCS TS SPD FACE BACKGROUND WORDING GNSPD28:CLASSIC RED:3-4:GRAPHIC:SS T-SHIRT</t>
  </si>
  <si>
    <t>66020100MCS TS SPD FACE BACKGROUND WORDING GNSPD28:CLASSIC RED:4-5:GRAPHIC:SS T-SHIRT</t>
  </si>
  <si>
    <t>66020100MCS TS SPD FACE BACKGROUND WORDING GNSPD28:CLASSIC RED:5-6:GRAPHIC:SS T-SHIRT</t>
  </si>
  <si>
    <t>66040100MCS TS SPD FACE BACKGROUND WORDING GNSPD28:CLASSIC RED:7-8:GRAPHIC:SS T-SHIRT</t>
  </si>
  <si>
    <t>66040100MCS TS SPD FACE BACKGROUND WORDING GNSPD28:CLASSIC RED:9-10:GRAPHIC:SS T-SHIRT</t>
  </si>
  <si>
    <t>66040100MCS TS SPD FACE BACKGROUND WORDING GNSPD28:CLASSIC RED:11-12:GRAPHIC:SS T-SHIRT</t>
  </si>
  <si>
    <t>66060100MCS TS SPD FACE BACKGROUND WORDING GNSPD28:CLASSIC RED:13-14:GRAPHIC:SS T-SHIRT</t>
  </si>
  <si>
    <t>66060100MCS TS SPD FACE BACKGROUND WORDING GNSPD28:CLASSIC RED:15-16:GRAPHIC:SS T-SHIRT</t>
  </si>
  <si>
    <t>TPSPD29</t>
  </si>
  <si>
    <t>68040202MCS TOPI SPD FACE SPLASH MESH TPSPD29:CLASSIC RED:F:GRAPHIC:SS T-SHIRT</t>
  </si>
  <si>
    <t>TSNT15</t>
  </si>
  <si>
    <t>66020100TS TS TOY STORY REX FACE SMILE TAIL TSNT15:OLIVE:3-4:GRAPHIC:SS T-SHIRT</t>
  </si>
  <si>
    <t>66020100TS TS TOY STORY REX FACE SMILE TAIL TSNT15:OLIVE:4-5:GRAPHIC:SS T-SHIRT</t>
  </si>
  <si>
    <t>66020100TS TS TOY STORY REX FACE SMILE TAIL TSNT15:OLIVE:5-6:GRAPHIC:SS T-SHIRT</t>
  </si>
  <si>
    <t>66020100TS TS TOY STORY REX FACE SMILE TAIL TSNT15:OLIVE:7-8:GRAPHIC:SS T-SHIRT</t>
  </si>
  <si>
    <t>66020100TS TS TOY STORY REX FACE SMILE TAIL TSNT15:OLIVE:9-10:GRAPHIC:SS T-SHIRT</t>
  </si>
  <si>
    <t>TSN026</t>
  </si>
  <si>
    <t>66020100TS TS TOY STORY REX FEAR ME PLEASE TSN026:MISTY LIGHT KHAKI:3-4:GRAPHIC:SS T-SHIRT</t>
  </si>
  <si>
    <t>66020100TS TS TOY STORY REX FEAR ME PLEASE TSN026:MISTY LIGHT KHAKI:4-5:GRAPHIC:SS T-SHIRT</t>
  </si>
  <si>
    <t>66020100TS TS TOY STORY REX FEAR ME PLEASE TSN026:MISTY LIGHT KHAKI:5-6:GRAPHIC:SS T-SHIRT</t>
  </si>
  <si>
    <t>66020100TS TS TOY STORY REX FEAR ME PLEASE TSN026:MISTY LIGHT KHAKI:7-8:GRAPHIC:SS T-SHIRT</t>
  </si>
  <si>
    <t>66020100TS TS TOY STORY REX FEAR ME PLEASE TSN026:MISTY LIGHT KHAKI:9-10:GRAPHIC:SS T-SHIRT</t>
  </si>
  <si>
    <t>HNT18</t>
  </si>
  <si>
    <t>66040100SWS TS STARWARS DARTH VADER DARK SIDE HNT18:BLACK:5-6:GRAPHIC:SS T-SHIRT</t>
  </si>
  <si>
    <t>66040100SWS TS STARWARS DARTH VADER DARK SIDE HNT18:BLACK:7-8:GRAPHIC:SS T-SHIRT</t>
  </si>
  <si>
    <t>66040100SWS TS STARWARS DARTH VADER DARK SIDE HNT18:BLACK:9-10:GRAPHIC:SS T-SHIRT</t>
  </si>
  <si>
    <t>66040100SWS TS STARWARS DARTH VADER DARK SIDE HNT18:BLACK:11-12:GRAPHIC:SS T-SHIRT</t>
  </si>
  <si>
    <t>66040100SWS TS STARWARS DARTH VADER DARK SIDE HNT18:BLACK:13-14:GRAPHIC:SS T-SHIRT</t>
  </si>
  <si>
    <t>66040100SWS TS STARWARS DARTH VADER DARK SIDE HNT18:BLACK:15-16:GRAPHIC:SS T-SHIRT</t>
  </si>
  <si>
    <t>GNAVG38R</t>
  </si>
  <si>
    <t>66020100OAV TS AVG MARVEL EMBOSS CHAR FP GNAVG38R:CLASSIC RED:3-4:TEXT:SS T-SHIRT</t>
  </si>
  <si>
    <t>66020100OAV TS AVG MARVEL EMBOSS CHAR FP GNAVG38R:CLASSIC RED:4-5:TEXT:SS T-SHIRT</t>
  </si>
  <si>
    <t>66020100OAV TS AVG MARVEL EMBOSS CHAR FP GNAVG38R:CLASSIC RED:5-6:TEXT:SS T-SHIRT</t>
  </si>
  <si>
    <t>66020100OAV TS AVG MARVEL EMBOSS CHAR FP GNAVG38R:CLASSIC RED:7-8:TEXT:SS T-SHIRT</t>
  </si>
  <si>
    <t>66020100OAV TS AVG MARVEL EMBOSS CHAR FP GNAVG38R:CLASSIC RED:9-10:TEXT:SS T-SHIRT</t>
  </si>
  <si>
    <t>66020100OAV TS AVG MARVEL EMBOSS CHAR FP GNAVG38R:CLASSIC RED:11-12:TEXT:SS T-SHIRT</t>
  </si>
  <si>
    <t>66020100OAV TS AVG MARVEL EMBOSS CHAR FP GNAVG38R:CLASSIC RED:13-14:TEXT:SS T-SHIRT</t>
  </si>
  <si>
    <t>66020100OAV TS AVG MARVEL EMBOSS CHAR FP GNAVG38R:CLASSIC RED:15-16:TEXT:SS T-SHIRT</t>
  </si>
  <si>
    <t>GNAVGT52</t>
  </si>
  <si>
    <t>66020100OAV TS AVG ASSEMBLE CHARACTER GNAVGT52:PASTEL ORANGE:3-4:GRAPHIC:SS T-SHIRT</t>
  </si>
  <si>
    <t>66020100OAV TS AVG ASSEMBLE CHARACTER GNAVGT52:PASTEL ORANGE:4-5:GRAPHIC:SS T-SHIRT</t>
  </si>
  <si>
    <t>66020100OAV TS AVG ASSEMBLE CHARACTER GNAVGT52:PASTEL ORANGE:5-6:GRAPHIC:SS T-SHIRT</t>
  </si>
  <si>
    <t>66020100OAV TS AVG ASSEMBLE CHARACTER GNAVGT52:PASTEL ORANGE:7-8:GRAPHIC:SS T-SHIRT</t>
  </si>
  <si>
    <t>66020100OAV TS AVG ASSEMBLE CHARACTER GNAVGT52:PASTEL ORANGE:9-10:GRAPHIC:SS T-SHIRT</t>
  </si>
  <si>
    <t>66020100OAV TS AVG ASSEMBLE CHARACTER GNAVGT52:PASTEL ORANGE:11-12:GRAPHIC:SS T-SHIRT</t>
  </si>
  <si>
    <t>66020100OAV TS AVG ASSEMBLE CHARACTER GNAVGT52:PASTEL ORANGE:13-14:GRAPHIC:SS T-SHIRT</t>
  </si>
  <si>
    <t>66020100OAV TS AVG ASSEMBLE CHARACTER GNAVGT52:PASTEL ORANGE:15-16:GRAPHIC:SS T-SHIRT</t>
  </si>
  <si>
    <t>A829</t>
  </si>
  <si>
    <t>66020100MCS TS SPD FACE AMAZING SCRATCH A829:CLASSIC RED:3-4:GRAPHIC:SS T-SHIRT</t>
  </si>
  <si>
    <t>66020100MCS TS SPD FACE AMAZING SCRATCH A829:CLASSIC RED:4-5:GRAPHIC:SS T-SHIRT</t>
  </si>
  <si>
    <t>66020100MCS TS SPD FACE AMAZING SCRATCH A829:CLASSIC RED:5-6:GRAPHIC:SS T-SHIRT</t>
  </si>
  <si>
    <t>66020100MCS TS SPD FACE AMAZING SCRATCH A829:CLASSIC RED:7-8:GRAPHIC:SS T-SHIRT</t>
  </si>
  <si>
    <t>66020100MCS TS SPD FACE AMAZING SCRATCH A829:CLASSIC RED:9-10:GRAPHIC:SS T-SHIRT</t>
  </si>
  <si>
    <t>66020100MCS TS SPD FACE AMAZING SCRATCH A829:CLASSIC RED:11-12:GRAPHIC:SS T-SHIRT</t>
  </si>
  <si>
    <t>66020100MCS TS SPD FACE AMAZING SCRATCH A829:CLASSIC RED:13-14:GRAPHIC:SS T-SHIRT</t>
  </si>
  <si>
    <t>66020100MCS TS SPD FACE AMAZING SCRATCH A829:CLASSIC RED:15-16:GRAPHIC:SS T-SHIRT</t>
  </si>
  <si>
    <t>HR0435</t>
  </si>
  <si>
    <t>66020100MCS TS SPD THE AMAZING CUTSEWN STRIPE JARING  HR0435:WHITE:3-4:GRAPHIC:SS T-SHIRT</t>
  </si>
  <si>
    <t>66020100MCS TS SPD THE AMAZING CUTSEWN STRIPE JARING  HR0435:WHITE:4-5:GRAPHIC:SS T-SHIRT</t>
  </si>
  <si>
    <t>66020100MCS TS SPD THE AMAZING CUTSEWN STRIPE JARING  HR0435:WHITE:5-6:GRAPHIC:SS T-SHIRT</t>
  </si>
  <si>
    <t>66020100MCS TS SPD THE AMAZING CUTSEWN STRIPE JARING  HR0435:WHITE:7-8:GRAPHIC:SS T-SHIRT</t>
  </si>
  <si>
    <t>66020100MCS TS SPD THE AMAZING CUTSEWN STRIPE JARING  HR0435:WHITE:9-10:GRAPHIC:SS T-SHIRT</t>
  </si>
  <si>
    <t>66020100MCS TS SPD THE AMAZING CUTSEWN STRIPE JARING  HR0435:WHITE:11-12:GRAPHIC:SS T-SHIRT</t>
  </si>
  <si>
    <t>66020100MCS TS SPD THE AMAZING CUTSEWN STRIPE JARING  HR0435:WHITE:13-14:GRAPHIC:SS T-SHIRT</t>
  </si>
  <si>
    <t>66020100MCS TS SPD THE AMAZING CUTSEWN STRIPE JARING  HR0435:WHITE:15-16:GRAPHIC:SS T-SHIRT</t>
  </si>
  <si>
    <t>A9330</t>
  </si>
  <si>
    <t>66020100MCS TS SPD KOTAK PHOTO FRAME MARBLE  A9330:MISTY MEDIUM BLUE:3-4:GRAPHIC:SS T-SHIRT</t>
  </si>
  <si>
    <t>66020100MCS TS SPD KOTAK PHOTO FRAME MARBLE  A9330:MISTY MEDIUM BLUE:4-5:GRAPHIC:SS T-SHIRT</t>
  </si>
  <si>
    <t>66020100MCS TS SPD KOTAK PHOTO FRAME MARBLE  A9330:MISTY MEDIUM BLUE:5-6:GRAPHIC:SS T-SHIRT</t>
  </si>
  <si>
    <t>66020100MCS TS SPD KOTAK PHOTO FRAME MARBLE  A9330:MISTY MEDIUM BLUE:7-8:GRAPHIC:SS T-SHIRT</t>
  </si>
  <si>
    <t>66020100MCS TS SPD KOTAK PHOTO FRAME MARBLE  A9330:MISTY MEDIUM BLUE:9-10:GRAPHIC:SS T-SHIRT</t>
  </si>
  <si>
    <t>66020100MCS TS SPD KOTAK PHOTO FRAME MARBLE  A9330:MISTY MEDIUM BLUE:11-12:GRAPHIC:SS T-SHIRT</t>
  </si>
  <si>
    <t>66020100MCS TS SPD KOTAK PHOTO FRAME MARBLE  A9330:MISTY MEDIUM BLUE:13-14:GRAPHIC:SS T-SHIRT</t>
  </si>
  <si>
    <t>66020100MCS TS SPD KOTAK PHOTO FRAME MARBLE  A9330:MISTY MEDIUM BLUE:15-16:GRAPHIC:SS T-SHIRT</t>
  </si>
  <si>
    <t>HRT394</t>
  </si>
  <si>
    <t>66020100OAV TS AVG TEAM STAR LGN STRIPE HRT394:NAVY BLUE:3-4:GRAPHIC:SS T-SHIRT</t>
  </si>
  <si>
    <t>66020100OAV TS AVG TEAM STAR LGN STRIPE HRT394:NAVY BLUE:4-5:GRAPHIC:SS T-SHIRT</t>
  </si>
  <si>
    <t>66020100OAV TS AVG TEAM STAR LGN STRIPE HRT394:NAVY BLUE:5-6:GRAPHIC:SS T-SHIRT</t>
  </si>
  <si>
    <t>66040100OAV TS AVG TEAM STAR LGN STRIPE HRT394:NAVY BLUE:7-8:GRAPHIC:SS T-SHIRT</t>
  </si>
  <si>
    <t>66040100OAV TS AVG TEAM STAR LGN STRIPE HRT394:NAVY BLUE:9-10:GRAPHIC:SS T-SHIRT</t>
  </si>
  <si>
    <t>66040100OAV TS AVG TEAM STAR LGN STRIPE HRT394:NAVY BLUE:11-12:GRAPHIC:SS T-SHIRT</t>
  </si>
  <si>
    <t>66060100OAV TS AVG TEAM STAR LGN STRIPE HRT394:NAVY BLUE:13-14:GRAPHIC:SS T-SHIRT</t>
  </si>
  <si>
    <t>66060100OAV TS AVG TEAM STAR LGN STRIPE HRT394:NAVY BLUE:15-16:GRAPHIC:SS T-SHIRT</t>
  </si>
  <si>
    <t>HRT386</t>
  </si>
  <si>
    <t>66020100OAV TS AVG LEGEND NEVER DIE SCRATHES HRT386:CLASSIC RED:3-4:TEXT:SS T-SHIRT</t>
  </si>
  <si>
    <t>66020100OAV TS AVG LEGEND NEVER DIE SCRATHES HRT386:CLASSIC RED:4-5:TEXT:SS T-SHIRT</t>
  </si>
  <si>
    <t>66020100OAV TS AVG LEGEND NEVER DIE SCRATHES HRT386:CLASSIC RED:5-6:TEXT:SS T-SHIRT</t>
  </si>
  <si>
    <t>66040100OAV TS AVG LEGEND NEVER DIE SCRATHES HRT386:CLASSIC RED:7-8:TEXT:SS T-SHIRT</t>
  </si>
  <si>
    <t>66040100OAV TS AVG LEGEND NEVER DIE SCRATHES HRT386:CLASSIC RED:9-10:TEXT:SS T-SHIRT</t>
  </si>
  <si>
    <t>66040100OAV TS AVG LEGEND NEVER DIE SCRATHES HRT386:CLASSIC RED:11-12:TEXT:SS T-SHIRT</t>
  </si>
  <si>
    <t>66060100OAV TS AVG LEGEND NEVER DIE SCRATHES HRT386:CLASSIC RED:13-14:TEXT:SS T-SHIRT</t>
  </si>
  <si>
    <t>66060100OAV TS AVG LEGEND NEVER DIE SCRATHES HRT386:CLASSIC RED:15-16:TEXT:SS T-SHIRT</t>
  </si>
  <si>
    <t>GNAVG17</t>
  </si>
  <si>
    <t>66020100OAV LP KNIT AVG LOGO CUTSEWN NEPPI  GNAVG17:MISTY MEDIUM GREY:3-4:GRAPHIC:JOGGER</t>
  </si>
  <si>
    <t>66020100OAV LP KNIT AVG LOGO CUTSEWN NEPPI  GNAVG17:MISTY MEDIUM GREY:4-5:GRAPHIC:JOGGER</t>
  </si>
  <si>
    <t>66040100OAV LP KNIT AVG LOGO CUTSEWN NEPPI  GNAVG17:MISTY MEDIUM GREY:5-6:GRAPHIC:JOGGER</t>
  </si>
  <si>
    <t>66040100OAV LP KNIT AVG LOGO CUTSEWN NEPPI  GNAVG17:MISTY MEDIUM GREY:7-8:GRAPHIC:JOGGER</t>
  </si>
  <si>
    <t>66040100OAV LP KNIT AVG LOGO CUTSEWN NEPPI  GNAVG17:MISTY MEDIUM GREY:9-10:GRAPHIC:JOGGER</t>
  </si>
  <si>
    <t>66060100OAV LP KNIT AVG LOGO CUTSEWN NEPPI GNAVG17:MISTY MEDIUM GREY:11-12:GRAPHIC:JOGGER</t>
  </si>
  <si>
    <t>66060100OAV LP KNIT AVG LOGO CUTSEWN NEPPI GNAVG17:MISTY MEDIUM GREY:13-14:GRAPHIC:JOGGER</t>
  </si>
  <si>
    <t>66060100OAV LP KNIT AVG LOGO CUTSEWN NEPPI GNAVG17:MISTY MEDIUM GREY:15-16:GRAPHIC:JOGGER</t>
  </si>
  <si>
    <t>TSTN27</t>
  </si>
  <si>
    <t>66020100TS TS TOY STORY REX CUCUK TSTN27:CLASSIC YELLOW:3-4:GRAPHIC:SS T-SHIRT</t>
  </si>
  <si>
    <t>66020100TS TS TOY STORY REX CUCUK TSTN27:CLASSIC YELLOW:4-5:GRAPHIC:SS T-SHIRT</t>
  </si>
  <si>
    <t>66020100TS TS TOY STORY REX CUCUK TSTN27:CLASSIC YELLOW:5-6:GRAPHIC:SS T-SHIRT</t>
  </si>
  <si>
    <t>66020100TS TS TOY STORY REX CUCUK TSTN27:CLASSIC YELLOW:7-8:GRAPHIC:SS T-SHIRT</t>
  </si>
  <si>
    <t>66020100TS TS TOY STORY REX CUCUK TSTN27:CLASSIC YELLOW:9-10:GRAPHIC:SS T-SHIRT</t>
  </si>
  <si>
    <t>A462</t>
  </si>
  <si>
    <t>66020100OAV TS AVG CHARACTER KOTAK PANJANG A462:CLASSIC RED:3-4:GRAPHIC:SS T-SHIRT</t>
  </si>
  <si>
    <t>66020100OAV TS AVG CHARACTER KOTAK PANJANG A462:CLASSIC RED:4-5:GRAPHIC:SS T-SHIRT</t>
  </si>
  <si>
    <t>66020100OAV TS AVG CHARACTER KOTAK PANJANG A462:CLASSIC RED:5-6:GRAPHIC:SS T-SHIRT</t>
  </si>
  <si>
    <t>66040100OAV TS AVG CHARACTER KOTAK PANJANG A462:CLASSIC RED:7-8:GRAPHIC:SS T-SHIRT</t>
  </si>
  <si>
    <t>66040100OAV TS AVG CHARACTER KOTAK PANJANG A462:CLASSIC RED:9-10:GRAPHIC:SS T-SHIRT</t>
  </si>
  <si>
    <t>66040100OAV TS AVG CHARACTER KOTAK PANJANG A462:CLASSIC RED:11-12:GRAPHIC:SS T-SHIRT</t>
  </si>
  <si>
    <t>66060100OAV TS AVG CHARACTER KOTAK PANJANG A462:CLASSIC RED:13-14:GRAPHIC:SS T-SHIRT</t>
  </si>
  <si>
    <t>66060100OAV TS AVG CHARACTER KOTAK PANJANG A462:CLASSIC RED:15-16:GRAPHIC:SS T-SHIRT</t>
  </si>
  <si>
    <t>HR409</t>
  </si>
  <si>
    <t>66040100OAV TS AVG LOGO CLUB FP SPLASH LGN STRIPE HR409:NAVY BLUE:5-6:GRAPHIC:SS T-SHIRT</t>
  </si>
  <si>
    <t>66040100OAV TS AVG LOGO CLUB FP SPLASH LGN STRIPE HR409:NAVY BLUE:7-8:GRAPHIC:SS T-SHIRT</t>
  </si>
  <si>
    <t>66040100OAV TS AVG LOGO CLUB FP SPLASH LGN STRIPE HR409:NAVY BLUE:9-10:GRAPHIC:SS T-SHIRT</t>
  </si>
  <si>
    <t>66060100OAV TS AVG LOGO CLUB FP SPLASH LGN STRIPE HR409:NAVY BLUE:11-12:GRAPHIC:SS T-SHIRT</t>
  </si>
  <si>
    <t>66060100OAV TS AVG LOGO CLUB FP SPLASH LGN STRIPE HR409:NAVY BLUE:13-14:GRAPHIC:SS T-SHIRT</t>
  </si>
  <si>
    <t>66060100OAV TS AVG LOGO CLUB FP SPLASH LGN STRIPE HR409:NAVY BLUE:15-16:GRAPHIC:SS T-SHIRT</t>
  </si>
  <si>
    <t>GNAVG56</t>
  </si>
  <si>
    <t>66020100OAV TS AVG IRON MAN PUFF GNAVG56:NAVY BLUE:3-4:GRAPHIC:SS T-SHIRT</t>
  </si>
  <si>
    <t>66020100OAV TS AVG IRON MAN PUFF GNAVG56:NAVY BLUE:4-5:GRAPHIC:SS T-SHIRT</t>
  </si>
  <si>
    <t>66020100OAV TS AVG IRON MAN PUFF GNAVG56:NAVY BLUE:5-6:GRAPHIC:SS T-SHIRT</t>
  </si>
  <si>
    <t>66040100OAV TS AVG IRON MAN PUFF GNAVG56:NAVY BLUE:7-8:GRAPHIC:SS T-SHIRT</t>
  </si>
  <si>
    <t>66040100OAV TS AVG IRON MAN PUFF GNAVG56:NAVY BLUE:9-10:GRAPHIC:SS T-SHIRT</t>
  </si>
  <si>
    <t>66040100OAV TS AVG IRON MAN PUFF GNAVG56:NAVY BLUE:11-12:GRAPHIC:SS T-SHIRT</t>
  </si>
  <si>
    <t>GNAVG34</t>
  </si>
  <si>
    <t>66040100OAV TS AVG LOGO MARVEL FP MARBLE GNAVG34:WHITE:5-6:PRINT:SS T-SHIRT</t>
  </si>
  <si>
    <t>66040100OAV TS AVG LOGO MARVEL FP MARBLE GNAVG34:WHITE:7-8:PRINT:SS T-SHIRT</t>
  </si>
  <si>
    <t>66040100OAV TS AVG LOGO MARVEL FP MARBLE GNAVG34:WHITE:9-10:PRINT:SS T-SHIRT</t>
  </si>
  <si>
    <t>66060100OAV TS AVG LOGO MARVEL FP MARBLE GNAVG34:WHITE:11-12:PRINT:SS T-SHIRT</t>
  </si>
  <si>
    <t>66060100OAV TS AVG LOGO MARVEL FP MARBLE GNAVG34:WHITE:13-14:PRINT:SS T-SHIRT</t>
  </si>
  <si>
    <t>66060100OAV TS AVG LOGO MARVEL FP MARBLE GNAVG34:WHITE:15-16:PRINT:SS T-SHIRT</t>
  </si>
  <si>
    <t>GNAVG46</t>
  </si>
  <si>
    <t>66020100OAV TS AVG CUTSEWN HERO FOR LIFE GNAVG46:MISTY LIGHT BLUE:3-4:GRAPHIC:SS T-SHIRT</t>
  </si>
  <si>
    <t>66020100OAV TS AVG CUTSEWN HERO FOR LIFE GNAVG46:MISTY LIGHT BLUE:4-5:GRAPHIC:SS T-SHIRT</t>
  </si>
  <si>
    <t>66020100OAV TS AVG CUTSEWN HERO FOR LIFE GNAVG46:MISTY LIGHT BLUE:5-6:GRAPHIC:SS T-SHIRT</t>
  </si>
  <si>
    <t>66040100OAV TS AVG CUTSEWN HERO FOR LIFE GNAVG46:MISTY LIGHT BLUE:7-8:GRAPHIC:SS T-SHIRT</t>
  </si>
  <si>
    <t>66040100OAV TS AVG CUTSEWN HERO FOR LIFE GNAVG46:MISTY LIGHT BLUE:9-10:GRAPHIC:SS T-SHIRT</t>
  </si>
  <si>
    <t>66040100OAV TS AVG CUTSEWN HERO FOR LIFE GNAVG46:MISTY LIGHT BLUE:11-12:GRAPHIC:SS T-SHIRT</t>
  </si>
  <si>
    <t>66060100OAV TS AVG CUTSEWN HERO FOR LIFE GNAVG46:MISTY LIGHT BLUE:13-14:GRAPHIC:SS T-SHIRT</t>
  </si>
  <si>
    <t>66060100OAV TS AVG CUTSEWN HERO FOR LIFE GNAVG46:MISTY LIGHT BLUE:15-16:GRAPHIC:SS T-SHIRT</t>
  </si>
  <si>
    <t>HR411</t>
  </si>
  <si>
    <t>66020100MCS TS SPD GARIS DEPAN LGN KOMB HR411:CLASSIC RED:3-4:GRAPHIC:SS T-SHIRT</t>
  </si>
  <si>
    <t>66020100MCS TS SPD GARIS DEPAN LGN KOMB HR411:CLASSIC RED:4-5:GRAPHIC:SS T-SHIRT</t>
  </si>
  <si>
    <t>66020100MCS TS SPD GARIS DEPAN LGN KOMB HR411:CLASSIC RED:5-6:GRAPHIC:SS T-SHIRT</t>
  </si>
  <si>
    <t>66040100MCS TS SPD GARIS DEPAN LGN KOMB  HR411:CLASSIC RED:7-8:GRAPHIC:SS T-SHIRT</t>
  </si>
  <si>
    <t>66040100MCS TS SPD GARIS DEPAN LGN KOMB  HR411:CLASSIC RED:9-10:GRAPHIC:SS T-SHIRT</t>
  </si>
  <si>
    <t>66040100MCS TS SPD GARIS DEPAN LGN KOMB  HR411:CLASSIC RED:11-12:GRAPHIC:SS T-SHIRT</t>
  </si>
  <si>
    <t>66060100MCS TS SPD GARIS DEPAN LGN KOMB HR411:CLASSIC RED:13-14:GRAPHIC:SS T-SHIRT</t>
  </si>
  <si>
    <t>66060100MCS TS SPD GARIS DEPAN LGN KOMB HR411:CLASSIC RED:15-16:GRAPHIC:SS T-SHIRT</t>
  </si>
  <si>
    <t>HR414</t>
  </si>
  <si>
    <t>66020100MCS TS SPD THE AMAZING STRIPE HR414:MISTY LIGHT GREY:3-4:GRAPHIC:SS T-SHIRT</t>
  </si>
  <si>
    <t>66020100MCS TS SPD THE AMAZING STRIPE HR414:MISTY LIGHT GREY:4-5:GRAPHIC:SS T-SHIRT</t>
  </si>
  <si>
    <t>66020100MCS TS SPD THE AMAZING STRIPE HR414:MISTY LIGHT GREY:5-6:GRAPHIC:SS T-SHIRT</t>
  </si>
  <si>
    <t>66040100MCS TS SPD THE AMAZING STRIPE HR414:MISTY LIGHT GREY:7-8:GRAPHIC:SS T-SHIRT</t>
  </si>
  <si>
    <t>66040100MCS TS SPD THE AMAZING STRIPE HR414:MISTY LIGHT GREY:9-10:GRAPHIC:SS T-SHIRT</t>
  </si>
  <si>
    <t>66040100MCS TS SPD THE AMAZING STRIPE HR414:MISTY LIGHT GREY:11-12:GRAPHIC:SS T-SHIRT</t>
  </si>
  <si>
    <t>66060100MCS TS SPD THE AMAZING STRIPE HR414:MISTY LIGHT GREY:13-14:GRAPHIC:SS T-SHIRT</t>
  </si>
  <si>
    <t>66060100MCS TS SPD THE AMAZING STRIPE HR414:MISTY LIGHT GREY:15-16:GRAPHIC:SS T-SHIRT</t>
  </si>
  <si>
    <t>GNSW17</t>
  </si>
  <si>
    <t>66040100SWS TS STARWARS ANIME COMIC CUT SEWN FP GNSW17:WHITE:5-6:PRINT:SS T-SHIRT</t>
  </si>
  <si>
    <t>66040100SWS TS STARWARS ANIME COMIC CUT SEWN FP GNSW17:WHITE:7-8:PRINT:SS T-SHIRT</t>
  </si>
  <si>
    <t>66040100SWS TS STARWARS ANIME COMIC CUT SEWN FP GNSW17:WHITE:9-10:PRINT:SS T-SHIRT</t>
  </si>
  <si>
    <t>66060100SWS TS STARWARS ANIME COMIC CUT SEWN FP GNSW17:WHITE:11-12:PRINT:SS T-SHIRT</t>
  </si>
  <si>
    <t>66060100SWS TS STARWARS ANIME COMIC CUT SEWN FP GNSW17:WHITE:13-14:PRINT:SS T-SHIRT</t>
  </si>
  <si>
    <t>66060100SWS TS STARWARS ANIME COMIC CUT SEWN FP GNSW17:WHITE:15-16:PRINT:SS T-SHIRT</t>
  </si>
  <si>
    <t>TSPDR28</t>
  </si>
  <si>
    <t>68040202MCS TOPI SPD CUTSEWN FACE GREAT POWER TSPDR28:NAVY BLUE:F:GRAPHIC:CAPS</t>
  </si>
  <si>
    <t>TPMRC13</t>
  </si>
  <si>
    <t>68040202OAV TOPI MARVEL COMIC TPMRC13:WHITE:F:PRINT:CAPS</t>
  </si>
  <si>
    <t>SPDN491</t>
  </si>
  <si>
    <t>66020100MCS LP KNIT SPD AMAZING SPIDERMAN SPDN491:NAVY BLUE:3-4:GRAPHIC:JOGGER</t>
  </si>
  <si>
    <t>66020100MCS LP KNIT SPD AMAZING SPIDERMAN SPDN491:NAVY BLUE:4-5:GRAPHIC:JOGGER</t>
  </si>
  <si>
    <t>66040100MCS LP KNIT SPD AMAZING SPIDERMAN SPDN491:NAVY BLUE:5-6:GRAPHIC:JOGGER</t>
  </si>
  <si>
    <t>66040100MCS LP KNIT SPD AMAZING SPIDERMAN SPDN491:NAVY BLUE:7-8:GRAPHIC:JOGGER</t>
  </si>
  <si>
    <t>66040100MCS LP KNIT SPD AMAZING SPIDERMAN SPDN491:NAVY BLUE:9-10:GRAPHIC:JOGGER</t>
  </si>
  <si>
    <t>66060100MCS LP KNIT SPD AMAZING SPIDERMAN SPDN491:NAVY BLUE:11-12:GRAPHIC:JOGGER</t>
  </si>
  <si>
    <t>66060100MCS LP KNIT SPD AMAZING SPIDERMAN SPDN491:NAVY BLUE:13-14:GRAPHIC:JOGGER</t>
  </si>
  <si>
    <t>66060100MCS LP KNIT SPD AMAZING SPIDERMAN SPDN491:NAVY BLUE:15-16:GRAPHIC:JOGGER</t>
  </si>
  <si>
    <t>HR418</t>
  </si>
  <si>
    <t>66020100MCS CP KNIT SPD JARING CUTSEWN HR418:NAVY BLUE:3-4:GRAPHIC:SHORT PANTS</t>
  </si>
  <si>
    <t>66020100MCS CP KNIT SPD JARING CUTSEWN HR418:NAVY BLUE:4-5:GRAPHIC:SHORT PANTS</t>
  </si>
  <si>
    <t>66040100MCS CP KNIT SPD JARING CUTSEWN HR418:NAVY BLUE:5-6:GRAPHIC:SHORT PANTS</t>
  </si>
  <si>
    <t>66040100MCS CP KNIT SPD JARING CUTSEWN HR418:NAVY BLUE:7-8:GRAPHIC:SHORT PANTS</t>
  </si>
  <si>
    <t>66040100MCS CP KNIT SPD JARING CUTSEWN HR418:NAVY BLUE:9-10:GRAPHIC:SHORT PANTS</t>
  </si>
  <si>
    <t>66060100MCS CP KNIT SPD JARING CUTSEWN HR418:NAVY BLUE:11-12:GRAPHIC:SHORT PANTS</t>
  </si>
  <si>
    <t>66060100MCS CP KNIT SPD JARING CUTSEWN HR418:NAVY BLUE:13-14:GRAPHIC:SHORT PANTS</t>
  </si>
  <si>
    <t>66060100MCS CP KNIT SPD JARING CUTSEWN HR418:NAVY BLUE:15-16:GRAPHIC:SHORT PANTS</t>
  </si>
  <si>
    <t>TSN33</t>
  </si>
  <si>
    <t>66020100TS PANTS KNIT TOY STORY REX FEAR ME TSN33:OLIVE:3-4:GRAPHIC:JOGGER</t>
  </si>
  <si>
    <t>66020100TS PANTS KNIT TOY STORY REX FEAR ME TSN33:OLIVE:4-5:GRAPHIC:JOGGER</t>
  </si>
  <si>
    <t>66020100TS PANTS KNIT TOY STORY REX FEAR ME TSN33:OLIVE:5-6:GRAPHIC:JOGGER</t>
  </si>
  <si>
    <t>66020100TS PANTS KNIT TOY STORY REX FEAR ME TSN33:OLIVE:7-8:GRAPHIC:JOGGER</t>
  </si>
  <si>
    <t>66020100TS PANTS KNIT TOY STORY REX FEAR ME TSN33:OLIVE:9-10:GRAPHIC:JOGGER</t>
  </si>
  <si>
    <t>GNSW20</t>
  </si>
  <si>
    <t>66040100SWS TS STARWARS ANIME YODA BOBA FETT GNSW20:MISTY MEDIUM BROWN:5-6:GRAPHIC:SS T-SHIRT</t>
  </si>
  <si>
    <t>66040100SWS TS STARWARS ANIME YODA BOBA FETT GNSW20:MISTY MEDIUM BROWN:7-8:GRAPHIC:SS T-SHIRT</t>
  </si>
  <si>
    <t>66040100SWS TS STARWARS ANIME YODA BOBA FETT GNSW20:MISTY MEDIUM BROWN:9-10:GRAPHIC:SS T-SHIRT</t>
  </si>
  <si>
    <t>66060100SWS TS STARWARS ANIME YODA BOBA FETT GNSW20:MISTY MEDIUM BROWN:11-12:GRAPHIC:SS T-SHIRT</t>
  </si>
  <si>
    <t>66060100SWS TS STARWARS ANIME YODA BOBA FETT GNSW20:MISTY MEDIUM BROWN:13-14:GRAPHIC:SS T-SHIRT</t>
  </si>
  <si>
    <t>66060100SWS TS STARWARS ANIME YODA BOBA FETT GNSW20:MISTY MEDIUM BROWN:15-16:GRAPHIC:SS T-SHIRT</t>
  </si>
  <si>
    <t>GNSW21</t>
  </si>
  <si>
    <t>66020100SWS TS STARWARS ANIME SPLASH GNSW21:NAVY BLUE:3-4:GRAPHIC:SS T-SHIRT</t>
  </si>
  <si>
    <t>66020100SWS TS STARWARS ANIME SPLASH GNSW21:NAVY BLUE:4-5:GRAPHIC:SS T-SHIRT</t>
  </si>
  <si>
    <t>66020100SWS TS STARWARS ANIME SPLASH GNSW21:NAVY BLUE:5-6:GRAPHIC:SS T-SHIRT</t>
  </si>
  <si>
    <t>66040100SWS TS STARWARS ANIME SPLASH GNSW21:NAVY BLUE:7-8:GRAPHIC:SS T-SHIRT</t>
  </si>
  <si>
    <t>66040100SWS TS STARWARS ANIME SPLASH GNSW21:NAVY BLUE:9-10:GRAPHIC:SS T-SHIRT</t>
  </si>
  <si>
    <t>66040100SWS TS STARWARS ANIME SPLASH GNSW21:NAVY BLUE:11-12:GRAPHIC:SS T-SHIRT</t>
  </si>
  <si>
    <t>66060100SWS TS STARWARS ANIME SPLASH GNSW21:NAVY BLUE:13-14:GRAPHIC:SS T-SHIRT</t>
  </si>
  <si>
    <t>66060100SWS TS STARWARS ANIME SPLASH GNSW21:NAVY BLUE:15-16:GRAPHIC:SS T-SHIRT</t>
  </si>
  <si>
    <t>GNAVG60</t>
  </si>
  <si>
    <t>66020100OAV TS AVG IRON MA POSE GNAVG60:CLASSIC RED:3-4:GRAPHIC:SS T-SHIRT</t>
  </si>
  <si>
    <t>66020100OAV TS AVG IRON MA POSE GNAVG60:CLASSIC RED:4-5:GRAPHIC:SS T-SHIRT</t>
  </si>
  <si>
    <t>66020100OAV TS AVG IRON MA POSE GNAVG60:CLASSIC RED:5-6:GRAPHIC:SS T-SHIRT</t>
  </si>
  <si>
    <t>66040100OAV TS AVG IRON MA POSE GNAVG60:CLASSIC RED:7-8:GRAPHIC:SS T-SHIRT</t>
  </si>
  <si>
    <t>66040100OAV TS AVG IRON MA POSE GNAVG60:CLASSIC RED:9-10:GRAPHIC:SS T-SHIRT</t>
  </si>
  <si>
    <t>66040100OAV TS AVG IRON MA POSE GNAVG60:CLASSIC RED:11-12:GRAPHIC:SS T-SHIRT</t>
  </si>
  <si>
    <t>66060100OAV TS AVG IRON MA POSE GNAVG60:CLASSIC RED:13-14:GRAPHIC:SS T-SHIRT</t>
  </si>
  <si>
    <t>66060100OAV TS AVG IRON MA POSE GNAVG60:CLASSIC RED:15-16:GRAPHIC:SS T-SHIRT</t>
  </si>
  <si>
    <t>HR437</t>
  </si>
  <si>
    <t>66020100MCS TS SPD STRIPE SPRAY PAINT PUNDAK HR437:MISTY MEDIUM GREY:3-4:GRAPHIC:SS T-SHIRT</t>
  </si>
  <si>
    <t>66020100MCS TS SPD STRIPE SPRAY PAINT PUNDAK HR437:MISTY MEDIUM GREY:4-5:GRAPHIC:SS T-SHIRT</t>
  </si>
  <si>
    <t>66020100MCS TS SPD STRIPE SPRAY PAINT PUNDAK HR437:MISTY MEDIUM GREY:5-6:GRAPHIC:SS T-SHIRT</t>
  </si>
  <si>
    <t>66040100MCS TS SPD STRIPE SPRAY PAINT PUNDAK HR437:MISTY MEDIUM GREY:7-8:GRAPHIC:SS T-SHIRT</t>
  </si>
  <si>
    <t>66040100MCS TS SPD STRIPE SPRAY PAINT PUNDAK HR437:MISTY MEDIUM GREY:9-10:GRAPHIC:SS T-SHIRT</t>
  </si>
  <si>
    <t>66040100MCS TS SPD STRIPE SPRAY PAINT PUNDAK HR437:MISTY MEDIUM GREY:11-12:GRAPHIC:SS T-SHIRT</t>
  </si>
  <si>
    <t>66060100MCS TS SPD STRIPE SPRAY PAINT PUNDAK HR437:MISTY MEDIUM GREY:13-14:GRAPHIC:SS T-SHIRT</t>
  </si>
  <si>
    <t>66060100MCS TS SPD STRIPE SPRAY PAINT PUNDAK HR437:MISTY MEDIUM GREY:15-16:GRAPHIC:SS T-SHIRT</t>
  </si>
  <si>
    <t>A962</t>
  </si>
  <si>
    <t>66020100MCS TS SPD CRAWLING BUILDUNG CRIME FIGHTER A962:MISTY MEDIUM YELLOW:3-4:GRAPHIC:SS T-SHIRT</t>
  </si>
  <si>
    <t>66020100MCS TS SPD CRAWLING BUILDUNG CRIME FIGHTER A962:MISTY MEDIUM YELLOW:4-5:GRAPHIC:SS T-SHIRT</t>
  </si>
  <si>
    <t>66020100MCS TS SPD CRAWLING BUILDUNG CRIME FIGHTER A962:MISTY MEDIUM YELLOW:5-6:GRAPHIC:SS T-SHIRT</t>
  </si>
  <si>
    <t>66040100MCS TS SPD CRAWLING BUILDUNG CRIME FIGHTER A962:MISTY MEDIUM YELLOW:7-8:GRAPHIC:SS T-SHIRT</t>
  </si>
  <si>
    <t>66040100MCS TS SPD CRAWLING BUILDUNG CRIME FIGHTER A962:MISTY MEDIUM YELLOW:9-10:GRAPHIC:SS T-SHIRT</t>
  </si>
  <si>
    <t>66040100MCS TS SPD CRAWLING BUILDUNG CRIME FIGHTER A962:MISTY MEDIUM YELLOW:11-12:GRAPHIC:SS T-SHIRT</t>
  </si>
  <si>
    <t>66060100MCS TS SPD CRAWLING BUILDUNG CRIME FIGHTER A962:MISTY MEDIUM YELLOW:13-14:GRAPHIC:SS T-SHIRT</t>
  </si>
  <si>
    <t>66060100MCS TS SPD CRAWLING BUILDUNG CRIME FIGHTER A962:MISTY MEDIUM YELLOW:15-16:GRAPHIC:SS T-SHIRT</t>
  </si>
  <si>
    <t>GNSPD14</t>
  </si>
  <si>
    <t>66020100MCS TS SPD STRIPE KTG FACE GNSPD14:WHITE:3-4:STRIPES:SS T-SHIRT</t>
  </si>
  <si>
    <t>66020100MCS TS SPD STRIPE KTG FACE GNSPD14:WHITE:4-5:STRIPES:SS T-SHIRT</t>
  </si>
  <si>
    <t>66020100MCS TS SPD STRIPE KTG FACE GNSPD14:WHITE:5-6:STRIPES:SS T-SHIRT</t>
  </si>
  <si>
    <t>66040100MCS TS SPD STRIPE KTG FACE GNSPD14:WHITE:7-8:STRIPES:SS T-SHIRT</t>
  </si>
  <si>
    <t>66040100MCS TS SPD STRIPE KTG FACE GNSPD14:WHITE:9-10:STRIPES:SS T-SHIRT</t>
  </si>
  <si>
    <t>66040100MCS TS SPD STRIPE KTG FACE GNSPD14:WHITE:11-12:STRIPES:SS T-SHIRT</t>
  </si>
  <si>
    <t>66060100MCS TS SPD STRIPE KTG FACE GNSPD14:WHITE:13-14:STRIPES:SS T-SHIRT</t>
  </si>
  <si>
    <t>66060100MCS TS SPD STRIPE KTG FACE GNSPD14:WHITE:15-16:STRIPES:SS T-SHIRT</t>
  </si>
  <si>
    <t>A731</t>
  </si>
  <si>
    <t>66020100OAV TS AVG TEAM EARTHS MIGHTIES HEROES MARBLE A731:MISTY LIGHT BLUE:3-4:GRAPHIC:SS T-SHIRT</t>
  </si>
  <si>
    <t>66020100OAV TS AVG TEAM EARTHS MIGHTIES HEROES MARBLE A731:MISTY LIGHT BLUE:4-5:GRAPHIC:SS T-SHIRT</t>
  </si>
  <si>
    <t>66020100OAV TS AVG TEAM EARTHS MIGHTIES HEROES MARBLE A731:MISTY LIGHT BLUE:5-6:GRAPHIC:SS T-SHIRT</t>
  </si>
  <si>
    <t>66040100OAV TS AVG TEAM EARTHS MIGHTIES HEROES MARBLE A731:MISTY LIGHT BLUE:7-8:GRAPHIC:SS T-SHIRT</t>
  </si>
  <si>
    <t>66040100OAV TS AVG TEAM EARTHS MIGHTIES HEROES MARBLE A731:MISTY LIGHT BLUE:9-10:GRAPHIC:SS T-SHIRT</t>
  </si>
  <si>
    <t>66040100OAV TS AVG TEAM EARTHS MIGHTIES HEROES MARBLE A731:MISTY LIGHT BLUE:11-12:GRAPHIC:SS T-SHIRT</t>
  </si>
  <si>
    <t>66060100OAV TS AVG TEAM EARTHS MIGHTIES HEROES MARBLE A731:MISTY LIGHT BLUE:13-14:GRAPHIC:SS T-SHIRT</t>
  </si>
  <si>
    <t>66060100OAV TS AVG TEAM EARTHS MIGHTIES HEROES MARBLE A731:MISTY LIGHT BLUE:15-16:GRAPHIC:SS T-SHIRT</t>
  </si>
  <si>
    <t>GNAVG55</t>
  </si>
  <si>
    <t>66020100OAV TS AVG HEROES PUFF  GNAVG55:MISTY MEDIUM BLUE:3-4:GRAPHIC:SS T-SHIRT</t>
  </si>
  <si>
    <t>66020100OAV TS AVG HEROES PUFF  GNAVG55:MISTY MEDIUM BLUE:4-5:GRAPHIC:SS T-SHIRT</t>
  </si>
  <si>
    <t>66020100OAV TS AVG HEROES PUFF  GNAVG55:MISTY MEDIUM BLUE:5-6:GRAPHIC:SS T-SHIRT</t>
  </si>
  <si>
    <t>66020100OAV TS AVG HEROES PUFF  GNAVG55:MISTY MEDIUM BLUE:7-8:GRAPHIC:SS T-SHIRT</t>
  </si>
  <si>
    <t>66020100OAV TS AVG HEROES PUFF  GNAVG55:MISTY MEDIUM BLUE:9-10:GRAPHIC:SS T-SHIRT</t>
  </si>
  <si>
    <t>66020100OAV TS AVG HEROES PUFF  GNAVG55:MISTY MEDIUM BLUE:11-12:GRAPHIC:SS T-SHIRT</t>
  </si>
  <si>
    <t>TPSPDR210</t>
  </si>
  <si>
    <t>68040202MCS TOPI SPD FP SINTOONG WALL CRAWLER TPSPDR210:NAVY BLUE:F:GRAPHIC:CAPS</t>
  </si>
  <si>
    <t>TAV154</t>
  </si>
  <si>
    <t>68040202MCS TOPI SPD JARING EYE TAV154:BLACK:F:GRAPHIC:CAPS</t>
  </si>
  <si>
    <t>GNSPD15</t>
  </si>
  <si>
    <t>66020100MCS CP KNIT SPD FACE STIRPE GNSPD15:CLASSIC BLUE:3-4:STRIPES:SHORT PANTS</t>
  </si>
  <si>
    <t>66020100MCS CP KNIT SPD FACE STIRPE GNSPD15:CLASSIC BLUE:4-5:STRIPES:SHORT PANTS</t>
  </si>
  <si>
    <t>66040100MCS CP KNIT SPD FACE STIRPE GNSPD15:CLASSIC BLUE:5-6:STRIPES:SHORT PANTS</t>
  </si>
  <si>
    <t>66040100MCS CP KNIT SPD FACE STIRPE GNSPD15:CLASSIC BLUE:7-8:STRIPES:SHORT PANTS</t>
  </si>
  <si>
    <t>66040100MCS CP KNIT SPD FACE STIRPE GNSPD15:CLASSIC BLUE:9-10:STRIPES:SHORT PANTS</t>
  </si>
  <si>
    <t>66060100MCS CP KNIT SPD FACE STIRPE GNSPD15:CLASSIC BLUE:11-12:STRIPES:SHORT PANTS</t>
  </si>
  <si>
    <t>66060100MCS CP KNIT SPD FACE STIRPE GNSPD15:CLASSIC BLUE:13-14:STRIPES:SHORT PANTS</t>
  </si>
  <si>
    <t>66060100MCS CP KNIT SPD FACE STIRPE GNSPD15:CLASSIC BLUE:15-16:STRIPES:SHORT PANTS</t>
  </si>
  <si>
    <t>HR419</t>
  </si>
  <si>
    <t>66020100MCS SWEATSHIRT SPD WEB HEAD LGN ATAS KOMB HR419:NAVY BLUE:3-4:GRAPHIC:SWEATSHIRT</t>
  </si>
  <si>
    <t>66020100MCS SWEATSHIRT SPD WEB HEAD LGN ATAS KOMB HR419:NAVY BLUE:4-5:GRAPHIC:SWEATSHIRT</t>
  </si>
  <si>
    <t>66020100MCS SWEATSHIRT SPD WEB HEAD LGN ATAS KOMB HR419:NAVY BLUE:5-6:GRAPHIC:SWEATSHIRT</t>
  </si>
  <si>
    <t>66040100MCS SWEATSHIRT SPD WEB HEAD LGN ATAS KOMB HR419:NAVY BLUE:7-8:GRAPHIC:SWEATSHIRT</t>
  </si>
  <si>
    <t>66040100MCS SWEATSHIRT SPD WEB HEAD LGN ATAS KOMB HR419:NAVY BLUE:9-10:GRAPHIC:SWEATSHIRT</t>
  </si>
  <si>
    <t>66040100MCS SWEATSHIRT SPD WEB HEAD LGN ATAS KOMB HR419:NAVY BLUE:11-12:GRAPHIC:SWEATSHIRT</t>
  </si>
  <si>
    <t>66060100MCS SWEATSHIRT SPD WEB HEAD LGN ATAS KOMB HR419:NAVY BLUE:13-14:GRAPHIC:SWEATSHIRT</t>
  </si>
  <si>
    <t>66060100MCS SWEATSHIRT SPD WEB HEAD LGN ATAS KOMB HR419:NAVY BLUE:15-16:GRAPHIC:SWEATSHIRT</t>
  </si>
  <si>
    <t>KSPDCL72</t>
  </si>
  <si>
    <t>66020100MCS SS SHIRT SPD DENIM LASER PRNT KTG FACE KSPDCL72:DARK DENIM:3-4:GRAPHIC:SS SHIRT</t>
  </si>
  <si>
    <t>66020100MCS SS SHIRT SPD DENIM LASER PRNT KTG FACE KSPDCL72:DARK DENIM:4-5:GRAPHIC:SS SHIRT</t>
  </si>
  <si>
    <t>66020100MCS SS SHIRT SPD DENIM LASER PRNT KTG FACE KSPDCL72:DARK DENIM:5-6:GRAPHIC:SS SHIRT</t>
  </si>
  <si>
    <t>66020100MCS SS SHIRT SPD DENIM LASER PRNT KTG FACE KSPDCL72:DARK DENIM:7-8:GRAPHIC:SS SHIRT</t>
  </si>
  <si>
    <t>66020100MCS SS SHIRT SPD DENIM LASER PRNT KTG FACE KSPDCL72:DARK DENIM:9-10:GRAPHIC:SS SHIRT</t>
  </si>
  <si>
    <t>66020100MCS SS SHIRT SPD DENIM LASER PRNT KTG FACE KSPDCL72:DARK DENIM:11-12:GRAPHIC:SS SHIRT</t>
  </si>
  <si>
    <t>66020100MCS SS SHIRT SPD DENIM LASER PRNT KTG FACE KSPDCL72:DARK DENIM:13-14:GRAPHIC:SS SHIRT</t>
  </si>
  <si>
    <t>66020100MCS SS SHIRT SPD DENIM LASER PRNT KTG FACE KSPDCL72:DARK DENIM:15-16:GRAPHIC:SS SHIRT</t>
  </si>
  <si>
    <t>KSPDCL150</t>
  </si>
  <si>
    <t>66020100MCS SS SHIRT SPD KOTAK KTG PARKA KSPDCL150:CLASSIC RED:3-4:CHECKS:SS SHIRT</t>
  </si>
  <si>
    <t>66020100MCS SS SHIRT SPD KOTAK KTG PARKA KSPDCL150:CLASSIC RED:4-5:CHECKS:SS SHIRT</t>
  </si>
  <si>
    <t>66020100MCS SS SHIRT SPD KOTAK KTG PARKA KSPDCL150:CLASSIC RED:5-6:CHECKS:SS SHIRT</t>
  </si>
  <si>
    <t>66020100MCS SS SHIRT SPD KOTAK KTG PARKA KSPDCL150:CLASSIC RED:7-8:CHECKS:SS SHIRT</t>
  </si>
  <si>
    <t>66020100MCS SS SHIRT SPD KOTAK KTG PARKA KSPDCL150:CLASSIC RED:9-10:CHECKS:SS SHIRT</t>
  </si>
  <si>
    <t>66020100MCS SS SHIRT SPD KOTAK KTG PARKA KSPDCL150:CLASSIC RED:11-12:CHECKS:SS SHIRT</t>
  </si>
  <si>
    <t>66020100MCS SS SHIRT SPD KOTAK KTG PARKA KSPDCL150:CLASSIC RED:13-14:CHECKS:SS SHIRT</t>
  </si>
  <si>
    <t>66020100MCS SS SHIRT SPD KOTAK KTG PARKA KSPDCL150:CLASSIC RED:15-16:CHECKS:SS SHIRT</t>
  </si>
  <si>
    <t>TPSPDR38</t>
  </si>
  <si>
    <t>68040202MCS TOPI SPIDERMAN THWIP FP COMIC TPSPDR38:WHITE:F:PRINT:CAPS</t>
  </si>
  <si>
    <t>TPSPDR34</t>
  </si>
  <si>
    <t>68040202MCS TOPI SPIDERMAN FACE FP TIE DYE SINTONG TULISAN TPSPDR34:NAVY BLUE:F:PRINT:CAPS</t>
  </si>
  <si>
    <t>TPAVGR30</t>
  </si>
  <si>
    <t>68040202OAV TOPI AVG TIEDYE STRIPE TPAVGR30:NAVY BLUE:F:PRINT:CAPS</t>
  </si>
  <si>
    <t>TPAVGR31</t>
  </si>
  <si>
    <t>68040202OAV TOPI AVG TEAM LOGO FP TPAVGR31:ASSORTIVE COLOR:F:PRINT:CAPS</t>
  </si>
  <si>
    <t>KAVCL101</t>
  </si>
  <si>
    <t>66020100OAV CP DENIM AVG TESKTUR STRIPE KTG DEPAN KAVCL101:LIGHT DENIM:3-4:GRAPHIC:DENIM SHORT PANTS</t>
  </si>
  <si>
    <t>66020100OAV CP DENIM AVG TESKTUR STRIPE KTG DEPAN KAVCL101:LIGHT DENIM:4-5:GRAPHIC:DENIM SHORT PANTS</t>
  </si>
  <si>
    <t>66020100OAV CP DENIM AVG TESKTUR STRIPE KTG DEPAN KAVCL101:LIGHT DENIM:5-6:GRAPHIC:DENIM SHORT PANTS</t>
  </si>
  <si>
    <t>66020100OAV CP DENIM AVG TESKTUR STRIPE KTG DEPAN KAVCL101:LIGHT DENIM:7-8:GRAPHIC:DENIM SHORT PANTS</t>
  </si>
  <si>
    <t>66020100OAV CP DENIM AVG TESKTUR STRIPE KTG DEPAN KAVCL101:LIGHT DENIM:9-10:GRAPHIC:DENIM SHORT PANT</t>
  </si>
  <si>
    <t>66020100OAV CP DENIM AVG TESKTUR STRIPE KTG DEPAN KAVCL101:LIGHT DENIM:11-12:GRAPHIC:DENIM SHORT PAN</t>
  </si>
  <si>
    <t>66020100OAV CP DENIM AVG TESKTUR STRIPE KTG DEPAN KAVCL101:LIGHT DENIM:13-14:GRAPHIC:DENIM SHORT PAN</t>
  </si>
  <si>
    <t>66020100OAV CP DENIM AVG TESKTUR STRIPE KTG DEPAN KAVCL101:LIGHT DENIM:15-16:GRAPHIC:DENIM SHORT PAN</t>
  </si>
  <si>
    <t>KAVCL100</t>
  </si>
  <si>
    <t>66020100OAV LP DENIM AVG TAPE GANTUNGAN KAVCL100:BLACK:3-4:GRAPHIC:DENIM LONG PANTS</t>
  </si>
  <si>
    <t>66020100OAV LP DENIM AVG TAPE GANTUNGAN KAVCL100:BLACK:4-5:GRAPHIC:DENIM LONG PANTS</t>
  </si>
  <si>
    <t>66020100OAV LP DENIM AVG TAPE GANTUNGAN KAVCL100:BLACK:5-6:GRAPHIC:DENIM LONG PANTS</t>
  </si>
  <si>
    <t>66020100OAV LP DENIM AVG TAPE GANTUNGAN KAVCL100:BLACK:7-8:GRAPHIC:DENIM LONG PANTS</t>
  </si>
  <si>
    <t>66020100OAV LP DENIM AVG TAPE GANTUNGAN KAVCL100:BLACK:9-10:GRAPHIC:DENIM LONG PANTS</t>
  </si>
  <si>
    <t>66020100OAV LP DENIM AVG TAPE GANTUNGAN KAVCL100:BLACK:11-12:GRAPHIC:DENIM LONG PANTS</t>
  </si>
  <si>
    <t>66020100OAV LP DENIM AVG TAPE GANTUNGAN KAVCL100:BLACK:13-14:GRAPHIC:DENIM LONG PANTS</t>
  </si>
  <si>
    <t>66020100OAV LP DENIM AVG TAPE GANTUNGAN KAVCL100:BLACK:15-16:GRAPHIC:DENIM LONG PANTS</t>
  </si>
  <si>
    <t>N074</t>
  </si>
  <si>
    <t>66020100MCS CP KNIT SPD FACE KTG TAPE GANTUNGAN N074:NAVY BLUE:3-4:GRAPHIC:SHORT PANTS</t>
  </si>
  <si>
    <t>66020100MCS CP KNIT SPD FACE KTG TAPE GANTUNGAN N074:NAVY BLUE:4-5:GRAPHIC:SHORT PANTS</t>
  </si>
  <si>
    <t>66020100MCS CP KNIT SPD FACE KTG TAPE GANTUNGAN N074:NAVY BLUE:5-6:GRAPHIC:SHORT PANTS</t>
  </si>
  <si>
    <t>66020100MCS CP KNIT SPD FACE KTG TAPE GANTUNGAN N074:NAVY BLUE:7-8:GRAPHIC:SHORT PANTS</t>
  </si>
  <si>
    <t>66020100MCS CP KNIT SPD FACE KTG TAPE GANTUNGAN N074:NAVY BLUE:9-10:GRAPHIC:SHORT PANTS</t>
  </si>
  <si>
    <t>66020100MCS CP KNIT SPD FACE KTG TAPE GANTUNGAN N074:NAVY BLUE:11-12:GRAPHIC:SHORT PANTS</t>
  </si>
  <si>
    <t>66020100MCS CP KNIT SPD FACE KTG TAPE GANTUNGAN N074:NAVY BLUE:13-14:GRAPHIC:SHORT PANTS</t>
  </si>
  <si>
    <t>66020100MCS CP KNIT SPD FACE KTG TAPE GANTUNGAN N074:NAVY BLUE:15-16:GRAPHIC:SHORT PANTS</t>
  </si>
  <si>
    <t>KSPDCL135</t>
  </si>
  <si>
    <t>66020100MCS CP DENIM SPD FACE INTIP KSPDCL135:MEDIUM DENIM:3-4:GRAPHIC:DENIM SHORT PANTS</t>
  </si>
  <si>
    <t>66020100MCS CP DENIM SPD FACE INTIP KSPDCL135:MEDIUM DENIM:4-5:GRAPHIC:DENIM SHORT PANTS</t>
  </si>
  <si>
    <t>66020100MCS CP DENIM SPD FACE INTIP KSPDCL135:MEDIUM DENIM:5-6:GRAPHIC:DENIM SHORT PANTS</t>
  </si>
  <si>
    <t>66020100MCS CP DENIM SPD FACE INTIP KSPDCL135:MEDIUM DENIM:7-8:GRAPHIC:DENIM SHORT PANTS</t>
  </si>
  <si>
    <t>66020100MCS CP DENIM SPD FACE INTIP KSPDCL135:MEDIUM DENIM:9-10:GRAPHIC:DENIM SHORT PANTS</t>
  </si>
  <si>
    <t>66020100MCS CP DENIM SPD FACE INTIP KSPDCL135:MEDIUM DENIM:11-12:GRAPHIC:DENIM SHORT PANTS</t>
  </si>
  <si>
    <t>66020100MCS CP DENIM SPD FACE INTIP KSPDCL135:MEDIUM DENIM:13-14:GRAPHIC:DENIM SHORT PANTS</t>
  </si>
  <si>
    <t>66020100MCS CP DENIM SPD FACE INTIP KSPDCL135:MEDIUM DENIM:15-16:GRAPHIC:DENIM SHORT PANTS</t>
  </si>
  <si>
    <t>KSPDCL124</t>
  </si>
  <si>
    <t>66020100MCS LP DENIM SPD LASER PRINT SHADOW KSPDCL124:MEDIUM DENIM:3-4:GRAPHIC:DENIM LONG PANTS</t>
  </si>
  <si>
    <t>66020100MCS LP DENIM SPD LASER PRINT SHADOW KSPDCL124:MEDIUM DENIM:4-5:GRAPHIC:DENIM LONG PANTS</t>
  </si>
  <si>
    <t>66020100MCS LP DENIM SPD LASER PRINT SHADOW KSPDCL124:MEDIUM DENIM:5-6:GRAPHIC:DENIM LONG PANTS</t>
  </si>
  <si>
    <t>66020100MCS LP DENIM SPD LASER PRINT SHADOW KSPDCL124:MEDIUM DENIM:7-8:GRAPHIC:DENIM LONG PANTS</t>
  </si>
  <si>
    <t>66020100MCS LP DENIM SPD LASER PRINT SHADOW KSPDCL124:MEDIUM DENIM:9-10:GRAPHIC:DENIM LONG PANTS</t>
  </si>
  <si>
    <t>66020100MCS LP DENIM SPD LASER PRINT SHADOW KSPDCL124:MEDIUM DENIM:11-12:GRAPHIC:DENIM LONG PANTS</t>
  </si>
  <si>
    <t>66020100MCS LP DENIM SPD LASER PRINT SHADOW KSPDCL124:MEDIUM DENIM:13-14:GRAPHIC:DENIM LONG PANTS</t>
  </si>
  <si>
    <t>66020100MCS LP DENIM SPD LASER PRINT SHADOW KSPDCL124:MEDIUM DENIM:15-16:GRAPHIC:DENIM LONG PANTS</t>
  </si>
  <si>
    <t>GNAVG70</t>
  </si>
  <si>
    <t>66020100OAV CP KNIT AVG RIBBED PATCH WORDING GNAVG70:MISTY MEDIUM GREY:3-4:SOLID:SHORT PANTS</t>
  </si>
  <si>
    <t>66020100OAV CP KNIT AVG RIBBED PATCH WORDING GNAVG70:MISTY MEDIUM GREY:4-5:SOLID:SHORT PANTS</t>
  </si>
  <si>
    <t>66020100OAV CP KNIT AVG RIBBED PATCH WORDING GNAVG70:MISTY MEDIUM GREY:5-6:SOLID:SHORT PANTS</t>
  </si>
  <si>
    <t>66040100OAV CP KNIT AVG RIBBED PATCH WORDING GNAVG70:MISTY MEDIUM GREY:7-8:SOLID:SHORT PANTS</t>
  </si>
  <si>
    <t>66040100OAV CP KNIT AVG RIBBED PATCH WORDING GNAVG70:MISTY MEDIUM GREY:9-10:SOLID:SHORT PANTS</t>
  </si>
  <si>
    <t>66040100OAV CP KNIT AVG RIBBED PATCH WORDING GNAVG70:MISTY MEDIUM GREY:11-12:SOLID:SHORT PANTS</t>
  </si>
  <si>
    <t>66060100OAV CP KNIT AVG RIBBED PATCH WORDING GNAVG70:MISTY MEDIUM GREY:13-14:SOLID:SHORT PANTS</t>
  </si>
  <si>
    <t>66060100OAV CP KNIT AVG RIBBED PATCH WORDING GNAVG70:MISTY MEDIUM GREY:15-16:SOLID:SHORT PANTS</t>
  </si>
  <si>
    <t>HR244</t>
  </si>
  <si>
    <t>66020100MCS SWEATER SPD THE AMAZING OMBRE  HR244:CLASSIC RED:3-4:GRAPHIC:SWEATSHIRT</t>
  </si>
  <si>
    <t>66020100MCS SWEATER SPD THE AMAZING OMBRE  HR244:CLASSIC RED:4-5:GRAPHIC:SWEATSHIRT</t>
  </si>
  <si>
    <t>66020100MCS SWEATER SPD THE AMAZING OMBRE  HR244:CLASSIC RED:5-6:GRAPHIC:SWEATSHIRT</t>
  </si>
  <si>
    <t>66040100MCS SWEATER SPD THE AMAZING OMBRE HR244:CLASSIC RED:7-8:GRAPHIC:SWEATSHIRT</t>
  </si>
  <si>
    <t>66040100MCS SWEATER SPD THE AMAZING OMBRE HR244:CLASSIC RED:9-10:GRAPHIC:SWEATSHIRT</t>
  </si>
  <si>
    <t>66040100MCS SWEATER SPD THE AMAZING OMBRE HR244:CLASSIC RED:11-12:GRAPHIC:SWEATSHIRT</t>
  </si>
  <si>
    <t>66020100MCS SWEATER SPD THE AMAZING OMBRE  HR244:CLASSIC RED:13-14:GRAPHIC:SWEATSHIRT</t>
  </si>
  <si>
    <t>66020100MCS SWEATER SPD THE AMAZING OMBRE  HR244:CLASSIC RED:15-16:GRAPHIC:SWEATSHIRT</t>
  </si>
  <si>
    <t>GNSW22</t>
  </si>
  <si>
    <t>66040100SWS SW STARWARS ANIME GLOW IN THE DARK KTG GNSW22:BLACK:5-6:TEXT:SWEATER</t>
  </si>
  <si>
    <t>66040100SWS SW STARWARS ANIME GLOW IN THE DARK KTG GNSW22:BLACK:7-8:TEXT:SWEATER</t>
  </si>
  <si>
    <t>66040100SWS SW STARWARS ANIME GLOW IN THE DARK KTG GNSW22:BLACK:9-10:TEXT:SWEATER</t>
  </si>
  <si>
    <t>66040100SWS SW STARWARS ANIME GLOW IN THE DARK KTG GNSW22:BLACK:11-12:TEXT:SWEATER</t>
  </si>
  <si>
    <t>66040100SWS SW STARWARS ANIME GLOW IN THE DARK KTG GNSW22:BLACK:13-14:TEXT:SWEATER</t>
  </si>
  <si>
    <t>66040100SWS SW STARWARS ANIME GLOW IN THE DARK KTG GNSW22:BLACK:15-16:TEXT:SWEATER</t>
  </si>
  <si>
    <t>TSA43</t>
  </si>
  <si>
    <t>66020100LK CP KNIT TOY STORY REX CUCUK KANTONG TSA43:CLASSIC YELLOW:3-4:TEXT:SHORT PANTS</t>
  </si>
  <si>
    <t>66020100LK CP KNIT TOY STORY REX CUCUK KANTONG TSA43:CLASSIC YELLOW:4-5:TEXT:SHORT PANTS</t>
  </si>
  <si>
    <t>66020100LK CP KNIT TOY STORY REX CUCUK KANTONG TSA43:CLASSIC YELLOW:5-6:TEXT:SHORT PANTS</t>
  </si>
  <si>
    <t>66020100LK CP KNIT TOY STORY REX CUCUK KANTONG TSA43:CLASSIC YELLOW:7-8:TEXT:SHORT PANTS</t>
  </si>
  <si>
    <t>66020100LK CP KNIT TOY STORY REX CUCUK KANTONG TSA43:CLASSIC YELLOW:9-10:TEXT:SHORT PANTS</t>
  </si>
  <si>
    <t>TSA41</t>
  </si>
  <si>
    <t>66020100LK CP KNIT TOY STORY REX FP CORAK TSA41:NAVY BLUE:3-4:PRINT:SHORT PANTS</t>
  </si>
  <si>
    <t>66020100LK CP KNIT TOY STORY REX FP CORAK TSA41:NAVY BLUE:4-5:PRINT:SHORT PANTS</t>
  </si>
  <si>
    <t>66020100LK CP KNIT TOY STORY REX FP CORAK TSA41:NAVY BLUE:5-6:PRINT:SHORT PANTS</t>
  </si>
  <si>
    <t>66020100LK CP KNIT TOY STORY REX FP CORAK TSA41:NAVY BLUE:7-8:PRINT:SHORT PANTS</t>
  </si>
  <si>
    <t>66020100LK CP KNIT TOY STORY REX FP CORAK TSA41:NAVY BLUE:9-10:PRINT:SHORT PANTS</t>
  </si>
  <si>
    <t>CARA31</t>
  </si>
  <si>
    <t>66020100LK CP KNIT CARS MC QUEEN RACE MODE KTG KARGO CARA31:MISTY MEDIUM GREY:3-4:GRAPHIC:SS T-SHIRT</t>
  </si>
  <si>
    <t>66020100LK CP KNIT CARS MC QUEEN RACE MODE KTG KARGO CARA31:MISTY MEDIUM GREY:4-5:GRAPHIC:SS T-SHIRT</t>
  </si>
  <si>
    <t>66020100LK CP KNIT CARS MC QUEEN RACE MODE KTG KARGO CARA31:MISTY MEDIUM GREY:5-6:GRAPHIC:SS T-SHIRT</t>
  </si>
  <si>
    <t>66020100LK CP KNIT CARS MC QUEEN RACE MODE KTG KARGO CARA31:MISTY MEDIUM GREY:7-8:GRAPHIC:SS T-SHIRT</t>
  </si>
  <si>
    <t>66020100LK CP KNIT CARS MC QUEEN RACE MODE KTG KARGO CARA31:MISTY MEDIUM GREY:9-10:GRAPHIC:SS T-SHIR</t>
  </si>
  <si>
    <t>GNDN09</t>
  </si>
  <si>
    <t>66020100TS TS TOYS STORY BUZZ RESCUE PATCH GNDN09:PASTEL GREY:3-4:GRAPHIC:SS T-SHIRT</t>
  </si>
  <si>
    <t>66020100TS TS TOYS STORY BUZZ RESCUE PATCH GNDN09:PASTEL GREY:4-5:GRAPHIC:SS T-SHIRT</t>
  </si>
  <si>
    <t>66020100TS TS TOYS STORY BUZZ RESCUE PATCH GNDN09:PASTEL GREY:5-6:GRAPHIC:SS T-SHIRT</t>
  </si>
  <si>
    <t>66020100TS TS TOYS STORY BUZZ RESCUE PATCH GNDN09:PASTEL GREY:7-8:GRAPHIC:SS T-SHIRT</t>
  </si>
  <si>
    <t>66020100TS TS TOYS STORY BUZZ RESCUE PATCH GNDN09:PASTEL GREY:9-10:GRAPHIC:SS T-SHIRT</t>
  </si>
  <si>
    <t>66020100TS TS TOYS STORY BUZZ RESCUE PATCH GNDN09:PASTEL GREY:11-12:GRAPHIC:SS T-SHIRT</t>
  </si>
  <si>
    <t>GNDN10</t>
  </si>
  <si>
    <t>66020100TS TS TOYS STORY BUZZ GALAXY FP GNDN10:CLASSIC BLUE:3-4:PRINT:SS T-SHIRT</t>
  </si>
  <si>
    <t>66020100TS TS TOYS STORY BUZZ GALAXY FP GNDN10:CLASSIC BLUE:4-5:PRINT:SS T-SHIRT</t>
  </si>
  <si>
    <t>66020100TS TS TOYS STORY BUZZ GALAXY FP GNDN10:CLASSIC BLUE:5-6:PRINT:SS T-SHIRT</t>
  </si>
  <si>
    <t>66020100TS TS TOYS STORY BUZZ GALAXY FP GNDN10:CLASSIC BLUE:7-8:PRINT:SS T-SHIRT</t>
  </si>
  <si>
    <t>66020100TS TS TOYS STORY BUZZ GALAXY FP GNDN10:CLASSIC BLUE:9-10:PRINT:SS T-SHIRT</t>
  </si>
  <si>
    <t>66020100TS TS TOYS STORY BUZZ GALAXY FP GNDN10:CLASSIC BLUE:11-12:PRINT:SS T-SHIRT</t>
  </si>
  <si>
    <t>GNDN08</t>
  </si>
  <si>
    <t>66020100TS TS TOYS STORY REX TYRANNOSAURUS GNDN08:CLASSIC GREEN:3-4:GRAPHIC:SS T-SHIRT</t>
  </si>
  <si>
    <t>66020100TS TS TOYS STORY REX TYRANNOSAURUS GNDN08:CLASSIC GREEN:4-5:GRAPHIC:SS T-SHIRT</t>
  </si>
  <si>
    <t>66020100TS TS TOYS STORY REX TYRANNOSAURUS GNDN08:CLASSIC GREEN:5-6:GRAPHIC:SS T-SHIRT</t>
  </si>
  <si>
    <t>66020100TS TS TOYS STORY REX TYRANNOSAURUS GNDN08:CLASSIC GREEN:7-8:GRAPHIC:SS T-SHIRT</t>
  </si>
  <si>
    <t>66020100TS TS TOYS STORY REX TYRANNOSAURUS GNDN08:CLASSIC GREEN:9-10:GRAPHIC:SS T-SHIRT</t>
  </si>
  <si>
    <t>66020100TS TS TOYS STORY REX TYRANNOSAURUS GNDN08:CLASSIC GREEN:11-12:GRAPHIC:SS T-SHIRT</t>
  </si>
  <si>
    <t>TSA33</t>
  </si>
  <si>
    <t>66020100TS TS TOY STORY REX RUNNING WILD TIE DYE TSA33:CLASSIC YELLOW:3-4:PRINT:SS T-SHIRT</t>
  </si>
  <si>
    <t>66020100TS TS TOY STORY REX RUNNING WILD TIE DYE TSA33:CLASSIC YELLOW:4-5:PRINT:SS T-SHIRT</t>
  </si>
  <si>
    <t>66020100TS TS TOY STORY REX RUNNING WILD TIE DYE TSA33:CLASSIC YELLOW:5-6:PRINT:SS T-SHIRT</t>
  </si>
  <si>
    <t>66020100TS TS TOY STORY REX RUNNING WILD TIE DYE TSA33:CLASSIC YELLOW:7-8:PRINT:SS T-SHIRT</t>
  </si>
  <si>
    <t>66020100TS TS TOY STORY REX RUNNING WILD TIE DYE TSA33:CLASSIC YELLOW:9-10:PRINT:SS T-SHIRT</t>
  </si>
  <si>
    <t>TSTA32</t>
  </si>
  <si>
    <t>66020100TS TS TOY STORY REX MADE YOU RAWR BUNTUT TSTA32:CLASSIC YELLOW:3-4:GRAPHIC:SS T-SHIRT</t>
  </si>
  <si>
    <t>66020100TS TS TOY STORY REX MADE YOU RAWR BUNTUT TSTA32:CLASSIC YELLOW:4-5:GRAPHIC:SS T-SHIRT</t>
  </si>
  <si>
    <t>66020100TS TS TOY STORY REX MADE YOU RAWR BUNTUT TSTA32:CLASSIC YELLOW:5-6:GRAPHIC:SS T-SHIRT</t>
  </si>
  <si>
    <t>66020100TS TS TOY STORY REX MADE YOU RAWR BUNTUT TSTA32:CLASSIC YELLOW:7-8:GRAPHIC:SS T-SHIRT</t>
  </si>
  <si>
    <t>66020100TS TS TOY STORY REX MADE YOU RAWR BUNTUT TSTA32:CLASSIC YELLOW:9-10:GRAPHIC:SS T-SHIRT</t>
  </si>
  <si>
    <t>TSA30</t>
  </si>
  <si>
    <t>66020100TS TS TOY STORY REX LENGAN CUCUK TSA30:MISTY LIGHT BLUE:3-4:PRINT:SS T-SHIRT</t>
  </si>
  <si>
    <t>66020100TS TS TOY STORY REX LENGAN CUCUK TSA30:MISTY LIGHT BLUE:4-5:PRINT:SS T-SHIRT</t>
  </si>
  <si>
    <t>66020100TS TS TOY STORY REX LENGAN CUCUK TSA30:MISTY LIGHT BLUE:5-6:PRINT:SS T-SHIRT</t>
  </si>
  <si>
    <t>66020100TS TS TOY STORY REX LENGAN CUCUK TSA30:MISTY LIGHT BLUE:7-8:PRINT:SS T-SHIRT</t>
  </si>
  <si>
    <t>66020100TS TS TOY STORY REX LENGAN CUCUK TSA30:MISTY LIGHT BLUE:9-10:PRINT:SS T-SHIRT</t>
  </si>
  <si>
    <t>CARTA8</t>
  </si>
  <si>
    <t>66020100CAR TS CARS TAKING THE LEAD CHECK CARTA8:CLASSIC YELLOW:3-4:GRAPHIC:SS T-SHIRT</t>
  </si>
  <si>
    <t>66020100CAR TS CARS TAKING THE LEAD CHECK CARTA8:CLASSIC YELLOW:4-5:GRAPHIC:SS T-SHIRT</t>
  </si>
  <si>
    <t>66020100CAR TS CARS TAKING THE LEAD CHECK CARTA8:CLASSIC YELLOW:5-6:GRAPHIC:SS T-SHIRT</t>
  </si>
  <si>
    <t>66020100CAR TS CARS TAKING THE LEAD CHECK CARTA8:CLASSIC YELLOW:7-8:GRAPHIC:SS T-SHIRT</t>
  </si>
  <si>
    <t>66020100CAR TS CARS TAKING THE LEAD CHECK CARTA8:CLASSIC YELLOW:9-10:GRAPHIC:SS T-SHIRT</t>
  </si>
  <si>
    <t>CARA03</t>
  </si>
  <si>
    <t>66020100CAR TS CARS SPEED RACE 95 LGN STRIPE CARA03:MISTY MEDIUM BLUE:3-4:GRAPHIC:SS T-SHIRT</t>
  </si>
  <si>
    <t>66020100CAR TS CARS SPEED RACE 95 LGN STRIPE CARA03:MISTY MEDIUM BLUE:4-5:GRAPHIC:SS T-SHIRT</t>
  </si>
  <si>
    <t>66020100CAR TS CARS SPEED RACE 95 LGN STRIPE CARA03:MISTY MEDIUM BLUE:5-6:GRAPHIC:SS T-SHIRT</t>
  </si>
  <si>
    <t>66020100CAR TS CARS SPEED RACE 95 LGN STRIPE CARA03:MISTY MEDIUM BLUE:7-8:GRAPHIC:SS T-SHIRT</t>
  </si>
  <si>
    <t>66020100CAR TS CARS SPEED RACE 95 LGN STRIPE CARA03:MISTY MEDIUM BLUE:9-10:GRAPHIC:SS T-SHIRT</t>
  </si>
  <si>
    <t>CARA1</t>
  </si>
  <si>
    <t>66020100CAR TS CARS MC QUEEN KACHOW APLIKASI RPM CARA1:MISTY MEDIUM KHAKI:3-4:GRAPHIC:SS T-SHIRT</t>
  </si>
  <si>
    <t>66020100CAR TS CARS MC QUEEN KACHOW APLIKASI RPM CARA1:MISTY MEDIUM KHAKI:4-5:GRAPHIC:SS T-SHIRT</t>
  </si>
  <si>
    <t>66020100CAR TS CARS MC QUEEN KACHOW APLIKASI RPM CARA1:MISTY MEDIUM KHAKI:5-6:GRAPHIC:SS T-SHIRT</t>
  </si>
  <si>
    <t>66020100CAR TS CARS MC QUEEN KACHOW APLIKASI RPM CARA1:MISTY MEDIUM KHAKI:7-8:GRAPHIC:SS T-SHIRT</t>
  </si>
  <si>
    <t>66020100CAR TS CARS MC QUEEN KACHOW APLIKASI RPM CARA1:MISTY MEDIUM KHAKI:9-10:GRAPHIC:SS T-SHIRT</t>
  </si>
  <si>
    <t>CARTA2</t>
  </si>
  <si>
    <t>66020100CAR TS CARS MC QUEEN RACE MODE APLIKASI KACA CARTA2:NAVY BLUE:3-4:GRAPHIC:SS T-SHIRT</t>
  </si>
  <si>
    <t>66020100CAR TS CARS MC QUEEN RACE MODE APLIKASI KACA CARTA2:NAVY BLUE:4-5:GRAPHIC:SS T-SHIRT</t>
  </si>
  <si>
    <t>66020100CAR TS CARS MC QUEEN RACE MODE APLIKASI KACA CARTA2:NAVY BLUE:5-6:GRAPHIC:SS T-SHIRT</t>
  </si>
  <si>
    <t>66020100CAR TS CARS MC QUEEN RACE MODE APLIKASI KACA CARTA2:NAVY BLUE:7-8:GRAPHIC:SS T-SHIRT</t>
  </si>
  <si>
    <t>66020100CAR TS CARS MC QUEEN RACE MODE APLIKASI KACA CARTA2:NAVY BLUE:9-10:GRAPHIC:SS T-SHIRT</t>
  </si>
  <si>
    <t>CARTA9</t>
  </si>
  <si>
    <t>66020100CAR TS CARS MC QUEEN RPM 95 CARTA9:CLASSIC RED:3-4:GRAPHIC:SS T-SHIRT</t>
  </si>
  <si>
    <t>66020100CAR TS CARS MC QUEEN RPM 95 CARTA9:CLASSIC RED:4-5:GRAPHIC:SS T-SHIRT</t>
  </si>
  <si>
    <t>66020100CAR TS CARS MC QUEEN RPM 95 CARTA9:CLASSIC RED:5-6:GRAPHIC:SS T-SHIRT</t>
  </si>
  <si>
    <t>66020100CAR TS CARS MC QUEEN RPM 95 CARTA9:CLASSIC RED:7-8:GRAPHIC:SS T-SHIRT</t>
  </si>
  <si>
    <t>66020100CAR TS CARS MC QUEEN RPM 95 CARTA9:CLASSIC RED:9-10:GRAPHIC:SS T-SHIRT</t>
  </si>
  <si>
    <t>HNT12</t>
  </si>
  <si>
    <t>66020100SWS TS STARWARS DARK SIDE DARK VADER HNT12:MAROON:3-4:TEXT:SS T-SHIRT</t>
  </si>
  <si>
    <t>66020100SWS TS STARWARS DARK SIDE DARK VADER HNT12:MAROON:4-5:TEXT:SS T-SHIRT</t>
  </si>
  <si>
    <t>66020100SWS TS STARWARS DARK SIDE DARK VADER HNT12:MAROON:5-6:TEXT:SS T-SHIRT</t>
  </si>
  <si>
    <t>66020100SWS TS STARWARS DARK SIDE DARK VADER HNT12:MAROON:7-8:TEXT:SS T-SHIRT</t>
  </si>
  <si>
    <t>66020100SWS TS STARWARS DARK SIDE DARK VADER HNT12:MAROON:9-10:TEXT:SS T-SHIRT</t>
  </si>
  <si>
    <t>66020100SWS TS STARWARS DARK SIDE DARK VADER HNT12:MAROON:11-12:TEXT:SS T-SHIRT</t>
  </si>
  <si>
    <t>66020100SWS TS STARWARS DARK SIDE DARK VADER HNT12:MAROON:13-14:TEXT:SS T-SHIRT</t>
  </si>
  <si>
    <t>66020100SWS TS STARWARS DARK SIDE DARK VADER HNT12:MAROON:15-16:TEXT:SS T-SHIRT</t>
  </si>
  <si>
    <t>GNSW18</t>
  </si>
  <si>
    <t>66040100SWS TS STARWARS ANIME LUKE R2D2 PATCH GNSW18:FROST GREY:5-6:GRAPHIC:SS T-SHIRT</t>
  </si>
  <si>
    <t>66040100SWS TS STARWARS ANIME LUKE R2D2 PATCH GNSW18:FROST GREY:7-8:GRAPHIC:SS T-SHIRT</t>
  </si>
  <si>
    <t>66040100SWS TS STARWARS ANIME LUKE R2D2 PATCH GNSW18:FROST GREY:9-10:GRAPHIC:SS T-SHIRT</t>
  </si>
  <si>
    <t>66060100SWS TS STARWARS ANIME LUKE R2D2 PATCH GNSW18:FROST GREY:11-12:GRAPHIC:SS T-SHIRT</t>
  </si>
  <si>
    <t>66060100SWS TS STARWARS ANIME LUKE R2D2 PATCH GNSW18:FROST GREY:13-14:GRAPHIC:SS T-SHIRT</t>
  </si>
  <si>
    <t>66060100SWS TS STARWARS ANIME LUKE R2D2 PATCH GNSW18:FROST GREY:15-16:GRAPHIC:SS T-SHIRT</t>
  </si>
  <si>
    <t>HR392</t>
  </si>
  <si>
    <t>66020100OAV TS AVG FLOCKING SPLASH LOGO HR392:MISTY LIGHT GREY:3-4:TEXT:SS T-SHIRT</t>
  </si>
  <si>
    <t>66020100OAV TS AVG FLOCKING SPLASH LOGO HR392:MISTY LIGHT GREY:4-5:TEXT:SS T-SHIRT</t>
  </si>
  <si>
    <t>66020100OAV TS AVG FLOCKING SPLASH LOGO HR392:MISTY LIGHT GREY:5-6:TEXT:SS T-SHIRT</t>
  </si>
  <si>
    <t>66040100OAV TS AVG FLOCKING SPLASH LOGO HR392:MISTY LIGHT GREY:7-8:TEXT:SS T-SHIRT</t>
  </si>
  <si>
    <t>66040100OAV TS AVG FLOCKING SPLASH LOGO HR392:MISTY LIGHT GREY:9-10:TEXT:SS T-SHIRT</t>
  </si>
  <si>
    <t>66040100OAV TS AVG FLOCKING SPLASH LOGO HR392:MISTY LIGHT GREY:11-12:TEXT:SS T-SHIRT</t>
  </si>
  <si>
    <t>66060100OAV TS AVG FLOCKING SPLASH LOGO HR392:MISTY LIGHT GREY:13-14:TEXT:SS T-SHIRT</t>
  </si>
  <si>
    <t>66060100OAV TS AVG FLOCKING SPLASH LOGO HR392:MISTY LIGHT GREY:15-16:TEXT:SS T-SHIRT</t>
  </si>
  <si>
    <t>HR403</t>
  </si>
  <si>
    <t>66020100OAV TS AVG CAPT AMRIK TIE DYE STAR HR403:MISTY MEDIUM BLUE:3-4:PRINT:SS T-SHIRT</t>
  </si>
  <si>
    <t>66020100OAV TS AVG CAPT AMRIK TIE DYE STAR HR403:MISTY MEDIUM BLUE:4-5:PRINT:SS T-SHIRT</t>
  </si>
  <si>
    <t>66020100OAV TS AVG CAPT AMRIK TIE DYE STAR HR403:MISTY MEDIUM BLUE:5-6:PRINT:SS T-SHIRT</t>
  </si>
  <si>
    <t>66020100OAV TS AVG CAPT AMRIK TIE DYE STAR HR403:MISTY MEDIUM BLUE:7-8:PRINT:SS T-SHIRT</t>
  </si>
  <si>
    <t>66020100OAV TS AVG CAPT AMRIK TIE DYE STAR HR403:MISTY MEDIUM BLUE:9-10:PRINT:SS T-SHIRT</t>
  </si>
  <si>
    <t>66020100OAV TS AVG CAPT AMRIK TIE DYE STAR HR403:MISTY MEDIUM BLUE:11-12:PRINT:SS T-SHIRT</t>
  </si>
  <si>
    <t>66020100OAV TS AVG CAPT AMRIK TIE DYE STAR HR403:MISTY MEDIUM BLUE:13-14:PRINT:SS T-SHIRT</t>
  </si>
  <si>
    <t>66020100OAV TS AVG CAPT AMRIK TIE DYE STAR HR403:MISTY MEDIUM BLUE:15-16:PRINT:SS T-SHIRT</t>
  </si>
  <si>
    <t>HR349</t>
  </si>
  <si>
    <t>66040100OAV TS AVG CUTSEWN SPLASH LOGO HR349:NAVY BLUE:5-6:TEXT:SS T-SHIRT</t>
  </si>
  <si>
    <t>66040100OAV TS AVG CUTSEWN SPLASH LOGO HR349:NAVY BLUE:7-8:TEXT:SS T-SHIRT</t>
  </si>
  <si>
    <t>66040100OAV TS AVG CUTSEWN SPLASH LOGO HR349:NAVY BLUE:9-10:TEXT:SS T-SHIRT</t>
  </si>
  <si>
    <t>66060100OAV TS AVG CUTSEWN SPLASH LOGO HR349:NAVY BLUE:11-12:TEXT:SS T-SHIRT</t>
  </si>
  <si>
    <t>66060100OAV TS AVG CUTSEWN SPLASH LOGO HR349:NAVY BLUE:13-14:TEXT:SS T-SHIRT</t>
  </si>
  <si>
    <t>66060100OAV TS AVG CUTSEWN SPLASH LOGO HR349:NAVY BLUE:15-16:TEXT:SS T-SHIRT</t>
  </si>
  <si>
    <t>A464</t>
  </si>
  <si>
    <t>66020100OAV TS AVG HOLO CAPT AMRIK A464:WHITE:3-4:PRINT:SS T-SHIRT</t>
  </si>
  <si>
    <t>66020100OAV TS AVG HOLO CAPT AMRIK A464:WHITE:4-5:PRINT:SS T-SHIRT</t>
  </si>
  <si>
    <t>66020100OAV TS AVG HOLO CAPT AMRIK A464:WHITE:5-6:PRINT:SS T-SHIRT</t>
  </si>
  <si>
    <t>66040100OAV TS AVG HOLO CAPT AMRIK A464:WHITE:7-8:PRINT:SS T-SHIRT</t>
  </si>
  <si>
    <t>66040100OAV TS AVG HOLO CAPT AMRIK A464:WHITE:9-10:PRINT:SS T-SHIRT</t>
  </si>
  <si>
    <t>66040100OAV TS AVG HOLO CAPT AMRIK A464:WHITE:11-12:PRINT:SS T-SHIRT</t>
  </si>
  <si>
    <t>66060100OAV TS AVG HOLO CAPT AMRIK A464:WHITE:13-14:PRINT:SS T-SHIRT</t>
  </si>
  <si>
    <t>66060100OAV TS AVG HOLO CAPT AMRIK A464:WHITE:15-16:PRINT:SS T-SHIRT</t>
  </si>
  <si>
    <t>AT733</t>
  </si>
  <si>
    <t>66020100OAV TS AVG TEAM LOGO A BESAR SPLASH AT733:CLASSIC YELLOW:3-4:PRINT:SS T-SHIRT</t>
  </si>
  <si>
    <t>66020100OAV TS AVG TEAM LOGO A BESAR SPLASH AT733:CLASSIC YELLOW:4-5:PRINT:SS T-SHIRT</t>
  </si>
  <si>
    <t>66020100OAV TS AVG TEAM LOGO A BESAR SPLASH AT733:CLASSIC YELLOW:5-6:PRINT:SS T-SHIRT</t>
  </si>
  <si>
    <t>66040100OAV TS AVG TEAM LOGO A BESAR SPLASH AT733:CLASSIC YELLOW:7-8:PRINT:SS T-SHIRT</t>
  </si>
  <si>
    <t>66040100OAV TS AVG TEAM LOGO A BESAR SPLASH AT733:CLASSIC YELLOW:9-10:PRINT:SS T-SHIRT</t>
  </si>
  <si>
    <t>66040100OAV TS AVG TEAM LOGO A BESAR SPLASH AT733:CLASSIC YELLOW:11-12:PRINT:SS T-SHIRT</t>
  </si>
  <si>
    <t>66060100OAV TS AVG TEAM LOGO A BESAR SPLASH AT733:CLASSIC YELLOW:13-14:PRINT:SS T-SHIRT</t>
  </si>
  <si>
    <t>66060100OAV TS AVG TEAM LOGO A BESAR SPLASH AT733:CLASSIC YELLOW:15-16:PRINT:SS T-SHIRT</t>
  </si>
  <si>
    <t>KAVCL73</t>
  </si>
  <si>
    <t>66020100OAV TS AVG TEKSTUR CUT SEWN KTG LOGO KAVCL73:MISTY MEDIUM GREY:3-4:GRAPHIC:SS T-SHIRT</t>
  </si>
  <si>
    <t>66020100OAV TS AVG TEKSTUR CUT SEWN KTG LOGO KAVCL73:MISTY MEDIUM GREY:4-5:GRAPHIC:SS T-SHIRT</t>
  </si>
  <si>
    <t>66020100OAV TS AVG TEKSTUR CUT SEWN KTG LOGO KAVCL73:MISTY MEDIUM GREY:5-6:GRAPHIC:SS T-SHIRT</t>
  </si>
  <si>
    <t>66040100OAV TS AVG TEKSTUR CUT SEWN KTG LOGO KAVCL73:MISTY MEDIUM GREY:7-8:GRAPHIC:SS T-SHIRT</t>
  </si>
  <si>
    <t>66040100OAV TS AVG TEKSTUR CUT SEWN KTG LOGO KAVCL73:MISTY MEDIUM GREY:9-10:GRAPHIC:SS T-SHIRT</t>
  </si>
  <si>
    <t>66040100OAV TS AVG TEKSTUR CUT SEWN KTG LOGO KAVCL73:MISTY MEDIUM GREY:11-12:GRAPHIC:SS T-SHIRT</t>
  </si>
  <si>
    <t>66060100OAV TS AVG TEKSTUR CUT SEWN KTG LOGO KAVCL73:MISTY MEDIUM GREY:13-14:GRAPHIC:SS T-SHIRT</t>
  </si>
  <si>
    <t>66060100OAV TS AVG TEKSTUR CUT SEWN KTG LOGO KAVCL73:MISTY MEDIUM GREY:15-16:GRAPHIC:SS T-SHIRT</t>
  </si>
  <si>
    <t>NT064</t>
  </si>
  <si>
    <t>66020100MCS TS SPD MARVEL OUTLINE FLOCKING NT064:CLASSIC RED:3-4:GRAPHIC:SS T-SHIRT</t>
  </si>
  <si>
    <t>66020100MCS TS SPD MARVEL OUTLINE FLOCKING NT064:CLASSIC RED:4-5:GRAPHIC:SS T-SHIRT</t>
  </si>
  <si>
    <t>66020100MCS TS SPD MARVEL OUTLINE FLOCKING NT064:CLASSIC RED:5-6:GRAPHIC:SS T-SHIRT</t>
  </si>
  <si>
    <t>66040100MCS TS SPD MARVEL OUTLINE FLOCKING NT064:CLASSIC RED:7-8:GRAPHIC:SS T-SHIRT</t>
  </si>
  <si>
    <t>66040100MCS TS SPD MARVEL OUTLINE FLOCKING NT064:CLASSIC RED:9-10:GRAPHIC:SS T-SHIRT</t>
  </si>
  <si>
    <t>66040100MCS TS SPD MARVEL OUTLINE FLOCKING NT064:CLASSIC RED:11-12:GRAPHIC:SS T-SHIRT</t>
  </si>
  <si>
    <t>66060100MCS TS SPD MARVEL OUTLINE FLOCKING NT064:CLASSIC RED:13-14:GRAPHIC:SS T-SHIRT</t>
  </si>
  <si>
    <t>66060100MCS TS SPD MARVEL OUTLINE FLOCKING NT064:CLASSIC RED:15-16:GRAPHIC:SS T-SHIRT</t>
  </si>
  <si>
    <t>N070</t>
  </si>
  <si>
    <t>66020100MCS TS SPD CUTSEWN FP SEGITIGA STRIPE N070:WHITE:3-4:PRINT:SS T-SHIRT</t>
  </si>
  <si>
    <t>66020100MCS TS SPD CUTSEWN FP SEGITIGA STRIPE N070:WHITE:4-5:PRINT:SS T-SHIRT</t>
  </si>
  <si>
    <t>66020100MCS TS SPD CUTSEWN FP SEGITIGA STRIPE N070:WHITE:5-6:PRINT:SS T-SHIRT</t>
  </si>
  <si>
    <t>66040100MCS TS SPD CUTSEWN FP SEGITIGA STRIPE N070:WHITE:7-8:PRINT:SS T-SHIRT</t>
  </si>
  <si>
    <t>66040100MCS TS SPD CUTSEWN FP SEGITIGA STRIPE N070:WHITE:9-10:PRINT:SS T-SHIRT</t>
  </si>
  <si>
    <t>66040100MCS TS SPD CUTSEWN FP SEGITIGA STRIPE N070:WHITE:11-12:PRINT:SS T-SHIRT</t>
  </si>
  <si>
    <t>66060100MCS TS SPD CUTSEWN FP SEGITIGA STRIPE N070:WHITE:13-14:PRINT:SS T-SHIRT</t>
  </si>
  <si>
    <t>66060100MCS TS SPD CUTSEWN FP SEGITIGA STRIPE N070:WHITE:15-16:PRINT:SS T-SHIRT</t>
  </si>
  <si>
    <t>N071</t>
  </si>
  <si>
    <t>66020100MCS TS SPD FACE STRIPE KTG N071:WHITE:3-4:STRIPES:SS T-SHIRT</t>
  </si>
  <si>
    <t>66020100MCS TS SPD FACE STRIPE KTG N071:WHITE:4-5:STRIPES:SS T-SHIRT</t>
  </si>
  <si>
    <t>66020100MCS TS SPD FACE STRIPE KTG N071:WHITE:5-6:STRIPES:SS T-SHIRT</t>
  </si>
  <si>
    <t>66040100MCS TS SPD FACE STRIPE KTG N071:WHITE:7-8:STRIPES:SS T-SHIRT</t>
  </si>
  <si>
    <t>66040100MCS TS SPD FACE STRIPE KTG N071:WHITE:9-10:STRIPES:SS T-SHIRT</t>
  </si>
  <si>
    <t>66040100MCS TS SPD FACE STRIPE KTG N071:WHITE:11-12:STRIPES:SS T-SHIRT</t>
  </si>
  <si>
    <t>66060100MCS TS SPD FACE STRIPE KTG N071:WHITE:13-14:STRIPES:SS T-SHIRT</t>
  </si>
  <si>
    <t>66060100MCS TS SPD FACE STRIPE KTG N071:WHITE:15-16:STRIPES:SS T-SHIRT</t>
  </si>
  <si>
    <t>HR436</t>
  </si>
  <si>
    <t>66020100MCS TS SPD FP COMIC MARVEL HR436:BLACK:3-4:PRINT:SS T-SHIRT</t>
  </si>
  <si>
    <t>66020100MCS TS SPD FP COMIC MARVEL HR436:BLACK:4-5:PRINT:SS T-SHIRT</t>
  </si>
  <si>
    <t>66020100MCS TS SPD FP COMIC MARVEL HR436:BLACK:5-6:PRINT:SS T-SHIRT</t>
  </si>
  <si>
    <t>66040100MCS TS SPD FP COMIC MARVEL HR436:BLACK:7-8:PRINT:SS T-SHIRT</t>
  </si>
  <si>
    <t>66040100MCS TS SPD FP COMIC MARVEL HR436:BLACK:9-10:PRINT:SS T-SHIRT</t>
  </si>
  <si>
    <t>66040100MCS TS SPD FP COMIC MARVEL HR436:BLACK:11-12:PRINT:SS T-SHIRT</t>
  </si>
  <si>
    <t>66060100MCS TS SPD FP COMIC MARVEL HR436:BLACK:13-14:PRINT:SS T-SHIRT</t>
  </si>
  <si>
    <t>66060100MCS TS SPD FP COMIC MARVEL HR436:BLACK:15-16:PRINT:SS T-SHIRT</t>
  </si>
  <si>
    <t>A868</t>
  </si>
  <si>
    <t>66020100MCS TS SPD FP MARBLE CUTSEWN A868:WHITE:3-4:PRINT:SS T-SHIRT</t>
  </si>
  <si>
    <t>66020100MCS TS SPD FP MARBLE CUTSEWN A868:WHITE:4-5:PRINT:SS T-SHIRT</t>
  </si>
  <si>
    <t>66020100MCS TS SPD FP MARBLE CUTSEWN A868:WHITE:5-6:PRINT:SS T-SHIRT</t>
  </si>
  <si>
    <t>66040100MCS TS SPD FP MARBLE CUTSEWN A868:WHITE:7-8:PRINT:SS T-SHIRT</t>
  </si>
  <si>
    <t>66040100MCS TS SPD FP MARBLE CUTSEWN A868:WHITE:9-10:PRINT:SS T-SHIRT</t>
  </si>
  <si>
    <t>66040100MCS TS SPD FP MARBLE CUTSEWN A868:WHITE:11-12:PRINT:SS T-SHIRT</t>
  </si>
  <si>
    <t>66060100MCS TS SPD FP MARBLE CUTSEWN A868:WHITE:13-14:PRINT:SS T-SHIRT</t>
  </si>
  <si>
    <t>66060100MCS TS SPD FP MARBLE CUTSEWN A868:WHITE:15-16:PRINT:SS T-SHIRT</t>
  </si>
  <si>
    <t>A732</t>
  </si>
  <si>
    <t>66020100OAV TS AVG TEAM ASSEMBLE LINGKAR LEHER A732:MISTY MEDIUM BLUE:3-4:GRAPHIC:SS T-SHIRT</t>
  </si>
  <si>
    <t>66020100OAV TS AVG TEAM ASSEMBLE LINGKAR LEHER A732:MISTY MEDIUM BLUE:4-5:GRAPHIC:SS T-SHIRT</t>
  </si>
  <si>
    <t>66020100OAV TS AVG TEAM ASSEMBLE LINGKAR LEHER A732:MISTY MEDIUM BLUE:5-6:GRAPHIC:SS T-SHIRT</t>
  </si>
  <si>
    <t>66020100OAV TS AVG TEAM ASSEMBLE LINGKAR LEHER A732:MISTY MEDIUM BLUE:7-8:GRAPHIC:SS T-SHIRT</t>
  </si>
  <si>
    <t>66020100OAV TS AVG TEAM ASSEMBLE LINGKAR LEHER A732:MISTY MEDIUM BLUE:9-10:GRAPHIC:SS T-SHIRT</t>
  </si>
  <si>
    <t>66020100OAV TS AVG TEAM ASSEMBLE LINGKAR LEHER A732:MISTY MEDIUM BLUE:11-12:GRAPHIC:SS T-SHIRT</t>
  </si>
  <si>
    <t>66020100OAV TS AVG TEAM ASSEMBLE LINGKAR LEHER A732:MISTY MEDIUM BLUE:13-14:GRAPHIC:SS T-SHIRT</t>
  </si>
  <si>
    <t>66020100OAV TS AVG TEAM ASSEMBLE LINGKAR LEHER A732:MISTY MEDIUM BLUE:15-16:GRAPHIC:SS T-SHIRT</t>
  </si>
  <si>
    <t>GNAVG49</t>
  </si>
  <si>
    <t>66020100OAV TS AVG LOGO GNAVG49:BLACK:3-4:GRAPHIC:SS T-SHIRT</t>
  </si>
  <si>
    <t>66020100OAV TS AVG LOGO GNAVG49:BLACK:4-5:GRAPHIC:SS T-SHIRT</t>
  </si>
  <si>
    <t>66020100OAV TS AVG LOGO GNAVG49:BLACK:5-6:GRAPHIC:SS T-SHIRT</t>
  </si>
  <si>
    <t>66020100OAV TS AVG LOGO GNAVG49:BLACK:7-8:GRAPHIC:SS T-SHIRT</t>
  </si>
  <si>
    <t>66020100OAV TS AVG LOGO GNAVG49:BLACK:9-10:GRAPHIC:SS T-SHIRT</t>
  </si>
  <si>
    <t>66020100OAV TS AVG LOGO GNAVG49:BLACK:11-12:GRAPHIC:SS T-SHIRT</t>
  </si>
  <si>
    <t>66020100OAV TS AVG LOGO GNAVG49:BLACK:13-14:GRAPHIC:SS T-SHIRT</t>
  </si>
  <si>
    <t>66020100OAV TS AVG LOGO GNAVG49:BLACK:15-16:GRAPHIC:SS T-SHIRT</t>
  </si>
  <si>
    <t>GNSPD25</t>
  </si>
  <si>
    <t>66020100MCS TS SPD WHAM 3 KOTAK JARING GNSPD25:MISTY MEDIUM BLUE:3-4:GRAPHIC:SS T-SHIRT</t>
  </si>
  <si>
    <t>66020100MCS TS SPD WHAM 3 KOTAK JARING GNSPD25:MISTY MEDIUM BLUE:4-5:GRAPHIC:SS T-SHIRT</t>
  </si>
  <si>
    <t>66020100MCS TS SPD WHAM 3 KOTAK JARING GNSPD25:MISTY MEDIUM BLUE:5-6:GRAPHIC:SS T-SHIRT</t>
  </si>
  <si>
    <t>66020100MCS TS SPD WHAM 3 KOTAK JARING GNSPD25:MISTY MEDIUM BLUE:7-8:GRAPHIC:SS T-SHIRT</t>
  </si>
  <si>
    <t>66020100MCS TS SPD WHAM 3 KOTAK JARING GNSPD25:MISTY MEDIUM BLUE:9-10:GRAPHIC:SS T-SHIRT</t>
  </si>
  <si>
    <t>66020100MCS TS SPD WHAM 3 KOTAK JARING GNSPD25:MISTY MEDIUM BLUE:11-12:GRAPHIC:SS T-SHIRT</t>
  </si>
  <si>
    <t>66020100MCS TS SPD WHAM 3 KOTAK JARING GNSPD25:MISTY MEDIUM BLUE:13-14:GRAPHIC:SS T-SHIRT</t>
  </si>
  <si>
    <t>66020100MCS TS SPD WHAM 3 KOTAK JARING GNSPD25:MISTY MEDIUM BLUE:15-16:GRAPHIC:SS T-SHIRT</t>
  </si>
  <si>
    <t>GNAVG38</t>
  </si>
  <si>
    <t>66020100OAV TS AVG MARVEL EMBOSS CHAR FP GNAVG38:NAVY BLUE:3-4:TEXT:SS T-SHIRT</t>
  </si>
  <si>
    <t>66020100OAV TS AVG MARVEL EMBOSS CHAR FP GNAVG38:NAVY BLUE:4-5:TEXT:SS T-SHIRT</t>
  </si>
  <si>
    <t>66020100OAV TS AVG MARVEL EMBOSS CHAR FP GNAVG38:NAVY BLUE:5-6:TEXT:SS T-SHIRT</t>
  </si>
  <si>
    <t>66020100OAV TS AVG MARVEL EMBOSS CHAR FP GNAVG38:NAVY BLUE:7-8:TEXT:SS T-SHIRT</t>
  </si>
  <si>
    <t>66020100OAV TS AVG MARVEL EMBOSS CHAR FP GNAVG38:NAVY BLUE:9-10:TEXT:SS T-SHIRT</t>
  </si>
  <si>
    <t>66020100OAV TS AVG MARVEL EMBOSS CHAR FP GNAVG38:NAVY BLUE:11-12:TEXT:SS T-SHIRT</t>
  </si>
  <si>
    <t>66020100OAV TS AVG MARVEL EMBOSS CHAR FP GNAVG38:NAVY BLUE:13-14:TEXT:SS T-SHIRT</t>
  </si>
  <si>
    <t>66020100OAV TS AVG MARVEL EMBOSS CHAR FP GNAVG38:NAVY BLUE:15-16:TEXT:SS T-SHIRT</t>
  </si>
  <si>
    <t>TPAVGR28</t>
  </si>
  <si>
    <t>68040202OAV TOPI AVG LOGO CAPT AMRIK TIEDYE STRIPE TPAVGR28:WHITE:F:PRINT:CAPS</t>
  </si>
  <si>
    <t>TPAVGR35</t>
  </si>
  <si>
    <t>68040202OAV TOPI AVG LOGO OMBRE FP COMIC TPAVGR35:WHITE:F:PRINT:CAPS</t>
  </si>
  <si>
    <t>TPSPDR33</t>
  </si>
  <si>
    <t>68040202MCS TOPI SPIDERMAN FACE POLOS TPSPDR33:BLACK:F:PRINT:CAPS</t>
  </si>
  <si>
    <t>TPAVG27</t>
  </si>
  <si>
    <t>68040202OAV TOPI AVG CAPT FIRST AVG TIEDYE TPAVG27:NAVY BLUE:F:PRINT:CAPS</t>
  </si>
  <si>
    <t>TPSPD30A</t>
  </si>
  <si>
    <t>68040202MCS TOPI SPD AMAZING FACE SPLASH TPSPD30A:BLACK:F:GRAPHIC:CAPS</t>
  </si>
  <si>
    <t>N062</t>
  </si>
  <si>
    <t>66020100MCS LP KNIT SPD FACE DOUBLE KTG TAPE N062:NAVY BLUE:3-4:GRAPHIC:LONG PANTS</t>
  </si>
  <si>
    <t>66020100MCS LP KNIT SPD FACE DOUBLE KTG TAPE N062:NAVY BLUE:4-5:GRAPHIC:LONG PANTS</t>
  </si>
  <si>
    <t>66020100MCS LP KNIT SPD FACE DOUBLE KTG TAPE N062:NAVY BLUE:5-6:GRAPHIC:LONG PANTS</t>
  </si>
  <si>
    <t>66040100MCS LP KNIT SPD FACE DOUBLE KTG TAPE  N062:NAVY BLUE:7-8:GRAPHIC:LONG PANTS</t>
  </si>
  <si>
    <t>66040100MCS LP KNIT SPD FACE DOUBLE KTG TAPE  N062:NAVY BLUE:9-10:GRAPHIC:LONG PANTS</t>
  </si>
  <si>
    <t>66040100MCS LP KNIT SPD FACE DOUBLE KTG TAPE  N062:NAVY BLUE:11-12:GRAPHIC:LONG PANTS</t>
  </si>
  <si>
    <t>66060100MCS LP KNIT SPD FACE DOUBLE KTG TAPE  N062:NAVY BLUE:13-14:GRAPHIC:LONG PANTS</t>
  </si>
  <si>
    <t>66060100MCS LP KNIT SPD FACE DOUBLE KTG TAPE  N062:NAVY BLUE:15-16:GRAPHIC:LONG PANTS</t>
  </si>
  <si>
    <t>HR489</t>
  </si>
  <si>
    <t>66020100MCS CROP KNIT SPD CUT SEWN LABA HR489:BLACK:3-4:GRAPHIC:SHORT PANTS</t>
  </si>
  <si>
    <t>66020100MCS CROP KNIT SPD CUT SEWN LABA HR489:BLACK:4-5:GRAPHIC:SHORT PANTS</t>
  </si>
  <si>
    <t>66040100MCS CROP KNIT SPD CUT SEWN LABA  HR489:BLACK:5-6:GRAPHIC:SHORT PANTS</t>
  </si>
  <si>
    <t>66040100MCS CROP KNIT SPD CUT SEWN LABA  HR489:BLACK:7-8:GRAPHIC:SHORT PANTS</t>
  </si>
  <si>
    <t>66040100MCS CROP KNIT SPD CUT SEWN LABA  HR489:BLACK:9-10:GRAPHIC:SHORT PANTS</t>
  </si>
  <si>
    <t>66060100MCS CROP KNIT SPD CUT SEWN LABA  HR489:BLACK:11-12:GRAPHIC:SHORT PANTS</t>
  </si>
  <si>
    <t>66060100MCS CROP KNIT SPD CUT SEWN LABA  HR489:BLACK:13-14:GRAPHIC:SHORT PANTS</t>
  </si>
  <si>
    <t>66060100MCS CROP KNIT SPD CUT SEWN LABA  HR489:BLACK:15-16:GRAPHIC:SHORT PANTS</t>
  </si>
  <si>
    <t>GNAVG71</t>
  </si>
  <si>
    <t>66020100OAV CP KNIT AVG PATCH LOGO GNAVG71:BLACK:3-4:SOLID:SHORT PANTS</t>
  </si>
  <si>
    <t>66020100OAV CP KNIT AVG PATCH LOGO GNAVG71:BLACK:4-5:SOLID:SHORT PANTS</t>
  </si>
  <si>
    <t>66020100OAV CP KNIT AVG PATCH LOGO GNAVG71:BLACK:5-6:SOLID:SHORT PANTS</t>
  </si>
  <si>
    <t>66040100OAV CP KNIT AVG PATCH LOGO GNAVG71:BLACK:7-8:SOLID:SHORT PANTS</t>
  </si>
  <si>
    <t>66040100OAV CP KNIT AVG PATCH LOGO GNAVG71:BLACK:9-10:SOLID:SHORT PANTS</t>
  </si>
  <si>
    <t>66040100OAV CP KNIT AVG PATCH LOGO GNAVG71:BLACK:11-12:SOLID:SHORT PANTS</t>
  </si>
  <si>
    <t>66060100OAV CP KNIT AVG PATCH LOGO GNAVG71:BLACK:13-14:SOLID:SHORT PANTS</t>
  </si>
  <si>
    <t>66060100OAV CP KNIT AVG PATCH LOGO GNAVG71:BLACK:15-16:SOLID:SHORT PANTS</t>
  </si>
  <si>
    <t>GNAVG590</t>
  </si>
  <si>
    <t>66020100OAV SWEATER AVG KTG PARKA GNAVG590:CLASSIC BLUE:3-4:TEXT:SWEATER</t>
  </si>
  <si>
    <t>66020100OAV SWEATER AVG KTG PARKA GNAVG590:CLASSIC BLUE:4-5:TEXT:SWEATER</t>
  </si>
  <si>
    <t>66020100OAV SWEATER AVG KTG PARKA GNAVG590:CLASSIC BLUE:5-6:TEXT:SWEATER</t>
  </si>
  <si>
    <t>66040100OAV SWEATER AVG KTG PARKA GNAVG590:CLASSIC BLUE:7-8:TEXT:SWEATER</t>
  </si>
  <si>
    <t>66040100OAV SWEATER AVG KTG PARKA GNAVG590:CLASSIC BLUE:9-10:TEXT:SWEATER</t>
  </si>
  <si>
    <t>66040100OAV SWEATER AVG KTG PARKA GNAVG590:CLASSIC BLUE:11-12:TEXT:SWEATER</t>
  </si>
  <si>
    <t>66060100OAV SWEATER AVG KTG PARKA  GNAVG590:CLASSIC BLUE:13-14:TEXT:SWEATER</t>
  </si>
  <si>
    <t>66060100OAV SWEATER AVG KTG PARKA  GNAVG590:CLASSIC BLUE:15-16:TEXT:SWEATER</t>
  </si>
  <si>
    <t>N049</t>
  </si>
  <si>
    <t>66020100MCS JACKET SPD FACE GREAT POWER THWIP N049:NAVY BLUE:3-4:GRAPHIC:JACKET</t>
  </si>
  <si>
    <t>66020100MCS JACKET SPD FACE GREAT POWER THWIP N049:NAVY BLUE:4-5:GRAPHIC:JACKET</t>
  </si>
  <si>
    <t>66020100MCS JACKET SPD FACE GREAT POWER THWIP N049:NAVY BLUE:5-6:GRAPHIC:JACKET</t>
  </si>
  <si>
    <t>66040100MCS JACKET SPD FACE GREAT POWER THWIP  N049:NAVY BLUE:7-8:GRAPHIC:JACKET</t>
  </si>
  <si>
    <t>66040100MCS JACKET SPD FACE GREAT POWER THWIP  N049:NAVY BLUE:9-10:GRAPHIC:JACKET</t>
  </si>
  <si>
    <t>66040100MCS JACKET SPD FACE GREAT POWER THWIP  N049:NAVY BLUE:11-12:GRAPHIC:JACKET</t>
  </si>
  <si>
    <t>66060100MCS JACKET SPD FACE GREAT POWER THWIP  N049:NAVY BLUE:13-14:GRAPHIC:JACKET</t>
  </si>
  <si>
    <t>66060100MCS JACKET SPD FACE GREAT POWER THWIP  N049:NAVY BLUE:15-16:GRAPHIC:JACKET</t>
  </si>
  <si>
    <t>TPSTR13</t>
  </si>
  <si>
    <t>68040202SWS TOPI STARWARS FP SPLASH DOT TPSTR13:BLACK:F:GRAPHIC:CAPS</t>
  </si>
  <si>
    <t>LKHR474</t>
  </si>
  <si>
    <t>66020100LK LP KNIT LION KING KTG CARGO LKHR474:MISTY LIGHT GREY:3-4:GRAPHIC:LONG PANTS</t>
  </si>
  <si>
    <t>66020100LK LP KNIT LION KING KTG CARGO LKHR474:MISTY LIGHT GREY:4-5:GRAPHIC:LONG PANTS</t>
  </si>
  <si>
    <t>66020100LK LP KNIT LION KING KTG CARGO LKHR474:MISTY LIGHT GREY:5-6:GRAPHIC:LONG PANTS</t>
  </si>
  <si>
    <t>66020100LK LP KNIT LION KING KTG CARGO LKHR474:MISTY LIGHT GREY:7-8:GRAPHIC:LONG PANTS</t>
  </si>
  <si>
    <t>66020100LK LP KNIT LION KING KTG CARGO LKHR474:MISTY LIGHT GREY:9-10:GRAPHIC:LONG PANTS</t>
  </si>
  <si>
    <t>GNDN07</t>
  </si>
  <si>
    <t>66020100LK CP KNIT LION KING PATCH GNDN07:KHAKI:3-4:STRIPES:SHORT PANTS</t>
  </si>
  <si>
    <t>66020100LK CP KNIT LION KING PATCH GNDN07:KHAKI:4-5:STRIPES:SHORT PANTS</t>
  </si>
  <si>
    <t>66020100LK CP KNIT LION KING PATCH GNDN07:KHAKI:5-6:STRIPES:SHORT PANTS</t>
  </si>
  <si>
    <t>66020100LK CP KNIT LION KING PATCH GNDN07:KHAKI:7-8:STRIPES:SHORT PANTS</t>
  </si>
  <si>
    <t>66020100LK CP KNIT LION KING PATCH GNDN07:KHAKI:9-10:STRIPES:SHORT PANTS</t>
  </si>
  <si>
    <t>GNSW23</t>
  </si>
  <si>
    <t>66040100SWS LP KNIT STARWARS ANIME KTG 3D GNSW23:BLACK:5-6:GRAPHIC:LONG PANTS</t>
  </si>
  <si>
    <t>66040100SWS LP KNIT STARWARS ANIME KTG 3D GNSW23:BLACK:7-8:GRAPHIC:LONG PANTS</t>
  </si>
  <si>
    <t>66040100SWS LP KNIT STARWARS ANIME KTG 3D GNSW23:BLACK:9-10:GRAPHIC:LONG PANTS</t>
  </si>
  <si>
    <t>66060100SWS LP KNIT STARWARS ANIME KTG 3D GNSW23:BLACK:11-12:GRAPHIC:LONG PANTS</t>
  </si>
  <si>
    <t>66060100SWS LP KNIT STARWARS ANIME KTG 3D GNSW23:BLACK:13-14:GRAPHIC:LONG PANTS</t>
  </si>
  <si>
    <t>66060100SWS LP KNIT STARWARS ANIME KTG 3D GNSW23:BLACK:15-16:GRAPHIC:LONG PANTS</t>
  </si>
  <si>
    <t>LKNT19</t>
  </si>
  <si>
    <t>66020100LK TS LION KING SIMBA EAR LKNT19:CLASSIC YELLOW:3-4:GRAPHIC:SS T-SHIRT</t>
  </si>
  <si>
    <t>66020100LK TS LION KING SIMBA EAR LKNT19:CLASSIC YELLOW:4-5:GRAPHIC:SS T-SHIRT</t>
  </si>
  <si>
    <t>66020100LK TS LION KING SIMBA EAR LKNT19:CLASSIC YELLOW:5-6:GRAPHIC:SS T-SHIRT</t>
  </si>
  <si>
    <t>66020100LK TS LION KING SIMBA EAR LKNT19:CLASSIC YELLOW:7-8:GRAPHIC:SS T-SHIRT</t>
  </si>
  <si>
    <t>66020100LK TS LION KING SIMBA EAR LKNT19:CLASSIC YELLOW:9-10:GRAPHIC:SS T-SHIRT</t>
  </si>
  <si>
    <t>LKAT09</t>
  </si>
  <si>
    <t>66020100LK TS LION KING SIMBA NALA FP LKAT09:CLASSIC YELLOW:3-4:GRAPHIC:SS T-SHIRT</t>
  </si>
  <si>
    <t>66020100LK TS LION KING SIMBA NALA FP LKAT09:CLASSIC YELLOW:4-5:GRAPHIC:SS T-SHIRT</t>
  </si>
  <si>
    <t>66020100LK TS LION KING SIMBA NALA FP LKAT09:CLASSIC YELLOW:5-6:GRAPHIC:SS T-SHIRT</t>
  </si>
  <si>
    <t>66020100LK TS LION KING SIMBA NALA FP LKAT09:CLASSIC YELLOW:7-8:GRAPHIC:SS T-SHIRT</t>
  </si>
  <si>
    <t>66020100LK TS LION KING SIMBA NALA FP LKAT09:CLASSIC YELLOW:9-10:GRAPHIC:SS T-SHIRT</t>
  </si>
  <si>
    <t>GNDN04</t>
  </si>
  <si>
    <t>66020100LK TS LION KING SIMBA ZAZU PUMBA TIMON KOTAK GNDN04:WHITE:3-4:GRAPHIC:SS T-SHIRT</t>
  </si>
  <si>
    <t>66020100LK TS LION KING SIMBA ZAZU PUMBA TIMON KOTAK GNDN04:WHITE:4-5:GRAPHIC:SS T-SHIRT</t>
  </si>
  <si>
    <t>66020100LK TS LION KING SIMBA ZAZU PUMBA TIMON KOTAK GNDN04:WHITE:5-6:GRAPHIC:SS T-SHIRT</t>
  </si>
  <si>
    <t>66020100LK TS LION KING SIMBA ZAZU PUMBA TIMON KOTAK GNDN04:WHITE:7-8:GRAPHIC:SS T-SHIRT</t>
  </si>
  <si>
    <t>66020100LK TS LION KING SIMBA ZAZU PUMBA TIMON KOTAK GNDN04:WHITE:9-10:GRAPHIC:SS T-SHIRT</t>
  </si>
  <si>
    <t>GNDN01</t>
  </si>
  <si>
    <t>66020100LK TS LION KING SIMBA PATCH DADA GNDN01:CLASSIC YELLOW:3-4:GRAPHIC:SS T-SHIRT</t>
  </si>
  <si>
    <t>66020100LK TS LION KING SIMBA PATCH DADA GNDN01:CLASSIC YELLOW:4-5:GRAPHIC:SS T-SHIRT</t>
  </si>
  <si>
    <t>66020100LK TS LION KING SIMBA PATCH DADA GNDN01:CLASSIC YELLOW:5-6:GRAPHIC:SS T-SHIRT</t>
  </si>
  <si>
    <t>66020100LK TS LION KING SIMBA PATCH DADA GNDN01:CLASSIC YELLOW:7-8:GRAPHIC:SS T-SHIRT</t>
  </si>
  <si>
    <t>66020100LK TS LION KING SIMBA PATCH DADA GNDN01:CLASSIC YELLOW:9-10:GRAPHIC:SS T-SHIRT</t>
  </si>
  <si>
    <t>GNDN02</t>
  </si>
  <si>
    <t>66020100LK TS LION KING TIMON SIMBA PUMBA PATCH GNDN02:FOREST GREEN:3-4:GRAPHIC:SS T-SHIRT</t>
  </si>
  <si>
    <t>66020100LK TS LION KING TIMON SIMBA PUMBA PATCH GNDN02:FOREST GREEN:4-5:GRAPHIC:SS T-SHIRT</t>
  </si>
  <si>
    <t>66020100LK TS LION KING TIMON SIMBA PUMBA PATCH GNDN02:FOREST GREEN:5-6:GRAPHIC:SS T-SHIRT</t>
  </si>
  <si>
    <t>66020100LK TS LION KING TIMON SIMBA PUMBA PATCH GNDN02:FOREST GREEN:7-8:GRAPHIC:SS T-SHIRT</t>
  </si>
  <si>
    <t>66020100LK TS LION KING TIMON SIMBA PUMBA PATCH GNDN02:FOREST GREEN:9-10:GRAPHIC:SS T-SHIRT</t>
  </si>
  <si>
    <t>GNDN05</t>
  </si>
  <si>
    <t>66020100LK TS LION KING SIMBA STRIPE FP GNDN05:KHAKI:3-4:STRIPES:SS T-SHIRT</t>
  </si>
  <si>
    <t>66020100LK TS LION KING SIMBA STRIPE FP GNDN05:KHAKI:4-5:STRIPES:SS T-SHIRT</t>
  </si>
  <si>
    <t>66020100LK TS LION KING SIMBA STRIPE FP GNDN05:KHAKI:5-6:STRIPES:SS T-SHIRT</t>
  </si>
  <si>
    <t>66020100LK TS LION KING SIMBA STRIPE FP GNDN05:KHAKI:7-8:STRIPES:SS T-SHIRT</t>
  </si>
  <si>
    <t>66020100LK TS LION KING SIMBA STRIPE FP GNDN05:KHAKI:9-10:STRIPES:SS T-SHIRT</t>
  </si>
  <si>
    <t>GNDN06</t>
  </si>
  <si>
    <t>66020100LK TS LION KING STRIPE KTG APLIKASI GANTUNG GNDN06:CLASSIC YELLOW:3-4:STRIPES:SS T-SHIRT</t>
  </si>
  <si>
    <t>66020100LK TS LION KING STRIPE KTG APLIKASI GANTUNG GNDN06:CLASSIC YELLOW:4-5:STRIPES:SS T-SHIRT</t>
  </si>
  <si>
    <t>66020100LK TS LION KING STRIPE KTG APLIKASI GANTUNG GNDN06:CLASSIC YELLOW:5-6:STRIPES:SS T-SHIRT</t>
  </si>
  <si>
    <t>66020100LK TS LION KING STRIPE KTG APLIKASI GANTUNG GNDN06:CLASSIC YELLOW:7-8:STRIPES:SS T-SHIRT</t>
  </si>
  <si>
    <t>66020100LK TS LION KING STRIPE KTG APLIKASI GANTUNG GNDN06:CLASSIC YELLOW:9-10:STRIPES:SS T-SHIRT</t>
  </si>
  <si>
    <t>LKM11</t>
  </si>
  <si>
    <t>66020100LK TS LION KING MUFASA TIE DYE STRIPE LKM11:WHITE:3-4:PRINT:SS T-SHIRT</t>
  </si>
  <si>
    <t>66020100LK TS LION KING MUFASA TIE DYE STRIPE LKM11:WHITE:4-5:PRINT:SS T-SHIRT</t>
  </si>
  <si>
    <t>66020100LK TS LION KING MUFASA TIE DYE STRIPE LKM11:WHITE:5-6:PRINT:SS T-SHIRT</t>
  </si>
  <si>
    <t>66040100LK TS LION KING MUFASA TIE DYE STRIPE LKM11:WHITE:7-8:PRINT:SS T-SHIRT</t>
  </si>
  <si>
    <t>66040100LK TS LION KING MUFASA TIE DYE STRIPE LKM11:WHITE:9-10:PRINT:SS T-SHIRT</t>
  </si>
  <si>
    <t>66040100LK TS LION KING MUFASA TIE DYE STRIPE LKM11:WHITE:11-12:PRINT:SS T-SHIRT</t>
  </si>
  <si>
    <t>LKM12</t>
  </si>
  <si>
    <t>66020100LK TS LION KING MUFASA PATTERN LKM12:MISTY DARK GREY:3-4:PRINT:SS T-SHIRT</t>
  </si>
  <si>
    <t>66020100LK TS LION KING MUFASA PATTERN LKM12:MISTY DARK GREY:4-5:PRINT:SS T-SHIRT</t>
  </si>
  <si>
    <t>66020100LK TS LION KING MUFASA PATTERN LKM12:MISTY DARK GREY:5-6:PRINT:SS T-SHIRT</t>
  </si>
  <si>
    <t>66040100LK TS LION KING MUFASA PATTERN LKM12:MISTY DARK GREY:7-8:PRINT:SS T-SHIRT</t>
  </si>
  <si>
    <t>66040100LK TS LION KING MUFASA PATTERN LKM12:MISTY DARK GREY:9-10:PRINT:SS T-SHIRT</t>
  </si>
  <si>
    <t>66040100LK TS LION KING MUFASA PATTERN LKM12:MISTY DARK GREY:11-12:PRINT:SS T-SHIRT</t>
  </si>
  <si>
    <t>GNSW19</t>
  </si>
  <si>
    <t>66040100SWS TS STARWARS ANIME HUMAN CHARACTER PATCH GNSW19:BLACK:5-6:GRAPHIC:SS T-SHIRT</t>
  </si>
  <si>
    <t>66040100SWS TS STARWARS ANIME HUMAN CHARACTER PATCH GNSW19:BLACK:7-8:GRAPHIC:SS T-SHIRT</t>
  </si>
  <si>
    <t>66040100SWS TS STARWARS ANIME HUMAN CHARACTER PATCH GNSW19:BLACK:9-10:GRAPHIC:SS T-SHIRT</t>
  </si>
  <si>
    <t>66060100SWS TS STARWARS ANIME HUMAN CHARACTER PATCH  GNSW19:BLACK:11-12:GRAPHIC:SS T-SHIRT</t>
  </si>
  <si>
    <t>66060100SWS TS STARWARS ANIME HUMAN CHARACTER PATCH  GNSW19:BLACK:13-14:GRAPHIC:SS T-SHIRT</t>
  </si>
  <si>
    <t>66060100SWS TS STARWARS ANIME HUMAN CHARACTER PATCH  GNSW19:BLACK:15-16:GRAPHIC:SS T-SHIRT</t>
  </si>
  <si>
    <t>GNSW27</t>
  </si>
  <si>
    <t>66040100SWS TS STARWARS STROM TROOPER STAND GNSW27:WHITE:5-6:GRAPHIC:SS T-SHIRT</t>
  </si>
  <si>
    <t>66040100SWS TS STARWARS STROM TROOPER STAND GNSW27:WHITE:7-8:GRAPHIC:SS T-SHIRT</t>
  </si>
  <si>
    <t>66040100SWS TS STARWARS STROM TROOPER STAND GNSW27:WHITE:9-10:GRAPHIC:SS T-SHIRT</t>
  </si>
  <si>
    <t>66060100SWS TS STARWARS STROM TROOPER STAND GNSW27:WHITE:11-12:GRAPHIC:SS T-SHIRT</t>
  </si>
  <si>
    <t>66060100SWS TS STARWARS STROM TROOPER STAND GNSW27:WHITE:13-14:GRAPHIC:SS T-SHIRT</t>
  </si>
  <si>
    <t>66060100SWS TS STARWARS STROM TROOPER STAND GNSW27:WHITE:15-16:GRAPHIC:SS T-SHIRT</t>
  </si>
  <si>
    <t>GNSPD26</t>
  </si>
  <si>
    <t>66020100MCS TS SPD EMBOSS FP SPLASH:NAVY BLUE:3-4:GRAPHIC:SS T-SHIRT</t>
  </si>
  <si>
    <t>66020100MCS TS SPD EMBOSS FP SPLASH:NAVY BLUE:4-5:GRAPHIC:SS T-SHIRT</t>
  </si>
  <si>
    <t>66020100MCS TS SPD EMBOSS FP SPLASH:NAVY BLUE:5-6:GRAPHIC:SS T-SHIRT</t>
  </si>
  <si>
    <t>66040100MCS TS SPD EMBOSS FP SPLASH:NAVY BLUE:7-8:GRAPHIC:SS T-SHIRT</t>
  </si>
  <si>
    <t>66040100MCS TS SPD EMBOSS FP SPLASH:NAVY BLUE:9-10:GRAPHIC:SS T-SHIRT</t>
  </si>
  <si>
    <t>66040100MCS TS SPD EMBOSS FP SPLASH:NAVY BLUE:11-12:GRAPHIC:SS T-SHIRT</t>
  </si>
  <si>
    <t>66060100MCS TS SPD EMBOSS FP SPLASH:NAVY BLUE:13-14:GRAPHIC:SS T-SHIRT</t>
  </si>
  <si>
    <t>66060100MCS TS SPD EMBOSS FP SPLASH:NAVY BLUE:15-16:GRAPHIC:SS T-SHIRT</t>
  </si>
  <si>
    <t>HR391</t>
  </si>
  <si>
    <t>66020100OAV TS AVG IRON MAN THE INVICIBLE HR391:BLACK:3-4:GRAPHIC:SS T-SHIRT</t>
  </si>
  <si>
    <t>66020100OAV TS AVG IRON MAN THE INVICIBLE HR391:BLACK:4-5:GRAPHIC:SS T-SHIRT</t>
  </si>
  <si>
    <t>66020100OAV TS AVG IRON MAN THE INVICIBLE HR391:BLACK:5-6:GRAPHIC:SS T-SHIRT</t>
  </si>
  <si>
    <t>66040100OAV TS AVG IRON MAN THE INVICIBLE HR391:BLACK:7-8:GRAPHIC:SS T-SHIRT</t>
  </si>
  <si>
    <t>66040100OAV TS AVG IRON MAN THE INVICIBLE HR391:BLACK:9-10:GRAPHIC:SS T-SHIRT</t>
  </si>
  <si>
    <t>66040100OAV TS AVG IRON MAN THE INVICIBLE HR391:BLACK:11-12:GRAPHIC:SS T-SHIRT</t>
  </si>
  <si>
    <t>66060100OAV TS AVG IRON MAN THE INVICIBLE HR391:BLACK:13-14:GRAPHIC:SS T-SHIRT</t>
  </si>
  <si>
    <t>66060100OAV TS AVG IRON MAN THE INVICIBLE HR391:BLACK:15-16:GRAPHIC:SS T-SHIRT</t>
  </si>
  <si>
    <t>N968</t>
  </si>
  <si>
    <t>66020100OAV TS AVG TEAM ASSEMBLE BULAT N968:MISTY LIGHT KHAKI:3-4:GRAPHIC:SS T-SHIRT</t>
  </si>
  <si>
    <t>66020100OAV TS AVG TEAM ASSEMBLE BULAT N968:MISTY LIGHT KHAKI:4-5:GRAPHIC:SS T-SHIRT</t>
  </si>
  <si>
    <t>66020100OAV TS AVG TEAM ASSEMBLE BULAT N968:MISTY LIGHT KHAKI:5-6:GRAPHIC:SS T-SHIRT</t>
  </si>
  <si>
    <t>66040100OAV TS AVG TEAM ASSEMBLE BULAT N968:MISTY LIGHT KHAKI:7-8:GRAPHIC:SS T-SHIRT</t>
  </si>
  <si>
    <t>66040100OAV TS AVG TEAM ASSEMBLE BULAT N968:MISTY LIGHT KHAKI:9-10:GRAPHIC:SS T-SHIRT</t>
  </si>
  <si>
    <t>66040100OAV TS AVG TEAM ASSEMBLE BULAT N968:MISTY LIGHT KHAKI:11-12:GRAPHIC:SS T-SHIRT</t>
  </si>
  <si>
    <t>66060100OAV TS AVG TEAM ASSEMBLE BULAT N968:MISTY LIGHT KHAKI:13-14:GRAPHIC:SS T-SHIRT</t>
  </si>
  <si>
    <t>66060100OAV TS AVG TEAM ASSEMBLE BULAT N968:MISTY LIGHT KHAKI:15-16:GRAPHIC:SS T-SHIRT</t>
  </si>
  <si>
    <t>HR441</t>
  </si>
  <si>
    <t>66020100OAV TS AVG IRONMAN PAINT HR441:WHITE:3-4:GRAPHIC:SS T-SHIRT</t>
  </si>
  <si>
    <t>66020100OAV TS AVG IRONMAN PAINT HR441:WHITE:4-5:GRAPHIC:SS T-SHIRT</t>
  </si>
  <si>
    <t>66020100OAV TS AVG IRONMAN PAINT HR441:WHITE:5-6:GRAPHIC:SS T-SHIRT</t>
  </si>
  <si>
    <t>66040100OAV TS AVG IRONMAN PAINT HR441:WHITE:7-8:GRAPHIC:SS T-SHIRT</t>
  </si>
  <si>
    <t>66040100OAV TS AVG IRONMAN PAINT HR441:WHITE:9-10:GRAPHIC:SS T-SHIRT</t>
  </si>
  <si>
    <t>66040100OAV TS AVG IRONMAN PAINT HR441:WHITE:11-12:GRAPHIC:SS T-SHIRT</t>
  </si>
  <si>
    <t>KMRVL03</t>
  </si>
  <si>
    <t>66020100OAV TS AVG LOGO CAPT AMRIK TIE DYE KMRVL03:CLASSIC BLUE:3-4:PRINT:SS T-SHIRT</t>
  </si>
  <si>
    <t>66020100OAV TS AVG LOGO CAPT AMRIK TIE DYE KMRVL03:CLASSIC BLUE:4-5:PRINT:SS T-SHIRT</t>
  </si>
  <si>
    <t>66020100OAV TS AVG LOGO CAPT AMRIK TIE DYE KMRVL03:CLASSIC BLUE:5-6:PRINT:SS T-SHIRT</t>
  </si>
  <si>
    <t>66040100OAV TS AVG LOGO CAPT AMRIK TIE DYE KMRVL03:CLASSIC BLUE:7-8:PRINT:SS T-SHIRT</t>
  </si>
  <si>
    <t>66040100OAV TS AVG LOGO CAPT AMRIK TIE DYE KMRVL03:CLASSIC BLUE:9-10:PRINT:SS T-SHIRT</t>
  </si>
  <si>
    <t>66040100OAV TS AVG LOGO CAPT AMRIK TIE DYE KMRVL03:CLASSIC BLUE:11-12:PRINT:SS T-SHIRT</t>
  </si>
  <si>
    <t>66060100OAV TS AVG LOGO CAPT AMRIK TIE DYE KMRVL03:CLASSIC BLUE:13-14:PRINT:SS T-SHIRT</t>
  </si>
  <si>
    <t>66060100OAV TS AVG LOGO CAPT AMRIK TIE DYE KMRVL03:CLASSIC BLUE:15-16:PRINT:SS T-SHIRT</t>
  </si>
  <si>
    <t>KAVCL94</t>
  </si>
  <si>
    <t>66020100OAV TS AVG MARVEL HOLOGRAM FP COMIC CHIBI KAVCL94:WHITE:3-4:PRINT:SS T-SHIRT</t>
  </si>
  <si>
    <t>66020100OAV TS AVG MARVEL HOLOGRAM FP COMIC CHIBI KAVCL94:WHITE:4-5:PRINT:SS T-SHIRT</t>
  </si>
  <si>
    <t>66020100OAV TS AVG MARVEL HOLOGRAM FP COMIC CHIBI KAVCL94:WHITE:5-6:PRINT:SS T-SHIRT</t>
  </si>
  <si>
    <t>66040100OAV TS AVG MARVEL HOLOGRAM FP COMIC CHIBI KAVCL94:WHITE:7-8:PRINT:SS T-SHIRT</t>
  </si>
  <si>
    <t>66040100OAV TS AVG MARVEL HOLOGRAM FP COMIC CHIBI KAVCL94:WHITE:9-10:PRINT:SS T-SHIRT</t>
  </si>
  <si>
    <t>66040100OAV TS AVG MARVEL HOLOGRAM FP COMIC CHIBI KAVCL94:WHITE:11-12:PRINT:SS T-SHIRT</t>
  </si>
  <si>
    <t>66060100OAV TS AVG MARVEL HOLOGRAM FP COMIC CHIBI KAVCL94:WHITE:13-14:PRINT:SS T-SHIRT</t>
  </si>
  <si>
    <t>66060100OAV TS AVG MARVEL HOLOGRAM FP COMIC CHIBI KAVCL94:WHITE:15-16:PRINT:SS T-SHIRT</t>
  </si>
  <si>
    <t>NT073</t>
  </si>
  <si>
    <t>66020100MCS TS SPD OUTLINE FLOCKING CUTSEWN NT073:NAVY BLUE:3-4:PRINT:SS T-SHIRT</t>
  </si>
  <si>
    <t>66020100MCS TS SPD OUTLINE FLOCKING CUTSEWN NT073:NAVY BLUE:4-5:PRINT:SS T-SHIRT</t>
  </si>
  <si>
    <t>66020100MCS TS SPD OUTLINE FLOCKING CUTSEWN NT073:NAVY BLUE:5-6:PRINT:SS T-SHIRT</t>
  </si>
  <si>
    <t>66040100MCS TS SPD OUTLINE FLOCKING CUTSEWN NT073:NAVY BLUE:7-8:PRINT:SS T-SHIRT</t>
  </si>
  <si>
    <t>66040100MCS TS SPD OUTLINE FLOCKING CUTSEWN NT073:NAVY BLUE:9-10:PRINT:SS T-SHIRT</t>
  </si>
  <si>
    <t>66040100MCS TS SPD OUTLINE FLOCKING CUTSEWN NT073:NAVY BLUE:11-12:PRINT:SS T-SHIRT</t>
  </si>
  <si>
    <t>66060100MCS TS SPD OUTLINE FLOCKING CUTSEWN NT073:NAVY BLUE:13-14:PRINT:SS T-SHIRT</t>
  </si>
  <si>
    <t>66060100MCS TS SPD OUTLINE FLOCKING CUTSEWN NT073:NAVY BLUE:15-16:PRINT:SS T-SHIRT</t>
  </si>
  <si>
    <t>HRT467</t>
  </si>
  <si>
    <t>66020100MCS TS SPD AMAZING KOTAK BUILDING HRT467:CLASSIC RED:3-4:GRAPHIC:SS T-SHIRT</t>
  </si>
  <si>
    <t>66020100MCS TS SPD AMAZING KOTAK BUILDING HRT467:CLASSIC RED:4-5:GRAPHIC:SS T-SHIRT</t>
  </si>
  <si>
    <t>66020100MCS TS SPD AMAZING KOTAK BUILDING HRT467:CLASSIC RED:5-6:GRAPHIC:SS T-SHIRT</t>
  </si>
  <si>
    <t>66040100MCS TS SPD AMAZING KOTAK BUILDING  HRT467:CLASSIC RED:7-8:GRAPHIC:SS T-SHIRT</t>
  </si>
  <si>
    <t>66040100MCS TS SPD AMAZING KOTAK BUILDING  HRT467:CLASSIC RED:9-10:GRAPHIC:SS T-SHIRT</t>
  </si>
  <si>
    <t>66040100MCS TS SPD AMAZING KOTAK BUILDING  HRT467:CLASSIC RED:11-12:GRAPHIC:SS T-SHIRT</t>
  </si>
  <si>
    <t>66060100MCS TS SPD AMAZING KOTAK BUILDING  HRT467:CLASSIC RED:13-14:GRAPHIC:SS T-SHIRT</t>
  </si>
  <si>
    <t>66060100MCS TS SPD AMAZING KOTAK BUILDING  HRT467:CLASSIC RED:15-16:GRAPHIC:SS T-SHIRT</t>
  </si>
  <si>
    <t>A871</t>
  </si>
  <si>
    <t>66020100MCS TS SPD LABA CUT SEWN FACE A871:BLACK:3-4:PRINT:SS T-SHIRT</t>
  </si>
  <si>
    <t>66020100MCS TS SPD LABA CUT SEWN FACE A871:BLACK:4-5:PRINT:SS T-SHIRT</t>
  </si>
  <si>
    <t>66020100MCS TS SPD LABA CUT SEWN FACE A871:BLACK:5-6:PRINT:SS T-SHIRT</t>
  </si>
  <si>
    <t>66040100MCS TS SPD LABA CUT SEWN FACE  A871:BLACK:7-8:PRINT:SS T-SHIRT</t>
  </si>
  <si>
    <t>66040100MCS TS SPD LABA CUT SEWN FACE  A871:BLACK:9-10:PRINT:SS T-SHIRT</t>
  </si>
  <si>
    <t>66040100MCS TS SPD LABA CUT SEWN FACE  A871:BLACK:11-12:PRINT:SS T-SHIRT</t>
  </si>
  <si>
    <t>66060100MCS TS SPD LABA CUT SEWN FACE  A871:BLACK:13-14:PRINT:SS T-SHIRT</t>
  </si>
  <si>
    <t>66060100MCS TS SPD LABA CUT SEWN FACE  A871:BLACK:15-16:PRINT:SS T-SHIRT</t>
  </si>
  <si>
    <t>HR3950</t>
  </si>
  <si>
    <t>66020100MCS TS SPD FACE SPLASH LGN CUTSEWN HR3950:MISTY LIGHT GREY:3-4:PRINT:SS T-SHIRT</t>
  </si>
  <si>
    <t>66020100MCS TS SPD FACE SPLASH LGN CUTSEWN HR3950:MISTY LIGHT GREY:4-5:PRINT:SS T-SHIRT</t>
  </si>
  <si>
    <t>66020100MCS TS SPD FACE SPLASH LGN CUTSEWN HR3950:MISTY LIGHT GREY:5-6:PRINT:SS T-SHIRT</t>
  </si>
  <si>
    <t>66040100MCS TS SPD FACE SPLASH LGN CUTSEWN  HR3950:MISTY LIGHT GREY:7-8:PRINT:SS T-SHIRT</t>
  </si>
  <si>
    <t>66040100MCS TS SPD FACE SPLASH LGN CUTSEWN  HR3950:MISTY LIGHT GREY:9-10:PRINT:SS T-SHIRT</t>
  </si>
  <si>
    <t>66040100MCS TS SPD FACE SPLASH LGN CUTSEWN  HR3950:MISTY LIGHT GREY:11-12:PRINT:SS T-SHIRT</t>
  </si>
  <si>
    <t>66060100MCS TS SPD FACE SPLASH LGN CUTSEWN  HR3950:MISTY LIGHT GREY:13-14:PRINT:SS T-SHIRT</t>
  </si>
  <si>
    <t>66060100MCS TS SPD FACE SPLASH LGN CUTSEWN  HR3950:MISTY LIGHT GREY:15-16:PRINT:SS T-SHIRT</t>
  </si>
  <si>
    <t>HRT491</t>
  </si>
  <si>
    <t>66020100MCS TS SPD FLY BUILDING KTG MATA ITIK HRT491:CLASSIC YELLOW:3-4:GRAPHIC:SS T-SHIRT</t>
  </si>
  <si>
    <t>66020100MCS TS SPD FLY BUILDING KTG MATA ITIK HRT491:CLASSIC YELLOW:4-5:GRAPHIC:SS T-SHIRT</t>
  </si>
  <si>
    <t>66020100MCS TS SPD FLY BUILDING KTG MATA ITIK HRT491:CLASSIC YELLOW:5-6:GRAPHIC:SS T-SHIRT</t>
  </si>
  <si>
    <t>66040100MCS TS SPD FLY BUILDING KTG MATA ITIK  HRT491:CLASSIC YELLOW:7-8:GRAPHIC:SS T-SHIRT</t>
  </si>
  <si>
    <t>66040100MCS TS SPD FLY BUILDING KTG MATA ITIK  HRT491:CLASSIC YELLOW:9-10:GRAPHIC:SS T-SHIRT</t>
  </si>
  <si>
    <t>66040100MCS TS SPD FLY BUILDING KTG MATA ITIK  HRT491:CLASSIC YELLOW:11-12:GRAPHIC:SS T-SHIRT</t>
  </si>
  <si>
    <t>HRT486</t>
  </si>
  <si>
    <t>66020100MCS TS SPD WEB SLINGER CUTSEWN KTG HRT486:CLASSIC RED:3-4:GRAPHIC:SS T-SHIRT</t>
  </si>
  <si>
    <t>66020100MCS TS SPD WEB SLINGER CUTSEWN KTG HRT486:CLASSIC RED:4-5:GRAPHIC:SS T-SHIRT</t>
  </si>
  <si>
    <t>66020100MCS TS SPD WEB SLINGER CUTSEWN KTG HRT486:CLASSIC RED:5-6:GRAPHIC:SS T-SHIRT</t>
  </si>
  <si>
    <t>66040100MCS TS SPD WEB SLINGER CUTSEWN KTG  HRT486:CLASSIC RED:7-8:GRAPHIC:SS T-SHIRT</t>
  </si>
  <si>
    <t>66040100MCS TS SPD WEB SLINGER CUTSEWN KTG  HRT486:CLASSIC RED:9-10:GRAPHIC:SS T-SHIRT</t>
  </si>
  <si>
    <t>66040100MCS TS SPD WEB SLINGER CUTSEWN KTG  HRT486:CLASSIC RED:11-12:GRAPHIC:SS T-SHIRT</t>
  </si>
  <si>
    <t>N68</t>
  </si>
  <si>
    <t>660201000AV LP KNIT AVG CAPT AMRIK KTG DOUBLE N68:NAVY BLUE:3-4:GRAPHIC:LONG PANTS</t>
  </si>
  <si>
    <t>660201000AV LP KNIT AVG CAPT AMRIK KTG DOUBLE N68:NAVY BLUE:4-5:GRAPHIC:LONG PANTS</t>
  </si>
  <si>
    <t>660201000AV LP KNIT AVG CAPT AMRIK KTG DOUBLE N68:NAVY BLUE:5-6:GRAPHIC:LONG PANTS</t>
  </si>
  <si>
    <t>660401000AV LP KNIT AVG CAPT AMRIK KTG DOUBLE N68:NAVY BLUE:7-8:GRAPHIC:LONG PANTS</t>
  </si>
  <si>
    <t>660401000AV LP KNIT AVG CAPT AMRIK KTG DOUBLE N68:NAVY BLUE:9-10:GRAPHIC:LONG PANTS</t>
  </si>
  <si>
    <t>660401000AV LP KNIT AVG CAPT AMRIK KTG DOUBLE N68:NAVY BLUE:11-12:GRAPHIC:LONG PANTS</t>
  </si>
  <si>
    <t>660601000AV LP KNIT AVG CAPT AMRIK KTG DOUBLE N68:NAVY BLUE:13-14:GRAPHIC:LONG PANTS</t>
  </si>
  <si>
    <t>660601000AV LP KNIT AVG CAPT AMRIK KTG DOUBLE N68:NAVY BLUE:15-16:GRAPHIC:LONG PANTS</t>
  </si>
  <si>
    <t>GNAVG65</t>
  </si>
  <si>
    <t>66020100OAV CP KNIT AVG KTG KARGO DEPAN GNAVG65:MISTY MEDIUM GREY:3-4:SOLID:SHORT PANTS</t>
  </si>
  <si>
    <t>66020100OAV CP KNIT AVG KTG KARGO DEPAN GNAVG65:MISTY MEDIUM GREY:4-5:SOLID:SHORT PANTS</t>
  </si>
  <si>
    <t>66020100OAV CP KNIT AVG KTG KARGO DEPAN GNAVG65:MISTY MEDIUM GREY:5-6:SOLID:SHORT PANTS</t>
  </si>
  <si>
    <t>66040100OAV CP KNIT AVG KTG KARGO DEPAN GNAVG65:MISTY MEDIUM GREY:7-8:SOLID:SHORT PANTS</t>
  </si>
  <si>
    <t>66040100OAV CP KNIT AVG KTG KARGO DEPAN GNAVG65:MISTY MEDIUM GREY:9-10:SOLID:SHORT PANTS</t>
  </si>
  <si>
    <t>66040100OAV CP KNIT AVG KTG KARGO DEPAN GNAVG65:MISTY MEDIUM GREY:11-12:SOLID:SHORT PANTS</t>
  </si>
  <si>
    <t>66060100OAV CP KNIT AVG KTG KARGO DEPAN GNAVG65:MISTY MEDIUM GREY:13-14:SOLID:SHORT PANTS</t>
  </si>
  <si>
    <t>66060100OAV CP KNIT AVG KTG KARGO DEPAN GNAVG65:MISTY MEDIUM GREY:15-16:SOLID:SHORT PANTS</t>
  </si>
  <si>
    <t>N809</t>
  </si>
  <si>
    <t>66020100MCS CP KNIT SPD FACEKTG KA-KI SCRATCH N809:NAVY BLUE:3-4:GRAPHIC:SHORT PANTS</t>
  </si>
  <si>
    <t>66020100MCS CP KNIT SPD FACEKTG KA-KI SCRATCH N809:NAVY BLUE:4-5:GRAPHIC:SHORT PANTS</t>
  </si>
  <si>
    <t>66020100MCS CP KNIT SPD FACEKTG KA-KI SCRATCH N809:NAVY BLUE:5-6:GRAPHIC:SHORT PANTS</t>
  </si>
  <si>
    <t>66040100MCS CP KNIT SPD FACEKTG KA-KI SCRATCH N809:NAVY BLUE:7-8:GRAPHIC:SHORT PANTS</t>
  </si>
  <si>
    <t>66040100MCS CP KNIT SPD FACEKTG KA-KI SCRATCH N809:NAVY BLUE:9-10:GRAPHIC:SHORT PANTS</t>
  </si>
  <si>
    <t>66040100MCS CP KNIT SPD FACEKTG KA-KI SCRATCH N809:NAVY BLUE:11-12:GRAPHIC:SHORT PANTS</t>
  </si>
  <si>
    <t>66060100MCS CP KNIT SPD FACEKTG KA-KI SCRATCH N809:NAVY BLUE:13-14:GRAPHIC:SHORT PANTS</t>
  </si>
  <si>
    <t>66060100MCS CP KNIT SPD FACEKTG KA-KI SCRATCH N809:NAVY BLUE:15-16:GRAPHIC:SHORT PANTS</t>
  </si>
  <si>
    <t>HR3</t>
  </si>
  <si>
    <t>66020100MCS LP KNIT SPD JARING KTG KARGO HR3:BLACK:3-4:GRAPHIC:LONG PANTS</t>
  </si>
  <si>
    <t>66020100MCS LP KNIT SPD JARING KTG KARGO HR3:BLACK:4-5:GRAPHIC:LONG PANTS</t>
  </si>
  <si>
    <t>66020100MCS LP KNIT SPD JARING KTG KARGO HR3:BLACK:5-6:GRAPHIC:LONG PANTS</t>
  </si>
  <si>
    <t>66040100MCS LP KNIT SPD JARING KTG KARGO HR3:BLACK:7-8:GRAPHIC:LONG PANTS</t>
  </si>
  <si>
    <t>66040100MCS LP KNIT SPD JARING KTG KARGO HR3:BLACK:9-10:GRAPHIC:LONG PANTS</t>
  </si>
  <si>
    <t>66040100MCS LP KNIT SPD JARING KTG KARGO HR3:BLACK:11-12:GRAPHIC:LONG PANTS</t>
  </si>
  <si>
    <t>66060100MCS LP KNIT SPD JARING KTG KARGO HR3:BLACK:13-14:GRAPHIC:LONG PANTS</t>
  </si>
  <si>
    <t>66060100MCS LP KNIT SPD JARING KTG KARGO HR3:BLACK:15-16:GRAPHIC:LONG PANTS</t>
  </si>
  <si>
    <t>HN10</t>
  </si>
  <si>
    <t>66020100MCS CROP KNIT SPD KTG KARGO KA-KI FLIP HN10:NAVY BLUE:3-4:GRAPHIC:SHORT PANTS</t>
  </si>
  <si>
    <t>66020100MCS CROP KNIT SPD KTG KARGO KA-KI FLIP HN10:NAVY BLUE:4-5:GRAPHIC:SHORT PANTS</t>
  </si>
  <si>
    <t>66020100MCS CROP KNIT SPD KTG KARGO KA-KI FLIP HN10:NAVY BLUE:5-6:GRAPHIC:SHORT PANTS</t>
  </si>
  <si>
    <t>66040100MCS CROP KNIT SPD KTG KARGO KA-KI FLIP HN10:NAVY BLUE:7-8:GRAPHIC:SHORT PANTS</t>
  </si>
  <si>
    <t>66040100MCS CROP KNIT SPD KTG KARGO KA-KI FLIP HN10:NAVY BLUE:9-10:GRAPHIC:SHORT PANTS</t>
  </si>
  <si>
    <t>66040100MCS CROP KNIT SPD KTG KARGO KA-KI FLIP HN10:NAVY BLUE:11-12:GRAPHIC:SHORT PANTS</t>
  </si>
  <si>
    <t>66060100MCS CROP KNIT SPD KTG KARGO KA-KI FLIP HN10:NAVY BLUE:13-14:GRAPHIC:SHORT PANTS</t>
  </si>
  <si>
    <t>66060100MCS CROP KNIT SPD KTG KARGO KA-KI FLIP HN10:NAVY BLUE:15-16:GRAPHIC:SHORT PANTS</t>
  </si>
  <si>
    <t>N004</t>
  </si>
  <si>
    <t>66020100MCS CP KNIT SPD FACE CUTSEWN SAMPING JARING N004:MISTY LIGHT GREY:3-4:GRAPHIC:SHORT PANTS</t>
  </si>
  <si>
    <t>66020100MCS CP KNIT SPD FACE CUTSEWN SAMPING JARING N004:MISTY LIGHT GREY:4-5:GRAPHIC:SHORT PANTS</t>
  </si>
  <si>
    <t>66020100MCS CP KNIT SPD FACE CUTSEWN SAMPING JARING N004:MISTY LIGHT GREY:5-6:GRAPHIC:SHORT PANTS</t>
  </si>
  <si>
    <t>66040100MCS CP KNIT SPD FACE CUTSEWN SAMPING JARING N004:MISTY LIGHT GREY:7-8:GRAPHIC:SHORT PANTS</t>
  </si>
  <si>
    <t>66040100MCS CP KNIT SPD FACE CUTSEWN SAMPING JARING N004:MISTY LIGHT GREY:9-10:GRAPHIC:SHORT PANTS</t>
  </si>
  <si>
    <t>66040100MCS CP KNIT SPD FACE CUTSEWN SAMPING JARING N004:MISTY LIGHT GREY:11-12:GRAPHIC:SHORT PANTS</t>
  </si>
  <si>
    <t>66060100MCS CP KNIT SPD FACE CUTSEWN SAMPING JARING N004:MISTY LIGHT GREY:13-14:GRAPHIC:SHORT PANTS</t>
  </si>
  <si>
    <t>66060100MCS CP KNIT SPD FACE CUTSEWN SAMPING JARING N004:MISTY LIGHT GREY:15-16:GRAPHIC:SHORT PANTS</t>
  </si>
  <si>
    <t>HR20</t>
  </si>
  <si>
    <t>66020100MCS CROP KNIT SPD CUTSEWN PIPING KTG TUTUP HR20:NAVY BLUE:3-4:GRAPHIC:SHORT PANTS</t>
  </si>
  <si>
    <t>66020100MCS CROP KNIT SPD CUTSEWN PIPING KTG TUTUP HR20:NAVY BLUE:4-5:GRAPHIC:SHORT PANTS</t>
  </si>
  <si>
    <t>66020100MCS CROP KNIT SPD CUTSEWN PIPING KTG TUTUP HR20:NAVY BLUE:5-6:GRAPHIC:SHORT PANTS</t>
  </si>
  <si>
    <t>66040100MCS CROP KNIT SPD CUTSEWN PIPING KTG TUTUP HR20:NAVY BLUE:7-8:GRAPHIC:SHORT PANTS</t>
  </si>
  <si>
    <t>66040100MCS CROP KNIT SPD CUTSEWN PIPING KTG TUTUP HR20:NAVY BLUE:9-10:GRAPHIC:SHORT PANTS</t>
  </si>
  <si>
    <t>66040100MCS CROP KNIT SPD CUTSEWN PIPING KTG TUTUP HR20:NAVY BLUE:11-12:GRAPHIC:SHORT PANTS</t>
  </si>
  <si>
    <t>66060100MCS CROP KNIT SPD CUTSEWN PIPING KTG TUTUP HR20:NAVY BLUE:13-14:GRAPHIC:SHORT PANTS</t>
  </si>
  <si>
    <t>66060100MCS CROP KNIT SPD CUTSEWN PIPING KTG TUTUP HR20:NAVY BLUE:15-16:GRAPHIC:SHORT PANTS</t>
  </si>
  <si>
    <t>GNSPD230</t>
  </si>
  <si>
    <t>66020100MCS LP KNIT SPD FACE KTG PARASUT GNSPD230:MISTY MEDIUM GREY:3-4:GRAPHIC:JOGGER</t>
  </si>
  <si>
    <t>66020100MCS LP KNIT SPD FACE KTG PARASUT GNSPD230:MISTY MEDIUM GREY:4-5:GRAPHIC:JOGGER</t>
  </si>
  <si>
    <t>66040100MCS LP KNIT SPD FACE KTG PARASUT GNSPD230:MISTY MEDIUM GREY:5-6:GRAPHIC:JOGGER</t>
  </si>
  <si>
    <t>66040100MCS LP KNIT SPD FACE KTG PARASUT GNSPD230:MISTY MEDIUM GREY:7-8:GRAPHIC:JOGGER</t>
  </si>
  <si>
    <t>66040100MCS LP KNIT SPD FACE KTG PARASUT GNSPD230:MISTY MEDIUM GREY:9-10:GRAPHIC:JOGGER</t>
  </si>
  <si>
    <t>66060100MCS LP KNIT SPD FACE KTG PARASUT GNSPD230:MISTY MEDIUM GREY:11-12:GRAPHIC:JOGGER</t>
  </si>
  <si>
    <t>66060100MCS LP KNIT SPD FACE KTG PARASUT GNSPD230:MISTY MEDIUM GREY:13-14:GRAPHIC:JOGGER</t>
  </si>
  <si>
    <t>66060100MCS LP KNIT SPD FACE KTG PARASUT GNSPD230:MISTY MEDIUM GREY:15-16:GRAPHIC:JOGGER</t>
  </si>
  <si>
    <t>KAVCL131</t>
  </si>
  <si>
    <t>66020100OAV CP DENIM AVG CAPT AMRIK KAVCL131:LIGHT DENIM:3-4:GRAPHIC:DENIM SHORT PANTS</t>
  </si>
  <si>
    <t>66020100OAV CP DENIM AVG CAPT AMRIK KAVCL131:LIGHT DENIM:4-5:GRAPHIC:DENIM SHORT PANTS</t>
  </si>
  <si>
    <t>66020100OAV CP DENIM AVG CAPT AMRIK KAVCL131:LIGHT DENIM:5-6:GRAPHIC:DENIM SHORT PANTS</t>
  </si>
  <si>
    <t>66040100OAV CP DENIM AVG CAPT AMRIK KAVCL131:LIGHT DENIM:7-8:GRAPHIC:DENIM SHORT PANTS</t>
  </si>
  <si>
    <t>66040100OAV CP DENIM AVG CAPT AMRIK KAVCL131:LIGHT DENIM:9-10:GRAPHIC:DENIM SHORT PANTS</t>
  </si>
  <si>
    <t>66040100OAV CP DENIM AVG CAPT AMRIK KAVCL131:LIGHT DENIM:11-12:GRAPHIC:DENIM SHORT PANTS</t>
  </si>
  <si>
    <t>66060100OAV CP DENIM AVG CAPT AMRIK KAVCL131:LIGHT DENIM:13-14:GRAPHIC:DENIM SHORT PANTS</t>
  </si>
  <si>
    <t>66060100OAV CP DENIM AVG CAPT AMRIK KAVCL131:LIGHT DENIM:15-16:GRAPHIC:DENIM SHORT PANTS</t>
  </si>
  <si>
    <t>KMRVL113</t>
  </si>
  <si>
    <t>66020100OAV LP KNIT MARVEL KTG ZIPPER KMRVL113:CLASSIC BLUE:3-4:GRAPHIC:LONG PANTS</t>
  </si>
  <si>
    <t>66020100OAV LP KNIT MARVEL KTG ZIPPER KMRVL113:CLASSIC BLUE:4-5:GRAPHIC:LONG PANTS</t>
  </si>
  <si>
    <t>66020100OAV LP KNIT MARVEL KTG ZIPPER KMRVL113:CLASSIC BLUE:5-6:GRAPHIC:LONG PANTS</t>
  </si>
  <si>
    <t>66040100OAV LP KNIT MARVEL KTG ZIPPER KMRVL113:CLASSIC BLUE:7-8:GRAPHIC:LONG PANTS</t>
  </si>
  <si>
    <t>66040100OAV LP KNIT MARVEL KTG ZIPPER KMRVL113:CLASSIC BLUE:9-10:GRAPHIC:LONG PANTS</t>
  </si>
  <si>
    <t>66040100OAV LP KNIT MARVEL KTG ZIPPER KMRVL113:CLASSIC BLUE:11-12:GRAPHIC:LONG PANTS</t>
  </si>
  <si>
    <t>66060100OAV LP KNIT MARVEL KTG ZIPPER KMRVL113:CLASSIC BLUE:13-14:GRAPHIC:LONG PANTS</t>
  </si>
  <si>
    <t>66060100OAV LP KNIT MARVEL KTG ZIPPER KMRVL113:CLASSIC BLUE:15-16:GRAPHIC:LONG PANTS</t>
  </si>
  <si>
    <t>KAVCL38</t>
  </si>
  <si>
    <t>66020100OAV LP DENIM AVG KTG KARGO TAPE KAVCL38:BLACK:3-4:PRINT:DENIM LONG PANTS</t>
  </si>
  <si>
    <t>66020100OAV LP DENIM AVG KTG KARGO TAPE KAVCL38:BLACK:4-5:PRINT:DENIM LONG PANTS</t>
  </si>
  <si>
    <t>66020100OAV LP DENIM AVG KTG KARGO TAPE KAVCL38:BLACK:5-6:PRINT:DENIM LONG PANTS</t>
  </si>
  <si>
    <t>66040100OAV LP DENIM AVG KTG KARGO TAPE KAVCL38:BLACK:7-8:PRINT:DENIM LONG PANTS</t>
  </si>
  <si>
    <t>66040100OAV LP DENIM AVG KTG KARGO TAPE KAVCL38:BLACK:9-10:PRINT:DENIM LONG PANTS</t>
  </si>
  <si>
    <t>66040100OAV LP DENIM AVG KTG KARGO TAPE KAVCL38:BLACK:11-12:PRINT:DENIM LONG PANTS</t>
  </si>
  <si>
    <t>66060100OAV LP DENIM AVG KTG KARGO TAPE KAVCL38:BLACK:13-14:PRINT:DENIM LONG PANTS</t>
  </si>
  <si>
    <t>66060100OAV LP DENIM AVG KTG KARGO TAPE KAVCL38:BLACK:15-16:PRINT:DENIM LONG PANTS</t>
  </si>
  <si>
    <t>KSPDCL132</t>
  </si>
  <si>
    <t>66020100MCS CP DENIM SPD FACE KTG PATCH KOTAK KSPDCL132:LIGHT DENIM:3-4:GRAPHIC:DENIM SHORT PANTS</t>
  </si>
  <si>
    <t>66020100MCS CP DENIM SPD FACE KTG PATCH KOTAK KSPDCL132:LIGHT DENIM:4-5:GRAPHIC:DENIM SHORT PANTS</t>
  </si>
  <si>
    <t>66020100MCS CP DENIM SPD FACE KTG PATCH KOTAK KSPDCL132:LIGHT DENIM:5-6:GRAPHIC:DENIM SHORT PANTS</t>
  </si>
  <si>
    <t>66040100MCS CP DENIM SPD FACE KTG PATCH KOTAK KSPDCL132:LIGHT DENIM:7-8:GRAPHIC:DENIM SHORT PANTS</t>
  </si>
  <si>
    <t>66040100MCS CP DENIM SPD FACE KTG PATCH KOTAK KSPDCL132:LIGHT DENIM:9-10:GRAPHIC:DENIM SHORT PANTS</t>
  </si>
  <si>
    <t>66040100MCS CP DENIM SPD FACE KTG PATCH KOTAK KSPDCL132:LIGHT DENIM:11-12:GRAPHIC:DENIM SHORT PANTS</t>
  </si>
  <si>
    <t>66060100MCS CP DENIM SPD FACE KTG PATCH KOTAK KSPDCL132:LIGHT DENIM:13-14:GRAPHIC:DENIM SHORT PANTS</t>
  </si>
  <si>
    <t>66060100MCS CP DENIM SPD FACE KTG PATCH KOTAK KSPDCL132:LIGHT DENIM:15-16:GRAPHIC:DENIM SHORT PANTS</t>
  </si>
  <si>
    <t>KAVCL130</t>
  </si>
  <si>
    <t>66020100MCS LP DENIM SPD KTG DEPAN SAMPING BESAR KAVCL130:DARK DENIM:3-4:PRINT:DENIM LONG PANTS</t>
  </si>
  <si>
    <t>66020100MCS LP DENIM SPD KTG DEPAN SAMPING BESAR KAVCL130:DARK DENIM:4-5:PRINT:DENIM LONG PANTS</t>
  </si>
  <si>
    <t>66020100MCS LP DENIM SPD KTG DEPAN SAMPING BESAR KAVCL130:DARK DENIM:5-6:PRINT:DENIM LONG PANTS</t>
  </si>
  <si>
    <t>66040100MCS LP DENIM SPD KTG DEPAN SAMPING BESAR KAVCL130:DARK DENIM:7-8:PRINT:DENIM LONG PANTS</t>
  </si>
  <si>
    <t>66040100MCS LP DENIM SPD KTG DEPAN SAMPING BESAR KAVCL130:DARK DENIM:9-10:PRINT:DENIM LONG PANTS</t>
  </si>
  <si>
    <t>66040100MCS LP DENIM SPD KTG DEPAN SAMPING BESAR KAVCL130:DARK DENIM:11-12:PRINT:DENIM LONG PANTS</t>
  </si>
  <si>
    <t>66060100MCS LP DENIM SPD KTG DEPAN SAMPING BESAR KAVCL130:DARK DENIM:13-14:PRINT:DENIM LONG PANTS</t>
  </si>
  <si>
    <t>66060100MCS LP DENIM SPD KTG DEPAN SAMPING BESAR KAVCL130:DARK DENIM:15-16:PRINT:DENIM LONG PANTS</t>
  </si>
  <si>
    <t>KSPDCL101</t>
  </si>
  <si>
    <t>66020100MCS LP DENIM SPD KTG KARGO 3D KSPDCL101:MEDIUM DENIM:3-4:PRINT:DENIM LONG PANTS</t>
  </si>
  <si>
    <t>66020100MCS LP DENIM SPD KTG KARGO 3D KSPDCL101:MEDIUM DENIM:4-5:PRINT:DENIM LONG PANTS</t>
  </si>
  <si>
    <t>66020100MCS LP DENIM SPD KTG KARGO 3D KSPDCL101:MEDIUM DENIM:5-6:PRINT:DENIM LONG PANTS</t>
  </si>
  <si>
    <t>66040100MCS LP DENIM SPD KTG KARGO 3D KSPDCL101:MEDIUM DENIM:7-8:PRINT:DENIM LONG PANTS</t>
  </si>
  <si>
    <t>66040100MCS LP DENIM SPD KTG KARGO 3D KSPDCL101:MEDIUM DENIM:9-10:PRINT:DENIM LONG PANTS</t>
  </si>
  <si>
    <t>66040100MCS LP DENIM SPD KTG KARGO 3D KSPDCL101:MEDIUM DENIM:11-12:PRINT:DENIM LONG PANTS</t>
  </si>
  <si>
    <t>66060100MCS LP DENIM SPD KTG KARGO 3D KSPDCL101:MEDIUM DENIM:13-14:PRINT:DENIM LONG PANTS</t>
  </si>
  <si>
    <t>66060100MCS LP DENIM SPD KTG KARGO 3D KSPDCL101:MEDIUM DENIM:15-16:PRINT:DENIM LONG PANTS</t>
  </si>
  <si>
    <t>GNDN12</t>
  </si>
  <si>
    <t>66020100CAR TS CARS LIGHTNING PISTON CUP GNDN12:CLASSIC RED:3-4:GRAPHIC:SS T-SHIRT</t>
  </si>
  <si>
    <t>66020100CAR TS CARS LIGHTNING PISTON CUP GNDN12:CLASSIC RED:4-5:GRAPHIC:SS T-SHIRT</t>
  </si>
  <si>
    <t>66020100CAR TS CARS LIGHTNING PISTON CUP GNDN12:CLASSIC RED:5-6:GRAPHIC:SS T-SHIRT</t>
  </si>
  <si>
    <t>66020100CAR TS CARS LIGHTNING PISTON CUP GNDN12:CLASSIC RED:7-8:GRAPHIC:SS T-SHIRT</t>
  </si>
  <si>
    <t>66020100CAR TS CARS LIGHTNING PISTON CUP GNDN12:CLASSIC RED:9-10:GRAPHIC:SS T-SHIRT</t>
  </si>
  <si>
    <t>CARTA29</t>
  </si>
  <si>
    <t>66020100CAR TS CARS MC QUEEN SPLASH KTG CARTA29:NAVY BLUE:3-4:GRAPHIC:SS T-SHIRT</t>
  </si>
  <si>
    <t>66020100CAR TS CARS MC QUEEN SPLASH KTG CARTA29:NAVY BLUE:4-5:GRAPHIC:SS T-SHIRT</t>
  </si>
  <si>
    <t>66020100CAR TS CARS MC QUEEN SPLASH KTG CARTA29:NAVY BLUE:5-6:GRAPHIC:SS T-SHIRT</t>
  </si>
  <si>
    <t>66020100CAR TS CARS MC QUEEN SPLASH KTG CARTA29:NAVY BLUE:7-8:GRAPHIC:SS T-SHIRT</t>
  </si>
  <si>
    <t>66020100CAR TS CARS MC QUEEN SPLASH KTG CARTA29:NAVY BLUE:9-10:GRAPHIC:SS T-SHIRT</t>
  </si>
  <si>
    <t>CARA28</t>
  </si>
  <si>
    <t>66020100CAR TS CARS MC QUEEN CHAMP CHECK KTG CARA28:WHITE:3-4:GRAPHIC:SS T-SHIRT</t>
  </si>
  <si>
    <t>66020100CAR TS CARS MC QUEEN CHAMP CHECK KTG CARA28:WHITE:4-5:GRAPHIC:SS T-SHIRT</t>
  </si>
  <si>
    <t>66020100CAR TS CARS MC QUEEN CHAMP CHECK KTG CARA28:WHITE:5-6:GRAPHIC:SS T-SHIRT</t>
  </si>
  <si>
    <t>66020100CAR TS CARS MC QUEEN CHAMP CHECK KTG CARA28:WHITE:7-8:GRAPHIC:SS T-SHIRT</t>
  </si>
  <si>
    <t>66020100CAR TS CARS MC QUEEN CHAMP CHECK KTG CARA28:WHITE:9-10:GRAPHIC:SS T-SHIRT</t>
  </si>
  <si>
    <t>GNDN13</t>
  </si>
  <si>
    <t>66020100CAR TS CARS 95 MC QUEEN GNDN13:BLACK:3-4:GRAPHIC:SS T-SHIRT</t>
  </si>
  <si>
    <t>66020100CAR TS CARS 95 MC QUEEN GNDN13:BLACK:4-5:GRAPHIC:SS T-SHIRT</t>
  </si>
  <si>
    <t>66020100CAR TS CARS 95 MC QUEEN GNDN13:BLACK:5-6:GRAPHIC:SS T-SHIRT</t>
  </si>
  <si>
    <t>66020100CAR TS CARS 95 MC QUEEN GNDN13:BLACK:7-8:GRAPHIC:SS T-SHIRT</t>
  </si>
  <si>
    <t>66020100CAR TS CARS 95 MC QUEEN GNDN13:BLACK:9-10:GRAPHIC:SS T-SHIRT</t>
  </si>
  <si>
    <t>GNDN14</t>
  </si>
  <si>
    <t>66020100CAR TS CARS LIGHTNING MC QUEEN 95 GNDN14:MISTY MEDIUM YELLOW:3-4:GRAPHIC:SS T-SHIRT</t>
  </si>
  <si>
    <t>66020100CAR TS CARS LIGHTNING MC QUEEN 95 GNDN14:MISTY MEDIUM YELLOW:4-5:GRAPHIC:SS T-SHIRT</t>
  </si>
  <si>
    <t>66020100CAR TS CARS LIGHTNING MC QUEEN 95 GNDN14:MISTY MEDIUM YELLOW:5-6:GRAPHIC:SS T-SHIRT</t>
  </si>
  <si>
    <t>66020100CAR TS CARS LIGHTNING MC QUEEN 95 GNDN14:MISTY MEDIUM YELLOW:7-8:GRAPHIC:SS T-SHIRT</t>
  </si>
  <si>
    <t>66020100CAR TS CARS LIGHTNING MC QUEEN 95 GNDN14:MISTY MEDIUM YELLOW:9-10:GRAPHIC:SS T-SHIRT</t>
  </si>
  <si>
    <t>TSA31</t>
  </si>
  <si>
    <t>66020100TS TS TOY STORY REX FP CORAK CUCUK TSA31:MISTY LIGHT KHAKI:3-4:PRINT:SS T-SHIRT</t>
  </si>
  <si>
    <t>66020100TS TS TOY STORY REX FP CORAK CUCUK TSA31:MISTY LIGHT KHAKI:4-5:PRINT:SS T-SHIRT</t>
  </si>
  <si>
    <t>66020100TS TS TOY STORY REX FP CORAK CUCUK TSA31:MISTY LIGHT KHAKI:5-6:PRINT:SS T-SHIRT</t>
  </si>
  <si>
    <t>66020100TS TS TOY STORY REX FP CORAK CUCUK TSA31:MISTY LIGHT KHAKI:7-8:PRINT:SS T-SHIRT</t>
  </si>
  <si>
    <t>66020100TS TS TOY STORY REX FP CORAK CUCUK TSA31:MISTY LIGHT KHAKI:9-10:PRINT:SS T-SHIRT</t>
  </si>
  <si>
    <t>TSN32</t>
  </si>
  <si>
    <t>66020100TS JACKET VARSITY TOY STORY REX ROAR SOME TSN32:MISTY LIGHT KHAKI:3-4:GRAPHIC:JACKET</t>
  </si>
  <si>
    <t>66020100TS JACKET VARSITY TOY STORY REX ROAR SOME TSN32:MISTY LIGHT KHAKI:4-5:GRAPHIC:JACKET</t>
  </si>
  <si>
    <t>66020100TS JACKET VARSITY TOY STORY REX ROAR SOME TSN32:MISTY LIGHT KHAKI:5-6:GRAPHIC:JACKET</t>
  </si>
  <si>
    <t>66020100TS JACKET VARSITY TOY STORY REX ROAR SOME TSN32:MISTY LIGHT KHAKI:7-8:GRAPHIC:JACKET</t>
  </si>
  <si>
    <t>66020100TS JACKET VARSITY TOY STORY REX ROAR SOME TSN32:MISTY LIGHT KHAKI:9-10:GRAPHIC:JACKET</t>
  </si>
  <si>
    <t>NT912</t>
  </si>
  <si>
    <t>66040100SWS TS STARWARS VADER DARK SIDE KTG ITIK NT912:BLACK:5-6:GRAPHIC:SS T-SHIRT</t>
  </si>
  <si>
    <t>66040100SWS TS STARWARS VADER DARK SIDE KTG ITIK NT912:BLACK:7-8:GRAPHIC:SS T-SHIRT</t>
  </si>
  <si>
    <t>66040100SWS TS STARWARS VADER DARK SIDE KTG ITIK NT912:BLACK:9-10:GRAPHIC:SS T-SHIRT</t>
  </si>
  <si>
    <t>66060100SWS TS STARWARS VADER DARK SIDE KTG ITIK NT912:BLACK:11-12:GRAPHIC:SS T-SHIRT</t>
  </si>
  <si>
    <t>66060100SWS TS STARWARS VADER DARK SIDE KTG ITIK NT912:BLACK:13-14:GRAPHIC:SS T-SHIRT</t>
  </si>
  <si>
    <t>66060100SWS TS STARWARS VADER DARK SIDE KTG ITIK NT912:BLACK:15-16:GRAPHIC:SS T-SHIRT</t>
  </si>
  <si>
    <t>N911</t>
  </si>
  <si>
    <t>66040100SWS TS STARWARS TROPPER KTG ITIK TAPE PUNDAK N911:WHITE:5-6:GRAPHIC:SS T-SHIRT</t>
  </si>
  <si>
    <t>66040100SWS TS STARWARS TROPPER KTG ITIK TAPE PUNDAK N911:WHITE:7-8:GRAPHIC:SS T-SHIRT</t>
  </si>
  <si>
    <t>66040100SWS TS STARWARS TROPPER KTG ITIK TAPE PUNDAK N911:WHITE:9-10:GRAPHIC:SS T-SHIRT</t>
  </si>
  <si>
    <t>66060100SWS TS STARWARS TROPPER KTG ITIK TAPE PUNDAK N911:WHITE:11-12:GRAPHIC:SS T-SHIRT</t>
  </si>
  <si>
    <t>66060100SWS TS STARWARS TROPPER KTG ITIK TAPE PUNDAK N911:WHITE:13-14:GRAPHIC:SS T-SHIRT</t>
  </si>
  <si>
    <t>66060100SWS TS STARWARS TROPPER KTG ITIK TAPE PUNDAK N911:WHITE:15-16:GRAPHIC:SS T-SHIRT</t>
  </si>
  <si>
    <t>A144</t>
  </si>
  <si>
    <t>66040100SWS TS STARWARS STROM TROOPER GRID A144:WHITE:5-6:GRAPHIC:SS T-SHIRT</t>
  </si>
  <si>
    <t>66040100SWS TS STARWARS STROM TROOPER GRID A144:WHITE:7-8:GRAPHIC:SS T-SHIRT</t>
  </si>
  <si>
    <t>66040100SWS TS STARWARS STROM TROOPER GRID A144:WHITE:9-10:GRAPHIC:SS T-SHIRT</t>
  </si>
  <si>
    <t>66060100SWS TS STARWARS STROM TROOPER GRID A144:WHITE:11-12:GRAPHIC:SS T-SHIRT</t>
  </si>
  <si>
    <t>66060100SWS TS STARWARS STROM TROOPER GRID A144:WHITE:13-14:GRAPHIC:SS T-SHIRT</t>
  </si>
  <si>
    <t>66060100SWS TS STARWARS STROM TROOPER GRID A144:WHITE:15-16:GRAPHIC:SS T-SHIRT</t>
  </si>
  <si>
    <t>GNSW24</t>
  </si>
  <si>
    <t>66040100SWS TS STARWARS DARTH VADER DADA KIRI GNSW24:MISTY MEDIUM BROWN:5-6:GRAPHIC:SS T-SHIRT</t>
  </si>
  <si>
    <t>66040100SWS TS STARWARS DARTH VADER DADA KIRI GNSW24:MISTY MEDIUM BROWN:7-8:GRAPHIC:SS T-SHIRT</t>
  </si>
  <si>
    <t>66040100SWS TS STARWARS DARTH VADER DADA KIRI GNSW24:MISTY MEDIUM BROWN:9-10:GRAPHIC:SS T-SHIRT</t>
  </si>
  <si>
    <t>66060100SWS TS STARWARS DARTH VADER DADA KIRI GNSW24:MISTY MEDIUM BROWN:11-12:GRAPHIC:SS T-SHIRT</t>
  </si>
  <si>
    <t>66060100SWS TS STARWARS DARTH VADER DADA KIRI GNSW24:MISTY MEDIUM BROWN:13-14:GRAPHIC:SS T-SHIRT</t>
  </si>
  <si>
    <t>66060100SWS TS STARWARS DARTH VADER DADA KIRI GNSW24:MISTY MEDIUM BROWN:15-16:GRAPHIC:SS T-SHIRT</t>
  </si>
  <si>
    <t>GNSW25</t>
  </si>
  <si>
    <t>66040100SWS TS STARWARS STROM TROOPER DADA KIRI GNSW25:BLACK:5-6:GRAPHIC:SS T-SHIRT</t>
  </si>
  <si>
    <t>66040100SWS TS STARWARS STROM TROOPER DADA KIRI GNSW25:BLACK:7-8:GRAPHIC:SS T-SHIRT</t>
  </si>
  <si>
    <t>66040100SWS TS STARWARS STROM TROOPER DADA KIRI GNSW25:BLACK:9-10:GRAPHIC:SS T-SHIRT</t>
  </si>
  <si>
    <t>66060100SWS TS STARWARS STROM TROOPER DADA KIRI GNSW25:BLACK:11-12:GRAPHIC:SS T-SHIRT</t>
  </si>
  <si>
    <t>66060100SWS TS STARWARS STROM TROOPER DADA KIRI GNSW25:BLACK:13-14:GRAPHIC:SS T-SHIRT</t>
  </si>
  <si>
    <t>66060100SWS TS STARWARS STROM TROOPER DADA KIRI GNSW25:BLACK:15-16:GRAPHIC:SS T-SHIRT</t>
  </si>
  <si>
    <t>GNSW17K</t>
  </si>
  <si>
    <t>66040100SWS TS STARWARS AMIME COMIC CUT SEWM FP GNSW17K:MISTY LIGHT KHAKI:5-6:PRINT:SS T-SHIRT</t>
  </si>
  <si>
    <t>66040100SWS TS STARWARS AMIME COMIC CUT SEWM FP GNSW17K:MISTY LIGHT KHAKI:7-8:PRINT:SS T-SHIRT</t>
  </si>
  <si>
    <t>66040100SWS TS STARWARS AMIME COMIC CUT SEWM FP GNSW17K:MISTY LIGHT KHAKI:9-10:PRINT:SS T-SHIRT</t>
  </si>
  <si>
    <t>66060100SWS TS STARWARS ANIME COMIC CUT SEWN FP GNSW17K:MISTY LIGHT KHAKI:11-12:PRINT:SS T-SHIRT</t>
  </si>
  <si>
    <t>66060100SWS TS STARWARS ANIME COMIC CUT SEWN FP GNSW17K:MISTY LIGHT KHAKI:13-14:PRINT:SS T-SHIRT</t>
  </si>
  <si>
    <t>66060100SWS TS STARWARS ANIME COMIC CUT SEWN FP GNSW17K:MISTY LIGHT KHAKI:15-16:PRINT:SS T-SHIRT</t>
  </si>
  <si>
    <t>GNSW26</t>
  </si>
  <si>
    <t>66020100SWS TS STARWARS FP COMIC AMIME FLOCKIMG GNSW26:MISTY LIGHT GREY:3-4:PRINT:SS T-SHIRT</t>
  </si>
  <si>
    <t>66020100SWS TS STARWARS FP COMIC AMIME FLOCKIMG GNSW26:MISTY LIGHT GREY:4-5:PRINT:SS T-SHIRT</t>
  </si>
  <si>
    <t>66020100SWS TS STARWARS FP COMIC AMIME FLOCKIMG GNSW26:MISTY LIGHT GREY:5-6:PRINT:SS T-SHIRT</t>
  </si>
  <si>
    <t>66040100SWS TS STARWARS FP COMIC AMIME FLOCKIMG GNSW26:MISTY LIGHT GREY:7-8:PRINT:SS T-SHIRT</t>
  </si>
  <si>
    <t>66040100SWS TS STARWARS FP COMIC AMIME FLOCKIMG GNSW26:MISTY LIGHT GREY:9-10:PRINT:SS T-SHIRT</t>
  </si>
  <si>
    <t>66040100SWS TS STARWARS FP COMIC AMIME FLOCKIMG GNSW26:MISTY LIGHT GREY:11-12:PRINT:SS T-SHIRT</t>
  </si>
  <si>
    <t>66060100SWS TS STARWARS FP COMIC AMIME FLOCKIMG GNSW26:MISTY LIGHT GREY:13-14:PRINT:SS T-SHIRT</t>
  </si>
  <si>
    <t>66060100SWS TS STARWARS FP COMIC AMIME FLOCKIMG GNSW26:MISTY LIGHT GREY:15-16:PRINT:SS T-SHIRT</t>
  </si>
  <si>
    <t>HR483</t>
  </si>
  <si>
    <t>66020100MCS TS SPD SPIDEY FP FACE SHADOW HR483:WHITE:3-4:PRINT:SS T-SHIRT</t>
  </si>
  <si>
    <t>66020100MCS TS SPD SPIDEY FP FACE SHADOW HR483:WHITE:4-5:PRINT:SS T-SHIRT</t>
  </si>
  <si>
    <t>66020100MCS TS SPD SPIDEY FP FACE SHADOW HR483:WHITE:5-6:PRINT:SS T-SHIRT</t>
  </si>
  <si>
    <t>66040100MCS TS SPD SPIDEY FP FACE SHADOW  HR483:WHITE:7-8:PRINT:SS T-SHIRT</t>
  </si>
  <si>
    <t>66040100MCS TS SPD SPIDEY FP FACE SHADOW  HR483:WHITE:9-10:PRINT:SS T-SHIRT</t>
  </si>
  <si>
    <t>66040100MCS TS SPD SPIDEY FP FACE SHADOW  HR483:WHITE:11-12:PRINT:SS T-SHIRT</t>
  </si>
  <si>
    <t>66060100MCS TS SPD SPIDEY FP FACE SHADOW  HR483:WHITE:13-14:PRINT:SS T-SHIRT</t>
  </si>
  <si>
    <t>66060100MCS TS SPD SPIDEY FP FACE SHADOW  HR483:WHITE:15-16:PRINT:SS T-SHIRT</t>
  </si>
  <si>
    <t>HR4150</t>
  </si>
  <si>
    <t>66020100MCS TS SPD JUMP NEIGHBORHOOD BUILDING HR4150:MISTY MEDIUM BLUE:3-4:GRAPHIC:SS T-SHIRT</t>
  </si>
  <si>
    <t>66020100MCS TS SPD JUMP NEIGHBORHOOD BUILDING HR4150:MISTY MEDIUM BLUE:4-5:GRAPHIC:SS T-SHIRT</t>
  </si>
  <si>
    <t>66020100MCS TS SPD JUMP NEIGHBORHOOD BUILDING HR4150:MISTY MEDIUM BLUE:5-6:GRAPHIC:SS T-SHIRT</t>
  </si>
  <si>
    <t>66040100MCS TS SPD JUMP NEIGHBORHOOD BUILDING  HR4150:MISTY MEDIUM BLUE:7-8:GRAPHIC:SS T-SHIRT</t>
  </si>
  <si>
    <t>66040100MCS TS SPD JUMP NEIGHBORHOOD BUILDING  HR4150:MISTY MEDIUM BLUE:9-10:GRAPHIC:SS T-SHIRT</t>
  </si>
  <si>
    <t>66040100MCS TS SPD JUMP NEIGHBORHOOD BUILDING  HR4150:MISTY MEDIUM BLUE:11-12:GRAPHIC:SS T-SHIRT</t>
  </si>
  <si>
    <t>66060100MCS TS SPD JUMP NEIGHBORHOOD BUILDING  HR4150:MISTY MEDIUM BLUE:13-14:GRAPHIC:SS T-SHIRT</t>
  </si>
  <si>
    <t>66060100MCS TS SPD JUMP NEIGHBORHOOD BUILDING  HR4150:MISTY MEDIUM BLUE:15-16:GRAPHIC:SS T-SHIRT</t>
  </si>
  <si>
    <t>NT47</t>
  </si>
  <si>
    <t>66020100OAV TS AVG CAPT AMRIK SHIELD LEHER INTIP NT47:CLASSIC RED:3-4:GRAPHIC:SS T-SHIRT</t>
  </si>
  <si>
    <t>66020100OAV TS AVG CAPT AMRIK SHIELD LEHER INTIP NT47:CLASSIC RED:4-5:GRAPHIC:SS T-SHIRT</t>
  </si>
  <si>
    <t>66020100OAV TS AVG CAPT AMRIK SHIELD LEHER INTIP NT47:CLASSIC RED:5-6:GRAPHIC:SS T-SHIRT</t>
  </si>
  <si>
    <t>66040100OAV TS AVG CAPT AMRIK SHIELD LEHER INTIP NT47:CLASSIC RED:7-8:GRAPHIC:SS T-SHIRT</t>
  </si>
  <si>
    <t>66040100OAV TS AVG CAPT AMRIK SHIELD LEHER INTIP NT47:CLASSIC RED:9-10:GRAPHIC:SS T-SHIRT</t>
  </si>
  <si>
    <t>66040100OAV TS AVG CAPT AMRIK SHIELD LEHER INTIP NT47:CLASSIC RED:11-12:GRAPHIC:SS T-SHIRT</t>
  </si>
  <si>
    <t>66060100OAV TS AVG CAPT AMRIK SHIELD LEHER INTIP NT47:CLASSIC RED:13-14:GRAPHIC:SS T-SHIRT</t>
  </si>
  <si>
    <t>66060100OAV TS AVG CAPT AMRIK SHIELD LEHER INTIP NT47:CLASSIC RED:15-16:GRAPHIC:SS T-SHIRT</t>
  </si>
  <si>
    <t>HR274</t>
  </si>
  <si>
    <t>66020100OAV TS AVG HEROES CUTSEWN HR274:MISTY LIGHT BLUE:3-4:GRAPHIC:SS T-SHIRT</t>
  </si>
  <si>
    <t>66020100OAV TS AVG HEROES CUTSEWN HR274:MISTY LIGHT BLUE:4-5:GRAPHIC:SS T-SHIRT</t>
  </si>
  <si>
    <t>66020100OAV TS AVG HEROES CUTSEWN HR274:MISTY LIGHT BLUE:5-6:GRAPHIC:SS T-SHIRT</t>
  </si>
  <si>
    <t>66040100OAV TS AVG HEROES CUTSEWN HR274:MISTY LIGHT BLUE:7-8:GRAPHIC:SS T-SHIRT</t>
  </si>
  <si>
    <t>66040100OAV TS AVG HEROES CUTSEWN HR274:MISTY LIGHT BLUE:9-10:GRAPHIC:SS T-SHIRT</t>
  </si>
  <si>
    <t>66040100OAV TS AVG HEROES CUTSEWN HR274:MISTY LIGHT BLUE:11-12:GRAPHIC:SS T-SHIRT</t>
  </si>
  <si>
    <t>66060100OAV TS AVG HEROES CUTSEWN HR274:MISTY LIGHT BLUE:13-14:GRAPHIC:SS T-SHIRT</t>
  </si>
  <si>
    <t>66060100OAV TS AVG HEROES CUTSEWN HR274:MISTY LIGHT BLUE:15-16:GRAPHIC:SS T-SHIRT</t>
  </si>
  <si>
    <t>A503</t>
  </si>
  <si>
    <t>66020100OAV TS AVG TEAM READY A503:NAVY BLUE:3-4:GRAPHIC:SS T-SHIRT</t>
  </si>
  <si>
    <t>66020100OAV TS AVG TEAM READY A503:NAVY BLUE:4-5:GRAPHIC:SS T-SHIRT</t>
  </si>
  <si>
    <t>66020100OAV TS AVG TEAM READY A503:NAVY BLUE:5-6:GRAPHIC:SS T-SHIRT</t>
  </si>
  <si>
    <t>66040100OAV TS AVG TEAM READY A503:NAVY BLUE:7-8:GRAPHIC:SS T-SHIRT</t>
  </si>
  <si>
    <t>66040100OAV TS AVG TEAM READY A503:NAVY BLUE:9-10:GRAPHIC:SS T-SHIRT</t>
  </si>
  <si>
    <t>66040100OAV TS AVG TEAM READY A503:NAVY BLUE:11-12:GRAPHIC:SS T-SHIRT</t>
  </si>
  <si>
    <t>66060100OAV TS AVG TEAM READY A503:NAVY BLUE:13-14:GRAPHIC:SS T-SHIRT</t>
  </si>
  <si>
    <t>66060100OAV TS AVG TEAM READY A503:NAVY BLUE:15-16:GRAPHIC:SS T-SHIRT</t>
  </si>
  <si>
    <t>HRT8</t>
  </si>
  <si>
    <t>66020100OAV TS AVG IRON MAN IAM INVICIBLE CUTSEWN HRT8:CLASSIC RED:3-4:GRAPHIC:SS T-SHIRT</t>
  </si>
  <si>
    <t>66020100OAV TS AVG IRON MAN IAM INVICIBLE CUTSEWN HRT8:CLASSIC RED:4-5:GRAPHIC:SS T-SHIRT</t>
  </si>
  <si>
    <t>66020100OAV TS AVG IRON MAN IAM INVICIBLE CUTSEWN HRT8:CLASSIC RED:5-6:GRAPHIC:SS T-SHIRT</t>
  </si>
  <si>
    <t>66040100OAV TS AVG IRON MAN IAM INVICIBLE CUTSEWN HRT8:CLASSIC RED:7-8:GRAPHIC:SS T-SHIRT</t>
  </si>
  <si>
    <t>66040100OAV TS AVG IRON MAN IAM INVICIBLE CUTSEWN HRT8:CLASSIC RED:9-10:GRAPHIC:SS T-SHIRT</t>
  </si>
  <si>
    <t>66040100OAV TS AVG IRON MAN IAM INVICIBLE CUTSEWN HRT8:CLASSIC RED:11-12:GRAPHIC:SS T-SHIRT</t>
  </si>
  <si>
    <t>66060100OAV TS AVG IRON MAN IAM INVICIBLE CUTSEWN HRT8:CLASSIC RED:13-14:GRAPHIC:SS T-SHIRT</t>
  </si>
  <si>
    <t>66060100OAV TS AVG IRON MAN IAM INVICIBLE CUTSEWN HRT8:CLASSIC RED:15-16:GRAPHIC:SS T-SHIRT</t>
  </si>
  <si>
    <t>A16</t>
  </si>
  <si>
    <t>66020100OAV TS AVG EARTH MIGHTIES HEROES FP CHAR NAME A16:MISTY MEDIUM YELLOW:3-4:PRINT:SS T-SHIRT</t>
  </si>
  <si>
    <t>66020100OAV TS AVG EARTH MIGHTIES HEROES FP CHAR NAME A16:MISTY MEDIUM YELLOW:4-5:PRINT:SS T-SHIRT</t>
  </si>
  <si>
    <t>66020100OAV TS AVG EARTH MIGHTIES HEROES FP CHAR NAME A16:MISTY MEDIUM YELLOW:5-6:PRINT:SS T-SHIRT</t>
  </si>
  <si>
    <t>66040100OAV TS AVG EARTH MIGHTIES HEROES FP CHAR NAME A16:MISTY MEDIUM YELLOW:7-8:PRINT:SS T-SHIRT</t>
  </si>
  <si>
    <t>66040100OAV TS AVG EARTH MIGHTIES HEROES FP CHAR NAME A16:MISTY MEDIUM YELLOW:9-10:PRINT:SS T-SHIRT</t>
  </si>
  <si>
    <t>66040100OAV TS AVG EARTH MIGHTIES HEROES FP CHAR NAME A16:MISTY MEDIUM YELLOW:11-12:PRINT:SS T-SHIRT</t>
  </si>
  <si>
    <t>66060100OAV TS AVG EARTH MIGHTIES HEROES FP CHAR NAME A16:MISTY MEDIUM YELLOW:13-14:PRINT:SS T-SHIRT</t>
  </si>
  <si>
    <t>66060100OAV TS AVG EARTH MIGHTIES HEROES FP CHAR NAME A16:MISTY MEDIUM YELLOW:15-16:PRINT:SS T-SHIRT</t>
  </si>
  <si>
    <t>N32</t>
  </si>
  <si>
    <t>66020100OAV TS AVG HEROES IRON CAPT HULK FP MARBLE N32:WHITE:3-4:PRINT:SS T-SHIRT</t>
  </si>
  <si>
    <t>66020100OAV TS AVG HEROES IRON CAPT HULK FP MARBLE N32:WHITE:4-5:PRINT:SS T-SHIRT</t>
  </si>
  <si>
    <t>66020100OAV TS AVG HEROES IRON CAPT HULK FP MARBLE N32:WHITE:5-6:PRINT:SS T-SHIRT</t>
  </si>
  <si>
    <t>66040100OAV TS AVG HEROES IRON CAPT HULK FP MARBLE N32:WHITE:7-8:PRINT:SS T-SHIRT</t>
  </si>
  <si>
    <t>66040100OAV TS AVG HEROES IRON CAPT HULK FP MARBLE N32:WHITE:9-10:PRINT:SS T-SHIRT</t>
  </si>
  <si>
    <t>66040100OAV TS AVG HEROES IRON CAPT HULK FP MARBLE N32:WHITE:11-12:PRINT:SS T-SHIRT</t>
  </si>
  <si>
    <t>66060100OAV TS AVG HEROES IRON CAPT HULK FP MARBLE N32:WHITE:13-14:PRINT:SS T-SHIRT</t>
  </si>
  <si>
    <t>66060100OAV TS AVG HEROES IRON CAPT HULK FP MARBLE N32:WHITE:15-16:PRINT:SS T-SHIRT</t>
  </si>
  <si>
    <t>NT21</t>
  </si>
  <si>
    <t>66020100OAV TS AVG ASSEMBLE IRON CAPT HULK NT21:CLASSIC RED:3-4:GRAPHIC:SS T-SHIRT</t>
  </si>
  <si>
    <t>66020100OAV TS AVG ASSEMBLE IRON CAPT HULK NT21:CLASSIC RED:4-5:GRAPHIC:SS T-SHIRT</t>
  </si>
  <si>
    <t>66020100OAV TS AVG ASSEMBLE IRON CAPT HULK NT21:CLASSIC RED:5-6:GRAPHIC:SS T-SHIRT</t>
  </si>
  <si>
    <t>66040100OAV TS AVG ASSEMBLE IRON CAPT HULK NT21:CLASSIC RED:7-8:GRAPHIC:SS T-SHIRT</t>
  </si>
  <si>
    <t>66040100OAV TS AVG ASSEMBLE IRON CAPT HULK NT21:CLASSIC RED:9-10:GRAPHIC:SS T-SHIRT</t>
  </si>
  <si>
    <t>66040100OAV TS AVG ASSEMBLE IRON CAPT HULK NT21:CLASSIC RED:11-12:GRAPHIC:SS T-SHIRT</t>
  </si>
  <si>
    <t>66060100OAV TS AVG ASSEMBLE IRON CAPT HULK NT21:CLASSIC RED:13-14:GRAPHIC:SS T-SHIRT</t>
  </si>
  <si>
    <t>66060100OAV TS AVG ASSEMBLE IRON CAPT HULK NT21:CLASSIC RED:15-16:GRAPHIC:SS T-SHIRT</t>
  </si>
  <si>
    <t>N18</t>
  </si>
  <si>
    <t>66020100OAV TS AVG MARVEL CAPT IRON HULK N18:MISTY DARK BLUE:3-4:GRAPHIC:SS T-SHIRT</t>
  </si>
  <si>
    <t>66020100OAV TS AVG MARVEL CAPT IRON HULK N18:MISTY DARK BLUE:4-5:GRAPHIC:SS T-SHIRT</t>
  </si>
  <si>
    <t>66020100OAV TS AVG MARVEL CAPT IRON HULK N18:MISTY DARK BLUE:5-6:GRAPHIC:SS T-SHIRT</t>
  </si>
  <si>
    <t>66040100OAV TS AVG MARVEL CAPT IRON HULK N18:MISTY DARK BLUE:7-8:GRAPHIC:SS T-SHIRT</t>
  </si>
  <si>
    <t>66040100OAV TS AVG MARVEL CAPT IRON HULK N18:MISTY DARK BLUE:9-10:GRAPHIC:SS T-SHIRT</t>
  </si>
  <si>
    <t>66040100OAV TS AVG MARVEL CAPT IRON HULK N18:MISTY DARK BLUE:11-12:GRAPHIC:SS T-SHIRT</t>
  </si>
  <si>
    <t>N28</t>
  </si>
  <si>
    <t>66020100OAV TS AVG FUTURE AVANGERS APL KOTAK N28:MISTY LIGHT BLUE:3-4:GRAPHIC:SS T-SHIRT</t>
  </si>
  <si>
    <t>66020100OAV TS AVG FUTURE AVANGERS APL KOTAK N28:MISTY LIGHT BLUE:4-5:GRAPHIC:SS T-SHIRT</t>
  </si>
  <si>
    <t>66020100OAV TS AVG FUTURE AVANGERS APL KOTAK N28:MISTY LIGHT BLUE:5-6:GRAPHIC:SS T-SHIRT</t>
  </si>
  <si>
    <t>66040100OAV TS AVG FUTURE AVANGERS APL KOTAK N28:MISTY LIGHT BLUE:7-8:GRAPHIC:SS T-SHIRT</t>
  </si>
  <si>
    <t>66040100OAV TS AVG FUTURE AVANGERS APL KOTAK N28:MISTY LIGHT BLUE:9-10:GRAPHIC:SS T-SHIRT</t>
  </si>
  <si>
    <t>66040100OAV TS AVG FUTURE AVANGERS APL KOTAK N28:MISTY LIGHT BLUE:11-12:GRAPHIC:SS T-SHIRT</t>
  </si>
  <si>
    <t>66060100OAV TS AVG FUTURE AVANGERS APL KOTAK N28:MISTY LIGHT BLUE:13-14:GRAPHIC:SS T-SHIRT</t>
  </si>
  <si>
    <t>66060100OAV TS AVG FUTURE AVANGERS APL KOTAK N28:MISTY LIGHT BLUE:15-16:GRAPHIC:SS T-SHIRT</t>
  </si>
  <si>
    <t>GNAVG55K</t>
  </si>
  <si>
    <t>66020100OAV TS AVG HEROES PUFF GNAVG55K:MISTY LIGHT KHAKI:3-4:PRINT:SS T-SHIRT</t>
  </si>
  <si>
    <t>66020100OAV TS AVG HEROES PUFF GNAVG55K:MISTY LIGHT KHAKI:4-5:PRINT:SS T-SHIRT</t>
  </si>
  <si>
    <t>66020100OAV TS AVG HEROES PUFF GNAVG55K:MISTY LIGHT KHAKI:5-6:PRINT:SS T-SHIRT</t>
  </si>
  <si>
    <t>66040100OAV TS AVG HEROES PUFF GNAVG55K:MISTY LIGHT KHAKI:7-8:PRINT:SS T-SHIRT</t>
  </si>
  <si>
    <t>66040100OAV TS AVG HEROES PUFF GNAVG55K:MISTY LIGHT KHAKI:9-10:PRINT:SS T-SHIRT</t>
  </si>
  <si>
    <t>66040100OAV TS AVG HEROES PUFF GNAVG55K:MISTY LIGHT KHAKI:11-12:PRINT:SS T-SHIRT</t>
  </si>
  <si>
    <t>GNAVG38G</t>
  </si>
  <si>
    <t>66020100OAV TS AVG MARVEL EMBOSS CHAR FP GNAVG38G:DARK GREY:3-4:PRINT:SS T-SHIRT</t>
  </si>
  <si>
    <t>66020100OAV TS AVG MARVEL EMBOSS CHAR FP GNAVG38G:DARK GREY:4-5:PRINT:SS T-SHIRT</t>
  </si>
  <si>
    <t>66020100OAV TS AVG MARVEL EMBOSS CHAR FP GNAVG38G:DARK GREY:5-6:PRINT:SS T-SHIRT</t>
  </si>
  <si>
    <t>66040100OAV TS AVG MARVEL EMBOSS CHAR FP GNAVG38G:DARK GREY:7-8:PRINT:SS T-SHIRT</t>
  </si>
  <si>
    <t>66040100OAV TS AVG MARVEL EMBOSS CHAR FP GNAVG38G:DARK GREY:9-10:PRINT:SS T-SHIRT</t>
  </si>
  <si>
    <t>66040100OAV TS AVG MARVEL EMBOSS CHAR FP GNAVG38G:DARK GREY:11-12:PRINT:SS T-SHIRT</t>
  </si>
  <si>
    <t>66060100OAV TS AVG MARVEL EMBOSS CHAR FP GNAVG38G:DARK GREY:13-14:PRINT:SS T-SHIRT</t>
  </si>
  <si>
    <t>66060100OAV TS AVG MARVEL EMBOSS CHAR FP GNAVG38G:DARK GREY:15-16:PRINT:SS T-SHIRT</t>
  </si>
  <si>
    <t>N117</t>
  </si>
  <si>
    <t>66020100MCS TS SPD KTG PARASUT PRINT BLKG N117:WHITE:3-4:GRAPHIC:SS T-SHIRT</t>
  </si>
  <si>
    <t>66020100MCS TS SPD KTG PARASUT PRINT BLKG N117:WHITE:4-5:GRAPHIC:SS T-SHIRT</t>
  </si>
  <si>
    <t>66020100MCS TS SPD KTG PARASUT PRINT BLKG N117:WHITE:5-6:GRAPHIC:SS T-SHIRT</t>
  </si>
  <si>
    <t>66040100MCS TS SPD KTG PARASUT PRINT BLKG N117:WHITE:7-8:GRAPHIC:SS T-SHIRT</t>
  </si>
  <si>
    <t>66040100MCS TS SPD KTG PARASUT PRINT BLKG N117:WHITE:9-10:GRAPHIC:SS T-SHIRT</t>
  </si>
  <si>
    <t>66040100MCS TS SPD KTG PARASUT PRINT BLKG N117:WHITE:11-12:GRAPHIC:SS T-SHIRT</t>
  </si>
  <si>
    <t>66060100MCS TS SPD KTG PARASUT PRINT BLKG N117:WHITE:13-14:GRAPHIC:SS T-SHIRT</t>
  </si>
  <si>
    <t>66060100MCS TS SPD KTG PARASUT PRINT BLKG N117:WHITE:15-16:GRAPHIC:SS T-SHIRT</t>
  </si>
  <si>
    <t>HR459</t>
  </si>
  <si>
    <t>66020100MCS TS SPD FACE WORDING HALF HR459:MISTY MEDIUM GREY:3-4:PRINT:SS T-SHIRT</t>
  </si>
  <si>
    <t>66020100MCS TS SPD FACE WORDING HALF HR459:MISTY MEDIUM GREY:4-5:PRINT:SS T-SHIRT</t>
  </si>
  <si>
    <t>66020100MCS TS SPD FACE WORDING HALF HR459:MISTY MEDIUM GREY:5-6:PRINT:SS T-SHIRT</t>
  </si>
  <si>
    <t>66040100MCS TS SPD FACE WORDING HALF HR459:MISTY MEDIUM GREY:7-8:PRINT:SS T-SHIRT</t>
  </si>
  <si>
    <t>66040100MCS TS SPD FACE WORDING HALF HR459:MISTY MEDIUM GREY:9-10:PRINT:SS T-SHIRT</t>
  </si>
  <si>
    <t>66040100MCS TS SPD FACE WORDING HALF HR459:MISTY MEDIUM GREY:11-12:PRINT:SS T-SHIRT</t>
  </si>
  <si>
    <t>66060100MCS TS SPD FACE WORDING HALF HR459:MISTY MEDIUM GREY:13-14:PRINT:SS T-SHIRT</t>
  </si>
  <si>
    <t>66060100MCS TS SPD FACE WORDING HALF HR459:MISTY MEDIUM GREY:15-16:PRINT:SS T-SHIRT</t>
  </si>
  <si>
    <t>HR439</t>
  </si>
  <si>
    <t>66020100MCS TS SPD CUTSEWN HALF BODY SPIDER HR439:BLACK:3-4:GRAPHIC:SS T-SHIRT</t>
  </si>
  <si>
    <t>66020100MCS TS SPD CUTSEWN HALF BODY SPIDER HR439:BLACK:4-5:GRAPHIC:SS T-SHIRT</t>
  </si>
  <si>
    <t>66020100MCS TS SPD CUTSEWN HALF BODY SPIDER HR439:BLACK:5-6:GRAPHIC:SS T-SHIRT</t>
  </si>
  <si>
    <t>66040100MCS TS SPD CUTSEWN HALF BODY SPIDER HR439:BLACK:7-8:GRAPHIC:SS T-SHIRT</t>
  </si>
  <si>
    <t>66040100MCS TS SPD CUTSEWN HALF BODY SPIDER HR439:BLACK:9-10:GRAPHIC:SS T-SHIRT</t>
  </si>
  <si>
    <t>66040100MCS TS SPD CUTSEWN HALF BODY SPIDER HR439:BLACK:11-12:GRAPHIC:SS T-SHIRT</t>
  </si>
  <si>
    <t>66060100MCS TS SPD CUTSEWN HALF BODY SPIDER HR439:BLACK:13-14:GRAPHIC:SS T-SHIRT</t>
  </si>
  <si>
    <t>66060100MCS TS SPD CUTSEWN HALF BODY SPIDER HR439:BLACK:15-16:GRAPHIC:SS T-SHIRT</t>
  </si>
  <si>
    <t>HR19</t>
  </si>
  <si>
    <t>66020100MCS TS SPD CUTSEWN KTG FACE HR19:NAVY BLUE:3-4:GRAPHIC:SS T-SHIRT</t>
  </si>
  <si>
    <t>66020100MCS TS SPD CUTSEWN KTG FACE HR19:NAVY BLUE:4-5:GRAPHIC:SS T-SHIRT</t>
  </si>
  <si>
    <t>66020100MCS TS SPD CUTSEWN KTG FACE HR19:NAVY BLUE:5-6:GRAPHIC:SS T-SHIRT</t>
  </si>
  <si>
    <t>66040100MCS TS SPD CUTSEWN KTG FACE HR19:NAVY BLUE:7-8:GRAPHIC:SS T-SHIRT</t>
  </si>
  <si>
    <t>66040100MCS TS SPD CUTSEWN KTG FACE HR19:NAVY BLUE:9-10:GRAPHIC:SS T-SHIRT</t>
  </si>
  <si>
    <t>66040100MCS TS SPD CUTSEWN KTG FACE HR19:NAVY BLUE:11-12:GRAPHIC:SS T-SHIRT</t>
  </si>
  <si>
    <t>66060100MCS TS SPD CUTSEWN KTG FACE HR19:NAVY BLUE:13-14:GRAPHIC:SS T-SHIRT</t>
  </si>
  <si>
    <t>66060100MCS TS SPD CUTSEWN KTG FACE HR19:NAVY BLUE:15-16:GRAPHIC:SS T-SHIRT</t>
  </si>
  <si>
    <t>HR375</t>
  </si>
  <si>
    <t>66020100MCS TS SPD TO THE RESCUE LGN STRIPE HR375:NAVY BLUE:3-4:GRAPHIC:SS T-SHIRT</t>
  </si>
  <si>
    <t>66020100MCS TS SPD TO THE RESCUE LGN STRIPE HR375:NAVY BLUE:4-5:GRAPHIC:SS T-SHIRT</t>
  </si>
  <si>
    <t>66020100MCS TS SPD TO THE RESCUE LGN STRIPE HR375:NAVY BLUE:5-6:GRAPHIC:SS T-SHIRT</t>
  </si>
  <si>
    <t>66040100MCS TS SPD TO THE RESCUE LGN STRIPE HR375:NAVY BLUE:7-8:GRAPHIC:SS T-SHIRT</t>
  </si>
  <si>
    <t>66040100MCS TS SPD TO THE RESCUE LGN STRIPE HR375:NAVY BLUE:9-10:GRAPHIC:SS T-SHIRT</t>
  </si>
  <si>
    <t>66040100MCS TS SPD TO THE RESCUE LGN STRIPE HR375:NAVY BLUE:11-12:GRAPHIC:SS T-SHIRT</t>
  </si>
  <si>
    <t>66060100MCS TS SPD TO THE RESCUE LGN STRIPE HR375:NAVY BLUE:13-14:GRAPHIC:SS T-SHIRT</t>
  </si>
  <si>
    <t>66060100MCS TS SPD TO THE RESCUE LGN STRIPE HR375:NAVY BLUE:15-16:GRAPHIC:SS T-SHIRT</t>
  </si>
  <si>
    <t>A924</t>
  </si>
  <si>
    <t>66020100MCS TS SPD GREAT POWER JUMP STROKES PAINT A924:CLASSIC RED:3-4:GRAPHIC:SS T-SHIRT</t>
  </si>
  <si>
    <t>66020100MCS TS SPD GREAT POWER JUMP STROKES PAINT A924:CLASSIC RED:4-5:GRAPHIC:SS T-SHIRT</t>
  </si>
  <si>
    <t>66020100MCS TS SPD GREAT POWER JUMP STROKES PAINT A924:CLASSIC RED:5-6:GRAPHIC:SS T-SHIRT</t>
  </si>
  <si>
    <t>66040100MCS TS SPD GREAT POWER JUMP STROKES PAINT A924:CLASSIC RED:7-8:GRAPHIC:SS T-SHIRT</t>
  </si>
  <si>
    <t>66040100MCS TS SPD GREAT POWER JUMP STROKES PAINT A924:CLASSIC RED:9-10:GRAPHIC:SS T-SHIRT</t>
  </si>
  <si>
    <t>66040100MCS TS SPD GREAT POWER JUMP STROKES PAINT A924:CLASSIC RED:11-12:GRAPHIC:SS T-SHIRT</t>
  </si>
  <si>
    <t>66060100MCS TS SPD GREAT POWER JUMP STROKES PAINT A924:CLASSIC RED:13-14:GRAPHIC:SS T-SHIRT</t>
  </si>
  <si>
    <t>66060100MCS TS SPD GREAT POWER JUMP STROKES PAINT A924:CLASSIC RED:15-16:GRAPHIC:SS T-SHIRT</t>
  </si>
  <si>
    <t>HRT459</t>
  </si>
  <si>
    <t>66060100MCS TS SPD FACE THE AMAZING V STRIPE HRT459:NAVY BLUE:7-8:GRAPHIC:SS T-SHIRT</t>
  </si>
  <si>
    <t>66060100MCS TS SPD FACE THE AMAZING V STRIPE HRT459:NAVY BLUE:9-10:GRAPHIC:SS T-SHIRT</t>
  </si>
  <si>
    <t>66060100MCS TS SPD FACE THE AMAZING V STRIPE HRT459:NAVY BLUE:11-12:GRAPHIC:SS T-SHIRT</t>
  </si>
  <si>
    <t>66060100MCS TS SPD FACE THE AMAZING V STRIPE HRT459:NAVY BLUE:13-14:GRAPHIC:SS T-SHIRT</t>
  </si>
  <si>
    <t>66060100MCS TS SPD FACE THE AMAZING V STRIPE HRT459:NAVY BLUE:15-16:GRAPHIC:SS T-SHIRT</t>
  </si>
  <si>
    <t>AT52</t>
  </si>
  <si>
    <t>66020100MCS TS SPD HANGING THWIP 3 POSE AT52:CLASSIC RED:3-4:PRINT:SS T-SHIRT</t>
  </si>
  <si>
    <t>66020100MCS TS SPD HANGING THWIP 3 POSE AT52:CLASSIC RED:4-5:PRINT:SS T-SHIRT</t>
  </si>
  <si>
    <t>66020100MCS TS SPD HANGING THWIP 3 POSE AT52:CLASSIC RED:5-6:PRINT:SS T-SHIRT</t>
  </si>
  <si>
    <t>66040100MCS TS SPD HANGING THWIP 3 POSE AT52:CLASSIC RED:7-8:PRINT:SS T-SHIRT</t>
  </si>
  <si>
    <t>66040100MCS TS SPD HANGING THWIP 3 POSE AT52:CLASSIC RED:9-10:PRINT:SS T-SHIRT</t>
  </si>
  <si>
    <t>66040100MCS TS SPD HANGING THWIP 3 POSE AT52:CLASSIC RED:11-12:PRINT:SS T-SHIRT</t>
  </si>
  <si>
    <t>HRT13</t>
  </si>
  <si>
    <t>66020100MCS TS SPD SPIDEY RESPONSIBILITIES LGN STRIPE HRT13:BLACK:3-4:GRAPHIC:SS T-SHIRT</t>
  </si>
  <si>
    <t>66020100MCS TS SPD SPIDEY RESPONSIBILITIES LGN STRIPE HRT13:BLACK:4-5:GRAPHIC:SS T-SHIRT</t>
  </si>
  <si>
    <t>66020100MCS TS SPD SPIDEY RESPONSIBILITIES LGN STRIPE HRT13:BLACK:5-6:GRAPHIC:SS T-SHIRT</t>
  </si>
  <si>
    <t>66040100MCS TS SPD SPIDEY RESPONSIBILITIES LGN STRIPE HRT13:BLACK:7-8:GRAPHIC:SS T-SHIRT</t>
  </si>
  <si>
    <t>66040100MCS TS SPD SPIDEY RESPONSIBILITIES LGN STRIPE HRT13:BLACK:9-10:GRAPHIC:SS T-SHIRT</t>
  </si>
  <si>
    <t>66040100MCS TS SPD SPIDEY RESPONSIBILITIES LGN STRIPE HRT13:BLACK:11-12:GRAPHIC:SS T-SHIRT</t>
  </si>
  <si>
    <t>66060100MCS TS SPD SPIDEY RESPONSIBILITIES LGN STRIPE HRT13:BLACK:13-14:GRAPHIC:SS T-SHIRT</t>
  </si>
  <si>
    <t>66060100MCS TS SPD SPIDEY RESPONSIBILITIES LGN STRIPE HRT13:BLACK:15-16:GRAPHIC:SS T-SHIRT</t>
  </si>
  <si>
    <t>A99</t>
  </si>
  <si>
    <t>66020100MCS TS SPD JUMP PROTECTOR PAINT A99:MISTY LIGHT YELLOW:3-4:GRAPHIC:SS T-SHIRT</t>
  </si>
  <si>
    <t>66020100MCS TS SPD JUMP PROTECTOR PAINT A99:MISTY LIGHT YELLOW:4-5:GRAPHIC:SS T-SHIRT</t>
  </si>
  <si>
    <t>66020100MCS TS SPD JUMP PROTECTOR PAINT A99:MISTY LIGHT YELLOW:5-6:GRAPHIC:SS T-SHIRT</t>
  </si>
  <si>
    <t>66040100MCS TS SPD JUMP PROTECTOR PAINT A99:MISTY LIGHT YELLOW:7-8:GRAPHIC:SS T-SHIRT</t>
  </si>
  <si>
    <t>66040100MCS TS SPD JUMP PROTECTOR PAINT A99:MISTY LIGHT YELLOW:9-10:GRAPHIC:SS T-SHIRT</t>
  </si>
  <si>
    <t>66040100MCS TS SPD JUMP PROTECTOR PAINT A99:MISTY LIGHT YELLOW:11-12:GRAPHIC:SS T-SHIRT</t>
  </si>
  <si>
    <t>AT56</t>
  </si>
  <si>
    <t>66020100MCS TS SPD JUMP FACE WEB HEAD AT56:CLASSIC RED:3-4:PRINT:SS T-SHIRT</t>
  </si>
  <si>
    <t>66020100MCS TS SPD JUMP FACE WEB HEAD AT56:CLASSIC RED:4-5:PRINT:SS T-SHIRT</t>
  </si>
  <si>
    <t>66020100MCS TS SPD JUMP FACE WEB HEAD AT56:CLASSIC RED:5-6:PRINT:SS T-SHIRT</t>
  </si>
  <si>
    <t>66040100MCS TS SPD JUMP FACE WEB HEAD AT56:CLASSIC RED:7-8:PRINT:SS T-SHIRT</t>
  </si>
  <si>
    <t>66040100MCS TS SPD JUMP FACE WEB HEAD AT56:CLASSIC RED:9-10:PRINT:SS T-SHIRT</t>
  </si>
  <si>
    <t>66040100MCS TS SPD JUMP FACE WEB HEAD AT56:CLASSIC RED:11-12:PRINT:SS T-SHIRT</t>
  </si>
  <si>
    <t>66060100MCS TS SPD JUMP FACE WEB HEAD AT56:CLASSIC RED:13-14:PRINT:SS T-SHIRT</t>
  </si>
  <si>
    <t>66060100MCS TS SPD JUMP FACE WEB HEAD AT56:CLASSIC RED:15-16:PRINT:SS T-SHIRT</t>
  </si>
  <si>
    <t>A540</t>
  </si>
  <si>
    <t>66020100MCS TS SPD STRIPE 3 POSE A540:WHITE:3-4:STRIPES:SS T-SHIRT</t>
  </si>
  <si>
    <t>66020100MCS TS SPD STRIPE 3 POSE A540:WHITE:4-5:STRIPES:SS T-SHIRT</t>
  </si>
  <si>
    <t>66020100MCS TS SPD STRIPE 3 POSE A540:WHITE:5-6:STRIPES:SS T-SHIRT</t>
  </si>
  <si>
    <t>66040100MCS TS SPD STRIPE 3 POSE A540:WHITE:7-8:STRIPES:SS T-SHIRT</t>
  </si>
  <si>
    <t>66040100MCS TS SPD STRIPE 3 POSE A540:WHITE:9-10:STRIPES:SS T-SHIRT</t>
  </si>
  <si>
    <t>66040100MCS TS SPD STRIPE 3 POSE A540:WHITE:11-12:STRIPES:SS T-SHIRT</t>
  </si>
  <si>
    <t>66060100MCS TS SPD STRIPE 3 POSE A540:WHITE:13-14:STRIPES:SS T-SHIRT</t>
  </si>
  <si>
    <t>66060100MCS TS SPD STRIPE 3 POSE A540:WHITE:15-16:STRIPES:SS T-SHIRT</t>
  </si>
  <si>
    <t>HR36</t>
  </si>
  <si>
    <t>66020100MCS TS SPD STRIPE OUT HR36:WHITE:3-4:STRIPES:SS T-SHIRT</t>
  </si>
  <si>
    <t>66020100MCS TS SPD STRIPE OUT HR36:WHITE:4-5:STRIPES:SS T-SHIRT</t>
  </si>
  <si>
    <t>66020100MCS TS SPD STRIPE OUT HR36:WHITE:5-6:STRIPES:SS T-SHIRT</t>
  </si>
  <si>
    <t>66040100MCS TS SPD STRIPE OUT HR36:WHITE:7-8:STRIPES:SS T-SHIRT</t>
  </si>
  <si>
    <t>66040100MCS TS SPD STRIPE OUT HR36:WHITE:9-10:STRIPES:SS T-SHIRT</t>
  </si>
  <si>
    <t>66040100MCS TS SPD STRIPE OUT HR36:WHITE:11-12:STRIPES:SS T-SHIRT</t>
  </si>
  <si>
    <t>66060100MCS TS SPD STRIPE OUT HR36:WHITE:13-14:STRIPES:SS T-SHIRT</t>
  </si>
  <si>
    <t>66060100MCS TS SPD STRIPE OUT HR36:WHITE:15-16:STRIPES:SS T-SHIRT</t>
  </si>
  <si>
    <t>N882</t>
  </si>
  <si>
    <t>66020100MCS TS SPD FACE JARING KOMB KTG N882:MISTY MEDIUM BLUE:3-4:GRAPHIC:SS T-SHIRT</t>
  </si>
  <si>
    <t>66020100MCS TS SPD FACE JARING KOMB KTG N882:MISTY MEDIUM BLUE:4-5:GRAPHIC:SS T-SHIRT</t>
  </si>
  <si>
    <t>66020100MCS TS SPD FACE JARING KOMB KTG N882:MISTY MEDIUM BLUE:5-6:GRAPHIC:SS T-SHIRT</t>
  </si>
  <si>
    <t>66040100MCS TS SPD FACE JARING KOMB KTG N882:MISTY MEDIUM BLUE:7-8:GRAPHIC:SS T-SHIRT</t>
  </si>
  <si>
    <t>66040100MCS TS SPD FACE JARING KOMB KTG N882:MISTY MEDIUM BLUE:9-10:GRAPHIC:SS T-SHIRT</t>
  </si>
  <si>
    <t>66040100MCS TS SPD FACE JARING KOMB KTG N882:MISTY MEDIUM BLUE:11-12:GRAPHIC:SS T-SHIRT</t>
  </si>
  <si>
    <t>66060100MCS TS SPD FACE JARING KOMB KTG N882:MISTY MEDIUM BLUE:13-14:GRAPHIC:SS T-SHIRT</t>
  </si>
  <si>
    <t>66060100MCS TS SPD FACE JARING KOMB KTG N882:MISTY MEDIUM BLUE:15-16:GRAPHIC:SS T-SHIRT</t>
  </si>
  <si>
    <t>GNSPD33</t>
  </si>
  <si>
    <t>66020100MCS TS SPD THWIP FLY GNSPD33:LIGHT BLUE:3-4:GRAPHIC:SS T-SHIRT</t>
  </si>
  <si>
    <t>66020100MCS TS SPD THWIP FLY GNSPD33:LIGHT BLUE:4-5:GRAPHIC:SS T-SHIRT</t>
  </si>
  <si>
    <t>66020100MCS TS SPD THWIP FLY GNSPD33:LIGHT BLUE:5-6:GRAPHIC:SS T-SHIRT</t>
  </si>
  <si>
    <t>66040100MCS TS SPD THWIP FLY GNSPD33:LIGHT BLUE:7-8:GRAPHIC:SS T-SHIRT</t>
  </si>
  <si>
    <t>66040100MCS TS SPD THWIP FLY GNSPD33:LIGHT BLUE:9-10:GRAPHIC:SS T-SHIRT</t>
  </si>
  <si>
    <t>66040100MCS TS SPD THWIP FLY GNSPD33:LIGHT BLUE:11-12:GRAPHIC:SS T-SHIRT</t>
  </si>
  <si>
    <t>66060100MCS TS SPD THWIP FLY GNSPD33:LIGHT BLUE:13-14:GRAPHIC:SS T-SHIRT</t>
  </si>
  <si>
    <t>66060100MCS TS SPD THWIP FLY GNSPD33:LIGHT BLUE:15-16:GRAPHIC:SS T-SHIRT</t>
  </si>
  <si>
    <t>GNSPD34</t>
  </si>
  <si>
    <t>66020100MCS TS SPD JUMP YEAH BUILDING DADA GNSPD34:CLASSIC RED:3-4:GRAPHIC:SS T-SHIRT</t>
  </si>
  <si>
    <t>66020100MCS TS SPD JUMP YEAH BUILDING DADA GNSPD34:CLASSIC RED:4-5:GRAPHIC:SS T-SHIRT</t>
  </si>
  <si>
    <t>66020100MCS TS SPD JUMP YEAH BUILDING DADA GNSPD34:CLASSIC RED:5-6:GRAPHIC:SS T-SHIRT</t>
  </si>
  <si>
    <t>66040100MCS TS SPD JUMP YEAH BUILDING DADA GNSPD34:CLASSIC RED:7-8:GRAPHIC:SS T-SHIRT</t>
  </si>
  <si>
    <t>66040100MCS TS SPD JUMP YEAH BUILDING DADA GNSPD34:CLASSIC RED:9-10:GRAPHIC:SS T-SHIRT</t>
  </si>
  <si>
    <t>66040100MCS TS SPD JUMP YEAH BUILDING DADA GNSPD34:CLASSIC RED:11-12:GRAPHIC:SS T-SHIRT</t>
  </si>
  <si>
    <t>66060100MCS TS SPD JUMP YEAH BUILDING DADA GNSPD34:CLASSIC RED:13-14:GRAPHIC:SS T-SHIRT</t>
  </si>
  <si>
    <t>66060100MCS TS SPD JUMP YEAH BUILDING DADA GNSPD34:CLASSIC RED:15-16:GRAPHIC:SS T-SHIRT</t>
  </si>
  <si>
    <t>GNSPD35</t>
  </si>
  <si>
    <t>66020100MCS TS SPD WEB SLINGER GNSPD35:MISTY LIGHT BLUE:3-4:GRAPHIC:SS T-SHIRT</t>
  </si>
  <si>
    <t>66020100MCS TS SPD WEB SLINGER GNSPD35:MISTY LIGHT BLUE:4-5:GRAPHIC:SS T-SHIRT</t>
  </si>
  <si>
    <t>66020100MCS TS SPD WEB SLINGER GNSPD35:MISTY LIGHT BLUE:5-6:GRAPHIC:SS T-SHIRT</t>
  </si>
  <si>
    <t>66040100MCS TS SPD WEB SLINGER GNSPD35:MISTY LIGHT BLUE:7-8:GRAPHIC:SS T-SHIRT</t>
  </si>
  <si>
    <t>66040100MCS TS SPD WEB SLINGER GNSPD35:MISTY LIGHT BLUE:9-10:GRAPHIC:SS T-SHIRT</t>
  </si>
  <si>
    <t>66040100MCS TS SPD WEB SLINGER GNSPD35:MISTY LIGHT BLUE:11-12:GRAPHIC:SS T-SHIRT</t>
  </si>
  <si>
    <t>66060100MCS TS SPD WEB SLINGER GNSPD35:MISTY LIGHT BLUE:13-14:GRAPHIC:SS T-SHIRT</t>
  </si>
  <si>
    <t>66060100MCS TS SPD WEB SLINGER GNSPD35:MISTY LIGHT BLUE:15-16:GRAPHIC:SS T-SHIRT</t>
  </si>
  <si>
    <t>GNSPD26R</t>
  </si>
  <si>
    <t>66020100MCS TS SPD EMBOSS FP SPLASH GNSPD26R:CLASSIC RED:3-4:PRINT:SS T-SHIRT</t>
  </si>
  <si>
    <t>66020100MCS TS SPD EMBOSS FP SPLASH GNSPD26R:CLASSIC RED:4-5:PRINT:SS T-SHIRT</t>
  </si>
  <si>
    <t>66020100MCS TS SPD EMBOSS FP SPLASH GNSPD26R:CLASSIC RED:5-6:PRINT:SS T-SHIRT</t>
  </si>
  <si>
    <t>66040100MCS TS SPD EMBOSS FP SPLASH GNSPD26R:CLASSIC RED:7-8:PRINT:SS T-SHIRT</t>
  </si>
  <si>
    <t>66040100MCS TS SPD EMBOSS FP SPLASH GNSPD26R:CLASSIC RED:9-10:PRINT:SS T-SHIRT</t>
  </si>
  <si>
    <t>66040100MCS TS SPD EMBOSS FP SPLASH GNSPD26R:CLASSIC RED:11-12:PRINT:SS T-SHIRT</t>
  </si>
  <si>
    <t>66060100MCS TS SPD EMBOSS FP SPLASH GNSPD26R:CLASSIC RED:13-14:PRINT:SS T-SHIRT</t>
  </si>
  <si>
    <t>66060100MCS TS SPD EMBOSS FP SPLASH GNSPD26R:CLASSIC RED:15-16:PRINT:SS T-SHIRT</t>
  </si>
  <si>
    <t>GNSPD31</t>
  </si>
  <si>
    <t>66020100MCS TS SPD FLYING HANGING BUILDING GLOW GNSPD31:MISTY MEDIUM GREY:3-4:GRAPHIC:SS T-SHIRT</t>
  </si>
  <si>
    <t>66020100MCS TS SPD FLYING HANGING BUILDING GLOW GNSPD31:MISTY MEDIUM GREY:4-5:GRAPHIC:SS T-SHIRT</t>
  </si>
  <si>
    <t>66020100MCS TS SPD FLYING HANGING BUILDING GLOW GNSPD31:MISTY MEDIUM GREY:5-6:GRAPHIC:SS T-SHIRT</t>
  </si>
  <si>
    <t>66040100MCS TS SPD FLYING HANGING BUILDING GLOW GNSPD31:MISTY MEDIUM GREY:7-8:GRAPHIC:SS T-SHIRT</t>
  </si>
  <si>
    <t>66040100MCS TS SPD FLYING HANGING BUILDING GLOW GNSPD31:MISTY MEDIUM GREY:9-10:GRAPHIC:SS T-SHIRT</t>
  </si>
  <si>
    <t>66040100MCS TS SPD FLYING HANGING BUILDING GLOW GNSPD31:MISTY MEDIUM GREY:11-12:GRAPHIC:SS T-SHIRT</t>
  </si>
  <si>
    <t>66060100MCS TS SPD FLYING HANGING BUILDING GLOW GNSPD31:MISTY MEDIUM GREY:13-14:GRAPHIC:SS T-SHIRT</t>
  </si>
  <si>
    <t>66060100MCS TS SPD FLYING HANGING BUILDING GLOW GNSPD31:MISTY MEDIUM GREY:15-16:GRAPHIC:SS T-SHIRT</t>
  </si>
  <si>
    <t>AT971</t>
  </si>
  <si>
    <t>66020100MCS TS SPD CLUB WE ARE HEROES SPLASH AT971:CLASSIC RED:3-4:PRINT:SS T-SHIRT</t>
  </si>
  <si>
    <t>66020100MCS TS SPD CLUB WE ARE HEROES SPLASH AT971:CLASSIC RED:4-5:PRINT:SS T-SHIRT</t>
  </si>
  <si>
    <t>66020100MCS TS SPD CLUB WE ARE HEROES SPLASH AT971:CLASSIC RED:5-6:PRINT:SS T-SHIRT</t>
  </si>
  <si>
    <t>66040100MCS TS SPD CLUB WE ARE HEROES SPLASH AT971:CLASSIC RED:7-8:PRINT:SS T-SHIRT</t>
  </si>
  <si>
    <t>66040100MCS TS SPD CLUB WE ARE HEROES SPLASH AT971:CLASSIC RED:9-10:PRINT:SS T-SHIRT</t>
  </si>
  <si>
    <t>66040100MCS TS SPD CLUB WE ARE HEROES SPLASH AT971:CLASSIC RED:11-12:PRINT:SS T-SHIRT</t>
  </si>
  <si>
    <t>GNSPD32</t>
  </si>
  <si>
    <t>66060100MCS TS SPD FLY PRINT BELAKANG TIEDYE GNSPD32:NAVY BLUE:7-8:PRINT:SS T-SHIRT</t>
  </si>
  <si>
    <t>66060100MCS TS SPD FLY PRINT BELAKANG TIEDYE GNSPD32:NAVY BLUE:9-10:PRINT:SS T-SHIRT</t>
  </si>
  <si>
    <t>66060100MCS TS SPD FLY PRINT BELAKANG TIEDYE GNSPD32:NAVY BLUE:11-12:PRINT:SS T-SHIRT</t>
  </si>
  <si>
    <t>66060100MCS TS SPD FLY PRINT BELAKANG TIEDYE GNSPD32:NAVY BLUE:13-14:PRINT:SS T-SHIRT</t>
  </si>
  <si>
    <t>66060100MCS TS SPD FLY PRINT BELAKANG TIEDYE GNSPD32:NAVY BLUE:15-16:PRINT:SS T-SHIRT</t>
  </si>
  <si>
    <t>KSPDCL79</t>
  </si>
  <si>
    <t>66020100MCS SS HENLEY SPD FACE TAPE KTG KSPDCL79:MISTY MEDIUM GREY:3-4:STRIPES:SS T-SHIRT</t>
  </si>
  <si>
    <t>66020100MCS SS HENLEY SPD FACE TAPE KTG KSPDCL79:MISTY MEDIUM GREY:4-5:STRIPES:SS T-SHIRT</t>
  </si>
  <si>
    <t>66020100MCS SS HENLEY SPD FACE TAPE KTG KSPDCL79:MISTY MEDIUM GREY:5-6:STRIPES:SS T-SHIRT</t>
  </si>
  <si>
    <t>66040100MCS SS HENLEY SPD FACE TAPE KTG KSPDCL79:MISTY MEDIUM GREY:7-8:STRIPES:SS T-SHIRT</t>
  </si>
  <si>
    <t>66040100MCS SS HENLEY SPD FACE TAPE KTG KSPDCL79:MISTY MEDIUM GREY:9-10:STRIPES:SS T-SHIRT</t>
  </si>
  <si>
    <t>66040100MCS SS HENLEY SPD FACE TAPE KTG KSPDCL79:MISTY MEDIUM GREY:11-12:STRIPES:SS T-SHIRT</t>
  </si>
  <si>
    <t>66060100MCS SS HENLEY SPD FACE TAPE KTG KSPDCL79:MISTY MEDIUM GREY:13-14:STRIPES:SS T-SHIRT</t>
  </si>
  <si>
    <t>66060100MCS SS HENLEY SPD FACE TAPE KTG KSPDCL79:MISTY MEDIUM GREY:15-16:STRIPES:SS T-SHIRT</t>
  </si>
  <si>
    <t>SPD-A14</t>
  </si>
  <si>
    <t>66020100MCS TS SPD HANGING MARBLE FRIENDLY NEIGHBORHOOD SPD-A14:MISTY MEDIUM KHAKI:3-4:PRINT:SS T-SH</t>
  </si>
  <si>
    <t>66020100MCS TS SPD HANGING MARBLE FRIENDLY NEIGHBORHOOD SPD-A14:MISTY MEDIUM KHAKI:4-5:PRINT:SS T-SH</t>
  </si>
  <si>
    <t>66020100MCS TS SPD HANGING MARBLE FRIENDLY NEIGHBORHOOD SPD-A14:MISTY MEDIUM KHAKI:5-6:PRINT:SS T-SH</t>
  </si>
  <si>
    <t>66040100MCS TS SPD HANGING MARBLE FRIENDLY NEIGHBORHOOD SPD-A14:MISTY MEDIUM KHAKI:7-8:PRINT:SS T-SH</t>
  </si>
  <si>
    <t>66040100MCS TS SPD HANGING MARBLE FRIENDLY NEIGHBORHOOD SPD-A14:MISTY MEDIUM KHAKI:9-10:PRINT:SS T-S</t>
  </si>
  <si>
    <t>66040100MCS TS SPD HANGING MARBLE FRIENDLY NEIGHBORHOOD SPD-A14:MISTY MEDIUM KHAKI:11-12:PRINT:SS T-</t>
  </si>
  <si>
    <t>66060100MCS TS SPD HANGING MARBLE FRIENDLY NEIGHBORHOOD SPD-A14:MISTY MEDIUM KHAKI:13-14:PRINT:SS T-</t>
  </si>
  <si>
    <t>66060100MCS TS SPD HANGING MARBLE FRIENDLY NEIGHBORHOOD SPD-A14:MISTY MEDIUM KHAKI:15-16:PRINT:SS T-</t>
  </si>
  <si>
    <t>A64</t>
  </si>
  <si>
    <t>66020100MCS TS SPD HANGING BACKGROUND KOTAK PAINT A64:MISTY MEDIUM BLUE:3-4:GRAPHIC:SS T-SHIRT</t>
  </si>
  <si>
    <t>66020100MCS TS SPD HANGING BACKGROUND KOTAK PAINT A64:MISTY MEDIUM BLUE:4-5:GRAPHIC:SS T-SHIRT</t>
  </si>
  <si>
    <t>66020100MCS TS SPD HANGING BACKGROUND KOTAK PAINT A64:MISTY MEDIUM BLUE:5-6:GRAPHIC:SS T-SHIRT</t>
  </si>
  <si>
    <t>66040100MCS TS SPD HANGING BACKGROUND KOTAK PAINT A64:MISTY MEDIUM BLUE:7-8:GRAPHIC:SS T-SHIRT</t>
  </si>
  <si>
    <t>66040100MCS TS SPD HANGING BACKGROUND KOTAK PAINT A64:MISTY MEDIUM BLUE:9-10:GRAPHIC:SS T-SHIRT</t>
  </si>
  <si>
    <t>66040100MCS TS SPD HANGING BACKGROUND KOTAK PAINT A64:MISTY MEDIUM BLUE:11-12:GRAPHIC:SS T-SHIRT</t>
  </si>
  <si>
    <t>N191</t>
  </si>
  <si>
    <t>66020100MCS TS SPD FACE DOUBLE KTG TEKSTUR N191:NAVY BLUE:3-4:GRAPHIC:SS T-SHIRT</t>
  </si>
  <si>
    <t>66020100MCS TS SPD FACE DOUBLE KTG TEKSTUR N191:NAVY BLUE:4-5:GRAPHIC:SS T-SHIRT</t>
  </si>
  <si>
    <t>66020100MCS TS SPD FACE DOUBLE KTG TEKSTUR N191:NAVY BLUE:5-6:GRAPHIC:SS T-SHIRT</t>
  </si>
  <si>
    <t>66040100MCS TS SPD FACE DOUBLE KTG TEKSTUR N191:NAVY BLUE:7-8:GRAPHIC:SS T-SHIRT</t>
  </si>
  <si>
    <t>66040100MCS TS SPD FACE DOUBLE KTG TEKSTUR N191:NAVY BLUE:9-10:GRAPHIC:SS T-SHIRT</t>
  </si>
  <si>
    <t>66040100MCS TS SPD FACE DOUBLE KTG TEKSTUR N191:NAVY BLUE:11-12:GRAPHIC:SS T-SHIRT</t>
  </si>
  <si>
    <t>66060100MCS TS SPD FACE DOUBLE KTG TEKSTUR N191:NAVY BLUE:13-14:GRAPHIC:SS T-SHIRT</t>
  </si>
  <si>
    <t>66060100MCS TS SPD FACE DOUBLE KTG TEKSTUR N191:NAVY BLUE:15-16:GRAPHIC:SS T-SHIRT</t>
  </si>
  <si>
    <t>TPAVGR33</t>
  </si>
  <si>
    <t>68040202OAV TOPI AVG LOGO CAPT AMRIK TPAVGR33:NAVY BLUE:F:GRAPHIC:CAPS</t>
  </si>
  <si>
    <t>TPAVG20</t>
  </si>
  <si>
    <t>68040202OAV TOPI AVG CAPT AMRIK TIEDYE TPAVG20:NAVY BLUE:F:GRAPHIC:CAPS</t>
  </si>
  <si>
    <t>TPAVG24</t>
  </si>
  <si>
    <t>68040202OAV TOPI AVG BORDIR PRINT TPAVG24:NAVY BLUE:F:GRAPHIC:CAPS</t>
  </si>
  <si>
    <t>TPAVG33</t>
  </si>
  <si>
    <t>68040202OAV TOPI AVG LOGO CAPT AMRIK TPAVG33:WHITE:F:PRINT:CAPS</t>
  </si>
  <si>
    <t>TPSPDR43</t>
  </si>
  <si>
    <t>68040202MCS TOPI SPD FP SPIDERMAN SINTONG SUEDE TPSPDR43:BLACK:F:PRINT:CAPS</t>
  </si>
  <si>
    <t>TPSPDR44</t>
  </si>
  <si>
    <t>68040202MCS TOPI SPD FACE SINTONG JARING SHADE LABA TPSPDR44:CLASSIC BLUE:F:GRAPHIC:CAPS</t>
  </si>
  <si>
    <t>KAVCL77</t>
  </si>
  <si>
    <t>66020100OAV JAKET AVG CUT SEWN TAPE KTG CARGO KAVCL77:BLACK:3-4:PRINT:JACKET</t>
  </si>
  <si>
    <t>66020100OAV JAKET AVG CUT SEWN TAPE KTG CARGO KAVCL77:BLACK:4-5:PRINT:JACKET</t>
  </si>
  <si>
    <t>66020100OAV JAKET AVG CUT SEWN TAPE KTG CARGO KAVCL77:BLACK:5-6:PRINT:JACKET</t>
  </si>
  <si>
    <t>66040100OAV JAKET AVG CUT SEWN TAPE KTG CARGO KAVCL77:BLACK:7-8:PRINT:JACKET</t>
  </si>
  <si>
    <t>66040100OAV JAKET AVG CUT SEWN TAPE KTG CARGO KAVCL77:BLACK:9-10:PRINT:JACKET</t>
  </si>
  <si>
    <t>66040100OAV JAKET AVG CUT SEWN TAPE KTG CARGO KAVCL77:BLACK:11-12:PRINT:JACKET</t>
  </si>
  <si>
    <t>66060100OAV JAKET AVG CUT SEWN TAPE KTG CARGO KAVCL77:BLACK:13-14:PRINT:JACKET</t>
  </si>
  <si>
    <t>66060100OAV JAKET AVG CUT SEWN TAPE KTG CARGO KAVCL77:BLACK:15-16:PRINT:JACKET</t>
  </si>
  <si>
    <t>HR5</t>
  </si>
  <si>
    <t>66020100MCS SWEATSHIRT SPD CUTSEWN JARING KTG HR5:BLACK:3-4:GRAPHIC:SWEATSHIRT</t>
  </si>
  <si>
    <t>66020100MCS SWEATSHIRT SPD CUTSEWN JARING KTG HR5:BLACK:4-5:GRAPHIC:SWEATSHIRT</t>
  </si>
  <si>
    <t>66020100MCS SWEATSHIRT SPD CUTSEWN JARING KTG HR5:BLACK:5-6:GRAPHIC:SWEATSHIRT</t>
  </si>
  <si>
    <t>66040100MCS SWEATSHIRT SPD CUTSEWN JARING KTG HR5:BLACK:7-8:GRAPHIC:SWEATSHIRT</t>
  </si>
  <si>
    <t>66040100MCS SWEATSHIRT SPD CUTSEWN JARING KTG HR5:BLACK:9-10:GRAPHIC:SWEATSHIRT</t>
  </si>
  <si>
    <t>66040100MCS SWEATSHIRT SPD CUTSEWN JARING KTG HR5:BLACK:11-12:GRAPHIC:SWEATSHIRT</t>
  </si>
  <si>
    <t>66060100MCS SWEATSHIRT SPD CUTSEWN JARING KTG HR5:BLACK:13-14:GRAPHIC:SWEATSHIRT</t>
  </si>
  <si>
    <t>66060100MCS SWEATSHIRT SPD CUTSEWN JARING KTG HR5:BLACK:15-16:GRAPHIC:SWEATSHIRT</t>
  </si>
  <si>
    <t>HR18</t>
  </si>
  <si>
    <t>66020100MCS SWEATER SPD HANGING CUTSEWN LGN KTG JARING HR18:MISTY LIGHT GREY:3-4:GRAPHIC:SWEATSHIRT</t>
  </si>
  <si>
    <t>66020100MCS SWEATER SPD HANGING CUTSEWN LGN KTG JARING HR18:MISTY LIGHT GREY:4-5:GRAPHIC:SWEATSHIRT</t>
  </si>
  <si>
    <t>66020100MCS SWEATER SPD HANGING CUTSEWN LGN KTG JARING HR18:MISTY LIGHT GREY:5-6:GRAPHIC:SWEATSHIRT</t>
  </si>
  <si>
    <t>66040100MCS SWEATER SPD HANGING CUTSEWN LGN KTG JARING HR18:MISTY LIGHT GREY:7-8:GRAPHIC:SWEATSHIRT</t>
  </si>
  <si>
    <t>66040100MCS SWEATER SPD HANGING CUTSEWN LGN KTG JARING HR18:MISTY LIGHT GREY:9-10:GRAPHIC:SWEATSHIRT</t>
  </si>
  <si>
    <t>66040100MCS SWEATER SPD HANGING CUTSEWN LGN KTG JARING HR18:MISTY LIGHT GREY:11-12:GRAPHIC:SWEATSHIR</t>
  </si>
  <si>
    <t>66060100MCS SWEATER SPD HANGING CUTSEWN LGN KTG JARING HR18:MISTY LIGHT GREY:13-14:GRAPHIC:SWEATSHIR</t>
  </si>
  <si>
    <t>66060100MCS SWEATER SPD HANGING CUTSEWN LGN KTG JARING HR18:MISTY LIGHT GREY:15-16:GRAPHIC:SWEATSHIR</t>
  </si>
  <si>
    <t>TPSTR14</t>
  </si>
  <si>
    <t>68040202SWS TOPI STARWARS BORDIR COMIC TPSTR14:NAVY BLUE:F:GRAPHIC:CAPS</t>
  </si>
  <si>
    <t>TPSTR15</t>
  </si>
  <si>
    <t>68040202SWS TOPI STARWARS FP SWATCH TPSTR15:BLACK:F:GRAPHIC:CAPS</t>
  </si>
  <si>
    <t>TSN3</t>
  </si>
  <si>
    <t>66020100TS SHIORT KNIT TOY STORY REX CUCUK  TSN3:MISTY LIGHT KHAKI:3-4:GRAPHIC:SHORT PANTS</t>
  </si>
  <si>
    <t>66020100TS SHIORT KNIT TOY STORY REX CUCUK  TSN3:MISTY LIGHT KHAKI:4-5:GRAPHIC:SHORT PANTS</t>
  </si>
  <si>
    <t>66020100TS SHIORT KNIT TOY STORY REX CUCUK  TSN3:MISTY LIGHT KHAKI:5-6:GRAPHIC:SHORT PANTS</t>
  </si>
  <si>
    <t>66020100TS SHIORT KNIT TOY STORY REX CUCUK  TSN3:MISTY LIGHT KHAKI:7-8:GRAPHIC:SHORT PANTS</t>
  </si>
  <si>
    <t>66020100TS SHIORT KNIT TOY STORY REX CUCUK  TSN3:MISTY LIGHT KHAKI:9-10:GRAPHIC:SHORT PANTS</t>
  </si>
  <si>
    <t>GNDN150</t>
  </si>
  <si>
    <t>SHORT PANTS 66020100CAR CP KNIT CARS 95 LIGHTNING CHECK GNDN150:BLACK:3-4:TEXT:SHORT PANTS</t>
  </si>
  <si>
    <t>SHORT PANTS 66020100CAR CP KNIT CARS 95 LIGHTNING CHECK GNDN150:BLACK:4-5:TEXT:SHORT PANTS</t>
  </si>
  <si>
    <t>SHORT PANTS 66020100CAR CP KNIT CARS 95 LIGHTNING CHECK GNDN150:BLACK:5-6:TEXT:SHORT PANTS</t>
  </si>
  <si>
    <t>SHORT PANTS 66020100CAR CP KNIT CARS 95 LIGHTNING CHECK GNDN150:BLACK:7-8:TEXT:SHORT PANTS</t>
  </si>
  <si>
    <t>SHORT PANTS 66020100CAR CP KNIT CARS 95 LIGHTNING CHECK GNDN150:BLACK:9-10:TEXT:SHORT PANTS</t>
  </si>
  <si>
    <t>N916</t>
  </si>
  <si>
    <t>66040100SWS CROP KMIT STARWARS DARK SIDE KTG PIPIMG N916:WHITE:5-6:GRAPHIC:SHORT PANTS</t>
  </si>
  <si>
    <t>66040100SWS CROP KMIT STARWARS DARK SIDE KTG PIPIMG N916:WHITE:7-8:GRAPHIC:SHORT PANTS</t>
  </si>
  <si>
    <t>66040100SWS CROP KMIT STARWARS DARK SIDE KTG PIPIMG N916:WHITE:9-10:GRAPHIC:SHORT PANTS</t>
  </si>
  <si>
    <t>66060100SWS CROP KMIT STARWARS DARK SIDE KTG PIPIMG N916:WHITE:11-12:GRAPHIC:SHORT PANTS</t>
  </si>
  <si>
    <t>66060100SWS CROP KMIT STARWARS DARK SIDE KTG PIPIMG N916:WHITE:13-14:GRAPHIC:SHORT PANTS</t>
  </si>
  <si>
    <t>66060100SWS CROP KMIT STARWARS DARK SIDE KTG PIPIMG N916:WHITE:15-16:GRAPHIC:SHORT PANTS</t>
  </si>
  <si>
    <t>TSTHR55</t>
  </si>
  <si>
    <t>66020100TS TS TOY STORY REX ROAR SOME LGN TSTHR55:PASTEL GREEN:3-4:GRAPHIC:SS T-SHIRT</t>
  </si>
  <si>
    <t>66020100TS TS TOY STORY REX ROAR SOME LGN TSTHR55:PASTEL GREEN:4-5:GRAPHIC:SS T-SHIRT</t>
  </si>
  <si>
    <t>66020100TS TS TOY STORY REX ROAR SOME LGN TSTHR55:PASTEL GREEN:5-6:GRAPHIC:SS T-SHIRT</t>
  </si>
  <si>
    <t>66020100TS TS TOY STORY REX ROAR SOME LGN TSTHR55:PASTEL GREEN:7-8:GRAPHIC:SS T-SHIRT</t>
  </si>
  <si>
    <t>66020100TS TS TOY STORY REX ROAR SOME LGN TSTHR55:PASTEL GREEN:9-10:GRAPHIC:SS T-SHIRT</t>
  </si>
  <si>
    <t>TSHR56</t>
  </si>
  <si>
    <t>66020100TS TS TOY STORY REX ROARRR TSHR56:MISTY LIGHT KHAKI:3-4:GRAPHIC:SS T-SHIRT</t>
  </si>
  <si>
    <t>66020100TS TS TOY STORY REX ROARRR TSHR56:MISTY LIGHT KHAKI:4-5:GRAPHIC:SS T-SHIRT</t>
  </si>
  <si>
    <t>66020100TS TS TOY STORY REX ROARRR TSHR56:MISTY LIGHT KHAKI:5-6:GRAPHIC:SS T-SHIRT</t>
  </si>
  <si>
    <t>66020100TS TS TOY STORY REX ROARRR TSHR56:MISTY LIGHT KHAKI:7-8:GRAPHIC:SS T-SHIRT</t>
  </si>
  <si>
    <t>66020100TS TS TOY STORY REX ROARRR TSHR56:MISTY LIGHT KHAKI:9-10:GRAPHIC:SS T-SHIRT</t>
  </si>
  <si>
    <t>N896</t>
  </si>
  <si>
    <t>66040100SWS TS STARWARS VADER I HAVE YOU NOW N896:BLACK:5-6:GRAPHIC:SS T-SHIRT</t>
  </si>
  <si>
    <t>66040100SWS TS STARWARS VADER I HAVE YOU NOW N896:BLACK:7-8:GRAPHIC:SS T-SHIRT</t>
  </si>
  <si>
    <t>66040100SWS TS STARWARS VADER I HAVE YOU NOW N896:BLACK:9-10:GRAPHIC:SS T-SHIRT</t>
  </si>
  <si>
    <t>66060100SWS TS STARWARS VADER I HAVE YOU NOW N896:BLACK:11-12:GRAPHIC:SS T-SHIRT</t>
  </si>
  <si>
    <t>66060100SWS TS STARWARS VADER I HAVE YOU NOW N896:BLACK:13-14:GRAPHIC:SS T-SHIRT</t>
  </si>
  <si>
    <t>66060100SWS TS STARWARS VADER I HAVE YOU NOW N896:BLACK:15-16:GRAPHIC:SS T-SHIRT</t>
  </si>
  <si>
    <t>N49</t>
  </si>
  <si>
    <t>66020100OAV SS HENLEY CAPT AMRIK STRIPE N49:WHITE:3-4:STRIPES:SS T-SHIRT</t>
  </si>
  <si>
    <t>66020100OAV SS HENLEY CAPT AMRIK STRIPE N49:WHITE:4-5:STRIPES:SS T-SHIRT</t>
  </si>
  <si>
    <t>66020100OAV SS HENLEY CAPT AMRIK STRIPE N49:WHITE:5-6:STRIPES:SS T-SHIRT</t>
  </si>
  <si>
    <t>66040100OAV SS HENLEY CAPT AMRIK STRIPE N49:WHITE:7-8:STRIPES:SS T-SHIRT</t>
  </si>
  <si>
    <t>66040100OAV SS HENLEY CAPT AMRIK STRIPE N49:WHITE:9-10:STRIPES:SS T-SHIRT</t>
  </si>
  <si>
    <t>66040100OAV SS HENLEY CAPT AMRIK STRIPE N49:WHITE:11-12:STRIPES:SS T-SHIRT</t>
  </si>
  <si>
    <t>66060100OAV SS HENLEY CAPT AMRIK STRIPE N49:WHITE:13-14:STRIPES:SS T-SHIRT</t>
  </si>
  <si>
    <t>66060100OAV SS HENLEY CAPT AMRIK STRIPE N49:WHITE:15-16:STRIPES:SS T-SHIRT</t>
  </si>
  <si>
    <t>A60</t>
  </si>
  <si>
    <t>66020100OAV TS AVG HULK FP A60:AQUA:3-4:PRINT:SS T-SHIRT</t>
  </si>
  <si>
    <t>66020100OAV TS AVG HULK FP A60:AQUA:4-5:PRINT:SS T-SHIRT</t>
  </si>
  <si>
    <t>66020100OAV TS AVG HULK FP A60:AQUA:5-6:PRINT:SS T-SHIRT</t>
  </si>
  <si>
    <t>66040100OAV TS AVG HULK FP A60:AQUA:7-8:PRINT:SS T-SHIRT</t>
  </si>
  <si>
    <t>66040100OAV TS AVG HULK FP A60:AQUA:9-10:PRINT:SS T-SHIRT</t>
  </si>
  <si>
    <t>66040100OAV TS AVG HULK FP A60:AQUA:11-12:PRINT:SS T-SHIRT</t>
  </si>
  <si>
    <t>66060100OAV TS AVG HULK FP A60:AQUA:13-14:PRINT:SS T-SHIRT</t>
  </si>
  <si>
    <t>66060100OAV TS AVG HULK FP A60:AQUA:15-16:PRINT:SS T-SHIRT</t>
  </si>
  <si>
    <t>GNAVG61</t>
  </si>
  <si>
    <t>66020100OAV TS AVG CUT SEWN STRIPE GNAVG61:WHITE:3-4:STRIPES:SS T-SHIRT</t>
  </si>
  <si>
    <t>66020100OAV TS AVG CUT SEWN STRIPE GNAVG61:WHITE:4-5:STRIPES:SS T-SHIRT</t>
  </si>
  <si>
    <t>66020100OAV TS AVG CUT SEWN STRIPE GNAVG61:WHITE:5-6:STRIPES:SS T-SHIRT</t>
  </si>
  <si>
    <t>66040100OAV TS AVG CUT SEWN STRIPE GNAVG61:WHITE:7-8:STRIPES:SS T-SHIRT</t>
  </si>
  <si>
    <t>66040100OAV TS AVG CUT SEWN STRIPE GNAVG61:WHITE:9-10:STRIPES:SS T-SHIRT</t>
  </si>
  <si>
    <t>66040100OAV TS AVG CUT SEWN STRIPE GNAVG61:WHITE:11-12:STRIPES:SS T-SHIRT</t>
  </si>
  <si>
    <t>66060100OAV TS AVG CUT SEWN STRIPE GNAVG61:WHITE:13-14:STRIPES:SS T-SHIRT</t>
  </si>
  <si>
    <t>66060100OAV TS AVG CUT SEWN STRIPE GNAVG61:WHITE:15-16:STRIPES:SS T-SHIRT</t>
  </si>
  <si>
    <t>GNAVG62</t>
  </si>
  <si>
    <t>66020100OAV TS AVG STRIPE KTG LGN RIB GNAVG62:WHITE:3-4:STRIPES:SS T-SHIRT</t>
  </si>
  <si>
    <t>66020100OAV TS AVG STRIPE KTG LGN RIB GNAVG62:WHITE:4-5:STRIPES:SS T-SHIRT</t>
  </si>
  <si>
    <t>66020100OAV TS AVG STRIPE KTG LGN RIB GNAVG62:WHITE:5-6:STRIPES:SS T-SHIRT</t>
  </si>
  <si>
    <t>66040100OAV TS AVG STRIPE KTG LGN RIB GNAVG62:WHITE:7-8:STRIPES:SS T-SHIRT</t>
  </si>
  <si>
    <t>66040100OAV TS AVG STRIPE KTG LGN RIB GNAVG62:WHITE:9-10:STRIPES:SS T-SHIRT</t>
  </si>
  <si>
    <t>66040100OAV TS AVG STRIPE KTG LGN RIB GNAVG62:WHITE:11-12:STRIPES:SS T-SHIRT</t>
  </si>
  <si>
    <t>66060100OAV TS AVG STRIPE KTG LGN RIB GNAVG62:WHITE:13-14:STRIPES:SS T-SHIRT</t>
  </si>
  <si>
    <t>66060100OAV TS AVG STRIPE KTG LGN RIB GNAVG62:WHITE:15-16:STRIPES:SS T-SHIRT</t>
  </si>
  <si>
    <t>HRT464</t>
  </si>
  <si>
    <t>66020100MCS TS SPD AMAZING BUILDING CRAWLING HRT464:NAVY BLUE:3-4:GRAPHIC:SS T-SHIRT</t>
  </si>
  <si>
    <t>66020100MCS TS SPD AMAZING BUILDING CRAWLING HRT464:NAVY BLUE:4-5:GRAPHIC:SS T-SHIRT</t>
  </si>
  <si>
    <t>66020100MCS TS SPD AMAZING BUILDING CRAWLING HRT464:NAVY BLUE:5-6:GRAPHIC:SS T-SHIRT</t>
  </si>
  <si>
    <t>66040100MCS TS SPD AMAZING BUILDING CRAWLING HRT464:NAVY BLUE:7-8:GRAPHIC:SS T-SHIRT</t>
  </si>
  <si>
    <t>66040100MCS TS SPD AMAZING BUILDING CRAWLING HRT464:NAVY BLUE:9-10:GRAPHIC:SS T-SHIRT</t>
  </si>
  <si>
    <t>66040100MCS TS SPD AMAZING BUILDING CRAWLING HRT464:NAVY BLUE:11-12:GRAPHIC:SS T-SHIRT</t>
  </si>
  <si>
    <t>66060100MCS TS SPD AMAZING BUILDING CRAWLING HRT464:NAVY BLUE:13-14:GRAPHIC:SS T-SHIRT</t>
  </si>
  <si>
    <t>66060100MCS TS SPD AMAZING BUILDING CRAWLING HRT464:NAVY BLUE:15-16:GRAPHIC:SS T-SHIRT</t>
  </si>
  <si>
    <t>AVGT11</t>
  </si>
  <si>
    <t>66020100OAV TS AVG MARVEL CHAR BULAT APL FP AVGT11:CLASSIC RED:3-4:PRINT:SS T-SHIRT</t>
  </si>
  <si>
    <t>66020100OAV TS AVG MARVEL CHAR BULAT APL FP AVGT11:CLASSIC RED:4-5:PRINT:SS T-SHIRT</t>
  </si>
  <si>
    <t>66020100OAV TS AVG MARVEL CHAR BULAT APL FP AVGT11:CLASSIC RED:5-6:PRINT:SS T-SHIRT</t>
  </si>
  <si>
    <t>66040100OAV TS AVG MARVEL CHAR BULAT APL FP AVGT11:CLASSIC RED:7-8:PRINT:SS T-SHIRT</t>
  </si>
  <si>
    <t>66040100OAV TS AVG MARVEL CHAR BULAT APL FP AVGT11:CLASSIC RED:9-10:PRINT:SS T-SHIRT</t>
  </si>
  <si>
    <t>66040100OAV TS AVG MARVEL CHAR BULAT APL FP AVGT11:CLASSIC RED:11-12:PRINT:SS T-SHIRT</t>
  </si>
  <si>
    <t>66060100OAV TS AVG MARVEL CHAR BULAT APL FP AVGT11:CLASSIC RED:13-14:PRINT:SS T-SHIRT</t>
  </si>
  <si>
    <t>66060100OAV TS AVG MARVEL CHAR BULAT APL FP AVGT11:CLASSIC RED:15-16:PRINT:SS T-SHIRT</t>
  </si>
  <si>
    <t>N969</t>
  </si>
  <si>
    <t>66020100OAV TS AVG TEAM DIAGONAL SPLASH N969:MISTY DARK BLUE:3-4:PRINT:SS T-SHIRT</t>
  </si>
  <si>
    <t>66020100OAV TS AVG TEAM DIAGONAL SPLASH N969:MISTY DARK BLUE:4-5:PRINT:SS T-SHIRT</t>
  </si>
  <si>
    <t>66020100OAV TS AVG TEAM DIAGONAL SPLASH N969:MISTY DARK BLUE:5-6:PRINT:SS T-SHIRT</t>
  </si>
  <si>
    <t>66040100OAV TS AVG TEAM DIAGONAL SPLASH N969:MISTY DARK BLUE:7-8:PRINT:SS T-SHIRT</t>
  </si>
  <si>
    <t>66040100OAV TS AVG TEAM DIAGONAL SPLASH N969:MISTY DARK BLUE:9-10:PRINT:SS T-SHIRT</t>
  </si>
  <si>
    <t>66040100OAV TS AVG TEAM DIAGONAL SPLASH N969:MISTY DARK BLUE:11-12:PRINT:SS T-SHIRT</t>
  </si>
  <si>
    <t>66060100OAV TS AVG TEAM DIAGONAL SPLASH N969:MISTY DARK BLUE:13-14:PRINT:SS T-SHIRT</t>
  </si>
  <si>
    <t>66060100OAV TS AVG TEAM DIAGONAL SPLASH N969:MISTY DARK BLUE:15-16:PRINT:SS T-SHIRT</t>
  </si>
  <si>
    <t>N24</t>
  </si>
  <si>
    <t>660201000AV TS AVG THOR IRON CAPT HULK ANIME FP N24:MISTY MEDIUM KHAKI:3-4:PRINT:SS T-SHIRT</t>
  </si>
  <si>
    <t>660201000AV TS AVG THOR IRON CAPT HULK ANIME FP N24:MISTY MEDIUM KHAKI:4-5:PRINT:SS T-SHIRT</t>
  </si>
  <si>
    <t>660201000AV TS AVG THOR IRON CAPT HULK ANIME FP N24:MISTY MEDIUM KHAKI:5-6:PRINT:SS T-SHIRT</t>
  </si>
  <si>
    <t>660401000AV TS AVG THOR IRON CAPT HULK ANIME FP N24:MISTY MEDIUM KHAKI:7-8:PRINT:SS T-SHIRT</t>
  </si>
  <si>
    <t>660401000AV TS AVG THOR IRON CAPT HULK ANIME FP N24:MISTY MEDIUM KHAKI:9-10:PRINT:SS T-SHIRT</t>
  </si>
  <si>
    <t>660401000AV TS AVG THOR IRON CAPT HULK ANIME FP N24:MISTY MEDIUM KHAKI:11-12:PRINT:SS T-SHIRT</t>
  </si>
  <si>
    <t>660601000AV TS AVG THOR IRON CAPT HULK ANIME FP N24:MISTY MEDIUM KHAKI:13-14:PRINT:SS T-SHIRT</t>
  </si>
  <si>
    <t>660601000AV TS AVG THOR IRON CAPT HULK ANIME FP N24:MISTY MEDIUM KHAKI:15-16:PRINT:SS T-SHIRT</t>
  </si>
  <si>
    <t>AT498</t>
  </si>
  <si>
    <t>66040100OAV TS AVG CHARACTER NAME FP AT498:NAVY BLUE:5-6:PRINT:SS T-SHIRT</t>
  </si>
  <si>
    <t>66040100OAV TS AVG CHARACTER NAME FP AT498:NAVY BLUE:7-8:PRINT:SS T-SHIRT</t>
  </si>
  <si>
    <t>66040100OAV TS AVG CHARACTER NAME FP AT498:NAVY BLUE:9-10:PRINT:SS T-SHIRT</t>
  </si>
  <si>
    <t>66060100OAV TS AVG CHARACTER NAME FP AT498:NAVY BLUE:11-12:PRINT:SS T-SHIRT</t>
  </si>
  <si>
    <t>66060100OAV TS AVG CHARACTER NAME FP AT498:NAVY BLUE:13-14:PRINT:SS T-SHIRT</t>
  </si>
  <si>
    <t>66060100OAV TS AVG CHARACTER NAME FP AT498:NAVY BLUE:15-16:PRINT:SS T-SHIRT</t>
  </si>
  <si>
    <t>GNAVG72</t>
  </si>
  <si>
    <t>66020100OAV TS AVG CAPT HULK IRON HULK PHOTO GNAVG72:PASTEL GREEN:3-4:GRAPHIC:SS T-SHIRT</t>
  </si>
  <si>
    <t>66020100OAV TS AVG CAPT HULK IRON HULK PHOTO GNAVG72:PASTEL GREEN:4-5:GRAPHIC:SS T-SHIRT</t>
  </si>
  <si>
    <t>66020100OAV TS AVG CAPT HULK IRON HULK PHOTO GNAVG72:PASTEL GREEN:5-6:GRAPHIC:SS T-SHIRT</t>
  </si>
  <si>
    <t>66040100OAV TS AVG CAPT HULK IRON HULK PHOTO GNAVG72:PASTEL GREEN:7-8:GRAPHIC:SS T-SHIRT</t>
  </si>
  <si>
    <t>66040100OAV TS AVG CAPT HULK IRON HULK PHOTO GNAVG72:PASTEL GREEN:9-10:GRAPHIC:SS T-SHIRT</t>
  </si>
  <si>
    <t>66040100OAV TS AVG CAPT HULK IRON HULK PHOTO GNAVG72:PASTEL GREEN:11-12:GRAPHIC:SS T-SHIRT</t>
  </si>
  <si>
    <t>66060100OAV TS AVG CAPT HULK IRON HULK PHOTO GNAVG72:PASTEL GREEN:13-14:GRAPHIC:SS T-SHIRT</t>
  </si>
  <si>
    <t>66060100OAV TS AVG CAPT HULK IRON HULK PHOTO GNAVG72:PASTEL GREEN:15-16:GRAPHIC:SS T-SHIRT</t>
  </si>
  <si>
    <t>A100</t>
  </si>
  <si>
    <t>66020100MCS TS SPD JUMP PROTECTOR PAINT A100:MISTY MEDIUM KHAKI:3-4:GRAPHIC:SS T-SHIRT</t>
  </si>
  <si>
    <t>66020100MCS TS SPD JUMP PROTECTOR PAINT A100:MISTY MEDIUM KHAKI:4-5:GRAPHIC:SS T-SHIRT</t>
  </si>
  <si>
    <t>66020100MCS TS SPD JUMP PROTECTOR PAINT A100:MISTY MEDIUM KHAKI:5-6:GRAPHIC:SS T-SHIRT</t>
  </si>
  <si>
    <t>66040100MCS TS SPD JUMP PROTECTOR PAINT A100:MISTY MEDIUM KHAKI:7-8:GRAPHIC:SS T-SHIRT</t>
  </si>
  <si>
    <t>66040100MCS TS SPD JUMP PROTECTOR PAINT A100:MISTY MEDIUM KHAKI:9-10:GRAPHIC:SS T-SHIRT</t>
  </si>
  <si>
    <t>66040100MCS TS SPD JUMP PROTECTOR PAINT A100:MISTY MEDIUM KHAKI:11-12:GRAPHIC:SS T-SHIRT</t>
  </si>
  <si>
    <t>TPMRC11</t>
  </si>
  <si>
    <t>68040202OAV TOPI MARVEL COMICS GROUP FP TPMRC11:NAVY BLUE:F:PRINT:CAPS</t>
  </si>
  <si>
    <t>TPAVGR37</t>
  </si>
  <si>
    <t>68040202OAV TOPI AVG CAPT AMRIK LOGO FP SPLASH TPAVGR37:NAVY BLUE:F:PRINT:CAPS</t>
  </si>
  <si>
    <t>TPSPDR40</t>
  </si>
  <si>
    <t>68040202MCS TOPI SPD FP DOODLE SINTONG LOGO TPSPDR40:BLACK:F:PRINT:CAPS</t>
  </si>
  <si>
    <t>N789</t>
  </si>
  <si>
    <t>66020100MCS CP KNIT SPD TO THE RESCUE CUTSEWN DIAGONAL N789:NAVY BLUE:3-4:GRAPHIC:SHORT PANTS</t>
  </si>
  <si>
    <t>66020100MCS CP KNIT SPD TO THE RESCUE CUTSEWN DIAGONAL N789:NAVY BLUE:4-5:GRAPHIC:SHORT PANTS</t>
  </si>
  <si>
    <t>66020100MCS CP KNIT SPD TO THE RESCUE CUTSEWN DIAGONAL N789:NAVY BLUE:5-6:GRAPHIC:SHORT PANTS</t>
  </si>
  <si>
    <t>66040100MCS CP KNIT SPD TO THE RESCUE CUTSEWN DIAGONAL N789:NAVY BLUE:7-8:GRAPHIC:SHORT PANTS</t>
  </si>
  <si>
    <t>66040100MCS CP KNIT SPD TO THE RESCUE CUTSEWN DIAGONAL N789:NAVY BLUE:9-10:GRAPHIC:SHORT PANTS</t>
  </si>
  <si>
    <t>66040100MCS CP KNIT SPD TO THE RESCUE CUTSEWN DIAGONAL N789:NAVY BLUE:11-12:GRAPHIC:SHORT PANTS</t>
  </si>
  <si>
    <t>66060100MCS CP KNIT SPD TO THE RESCUE CUTSEWN DIAGONAL N789:NAVY BLUE:13-14:GRAPHIC:SHORT PANTS</t>
  </si>
  <si>
    <t>66060100MCS CP KNIT SPD TO THE RESCUE CUTSEWN DIAGONAL N789:NAVY BLUE:15-16:GRAPHIC:SHORT PANTS</t>
  </si>
  <si>
    <t>TPSTR12</t>
  </si>
  <si>
    <t>68040202SWS TOPI STARWARS GRADASI TPSTR12:BLACK:F:GRAPHIC:CAPS</t>
  </si>
  <si>
    <t>GNAVG69</t>
  </si>
  <si>
    <t>66020100OAV SWEATER AVG MARVEL EMBOSS GNAVG69:LIGHT GREY:3-4:PRINT:SWEATER</t>
  </si>
  <si>
    <t>66020100OAV SWEATER AVG MARVEL EMBOSS GNAVG69:LIGHT GREY:4-5:PRINT:SWEATER</t>
  </si>
  <si>
    <t>66020100OAV SWEATER AVG MARVEL EMBOSS GNAVG69:LIGHT GREY:5-6:PRINT:SWEATER</t>
  </si>
  <si>
    <t>66040100OAV SWEATER AVG MARVEL EMBOSS GNAVG69:LIGHT GREY:7-8:PRINT:SWEATER</t>
  </si>
  <si>
    <t>66040100OAV SWEATER AVG MARVEL EMBOSS GNAVG69:LIGHT GREY:9-10:PRINT:SWEATER</t>
  </si>
  <si>
    <t>66040100OAV SWEATER AVG MARVEL EMBOSS GNAVG69:LIGHT GREY:11-12:PRINT:SWEATER</t>
  </si>
  <si>
    <t>66060100OAV SWEATER AVG MARVEL EMBOSS GNAVG69:LIGHT GREY:13-14:PRINT:SWEATER</t>
  </si>
  <si>
    <t>66060100OAV SWEATER AVG MARVEL EMBOSS GNAVG69:LIGHT GREY:15-16:PRINT:SWEATER</t>
  </si>
  <si>
    <t>N005</t>
  </si>
  <si>
    <t>66020100MCS TS SPD LOGO FACE LABA N005:MISTY MEDIUM KHAKI:3-4:GRAPHIC:SS T-SHIRT</t>
  </si>
  <si>
    <t>66020100MCS TS SPD LOGO FACE LABA N005:MISTY MEDIUM KHAKI:4-5:GRAPHIC:SS T-SHIRT</t>
  </si>
  <si>
    <t>66020100MCS TS SPD LOGO FACE LABA N005:MISTY MEDIUM KHAKI:5-6:GRAPHIC:SS T-SHIRT</t>
  </si>
  <si>
    <t>66040100MCS TS SPD LOGO FACE LABA N005:MISTY MEDIUM KHAKI:7-8:GRAPHIC:SS T-SHIRT</t>
  </si>
  <si>
    <t>66040100MCS TS SPD LOGO FACE LABA N005:MISTY MEDIUM KHAKI:9-10:GRAPHIC:SS T-SHIRT</t>
  </si>
  <si>
    <t>66040100MCS TS SPD LOGO FACE LABA N005:MISTY MEDIUM KHAKI:11-12:GRAPHIC:SS T-SHIRT</t>
  </si>
  <si>
    <t>66060100MCS TS SPD LOGO FACE LABA N005:MISTY MEDIUM KHAKI:13-14:GRAPHIC:SS T-SHIRT</t>
  </si>
  <si>
    <t>66060100MCS TS SPD LOGO FACE LABA N005:MISTY MEDIUM KHAKI:15-16:GRAPHIC:SS T-SHIRT</t>
  </si>
  <si>
    <t>KAVCL68</t>
  </si>
  <si>
    <t>66020100MCS TS AVG TIEDYE STRIPE KTG CAPT AMRIK KAVCL68:CLASSIC BLUE:3-4:STRIPES:SS T-SHIRT</t>
  </si>
  <si>
    <t>66020100MCS TS AVG TIEDYE STRIPE KTG CAPT AMRIK KAVCL68:CLASSIC BLUE:4-5:STRIPES:SS T-SHIRT</t>
  </si>
  <si>
    <t>66020100MCS TS AVG TIEDYE STRIPE KTG CAPT AMRIK KAVCL68:CLASSIC BLUE:5-6:STRIPES:SS T-SHIRT</t>
  </si>
  <si>
    <t>66040100MCS TS AVG TIEDYE STRIPE KTG CAPT AMRIK KAVCL68:CLASSIC BLUE:7-8:STRIPES:SS T-SHIRT</t>
  </si>
  <si>
    <t>66040100MCS TS AVG TIEDYE STRIPE KTG CAPT AMRIK KAVCL68:CLASSIC BLUE:9-10:STRIPES:SS T-SHIRT</t>
  </si>
  <si>
    <t>66040100MCS TS AVG TIEDYE STRIPE KTG CAPT AMRIK KAVCL68:CLASSIC BLUE:11-12:STRIPES:SS T-SHIRT</t>
  </si>
  <si>
    <t>66060100MCS TS AVG TIEDYE STRIPE KTG CAPT AMRIK KAVCL68:CLASSIC BLUE:13-14:STRIPES:SS T-SHIRT</t>
  </si>
  <si>
    <t>66060100MCS TS AVG TIEDYE STRIPE KTG CAPT AMRIK KAVCL68:CLASSIC BLUE:15-16:STRIPES:SS T-SHIRT</t>
  </si>
  <si>
    <t>GNAVG66</t>
  </si>
  <si>
    <t>66020100OAV LP KNIT AVG LIPIT CARGO GNAVG66:BLACK:3-4:SOLID:LONG PANTS</t>
  </si>
  <si>
    <t>66020100OAV LP KNIT AVG LIPIT CARGO GNAVG66:BLACK:4-5:SOLID:LONG PANTS</t>
  </si>
  <si>
    <t>66020100OAV LP KNIT AVG LIPIT CARGO GNAVG66:BLACK:5-6:SOLID:LONG PANTS</t>
  </si>
  <si>
    <t>66040100OAV LP KNIT AVG LIPIT CARGO GNAVG66:BLACK:7-8:SOLID:LONG PANTS</t>
  </si>
  <si>
    <t>66040100OAV LP KNIT AVG LIPIT CARGO GNAVG66:BLACK:9-10:SOLID:LONG PANTS</t>
  </si>
  <si>
    <t>66040100OAV LP KNIT AVG LIPIT CARGO GNAVG66:BLACK:11-12:SOLID:LONG PANTS</t>
  </si>
  <si>
    <t>66060100OAV LP KNIT AVG LIPIT CARGO GNAVG66:BLACK:13-14:SOLID:LONG PANTS</t>
  </si>
  <si>
    <t>66060100OAV LP KNIT AVG LIPIT CARGO GNAVG66:BLACK:15-16:SOLID:LONG PANTS</t>
  </si>
  <si>
    <t>HRT11</t>
  </si>
  <si>
    <t>66020100OAV TS BPN LONG LIVE THE KING SPLASH HRT11:BLACK:3-4:GRAPHIC:SS T-SHIRT</t>
  </si>
  <si>
    <t>66020100OAV TS BPN LONG LIVE THE KING SPLASH HRT11:BLACK:4-5:GRAPHIC:SS T-SHIRT</t>
  </si>
  <si>
    <t>66020100OAV TS BPN LONG LIVE THE KING SPLASH HRT11:BLACK:5-6:GRAPHIC:SS T-SHIRT</t>
  </si>
  <si>
    <t>66040100OAV TS BPN LONG LIVE THE KING SPLASH HRT11:BLACK:7-8:GRAPHIC:SS T-SHIRT</t>
  </si>
  <si>
    <t>66040100OAV TS BPN LONG LIVE THE KING SPLASH HRT11:BLACK:9-10:GRAPHIC:SS T-SHIRT</t>
  </si>
  <si>
    <t>66040100OAV TS BPN LONG LIVE THE KING SPLASH HRT11:BLACK:11-12:GRAPHIC:SS T-SHIRT</t>
  </si>
  <si>
    <t>66060100OAV TS BPN LONG LIVE THE KING SPLASH HRT11:BLACK:13-14:GRAPHIC:SS T-SHIRT</t>
  </si>
  <si>
    <t>66060100OAV TS BPN LONG LIVE THE KING SPLASH HRT11:BLACK:15-16:GRAPHIC:SS T-SHIRT</t>
  </si>
  <si>
    <t>A677</t>
  </si>
  <si>
    <t>66020100OAV TS AVG CAPT AMRIK RUN FP TIEDYE A677:CLASSIC BLUE:3-4:PRINT:SS T-SHIRT</t>
  </si>
  <si>
    <t>66020100OAV TS AVG CAPT AMRIK RUN FP TIEDYE A677:CLASSIC BLUE:4-5:PRINT:SS T-SHIRT</t>
  </si>
  <si>
    <t>66020100OAV TS AVG CAPT AMRIK RUN FP TIEDYE A677:CLASSIC BLUE:5-6:PRINT:SS T-SHIRT</t>
  </si>
  <si>
    <t>66040100OAV TS AVG CAPT AMRIK RUN FP TIEDYE A677:CLASSIC BLUE:7-8:PRINT:SS T-SHIRT</t>
  </si>
  <si>
    <t>66040100OAV TS AVG CAPT AMRIK RUN FP TIEDYE A677:CLASSIC BLUE:9-10:PRINT:SS T-SHIRT</t>
  </si>
  <si>
    <t>66040100OAV TS AVG CAPT AMRIK RUN FP TIEDYE A677:CLASSIC BLUE:11-12:PRINT:SS T-SHIRT</t>
  </si>
  <si>
    <t>66060100OAV TS AVG CAPT AMRIK RUN FP TIEDYE A677:CLASSIC BLUE:13-14:PRINT:SS T-SHIRT</t>
  </si>
  <si>
    <t>66060100OAV TS AVG CAPT AMRIK RUN FP TIEDYE A677:CLASSIC BLUE:15-16:PRINT:SS T-SHIRT</t>
  </si>
  <si>
    <t>AVGAT12</t>
  </si>
  <si>
    <t>66020100OAV TS AVG SUPER HERO HULK IRON CAPT FP SPLASH AVGAT12:NAVY BLUE:3-4:PRINT:SS T-SHIRT</t>
  </si>
  <si>
    <t>66020100OAV TS AVG SUPER HERO HULK IRON CAPT FP SPLASH AVGAT12:NAVY BLUE:4-5:PRINT:SS T-SHIRT</t>
  </si>
  <si>
    <t>66020100OAV TS AVG SUPER HERO HULK IRON CAPT FP SPLASH AVGAT12:NAVY BLUE:5-6:PRINT:SS T-SHIRT</t>
  </si>
  <si>
    <t>66040100OAV TS AVG SUPER HERO HULK IRON CAPT FP SPLASH AVGAT12:NAVY BLUE:7-8:PRINT:SS T-SHIRT</t>
  </si>
  <si>
    <t>66040100OAV TS AVG SUPER HERO HULK IRON CAPT FP SPLASH AVGAT12:NAVY BLUE:9-10:PRINT:SS T-SHIRT</t>
  </si>
  <si>
    <t>66040100OAV TS AVG SUPER HERO HULK IRON CAPT FP SPLASH AVGAT12:NAVY BLUE:11-12:PRINT:SS T-SHIRT</t>
  </si>
  <si>
    <t>66060100OAV TS AVG SUPER HERO HULK IRON CAPT FP SPLASH AVGAT12:NAVY BLUE:13-14:PRINT:SS T-SHIRT</t>
  </si>
  <si>
    <t>66060100OAV TS AVG SUPER HERO HULK IRON CAPT FP SPLASH AVGAT12:NAVY BLUE:15-16:PRINT:SS T-SHIRT</t>
  </si>
  <si>
    <t>NT30</t>
  </si>
  <si>
    <t>66020100OAV TS AVG THOR IRON CAPT HULK WANDA ANIME DOTS NT30:CLASSIC RED:3-4:GRAPHIC:SS T-SHIRT</t>
  </si>
  <si>
    <t>66020100OAV TS AVG THOR IRON CAPT HULK WANDA ANIME DOTS NT30:CLASSIC RED:4-5:GRAPHIC:SS T-SHIRT</t>
  </si>
  <si>
    <t>66020100OAV TS AVG THOR IRON CAPT HULK WANDA ANIME DOTS NT30:CLASSIC RED:5-6:GRAPHIC:SS T-SHIRT</t>
  </si>
  <si>
    <t>66040100OAV TS AVG THOR IRON CAPT HULK WANDA ANIME DOTS NT30:CLASSIC RED:7-8:GRAPHIC:SS T-SHIRT</t>
  </si>
  <si>
    <t>66040100OAV TS AVG THOR IRON CAPT HULK WANDA ANIME DOTS NT30:CLASSIC RED:9-10:GRAPHIC:SS T-SHIRT</t>
  </si>
  <si>
    <t>66040100OAV TS AVG THOR IRON CAPT HULK WANDA ANIME DOTS NT30:CLASSIC RED:11-12:GRAPHIC:SS T-SHIRT</t>
  </si>
  <si>
    <t>GNSPD29</t>
  </si>
  <si>
    <t>66020100MCS TS HENLEY SPD STRIPE KTG GNSPD29:NAVY BLUE:3-4:STRIPES:SS T-SHIRT</t>
  </si>
  <si>
    <t>66020100MCS TS HENLEY SPD STRIPE KTG GNSPD29:NAVY BLUE:4-5:STRIPES:SS T-SHIRT</t>
  </si>
  <si>
    <t>66020100MCS TS HENLEY SPD STRIPE KTG GNSPD29:NAVY BLUE:5-6:STRIPES:SS T-SHIRT</t>
  </si>
  <si>
    <t>66040100MCS TS HENLEY SPD STRIPE KTG GNSPD29:NAVY BLUE:7-8:STRIPES:SS T-SHIRT</t>
  </si>
  <si>
    <t>66040100MCS TS HENLEY SPD STRIPE KTG GNSPD29:NAVY BLUE:9-10:STRIPES:SS T-SHIRT</t>
  </si>
  <si>
    <t>66040100MCS TS HENLEY SPD STRIPE KTG GNSPD29:NAVY BLUE:11-12:STRIPES:SS T-SHIRT</t>
  </si>
  <si>
    <t>66060100MCS TS HENLEY SPD STRIPE KTG GNSPD29:NAVY BLUE:13-14:STRIPES:SS T-SHIRT</t>
  </si>
  <si>
    <t>66060100MCS TS HENLEY SPD STRIPE KTG GNSPD29:NAVY BLUE:15-16:STRIPES:SS T-SHIRT</t>
  </si>
  <si>
    <t>TPSPDR53</t>
  </si>
  <si>
    <t>68040202MCS TOPI SPD JARING EYE HOLO TPSPDR53:BLACK:F:PRINT:CAPS</t>
  </si>
  <si>
    <t>GNAVG63</t>
  </si>
  <si>
    <t>66020100OAV JACKET VARSITY AVG STRIPE LOGO CHENILLE GNAVG63:WHITE:3-4:STRIPES:JACKET</t>
  </si>
  <si>
    <t>66020100OAV JACKET VARSITY AVG STRIPE LOGO CHENILLE GNAVG63:WHITE:4-5:STRIPES:JACKET</t>
  </si>
  <si>
    <t>66020100OAV JACKET VARSITY AVG STRIPE LOGO CHENILLE GNAVG63:WHITE:5-6:STRIPES:JACKET</t>
  </si>
  <si>
    <t>66040100OAV JACKET VARSITY AVG STRIPE LOGO CHENILLE GNAVG63:WHITE:7-8:STRIPES:JACKET</t>
  </si>
  <si>
    <t>66040100OAV JACKET VARSITY AVG STRIPE LOGO CHENILLE GNAVG63:WHITE:9-10:STRIPES:JACKET</t>
  </si>
  <si>
    <t>66040100OAV JACKET VARSITY AVG STRIPE LOGO CHENILLE GNAVG63:WHITE:11-12:STRIPES:JACKET</t>
  </si>
  <si>
    <t>66060100OAV JACKET VARSITY AVG STRIPE LOGO CHENILLE GNAVG63:WHITE:13-14:STRIPES:JACKET</t>
  </si>
  <si>
    <t>66060100OAV JACKET VARSITY AVG STRIPE LOGO CHENILLE GNAVG63:WHITE:15-16:STRIPES:JACKET</t>
  </si>
  <si>
    <t>SPK0011</t>
  </si>
  <si>
    <t>66020100MCS CP KNIT SPD KTG MESH TALI STOPPER SPK0011:NAVY BLUE:3-4:GRAPHIC:SHORT PANTS</t>
  </si>
  <si>
    <t>66020100MCS CP KNIT SPD KTG MESH TALI STOPPER SPK0011:NAVY BLUE:4-5:GRAPHIC:SHORT PANTS</t>
  </si>
  <si>
    <t>66020100MCS CP KNIT SPD KTG MESH TALI STOPPER SPK0011:NAVY BLUE:5-6:GRAPHIC:SHORT PANTS</t>
  </si>
  <si>
    <t>66040100MCS CP KNIT SPD KTG MESH TALI STOPPER SPK0011:NAVY BLUE:7-8:GRAPHIC:SHORT PANTS</t>
  </si>
  <si>
    <t>66040100MCS CP KNIT SPD KTG MESH TALI STOPPER SPK0011:NAVY BLUE:9-10:GRAPHIC:SHORT PANTS</t>
  </si>
  <si>
    <t>66040100MCS CP KNIT SPD KTG MESH TALI STOPPER SPK0011:NAVY BLUE:11-12:GRAPHIC:SHORT PANTS</t>
  </si>
  <si>
    <t>66060100MCS CP KNIT SPD KTG MESH TALI STOPPER SPK0011:NAVY BLUE:13-14:GRAPHIC:SHORT PANTS</t>
  </si>
  <si>
    <t>66060100MCS CP KNIT SPD KTG MESH TALI STOPPER SPK0011:NAVY BLUE:15-16:GRAPHIC:SHORT PANTS</t>
  </si>
  <si>
    <t>N893</t>
  </si>
  <si>
    <t>66040100SWS TS STARWARS STROMTROOPER DOUBLE KTG ZIPPER TEKSTUR N893:MISTY MEDIUM GREY:5-6:TEXTURE:SS</t>
  </si>
  <si>
    <t>66040100SWS TS STARWARS STROMTROOPER DOUBLE KTG ZIPPER TEKSTUR N893:MISTY MEDIUM GREY:7-8:TEXTURE:SS</t>
  </si>
  <si>
    <t>66040100SWS TS STARWARS STROMTROOPER DOUBLE KTG ZIPPER TEKSTUR N893:MISTY MEDIUM GREY:9-10:TEXTURE:S</t>
  </si>
  <si>
    <t>66060100SWS TS STARWARS STROMTROOPER DOUBLE KTG ZIPPER TEKSTUR N893:MISTY MEDIUM GREY:11-12:TEXTURE:</t>
  </si>
  <si>
    <t>66060100SWS TS STARWARS STROMTROOPER DOUBLE KTG ZIPPER TEKSTUR N893:MISTY MEDIUM GREY:13-14:TEXTURE:</t>
  </si>
  <si>
    <t>66060100SWS TS STARWARS STROMTROOPER DOUBLE KTG ZIPPER TEKSTUR N893:MISTY MEDIUM GREY:15-16:TEXTURE:</t>
  </si>
  <si>
    <t>HR23</t>
  </si>
  <si>
    <t>66020100OAV TS AVG CAPT AMRIK BNW SHIELD CUTSEWN MARBLE HR23:WHITE:3-4:GRAPHIC:SS T-SHIRT</t>
  </si>
  <si>
    <t>66020100OAV TS AVG CAPT AMRIK BNW SHIELD CUTSEWN MARBLE HR23:WHITE:4-5:GRAPHIC:SS T-SHIRT</t>
  </si>
  <si>
    <t>66020100OAV TS AVG CAPT AMRIK BNW SHIELD CUTSEWN MARBLE HR23:WHITE:5-6:GRAPHIC:SS T-SHIRT</t>
  </si>
  <si>
    <t>66040100OAV TS AVG CAPT AMRIK BNW SHIELD CUTSEWN MARBLE HR23:WHITE:7-8:GRAPHIC:SS T-SHIRT</t>
  </si>
  <si>
    <t>66040100OAV TS AVG CAPT AMRIK BNW SHIELD CUTSEWN MARBLE HR23:WHITE:9-10:GRAPHIC:SS T-SHIRT</t>
  </si>
  <si>
    <t>66040100OAV TS AVG CAPT AMRIK BNW SHIELD CUTSEWN MARBLE HR23:WHITE:11-12:GRAPHIC:SS T-SHIRT</t>
  </si>
  <si>
    <t>66060100OAV TS AVG CAPT AMRIK BNW SHIELD CUTSEWN MARBLE HR23:WHITE:13-14:GRAPHIC:SS T-SHIRT</t>
  </si>
  <si>
    <t>66060100OAV TS AVG CAPT AMRIK BNW SHIELD CUTSEWN MARBLE HR23:WHITE:15-16:GRAPHIC:SS T-SHIRT</t>
  </si>
  <si>
    <t>HR270</t>
  </si>
  <si>
    <t>66020100OAV TS ACG CAPT AMRIK BNW CUT SEWN KOMB LGN HR270:MISTY MEDIUM BLUE:3-4:PRINT:SS T-SHIRT</t>
  </si>
  <si>
    <t>66020100OAV TS ACG CAPT AMRIK BNW CUT SEWN KOMB LGN HR270:MISTY MEDIUM BLUE:4-5:PRINT:SS T-SHIRT</t>
  </si>
  <si>
    <t>66020100OAV TS ACG CAPT AMRIK BNW CUT SEWN KOMB LGN HR270:MISTY MEDIUM BLUE:5-6:PRINT:SS T-SHIRT</t>
  </si>
  <si>
    <t>66040100OAV TS ACG CAPT AMRIK BNW CUT SEWN KOMB LGN HR270:MISTY MEDIUM BLUE:7-8:PRINT:SS T-SHIRT</t>
  </si>
  <si>
    <t>66040100OAV TS ACG CAPT AMRIK BNW CUT SEWN KOMB LGN HR270:MISTY MEDIUM BLUE:9-10:PRINT:SS T-SHIRT</t>
  </si>
  <si>
    <t>66040100OAV TS ACG CAPT AMRIK BNW CUT SEWN KOMB LGN HR270:MISTY MEDIUM BLUE:11-12:PRINT:SS T-SHIRT</t>
  </si>
  <si>
    <t>66060100OAV TS ACG CAPT AMRIK BNW CUT SEWN KOMB LGN HR270:MISTY MEDIUM BLUE:13-14:PRINT:SS T-SHIRT</t>
  </si>
  <si>
    <t>66060100OAV TS ACG CAPT AMRIK BNW CUT SEWN KOMB LGN HR270:MISTY MEDIUM BLUE:15-16:PRINT:SS T-SHIRT</t>
  </si>
  <si>
    <t>N915</t>
  </si>
  <si>
    <t>66040100SWS LP KNIT STARWARS VADER TAPE KTG DEPAN DOUBLE N915:BLACK:5-6:GRAPHIC:LONG PANTS</t>
  </si>
  <si>
    <t>66040100SWS LP KNIT STARWARS VADER TAPE KTG DEPAN DOUBLE N915:BLACK:7-8:GRAPHIC:LONG PANTS</t>
  </si>
  <si>
    <t>66040100SWS LP KNIT STARWARS VADER TAPE KTG DEPAN DOUBLE N915:BLACK:9-10:GRAPHIC:LONG PANTS</t>
  </si>
  <si>
    <t>66060100SWS LP KNIT STARWARS VADER TAPE KTG DEPAN DOUBLE N915:BLACK:11-12:GRAPHIC:LONG PANTS</t>
  </si>
  <si>
    <t>66060100SWS LP KNIT STARWARS VADER TAPE KTG DEPAN DOUBLE N915:BLACK:13-14:GRAPHIC:LONG PANTS</t>
  </si>
  <si>
    <t>66060100SWS LP KNIT STARWARS VADER TAPE KTG DEPAN DOUBLE N915:BLACK:15-16:GRAPHIC:LONG PANTS</t>
  </si>
  <si>
    <t>KAVCL81</t>
  </si>
  <si>
    <t>66020100OAV CP KNIT AVG KTG KARGO GANTUNGAN KAVCL81:BLACK:3-4:PRINT:SHORT PANTS</t>
  </si>
  <si>
    <t>66020100OAV CP KNIT AVG KTG KARGO GANTUNGAN KAVCL81:BLACK:4-5:PRINT:SHORT PANTS</t>
  </si>
  <si>
    <t>66020100OAV CP KNIT AVG KTG KARGO GANTUNGAN KAVCL81:BLACK:5-6:PRINT:SHORT PANTS</t>
  </si>
  <si>
    <t>66040100OAV CP KNIT AVG KTG KARGO GANTUNGAN KAVCL81:BLACK:7-8:PRINT:SHORT PANTS</t>
  </si>
  <si>
    <t>66040100OAV CP KNIT AVG KTG KARGO GANTUNGAN KAVCL81:BLACK:9-10:PRINT:SHORT PANTS</t>
  </si>
  <si>
    <t>66040100OAV CP KNIT AVG KTG KARGO GANTUNGAN KAVCL81:BLACK:11-12:PRINT:SHORT PANTS</t>
  </si>
  <si>
    <t>66060100OAV CP KNIT AVG KTG KARGO GANTUNGAN KAVCL81:BLACK:13-14:PRINT:SHORT PANTS</t>
  </si>
  <si>
    <t>66060100OAV CP KNIT AVG KTG KARGO GANTUNGAN KAVCL81:BLACK:15-16:PRINT:SHORT PANTS</t>
  </si>
  <si>
    <t>GNSPD30</t>
  </si>
  <si>
    <t>66020100OAV SWEATSHIRT SPD FACE KOMB LGN JARING GNSPD30:BLACK:3-4:GRAPHIC:SWEATSHIRT</t>
  </si>
  <si>
    <t>66020100OAV SWEATSHIRT SPD FACE KOMB LGN JARING GNSPD30:BLACK:4-5:GRAPHIC:SWEATSHIRT</t>
  </si>
  <si>
    <t>66020100OAV SWEATSHIRT SPD FACE KOMB LGN JARING GNSPD30:BLACK:5-6:GRAPHIC:SWEATSHIRT</t>
  </si>
  <si>
    <t>66040100OAV SWEATSHIRT SPD FACE KOMB LGN JARING GNSPD30:BLACK:7-8:GRAPHIC:SWEATSHIRT</t>
  </si>
  <si>
    <t>66040100OAV SWEATSHIRT SPD FACE KOMB LGN JARING GNSPD30:BLACK:9-10:GRAPHIC:SWEATSHIRT</t>
  </si>
  <si>
    <t>66040100OAV SWEATSHIRT SPD FACE KOMB LGN JARING GNSPD30:BLACK:11-12:GRAPHIC:SWEATSHIRT</t>
  </si>
  <si>
    <t>GNAVG77</t>
  </si>
  <si>
    <t>66020100OAV TS AVG STRIPE LOGO PATCH GNAVG77:PASTEL GREEN:3-4:STRIPES:SS T-SHIRT</t>
  </si>
  <si>
    <t>66020100OAV TS AVG STRIPE LOGO PATCH GNAVG77:PASTEL GREEN:4-5:STRIPES:SS T-SHIRT</t>
  </si>
  <si>
    <t>66020100OAV TS AVG STRIPE LOGO PATCH GNAVG77:PASTEL GREEN:5-6:STRIPES:SS T-SHIRT</t>
  </si>
  <si>
    <t>66040100OAV TS AVG STRIPE LOGO PATCH GNAVG77:PASTEL GREEN:7-8:STRIPES:SS T-SHIRT</t>
  </si>
  <si>
    <t>66040100OAV TS AVG STRIPE LOGO PATCH GNAVG77:PASTEL GREEN:9-10:STRIPES:SS T-SHIRT</t>
  </si>
  <si>
    <t>66040100OAV TS AVG STRIPE LOGO PATCH GNAVG77:PASTEL GREEN:11-12:STRIPES:SS T-SHIRT</t>
  </si>
  <si>
    <t>66060100OAV TS AVG STRIPE LOGO PATCH GNAVG77:PASTEL GREEN:13-14:STRIPES:SS T-SHIRT</t>
  </si>
  <si>
    <t>66060100OAV TS AVG STRIPE LOGO PATCH GNAVG77:PASTEL GREEN:15-16:STRIPES:SS T-SHIRT</t>
  </si>
  <si>
    <t>GNSPD36</t>
  </si>
  <si>
    <t>66020100MCS TS SPD STRIPE KEPALA PATCH GNSPD36:BROWN SUGAR:3-4:STRIPES:SS T-SHIRT</t>
  </si>
  <si>
    <t>66020100MCS TS SPD STRIPE KEPALA PATCH GNSPD36:BROWN SUGAR:4-5:STRIPES:SS T-SHIRT</t>
  </si>
  <si>
    <t>66020100MCS TS SPD STRIPE KEPALA PATCH GNSPD36:BROWN SUGAR:5-6:STRIPES:SS T-SHIRT</t>
  </si>
  <si>
    <t>66040100MCS TS SPD STRIPE KEPALA PATCH GNSPD36:BROWN SUGAR:7-8:STRIPES:SS T-SHIRT</t>
  </si>
  <si>
    <t>66040100MCS TS SPD STRIPE KEPALA PATCH GNSPD36:BROWN SUGAR:9-10:STRIPES:SS T-SHIRT</t>
  </si>
  <si>
    <t>66040100MCS TS SPD STRIPE KEPALA PATCH GNSPD36:BROWN SUGAR:11-12:STRIPES:SS T-SHIRT</t>
  </si>
  <si>
    <t>66060100MCS TS SPD STRIPE KEPALA PATCH GNSPD36:BROWN SUGAR:13-14:STRIPES:SS T-SHIRT</t>
  </si>
  <si>
    <t>66060100MCS TS SPD STRIPE KEPALA PATCH GNSPD36:BROWN SUGAR:15-16:STRIPES:SS T-SHIRT</t>
  </si>
  <si>
    <t>HRT24</t>
  </si>
  <si>
    <t>66020100OAV TS AVG CAPT AMRIK BNW FP MARBLE LGN INTIP HRT24:NAVY BLUE:3-4:PRINT:SS T-SHIRT</t>
  </si>
  <si>
    <t>66020100OAV TS AVG CAPT AMRIK BNW FP MARBLE LGN INTIP HRT24:NAVY BLUE:4-5:PRINT:SS T-SHIRT</t>
  </si>
  <si>
    <t>66020100OAV TS AVG CAPT AMRIK BNW FP MARBLE LGN INTIP HRT24:NAVY BLUE:5-6:PRINT:SS T-SHIRT</t>
  </si>
  <si>
    <t>66040100OAV TS AVG CAPT AMRIK BNW FP MARBLE LGN INTIP HRT24:NAVY BLUE:7-8:PRINT:SS T-SHIRT</t>
  </si>
  <si>
    <t>66040100OAV TS AVG CAPT AMRIK BNW FP MARBLE LGN INTIP HRT24:NAVY BLUE:9-10:PRINT:SS T-SHIRT</t>
  </si>
  <si>
    <t>66040100OAV TS AVG CAPT AMRIK BNW FP MARBLE LGN INTIP HRT24:NAVY BLUE:11-12:PRINT:SS T-SHIRT</t>
  </si>
  <si>
    <t>66060100OAV TS AVG CAPT AMRIK BNW FP MARBLE LGN INTIP HRT24:NAVY BLUE:13-14:PRINT:SS T-SHIRT</t>
  </si>
  <si>
    <t>66060100OAV TS AVG CAPT AMRIK BNW FP MARBLE LGN INTIP HRT24:NAVY BLUE:15-16:PRINT:SS T-SHIRT</t>
  </si>
  <si>
    <t>A140</t>
  </si>
  <si>
    <t>66020100OAV SS HENLEY AVG CAPT AMRIK KTG KOMB A140:NAVY BLUE:3-4:GRAPHIC:SS T-SHIRT</t>
  </si>
  <si>
    <t>66020100OAV SS HENLEY AVG CAPT AMRIK KTG KOMB A140:NAVY BLUE:4-5:GRAPHIC:SS T-SHIRT</t>
  </si>
  <si>
    <t>66020100OAV SS HENLEY AVG CAPT AMRIK KTG KOMB A140:NAVY BLUE:5-6:GRAPHIC:SS T-SHIRT</t>
  </si>
  <si>
    <t>66040100OAV SS HENLEY AVG CAPT AMRIK KTG KOMB A140:NAVY BLUE:7-8:GRAPHIC:SS T-SHIRT</t>
  </si>
  <si>
    <t>66040100OAV SS HENLEY AVG CAPT AMRIK KTG KOMB A140:NAVY BLUE:9-10:GRAPHIC:SS T-SHIRT</t>
  </si>
  <si>
    <t>66040100OAV SS HENLEY AVG CAPT AMRIK KTG KOMB A140:NAVY BLUE:11-12:GRAPHIC:SS T-SHIRT</t>
  </si>
  <si>
    <t>66060100OAV SS HENLEY AVG CAPT AMRIK KTG KOMB A140:NAVY BLUE:13-14:GRAPHIC:SS T-SHIRT</t>
  </si>
  <si>
    <t>66060100OAV SS HENLEY AVG CAPT AMRIK KTG KOMB A140:NAVY BLUE:15-16:GRAPHIC:SS T-SHIRT</t>
  </si>
  <si>
    <t>GNAVG76</t>
  </si>
  <si>
    <t>66020100OAV TS AVG STRIPE LOGO CAPT AMRIK PATCH GNAVG76:PASTEL BLUE:3-4:STRIPES:SS T-SHIRT</t>
  </si>
  <si>
    <t>66020100OAV TS AVG STRIPE LOGO CAPT AMRIK PATCH GNAVG76:PASTEL BLUE:4-5:STRIPES:SS T-SHIRT</t>
  </si>
  <si>
    <t>66020100OAV TS AVG STRIPE LOGO CAPT AMRIK PATCH GNAVG76:PASTEL BLUE:5-6:STRIPES:SS T-SHIRT</t>
  </si>
  <si>
    <t>66040100OAV TS AVG STRIPE LOGO CAPT AMRIK PATCH GNAVG76:PASTEL BLUE:7-8:STRIPES:SS T-SHIRT</t>
  </si>
  <si>
    <t>66040100OAV TS AVG STRIPE LOGO CAPT AMRIK PATCH GNAVG76:PASTEL BLUE:9-10:STRIPES:SS T-SHIRT</t>
  </si>
  <si>
    <t>66040100OAV TS AVG STRIPE LOGO CAPT AMRIK PATCH GNAVG76:PASTEL BLUE:11-12:STRIPES:SS T-SHIRT</t>
  </si>
  <si>
    <t>66060100OAV TS AVG STRIPE LOGO CAPT AMRIK PATCH GNAVG76:PASTEL BLUE:13-14:STRIPES:SS T-SHIRT</t>
  </si>
  <si>
    <t>66060100OAV TS AVG STRIPE LOGO CAPT AMRIK PATCH GNAVG76:PASTEL BLUE:15-16:STRIPES:SS T-SHIRT</t>
  </si>
  <si>
    <t>CARA32</t>
  </si>
  <si>
    <t>66020100CAR LP KNIT CARS MC QUEEN CHECK KTG KARGO CARA32:NAVY BLUE:3-4:GRAPHIC:LONG PANTS</t>
  </si>
  <si>
    <t>66020100CAR LP KNIT CARS MC QUEEN CHECK KTG KARGO CARA32:NAVY BLUE:4-5:GRAPHIC:LONG PANTS</t>
  </si>
  <si>
    <t>66020100CAR LP KNIT CARS MC QUEEN CHECK KTG KARGO CARA32:NAVY BLUE:5-6:GRAPHIC:LONG PANTS</t>
  </si>
  <si>
    <t>66020100CAR LP KNIT CARS MC QUEEN CHECK KTG KARGO CARA32:NAVY BLUE:7-8:GRAPHIC:LONG PANTS</t>
  </si>
  <si>
    <t>66020100CAR LP KNIT CARS MC QUEEN CHECK KTG KARGO CARA32:NAVY BLUE:9-10:GRAPHIC:LONG PANTS</t>
  </si>
  <si>
    <t>HR29</t>
  </si>
  <si>
    <t>660201000AV LP KNIT AVG CAPT AMRIK BNW KTG DPN SAMPING HR29:NAVY BLUE:3-4:GRAPHIC:LONG PANTS</t>
  </si>
  <si>
    <t>660201000AV LP KNIT AVG CAPT AMRIK BNW KTG DPN SAMPING HR29:NAVY BLUE:4-5:GRAPHIC:LONG PANTS</t>
  </si>
  <si>
    <t>660201000AV LP KNIT AVG CAPT AMRIK BNW KTG DPN SAMPING HR29:NAVY BLUE:5-6:GRAPHIC:LONG PANTS</t>
  </si>
  <si>
    <t>660401000AV LP KNIT AVG CAPT AMRIK BNW KTG DPN SAMPING HR29:NAVY BLUE:7-8:GRAPHIC:LONG PANTS</t>
  </si>
  <si>
    <t>660401000AV LP KNIT AVG CAPT AMRIK BNW KTG DPN SAMPING HR29:NAVY BLUE:9-10:GRAPHIC:LONG PANTS</t>
  </si>
  <si>
    <t>660401000AV LP KNIT AVG CAPT AMRIK BNW KTG DPN SAMPING HR29:NAVY BLUE:11-12:GRAPHIC:LONG PANTS</t>
  </si>
  <si>
    <t>660601000AV LP KNIT AVG CAPT AMRIK BNW KTG DPN SAMPING HR29:NAVY BLUE:13-14:GRAPHIC:LONG PANTS</t>
  </si>
  <si>
    <t>660601000AV LP KNIT AVG CAPT AMRIK BNW KTG DPN SAMPING HR29:NAVY BLUE:15-16:GRAPHIC:LONG PANTS</t>
  </si>
  <si>
    <t>N67</t>
  </si>
  <si>
    <t>660201000AV SWEATSHIRT AVG LOGO HALF FP TIE DYE EMBOSS N67:BLACK:3-4:PRINT:SWEATSHIRT</t>
  </si>
  <si>
    <t>660201000AV SWEATSHIRT AVG LOGO HALF FP TIE DYE EMBOSS N67:BLACK:4-5:PRINT:SWEATSHIRT</t>
  </si>
  <si>
    <t>660201000AV SWEATSHIRT AVG LOGO HALF FP TIE DYE EMBOSS N67:BLACK:5-6:PRINT:SWEATSHIRT</t>
  </si>
  <si>
    <t>660401000AV SWEATSHIRT AVG LOGO HALF FP TIE DYE EMBOSS N67:BLACK:7-8:PRINT:SWEATSHIRT</t>
  </si>
  <si>
    <t>660401000AV SWEATSHIRT AVG LOGO HALF FP TIE DYE EMBOSS N67:BLACK:9-10:PRINT:SWEATSHIRT</t>
  </si>
  <si>
    <t>660401000AV SWEATSHIRT AVG LOGO HALF FP TIE DYE EMBOSS N67:BLACK:11-12:PRINT:SWEATSHIRT</t>
  </si>
  <si>
    <t>660601000AV SWEATSHIRT AVG LOGO HALF FP TIE DYE EMBOSS N67:BLACK:13-14:PRINT:SWEATSHIRT</t>
  </si>
  <si>
    <t>660601000AV SWEATSHIRT AVG LOGO HALF FP TIE DYE EMBOSS N67:BLACK:15-16:PRINT:SWEATSHIRT</t>
  </si>
  <si>
    <t>HR9</t>
  </si>
  <si>
    <t>66020100MCS TS SPD JARING PROTECTOR OF NY KOMB LGN HR9:NAVY BLUE:3-4:GRAPHIC:SS T-SHIRT</t>
  </si>
  <si>
    <t>66020100MCS TS SPD JARING PROTECTOR OF NY KOMB LGN HR9:NAVY BLUE:4-5:GRAPHIC:SS T-SHIRT</t>
  </si>
  <si>
    <t>66020100MCS TS SPD JARING PROTECTOR OF NY KOMB LGN HR9:NAVY BLUE:5-6:GRAPHIC:SS T-SHIRT</t>
  </si>
  <si>
    <t>66040100MCS TS SPD JARING PROTECTOR OF NY KOMB LGN HR9:NAVY BLUE:7-8:GRAPHIC:SS T-SHIRT</t>
  </si>
  <si>
    <t>66040100MCS TS SPD JARING PROTECTOR OF NY KOMB LGN HR9:NAVY BLUE:9-10:GRAPHIC:SS T-SHIRT</t>
  </si>
  <si>
    <t>66040100MCS TS SPD JARING PROTECTOR OF NY KOMB LGN HR9:NAVY BLUE:11-12:GRAPHIC:SS T-SHIRT</t>
  </si>
  <si>
    <t>66060100MCS TS SPD JARING PROTECTOR OF NY KOMB LGN HR9:NAVY BLUE:13-14:GRAPHIC:SS T-SHIRT</t>
  </si>
  <si>
    <t>66060100MCS TS SPD JARING PROTECTOR OF NY KOMB LGN HR9:NAVY BLUE:15-16:GRAPHIC:SS T-SHIRT</t>
  </si>
  <si>
    <t>HRT438</t>
  </si>
  <si>
    <t>66040100MCS TS SPD CUTSEWN PIPING HRT438:BLACK:5-6:GRAPHIC:SS T-SHIRT</t>
  </si>
  <si>
    <t>66040100MCS TS SPD CUTSEWN PIPING HRT438:BLACK:7-8:GRAPHIC:SS T-SHIRT</t>
  </si>
  <si>
    <t>66040100MCS TS SPD CUTSEWN PIPING HRT438:BLACK:9-10:GRAPHIC:SS T-SHIRT</t>
  </si>
  <si>
    <t>66060100MCS TS SPD CUTSEWN PIPING HRT438:BLACK:11-12:GRAPHIC:SS T-SHIRT</t>
  </si>
  <si>
    <t>66060100MCS TS SPD CUTSEWN PIPING HRT438:BLACK:13-14:GRAPHIC:SS T-SHIRT</t>
  </si>
  <si>
    <t>66060100MCS TS SPD CUTSEWN PIPING HRT438:BLACK:15-16:GRAPHIC:SS T-SHIRT</t>
  </si>
  <si>
    <t>HR71</t>
  </si>
  <si>
    <t>66040100MCS TS SPD FACE CUTSEWN LIST HR71:WHITE:5-6:GRAPHIC:SS T-SHIRT</t>
  </si>
  <si>
    <t>66040100MCS TS SPD FACE CUTSEWN LIST HR71:WHITE:7-8:GRAPHIC:SS T-SHIRT</t>
  </si>
  <si>
    <t>66040100MCS TS SPD FACE CUTSEWN LIST HR71:WHITE:9-10:GRAPHIC:SS T-SHIRT</t>
  </si>
  <si>
    <t>66060100MCS TS SPD FACE CUTSEWN LIST HR71:WHITE:11-12:GRAPHIC:SS T-SHIRT</t>
  </si>
  <si>
    <t>66060100MCS TS SPD FACE CUTSEWN LIST HR71:WHITE:13-14:GRAPHIC:SS T-SHIRT</t>
  </si>
  <si>
    <t>66060100MCS TS SPD FACE CUTSEWN LIST HR71:WHITE:15-16:GRAPHIC:SS T-SHIRT</t>
  </si>
  <si>
    <t>N939</t>
  </si>
  <si>
    <t>66020100MCS CP KNIT SPD AMAZING CUTSEWN JARING KTG SAMPING N939:MISTY MEDIUM GREY:3-4:GRAPHIC:SHORT</t>
  </si>
  <si>
    <t>66020100MCS CP KNIT SPD AMAZING CUTSEWN JARING KTG SAMPING N939:MISTY MEDIUM GREY:4-5:GRAPHIC:SHORT</t>
  </si>
  <si>
    <t>66020100MCS CP KNIT SPD AMAZING CUTSEWN JARING KTG SAMPING N939:MISTY MEDIUM GREY:5-6:GRAPHIC:SHORT</t>
  </si>
  <si>
    <t>66040100MCS CP KNIT SPD AMAZING CUTSEWN JARING KTG SAMPING N939:MISTY MEDIUM GREY:7-8:GRAPHIC:SHORT</t>
  </si>
  <si>
    <t>66040100MCS CP KNIT SPD AMAZING CUTSEWN JARING KTG SAMPING N939:MISTY MEDIUM GREY:9-10:GRAPHIC:SHORT</t>
  </si>
  <si>
    <t>66040100MCS CP KNIT SPD AMAZING CUTSEWN JARING KTG SAMPING N939:MISTY MEDIUM GREY:11-12:GRAPHIC:SHOR</t>
  </si>
  <si>
    <t>66060100MCS CP KNIT SPD AMAZING CUTSEWN JARING KTG SAMPING N939:MISTY MEDIUM GREY:13-14:GRAPHIC:SHOR</t>
  </si>
  <si>
    <t>66060100MCS CP KNIT SPD AMAZING CUTSEWN JARING KTG SAMPING N939:MISTY MEDIUM GREY:15-16:GRAPHIC:SHOR</t>
  </si>
  <si>
    <t>GNDN17</t>
  </si>
  <si>
    <t>66040100STC TS STITCH OUTLINE FULL BODY GNDN17:WHITE:5-6:GRAPHIC:SS T-SHIRT</t>
  </si>
  <si>
    <t>66040100STC TS STITCH OUTLINE FULL BODY GNDN17:WHITE:7-8:GRAPHIC:SS T-SHIRT</t>
  </si>
  <si>
    <t>66040100STC TS STITCH OUTLINE FULL BODY GNDN17:WHITE:9-10:GRAPHIC:SS T-SHIRT</t>
  </si>
  <si>
    <t>66060100STC TS STITCH OUTLINE FULL BODY GNDN17:WHITE:11-12:GRAPHIC:SS T-SHIRT</t>
  </si>
  <si>
    <t>66060100STC TS STITCH OUTLINE FULL BODY GNDN17:WHITE:13-14:GRAPHIC:SS T-SHIRT</t>
  </si>
  <si>
    <t>66060100STC TS STITCH OUTLINE FULL BODY GNDN17:WHITE:15-16:GRAPHIC:SS T-SHIRT</t>
  </si>
  <si>
    <t>GNDN18</t>
  </si>
  <si>
    <t>66040100STC TS STITCH HIT THE WAVES BACK GNDN18:LIGHT BLUE:5-6:GRAPHIC:SS T-SHIRT</t>
  </si>
  <si>
    <t>66040100STC TS STITCH HIT THE WAVES BACK GNDN18:LIGHT BLUE:7-8:GRAPHIC:SS T-SHIRT</t>
  </si>
  <si>
    <t>66040100STC TS STITCH HIT THE WAVES BACK GNDN18:LIGHT BLUE:9-10:GRAPHIC:SS T-SHIRT</t>
  </si>
  <si>
    <t>66060100STC TS STITCH HIT THE WAVES BACK GNDN18:LIGHT BLUE:11-12:GRAPHIC:SS T-SHIRT</t>
  </si>
  <si>
    <t>66060100STC TS STITCH HIT THE WAVES BACK GNDN18:LIGHT BLUE:13-14:GRAPHIC:SS T-SHIRT</t>
  </si>
  <si>
    <t>66060100STC TS STITCH HIT THE WAVES BACK GNDN18:LIGHT BLUE:15-16:GRAPHIC:SS T-SHIRT</t>
  </si>
  <si>
    <t>GNDN20</t>
  </si>
  <si>
    <t>66040100STC TS STITCH OUTLINE FP GNDN20:WHITE:5-6:PRINT:SS T-SHIRT</t>
  </si>
  <si>
    <t>66040100STC TS STITCH OUTLINE FP GNDN20:WHITE:7-8:PRINT:SS T-SHIRT</t>
  </si>
  <si>
    <t>66040100STC TS STITCH OUTLINE FP GNDN20:WHITE:9-10:PRINT:SS T-SHIRT</t>
  </si>
  <si>
    <t>66060100STC TS STITCH OUTLINE FP GNDN20:WHITE:11-12:PRINT:SS T-SHIRT</t>
  </si>
  <si>
    <t>66060100STC TS STITCH OUTLINE FP GNDN20:WHITE:13-14:PRINT:SS T-SHIRT</t>
  </si>
  <si>
    <t>66060100STC TS STITCH OUTLINE FP GNDN20:WHITE:15-16:PRINT:SS T-SHIRT</t>
  </si>
  <si>
    <t>GNDN11</t>
  </si>
  <si>
    <t>66040100STC TS STITCH JUST CHILL SUN GNDN11:PASTEL GREEN:5-6:GRAPHIC:SS T-SHIRT</t>
  </si>
  <si>
    <t>66040100STC TS STITCH JUST CHILL SUN GNDN11:PASTEL GREEN:7-8:GRAPHIC:SS T-SHIRT</t>
  </si>
  <si>
    <t>66040100STC TS STITCH JUST CHILL SUN GNDN11:PASTEL GREEN:9-10:GRAPHIC:SS T-SHIRT</t>
  </si>
  <si>
    <t>66060100STC TS STITCH JUST CHILL SUN GNDN11:PASTEL GREEN:11-12:GRAPHIC:SS T-SHIRT</t>
  </si>
  <si>
    <t>66060100STC TS STITCH JUST CHILL SUN GNDN11:PASTEL GREEN:13-14:GRAPHIC:SS T-SHIRT</t>
  </si>
  <si>
    <t>66060100STC TS STITCH JUST CHILL SUN GNDN11:PASTEL GREEN:15-16:GRAPHIC:SS T-SHIRT</t>
  </si>
  <si>
    <t>GNDN19</t>
  </si>
  <si>
    <t>66040100STC TS STITCH SIT COSMIC GNDN19:PASTEL GREEN:5-6:GRAPHIC:SS T-SHIRT</t>
  </si>
  <si>
    <t>66040100STC TS STITCH SIT COSMIC GNDN19:PASTEL GREEN:7-8:GRAPHIC:SS T-SHIRT</t>
  </si>
  <si>
    <t>66040100STC TS STITCH SIT COSMIC GNDN19:PASTEL GREEN:9-10:GRAPHIC:SS T-SHIRT</t>
  </si>
  <si>
    <t>66060100STC TS STITCH SIT COSMIC GNDN19:PASTEL GREEN:11-12:GRAPHIC:SS T-SHIRT</t>
  </si>
  <si>
    <t>66060100STC TS STITCH SIT COSMIC GNDN19:PASTEL GREEN:13-14:GRAPHIC:SS T-SHIRT</t>
  </si>
  <si>
    <t>66060100STC TS STITCH SIT COSMIC GNDN19:PASTEL GREEN:15-16:GRAPHIC:SS T-SHIRT</t>
  </si>
  <si>
    <t>GNDN21</t>
  </si>
  <si>
    <t>66040100STC TS STITCH VACATION MODE RELAX BACK GNDN21:NAVY BLUE:5-6:GRAPHIC:SS T-SHIRT</t>
  </si>
  <si>
    <t>66040100STC TS STITCH VACATION MODE RELAX BACK GNDN21:NAVY BLUE:7-8:GRAPHIC:SS T-SHIRT</t>
  </si>
  <si>
    <t>66040100STC TS STITCH VACATION MODE RELAX BACK GNDN21:NAVY BLUE:9-10:GRAPHIC:SS T-SHIRT</t>
  </si>
  <si>
    <t>66060100STC TS STITCH VACATION MODE RELAX BACK GNDN21:NAVY BLUE:11-12:GRAPHIC:SS T-SHIRT</t>
  </si>
  <si>
    <t>66060100STC TS STITCH VACATION MODE RELAX BACK GNDN21:NAVY BLUE:13-14:GRAPHIC:SS T-SHIRT</t>
  </si>
  <si>
    <t>66060100STC TS STITCH VACATION MODE RELAX BACK GNDN21:NAVY BLUE:15-16:GRAPHIC:SS T-SHIRT</t>
  </si>
  <si>
    <t>GNDN22</t>
  </si>
  <si>
    <t>66040100STC SWEATSHIRT STITCH THATS ME GNDN22:NAVY BLUE:5-6:GRAPHIC:SWEATSHIRT</t>
  </si>
  <si>
    <t>66040100STC SWEATSHIRT STITCH THATS ME GNDN22:NAVY BLUE:7-8:GRAPHIC:SWEATSHIRT</t>
  </si>
  <si>
    <t>66040100STC SWEATSHIRT STITCH THATS ME GNDN22:NAVY BLUE:9-10:GRAPHIC:SWEATSHIRT</t>
  </si>
  <si>
    <t>66060100STC SWEATSHIRT STITCH THATS ME GNDN22:NAVY BLUE:11-12:GRAPHIC:SWEATSHIRT</t>
  </si>
  <si>
    <t>66060100STC SWEATSHIRT STITCH THATS ME GNDN22:NAVY BLUE:13-14:GRAPHIC:SWEATSHIRT</t>
  </si>
  <si>
    <t>66060100STC SWEATSHIRT STITCH THATS ME GNDN22:NAVY BLUE:15-16:GRAPHIC:SWEATSHIRT</t>
  </si>
  <si>
    <t>GNDN23</t>
  </si>
  <si>
    <t>66040100STC TS STITCH KTG KARGO GNDN23:NAVY BLUE:5-6:GRAPHIC:SHORT PANTS</t>
  </si>
  <si>
    <t>66040100STC TS STITCH KTG KARGO GNDN23:NAVY BLUE:7-8:GRAPHIC:SHORT PANTS</t>
  </si>
  <si>
    <t>66040100STC TS STITCH KTG KARGO GNDN23:NAVY BLUE:9-10:GRAPHIC:SHORT PANTS</t>
  </si>
  <si>
    <t>66060100STC TS STITCH KTG KARGO GNDN23:NAVY BLUE:11-12:GRAPHIC:SHORT PANTS</t>
  </si>
  <si>
    <t>66060100STC TS STITCH KTG KARGO GNDN23:NAVY BLUE:13-14:GRAPHIC:SHORT PANTS</t>
  </si>
  <si>
    <t>66060100STC TS STITCH KTG KARGO GNDN23:NAVY BLUE:15-16:GRAPHIC:SHORT PANTS</t>
  </si>
  <si>
    <t>HRT53</t>
  </si>
  <si>
    <t>66020100OAV TS AVG LOGO HALF EMBRO MARBLE EMBOSS HRT53:CLASSIC BLUE:3-4:GRAPHIC:SS T-SHIRT</t>
  </si>
  <si>
    <t>66020100OAV TS AVG LOGO HALF EMBRO MARBLE EMBOSS HRT53:CLASSIC BLUE:4-5:GRAPHIC:SS T-SHIRT</t>
  </si>
  <si>
    <t>66020100OAV TS AVG LOGO HALF EMBRO MARBLE EMBOSS HRT53:CLASSIC BLUE:5-6:GRAPHIC:SS T-SHIRT</t>
  </si>
  <si>
    <t>66040100OAV TS AVG LOGO HALF EMBRO MARBLE EMBOSS HRT53:CLASSIC BLUE:7-8:GRAPHIC:SS T-SHIRT</t>
  </si>
  <si>
    <t>66040100OAV TS AVG LOGO HALF EMBRO MARBLE EMBOSS HRT53:CLASSIC BLUE:9-10:GRAPHIC:SS T-SHIRT</t>
  </si>
  <si>
    <t>66040100OAV TS AVG LOGO HALF EMBRO MARBLE EMBOSS HRT53:CLASSIC BLUE:11-12:GRAPHIC:SS T-SHIRT</t>
  </si>
  <si>
    <t>66060100OAV TS AVG LOGO HALF EMBRO MARBLE EMBOSS HRT53:CLASSIC BLUE:13-14:GRAPHIC:SS T-SHIRT</t>
  </si>
  <si>
    <t>66060100OAV TS AVG LOGO HALF EMBRO MARBLE EMBOSS HRT53:CLASSIC BLUE:15-16:GRAPHIC:SS T-SHIRT</t>
  </si>
  <si>
    <t>GNSW28</t>
  </si>
  <si>
    <t>66040100SWS TS STARWARS GROGU MEDITATE GNSW28:CHARCOAL:5-6:GRAPHIC:SS T-SHIRT</t>
  </si>
  <si>
    <t>66040100SWS TS STARWARS GROGU MEDITATE GNSW28:CHARCOAL:7-8:GRAPHIC:SS T-SHIRT</t>
  </si>
  <si>
    <t>66040100SWS TS STARWARS GROGU MEDITATE GNSW28:CHARCOAL:9-10:GRAPHIC:SS T-SHIRT</t>
  </si>
  <si>
    <t>66060100SWS TS STARWARS GROGU MEDITATE GNSW28:CHARCOAL:11-12:GRAPHIC:SS T-SHIRT</t>
  </si>
  <si>
    <t>66060100SWS TS STARWARS GROGU MEDITATE GNSW28:CHARCOAL:13-14:GRAPHIC:SS T-SHIRT</t>
  </si>
  <si>
    <t>66060100SWS TS STARWARS GROGU MEDITATE GNSW28:CHARCOAL:15-16:GRAPHIC:SS T-SHIRT</t>
  </si>
  <si>
    <t>N114</t>
  </si>
  <si>
    <t>66020100OAV TS AVG LOGO ASSEMBLE N114:NAVY BLUE:3-4:GRAPHIC:SS T-SHIRT</t>
  </si>
  <si>
    <t>66020100OAV TS AVG LOGO ASSEMBLE N114:NAVY BLUE:4-5:GRAPHIC:SS T-SHIRT</t>
  </si>
  <si>
    <t>66020100OAV TS AVG LOGO ASSEMBLE N114:NAVY BLUE:5-6:GRAPHIC:SS T-SHIRT</t>
  </si>
  <si>
    <t>66040100OAV TS AVG LOGO ASSEMBLE N114:NAVY BLUE:7-8:GRAPHIC:SS T-SHIRT</t>
  </si>
  <si>
    <t>66040100OAV TS AVG LOGO ASSEMBLE N114:NAVY BLUE:9-10:GRAPHIC:SS T-SHIRT</t>
  </si>
  <si>
    <t>66040100OAV TS AVG LOGO ASSEMBLE N114:NAVY BLUE:11-12:GRAPHIC:SS T-SHIRT</t>
  </si>
  <si>
    <t>66060100OAV TS AVG LOGO ASSEMBLE N114:NAVY BLUE:13-14:GRAPHIC:SS T-SHIRT</t>
  </si>
  <si>
    <t>66060100OAV TS AVG LOGO ASSEMBLE N114:NAVY BLUE:15-16:GRAPHIC:SS T-SHIRT</t>
  </si>
  <si>
    <t>A020</t>
  </si>
  <si>
    <t>66020100OAV TS AVG LOGO DOUBLE KTG STOPPER A020:MISTY MEDIUM GREY:3-4:GRAPHIC:SS T-SHIRT</t>
  </si>
  <si>
    <t>66020100OAV TS AVG LOGO DOUBLE KTG STOPPER A020:MISTY MEDIUM GREY:4-5:GRAPHIC:SS T-SHIRT</t>
  </si>
  <si>
    <t>66020100OAV TS AVG LOGO DOUBLE KTG STOPPER A020:MISTY MEDIUM GREY:5-6:GRAPHIC:SS T-SHIRT</t>
  </si>
  <si>
    <t>66040100OAV TS AVG LOGO DOUBLE KTG STOPPER A020:MISTY MEDIUM GREY:7-8:GRAPHIC:SS T-SHIRT</t>
  </si>
  <si>
    <t>66040100OAV TS AVG LOGO DOUBLE KTG STOPPER A020:MISTY MEDIUM GREY:9-10:GRAPHIC:SS T-SHIRT</t>
  </si>
  <si>
    <t>66040100OAV TS AVG LOGO DOUBLE KTG STOPPER A020:MISTY MEDIUM GREY:11-12:GRAPHIC:SS T-SHIRT</t>
  </si>
  <si>
    <t>66060100OAV TS AVG LOGO DOUBLE KTG STOPPER A020:MISTY MEDIUM GREY:13-14:GRAPHIC:SS T-SHIRT</t>
  </si>
  <si>
    <t>66060100OAV TS AVG LOGO DOUBLE KTG STOPPER A020:MISTY MEDIUM GREY:15-16:GRAPHIC:SS T-SHIRT</t>
  </si>
  <si>
    <t>GNSW29</t>
  </si>
  <si>
    <t>66040100SWS TS STARWARS GROGU MEDITATE GNSW29:PASTEL GREEN:5-6:GRAPHIC:SS T-SHIRT</t>
  </si>
  <si>
    <t>66040100SWS TS STARWARS GROGU MEDITATE GNSW29:PASTEL GREEN:7-8:GRAPHIC:SS T-SHIRT</t>
  </si>
  <si>
    <t>66040100SWS TS STARWARS GROGU MEDITATE GNSW29:PASTEL GREEN:9-10:GRAPHIC:SS T-SHIRT</t>
  </si>
  <si>
    <t>66060100SWS TS STARWARS GROGU MEDITATE GNSW29:PASTEL GREEN:11-12:GRAPHIC:SS T-SHIRT</t>
  </si>
  <si>
    <t>66060100SWS TS STARWARS GROGU MEDITATE GNSW29:PASTEL GREEN:13-14:GRAPHIC:SS T-SHIRT</t>
  </si>
  <si>
    <t>66060100SWS TS STARWARS GROGU MEDITATE GNSW29:PASTEL GREEN:15-16:GRAPHIC:SS T-SHIRT</t>
  </si>
  <si>
    <t>GNSW30</t>
  </si>
  <si>
    <t>66040100SWS TS STARWARS GROGU BACK PRINT GNSW30:MISTY LIGHT KHAKI:5-6:GRAPHIC:SS T-SHIRT</t>
  </si>
  <si>
    <t>66040100SWS TS STARWARS GROGU BACK PRINT GNSW30:MISTY LIGHT KHAKI:7-8:GRAPHIC:SS T-SHIRT</t>
  </si>
  <si>
    <t>66040100SWS TS STARWARS GROGU BACK PRINT GNSW30:MISTY LIGHT KHAKI:9-10:GRAPHIC:SS T-SHIRT</t>
  </si>
  <si>
    <t>66060100SWS TS STARWARS GROGU BACK PRINT GNSW30:MISTY LIGHT KHAKI:11-12:GRAPHIC:SS T-SHIRT</t>
  </si>
  <si>
    <t>66060100SWS TS STARWARS GROGU BACK PRINT GNSW30:MISTY LIGHT KHAKI:13-14:GRAPHIC:SS T-SHIRT</t>
  </si>
  <si>
    <t>66060100SWS TS STARWARS GROGU BACK PRINT GNSW30:MISTY LIGHT KHAKI:15-16:GRAPHIC:SS T-SHIRT</t>
  </si>
  <si>
    <t>GNSW31</t>
  </si>
  <si>
    <t>66040100SWS SWEATER STARWARS GROGU KTG PRINT LGN GNSW31:BLACK:5-6:GRAPHIC:SWEATER</t>
  </si>
  <si>
    <t>66040100SWS SWEATER STARWARS GROGU KTG PRINT LGN GNSW31:BLACK:7-8:GRAPHIC:SWEATER</t>
  </si>
  <si>
    <t>66040100SWS SWEATER STARWARS GROGU KTG PRINT LGN GNSW31:BLACK:9-10:GRAPHIC:SWEATER</t>
  </si>
  <si>
    <t>66060100SWS SWEATER STARWARS GROGU KTG PRINT LGN GNSW31:BLACK:11-12:GRAPHIC:SWEATER</t>
  </si>
  <si>
    <t>66060100SWS SWEATER STARWARS GROGU KTG PRINT LGN GNSW31:BLACK:13-14:GRAPHIC:SWEATER</t>
  </si>
  <si>
    <t>66060100SWS SWEATER STARWARS GROGU KTG PRINT LGN GNSW31:BLACK:15-16:GRAPHIC:SWEATER</t>
  </si>
  <si>
    <t>MV-A75</t>
  </si>
  <si>
    <t>66020100OAV TS AVG ASSEMBLE EMBOSS MV-A75:WOOD BROWN:3-4:EMBOS:SS T-SHIRT</t>
  </si>
  <si>
    <t>66020100OAV TS AVG ASSEMBLE EMBOSS MV-A75:WOOD BROWN:4-5:EMBOS:SS T-SHIRT</t>
  </si>
  <si>
    <t>66020100OAV TS AVG ASSEMBLE EMBOSS MV-A75:WOOD BROWN:5-6:EMBOS:SS T-SHIRT</t>
  </si>
  <si>
    <t>66020100OAV TS AVG ASSEMBLE EMBOSS MV-A75:WOOD BROWN:7-8:EMBOS:SS T-SHIRT</t>
  </si>
  <si>
    <t>66020100OAV TS AVG ASSEMBLE EMBOSS MV-A75:WOOD BROWN:9-10:EMBOS:SS T-SHIRT</t>
  </si>
  <si>
    <t>66020100OAV TS AVG ASSEMBLE EMBOSS MV-A75:WOOD BROWN:11-12:EMBOS:SS T-SHIRT</t>
  </si>
  <si>
    <t>66020100OAV TS AVG ASSEMBLE EMBOSS MV-A75:WOOD BROWN:13-14:EMBOS:SS T-SHIRT</t>
  </si>
  <si>
    <t>HR26</t>
  </si>
  <si>
    <t>660201000AV SWEATSHIRT AVG CAPT AMRIK BNW CUTSEWN MARBLE HR26:NAVY BLUE:3-4:GRAPHIC:SWEATSHIRT</t>
  </si>
  <si>
    <t>660201000AV SWEATSHIRT AVG CAPT AMRIK BNW CUTSEWN MARBLE HR26:NAVY BLUE:4-5:GRAPHIC:SWEATSHIRT</t>
  </si>
  <si>
    <t>660201000AV SWEATSHIRT AVG CAPT AMRIK BNW CUTSEWN MARBLE HR26:NAVY BLUE:5-6:GRAPHIC:SWEATSHIRT</t>
  </si>
  <si>
    <t>660401000AV SWEATSHIRT AVG CAPT AMRIK BNW CUTSEWN MARBLE HR26:NAVY BLUE:7-8:GRAPHIC:SWEATSHIRT</t>
  </si>
  <si>
    <t>660401000AV SWEATSHIRT AVG CAPT AMRIK BNW CUTSEWN MARBLE HR26:NAVY BLUE:9-10:GRAPHIC:SWEATSHIRT</t>
  </si>
  <si>
    <t>660401000AV SWEATSHIRT AVG CAPT AMRIK BNW CUTSEWN MARBLE HR26:NAVY BLUE:11-12:GRAPHIC:SWEATSHIRT</t>
  </si>
  <si>
    <t>660601000AV SWEATSHIRT AVG CAPT AMRIK BNW CUTSEWN MARBLE HR26:NAVY BLUE:13-14:GRAPHIC:SWEATSHIRT</t>
  </si>
  <si>
    <t>660601000AV SWEATSHIRT AVG CAPT AMRIK BNW CUTSEWN MARBLE HR26:NAVY BLUE:15-16:GRAPHIC:SWEATSHIRT</t>
  </si>
  <si>
    <t>GNSW32</t>
  </si>
  <si>
    <t>66040100SWS JACKET STARWARS PRINT HOODIE GNSW32:BLACK:5-6:GRAPHIC:JACKET</t>
  </si>
  <si>
    <t>66040100SWS JACKET STARWARS PRINT HOODIE GNSW32:BLACK:7-8:GRAPHIC:JACKET</t>
  </si>
  <si>
    <t>66040100SWS JACKET STARWARS PRINT HOODIE GNSW32:BLACK:9-10:GRAPHIC:JACKET</t>
  </si>
  <si>
    <t>66060100SWS JACKET STARWARS PRINT HOODIE GNSW32:BLACK:11-12:GRAPHIC:JACKET</t>
  </si>
  <si>
    <t>66060100SWS JACKET STARWARS PRINT HOODIE GNSW32:BLACK:13-14:GRAPHIC:JACKET</t>
  </si>
  <si>
    <t>66060100SWS JACKET STARWARS PRINT HOODIE GNSW32:BLACK:15-16:GRAPHIC:JACKET</t>
  </si>
  <si>
    <t>SPD-N202</t>
  </si>
  <si>
    <t>66020100MCS TS SPD ACTION SPD-N202:FROST GREY:3-4:GRAPHIC:SS T-SHIRT</t>
  </si>
  <si>
    <t>66020100MCS TS SPD ACTION SPD-N202:FROST GREY:4-5:GRAPHIC:SS T-SHIRT</t>
  </si>
  <si>
    <t>66020100MCS TS SPD ACTION SPD-N202:FROST GREY:5-6:GRAPHIC:SS T-SHIRT</t>
  </si>
  <si>
    <t>66020100MCS TS SPD ACTION SPD-N202:FROST GREY:7-8:GRAPHIC:SS T-SHIRT</t>
  </si>
  <si>
    <t>66020100MCS TS SPD ACTION SPD-N202:FROST GREY:9-10:GRAPHIC:SS T-SHIRT</t>
  </si>
  <si>
    <t>66020100MCS TS SPD ACTION SPD-N202:FROST GREY:11-12:GRAPHIC:SS T-SHIRT</t>
  </si>
  <si>
    <t>66020100MCS TS SPD ACTION SPD-N202:FROST GREY:13-14:GRAPHIC:SS T-SHIRT</t>
  </si>
  <si>
    <t>SPD-W01</t>
  </si>
  <si>
    <t>66020100MCS TS SPD LIS TENGAH SPD-W01:NAVY BLUE:3-4:GRAPHIC:SS T-SHIRT</t>
  </si>
  <si>
    <t>66020100MCS TS SPD LIS TENGAH SPD-W01:NAVY BLUE:4-5:GRAPHIC:SS T-SHIRT</t>
  </si>
  <si>
    <t>66020100MCS TS SPD LIS TENGAH SPD-W01:NAVY BLUE:5-6:GRAPHIC:SS T-SHIRT</t>
  </si>
  <si>
    <t>66020100MCS TS SPD LIS TENGAH SPD-W01:NAVY BLUE:7-8:GRAPHIC:SS T-SHIRT</t>
  </si>
  <si>
    <t>66020100MCS TS SPD LIS TENGAH SPD-W01:NAVY BLUE:9-10:GRAPHIC:SS T-SHIRT</t>
  </si>
  <si>
    <t>66020100MCS TS SPD LIS TENGAH SPD-W01:NAVY BLUE:11-12:GRAPHIC:SS T-SHIRT</t>
  </si>
  <si>
    <t>66020100MCS TS SPD LIS TENGAH SPD-W01:NAVY BLUE:13-14:GRAPHIC:SS T-SHIRT</t>
  </si>
  <si>
    <t>TPAVGR41</t>
  </si>
  <si>
    <t>68040202OAV TOPI AVG CAPT AMRIK FP CORAK TPAVGR41:NAVY BLUE:F:PRINT:CAPS</t>
  </si>
  <si>
    <t>GNSW33</t>
  </si>
  <si>
    <t>66040100SWS CP KNIT STARWARS KTG KARGO GNSW33:BLACK:5-6:GRAPHIC:SHORT PANTS</t>
  </si>
  <si>
    <t>66040100SWS CP KNIT STARWARS KTG KARGO GNSW33:BLACK:7-8:GRAPHIC:SHORT PANTS</t>
  </si>
  <si>
    <t>66040100SWS CP KNIT STARWARS KTG KARGO GNSW33:BLACK:9-10:GRAPHIC:SHORT PANTS</t>
  </si>
  <si>
    <t>66060100SWS CP KNIT STARWARS KTG KARGO GNSW33:BLACK:11-12:GRAPHIC:SHORT PANTS</t>
  </si>
  <si>
    <t>66060100SWS CP KNIT STARWARS KTG KARGO GNSW33:BLACK:13-14:GRAPHIC:SHORT PANTS</t>
  </si>
  <si>
    <t>66060100SWS CP KNIT STARWARS KTG KARGO GNSW33:BLACK:15-16:GRAPHIC:SHORT PANTS</t>
  </si>
  <si>
    <t>SPD-W02</t>
  </si>
  <si>
    <t>66020100MCS TS SALUR SPD LOGO HEAD SPD-W02:MISTY LIGHT GREY:3-4:STRIPES:SS T-SHIRT</t>
  </si>
  <si>
    <t>66020100MCS TS SALUR SPD LOGO HEAD SPD-W02:MISTY LIGHT GREY:4-5:STRIPES:SS T-SHIRT</t>
  </si>
  <si>
    <t>66020100MCS TS SALUR SPD LOGO HEAD SPD-W02:MISTY LIGHT GREY:5-6:STRIPES:SS T-SHIRT</t>
  </si>
  <si>
    <t>66020100MCS TS SALUR SPD LOGO HEAD SPD-W02:MISTY LIGHT GREY:7-8:STRIPES:SS T-SHIRT</t>
  </si>
  <si>
    <t>66020100MCS TS SALUR SPD LOGO HEAD SPD-W02:MISTY LIGHT GREY:9-10:STRIPES:SS T-SHIRT</t>
  </si>
  <si>
    <t>66020100MCS TS SALUR SPD LOGO HEAD SPD-W02:MISTY LIGHT GREY:11-12:STRIPES:SS T-SHIRT</t>
  </si>
  <si>
    <t>66020100MCS TS SALUR SPD LOGO HEAD SPD-W02:MISTY LIGHT GREY:13-14:STRIPES:SS T-SHIRT</t>
  </si>
  <si>
    <t>HRT54</t>
  </si>
  <si>
    <t>66020100OAV TS AVG CAPT AMRIK LOGO HALF TIE DYE HRT54:BLACK:3-4:GRAPHIC:SS T-SHIRT</t>
  </si>
  <si>
    <t>66020100OAV TS AVG CAPT AMRIK LOGO HALF TIE DYE HRT54:BLACK:4-5:GRAPHIC:SS T-SHIRT</t>
  </si>
  <si>
    <t>66020100OAV TS AVG CAPT AMRIK LOGO HALF TIE DYE HRT54:BLACK:5-6:GRAPHIC:SS T-SHIRT</t>
  </si>
  <si>
    <t>66040100OAV TS AVG CAPT AMRIK LOGO HALF TIE DYE HRT54:BLACK:7-8:GRAPHIC:SS T-SHIRT</t>
  </si>
  <si>
    <t>66040100OAV TS AVG CAPT AMRIK LOGO HALF TIE DYE HRT54:BLACK:9-10:GRAPHIC:SS T-SHIRT</t>
  </si>
  <si>
    <t>66040100OAV TS AVG CAPT AMRIK LOGO HALF TIE DYE HRT54:BLACK:11-12:GRAPHIC:SS T-SHIRT</t>
  </si>
  <si>
    <t>66060100OAV TS AVG CAPT AMRIK LOGO HALF TIE DYE HRT54:BLACK:13-14:GRAPHIC:SS T-SHIRT</t>
  </si>
  <si>
    <t>66060100OAV TS AVG CAPT AMRIK LOGO HALF TIE DYE HRT54:BLACK:15-16:GRAPHIC:SS T-SHIRT</t>
  </si>
  <si>
    <t>A702</t>
  </si>
  <si>
    <t>66020100OAV TS AVG HEROES ALL TEAMS SPLASH A702:MISTY LIGHT BLUE:3-4:GRAPHIC:SS T-SHIRT</t>
  </si>
  <si>
    <t>66020100OAV TS AVG HEROES ALL TEAMS SPLASH A702:MISTY LIGHT BLUE:4-5:GRAPHIC:SS T-SHIRT</t>
  </si>
  <si>
    <t>66020100OAV TS AVG HEROES ALL TEAMS SPLASH A702:MISTY LIGHT BLUE:5-6:GRAPHIC:SS T-SHIRT</t>
  </si>
  <si>
    <t>66040100OAV TS AVG HEROES ALL TEAMS SPLASH A702:MISTY LIGHT BLUE:7-8:GRAPHIC:SS T-SHIRT</t>
  </si>
  <si>
    <t>66040100OAV TS AVG HEROES ALL TEAMS SPLASH A702:MISTY LIGHT BLUE:9-10:GRAPHIC:SS T-SHIRT</t>
  </si>
  <si>
    <t>66040100OAV TS AVG HEROES ALL TEAMS SPLASH A702:MISTY LIGHT BLUE:11-12:GRAPHIC:SS T-SHIRT</t>
  </si>
  <si>
    <t>66060100OAV TS AVG HEROES ALL TEAMS SPLASH A702:MISTY LIGHT BLUE:13-14:GRAPHIC:SS T-SHIRT</t>
  </si>
  <si>
    <t>66060100OAV TS AVG HEROES ALL TEAMS SPLASH A702:MISTY LIGHT BLUE:15-16:GRAPHIC:SS T-SHIRT</t>
  </si>
  <si>
    <t>GNAVG79</t>
  </si>
  <si>
    <t>66020100OAV TS AVG LOGO COLOR A GNAVG79:MISTY MEDIUM BLUE:3-4:GRAPHIC:SS T-SHIRT</t>
  </si>
  <si>
    <t>66020100OAV TS AVG LOGO COLOR A GNAVG79:MISTY MEDIUM BLUE:4-5:GRAPHIC:SS T-SHIRT</t>
  </si>
  <si>
    <t>66020100OAV TS AVG LOGO COLOR A GNAVG79:MISTY MEDIUM BLUE:5-6:GRAPHIC:SS T-SHIRT</t>
  </si>
  <si>
    <t>66040100OAV TS AVG LOGO COLOR B GNAVG79:MISTY MEDIUM BLUE:7-8:GRAPHIC:SS T-SHIRT</t>
  </si>
  <si>
    <t>66040100OAV TS AVG LOGO COLOR B GNAVG79:MISTY MEDIUM BLUE:9-10:GRAPHIC:SS T-SHIRT</t>
  </si>
  <si>
    <t>66040100OAV TS AVG LOGO COLOR B GNAVG79:MISTY MEDIUM BLUE:11-12:GRAPHIC:SS T-SHIRT</t>
  </si>
  <si>
    <t>66060100OAV TS AVG LOGO COLOR C GNAVG79:MISTY MEDIUM BLUE:13-14:GRAPHIC:SS T-SHIRT</t>
  </si>
  <si>
    <t>66060100OAV TS AVG LOGO COLOR C GNAVG79:MISTY MEDIUM BLUE:15-16:GRAPHIC:SS T-SHIRT</t>
  </si>
  <si>
    <t>GNAVG73</t>
  </si>
  <si>
    <t>66020100OAV TS AVG TEAM DADA GNAVG73:MISTY LIGHT KHAKI:3-4:GRAPHIC:SS T-SHIRT</t>
  </si>
  <si>
    <t>66020100OAV TS AVG TEAM DADA GNAVG73:MISTY LIGHT KHAKI:4-5:GRAPHIC:SS T-SHIRT</t>
  </si>
  <si>
    <t>66020100OAV TS AVG TEAM DADA GNAVG73:MISTY LIGHT KHAKI:5-6:GRAPHIC:SS T-SHIRT</t>
  </si>
  <si>
    <t>66040100OAV TS AVG TEAM DADA GNAVG73:MISTY LIGHT KHAKI:7-8:GRAPHIC:SS T-SHIRT</t>
  </si>
  <si>
    <t>66040100OAV TS AVG TEAM DADA GNAVG73:MISTY LIGHT KHAKI:9-10:GRAPHIC:SS T-SHIRT</t>
  </si>
  <si>
    <t>66040100OAV TS AVG TEAM DADA GNAVG73:MISTY LIGHT KHAKI:11-12:GRAPHIC:SS T-SHIRT</t>
  </si>
  <si>
    <t>66060100OAV TS AVG TEAM DADA GNAVG73:MISTY LIGHT KHAKI:13-14:GRAPHIC:SS T-SHIRT</t>
  </si>
  <si>
    <t>66060100OAV TS AVG TEAM DADA GNAVG73:MISTY LIGHT KHAKI:15-16:GRAPHIC:SS T-SHIRT</t>
  </si>
  <si>
    <t>GNAVG74</t>
  </si>
  <si>
    <t>66020100OAV TS AVG LOGO A DADA GNAVG74:BLACK:3-4:GRAPHIC:SS T-SHIRT</t>
  </si>
  <si>
    <t>66020100OAV TS AVG LOGO A DADA GNAVG74:BLACK:4-5:GRAPHIC:SS T-SHIRT</t>
  </si>
  <si>
    <t>66020100OAV TS AVG LOGO A DADA GNAVG74:BLACK:5-6:GRAPHIC:SS T-SHIRT</t>
  </si>
  <si>
    <t>66040100OAV TS AVG LOGO A DADA GNAVG74:BLACK:7-8:GRAPHIC:SS T-SHIRT</t>
  </si>
  <si>
    <t>66040100OAV TS AVG LOGO A DADA GNAVG74:BLACK:9-10:GRAPHIC:SS T-SHIRT</t>
  </si>
  <si>
    <t>66040100OAV TS AVG LOGO A DADA GNAVG74:BLACK:11-12:GRAPHIC:SS T-SHIRT</t>
  </si>
  <si>
    <t>66060100OAV TS AVG LOGO A DADA GNAVG74:BLACK:13-14:GRAPHIC:SS T-SHIRT</t>
  </si>
  <si>
    <t>66060100OAV TS AVG LOGO A DADA GNAVG74:BLACK:15-16:GRAPHIC:SS T-SHIRT</t>
  </si>
  <si>
    <t>GNAVG68</t>
  </si>
  <si>
    <t>66020100OAV SWEATER AVG TEKSTUR KTG ZIPPER GNAVG68:MISTY DARK GREY:3-4:GRAPHIC:SWEATER</t>
  </si>
  <si>
    <t>66020100OAV SWEATER AVG TEKSTUR KTG ZIPPER GNAVG68:MISTY DARK GREY:4-5:GRAPHIC:SWEATER</t>
  </si>
  <si>
    <t>66020100OAV SWEATER AVG TEKSTUR KTG ZIPPER GNAVG68:MISTY DARK GREY:5-6:GRAPHIC:SWEATER</t>
  </si>
  <si>
    <t>66040100OAV SWEATER AVG TEKSTUR KTG ZIPPER GNAVG68:MISTY DARK GREY:7-8:GRAPHIC:SWEATER</t>
  </si>
  <si>
    <t>66040100OAV SWEATER AVG TEKSTUR KTG ZIPPER GNAVG68:MISTY DARK GREY:9-10:GRAPHIC:SWEATER</t>
  </si>
  <si>
    <t>66040100OAV SWEATER AVG TEKSTUR KTG ZIPPER GNAVG68:MISTY DARK GREY:11-12:GRAPHIC:SWEATER</t>
  </si>
  <si>
    <t>66060100OAV SWEATER AVG TEKSTUR KTG ZIPPER GNAVG68:MISTY DARK GREY:13-14:GRAPHIC:SWEATER</t>
  </si>
  <si>
    <t>66060100OAV SWEATER AVG TEKSTUR KTG ZIPPER GNAVG68:MISTY DARK GREY:15-16:GRAPHIC:SWEATER</t>
  </si>
  <si>
    <t>N19</t>
  </si>
  <si>
    <t>660201000AV TS AVG TEAM IRON CAPT SEBELAH N19:MISTY DARK BLUE:3-4:GRAPHIC:SS T-SHIRT</t>
  </si>
  <si>
    <t>660201000AV TS AVG TEAM IRON CAPT SEBELAH N19:MISTY DARK BLUE:4-5:GRAPHIC:SS T-SHIRT</t>
  </si>
  <si>
    <t>660201000AV TS AVG TEAM IRON CAPT SEBELAH N19:MISTY DARK BLUE:5-6:GRAPHIC:SS T-SHIRT</t>
  </si>
  <si>
    <t>660401000AV TS AVG TEAM IRON CAPT SEBELAH N19:MISTY DARK BLUE:7-8:GRAPHIC:SS T-SHIRT</t>
  </si>
  <si>
    <t>660401000AV TS AVG TEAM IRON CAPT SEBELAH N19:MISTY DARK BLUE:9-10:GRAPHIC:SS T-SHIRT</t>
  </si>
  <si>
    <t>660401000AV TS AVG TEAM IRON CAPT SEBELAH N19:MISTY DARK BLUE:11-12:GRAPHIC:SS T-SHIRT</t>
  </si>
  <si>
    <t>660601000AV TS AVG TEAM IRON CAPT SEBELAH N19:MISTY DARK BLUE:13-14:GRAPHIC:SS T-SHIRT</t>
  </si>
  <si>
    <t>660601000AV TS AVG TEAM IRON CAPT SEBELAH N19:MISTY DARK BLUE:15-16:GRAPHIC:SS T-SHIRT</t>
  </si>
  <si>
    <t>HR6</t>
  </si>
  <si>
    <t>66020100MCS JACKET VARSITY SPD FACE THE AMAZING HR6:BLACK:3-4:GRAPHIC:JACKET</t>
  </si>
  <si>
    <t>66020100MCS JACKET VARSITY SPD FACE THE AMAZING HR6:BLACK:4-5:GRAPHIC:JACKET</t>
  </si>
  <si>
    <t>66020100MCS JACKET VARSITY SPD FACE THE AMAZING HR6:BLACK:5-6:GRAPHIC:JACKET</t>
  </si>
  <si>
    <t>66040100MCS JACKET VARSITY SPD FACE THE AMAZING HR6:BLACK:7-8:GRAPHIC:JACKET</t>
  </si>
  <si>
    <t>66040100MCS JACKET VARSITY SPD FACE THE AMAZING HR6:BLACK:9-10:GRAPHIC:JACKET</t>
  </si>
  <si>
    <t>66040100MCS JACKET VARSITY SPD FACE THE AMAZING HR6:BLACK:11-12:GRAPHIC:JACKET</t>
  </si>
  <si>
    <t>66060100MCS JACKET VARSITY SPD FACE THE AMAZING HR6:BLACK:13-14:GRAPHIC:JACKET</t>
  </si>
  <si>
    <t>66060100MCS JACKET VARSITY SPD FACE THE AMAZING HR6:BLACK:15-16:GRAPHIC:JACKET</t>
  </si>
  <si>
    <t>A17</t>
  </si>
  <si>
    <t>66020100OAV TS AVG HULK IRON CAPT KTG ZIPPER A17:MISTY LIGHT BLUE:3-4:GRAPHIC:SS T-SHIRT</t>
  </si>
  <si>
    <t>66020100OAV TS AVG HULK IRON CAPT KTG ZIPPER A17:MISTY LIGHT BLUE:4-5:GRAPHIC:SS T-SHIRT</t>
  </si>
  <si>
    <t>66020100OAV TS AVG HULK IRON CAPT KTG ZIPPER A17:MISTY LIGHT BLUE:5-6:GRAPHIC:SS T-SHIRT</t>
  </si>
  <si>
    <t>66040100OAV TS AVG HULK IRON CAPT KTG ZIPPER A17:MISTY LIGHT BLUE:7-8:GRAPHIC:SS T-SHIRT</t>
  </si>
  <si>
    <t>66040100OAV TS AVG HULK IRON CAPT KTG ZIPPER A17:MISTY LIGHT BLUE:9-10:GRAPHIC:SS T-SHIRT</t>
  </si>
  <si>
    <t>66040100OAV TS AVG HULK IRON CAPT KTG ZIPPER A17:MISTY LIGHT BLUE:11-12:GRAPHIC:SS T-SHIRT</t>
  </si>
  <si>
    <t>66060100OAV TS AVG HULK IRON CAPT KTG ZIPPER A17:MISTY LIGHT BLUE:13-14:GRAPHIC:SS T-SHIRT</t>
  </si>
  <si>
    <t>66060100OAV TS AVG HULK IRON CAPT KTG ZIPPER A17:MISTY LIGHT BLUE:15-16:GRAPHIC:SS T-SHIRT</t>
  </si>
  <si>
    <t>GNDN24</t>
  </si>
  <si>
    <t>66040100STC LP KNIT STITCH FACE GNDN24:NAVY BLUE:5-6:GRAPHIC:JOGGER</t>
  </si>
  <si>
    <t>66040100STC LP KNIT STITCH FACE GNDN24:NAVY BLUE:7-8:GRAPHIC:JOGGER</t>
  </si>
  <si>
    <t>66040100STC LP KNIT STITCH FACE GNDN24:NAVY BLUE:9-10:GRAPHIC:JOGGER</t>
  </si>
  <si>
    <t>66060100STC LP KNIT STITCH FACE GNDN24:NAVY BLUE:11-12:GRAPHIC:JOGGER</t>
  </si>
  <si>
    <t>66060100STC LP KNIT STITCH FACE GNDN24:NAVY BLUE:13-14:GRAPHIC:JOGGER</t>
  </si>
  <si>
    <t>66060100STC LP KNIT STITCH FACE GNDN24:NAVY BLUE:15-16:GRAPHIC:JOGGER</t>
  </si>
  <si>
    <t>2025 SEPT B1G1</t>
  </si>
  <si>
    <t>SPDR-A77</t>
  </si>
  <si>
    <t>66020100MCS SWEATER SPD LOGO BDR SPDR-A77:KHAKI:4:GRAPHIC:SWEATER</t>
  </si>
  <si>
    <t>66020100MCS SWEATER SPD LOGO BDR SPDR-A77:KHAKI:5:GRAPHIC:SWEATER</t>
  </si>
  <si>
    <t>66020100MCS SWEATER SPD LOGO BDR SPDR-A77:KHAKI:6:GRAPHIC:SWEATER</t>
  </si>
  <si>
    <t>66040100MCS SWEATER SPD LOGO BDR SPDR-A77:KHAKI:7-8:GRAPHIC:SWEATER</t>
  </si>
  <si>
    <t>66040100MCS SWEATER SPD LOGO BDR SPDR-A77:KHAKI:9-10:GRAPHIC:SWEATER</t>
  </si>
  <si>
    <t>66040100MCS SWEATER SPD LOGO BDR SPDR-A77:KHAKI:11-12:GRAPHIC:SWEATER</t>
  </si>
  <si>
    <t>66060100MCS SWEATER SPD LOGO BDR SPDR-A77:KHAKI:13-14:GRAPHIC:SWEATER</t>
  </si>
  <si>
    <t>2025 OKT NOV B1 DISC  30%</t>
  </si>
  <si>
    <t>HR-088</t>
  </si>
  <si>
    <t>66020100TS TS TOY STORY TEAMS HR-088:WHITE:4:GRAPHIC:SS T-SHIRT</t>
  </si>
  <si>
    <t>BXGY</t>
  </si>
  <si>
    <t>66020100TS TS TOY STORY TEAMS HR-088:WHITE:5:GRAPHIC:SS T-SHIRT</t>
  </si>
  <si>
    <t>66020100TS TS TOY STORY TEAMS HR-088:WHITE:6:GRAPHIC:SS T-SHIRT</t>
  </si>
  <si>
    <t>66020100TS TS TOY STORY TEAMS HR-088:WHITE:7-8:GRAPHIC:SS T-SHIRT</t>
  </si>
  <si>
    <t>HR-085</t>
  </si>
  <si>
    <t>66020100TS TS TOY STORY BUDDY HR-085:MISTY LIGHT YELLOW:4:GRAPHIC:SS T-SHIRT</t>
  </si>
  <si>
    <t>66020100TS TS TOY STORY BUDDY HR-085:MISTY LIGHT YELLOW:5:GRAPHIC:SS T-SHIRT</t>
  </si>
  <si>
    <t>66020100TS TS TOY STORY BUDDY HR-085:MISTY LIGHT YELLOW:6:GRAPHIC:SS T-SHIRT</t>
  </si>
  <si>
    <t>66020100TS TS TOY STORY BUDDY HR-085:MISTY LIGHT YELLOW:7-8:GRAPHIC:SS T-SHIRT</t>
  </si>
  <si>
    <t>TS-N016</t>
  </si>
  <si>
    <t>66020100TS TS TOY STORY REX TS-N016:WHITE:4:GRAPHIC:SS T-SHIRT</t>
  </si>
  <si>
    <t>66020100TS TS TOY STORY REX TS-N016:WHITE:5:GRAPHIC:SS T-SHIRT</t>
  </si>
  <si>
    <t>66020100TS TS TOY STORY REX TS-N016:WHITE:6:GRAPHIC:SS T-SHIRT</t>
  </si>
  <si>
    <t>66020100TS TS TOY STORY REX TS-N016:WHITE:7-8:GRAPHIC:SS T-SHIRT</t>
  </si>
  <si>
    <t>HR-017</t>
  </si>
  <si>
    <t>66020100TS TS TOY STORY BUZZ HR-017:NAVY BLUE:4:GRAPHIC:SS T-SHIRT</t>
  </si>
  <si>
    <t>66020100TS TS TOY STORY BUZZ HR-017:NAVY BLUE:5:GRAPHIC:SS T-SHIRT</t>
  </si>
  <si>
    <t>66020100TS TS TOY STORY BUZZ HR-017:NAVY BLUE:6:GRAPHIC:SS T-SHIRT</t>
  </si>
  <si>
    <t>66020100TS TS TOY STORY BUZZ HR-017:NAVY BLUE:7-8:GRAPHIC:SS T-SHIRT</t>
  </si>
  <si>
    <t>HR-086</t>
  </si>
  <si>
    <t>66020100TS SWEATSHIRT TOY STORY TEAMS HR-086:LIGHT BROWN:4:GRAPHIC:SWEATSHIRT</t>
  </si>
  <si>
    <t>66020100TS SWEATSHIRT TOY STORY TEAMS HR-086:LIGHT BROWN:5:GRAPHIC:SWEATSHIRT</t>
  </si>
  <si>
    <t>66020100TS SWEATSHIRT TOY STORY TEAMS HR-086:LIGHT BROWN:6:GRAPHIC:SWEATSHIRT</t>
  </si>
  <si>
    <t>66020100TS SWEATSHIRT TOY STORY TEAMS HR-086:LIGHT BROWN:7-8:GRAPHIC:SWEATSHIRT</t>
  </si>
  <si>
    <t>N023</t>
  </si>
  <si>
    <t>66020100TS SHORT TOY STORY BUZZ A N023:NAVY BLUE:4:GRAPHIC:SHORT PANTS</t>
  </si>
  <si>
    <t>66020100TS SHORT TOY STORY BUZZ A N023:NAVY BLUE:5:GRAPHIC:SHORT PANTS</t>
  </si>
  <si>
    <t>66020100TS SHORT TOY STORY BUZZ A N023:NAVY BLUE:6:GRAPHIC:SHORT PANTS</t>
  </si>
  <si>
    <t>66020100TS SHORT TOY STORY BUZZ A N023:NAVY BLUE:7-8:GRAPHIC:SHORT PANTS</t>
  </si>
  <si>
    <t>HR-087</t>
  </si>
  <si>
    <t>66020100TS SHORT TOY STORY BUDDY KTG A HR-087:LIGHT BROWN:4:GRAPHIC:SHORT PANTS</t>
  </si>
  <si>
    <t>66020100TS SHORT TOY STORY BUDDY KTG A HR-087:LIGHT BROWN:5:GRAPHIC:SHORT PANTS</t>
  </si>
  <si>
    <t>66020100TS SHORT TOY STORY BUDDY KTG A HR-087:LIGHT BROWN:6:GRAPHIC:SHORT PANTS</t>
  </si>
  <si>
    <t>66020100TS SHORT TOY STORY BUDDY KTG A HR-087:LIGHT BROWN:7-8:GRAPHIC:SHORT PANTS</t>
  </si>
  <si>
    <t>HR-044</t>
  </si>
  <si>
    <t>66020100TS TS TOY STORY ROWDY C HR-044:LIGHT GREY:7-8:GRAPHIC:SS T-SHIRT</t>
  </si>
  <si>
    <t>66020100TS TS TOY STORY ROWDY C HR-044:LIGHT GREY:9-10:GRAPHIC:SS T-SHIRT</t>
  </si>
  <si>
    <t>66020100TS TS TOY STORY ROWDY C HR-044:LIGHT GREY:11-12:GRAPHIC:SS T-SHIRT</t>
  </si>
  <si>
    <t>66020100TS TS TOY STORY ROWDY C HR-044:LIGHT GREY:13-14:GRAPHIC:SS T-SHIRT</t>
  </si>
  <si>
    <t>HR-090</t>
  </si>
  <si>
    <t>66020100TS JAKET TOY STORY PRINT BLKG C HR-090:NAVY BLUE:7-8:GRAPHIC:JACKET</t>
  </si>
  <si>
    <t>66020100TS JAKET TOY STORY PRINT BLKG C HR-090:NAVY BLUE:9-10:GRAPHIC:JACKET</t>
  </si>
  <si>
    <t>66020100TS JAKET TOY STORY PRINT BLKG C HR-090:NAVY BLUE:11-12:GRAPHIC:JACKET</t>
  </si>
  <si>
    <t>66020100TS JAKET TOY STORY PRINT BLKG C HR-090:NAVY BLUE:13-14:GRAPHIC:JACKET</t>
  </si>
  <si>
    <t>KIBD3</t>
  </si>
  <si>
    <t>JOGGER DENIM TOY STORY LOGO C KIBD3:MEDIUM DENIM:7-8:GRAPHIC:JOGGER</t>
  </si>
  <si>
    <t>JOGGER DENIM TOY STORY LOGO C KIBD3:MEDIUM DENIM:9-10:GRAPHIC:JOGGER</t>
  </si>
  <si>
    <t>JOGGER DENIM TOY STORY LOGO C KIBD3:MEDIUM DENIM:11-12:GRAPHIC:JOGGER</t>
  </si>
  <si>
    <t>JOGGER DENIM TOY STORY LOGO C KIBD3:MEDIUM DENIM:13-14:GRAPHIC:JOGGER</t>
  </si>
  <si>
    <t>ZOO-HN003</t>
  </si>
  <si>
    <t>TS ZOOTOPIA NICK ZOO-HN003:PASTEL BLUE:7-8:GRAPHIC:SS T-SHIRT</t>
  </si>
  <si>
    <t>TS ZOOTOPIA NICK ZOO-HN003:PASTEL BLUE:9-10:GRAPHIC:SS T-SHIRT</t>
  </si>
  <si>
    <t>TS ZOOTOPIA NICK ZOO-HN003:PASTEL BLUE:11-12:GRAPHIC:SS T-SHIRT</t>
  </si>
  <si>
    <t>TS ZOOTOPIA NICK ZOO-HN003:PASTEL BLUE:13-14:GRAPHIC:SS T-SHIRT</t>
  </si>
  <si>
    <t>ZOO-HN004</t>
  </si>
  <si>
    <t>TS ZOOTOPIA BONNIE ZOO-HN004:PASTEL GREEN:7-8:GRAPHIC:SS T-SHIRT</t>
  </si>
  <si>
    <t>TS ZOOTOPIA BONNIE ZOO-HN004:PASTEL GREEN:9-10:GRAPHIC:SS T-SHIRT</t>
  </si>
  <si>
    <t>TS ZOOTOPIA BONNIE ZOO-HN004:PASTEL GREEN:11-12:GRAPHIC:SS T-SHIRT</t>
  </si>
  <si>
    <t>TS ZOOTOPIA BONNIE ZOO-HN004:PASTEL GREEN:13-14:GRAPHIC:SS T-SHIRT</t>
  </si>
  <si>
    <t>ZOO-HN002</t>
  </si>
  <si>
    <t>TS ZOOTOPIA FLASH ZOO-HN002:WHITE:7-8:GRAPHIC:SS T-SHIRT</t>
  </si>
  <si>
    <t>TS ZOOTOPIA FLASH ZOO-HN002:WHITE:9-10:GRAPHIC:SS T-SHIRT</t>
  </si>
  <si>
    <t>TS ZOOTOPIA FLASH ZOO-HN002:WHITE:11-12:GRAPHIC:SS T-SHIRT</t>
  </si>
  <si>
    <t>TS ZOOTOPIA FLASH ZOO-HN002:WHITE:13-14:GRAPHIC:SS T-SHIRT</t>
  </si>
  <si>
    <t>ZOO-HR134</t>
  </si>
  <si>
    <t>SHORT ZOOTOPIA NICK KTG ZOO-HR134:CHARCOAL:7-8:GRAPHIC:SHORT PANTS</t>
  </si>
  <si>
    <t>SHORT ZOOTOPIA NICK KTG ZOO-HR134:CHARCOAL:9-10:GRAPHIC:SHORT PANTS</t>
  </si>
  <si>
    <t>SHORT ZOOTOPIA NICK KTG ZOO-HR134:CHARCOAL:11-12:GRAPHIC:SHORT PANTS</t>
  </si>
  <si>
    <t>SHORT ZOOTOPIA NICK KTG ZOO-HR134:CHARCOAL:13-14:GRAPHIC:SHORT PANTS</t>
  </si>
  <si>
    <t>HR-121</t>
  </si>
  <si>
    <t>JOGGER KNIT MARVEL VS HR-121:BLACK:4:GRAPHIC:JOGGER</t>
  </si>
  <si>
    <t>JOGGER KNIT MARVEL VS HR-121:BLACK:5:GRAPHIC:JOGGER</t>
  </si>
  <si>
    <t>JOGGER KNIT MARVEL VS HR-121:BLACK:6:GRAPHIC:JOGGER</t>
  </si>
  <si>
    <t>JOGGER KNIT MARVEL VS HR-121:BLACK:7-8:GRAPHIC:JOGGER</t>
  </si>
  <si>
    <t>JOGGER KNIT MARVEL VS HR-121:BLACK:9-10:GRAPHIC:JOGGER</t>
  </si>
  <si>
    <t>JOGGER KNIT MARVEL VS HR-121:BLACK:11-12:GRAPHIC:JOGGER</t>
  </si>
  <si>
    <t>JOGGER KNIT MARVEL VS HR-121:BLACK:13-14:GRAPHIC:JOGGER</t>
  </si>
  <si>
    <t>CL76</t>
  </si>
  <si>
    <t>JAKET PARASUT CAPT AMERICA CL76:NAVY BLUE:4:GRAPHIC:JACKET</t>
  </si>
  <si>
    <t>JAKET PARASUT CAPT AMERICA CL76:NAVY BLUE:5:GRAPHIC:JACKET</t>
  </si>
  <si>
    <t>JAKET PARASUT CAPT AMERICA CL76:NAVY BLUE:6:GRAPHIC:JACKET</t>
  </si>
  <si>
    <t>JAKET PARASUT CAPT AMERICA CL76:NAVY BLUE:7-8:GRAPHIC:JACKET</t>
  </si>
  <si>
    <t>JAKET PARASUT CAPT AMERICA CL76:NAVY BLUE:9-10:GRAPHIC:JACKET</t>
  </si>
  <si>
    <t>JAKET PARASUT CAPT AMERICA CL76:NAVY BLUE:11-12:GRAPHIC:JACKET</t>
  </si>
  <si>
    <t>JAKET PARASUT CAPT AMERICA CL76:NAVY BLUE:13-14:GRAPHIC:JACKET</t>
  </si>
  <si>
    <t>N109</t>
  </si>
  <si>
    <t>TS MARVEL LOGO DEPAN N109:BLACK:4:GRAPHIC:SS T-SHIRT</t>
  </si>
  <si>
    <t>TS MARVEL LOGO DEPAN N109:BLACK:5:GRAPHIC:SS T-SHIRT</t>
  </si>
  <si>
    <t>TS MARVEL LOGO DEPAN N109:BLACK:6:GRAPHIC:SS T-SHIRT</t>
  </si>
  <si>
    <t>TS MARVEL LOGO DEPAN N109:BLACK:7-8:GRAPHIC:SS T-SHIRT</t>
  </si>
  <si>
    <t>TS MARVEL LOGO DEPAN N109:BLACK:9-10:GRAPHIC:SS T-SHIRT</t>
  </si>
  <si>
    <t>TS MARVEL LOGO DEPAN N109:BLACK:11-12:GRAPHIC:SS T-SHIRT</t>
  </si>
  <si>
    <t>TS MARVEL LOGO DEPAN N109:BLACK:13-14:GRAPHIC:SS T-SHIRT</t>
  </si>
  <si>
    <t>N107</t>
  </si>
  <si>
    <t>TS MARVEL HEROES PRINT DPN N107:NAVY BLUE:4:GRAPHIC:SS T-SHIRT</t>
  </si>
  <si>
    <t>TS MARVEL HEROES PRINT DPN N107:NAVY BLUE:5:GRAPHIC:SS T-SHIRT</t>
  </si>
  <si>
    <t>TS MARVEL HEROES PRINT DPN N107:NAVY BLUE:6:GRAPHIC:SS T-SHIRT</t>
  </si>
  <si>
    <t>TS MARVEL HEROES PRINT DPN N107:NAVY BLUE:7-8:GRAPHIC:SS T-SHIRT</t>
  </si>
  <si>
    <t>TS MARVEL HEROES PRINT DPN N107:NAVY BLUE:9-10:GRAPHIC:SS T-SHIRT</t>
  </si>
  <si>
    <t>TS MARVEL HEROES PRINT DPN N107:NAVY BLUE:11-12:GRAPHIC:SS T-SHIRT</t>
  </si>
  <si>
    <t>TS MARVEL HEROES PRINT DPN N107:NAVY BLUE:13-14:GRAPHIC:SS T-SHIRT</t>
  </si>
  <si>
    <t>GSPD16</t>
  </si>
  <si>
    <t>TS SPIDERMAN PATCH KOMIK GSPD16:CLASSIC RED:4:GRAPHIC:SS T-SHIRT</t>
  </si>
  <si>
    <t>TS SPIDERMAN PATCH KOMIK GSPD16:CLASSIC RED:5:GRAPHIC:SS T-SHIRT</t>
  </si>
  <si>
    <t>TS SPIDERMAN PATCH KOMIK GSPD16:CLASSIC RED:6:GRAPHIC:SS T-SHIRT</t>
  </si>
  <si>
    <t>TS SPIDERMAN PATCH KOMIK GSPD16:CLASSIC RED:7-8:GRAPHIC:SS T-SHIRT</t>
  </si>
  <si>
    <t>GS-032</t>
  </si>
  <si>
    <t>JACKET HOODY SPIDERMAN JARING GS-032:NAVY BLUE:4:GRAPHIC:JACKET</t>
  </si>
  <si>
    <t>JACKET HOODY SPIDERMAN JARING GS-032:NAVY BLUE:5:GRAPHIC:JACKET</t>
  </si>
  <si>
    <t>JACKET HOODY SPIDERMAN JARING GS-032:NAVY BLUE:6:GRAPHIC:JACKET</t>
  </si>
  <si>
    <t>JACKET HOODY SPIDERMAN JARING GS-032:NAVY BLUE:7-8:GRAPHIC:JACKET</t>
  </si>
  <si>
    <t>JACKET HOODY SPIDERMAN JARING GS-032:NAVY BLUE:9-10:GRAPHIC:JACKET</t>
  </si>
  <si>
    <t>JACKET HOODY SPIDERMAN JARING GS-032:NAVY BLUE:11-12:GRAPHIC:JACKET</t>
  </si>
  <si>
    <t>JACKET HOODY SPIDERMAN JARING GS-032:NAVY BLUE:13-14:GRAPHIC:JACKET</t>
  </si>
  <si>
    <t>N149</t>
  </si>
  <si>
    <t>SHORT KNIT SPD CUT SEW N149:MISTY LIGHT GREY:4:GRAPHIC:SHORT PANTS</t>
  </si>
  <si>
    <t>SHORT KNIT SPD CUT SEW N149:MISTY LIGHT GREY:5:GRAPHIC:SHORT PANTS</t>
  </si>
  <si>
    <t>SHORT KNIT SPD CUT SEW N149:MISTY LIGHT GREY:6:GRAPHIC:SHORT PANTS</t>
  </si>
  <si>
    <t>SHORT KNIT SPD CUT SEW N149:MISTY LIGHT GREY:7-8:GRAPHIC:SHORT PANTS</t>
  </si>
  <si>
    <t>SHORT KNIT SPD CUT SEW N149:MISTY LIGHT GREY:9-10:GRAPHIC:SHORT PANTS</t>
  </si>
  <si>
    <t>SHORT KNIT SPD CUT SEW N149:MISTY LIGHT GREY:11-12:GRAPHIC:SHORT PANTS</t>
  </si>
  <si>
    <t>SHORT KNIT SPD CUT SEW N149:MISTY LIGHT GREY:13-14:GRAPHIC:SHORT PANTS</t>
  </si>
  <si>
    <t>TPSPDR49</t>
  </si>
  <si>
    <t>68040202MCS TOPI SPD JARING FP EYE PLASTIC TPSPDR49:CLASSIC RED:F:PRINT:CAPS</t>
  </si>
  <si>
    <t>GGDH-4</t>
  </si>
  <si>
    <t>66020100MIC TS SALUR MICKEY HEAD BDR GGDH-4:WHITE:4:STRIPES:SS T-SHIRT</t>
  </si>
  <si>
    <t>66020100MIC TS SALUR MICKEY HEAD BDR GGDH-4:WHITE:5:STRIPES:SS T-SHIRT</t>
  </si>
  <si>
    <t>66020100MIC TS SALUR MICKEY HEAD BDR GGDH-4:WHITE:6:STRIPES:SS T-SHIRT</t>
  </si>
  <si>
    <t>66040100MIC TS SALUR MICKEY HEAD BDR GGDH-4:WHITE:7-8:STRIPES:SS T-SHIRT</t>
  </si>
  <si>
    <t>66040100MIC TS SALUR MICKEY HEAD BDR GGDH-4:WHITE:9-10:STRIPES:SS T-SHIRT</t>
  </si>
  <si>
    <t>66040100MIC TS SALUR MICKEY HEAD BDR GGDH-4:WHITE:11-12:STRIPES:SS T-SHIRT</t>
  </si>
  <si>
    <t>66060100MIC TS SALUR MICKEY HEAD BDR GGDH-4:WHITE:13-14:STRIPES:SS T-SHIRT</t>
  </si>
  <si>
    <t>GGDH-5</t>
  </si>
  <si>
    <t>66020100STD TS SALUR DONALD HEAD BDR GGDH-5:WHITE:4:STRIPES:SS T-SHIRT</t>
  </si>
  <si>
    <t>66020100STD TS SALUR DONALD HEAD BDR GGDH-5:WHITE:5:STRIPES:SS T-SHIRT</t>
  </si>
  <si>
    <t>66020100STD TS SALUR DONALD HEAD BDR GGDH-5:WHITE:6:STRIPES:SS T-SHIRT</t>
  </si>
  <si>
    <t>66040100STD TS SALUR DONALD HEAD BDR GGDH-5:WHITE:7-8:STRIPES:SS T-SHIRT</t>
  </si>
  <si>
    <t>66040100STD TS SALUR DONALD HEAD BDR GGDH-5:WHITE:9-10:STRIPES:SS T-SHIRT</t>
  </si>
  <si>
    <t>66040100STD TS SALUR DONALD HEAD BDR GGDH-5:WHITE:11-12:STRIPES:SS T-SHIRT</t>
  </si>
  <si>
    <t>66060100STD TS SALUR DONALD HEAD BDR GGDH-5:WHITE:13-14:STRIPES:SS T-SHIRT</t>
  </si>
  <si>
    <t>AVG-A77</t>
  </si>
  <si>
    <t>66020100OAV SWEATER AVG LOGO EMBOSS HD AVG-A77:NAVY BLUE:4:EMBOS:SWEATER</t>
  </si>
  <si>
    <t>66020100OAV SWEATER AVG LOGO EMBOSS HD AVG-A77:NAVY BLUE:5:EMBOS:SWEATER</t>
  </si>
  <si>
    <t>66020100OAV SWEATER AVG LOGO EMBOSS HD AVG-A77:NAVY BLUE:6:EMBOS:SWEATER</t>
  </si>
  <si>
    <t>66040100OAV SWEATER AVG LOGO EMBOSS HD AVG-A77:NAVY BLUE:7-8:EMBOS:SWEATER</t>
  </si>
  <si>
    <t>66040100OAV SWEATER AVG LOGO EMBOSS HD AVG-A77:NAVY BLUE:9-10:EMBOS:SWEATER</t>
  </si>
  <si>
    <t>66040100OAV SWEATER AVG LOGO EMBOSS HD AVG-A77:NAVY BLUE:11-12:EMBOS:SWEATER</t>
  </si>
  <si>
    <t>66060100OAV SWEATER AVG LOGO EMBOSS HD AVG-A77:NAVY BLUE:13-14:EMBOS:SWEATER</t>
  </si>
  <si>
    <t>AVG-A78</t>
  </si>
  <si>
    <t>66020100OAV JOGGER AVG LOGO EMBOSS HD AVG-A78:NAVY BLUE:4:EMBOS:JOGGER</t>
  </si>
  <si>
    <t>66020100OAV JOGGER AVG LOGO EMBOSS HD AVG-A78:NAVY BLUE:5:EMBOS:JOGGER</t>
  </si>
  <si>
    <t>66020100OAV JOGGER AVG LOGO EMBOSS HD AVG-A78:NAVY BLUE:6:EMBOS:JOGGER</t>
  </si>
  <si>
    <t>66040100OAV JOGGER AVG LOGO EMBOSS HD AVG-A78:NAVY BLUE:7-8:EMBOS:JOGGER</t>
  </si>
  <si>
    <t>66040100OAV JOGGER AVG LOGO EMBOSS HD AVG-A78:NAVY BLUE:9-10:EMBOS:JOGGER</t>
  </si>
  <si>
    <t>66040100OAV JOGGER AVG LOGO EMBOSS HD AVG-A78:NAVY BLUE:11-12:EMBOS:JOGGER</t>
  </si>
  <si>
    <t>66060100OAV JOGGER AVG LOGO EMBOSS HD AVG-A78:NAVY BLUE:13-14:EMBOS:JOGGER</t>
  </si>
  <si>
    <t>HR-112</t>
  </si>
  <si>
    <t>TS MARVEL VS IRONMAN HR-112:BLACK:4:GRAPHIC:SS T-SHIRT</t>
  </si>
  <si>
    <t>TS MARVEL VS IRONMAN HR-112:BLACK:5:GRAPHIC:SS T-SHIRT</t>
  </si>
  <si>
    <t>TS MARVEL VS IRONMAN HR-112:BLACK:6:GRAPHIC:SS T-SHIRT</t>
  </si>
  <si>
    <t>TS MARVEL VS IRONMAN HR-112:BLACK:7-8:GRAPHIC:SS T-SHIRT</t>
  </si>
  <si>
    <t>TS MARVEL VS IRONMAN HR-112:BLACK:9-10:GRAPHIC:SS T-SHIRT</t>
  </si>
  <si>
    <t>TS MARVEL VS IRONMAN HR-112:BLACK:11-12:GRAPHIC:SS T-SHIRT</t>
  </si>
  <si>
    <t>TS MARVEL VS IRONMAN HR-112:BLACK:13-14:GRAPHIC:SS T-SHIRT</t>
  </si>
  <si>
    <t>HR-111</t>
  </si>
  <si>
    <t>TS MARVEL VS VENOM SELECT HR-111:NAVY BLUE:4:GRAPHIC:SS T-SHIRT</t>
  </si>
  <si>
    <t>TS MARVEL VS VENOM SELECT HR-111:NAVY BLUE:5:GRAPHIC:SS T-SHIRT</t>
  </si>
  <si>
    <t>TS MARVEL VS VENOM SELECT HR-111:NAVY BLUE:6:GRAPHIC:SS T-SHIRT</t>
  </si>
  <si>
    <t>TS MARVEL VS VENOM SELECT HR-111:NAVY BLUE:7-8:GRAPHIC:SS T-SHIRT</t>
  </si>
  <si>
    <t>TS MARVEL VS VENOM SELECT HR-111:NAVY BLUE:9-10:GRAPHIC:SS T-SHIRT</t>
  </si>
  <si>
    <t>TS MARVEL VS VENOM SELECT HR-111:NAVY BLUE:11-12:GRAPHIC:SS T-SHIRT</t>
  </si>
  <si>
    <t>TS MARVEL VS VENOM SELECT HR-111:NAVY BLUE:13-14:GRAPHIC:SS T-SHIRT</t>
  </si>
  <si>
    <t>HR-113</t>
  </si>
  <si>
    <t>TS MARVEL VS VENOM FACE HR-113:BLACK:4:GRAPHIC:SS T-SHIRT</t>
  </si>
  <si>
    <t>TS MARVEL VS VENOM FACE HR-113:BLACK:5:GRAPHIC:SS T-SHIRT</t>
  </si>
  <si>
    <t>TS MARVEL VS VENOM FACE HR-113:BLACK:6:GRAPHIC:SS T-SHIRT</t>
  </si>
  <si>
    <t>TS MARVEL VS VENOM FACE HR-113:BLACK:7-8:GRAPHIC:SS T-SHIRT</t>
  </si>
  <si>
    <t>TS MARVEL VS VENOM FACE HR-113:BLACK:9-10:GRAPHIC:SS T-SHIRT</t>
  </si>
  <si>
    <t>TS MARVEL VS VENOM FACE HR-113:BLACK:11-12:GRAPHIC:SS T-SHIRT</t>
  </si>
  <si>
    <t>TS MARVEL VS VENOM FACE HR-113:BLACK:13-14:GRAPHIC:SS T-SHIRT</t>
  </si>
  <si>
    <t>N150</t>
  </si>
  <si>
    <t>TS MARVEL VS VENOM SPD N150:PASTEL BLUE:4:GRAPHIC:SS T-SHIRT</t>
  </si>
  <si>
    <t>TS MARVEL VS VENOM SPD N150:PASTEL BLUE:5:GRAPHIC:SS T-SHIRT</t>
  </si>
  <si>
    <t>TS MARVEL VS VENOM SPD N150:PASTEL BLUE:6:GRAPHIC:SS T-SHIRT</t>
  </si>
  <si>
    <t>TS MARVEL VS VENOM SPD N150:PASTEL BLUE:7-8:GRAPHIC:SS T-SHIRT</t>
  </si>
  <si>
    <t>TS MARVEL VS VENOM SPD N150:PASTEL BLUE:9-10:GRAPHIC:SS T-SHIRT</t>
  </si>
  <si>
    <t>TS MARVEL VS VENOM SPD N150:PASTEL BLUE:11-12:GRAPHIC:SS T-SHIRT</t>
  </si>
  <si>
    <t>TS MARVEL VS VENOM SPD N150:PASTEL BLUE:13-14:GRAPHIC:SS T-SHIRT</t>
  </si>
  <si>
    <t>HR-131</t>
  </si>
  <si>
    <t>SHORT KNIT MARVEL VS HR-131:CHARCOAL:4:GRAPHIC:SHORT PANTS</t>
  </si>
  <si>
    <t>SHORT KNIT MARVEL VS HR-131:CHARCOAL:5:GRAPHIC:SHORT PANTS</t>
  </si>
  <si>
    <t>SHORT KNIT MARVEL VS HR-131:CHARCOAL:6:GRAPHIC:SHORT PANTS</t>
  </si>
  <si>
    <t>SHORT KNIT MARVEL VS HR-131:CHARCOAL:7-8:GRAPHIC:SHORT PANTS</t>
  </si>
  <si>
    <t>SHORT KNIT MARVEL VS HR-131:CHARCOAL:9-10:GRAPHIC:SHORT PANTS</t>
  </si>
  <si>
    <t>SHORT KNIT MARVEL VS HR-131:CHARCOAL:11-12:GRAPHIC:SHORT PANTS</t>
  </si>
  <si>
    <t>SHORT KNIT MARVEL VS HR-131:CHARCOAL:13-14:GRAPHIC:SHORT PANTS</t>
  </si>
  <si>
    <t>HN003A</t>
  </si>
  <si>
    <t>TS AVENGERS LOGOS BLKG HN003A:NAVY BLUE:4:GRAPHIC:SS T-SHIRT</t>
  </si>
  <si>
    <t>TS AVENGERS LOGOS BLKG HN003A:NAVY BLUE:5:GRAPHIC:SS T-SHIRT</t>
  </si>
  <si>
    <t>TS AVENGERS LOGOS BLKG HN003A:NAVY BLUE:6:GRAPHIC:SS T-SHIRT</t>
  </si>
  <si>
    <t>TS AVENGERS LOGOS BLKG HN003A:NAVY BLUE:7-8:GRAPHIC:SS T-SHIRT</t>
  </si>
  <si>
    <t>TS AVENGERS LOGOS BLKG HN003A:NAVY BLUE:9-10:GRAPHIC:SS T-SHIRT</t>
  </si>
  <si>
    <t>TS AVENGERS LOGOS BLKG HN003A:NAVY BLUE:11-12:GRAPHIC:SS T-SHIRT</t>
  </si>
  <si>
    <t>TS AVENGERS LOGOS BLKG HN003A:NAVY BLUE:13-14:GRAPHIC:SS T-SHIRT</t>
  </si>
  <si>
    <t>AVG-N058</t>
  </si>
  <si>
    <t>TS IRONMAN HEAD FLOCKING GOLD AVG-N058:BLACK:4:GRAPHIC:SS T-SHIRT</t>
  </si>
  <si>
    <t>TS IRONMAN HEAD FLOCKING GOLD AVG-N058:BLACK:5:GRAPHIC:SS T-SHIRT</t>
  </si>
  <si>
    <t>TS IRONMAN HEAD FLOCKING GOLD AVG-N058:BLACK:6:GRAPHIC:SS T-SHIRT</t>
  </si>
  <si>
    <t>TS IRONMAN HEAD FLOCKING GOLD AVG-N058:BLACK:7-8:GRAPHIC:SS T-SHIRT</t>
  </si>
  <si>
    <t>TS IRONMAN HEAD FLOCKING GOLD AVG-N058:BLACK:9-10:GRAPHIC:SS T-SHIRT</t>
  </si>
  <si>
    <t>TS IRONMAN HEAD FLOCKING GOLD AVG-N058:BLACK:11-12:GRAPHIC:SS T-SHIRT</t>
  </si>
  <si>
    <t>TS IRONMAN HEAD FLOCKING GOLD AVG-N058:BLACK:13-14:GRAPHIC:SS T-SHIRT</t>
  </si>
  <si>
    <t>N114A</t>
  </si>
  <si>
    <t>TS MARVEL HEROES N114A:PASTEL GREY:4:GRAPHIC:SS T-SHIRT</t>
  </si>
  <si>
    <t>TS MARVEL HEROES N114A:PASTEL GREY:5:GRAPHIC:SS T-SHIRT</t>
  </si>
  <si>
    <t>TS MARVEL HEROES N114A:PASTEL GREY:6:GRAPHIC:SS T-SHIRT</t>
  </si>
  <si>
    <t>TS MARVEL HEROES N114A:PASTEL GREY:7-8:GRAPHIC:SS T-SHIRT</t>
  </si>
  <si>
    <t>TS MARVEL HEROES N114A:PASTEL GREY:9-10:GRAPHIC:SS T-SHIRT</t>
  </si>
  <si>
    <t>TS MARVEL HEROES N114A:PASTEL GREY:11-12:GRAPHIC:SS T-SHIRT</t>
  </si>
  <si>
    <t>TS MARVEL HEROES N114A:PASTEL GREY:13-14:GRAPHIC:SS T-SHIRT</t>
  </si>
  <si>
    <t>AVG-W03A</t>
  </si>
  <si>
    <t>TS HULK ACTION PRINT BLKG AVG-W03A:CLASSIC GREEN:4:GRAPHIC:SS T-SHIRT</t>
  </si>
  <si>
    <t>TS HULK ACTION PRINT BLKG AVG-W03A:CLASSIC GREEN:5:GRAPHIC:SS T-SHIRT</t>
  </si>
  <si>
    <t>TS HULK ACTION PRINT BLKG AVG-W03A:CLASSIC GREEN:6:GRAPHIC:SS T-SHIRT</t>
  </si>
  <si>
    <t>TS HULK ACTION PRINT BLKG AVG-W03A:CLASSIC GREEN:7-8:GRAPHIC:SS T-SHIRT</t>
  </si>
  <si>
    <t>TS HULK ACTION PRINT BLKG AVG-W03A:CLASSIC GREEN:9-10:GRAPHIC:SS T-SHIRT</t>
  </si>
  <si>
    <t>TS HULK ACTION PRINT BLKG AVG-W03A:CLASSIC GREEN:11-12:GRAPHIC:SS T-SHIRT</t>
  </si>
  <si>
    <t>TS HULK ACTION PRINT BLKG AVG-W03A:CLASSIC GREEN:13-14:GRAPHIC:SS T-SHIRT</t>
  </si>
  <si>
    <t>HR-124</t>
  </si>
  <si>
    <t>TS SPIDERMAN HEAD HD HR-124:BLACK:4:GRAPHIC:SS T-SHIRT</t>
  </si>
  <si>
    <t>TS SPIDERMAN HEAD HD HR-124:BLACK:5:GRAPHIC:SS T-SHIRT</t>
  </si>
  <si>
    <t>TS SPIDERMAN HEAD HD HR-124:BLACK:6:GRAPHIC:SS T-SHIRT</t>
  </si>
  <si>
    <t>TS SPIDERMAN HEAD HD HR-124:BLACK:7-8:GRAPHIC:SS T-SHIRT</t>
  </si>
  <si>
    <t>TS SPIDERMAN HEAD HD HR-124:BLACK:9-10:GRAPHIC:SS T-SHIRT</t>
  </si>
  <si>
    <t>TS SPIDERMAN HEAD HD HR-124:BLACK:11-12:GRAPHIC:SS T-SHIRT</t>
  </si>
  <si>
    <t>TS SPIDERMAN HEAD HD HR-124:BLACK:13-14:GRAPHIC:SS T-SHIRT</t>
  </si>
  <si>
    <t>N163</t>
  </si>
  <si>
    <t>SWEATSHIRT SPIDERMAN N163:MISTY MEDIUM GREY:4:GRAPHIC:SWEATSHIRT</t>
  </si>
  <si>
    <t>SWEATSHIRT SPIDERMAN N163:MISTY MEDIUM GREY:5:GRAPHIC:SWEATSHIRT</t>
  </si>
  <si>
    <t>SWEATSHIRT SPIDERMAN N163:MISTY MEDIUM GREY:6:GRAPHIC:SWEATSHIRT</t>
  </si>
  <si>
    <t>SWEATSHIRT SPIDERMAN N163:MISTY MEDIUM GREY:7-8:GRAPHIC:SWEATSHIRT</t>
  </si>
  <si>
    <t>SWEATSHIRT SPIDERMAN N163:MISTY MEDIUM GREY:9-10:GRAPHIC:SWEATSHIRT</t>
  </si>
  <si>
    <t>SWEATSHIRT SPIDERMAN N163:MISTY MEDIUM GREY:11-12:GRAPHIC:SWEATSHIRT</t>
  </si>
  <si>
    <t>SWEATSHIRT SPIDERMAN N163:MISTY MEDIUM GREY:13-14:GRAPHIC:SWEATSHIRT</t>
  </si>
  <si>
    <t>66020100TS TS TOY STORY TEAMS HR-088:WHITE:9-10:GRAPHIC:SS T-SHIRT</t>
  </si>
  <si>
    <t>66020100TS TS TOY STORY TEAMS HR-088:WHITE:11-12:GRAPHIC:SS T-SHIRT</t>
  </si>
  <si>
    <t>66020100TS TS TOY STORY TEAMS HR-088:WHITE:13-14:GRAPHIC:SS T-SHIRT</t>
  </si>
  <si>
    <t>SW-HR17</t>
  </si>
  <si>
    <t>66020100SWS TS STARWARS STORMHEAD SW-HR17:WHITE:4:GRAPHIC:SS T-SHIRT</t>
  </si>
  <si>
    <t>66020100SWS TS STARWARS STORMHEAD SW-HR17:WHITE:5:GRAPHIC:SS T-SHIRT</t>
  </si>
  <si>
    <t>66020100SWS TS STARWARS STORMHEAD SW-HR17:WHITE:6:GRAPHIC:SS T-SHIRT</t>
  </si>
  <si>
    <t>66040100SWS TS STARWARS STORMHEAD SW-HR17:WHITE:7-8:GRAPHIC:SS T-SHIRT</t>
  </si>
  <si>
    <t>66040100SWS TS STARWARS STORMHEAD SW-HR17:WHITE:9-10:GRAPHIC:SS T-SHIRT</t>
  </si>
  <si>
    <t>66040100SWS TS STARWARS STORMHEAD SW-HR17:WHITE:11-12:GRAPHIC:SS T-SHIRT</t>
  </si>
  <si>
    <t>66060100SWS TS STARWARS STORMHEAD SW-HR17:WHITE:13-14:GRAPHIC:SS T-SHIRT</t>
  </si>
  <si>
    <t>SW-HN024</t>
  </si>
  <si>
    <t>66020100SWS TS STARWARS STORMSHIP KANTONG SW-HN024:CHARCOAL:4:GRAPHIC:SS T-SHIRT</t>
  </si>
  <si>
    <t>66020100SWS TS STARWARS STORMSHIP KANTONG SW-HN024:CHARCOAL:5:GRAPHIC:SS T-SHIRT</t>
  </si>
  <si>
    <t>66020100SWS TS STARWARS STORMSHIP KANTONG SW-HN024:CHARCOAL:6:GRAPHIC:SS T-SHIRT</t>
  </si>
  <si>
    <t>66040100SWS TS STARWARS STORMSHIP KANTONG SW-HN024:CHARCOAL:7-8:GRAPHIC:SS T-SHIRT</t>
  </si>
  <si>
    <t>66040100SWS TS STARWARS STORMSHIP KANTONG SW-HN024:CHARCOAL:9-10:GRAPHIC:SS T-SHIRT</t>
  </si>
  <si>
    <t>66040100SWS TS STARWARS STORMSHIP KANTONG SW-HN024:CHARCOAL:11-12:GRAPHIC:SS T-SHIRT</t>
  </si>
  <si>
    <t>66060100SWS TS STARWARS STORMSHIP KANTONG SW-HN024:CHARCOAL:13-14:GRAPHIC:SS T-SHIRT</t>
  </si>
  <si>
    <t>HN001</t>
  </si>
  <si>
    <t>SS T-SHIRT MICKEY LOGO BDR PRINT BLKG HN001:NAVY BLUE:4:GRAPHIC:SS T-SHIRT</t>
  </si>
  <si>
    <t>SS T-SHIRT MICKEY LOGO BDR PRINT BLKG HN001:NAVY BLUE:5:GRAPHIC:SS T-SHIRT</t>
  </si>
  <si>
    <t>SS T-SHIRT MICKEY LOGO BDR PRINT BLKG HN001:NAVY BLUE:6:GRAPHIC:SS T-SHIRT</t>
  </si>
  <si>
    <t>SS T-SHIRT MICKEY LOGO BDR PRINT BLKG HN001:NAVY BLUE:7-8:GRAPHIC:SS T-SHIRT</t>
  </si>
  <si>
    <t>SS T-SHIRT MICKEY LOGO BDR PRINT BLKG HN001:NAVY BLUE:9-10:GRAPHIC:SS T-SHIRT</t>
  </si>
  <si>
    <t>SS T-SHIRT MICKEY LOGO BDR PRINT BLKG HN001:NAVY BLUE:11-12:GRAPHIC:SS T-SHIRT</t>
  </si>
  <si>
    <t>SS T-SHIRT MICKEY LOGO BDR PRINT BLKG HN001:NAVY BLUE:13-14:GRAPHIC:SS T-SHIRT</t>
  </si>
  <si>
    <t>HN002</t>
  </si>
  <si>
    <t>SS T-SHIRT MICKEY FUNDAY HN002:WHITE:4:GRAPHIC:SS T-SHIRT</t>
  </si>
  <si>
    <t>SS T-SHIRT MICKEY FUNDAY HN002:WHITE:5:GRAPHIC:SS T-SHIRT</t>
  </si>
  <si>
    <t>SS T-SHIRT MICKEY FUNDAY HN002:WHITE:6:GRAPHIC:SS T-SHIRT</t>
  </si>
  <si>
    <t>SS T-SHIRT MICKEY FUNDAY HN002:WHITE:7-8:GRAPHIC:SS T-SHIRT</t>
  </si>
  <si>
    <t>SS T-SHIRT MICKEY FUNDAY HN002:WHITE:9-10:GRAPHIC:SS T-SHIRT</t>
  </si>
  <si>
    <t>SS T-SHIRT MICKEY FUNDAY HN002:WHITE:11-12:GRAPHIC:SS T-SHIRT</t>
  </si>
  <si>
    <t>SS T-SHIRT MICKEY FUNDAY HN002:WHITE:13-14:GRAPHIC:SS T-SHIRT</t>
  </si>
  <si>
    <t>N093</t>
  </si>
  <si>
    <t>SS T-SHIRT CAPT AMERICA N093:PASTEL BLUE:4:GRAPHIC:SS T-SHIRT</t>
  </si>
  <si>
    <t>SS T-SHIRT CAPT AMERICA N093:PASTEL BLUE:5:GRAPHIC:SS T-SHIRT</t>
  </si>
  <si>
    <t>SS T-SHIRT CAPT AMERICA N093:PASTEL BLUE:6:GRAPHIC:SS T-SHIRT</t>
  </si>
  <si>
    <t>SS T-SHIRT CAPT AMERICA N093:PASTEL BLUE:7-8:GRAPHIC:SS T-SHIRT</t>
  </si>
  <si>
    <t>SS T-SHIRT CAPT AMERICA N093:PASTEL BLUE:9-10:GRAPHIC:SS T-SHIRT</t>
  </si>
  <si>
    <t>SS T-SHIRT CAPT AMERICA N093:PASTEL BLUE:11-12:GRAPHIC:SS T-SHIRT</t>
  </si>
  <si>
    <t>SS T-SHIRT CAPT AMERICA N093:PASTEL BLUE:13-14:GRAPHIC:SS T-SHIRT</t>
  </si>
  <si>
    <t>N095</t>
  </si>
  <si>
    <t>SS T-SHIRT MARVEL COMICS TEAMS ALL N095:BLACK:4:GRAPHIC:SS T-SHIRT</t>
  </si>
  <si>
    <t>SS T-SHIRT MARVEL COMICS TEAMS ALL N095:BLACK:5:GRAPHIC:SS T-SHIRT</t>
  </si>
  <si>
    <t>SS T-SHIRT MARVEL COMICS TEAMS ALL N095:BLACK:6:GRAPHIC:SS T-SHIRT</t>
  </si>
  <si>
    <t>SS T-SHIRT MARVEL COMICS TEAMS ALL N095:BLACK:7-8:GRAPHIC:SS T-SHIRT</t>
  </si>
  <si>
    <t>SS T-SHIRT MARVEL COMICS TEAMS ALL N095:BLACK:9-10:GRAPHIC:SS T-SHIRT</t>
  </si>
  <si>
    <t>SS T-SHIRT MARVEL COMICS TEAMS ALL N095:BLACK:11-12:GRAPHIC:SS T-SHIRT</t>
  </si>
  <si>
    <t>SS T-SHIRT MARVEL COMICS TEAMS ALL N095:BLACK:13-14:GRAPHIC:SS T-SHIRT</t>
  </si>
  <si>
    <t>AVG-W04</t>
  </si>
  <si>
    <t>SS T-SHIRT MARVEL LOGO DPN TULISAN AVG-W04:NAVY BLUE:4:GRAPHIC:SS T-SHIRT</t>
  </si>
  <si>
    <t>SS T-SHIRT MARVEL LOGO DPN TULISAN AVG-W04:NAVY BLUE:5:GRAPHIC:SS T-SHIRT</t>
  </si>
  <si>
    <t>SS T-SHIRT MARVEL LOGO DPN TULISAN AVG-W04:NAVY BLUE:6:GRAPHIC:SS T-SHIRT</t>
  </si>
  <si>
    <t>SS T-SHIRT MARVEL LOGO DPN TULISAN AVG-W04:NAVY BLUE:7-8:GRAPHIC:SS T-SHIRT</t>
  </si>
  <si>
    <t>SS T-SHIRT MARVEL LOGO DPN TULISAN AVG-W04:NAVY BLUE:9-10:GRAPHIC:SS T-SHIRT</t>
  </si>
  <si>
    <t>SS T-SHIRT MARVEL LOGO DPN TULISAN AVG-W04:NAVY BLUE:11-12:GRAPHIC:SS T-SHIRT</t>
  </si>
  <si>
    <t>SS T-SHIRT MARVEL LOGO DPN TULISAN AVG-W04:NAVY BLUE:13-14:GRAPHIC:SS T-SHIRT</t>
  </si>
  <si>
    <t>N094</t>
  </si>
  <si>
    <t>SS T-SHIRT SPIDERMAN ACTION PRINT BLKG N094:MISTY MEDIUM GREY:4:GRAPHIC:SS T-SHIRT</t>
  </si>
  <si>
    <t>SS T-SHIRT SPIDERMAN ACTION PRINT BLKG N094:MISTY MEDIUM GREY:5:GRAPHIC:SS T-SHIRT</t>
  </si>
  <si>
    <t>SS T-SHIRT SPIDERMAN ACTION PRINT BLKG N094:MISTY MEDIUM GREY:6:GRAPHIC:SS T-SHIRT</t>
  </si>
  <si>
    <t>SS T-SHIRT SPIDERMAN ACTION PRINT BLKG N094:MISTY MEDIUM GREY:7-8:GRAPHIC:SS T-SHIRT</t>
  </si>
  <si>
    <t>SS T-SHIRT SPIDERMAN ACTION PRINT BLKG N094:MISTY MEDIUM GREY:9-10:GRAPHIC:SS T-SHIRT</t>
  </si>
  <si>
    <t>SS T-SHIRT SPIDERMAN ACTION PRINT BLKG N094:MISTY MEDIUM GREY:11-12:GRAPHIC:SS T-SHIRT</t>
  </si>
  <si>
    <t>SS T-SHIRT SPIDERMAN ACTION PRINT BLKG N094:MISTY MEDIUM GREY:13-14:GRAPHIC:SS T-SHIRT</t>
  </si>
  <si>
    <t>N115</t>
  </si>
  <si>
    <t>SS T-SHIRT MARVEL COMICS ALL HEROES N115:BLACK:4:GRAPHIC:SS T-SHIRT</t>
  </si>
  <si>
    <t>SS T-SHIRT MARVEL COMICS ALL HEROES N115:BLACK:5:GRAPHIC:SS T-SHIRT</t>
  </si>
  <si>
    <t>SS T-SHIRT MARVEL COMICS ALL HEROES N115:BLACK:6:GRAPHIC:SS T-SHIRT</t>
  </si>
  <si>
    <t>SS T-SHIRT MARVEL COMICS ALL HEROES N115:BLACK:7-8:GRAPHIC:SS T-SHIRT</t>
  </si>
  <si>
    <t>SS T-SHIRT MARVEL COMICS ALL HEROES N115:BLACK:9-10:GRAPHIC:SS T-SHIRT</t>
  </si>
  <si>
    <t>SS T-SHIRT MARVEL COMICS ALL HEROES N115:BLACK:11-12:GRAPHIC:SS T-SHIRT</t>
  </si>
  <si>
    <t>SS T-SHIRT MARVEL COMICS ALL HEROES N115:BLACK:13-14:GRAPHIC:SS T-SHIRT</t>
  </si>
  <si>
    <t>N092</t>
  </si>
  <si>
    <t>SWEATER HOODY MARVEL TEAMS BLKG N092:CHARCOAL:4:GRAPHIC:SWEATER</t>
  </si>
  <si>
    <t>SWEATER HOODY MARVEL TEAMS BLKG N092:CHARCOAL:5:GRAPHIC:SWEATER</t>
  </si>
  <si>
    <t>SWEATER HOODY MARVEL TEAMS BLKG N092:CHARCOAL:6:GRAPHIC:SWEATER</t>
  </si>
  <si>
    <t>SWEATER HOODY MARVEL TEAMS BLKG N092:CHARCOAL:7-8:GRAPHIC:SWEATER</t>
  </si>
  <si>
    <t>SWEATER HOODY MARVEL TEAMS BLKG N092:CHARCOAL:9-10:GRAPHIC:SWEATER</t>
  </si>
  <si>
    <t>SWEATER HOODY MARVEL TEAMS BLKG N092:CHARCOAL:11-12:GRAPHIC:SWEATER</t>
  </si>
  <si>
    <t>SWEATER HOODY MARVEL TEAMS BLKG N092:CHARCOAL:13-14:GRAPHIC:SWEATER</t>
  </si>
  <si>
    <t>N127</t>
  </si>
  <si>
    <t>SHORT PANTS KNIT MARVEL COMICS N127:BLACK:4:GRAPHIC:SHORT PANTS</t>
  </si>
  <si>
    <t>SHORT PANTS KNIT MARVEL COMICS N127:BLACK:5:GRAPHIC:SHORT PANTS</t>
  </si>
  <si>
    <t>SHORT PANTS KNIT MARVEL COMICS N127:BLACK:6:GRAPHIC:SHORT PANTS</t>
  </si>
  <si>
    <t>SHORT PANTS KNIT MARVEL COMICS N127:BLACK:7-8:GRAPHIC:SHORT PANTS</t>
  </si>
  <si>
    <t>SHORT PANTS KNIT MARVEL COMICS N127:BLACK:9-10:GRAPHIC:SHORT PANTS</t>
  </si>
  <si>
    <t>SHORT PANTS KNIT MARVEL COMICS N127:BLACK:11-12:GRAPHIC:SHORT PANTS</t>
  </si>
  <si>
    <t>SHORT PANTS KNIT MARVEL COMICS N127:BLACK:13-14:GRAPHIC:SHORT PANTS</t>
  </si>
  <si>
    <t>W03</t>
  </si>
  <si>
    <t>SS T-SHIRT CAPT AMERICA DPN BLKG W03:WHITE:4:GRAPHIC:SS T-SHIRT</t>
  </si>
  <si>
    <t>SS T-SHIRT CAPT AMERICA DPN BLKG W03:WHITE:5:GRAPHIC:SS T-SHIRT</t>
  </si>
  <si>
    <t>SS T-SHIRT CAPT AMERICA DPN BLKG W03:WHITE:6:GRAPHIC:SS T-SHIRT</t>
  </si>
  <si>
    <t>SS T-SHIRT CAPT AMERICA DPN BLKG W03:WHITE:7-8:GRAPHIC:SS T-SHIRT</t>
  </si>
  <si>
    <t>SS T-SHIRT CAPT AMERICA DPN BLKG W03:WHITE:9-10:GRAPHIC:SS T-SHIRT</t>
  </si>
  <si>
    <t>SS T-SHIRT CAPT AMERICA DPN BLKG W03:WHITE:11-12:GRAPHIC:SS T-SHIRT</t>
  </si>
  <si>
    <t>SS T-SHIRT CAPT AMERICA DPN BLKG W03:WHITE:13-14:GRAPHIC:SS T-SHIRT</t>
  </si>
  <si>
    <t>N132</t>
  </si>
  <si>
    <t>SS T-SHIRT MARVEL LOGO TULISAN N132:CHARCOAL:4:GRAPHIC:SS T-SHIRT</t>
  </si>
  <si>
    <t>SS T-SHIRT MARVEL LOGO TULISAN N132:CHARCOAL:5:GRAPHIC:SS T-SHIRT</t>
  </si>
  <si>
    <t>SS T-SHIRT MARVEL LOGO TULISAN N132:CHARCOAL:6:GRAPHIC:SS T-SHIRT</t>
  </si>
  <si>
    <t>SS T-SHIRT MARVEL LOGO TULISAN N132:CHARCOAL:7-8:GRAPHIC:SS T-SHIRT</t>
  </si>
  <si>
    <t>SS T-SHIRT MARVEL LOGO TULISAN N132:CHARCOAL:9-10:GRAPHIC:SS T-SHIRT</t>
  </si>
  <si>
    <t>SS T-SHIRT MARVEL LOGO TULISAN N132:CHARCOAL:11-12:GRAPHIC:SS T-SHIRT</t>
  </si>
  <si>
    <t>SS T-SHIRT MARVEL LOGO TULISAN N132:CHARCOAL:13-14:GRAPHIC:SS T-SHIRT</t>
  </si>
  <si>
    <t>N155</t>
  </si>
  <si>
    <t>SS T-SHIRT IRONMAN BLKG ACTION N155:MISTY LIGHT KHAKI:4:GRAPHIC:SS T-SHIRT</t>
  </si>
  <si>
    <t>SS T-SHIRT IRONMAN BLKG ACTION N155:MISTY LIGHT KHAKI:5:GRAPHIC:SS T-SHIRT</t>
  </si>
  <si>
    <t>SS T-SHIRT IRONMAN BLKG ACTION N155:MISTY LIGHT KHAKI:6:GRAPHIC:SS T-SHIRT</t>
  </si>
  <si>
    <t>SS T-SHIRT IRONMAN BLKG ACTION N155:MISTY LIGHT KHAKI:7-8:GRAPHIC:SS T-SHIRT</t>
  </si>
  <si>
    <t>SS T-SHIRT IRONMAN BLKG ACTION N155:MISTY LIGHT KHAKI:9-10:GRAPHIC:SS T-SHIRT</t>
  </si>
  <si>
    <t>SS T-SHIRT IRONMAN BLKG ACTION N155:MISTY LIGHT KHAKI:11-12:GRAPHIC:SS T-SHIRT</t>
  </si>
  <si>
    <t>SS T-SHIRT IRONMAN BLKG ACTION N155:MISTY LIGHT KHAKI:13-14:GRAPHIC:SS T-SHIRT</t>
  </si>
  <si>
    <t>HR-132</t>
  </si>
  <si>
    <t>SS T-SHIRT MARVEL HERO CHIBBY HR-132:WHITE:4:GRAPHIC:SS T-SHIRT</t>
  </si>
  <si>
    <t>SS T-SHIRT MARVEL HERO CHIBBY HR-132:WHITE:5:GRAPHIC:SS T-SHIRT</t>
  </si>
  <si>
    <t>SS T-SHIRT MARVEL HERO CHIBBY HR-132:WHITE:6:GRAPHIC:SS T-SHIRT</t>
  </si>
  <si>
    <t>SS T-SHIRT MARVEL HERO CHIBBY HR-132:WHITE:7-8:GRAPHIC:SS T-SHIRT</t>
  </si>
  <si>
    <t>SS T-SHIRT MARVEL HERO CHIBBY HR-132:WHITE:9-10:GRAPHIC:SS T-SHIRT</t>
  </si>
  <si>
    <t>SS T-SHIRT MARVEL HERO CHIBBY HR-132:WHITE:11-12:GRAPHIC:SS T-SHIRT</t>
  </si>
  <si>
    <t>SS T-SHIRT MARVEL HERO CHIBBY HR-132:WHITE:13-14:GRAPHIC:SS T-SHIRT</t>
  </si>
  <si>
    <t>HR-128</t>
  </si>
  <si>
    <t>SS T-SHIRT MARVEL BAG SHAPE A HR-128:WHITE:4:GRAPHIC:SS T-SHIRT</t>
  </si>
  <si>
    <t>SS T-SHIRT MARVEL BAG SHAPE A HR-128:WHITE:5:GRAPHIC:SS T-SHIRT</t>
  </si>
  <si>
    <t>SS T-SHIRT MARVEL BAG SHAPE A HR-128:WHITE:6:GRAPHIC:SS T-SHIRT</t>
  </si>
  <si>
    <t>SS T-SHIRT MARVEL BAG SHAPE A HR-128:WHITE:7-8:GRAPHIC:SS T-SHIRT</t>
  </si>
  <si>
    <t>HN003</t>
  </si>
  <si>
    <t>SS T-SHIRT MARVEL TEAMS ANIME HN003:PASTEL YELLOW:4:GRAPHIC:SS T-SHIRT</t>
  </si>
  <si>
    <t>SS T-SHIRT MARVEL TEAMS ANIME HN003:PASTEL YELLOW:5:GRAPHIC:SS T-SHIRT</t>
  </si>
  <si>
    <t>SS T-SHIRT MARVEL TEAMS ANIME HN003:PASTEL YELLOW:6:GRAPHIC:SS T-SHIRT</t>
  </si>
  <si>
    <t>SS T-SHIRT MARVEL TEAMS ANIME HN003:PASTEL YELLOW:7-8:GRAPHIC:SS T-SHIRT</t>
  </si>
  <si>
    <t>SS T-SHIRT MARVEL TEAMS ANIME HN003:PASTEL YELLOW:9-10:GRAPHIC:SS T-SHIRT</t>
  </si>
  <si>
    <t>SS T-SHIRT MARVEL TEAMS ANIME HN003:PASTEL YELLOW:11-12:GRAPHIC:SS T-SHIRT</t>
  </si>
  <si>
    <t>SS T-SHIRT MARVEL TEAMS ANIME HN003:PASTEL YELLOW:13-14:GRAPHIC:SS T-SHIRT</t>
  </si>
  <si>
    <t>HN0010</t>
  </si>
  <si>
    <t>SS T-SHIRT AVENGER FUTURE ANIME HD HN0010:WHITE:4:GRAPHIC:SS T-SHIRT</t>
  </si>
  <si>
    <t>SS T-SHIRT AVENGER FUTURE ANIME HD HN0010:WHITE:5:GRAPHIC:SS T-SHIRT</t>
  </si>
  <si>
    <t>SS T-SHIRT AVENGER FUTURE ANIME HD HN0010:WHITE:6:GRAPHIC:SS T-SHIRT</t>
  </si>
  <si>
    <t>SS T-SHIRT AVENGER FUTURE ANIME HD HN0010:WHITE:7-8:GRAPHIC:SS T-SHIRT</t>
  </si>
  <si>
    <t>SS T-SHIRT AVENGER FUTURE ANIME HD HN0010:WHITE:9-10:GRAPHIC:SS T-SHIRT</t>
  </si>
  <si>
    <t>SS T-SHIRT AVENGER FUTURE ANIME HD HN0010:WHITE:11-12:GRAPHIC:SS T-SHIRT</t>
  </si>
  <si>
    <t>SS T-SHIRT AVENGER FUTURE ANIME HD HN0010:WHITE:13-14:GRAPHIC:SS T-SHIRT</t>
  </si>
  <si>
    <t>TPAVGR38</t>
  </si>
  <si>
    <t>68040202OAV TOPI AVG LOGO TIEDYE SPLASH FP TPAVGR38:WHITE:F:PRINT:CAPS</t>
  </si>
  <si>
    <t>TPMV07</t>
  </si>
  <si>
    <t>68040202OAV TOPI MARVEL FP BATIK TPMV07:NAVY BLUE:F:PRINT:CAPS</t>
  </si>
  <si>
    <t>N1620</t>
  </si>
  <si>
    <t>SS T-SHIRT SPIDERMAN LOGO DPN BLKG N1620:MISTY MEDIUM GREY:4:GRAPHIC:SS T-SHIRT</t>
  </si>
  <si>
    <t>SS T-SHIRT SPIDERMAN LOGO DPN BLKG N1620:MISTY MEDIUM GREY:5:GRAPHIC:SS T-SHIRT</t>
  </si>
  <si>
    <t>SS T-SHIRT SPIDERMAN LOGO DPN BLKG N1620:MISTY MEDIUM GREY:6:GRAPHIC:SS T-SHIRT</t>
  </si>
  <si>
    <t>SS T-SHIRT SPIDERMAN LOGO DPN BLKG N1620:MISTY MEDIUM GREY:7-8:GRAPHIC:SS T-SHIRT</t>
  </si>
  <si>
    <t>SS T-SHIRT SPIDERMAN LOGO DPN BLKG N1620:MISTY MEDIUM GREY:9-10:GRAPHIC:SS T-SHIRT</t>
  </si>
  <si>
    <t>SS T-SHIRT SPIDERMAN LOGO DPN BLKG N1620:MISTY MEDIUM GREY:11-12:GRAPHIC:SS T-SHIRT</t>
  </si>
  <si>
    <t>SS T-SHIRT SPIDERMAN LOGO DPN BLKG N1620:MISTY MEDIUM GREY:13-14:GRAPHIC:SS T-SHIRT</t>
  </si>
  <si>
    <t>GSPD17</t>
  </si>
  <si>
    <t>SS T-SHIRT SPIDERMAN JUMP ANIME GSPD17:BLACK:4:GRAPHIC:SS T-SHIRT</t>
  </si>
  <si>
    <t>SS T-SHIRT SPIDERMAN JUMP ANIME GSPD17:BLACK:5:GRAPHIC:SS T-SHIRT</t>
  </si>
  <si>
    <t>SS T-SHIRT SPIDERMAN JUMP ANIME GSPD17:BLACK:6:GRAPHIC:SS T-SHIRT</t>
  </si>
  <si>
    <t>SS T-SHIRT SPIDERMAN JUMP ANIME GSPD17:BLACK:7-8:GRAPHIC:SS T-SHIRT</t>
  </si>
  <si>
    <t>SS T-SHIRT SPIDERMAN JUMP ANIME GSPD17:BLACK:9-10:GRAPHIC:SS T-SHIRT</t>
  </si>
  <si>
    <t>SS T-SHIRT SPIDERMAN JUMP ANIME GSPD17:BLACK:11-12:GRAPHIC:SS T-SHIRT</t>
  </si>
  <si>
    <t>SS T-SHIRT SPIDERMAN JUMP ANIME GSPD17:BLACK:13-14:GRAPHIC:SS T-SHIRT</t>
  </si>
  <si>
    <t>GSPD15</t>
  </si>
  <si>
    <t>SS T-SHIRT SPIDERMAN FP KOMIK GSPD15:WHITE:4:PRINT:SS T-SHIRT</t>
  </si>
  <si>
    <t>SS T-SHIRT SPIDERMAN FP KOMIK GSPD15:WHITE:5:PRINT:SS T-SHIRT</t>
  </si>
  <si>
    <t>SS T-SHIRT SPIDERMAN FP KOMIK GSPD15:WHITE:6:PRINT:SS T-SHIRT</t>
  </si>
  <si>
    <t>SS T-SHIRT SPIDERMAN FP KOMIK GSPD15:WHITE:7-8:PRINT:SS T-SHIRT</t>
  </si>
  <si>
    <t>SS T-SHIRT SPIDERMAN FP KOMIK GSPD15:WHITE:9-10:PRINT:SS T-SHIRT</t>
  </si>
  <si>
    <t>SS T-SHIRT SPIDERMAN FP KOMIK GSPD15:WHITE:11-12:PRINT:SS T-SHIRT</t>
  </si>
  <si>
    <t>SS T-SHIRT SPIDERMAN FP KOMIK GSPD15:WHITE:13-14:PRINT:SS T-SHIRT</t>
  </si>
  <si>
    <t>N077</t>
  </si>
  <si>
    <t>SS T-SHIRT MARVEL SPIDERMAN ACTION BLKG N077:BLACK:4:GRAPHIC:SS T-SHIRT</t>
  </si>
  <si>
    <t>SS T-SHIRT MARVEL SPIDERMAN ACTION BLKG N077:BLACK:5:GRAPHIC:SS T-SHIRT</t>
  </si>
  <si>
    <t>SS T-SHIRT MARVEL SPIDERMAN ACTION BLKG N077:BLACK:6:GRAPHIC:SS T-SHIRT</t>
  </si>
  <si>
    <t>SS T-SHIRT MARVEL SPIDERMAN ACTION BLKG N077:BLACK:7-8:GRAPHIC:SS T-SHIRT</t>
  </si>
  <si>
    <t>SS T-SHIRT MARVEL SPIDERMAN ACTION BLKG N077:BLACK:9-10:GRAPHIC:SS T-SHIRT</t>
  </si>
  <si>
    <t>SS T-SHIRT MARVEL SPIDERMAN ACTION BLKG N077:BLACK:11-12:GRAPHIC:SS T-SHIRT</t>
  </si>
  <si>
    <t>SS T-SHIRT MARVEL SPIDERMAN ACTION BLKG N077:BLACK:13-14:GRAPHIC:SS T-SHIRT</t>
  </si>
  <si>
    <t>N216</t>
  </si>
  <si>
    <t>SS T-SHIRT SPIDERMAN PRINT BLKG N216:WHITE:4:GRAPHIC:SS T-SHIRT</t>
  </si>
  <si>
    <t>SS T-SHIRT SPIDERMAN PRINT BLKG N216:WHITE:5:GRAPHIC:SS T-SHIRT</t>
  </si>
  <si>
    <t>SS T-SHIRT SPIDERMAN PRINT BLKG N216:WHITE:6:GRAPHIC:SS T-SHIRT</t>
  </si>
  <si>
    <t>SS T-SHIRT SPIDERMAN PRINT BLKG N216:WHITE:7-8:GRAPHIC:SS T-SHIRT</t>
  </si>
  <si>
    <t>SS T-SHIRT SPIDERMAN PRINT BLKG N216:WHITE:9-10:GRAPHIC:SS T-SHIRT</t>
  </si>
  <si>
    <t>SS T-SHIRT SPIDERMAN PRINT BLKG N216:WHITE:11-12:GRAPHIC:SS T-SHIRT</t>
  </si>
  <si>
    <t>SS T-SHIRT SPIDERMAN PRINT BLKG N216:WHITE:13-14:GRAPHIC:SS T-SHIRT</t>
  </si>
  <si>
    <t>N129</t>
  </si>
  <si>
    <t>SS T-SHIRT HULK RELEASE PRINT BLKG N129:PASTEL GREEN:4:GRAPHIC:SS T-SHIRT</t>
  </si>
  <si>
    <t>SS T-SHIRT HULK RELEASE PRINT BLKG N129:PASTEL GREEN:5:GRAPHIC:SS T-SHIRT</t>
  </si>
  <si>
    <t>SS T-SHIRT HULK RELEASE PRINT BLKG N129:PASTEL GREEN:6:GRAPHIC:SS T-SHIRT</t>
  </si>
  <si>
    <t>SS T-SHIRT HULK RELEASE PRINT BLKG N129:PASTEL GREEN:7-8:GRAPHIC:SS T-SHIRT</t>
  </si>
  <si>
    <t>SS T-SHIRT HULK RELEASE PRINT BLKG N129:PASTEL GREEN:9-10:GRAPHIC:SS T-SHIRT</t>
  </si>
  <si>
    <t>SS T-SHIRT HULK RELEASE PRINT BLKG N129:PASTEL GREEN:11-12:GRAPHIC:SS T-SHIRT</t>
  </si>
  <si>
    <t>SS T-SHIRT HULK RELEASE PRINT BLKG N129:PASTEL GREEN:13-14:GRAPHIC:SS T-SHIRT</t>
  </si>
  <si>
    <t>HR-125</t>
  </si>
  <si>
    <t>SS T-SHIRT IRONMAN LOGO BLKG PRINT HR-125:VANILLA:4:GRAPHIC:SS T-SHIRT</t>
  </si>
  <si>
    <t>SS T-SHIRT IRONMAN LOGO BLKG PRINT HR-125:VANILLA:5:GRAPHIC:SS T-SHIRT</t>
  </si>
  <si>
    <t>SS T-SHIRT IRONMAN LOGO BLKG PRINT HR-125:VANILLA:6:GRAPHIC:SS T-SHIRT</t>
  </si>
  <si>
    <t>SS T-SHIRT IRONMAN LOGO BLKG PRINT HR-125:VANILLA:7-8:GRAPHIC:SS T-SHIRT</t>
  </si>
  <si>
    <t>SS T-SHIRT IRONMAN LOGO BLKG PRINT HR-125:VANILLA:9-10:GRAPHIC:SS T-SHIRT</t>
  </si>
  <si>
    <t>SS T-SHIRT IRONMAN LOGO BLKG PRINT HR-125:VANILLA:11-12:GRAPHIC:SS T-SHIRT</t>
  </si>
  <si>
    <t>SS T-SHIRT IRONMAN LOGO BLKG PRINT HR-125:VANILLA:13-14:GRAPHIC:SS T-SHIRT</t>
  </si>
  <si>
    <t>SS T-SHIRT IRONMAN LOGO BLKG PRINT HR-125:VANILLA:15-16:GRAPHIC:SS T-SHIRT</t>
  </si>
  <si>
    <t xml:space="preserve">BXGY </t>
  </si>
  <si>
    <t>B1G1</t>
  </si>
  <si>
    <t>2025 JAN-JUN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</si>
</sst>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/>
    <xf numFmtId="165" fontId="0" fillId="0" borderId="1" xfId="1" applyNumberFormat="1" applyFont="1" applyFill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2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9" fontId="5" fillId="0" borderId="1" xfId="2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/>
    </xf>
    <xf numFmtId="3" fontId="2" fillId="2" borderId="1" xfId="2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2" borderId="2" xfId="1" applyNumberFormat="1" applyFont="1" applyFill="1" applyBorder="1" applyAlignment="1">
      <alignment horizontal="center" vertical="center"/>
    </xf>
    <xf numFmtId="3" fontId="2" fillId="2" borderId="2" xfId="2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3-CB_Disney_%2023%20MAR%20-%2001%20APR%2026.xlsx" TargetMode="External"/><Relationship Id="rId1" Type="http://schemas.openxmlformats.org/officeDocument/2006/relationships/externalLinkPath" Target="3273-CB_Disney_%2023%20MAR%20-%2001%20AP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-2021 ALL D90"/>
      <sheetName val="2022 ALL D90"/>
      <sheetName val="2023 ALL D90"/>
      <sheetName val="2024 ALL D75"/>
      <sheetName val="KOSTUM D80"/>
      <sheetName val="2025 Q1 SEASONAL D80"/>
      <sheetName val="2025 JAN-JUN D75"/>
      <sheetName val="2025 JUL B1G1"/>
      <sheetName val="2025 AUG B1G1"/>
      <sheetName val="2025 SEPT B1G1"/>
      <sheetName val="2025 OKT NOV B1D30 B2G1"/>
      <sheetName val="2025 DES B3D10"/>
      <sheetName val="2026 JAN FEB B3D10"/>
      <sheetName val="2026 BAMUS SPECIAL PRICE"/>
      <sheetName val="2026 HILITE B1 D20 B2G1"/>
    </sheetNames>
    <sheetDataSet>
      <sheetData sheetId="0">
        <row r="2">
          <cell r="B2">
            <v>46104</v>
          </cell>
          <cell r="C2">
            <v>46113</v>
          </cell>
        </row>
        <row r="3">
          <cell r="B3">
            <v>46104</v>
          </cell>
          <cell r="C3">
            <v>46113</v>
          </cell>
        </row>
        <row r="4">
          <cell r="B4">
            <v>46104</v>
          </cell>
          <cell r="C4">
            <v>46113</v>
          </cell>
        </row>
        <row r="5">
          <cell r="B5">
            <v>46104</v>
          </cell>
          <cell r="C5">
            <v>46113</v>
          </cell>
        </row>
        <row r="6">
          <cell r="B6">
            <v>46104</v>
          </cell>
          <cell r="C6">
            <v>46113</v>
          </cell>
        </row>
        <row r="7">
          <cell r="B7">
            <v>46104</v>
          </cell>
          <cell r="C7">
            <v>46113</v>
          </cell>
        </row>
        <row r="8">
          <cell r="B8">
            <v>46104</v>
          </cell>
          <cell r="C8">
            <v>46113</v>
          </cell>
        </row>
        <row r="9">
          <cell r="B9">
            <v>46104</v>
          </cell>
          <cell r="C9">
            <v>46113</v>
          </cell>
        </row>
        <row r="10">
          <cell r="B10">
            <v>46104</v>
          </cell>
          <cell r="C10">
            <v>46113</v>
          </cell>
        </row>
        <row r="11">
          <cell r="B11">
            <v>46104</v>
          </cell>
          <cell r="C11">
            <v>46113</v>
          </cell>
        </row>
        <row r="12">
          <cell r="B12">
            <v>46104</v>
          </cell>
          <cell r="C12">
            <v>46113</v>
          </cell>
        </row>
        <row r="13">
          <cell r="B13">
            <v>46104</v>
          </cell>
          <cell r="C13">
            <v>46113</v>
          </cell>
        </row>
        <row r="14">
          <cell r="B14">
            <v>46104</v>
          </cell>
          <cell r="C14">
            <v>46113</v>
          </cell>
        </row>
        <row r="15">
          <cell r="B15">
            <v>46104</v>
          </cell>
          <cell r="C15">
            <v>46113</v>
          </cell>
        </row>
        <row r="16">
          <cell r="B16">
            <v>46104</v>
          </cell>
          <cell r="C16">
            <v>46113</v>
          </cell>
        </row>
        <row r="17">
          <cell r="B17">
            <v>46104</v>
          </cell>
          <cell r="C17">
            <v>46113</v>
          </cell>
        </row>
        <row r="18">
          <cell r="B18">
            <v>46104</v>
          </cell>
          <cell r="C18">
            <v>46113</v>
          </cell>
        </row>
        <row r="19">
          <cell r="B19">
            <v>46104</v>
          </cell>
          <cell r="C19">
            <v>46113</v>
          </cell>
        </row>
        <row r="20">
          <cell r="B20">
            <v>46104</v>
          </cell>
          <cell r="C20">
            <v>46113</v>
          </cell>
        </row>
        <row r="21">
          <cell r="B21">
            <v>46104</v>
          </cell>
          <cell r="C21">
            <v>46113</v>
          </cell>
        </row>
        <row r="22">
          <cell r="B22">
            <v>46104</v>
          </cell>
          <cell r="C22">
            <v>46113</v>
          </cell>
        </row>
        <row r="23">
          <cell r="B23">
            <v>46104</v>
          </cell>
          <cell r="C23">
            <v>46113</v>
          </cell>
        </row>
        <row r="24">
          <cell r="B24">
            <v>46104</v>
          </cell>
          <cell r="C24">
            <v>46113</v>
          </cell>
        </row>
        <row r="25">
          <cell r="B25">
            <v>46104</v>
          </cell>
          <cell r="C25">
            <v>46113</v>
          </cell>
        </row>
        <row r="26">
          <cell r="B26">
            <v>46104</v>
          </cell>
          <cell r="C26">
            <v>46113</v>
          </cell>
        </row>
        <row r="27">
          <cell r="B27">
            <v>46104</v>
          </cell>
          <cell r="C27">
            <v>46113</v>
          </cell>
        </row>
        <row r="28">
          <cell r="B28">
            <v>46104</v>
          </cell>
          <cell r="C28">
            <v>46113</v>
          </cell>
        </row>
        <row r="29">
          <cell r="B29">
            <v>46104</v>
          </cell>
          <cell r="C29">
            <v>46113</v>
          </cell>
        </row>
        <row r="30">
          <cell r="B30">
            <v>46104</v>
          </cell>
          <cell r="C30">
            <v>46113</v>
          </cell>
        </row>
        <row r="31">
          <cell r="B31">
            <v>46104</v>
          </cell>
          <cell r="C31">
            <v>46113</v>
          </cell>
        </row>
        <row r="32">
          <cell r="B32">
            <v>46104</v>
          </cell>
          <cell r="C32">
            <v>46113</v>
          </cell>
        </row>
        <row r="33">
          <cell r="B33">
            <v>46104</v>
          </cell>
          <cell r="C33">
            <v>46113</v>
          </cell>
        </row>
        <row r="34">
          <cell r="B34">
            <v>46104</v>
          </cell>
          <cell r="C34">
            <v>46113</v>
          </cell>
        </row>
        <row r="35">
          <cell r="B35">
            <v>46104</v>
          </cell>
          <cell r="C35">
            <v>46113</v>
          </cell>
        </row>
        <row r="36">
          <cell r="B36">
            <v>46104</v>
          </cell>
          <cell r="C36">
            <v>46113</v>
          </cell>
        </row>
        <row r="37">
          <cell r="B37">
            <v>46104</v>
          </cell>
          <cell r="C37">
            <v>46113</v>
          </cell>
        </row>
        <row r="38">
          <cell r="B38">
            <v>46104</v>
          </cell>
          <cell r="C38">
            <v>46113</v>
          </cell>
        </row>
        <row r="39">
          <cell r="B39">
            <v>46104</v>
          </cell>
          <cell r="C39">
            <v>46113</v>
          </cell>
        </row>
        <row r="40">
          <cell r="B40">
            <v>46104</v>
          </cell>
          <cell r="C40">
            <v>46113</v>
          </cell>
        </row>
        <row r="41">
          <cell r="B41">
            <v>46104</v>
          </cell>
          <cell r="C41">
            <v>46113</v>
          </cell>
        </row>
        <row r="42">
          <cell r="B42">
            <v>46104</v>
          </cell>
          <cell r="C42">
            <v>46113</v>
          </cell>
        </row>
        <row r="43">
          <cell r="B43">
            <v>46104</v>
          </cell>
          <cell r="C43">
            <v>46113</v>
          </cell>
        </row>
        <row r="44">
          <cell r="B44">
            <v>46104</v>
          </cell>
          <cell r="C44">
            <v>46113</v>
          </cell>
        </row>
        <row r="45">
          <cell r="B45">
            <v>46104</v>
          </cell>
          <cell r="C45">
            <v>46113</v>
          </cell>
        </row>
        <row r="46">
          <cell r="B46">
            <v>46104</v>
          </cell>
          <cell r="C46">
            <v>46113</v>
          </cell>
        </row>
        <row r="47">
          <cell r="B47">
            <v>46104</v>
          </cell>
          <cell r="C47">
            <v>46113</v>
          </cell>
        </row>
        <row r="48">
          <cell r="B48">
            <v>46104</v>
          </cell>
          <cell r="C48">
            <v>46113</v>
          </cell>
        </row>
        <row r="49">
          <cell r="B49">
            <v>46104</v>
          </cell>
          <cell r="C49">
            <v>46113</v>
          </cell>
        </row>
        <row r="50">
          <cell r="B50">
            <v>46104</v>
          </cell>
          <cell r="C50">
            <v>46113</v>
          </cell>
        </row>
        <row r="51">
          <cell r="B51">
            <v>46104</v>
          </cell>
          <cell r="C51">
            <v>46113</v>
          </cell>
        </row>
        <row r="52">
          <cell r="B52">
            <v>46104</v>
          </cell>
          <cell r="C52">
            <v>46113</v>
          </cell>
        </row>
        <row r="53">
          <cell r="B53">
            <v>46104</v>
          </cell>
          <cell r="C53">
            <v>46113</v>
          </cell>
        </row>
        <row r="54">
          <cell r="B54">
            <v>46104</v>
          </cell>
          <cell r="C54">
            <v>46113</v>
          </cell>
        </row>
        <row r="55">
          <cell r="B55">
            <v>46104</v>
          </cell>
          <cell r="C55">
            <v>46113</v>
          </cell>
        </row>
        <row r="56">
          <cell r="B56">
            <v>46104</v>
          </cell>
          <cell r="C56">
            <v>46113</v>
          </cell>
        </row>
        <row r="57">
          <cell r="B57">
            <v>46104</v>
          </cell>
          <cell r="C57">
            <v>46113</v>
          </cell>
        </row>
        <row r="58">
          <cell r="B58">
            <v>46104</v>
          </cell>
          <cell r="C58">
            <v>46113</v>
          </cell>
        </row>
        <row r="59">
          <cell r="B59">
            <v>46104</v>
          </cell>
          <cell r="C59">
            <v>46113</v>
          </cell>
        </row>
        <row r="60">
          <cell r="B60">
            <v>46104</v>
          </cell>
          <cell r="C60">
            <v>46113</v>
          </cell>
        </row>
        <row r="61">
          <cell r="B61">
            <v>46104</v>
          </cell>
          <cell r="C61">
            <v>46113</v>
          </cell>
        </row>
        <row r="62">
          <cell r="B62">
            <v>46104</v>
          </cell>
          <cell r="C62">
            <v>46113</v>
          </cell>
        </row>
        <row r="63">
          <cell r="B63">
            <v>46104</v>
          </cell>
          <cell r="C63">
            <v>46113</v>
          </cell>
        </row>
        <row r="64">
          <cell r="B64">
            <v>46104</v>
          </cell>
          <cell r="C64">
            <v>46113</v>
          </cell>
        </row>
        <row r="65">
          <cell r="B65">
            <v>46104</v>
          </cell>
          <cell r="C65">
            <v>46113</v>
          </cell>
        </row>
        <row r="66">
          <cell r="B66">
            <v>46104</v>
          </cell>
          <cell r="C66">
            <v>46113</v>
          </cell>
        </row>
        <row r="67">
          <cell r="B67">
            <v>46104</v>
          </cell>
          <cell r="C67">
            <v>46113</v>
          </cell>
        </row>
        <row r="68">
          <cell r="B68">
            <v>46104</v>
          </cell>
          <cell r="C68">
            <v>46113</v>
          </cell>
        </row>
        <row r="69">
          <cell r="B69">
            <v>46104</v>
          </cell>
          <cell r="C69">
            <v>46113</v>
          </cell>
        </row>
        <row r="70">
          <cell r="B70">
            <v>46104</v>
          </cell>
          <cell r="C70">
            <v>46113</v>
          </cell>
        </row>
        <row r="71">
          <cell r="B71">
            <v>46104</v>
          </cell>
          <cell r="C71">
            <v>46113</v>
          </cell>
        </row>
        <row r="72">
          <cell r="B72">
            <v>46104</v>
          </cell>
          <cell r="C72">
            <v>46113</v>
          </cell>
        </row>
        <row r="73">
          <cell r="B73">
            <v>46104</v>
          </cell>
          <cell r="C73">
            <v>46113</v>
          </cell>
        </row>
        <row r="74">
          <cell r="B74">
            <v>46104</v>
          </cell>
          <cell r="C74">
            <v>46113</v>
          </cell>
        </row>
        <row r="75">
          <cell r="B75">
            <v>46104</v>
          </cell>
          <cell r="C75">
            <v>46113</v>
          </cell>
        </row>
        <row r="76">
          <cell r="B76">
            <v>46104</v>
          </cell>
          <cell r="C76">
            <v>46113</v>
          </cell>
        </row>
        <row r="77">
          <cell r="B77">
            <v>46104</v>
          </cell>
          <cell r="C77">
            <v>46113</v>
          </cell>
        </row>
        <row r="78">
          <cell r="B78">
            <v>46104</v>
          </cell>
          <cell r="C78">
            <v>46113</v>
          </cell>
        </row>
        <row r="79">
          <cell r="B79">
            <v>46104</v>
          </cell>
          <cell r="C79">
            <v>46113</v>
          </cell>
        </row>
        <row r="80">
          <cell r="B80">
            <v>46104</v>
          </cell>
          <cell r="C80">
            <v>46113</v>
          </cell>
        </row>
        <row r="81">
          <cell r="B81">
            <v>46104</v>
          </cell>
          <cell r="C81">
            <v>46113</v>
          </cell>
        </row>
        <row r="82">
          <cell r="B82">
            <v>46104</v>
          </cell>
          <cell r="C82">
            <v>46113</v>
          </cell>
        </row>
        <row r="83">
          <cell r="B83">
            <v>46104</v>
          </cell>
          <cell r="C83">
            <v>46113</v>
          </cell>
        </row>
        <row r="84">
          <cell r="B84">
            <v>46104</v>
          </cell>
          <cell r="C84">
            <v>46113</v>
          </cell>
        </row>
        <row r="85">
          <cell r="B85">
            <v>46104</v>
          </cell>
          <cell r="C85">
            <v>46113</v>
          </cell>
        </row>
        <row r="86">
          <cell r="B86">
            <v>46104</v>
          </cell>
          <cell r="C86">
            <v>46113</v>
          </cell>
        </row>
        <row r="87">
          <cell r="B87">
            <v>46104</v>
          </cell>
          <cell r="C87">
            <v>46113</v>
          </cell>
        </row>
        <row r="88">
          <cell r="B88">
            <v>46104</v>
          </cell>
          <cell r="C88">
            <v>46113</v>
          </cell>
        </row>
        <row r="89">
          <cell r="B89">
            <v>46104</v>
          </cell>
          <cell r="C89">
            <v>46113</v>
          </cell>
        </row>
        <row r="90">
          <cell r="B90">
            <v>46104</v>
          </cell>
          <cell r="C90">
            <v>46113</v>
          </cell>
        </row>
        <row r="91">
          <cell r="B91">
            <v>46104</v>
          </cell>
          <cell r="C91">
            <v>46113</v>
          </cell>
        </row>
        <row r="92">
          <cell r="B92">
            <v>46104</v>
          </cell>
          <cell r="C92">
            <v>46113</v>
          </cell>
        </row>
        <row r="93">
          <cell r="B93">
            <v>46104</v>
          </cell>
          <cell r="C93">
            <v>46113</v>
          </cell>
        </row>
        <row r="94">
          <cell r="B94">
            <v>46104</v>
          </cell>
          <cell r="C94">
            <v>46113</v>
          </cell>
        </row>
        <row r="95">
          <cell r="B95">
            <v>46104</v>
          </cell>
          <cell r="C95">
            <v>46113</v>
          </cell>
        </row>
        <row r="96">
          <cell r="B96">
            <v>46104</v>
          </cell>
          <cell r="C96">
            <v>46113</v>
          </cell>
        </row>
        <row r="97">
          <cell r="B97">
            <v>46104</v>
          </cell>
          <cell r="C97">
            <v>46113</v>
          </cell>
        </row>
        <row r="98">
          <cell r="B98">
            <v>46104</v>
          </cell>
          <cell r="C98">
            <v>46113</v>
          </cell>
        </row>
        <row r="99">
          <cell r="B99">
            <v>46104</v>
          </cell>
          <cell r="C99">
            <v>46113</v>
          </cell>
        </row>
        <row r="100">
          <cell r="B100">
            <v>46104</v>
          </cell>
          <cell r="C100">
            <v>46113</v>
          </cell>
        </row>
        <row r="101">
          <cell r="B101">
            <v>46104</v>
          </cell>
          <cell r="C101">
            <v>46113</v>
          </cell>
        </row>
        <row r="102">
          <cell r="B102">
            <v>46104</v>
          </cell>
          <cell r="C102">
            <v>46113</v>
          </cell>
        </row>
        <row r="103">
          <cell r="B103">
            <v>46104</v>
          </cell>
          <cell r="C103">
            <v>46113</v>
          </cell>
        </row>
        <row r="104">
          <cell r="B104">
            <v>46104</v>
          </cell>
          <cell r="C104">
            <v>46113</v>
          </cell>
        </row>
        <row r="105">
          <cell r="B105">
            <v>46104</v>
          </cell>
          <cell r="C105">
            <v>46113</v>
          </cell>
        </row>
        <row r="106">
          <cell r="B106">
            <v>46104</v>
          </cell>
          <cell r="C106">
            <v>46113</v>
          </cell>
        </row>
        <row r="107">
          <cell r="B107">
            <v>46104</v>
          </cell>
          <cell r="C107">
            <v>46113</v>
          </cell>
        </row>
        <row r="108">
          <cell r="B108">
            <v>46104</v>
          </cell>
          <cell r="C108">
            <v>46113</v>
          </cell>
        </row>
        <row r="109">
          <cell r="B109">
            <v>46104</v>
          </cell>
          <cell r="C109">
            <v>46113</v>
          </cell>
        </row>
        <row r="110">
          <cell r="B110">
            <v>46104</v>
          </cell>
          <cell r="C110">
            <v>46113</v>
          </cell>
        </row>
        <row r="111">
          <cell r="B111">
            <v>46104</v>
          </cell>
          <cell r="C111">
            <v>46113</v>
          </cell>
        </row>
        <row r="112">
          <cell r="B112">
            <v>46104</v>
          </cell>
          <cell r="C112">
            <v>46113</v>
          </cell>
        </row>
        <row r="113">
          <cell r="B113">
            <v>46104</v>
          </cell>
          <cell r="C113">
            <v>46113</v>
          </cell>
        </row>
        <row r="114">
          <cell r="B114">
            <v>46104</v>
          </cell>
          <cell r="C114">
            <v>46113</v>
          </cell>
        </row>
        <row r="115">
          <cell r="B115">
            <v>46104</v>
          </cell>
          <cell r="C115">
            <v>46113</v>
          </cell>
        </row>
        <row r="116">
          <cell r="B116">
            <v>46104</v>
          </cell>
          <cell r="C116">
            <v>46113</v>
          </cell>
        </row>
        <row r="117">
          <cell r="B117">
            <v>46104</v>
          </cell>
          <cell r="C117">
            <v>46113</v>
          </cell>
        </row>
        <row r="118">
          <cell r="B118">
            <v>46104</v>
          </cell>
          <cell r="C118">
            <v>46113</v>
          </cell>
        </row>
        <row r="119">
          <cell r="B119">
            <v>46104</v>
          </cell>
          <cell r="C119">
            <v>46113</v>
          </cell>
        </row>
        <row r="120">
          <cell r="B120">
            <v>46104</v>
          </cell>
          <cell r="C120">
            <v>46113</v>
          </cell>
        </row>
        <row r="121">
          <cell r="B121">
            <v>46104</v>
          </cell>
          <cell r="C121">
            <v>46113</v>
          </cell>
        </row>
        <row r="122">
          <cell r="B122">
            <v>46104</v>
          </cell>
          <cell r="C122">
            <v>46113</v>
          </cell>
        </row>
        <row r="123">
          <cell r="B123">
            <v>46104</v>
          </cell>
          <cell r="C123">
            <v>46113</v>
          </cell>
        </row>
        <row r="124">
          <cell r="B124">
            <v>46104</v>
          </cell>
          <cell r="C124">
            <v>46113</v>
          </cell>
        </row>
        <row r="125">
          <cell r="B125">
            <v>46104</v>
          </cell>
          <cell r="C125">
            <v>46113</v>
          </cell>
        </row>
        <row r="126">
          <cell r="B126">
            <v>46104</v>
          </cell>
          <cell r="C126">
            <v>46113</v>
          </cell>
        </row>
        <row r="127">
          <cell r="B127">
            <v>46104</v>
          </cell>
          <cell r="C127">
            <v>46113</v>
          </cell>
        </row>
        <row r="128">
          <cell r="B128">
            <v>46104</v>
          </cell>
          <cell r="C128">
            <v>46113</v>
          </cell>
        </row>
        <row r="129">
          <cell r="B129">
            <v>46104</v>
          </cell>
          <cell r="C129">
            <v>46113</v>
          </cell>
        </row>
        <row r="130">
          <cell r="B130">
            <v>46104</v>
          </cell>
          <cell r="C130">
            <v>46113</v>
          </cell>
        </row>
        <row r="131">
          <cell r="B131">
            <v>46104</v>
          </cell>
          <cell r="C131">
            <v>46113</v>
          </cell>
        </row>
        <row r="132">
          <cell r="B132">
            <v>46104</v>
          </cell>
          <cell r="C132">
            <v>46113</v>
          </cell>
        </row>
        <row r="133">
          <cell r="B133">
            <v>46104</v>
          </cell>
          <cell r="C133">
            <v>46113</v>
          </cell>
        </row>
        <row r="134">
          <cell r="B134">
            <v>46104</v>
          </cell>
          <cell r="C134">
            <v>46113</v>
          </cell>
        </row>
        <row r="135">
          <cell r="B135">
            <v>46104</v>
          </cell>
          <cell r="C135">
            <v>46113</v>
          </cell>
        </row>
        <row r="136">
          <cell r="B136">
            <v>46104</v>
          </cell>
          <cell r="C136">
            <v>46113</v>
          </cell>
        </row>
        <row r="137">
          <cell r="B137">
            <v>46104</v>
          </cell>
          <cell r="C137">
            <v>46113</v>
          </cell>
        </row>
        <row r="138">
          <cell r="B138">
            <v>46104</v>
          </cell>
          <cell r="C138">
            <v>46113</v>
          </cell>
        </row>
        <row r="139">
          <cell r="B139">
            <v>46104</v>
          </cell>
          <cell r="C139">
            <v>46113</v>
          </cell>
        </row>
        <row r="140">
          <cell r="B140">
            <v>46104</v>
          </cell>
          <cell r="C140">
            <v>46113</v>
          </cell>
        </row>
        <row r="141">
          <cell r="B141">
            <v>46104</v>
          </cell>
          <cell r="C141">
            <v>46113</v>
          </cell>
        </row>
        <row r="142">
          <cell r="B142">
            <v>46104</v>
          </cell>
          <cell r="C142">
            <v>46113</v>
          </cell>
        </row>
        <row r="143">
          <cell r="B143">
            <v>46104</v>
          </cell>
          <cell r="C143">
            <v>46113</v>
          </cell>
        </row>
        <row r="144">
          <cell r="B144">
            <v>46104</v>
          </cell>
          <cell r="C144">
            <v>46113</v>
          </cell>
        </row>
        <row r="145">
          <cell r="B145">
            <v>46104</v>
          </cell>
          <cell r="C145">
            <v>46113</v>
          </cell>
        </row>
        <row r="146">
          <cell r="B146">
            <v>46104</v>
          </cell>
          <cell r="C146">
            <v>46113</v>
          </cell>
        </row>
        <row r="147">
          <cell r="B147">
            <v>46104</v>
          </cell>
          <cell r="C147">
            <v>46113</v>
          </cell>
        </row>
        <row r="148">
          <cell r="B148">
            <v>46104</v>
          </cell>
          <cell r="C148">
            <v>46113</v>
          </cell>
        </row>
        <row r="149">
          <cell r="B149">
            <v>46104</v>
          </cell>
          <cell r="C149">
            <v>46113</v>
          </cell>
        </row>
        <row r="150">
          <cell r="B150">
            <v>46104</v>
          </cell>
          <cell r="C150">
            <v>46113</v>
          </cell>
        </row>
        <row r="151">
          <cell r="B151">
            <v>46104</v>
          </cell>
          <cell r="C151">
            <v>46113</v>
          </cell>
        </row>
        <row r="152">
          <cell r="B152">
            <v>46104</v>
          </cell>
          <cell r="C152">
            <v>46113</v>
          </cell>
        </row>
        <row r="153">
          <cell r="B153">
            <v>46104</v>
          </cell>
          <cell r="C153">
            <v>46113</v>
          </cell>
        </row>
        <row r="154">
          <cell r="B154">
            <v>46104</v>
          </cell>
          <cell r="C154">
            <v>46113</v>
          </cell>
        </row>
        <row r="155">
          <cell r="B155">
            <v>46104</v>
          </cell>
          <cell r="C155">
            <v>46113</v>
          </cell>
        </row>
        <row r="156">
          <cell r="B156">
            <v>46104</v>
          </cell>
          <cell r="C156">
            <v>46113</v>
          </cell>
        </row>
        <row r="157">
          <cell r="B157">
            <v>46104</v>
          </cell>
          <cell r="C157">
            <v>46113</v>
          </cell>
        </row>
        <row r="158">
          <cell r="B158">
            <v>46104</v>
          </cell>
          <cell r="C158">
            <v>46113</v>
          </cell>
        </row>
        <row r="159">
          <cell r="B159">
            <v>46104</v>
          </cell>
          <cell r="C159">
            <v>46113</v>
          </cell>
        </row>
        <row r="160">
          <cell r="B160">
            <v>46104</v>
          </cell>
          <cell r="C160">
            <v>46113</v>
          </cell>
        </row>
        <row r="161">
          <cell r="B161">
            <v>46104</v>
          </cell>
          <cell r="C161">
            <v>46113</v>
          </cell>
        </row>
        <row r="162">
          <cell r="B162">
            <v>46104</v>
          </cell>
          <cell r="C162">
            <v>46113</v>
          </cell>
        </row>
        <row r="163">
          <cell r="B163">
            <v>46104</v>
          </cell>
          <cell r="C163">
            <v>46113</v>
          </cell>
        </row>
        <row r="164">
          <cell r="B164">
            <v>46104</v>
          </cell>
          <cell r="C164">
            <v>46113</v>
          </cell>
        </row>
        <row r="165">
          <cell r="B165">
            <v>46104</v>
          </cell>
          <cell r="C165">
            <v>46113</v>
          </cell>
        </row>
        <row r="166">
          <cell r="B166">
            <v>46104</v>
          </cell>
          <cell r="C166">
            <v>46113</v>
          </cell>
        </row>
        <row r="167">
          <cell r="B167">
            <v>46104</v>
          </cell>
          <cell r="C167">
            <v>46113</v>
          </cell>
        </row>
        <row r="168">
          <cell r="B168">
            <v>46104</v>
          </cell>
          <cell r="C168">
            <v>46113</v>
          </cell>
        </row>
        <row r="169">
          <cell r="B169">
            <v>46104</v>
          </cell>
          <cell r="C169">
            <v>46113</v>
          </cell>
        </row>
        <row r="170">
          <cell r="B170">
            <v>46104</v>
          </cell>
          <cell r="C170">
            <v>46113</v>
          </cell>
        </row>
        <row r="171">
          <cell r="B171">
            <v>46104</v>
          </cell>
          <cell r="C171">
            <v>46113</v>
          </cell>
        </row>
        <row r="172">
          <cell r="B172">
            <v>46104</v>
          </cell>
          <cell r="C172">
            <v>46113</v>
          </cell>
        </row>
        <row r="173">
          <cell r="B173">
            <v>46104</v>
          </cell>
          <cell r="C173">
            <v>46113</v>
          </cell>
        </row>
        <row r="174">
          <cell r="B174">
            <v>46104</v>
          </cell>
          <cell r="C174">
            <v>46113</v>
          </cell>
        </row>
        <row r="175">
          <cell r="B175">
            <v>46104</v>
          </cell>
          <cell r="C175">
            <v>46113</v>
          </cell>
        </row>
        <row r="176">
          <cell r="B176">
            <v>46104</v>
          </cell>
          <cell r="C176">
            <v>46113</v>
          </cell>
        </row>
        <row r="177">
          <cell r="B177">
            <v>46104</v>
          </cell>
          <cell r="C177">
            <v>46113</v>
          </cell>
        </row>
        <row r="178">
          <cell r="B178">
            <v>46104</v>
          </cell>
          <cell r="C178">
            <v>46113</v>
          </cell>
        </row>
        <row r="179">
          <cell r="B179">
            <v>46104</v>
          </cell>
          <cell r="C179">
            <v>46113</v>
          </cell>
        </row>
        <row r="180">
          <cell r="B180">
            <v>46104</v>
          </cell>
          <cell r="C180">
            <v>46113</v>
          </cell>
        </row>
        <row r="181">
          <cell r="B181">
            <v>46104</v>
          </cell>
          <cell r="C181">
            <v>46113</v>
          </cell>
        </row>
        <row r="182">
          <cell r="B182">
            <v>46104</v>
          </cell>
          <cell r="C182">
            <v>46113</v>
          </cell>
        </row>
        <row r="183">
          <cell r="B183">
            <v>46104</v>
          </cell>
          <cell r="C183">
            <v>46113</v>
          </cell>
        </row>
        <row r="184">
          <cell r="B184">
            <v>46104</v>
          </cell>
          <cell r="C184">
            <v>46113</v>
          </cell>
        </row>
        <row r="185">
          <cell r="B185">
            <v>46104</v>
          </cell>
          <cell r="C185">
            <v>46113</v>
          </cell>
        </row>
        <row r="186">
          <cell r="B186">
            <v>46104</v>
          </cell>
          <cell r="C186">
            <v>46113</v>
          </cell>
        </row>
        <row r="187">
          <cell r="B187">
            <v>46104</v>
          </cell>
          <cell r="C187">
            <v>46113</v>
          </cell>
        </row>
        <row r="188">
          <cell r="B188">
            <v>46104</v>
          </cell>
          <cell r="C188">
            <v>46113</v>
          </cell>
        </row>
        <row r="189">
          <cell r="B189">
            <v>46104</v>
          </cell>
          <cell r="C189">
            <v>46113</v>
          </cell>
        </row>
        <row r="190">
          <cell r="B190">
            <v>46104</v>
          </cell>
          <cell r="C190">
            <v>46113</v>
          </cell>
        </row>
        <row r="191">
          <cell r="B191">
            <v>46104</v>
          </cell>
          <cell r="C191">
            <v>46113</v>
          </cell>
        </row>
        <row r="192">
          <cell r="B192">
            <v>46104</v>
          </cell>
          <cell r="C192">
            <v>46113</v>
          </cell>
        </row>
        <row r="193">
          <cell r="B193">
            <v>46104</v>
          </cell>
          <cell r="C193">
            <v>46113</v>
          </cell>
        </row>
        <row r="194">
          <cell r="B194">
            <v>46104</v>
          </cell>
          <cell r="C194">
            <v>46113</v>
          </cell>
        </row>
        <row r="195">
          <cell r="B195">
            <v>46104</v>
          </cell>
          <cell r="C195">
            <v>46113</v>
          </cell>
        </row>
        <row r="196">
          <cell r="B196">
            <v>46104</v>
          </cell>
          <cell r="C196">
            <v>46113</v>
          </cell>
        </row>
        <row r="197">
          <cell r="B197">
            <v>46104</v>
          </cell>
          <cell r="C197">
            <v>46113</v>
          </cell>
        </row>
        <row r="198">
          <cell r="B198">
            <v>46104</v>
          </cell>
          <cell r="C198">
            <v>46113</v>
          </cell>
        </row>
        <row r="199">
          <cell r="B199">
            <v>46104</v>
          </cell>
          <cell r="C199">
            <v>46113</v>
          </cell>
        </row>
        <row r="200">
          <cell r="B200">
            <v>46104</v>
          </cell>
          <cell r="C200">
            <v>46113</v>
          </cell>
        </row>
        <row r="201">
          <cell r="B201">
            <v>46104</v>
          </cell>
          <cell r="C201">
            <v>46113</v>
          </cell>
        </row>
        <row r="202">
          <cell r="B202">
            <v>46104</v>
          </cell>
          <cell r="C202">
            <v>46113</v>
          </cell>
        </row>
        <row r="203">
          <cell r="B203">
            <v>46104</v>
          </cell>
          <cell r="C203">
            <v>46113</v>
          </cell>
        </row>
        <row r="204">
          <cell r="B204">
            <v>46104</v>
          </cell>
          <cell r="C204">
            <v>46113</v>
          </cell>
        </row>
        <row r="205">
          <cell r="B205">
            <v>46104</v>
          </cell>
          <cell r="C205">
            <v>46113</v>
          </cell>
        </row>
        <row r="206">
          <cell r="B206">
            <v>46104</v>
          </cell>
          <cell r="C206">
            <v>46113</v>
          </cell>
        </row>
        <row r="207">
          <cell r="B207">
            <v>46104</v>
          </cell>
          <cell r="C207">
            <v>46113</v>
          </cell>
        </row>
        <row r="208">
          <cell r="B208">
            <v>46104</v>
          </cell>
          <cell r="C208">
            <v>46113</v>
          </cell>
        </row>
        <row r="209">
          <cell r="B209">
            <v>46104</v>
          </cell>
          <cell r="C209">
            <v>46113</v>
          </cell>
        </row>
        <row r="210">
          <cell r="B210">
            <v>46104</v>
          </cell>
          <cell r="C210">
            <v>46113</v>
          </cell>
        </row>
        <row r="211">
          <cell r="B211">
            <v>46104</v>
          </cell>
          <cell r="C211">
            <v>46113</v>
          </cell>
        </row>
        <row r="212">
          <cell r="B212">
            <v>46104</v>
          </cell>
          <cell r="C212">
            <v>46113</v>
          </cell>
        </row>
        <row r="213">
          <cell r="B213">
            <v>46104</v>
          </cell>
          <cell r="C213">
            <v>46113</v>
          </cell>
        </row>
        <row r="214">
          <cell r="B214">
            <v>46104</v>
          </cell>
          <cell r="C214">
            <v>46113</v>
          </cell>
        </row>
        <row r="215">
          <cell r="B215">
            <v>46104</v>
          </cell>
          <cell r="C215">
            <v>46113</v>
          </cell>
        </row>
        <row r="216">
          <cell r="B216">
            <v>46104</v>
          </cell>
          <cell r="C216">
            <v>46113</v>
          </cell>
        </row>
        <row r="217">
          <cell r="B217">
            <v>46104</v>
          </cell>
          <cell r="C217">
            <v>46113</v>
          </cell>
        </row>
        <row r="218">
          <cell r="B218">
            <v>46104</v>
          </cell>
          <cell r="C218">
            <v>46113</v>
          </cell>
        </row>
        <row r="219">
          <cell r="B219">
            <v>46104</v>
          </cell>
          <cell r="C219">
            <v>46113</v>
          </cell>
        </row>
        <row r="220">
          <cell r="B220">
            <v>46104</v>
          </cell>
          <cell r="C220">
            <v>46113</v>
          </cell>
        </row>
        <row r="221">
          <cell r="B221">
            <v>46104</v>
          </cell>
          <cell r="C221">
            <v>46113</v>
          </cell>
        </row>
        <row r="222">
          <cell r="B222">
            <v>46104</v>
          </cell>
          <cell r="C222">
            <v>46113</v>
          </cell>
        </row>
        <row r="223">
          <cell r="B223">
            <v>46104</v>
          </cell>
          <cell r="C223">
            <v>46113</v>
          </cell>
        </row>
        <row r="224">
          <cell r="B224">
            <v>46104</v>
          </cell>
          <cell r="C224">
            <v>46113</v>
          </cell>
        </row>
        <row r="225">
          <cell r="B225">
            <v>46104</v>
          </cell>
          <cell r="C225">
            <v>46113</v>
          </cell>
        </row>
        <row r="226">
          <cell r="B226">
            <v>46104</v>
          </cell>
          <cell r="C226">
            <v>46113</v>
          </cell>
        </row>
        <row r="227">
          <cell r="B227">
            <v>46104</v>
          </cell>
          <cell r="C227">
            <v>46113</v>
          </cell>
        </row>
        <row r="228">
          <cell r="B228">
            <v>46104</v>
          </cell>
          <cell r="C228">
            <v>46113</v>
          </cell>
        </row>
        <row r="229">
          <cell r="B229">
            <v>46104</v>
          </cell>
          <cell r="C229">
            <v>46113</v>
          </cell>
        </row>
        <row r="230">
          <cell r="B230">
            <v>46104</v>
          </cell>
          <cell r="C230">
            <v>46113</v>
          </cell>
        </row>
        <row r="231">
          <cell r="B231">
            <v>46104</v>
          </cell>
          <cell r="C231">
            <v>46113</v>
          </cell>
        </row>
        <row r="232">
          <cell r="B232">
            <v>46104</v>
          </cell>
          <cell r="C232">
            <v>46113</v>
          </cell>
        </row>
        <row r="233">
          <cell r="B233">
            <v>46104</v>
          </cell>
          <cell r="C233">
            <v>46113</v>
          </cell>
        </row>
        <row r="234">
          <cell r="B234">
            <v>46104</v>
          </cell>
          <cell r="C234">
            <v>46113</v>
          </cell>
        </row>
        <row r="235">
          <cell r="B235">
            <v>46104</v>
          </cell>
          <cell r="C235">
            <v>46113</v>
          </cell>
        </row>
        <row r="236">
          <cell r="B236">
            <v>46104</v>
          </cell>
          <cell r="C236">
            <v>46113</v>
          </cell>
        </row>
        <row r="237">
          <cell r="B237">
            <v>46104</v>
          </cell>
          <cell r="C237">
            <v>46113</v>
          </cell>
        </row>
        <row r="238">
          <cell r="B238">
            <v>46104</v>
          </cell>
          <cell r="C238">
            <v>46113</v>
          </cell>
        </row>
        <row r="239">
          <cell r="B239">
            <v>46104</v>
          </cell>
          <cell r="C239">
            <v>46113</v>
          </cell>
        </row>
        <row r="240">
          <cell r="B240">
            <v>46104</v>
          </cell>
          <cell r="C240">
            <v>46113</v>
          </cell>
        </row>
        <row r="241">
          <cell r="B241">
            <v>46104</v>
          </cell>
          <cell r="C241">
            <v>46113</v>
          </cell>
        </row>
        <row r="242">
          <cell r="B242">
            <v>46104</v>
          </cell>
          <cell r="C242">
            <v>46113</v>
          </cell>
        </row>
        <row r="243">
          <cell r="B243">
            <v>46104</v>
          </cell>
          <cell r="C243">
            <v>46113</v>
          </cell>
        </row>
        <row r="244">
          <cell r="B244">
            <v>46104</v>
          </cell>
          <cell r="C244">
            <v>46113</v>
          </cell>
        </row>
        <row r="245">
          <cell r="B245">
            <v>46104</v>
          </cell>
          <cell r="C245">
            <v>46113</v>
          </cell>
        </row>
        <row r="246">
          <cell r="B246">
            <v>46104</v>
          </cell>
          <cell r="C246">
            <v>46113</v>
          </cell>
        </row>
        <row r="247">
          <cell r="B247">
            <v>46104</v>
          </cell>
          <cell r="C247">
            <v>46113</v>
          </cell>
        </row>
        <row r="248">
          <cell r="B248">
            <v>46104</v>
          </cell>
          <cell r="C248">
            <v>46113</v>
          </cell>
        </row>
        <row r="249">
          <cell r="B249">
            <v>46104</v>
          </cell>
          <cell r="C249">
            <v>46113</v>
          </cell>
        </row>
        <row r="250">
          <cell r="B250">
            <v>46104</v>
          </cell>
          <cell r="C250">
            <v>46113</v>
          </cell>
        </row>
        <row r="251">
          <cell r="B251">
            <v>46104</v>
          </cell>
          <cell r="C251">
            <v>46113</v>
          </cell>
        </row>
        <row r="252">
          <cell r="B252">
            <v>46104</v>
          </cell>
          <cell r="C252">
            <v>46113</v>
          </cell>
        </row>
        <row r="253">
          <cell r="B253">
            <v>46104</v>
          </cell>
          <cell r="C253">
            <v>46113</v>
          </cell>
        </row>
        <row r="254">
          <cell r="B254">
            <v>46104</v>
          </cell>
          <cell r="C254">
            <v>46113</v>
          </cell>
        </row>
        <row r="255">
          <cell r="B255">
            <v>46104</v>
          </cell>
          <cell r="C255">
            <v>46113</v>
          </cell>
        </row>
        <row r="256">
          <cell r="B256">
            <v>46104</v>
          </cell>
          <cell r="C256">
            <v>46113</v>
          </cell>
        </row>
        <row r="257">
          <cell r="B257">
            <v>46104</v>
          </cell>
          <cell r="C257">
            <v>46113</v>
          </cell>
        </row>
        <row r="258">
          <cell r="B258">
            <v>46104</v>
          </cell>
          <cell r="C258">
            <v>46113</v>
          </cell>
        </row>
        <row r="259">
          <cell r="B259">
            <v>46104</v>
          </cell>
          <cell r="C259">
            <v>46113</v>
          </cell>
        </row>
        <row r="260">
          <cell r="B260">
            <v>46104</v>
          </cell>
          <cell r="C260">
            <v>46113</v>
          </cell>
        </row>
        <row r="261">
          <cell r="B261">
            <v>46104</v>
          </cell>
          <cell r="C261">
            <v>46113</v>
          </cell>
        </row>
        <row r="262">
          <cell r="B262">
            <v>46104</v>
          </cell>
          <cell r="C262">
            <v>46113</v>
          </cell>
        </row>
        <row r="263">
          <cell r="B263">
            <v>46104</v>
          </cell>
          <cell r="C263">
            <v>46113</v>
          </cell>
        </row>
        <row r="264">
          <cell r="B264">
            <v>46104</v>
          </cell>
          <cell r="C264">
            <v>46113</v>
          </cell>
        </row>
        <row r="265">
          <cell r="B265">
            <v>46104</v>
          </cell>
          <cell r="C265">
            <v>46113</v>
          </cell>
        </row>
        <row r="266">
          <cell r="B266">
            <v>46104</v>
          </cell>
          <cell r="C266">
            <v>46113</v>
          </cell>
        </row>
        <row r="267">
          <cell r="B267">
            <v>46104</v>
          </cell>
          <cell r="C267">
            <v>46113</v>
          </cell>
        </row>
        <row r="268">
          <cell r="B268">
            <v>46104</v>
          </cell>
          <cell r="C268">
            <v>46113</v>
          </cell>
        </row>
        <row r="269">
          <cell r="B269">
            <v>46104</v>
          </cell>
          <cell r="C269">
            <v>46113</v>
          </cell>
        </row>
        <row r="270">
          <cell r="B270">
            <v>46104</v>
          </cell>
          <cell r="C270">
            <v>46113</v>
          </cell>
        </row>
        <row r="271">
          <cell r="B271">
            <v>46104</v>
          </cell>
          <cell r="C271">
            <v>46113</v>
          </cell>
        </row>
        <row r="272">
          <cell r="B272">
            <v>46104</v>
          </cell>
          <cell r="C272">
            <v>46113</v>
          </cell>
        </row>
        <row r="273">
          <cell r="B273">
            <v>46104</v>
          </cell>
          <cell r="C273">
            <v>46113</v>
          </cell>
        </row>
        <row r="274">
          <cell r="B274">
            <v>46104</v>
          </cell>
          <cell r="C274">
            <v>46113</v>
          </cell>
        </row>
        <row r="275">
          <cell r="B275">
            <v>46104</v>
          </cell>
          <cell r="C275">
            <v>46113</v>
          </cell>
        </row>
        <row r="276">
          <cell r="B276">
            <v>46104</v>
          </cell>
          <cell r="C276">
            <v>46113</v>
          </cell>
        </row>
        <row r="277">
          <cell r="B277">
            <v>46104</v>
          </cell>
          <cell r="C277">
            <v>46113</v>
          </cell>
        </row>
        <row r="278">
          <cell r="B278">
            <v>46104</v>
          </cell>
          <cell r="C278">
            <v>46113</v>
          </cell>
        </row>
        <row r="279">
          <cell r="B279">
            <v>46104</v>
          </cell>
          <cell r="C279">
            <v>46113</v>
          </cell>
        </row>
        <row r="280">
          <cell r="B280">
            <v>46104</v>
          </cell>
          <cell r="C280">
            <v>46113</v>
          </cell>
        </row>
        <row r="281">
          <cell r="B281">
            <v>46104</v>
          </cell>
          <cell r="C281">
            <v>46113</v>
          </cell>
        </row>
        <row r="282">
          <cell r="B282">
            <v>46104</v>
          </cell>
          <cell r="C282">
            <v>46113</v>
          </cell>
        </row>
        <row r="283">
          <cell r="B283">
            <v>46104</v>
          </cell>
          <cell r="C283">
            <v>46113</v>
          </cell>
        </row>
        <row r="284">
          <cell r="B284">
            <v>46104</v>
          </cell>
          <cell r="C284">
            <v>46113</v>
          </cell>
        </row>
        <row r="285">
          <cell r="B285">
            <v>46104</v>
          </cell>
          <cell r="C285">
            <v>46113</v>
          </cell>
        </row>
        <row r="286">
          <cell r="B286">
            <v>46104</v>
          </cell>
          <cell r="C286">
            <v>46113</v>
          </cell>
        </row>
        <row r="287">
          <cell r="B287">
            <v>46104</v>
          </cell>
          <cell r="C287">
            <v>46113</v>
          </cell>
        </row>
        <row r="288">
          <cell r="B288">
            <v>46104</v>
          </cell>
          <cell r="C288">
            <v>46113</v>
          </cell>
        </row>
        <row r="289">
          <cell r="B289">
            <v>46104</v>
          </cell>
          <cell r="C289">
            <v>46113</v>
          </cell>
        </row>
        <row r="290">
          <cell r="B290">
            <v>46104</v>
          </cell>
          <cell r="C290">
            <v>46113</v>
          </cell>
        </row>
        <row r="291">
          <cell r="B291">
            <v>46104</v>
          </cell>
          <cell r="C291">
            <v>46113</v>
          </cell>
        </row>
        <row r="292">
          <cell r="B292">
            <v>46104</v>
          </cell>
          <cell r="C292">
            <v>46113</v>
          </cell>
        </row>
        <row r="293">
          <cell r="B293">
            <v>46104</v>
          </cell>
          <cell r="C293">
            <v>46113</v>
          </cell>
        </row>
        <row r="294">
          <cell r="B294">
            <v>46104</v>
          </cell>
          <cell r="C294">
            <v>46113</v>
          </cell>
        </row>
        <row r="295">
          <cell r="B295">
            <v>46104</v>
          </cell>
          <cell r="C295">
            <v>46113</v>
          </cell>
        </row>
        <row r="296">
          <cell r="B296">
            <v>46104</v>
          </cell>
          <cell r="C296">
            <v>46113</v>
          </cell>
        </row>
        <row r="297">
          <cell r="B297">
            <v>46104</v>
          </cell>
          <cell r="C297">
            <v>46113</v>
          </cell>
        </row>
        <row r="298">
          <cell r="B298">
            <v>46104</v>
          </cell>
          <cell r="C298">
            <v>46113</v>
          </cell>
        </row>
        <row r="299">
          <cell r="B299">
            <v>46104</v>
          </cell>
          <cell r="C299">
            <v>46113</v>
          </cell>
        </row>
        <row r="300">
          <cell r="B300">
            <v>46104</v>
          </cell>
          <cell r="C300">
            <v>46113</v>
          </cell>
        </row>
        <row r="301">
          <cell r="B301">
            <v>46104</v>
          </cell>
          <cell r="C301">
            <v>46113</v>
          </cell>
        </row>
        <row r="302">
          <cell r="B302">
            <v>46104</v>
          </cell>
          <cell r="C302">
            <v>46113</v>
          </cell>
        </row>
        <row r="303">
          <cell r="B303">
            <v>46104</v>
          </cell>
          <cell r="C303">
            <v>46113</v>
          </cell>
        </row>
        <row r="304">
          <cell r="B304">
            <v>46104</v>
          </cell>
          <cell r="C304">
            <v>46113</v>
          </cell>
        </row>
        <row r="305">
          <cell r="B305">
            <v>46104</v>
          </cell>
          <cell r="C305">
            <v>46113</v>
          </cell>
        </row>
        <row r="306">
          <cell r="B306">
            <v>46104</v>
          </cell>
          <cell r="C306">
            <v>46113</v>
          </cell>
        </row>
        <row r="307">
          <cell r="B307">
            <v>46104</v>
          </cell>
          <cell r="C307">
            <v>46113</v>
          </cell>
        </row>
        <row r="308">
          <cell r="B308">
            <v>46104</v>
          </cell>
          <cell r="C308">
            <v>46113</v>
          </cell>
        </row>
        <row r="309">
          <cell r="B309">
            <v>46104</v>
          </cell>
          <cell r="C309">
            <v>46113</v>
          </cell>
        </row>
        <row r="310">
          <cell r="B310">
            <v>46104</v>
          </cell>
          <cell r="C310">
            <v>46113</v>
          </cell>
        </row>
        <row r="311">
          <cell r="B311">
            <v>46104</v>
          </cell>
          <cell r="C311">
            <v>46113</v>
          </cell>
        </row>
        <row r="312">
          <cell r="B312">
            <v>46104</v>
          </cell>
          <cell r="C312">
            <v>46113</v>
          </cell>
        </row>
        <row r="313">
          <cell r="B313">
            <v>46104</v>
          </cell>
          <cell r="C313">
            <v>46113</v>
          </cell>
        </row>
        <row r="314">
          <cell r="B314">
            <v>46104</v>
          </cell>
          <cell r="C314">
            <v>46113</v>
          </cell>
        </row>
        <row r="315">
          <cell r="B315">
            <v>46104</v>
          </cell>
          <cell r="C315">
            <v>46113</v>
          </cell>
        </row>
        <row r="316">
          <cell r="B316">
            <v>46104</v>
          </cell>
          <cell r="C316">
            <v>46113</v>
          </cell>
        </row>
        <row r="317">
          <cell r="B317">
            <v>46104</v>
          </cell>
          <cell r="C317">
            <v>46113</v>
          </cell>
        </row>
        <row r="318">
          <cell r="B318">
            <v>46104</v>
          </cell>
          <cell r="C318">
            <v>46113</v>
          </cell>
        </row>
        <row r="319">
          <cell r="B319">
            <v>46104</v>
          </cell>
          <cell r="C319">
            <v>46113</v>
          </cell>
        </row>
        <row r="320">
          <cell r="B320">
            <v>46104</v>
          </cell>
          <cell r="C320">
            <v>46113</v>
          </cell>
        </row>
        <row r="321">
          <cell r="B321">
            <v>46104</v>
          </cell>
          <cell r="C321">
            <v>46113</v>
          </cell>
        </row>
        <row r="322">
          <cell r="B322">
            <v>46104</v>
          </cell>
          <cell r="C322">
            <v>46113</v>
          </cell>
        </row>
        <row r="323">
          <cell r="B323">
            <v>46104</v>
          </cell>
          <cell r="C323">
            <v>46113</v>
          </cell>
        </row>
        <row r="324">
          <cell r="B324">
            <v>46104</v>
          </cell>
          <cell r="C324">
            <v>46113</v>
          </cell>
        </row>
        <row r="325">
          <cell r="B325">
            <v>46104</v>
          </cell>
          <cell r="C325">
            <v>46113</v>
          </cell>
        </row>
        <row r="326">
          <cell r="B326">
            <v>46104</v>
          </cell>
          <cell r="C326">
            <v>46113</v>
          </cell>
        </row>
        <row r="327">
          <cell r="B327">
            <v>46104</v>
          </cell>
          <cell r="C327">
            <v>46113</v>
          </cell>
        </row>
        <row r="328">
          <cell r="B328">
            <v>46104</v>
          </cell>
          <cell r="C328">
            <v>46113</v>
          </cell>
        </row>
        <row r="329">
          <cell r="B329">
            <v>46104</v>
          </cell>
          <cell r="C329">
            <v>46113</v>
          </cell>
        </row>
        <row r="330">
          <cell r="B330">
            <v>46104</v>
          </cell>
          <cell r="C330">
            <v>46113</v>
          </cell>
        </row>
        <row r="331">
          <cell r="B331">
            <v>46104</v>
          </cell>
          <cell r="C331">
            <v>46113</v>
          </cell>
        </row>
        <row r="332">
          <cell r="B332">
            <v>46104</v>
          </cell>
          <cell r="C332">
            <v>46113</v>
          </cell>
        </row>
        <row r="333">
          <cell r="B333">
            <v>46104</v>
          </cell>
          <cell r="C333">
            <v>46113</v>
          </cell>
        </row>
        <row r="334">
          <cell r="B334">
            <v>46104</v>
          </cell>
          <cell r="C334">
            <v>46113</v>
          </cell>
        </row>
        <row r="335">
          <cell r="B335">
            <v>46104</v>
          </cell>
          <cell r="C335">
            <v>46113</v>
          </cell>
        </row>
        <row r="336">
          <cell r="B336">
            <v>46104</v>
          </cell>
          <cell r="C336">
            <v>46113</v>
          </cell>
        </row>
        <row r="337">
          <cell r="B337">
            <v>46104</v>
          </cell>
          <cell r="C337">
            <v>46113</v>
          </cell>
        </row>
        <row r="338">
          <cell r="B338">
            <v>46104</v>
          </cell>
          <cell r="C338">
            <v>46113</v>
          </cell>
        </row>
        <row r="339">
          <cell r="B339">
            <v>46104</v>
          </cell>
          <cell r="C339">
            <v>46113</v>
          </cell>
        </row>
        <row r="340">
          <cell r="B340">
            <v>46104</v>
          </cell>
          <cell r="C340">
            <v>46113</v>
          </cell>
        </row>
        <row r="341">
          <cell r="B341">
            <v>46104</v>
          </cell>
          <cell r="C341">
            <v>46113</v>
          </cell>
        </row>
        <row r="342">
          <cell r="B342">
            <v>46104</v>
          </cell>
          <cell r="C342">
            <v>46113</v>
          </cell>
        </row>
        <row r="343">
          <cell r="B343">
            <v>46104</v>
          </cell>
          <cell r="C343">
            <v>46113</v>
          </cell>
        </row>
        <row r="344">
          <cell r="B344">
            <v>46104</v>
          </cell>
          <cell r="C344">
            <v>46113</v>
          </cell>
        </row>
        <row r="345">
          <cell r="B345">
            <v>46104</v>
          </cell>
          <cell r="C345">
            <v>46113</v>
          </cell>
        </row>
        <row r="346">
          <cell r="B346">
            <v>46104</v>
          </cell>
          <cell r="C346">
            <v>46113</v>
          </cell>
        </row>
        <row r="347">
          <cell r="B347">
            <v>46104</v>
          </cell>
          <cell r="C347">
            <v>46113</v>
          </cell>
        </row>
        <row r="348">
          <cell r="B348">
            <v>46104</v>
          </cell>
          <cell r="C348">
            <v>46113</v>
          </cell>
        </row>
        <row r="349">
          <cell r="B349">
            <v>46104</v>
          </cell>
          <cell r="C349">
            <v>46113</v>
          </cell>
        </row>
        <row r="350">
          <cell r="B350">
            <v>46104</v>
          </cell>
          <cell r="C350">
            <v>46113</v>
          </cell>
        </row>
        <row r="351">
          <cell r="B351">
            <v>46104</v>
          </cell>
          <cell r="C351">
            <v>46113</v>
          </cell>
        </row>
        <row r="352">
          <cell r="B352">
            <v>46104</v>
          </cell>
          <cell r="C352">
            <v>46113</v>
          </cell>
        </row>
        <row r="353">
          <cell r="B353">
            <v>46104</v>
          </cell>
          <cell r="C353">
            <v>46113</v>
          </cell>
        </row>
        <row r="354">
          <cell r="B354">
            <v>46104</v>
          </cell>
          <cell r="C354">
            <v>46113</v>
          </cell>
        </row>
        <row r="355">
          <cell r="B355">
            <v>46104</v>
          </cell>
          <cell r="C355">
            <v>46113</v>
          </cell>
        </row>
        <row r="356">
          <cell r="B356">
            <v>46104</v>
          </cell>
          <cell r="C356">
            <v>46113</v>
          </cell>
        </row>
        <row r="357">
          <cell r="B357">
            <v>46104</v>
          </cell>
          <cell r="C357">
            <v>46113</v>
          </cell>
        </row>
        <row r="358">
          <cell r="B358">
            <v>46104</v>
          </cell>
          <cell r="C358">
            <v>46113</v>
          </cell>
        </row>
        <row r="359">
          <cell r="B359">
            <v>46104</v>
          </cell>
          <cell r="C359">
            <v>46113</v>
          </cell>
        </row>
        <row r="360">
          <cell r="B360">
            <v>46104</v>
          </cell>
          <cell r="C360">
            <v>46113</v>
          </cell>
        </row>
        <row r="361">
          <cell r="B361">
            <v>46104</v>
          </cell>
          <cell r="C361">
            <v>46113</v>
          </cell>
        </row>
        <row r="362">
          <cell r="B362">
            <v>46104</v>
          </cell>
          <cell r="C362">
            <v>46113</v>
          </cell>
        </row>
        <row r="363">
          <cell r="B363">
            <v>46104</v>
          </cell>
          <cell r="C363">
            <v>46113</v>
          </cell>
        </row>
        <row r="364">
          <cell r="B364">
            <v>46104</v>
          </cell>
          <cell r="C364">
            <v>46113</v>
          </cell>
        </row>
        <row r="365">
          <cell r="B365">
            <v>46104</v>
          </cell>
          <cell r="C365">
            <v>46113</v>
          </cell>
        </row>
        <row r="366">
          <cell r="B366">
            <v>46104</v>
          </cell>
          <cell r="C366">
            <v>46113</v>
          </cell>
        </row>
        <row r="367">
          <cell r="B367">
            <v>46104</v>
          </cell>
          <cell r="C367">
            <v>46113</v>
          </cell>
        </row>
        <row r="368">
          <cell r="B368">
            <v>46104</v>
          </cell>
          <cell r="C368">
            <v>46113</v>
          </cell>
        </row>
        <row r="369">
          <cell r="B369">
            <v>46104</v>
          </cell>
          <cell r="C369">
            <v>46113</v>
          </cell>
        </row>
        <row r="370">
          <cell r="B370">
            <v>46104</v>
          </cell>
          <cell r="C370">
            <v>46113</v>
          </cell>
        </row>
        <row r="371">
          <cell r="B371">
            <v>46104</v>
          </cell>
          <cell r="C371">
            <v>46113</v>
          </cell>
        </row>
        <row r="372">
          <cell r="B372">
            <v>46104</v>
          </cell>
          <cell r="C372">
            <v>46113</v>
          </cell>
        </row>
        <row r="373">
          <cell r="B373">
            <v>46104</v>
          </cell>
          <cell r="C373">
            <v>46113</v>
          </cell>
        </row>
        <row r="374">
          <cell r="B374">
            <v>46104</v>
          </cell>
          <cell r="C374">
            <v>46113</v>
          </cell>
        </row>
        <row r="375">
          <cell r="B375">
            <v>46104</v>
          </cell>
          <cell r="C375">
            <v>46113</v>
          </cell>
        </row>
        <row r="376">
          <cell r="B376">
            <v>46104</v>
          </cell>
          <cell r="C376">
            <v>46113</v>
          </cell>
        </row>
        <row r="377">
          <cell r="B377">
            <v>46104</v>
          </cell>
          <cell r="C377">
            <v>46113</v>
          </cell>
        </row>
        <row r="378">
          <cell r="B378">
            <v>46104</v>
          </cell>
          <cell r="C378">
            <v>46113</v>
          </cell>
        </row>
        <row r="379">
          <cell r="B379">
            <v>46104</v>
          </cell>
          <cell r="C379">
            <v>46113</v>
          </cell>
        </row>
        <row r="380">
          <cell r="B380">
            <v>46104</v>
          </cell>
          <cell r="C380">
            <v>46113</v>
          </cell>
        </row>
        <row r="381">
          <cell r="B381">
            <v>46104</v>
          </cell>
          <cell r="C381">
            <v>46113</v>
          </cell>
        </row>
        <row r="382">
          <cell r="B382">
            <v>46104</v>
          </cell>
          <cell r="C382">
            <v>46113</v>
          </cell>
        </row>
        <row r="383">
          <cell r="B383">
            <v>46104</v>
          </cell>
          <cell r="C383">
            <v>46113</v>
          </cell>
        </row>
        <row r="384">
          <cell r="B384">
            <v>46104</v>
          </cell>
          <cell r="C384">
            <v>46113</v>
          </cell>
        </row>
        <row r="385">
          <cell r="B385">
            <v>46104</v>
          </cell>
          <cell r="C385">
            <v>46113</v>
          </cell>
        </row>
        <row r="386">
          <cell r="B386">
            <v>46104</v>
          </cell>
          <cell r="C386">
            <v>46113</v>
          </cell>
        </row>
        <row r="387">
          <cell r="B387">
            <v>46104</v>
          </cell>
          <cell r="C387">
            <v>46113</v>
          </cell>
        </row>
        <row r="388">
          <cell r="B388">
            <v>46104</v>
          </cell>
          <cell r="C388">
            <v>46113</v>
          </cell>
        </row>
        <row r="389">
          <cell r="B389">
            <v>46104</v>
          </cell>
          <cell r="C389">
            <v>46113</v>
          </cell>
        </row>
        <row r="390">
          <cell r="B390">
            <v>46104</v>
          </cell>
          <cell r="C390">
            <v>46113</v>
          </cell>
        </row>
        <row r="391">
          <cell r="B391">
            <v>46104</v>
          </cell>
          <cell r="C391">
            <v>46113</v>
          </cell>
        </row>
        <row r="392">
          <cell r="B392">
            <v>46104</v>
          </cell>
          <cell r="C392">
            <v>46113</v>
          </cell>
        </row>
        <row r="393">
          <cell r="B393">
            <v>46104</v>
          </cell>
          <cell r="C393">
            <v>46113</v>
          </cell>
        </row>
        <row r="394">
          <cell r="B394">
            <v>46104</v>
          </cell>
          <cell r="C394">
            <v>46113</v>
          </cell>
        </row>
        <row r="395">
          <cell r="B395">
            <v>46104</v>
          </cell>
          <cell r="C395">
            <v>46113</v>
          </cell>
        </row>
        <row r="396">
          <cell r="B396">
            <v>46104</v>
          </cell>
          <cell r="C396">
            <v>46113</v>
          </cell>
        </row>
        <row r="397">
          <cell r="B397">
            <v>46104</v>
          </cell>
          <cell r="C397">
            <v>46113</v>
          </cell>
        </row>
        <row r="398">
          <cell r="B398">
            <v>46104</v>
          </cell>
          <cell r="C398">
            <v>46113</v>
          </cell>
        </row>
        <row r="399">
          <cell r="B399">
            <v>46104</v>
          </cell>
          <cell r="C399">
            <v>46113</v>
          </cell>
        </row>
        <row r="400">
          <cell r="B400">
            <v>46104</v>
          </cell>
          <cell r="C400">
            <v>46113</v>
          </cell>
        </row>
        <row r="401">
          <cell r="B401">
            <v>46104</v>
          </cell>
          <cell r="C401">
            <v>46113</v>
          </cell>
        </row>
        <row r="402">
          <cell r="B402">
            <v>46104</v>
          </cell>
          <cell r="C402">
            <v>46113</v>
          </cell>
        </row>
        <row r="403">
          <cell r="B403">
            <v>46104</v>
          </cell>
          <cell r="C403">
            <v>46113</v>
          </cell>
        </row>
        <row r="404">
          <cell r="B404">
            <v>46104</v>
          </cell>
          <cell r="C404">
            <v>46113</v>
          </cell>
        </row>
        <row r="405">
          <cell r="B405">
            <v>46104</v>
          </cell>
          <cell r="C405">
            <v>46113</v>
          </cell>
        </row>
        <row r="406">
          <cell r="B406">
            <v>46104</v>
          </cell>
          <cell r="C406">
            <v>46113</v>
          </cell>
        </row>
        <row r="407">
          <cell r="B407">
            <v>46104</v>
          </cell>
          <cell r="C407">
            <v>46113</v>
          </cell>
        </row>
        <row r="408">
          <cell r="B408">
            <v>46104</v>
          </cell>
          <cell r="C408">
            <v>46113</v>
          </cell>
        </row>
        <row r="409">
          <cell r="B409">
            <v>46104</v>
          </cell>
          <cell r="C409">
            <v>46113</v>
          </cell>
        </row>
        <row r="410">
          <cell r="B410">
            <v>46104</v>
          </cell>
          <cell r="C410">
            <v>46113</v>
          </cell>
        </row>
        <row r="411">
          <cell r="B411">
            <v>46104</v>
          </cell>
          <cell r="C411">
            <v>46113</v>
          </cell>
        </row>
        <row r="412">
          <cell r="B412">
            <v>46104</v>
          </cell>
          <cell r="C412">
            <v>46113</v>
          </cell>
        </row>
        <row r="413">
          <cell r="B413">
            <v>46104</v>
          </cell>
          <cell r="C413">
            <v>46113</v>
          </cell>
        </row>
        <row r="414">
          <cell r="B414">
            <v>46104</v>
          </cell>
          <cell r="C414">
            <v>46113</v>
          </cell>
        </row>
        <row r="415">
          <cell r="B415">
            <v>46104</v>
          </cell>
          <cell r="C415">
            <v>46113</v>
          </cell>
        </row>
        <row r="416">
          <cell r="B416">
            <v>46104</v>
          </cell>
          <cell r="C416">
            <v>46113</v>
          </cell>
        </row>
        <row r="417">
          <cell r="B417">
            <v>46104</v>
          </cell>
          <cell r="C417">
            <v>46113</v>
          </cell>
        </row>
        <row r="418">
          <cell r="B418">
            <v>46104</v>
          </cell>
          <cell r="C418">
            <v>46113</v>
          </cell>
        </row>
        <row r="419">
          <cell r="B419">
            <v>46104</v>
          </cell>
          <cell r="C419">
            <v>46113</v>
          </cell>
        </row>
        <row r="420">
          <cell r="B420">
            <v>46104</v>
          </cell>
          <cell r="C420">
            <v>46113</v>
          </cell>
        </row>
        <row r="421">
          <cell r="B421">
            <v>46104</v>
          </cell>
          <cell r="C421">
            <v>46113</v>
          </cell>
        </row>
        <row r="422">
          <cell r="B422">
            <v>46104</v>
          </cell>
          <cell r="C422">
            <v>46113</v>
          </cell>
        </row>
        <row r="423">
          <cell r="B423">
            <v>46104</v>
          </cell>
          <cell r="C423">
            <v>46113</v>
          </cell>
        </row>
        <row r="424">
          <cell r="B424">
            <v>46104</v>
          </cell>
          <cell r="C424">
            <v>46113</v>
          </cell>
        </row>
        <row r="425">
          <cell r="B425">
            <v>46104</v>
          </cell>
          <cell r="C425">
            <v>46113</v>
          </cell>
        </row>
        <row r="426">
          <cell r="B426">
            <v>46104</v>
          </cell>
          <cell r="C426">
            <v>46113</v>
          </cell>
        </row>
        <row r="427">
          <cell r="B427">
            <v>46104</v>
          </cell>
          <cell r="C427">
            <v>46113</v>
          </cell>
        </row>
        <row r="428">
          <cell r="B428">
            <v>46104</v>
          </cell>
          <cell r="C428">
            <v>46113</v>
          </cell>
        </row>
        <row r="429">
          <cell r="B429">
            <v>46104</v>
          </cell>
          <cell r="C429">
            <v>46113</v>
          </cell>
        </row>
        <row r="430">
          <cell r="B430">
            <v>46104</v>
          </cell>
          <cell r="C430">
            <v>46113</v>
          </cell>
        </row>
        <row r="431">
          <cell r="B431">
            <v>46104</v>
          </cell>
          <cell r="C431">
            <v>46113</v>
          </cell>
        </row>
        <row r="432">
          <cell r="B432">
            <v>46104</v>
          </cell>
          <cell r="C432">
            <v>46113</v>
          </cell>
        </row>
        <row r="433">
          <cell r="B433">
            <v>46104</v>
          </cell>
          <cell r="C433">
            <v>46113</v>
          </cell>
        </row>
        <row r="434">
          <cell r="B434">
            <v>46104</v>
          </cell>
          <cell r="C434">
            <v>46113</v>
          </cell>
        </row>
        <row r="435">
          <cell r="B435">
            <v>46104</v>
          </cell>
          <cell r="C435">
            <v>46113</v>
          </cell>
        </row>
        <row r="436">
          <cell r="B436">
            <v>46104</v>
          </cell>
          <cell r="C436">
            <v>46113</v>
          </cell>
        </row>
        <row r="437">
          <cell r="B437">
            <v>46104</v>
          </cell>
          <cell r="C437">
            <v>46113</v>
          </cell>
        </row>
        <row r="438">
          <cell r="B438">
            <v>46104</v>
          </cell>
          <cell r="C438">
            <v>46113</v>
          </cell>
        </row>
        <row r="439">
          <cell r="B439">
            <v>46104</v>
          </cell>
          <cell r="C439">
            <v>46113</v>
          </cell>
        </row>
        <row r="440">
          <cell r="B440">
            <v>46104</v>
          </cell>
          <cell r="C440">
            <v>46113</v>
          </cell>
        </row>
        <row r="441">
          <cell r="B441">
            <v>46104</v>
          </cell>
          <cell r="C441">
            <v>46113</v>
          </cell>
        </row>
        <row r="442">
          <cell r="B442">
            <v>46104</v>
          </cell>
          <cell r="C442">
            <v>46113</v>
          </cell>
        </row>
        <row r="443">
          <cell r="B443">
            <v>46104</v>
          </cell>
          <cell r="C443">
            <v>46113</v>
          </cell>
        </row>
        <row r="444">
          <cell r="B444">
            <v>46104</v>
          </cell>
          <cell r="C444">
            <v>46113</v>
          </cell>
        </row>
        <row r="445">
          <cell r="B445">
            <v>46104</v>
          </cell>
          <cell r="C445">
            <v>46113</v>
          </cell>
        </row>
        <row r="446">
          <cell r="B446">
            <v>46104</v>
          </cell>
          <cell r="C446">
            <v>46113</v>
          </cell>
        </row>
        <row r="447">
          <cell r="B447">
            <v>46104</v>
          </cell>
          <cell r="C447">
            <v>46113</v>
          </cell>
        </row>
        <row r="448">
          <cell r="B448">
            <v>46104</v>
          </cell>
          <cell r="C448">
            <v>46113</v>
          </cell>
        </row>
        <row r="449">
          <cell r="B449">
            <v>46104</v>
          </cell>
          <cell r="C449">
            <v>46113</v>
          </cell>
        </row>
        <row r="450">
          <cell r="B450">
            <v>46104</v>
          </cell>
          <cell r="C450">
            <v>46113</v>
          </cell>
        </row>
        <row r="451">
          <cell r="B451">
            <v>46104</v>
          </cell>
          <cell r="C451">
            <v>46113</v>
          </cell>
        </row>
        <row r="452">
          <cell r="B452">
            <v>46104</v>
          </cell>
          <cell r="C452">
            <v>46113</v>
          </cell>
        </row>
        <row r="453">
          <cell r="B453">
            <v>46104</v>
          </cell>
          <cell r="C453">
            <v>46113</v>
          </cell>
        </row>
        <row r="454">
          <cell r="B454">
            <v>46104</v>
          </cell>
          <cell r="C454">
            <v>46113</v>
          </cell>
        </row>
        <row r="455">
          <cell r="B455">
            <v>46104</v>
          </cell>
          <cell r="C455">
            <v>46113</v>
          </cell>
        </row>
        <row r="456">
          <cell r="B456">
            <v>46104</v>
          </cell>
          <cell r="C456">
            <v>46113</v>
          </cell>
        </row>
        <row r="457">
          <cell r="B457">
            <v>46104</v>
          </cell>
          <cell r="C457">
            <v>46113</v>
          </cell>
        </row>
        <row r="458">
          <cell r="B458">
            <v>46104</v>
          </cell>
          <cell r="C458">
            <v>46113</v>
          </cell>
        </row>
        <row r="459">
          <cell r="B459">
            <v>46104</v>
          </cell>
          <cell r="C459">
            <v>46113</v>
          </cell>
        </row>
        <row r="460">
          <cell r="B460">
            <v>46104</v>
          </cell>
          <cell r="C460">
            <v>46113</v>
          </cell>
        </row>
        <row r="461">
          <cell r="B461">
            <v>46104</v>
          </cell>
          <cell r="C461">
            <v>46113</v>
          </cell>
        </row>
        <row r="462">
          <cell r="B462">
            <v>46104</v>
          </cell>
          <cell r="C462">
            <v>46113</v>
          </cell>
        </row>
        <row r="463">
          <cell r="B463">
            <v>46104</v>
          </cell>
          <cell r="C463">
            <v>46113</v>
          </cell>
        </row>
        <row r="464">
          <cell r="B464">
            <v>46104</v>
          </cell>
          <cell r="C464">
            <v>46113</v>
          </cell>
        </row>
        <row r="465">
          <cell r="B465">
            <v>46104</v>
          </cell>
          <cell r="C465">
            <v>46113</v>
          </cell>
        </row>
        <row r="466">
          <cell r="B466">
            <v>46104</v>
          </cell>
          <cell r="C466">
            <v>46113</v>
          </cell>
        </row>
        <row r="467">
          <cell r="B467">
            <v>46104</v>
          </cell>
          <cell r="C467">
            <v>46113</v>
          </cell>
        </row>
        <row r="468">
          <cell r="B468">
            <v>46104</v>
          </cell>
          <cell r="C468">
            <v>46113</v>
          </cell>
        </row>
        <row r="469">
          <cell r="B469">
            <v>46104</v>
          </cell>
          <cell r="C469">
            <v>46113</v>
          </cell>
        </row>
        <row r="470">
          <cell r="B470">
            <v>46104</v>
          </cell>
          <cell r="C470">
            <v>46113</v>
          </cell>
        </row>
        <row r="471">
          <cell r="B471">
            <v>46104</v>
          </cell>
          <cell r="C471">
            <v>46113</v>
          </cell>
        </row>
        <row r="472">
          <cell r="B472">
            <v>46104</v>
          </cell>
          <cell r="C472">
            <v>46113</v>
          </cell>
        </row>
        <row r="473">
          <cell r="B473">
            <v>46104</v>
          </cell>
          <cell r="C473">
            <v>46113</v>
          </cell>
        </row>
        <row r="474">
          <cell r="B474">
            <v>46104</v>
          </cell>
          <cell r="C474">
            <v>46113</v>
          </cell>
        </row>
        <row r="475">
          <cell r="B475">
            <v>46104</v>
          </cell>
          <cell r="C475">
            <v>46113</v>
          </cell>
        </row>
        <row r="476">
          <cell r="B476">
            <v>46104</v>
          </cell>
          <cell r="C476">
            <v>46113</v>
          </cell>
        </row>
        <row r="477">
          <cell r="B477">
            <v>46104</v>
          </cell>
          <cell r="C477">
            <v>46113</v>
          </cell>
        </row>
        <row r="478">
          <cell r="B478">
            <v>46104</v>
          </cell>
          <cell r="C478">
            <v>46113</v>
          </cell>
        </row>
        <row r="479">
          <cell r="B479">
            <v>46104</v>
          </cell>
          <cell r="C479">
            <v>46113</v>
          </cell>
        </row>
        <row r="480">
          <cell r="B480">
            <v>46104</v>
          </cell>
          <cell r="C480">
            <v>46113</v>
          </cell>
        </row>
        <row r="481">
          <cell r="B481">
            <v>46104</v>
          </cell>
          <cell r="C481">
            <v>46113</v>
          </cell>
        </row>
        <row r="482">
          <cell r="B482">
            <v>46104</v>
          </cell>
          <cell r="C482">
            <v>46113</v>
          </cell>
        </row>
        <row r="483">
          <cell r="B483">
            <v>46104</v>
          </cell>
          <cell r="C483">
            <v>46113</v>
          </cell>
        </row>
        <row r="484">
          <cell r="B484">
            <v>46104</v>
          </cell>
          <cell r="C484">
            <v>46113</v>
          </cell>
        </row>
        <row r="485">
          <cell r="B485">
            <v>46104</v>
          </cell>
          <cell r="C485">
            <v>46113</v>
          </cell>
        </row>
        <row r="486">
          <cell r="B486">
            <v>46104</v>
          </cell>
          <cell r="C486">
            <v>46113</v>
          </cell>
        </row>
        <row r="487">
          <cell r="B487">
            <v>46104</v>
          </cell>
          <cell r="C487">
            <v>46113</v>
          </cell>
        </row>
        <row r="488">
          <cell r="B488">
            <v>46104</v>
          </cell>
          <cell r="C488">
            <v>46113</v>
          </cell>
        </row>
        <row r="489">
          <cell r="B489">
            <v>46104</v>
          </cell>
          <cell r="C489">
            <v>46113</v>
          </cell>
        </row>
        <row r="490">
          <cell r="B490">
            <v>46104</v>
          </cell>
          <cell r="C490">
            <v>46113</v>
          </cell>
        </row>
        <row r="491">
          <cell r="B491">
            <v>46104</v>
          </cell>
          <cell r="C491">
            <v>46113</v>
          </cell>
        </row>
        <row r="492">
          <cell r="B492">
            <v>46104</v>
          </cell>
          <cell r="C492">
            <v>46113</v>
          </cell>
        </row>
        <row r="493">
          <cell r="B493">
            <v>46104</v>
          </cell>
          <cell r="C493">
            <v>46113</v>
          </cell>
        </row>
        <row r="494">
          <cell r="B494">
            <v>46104</v>
          </cell>
          <cell r="C494">
            <v>46113</v>
          </cell>
        </row>
        <row r="495">
          <cell r="B495">
            <v>46104</v>
          </cell>
          <cell r="C495">
            <v>46113</v>
          </cell>
        </row>
        <row r="496">
          <cell r="B496">
            <v>46104</v>
          </cell>
          <cell r="C496">
            <v>46113</v>
          </cell>
        </row>
        <row r="497">
          <cell r="B497">
            <v>46104</v>
          </cell>
          <cell r="C497">
            <v>46113</v>
          </cell>
        </row>
        <row r="498">
          <cell r="B498">
            <v>46104</v>
          </cell>
          <cell r="C498">
            <v>46113</v>
          </cell>
        </row>
        <row r="499">
          <cell r="B499">
            <v>46104</v>
          </cell>
          <cell r="C499">
            <v>46113</v>
          </cell>
        </row>
        <row r="500">
          <cell r="B500">
            <v>46104</v>
          </cell>
          <cell r="C500">
            <v>46113</v>
          </cell>
        </row>
        <row r="501">
          <cell r="B501">
            <v>46104</v>
          </cell>
          <cell r="C501">
            <v>46113</v>
          </cell>
        </row>
        <row r="502">
          <cell r="B502">
            <v>46104</v>
          </cell>
          <cell r="C502">
            <v>46113</v>
          </cell>
        </row>
        <row r="503">
          <cell r="B503">
            <v>46104</v>
          </cell>
          <cell r="C503">
            <v>46113</v>
          </cell>
        </row>
        <row r="504">
          <cell r="B504">
            <v>46104</v>
          </cell>
          <cell r="C504">
            <v>46113</v>
          </cell>
        </row>
        <row r="505">
          <cell r="B505">
            <v>46104</v>
          </cell>
          <cell r="C505">
            <v>46113</v>
          </cell>
        </row>
        <row r="506">
          <cell r="B506">
            <v>46104</v>
          </cell>
          <cell r="C506">
            <v>46113</v>
          </cell>
        </row>
        <row r="507">
          <cell r="B507">
            <v>46104</v>
          </cell>
          <cell r="C507">
            <v>46113</v>
          </cell>
        </row>
        <row r="508">
          <cell r="B508">
            <v>46104</v>
          </cell>
          <cell r="C508">
            <v>46113</v>
          </cell>
        </row>
        <row r="509">
          <cell r="B509">
            <v>46104</v>
          </cell>
          <cell r="C509">
            <v>46113</v>
          </cell>
        </row>
        <row r="510">
          <cell r="B510">
            <v>46104</v>
          </cell>
          <cell r="C510">
            <v>46113</v>
          </cell>
        </row>
        <row r="511">
          <cell r="B511">
            <v>46104</v>
          </cell>
          <cell r="C511">
            <v>46113</v>
          </cell>
        </row>
        <row r="512">
          <cell r="B512">
            <v>46104</v>
          </cell>
          <cell r="C512">
            <v>46113</v>
          </cell>
        </row>
        <row r="513">
          <cell r="B513">
            <v>46104</v>
          </cell>
          <cell r="C513">
            <v>46113</v>
          </cell>
        </row>
        <row r="514">
          <cell r="B514">
            <v>46104</v>
          </cell>
          <cell r="C514">
            <v>46113</v>
          </cell>
        </row>
        <row r="515">
          <cell r="B515">
            <v>46104</v>
          </cell>
          <cell r="C515">
            <v>46113</v>
          </cell>
        </row>
        <row r="516">
          <cell r="B516">
            <v>46104</v>
          </cell>
          <cell r="C516">
            <v>46113</v>
          </cell>
        </row>
        <row r="517">
          <cell r="B517">
            <v>46104</v>
          </cell>
          <cell r="C517">
            <v>46113</v>
          </cell>
        </row>
        <row r="518">
          <cell r="B518">
            <v>46104</v>
          </cell>
          <cell r="C518">
            <v>46113</v>
          </cell>
        </row>
        <row r="519">
          <cell r="B519">
            <v>46104</v>
          </cell>
          <cell r="C519">
            <v>46113</v>
          </cell>
        </row>
        <row r="520">
          <cell r="B520">
            <v>46104</v>
          </cell>
          <cell r="C520">
            <v>46113</v>
          </cell>
        </row>
        <row r="521">
          <cell r="B521">
            <v>46104</v>
          </cell>
          <cell r="C521">
            <v>46113</v>
          </cell>
        </row>
        <row r="522">
          <cell r="B522">
            <v>46104</v>
          </cell>
          <cell r="C522">
            <v>46113</v>
          </cell>
        </row>
        <row r="523">
          <cell r="B523">
            <v>46104</v>
          </cell>
          <cell r="C523">
            <v>46113</v>
          </cell>
        </row>
        <row r="524">
          <cell r="B524">
            <v>46104</v>
          </cell>
          <cell r="C524">
            <v>46113</v>
          </cell>
        </row>
        <row r="525">
          <cell r="B525">
            <v>46104</v>
          </cell>
          <cell r="C525">
            <v>46113</v>
          </cell>
        </row>
        <row r="526">
          <cell r="B526">
            <v>46104</v>
          </cell>
          <cell r="C526">
            <v>46113</v>
          </cell>
        </row>
        <row r="527">
          <cell r="B527">
            <v>46104</v>
          </cell>
          <cell r="C527">
            <v>46113</v>
          </cell>
        </row>
        <row r="528">
          <cell r="B528">
            <v>46104</v>
          </cell>
          <cell r="C528">
            <v>46113</v>
          </cell>
        </row>
        <row r="529">
          <cell r="B529">
            <v>46104</v>
          </cell>
          <cell r="C529">
            <v>46113</v>
          </cell>
        </row>
        <row r="530">
          <cell r="B530">
            <v>46104</v>
          </cell>
          <cell r="C530">
            <v>46113</v>
          </cell>
        </row>
        <row r="531">
          <cell r="B531">
            <v>46104</v>
          </cell>
          <cell r="C531">
            <v>46113</v>
          </cell>
        </row>
        <row r="532">
          <cell r="B532">
            <v>46104</v>
          </cell>
          <cell r="C532">
            <v>46113</v>
          </cell>
        </row>
        <row r="533">
          <cell r="B533">
            <v>46104</v>
          </cell>
          <cell r="C533">
            <v>46113</v>
          </cell>
        </row>
        <row r="534">
          <cell r="B534">
            <v>46104</v>
          </cell>
          <cell r="C534">
            <v>46113</v>
          </cell>
        </row>
        <row r="535">
          <cell r="B535">
            <v>46104</v>
          </cell>
          <cell r="C535">
            <v>46113</v>
          </cell>
        </row>
        <row r="536">
          <cell r="B536">
            <v>46104</v>
          </cell>
          <cell r="C536">
            <v>46113</v>
          </cell>
        </row>
        <row r="537">
          <cell r="B537">
            <v>46104</v>
          </cell>
          <cell r="C537">
            <v>46113</v>
          </cell>
        </row>
        <row r="538">
          <cell r="B538">
            <v>46104</v>
          </cell>
          <cell r="C538">
            <v>46113</v>
          </cell>
        </row>
        <row r="539">
          <cell r="B539">
            <v>46104</v>
          </cell>
          <cell r="C539">
            <v>46113</v>
          </cell>
        </row>
        <row r="540">
          <cell r="B540">
            <v>46104</v>
          </cell>
          <cell r="C540">
            <v>46113</v>
          </cell>
        </row>
        <row r="541">
          <cell r="B541">
            <v>46104</v>
          </cell>
          <cell r="C541">
            <v>46113</v>
          </cell>
        </row>
        <row r="542">
          <cell r="B542">
            <v>46104</v>
          </cell>
          <cell r="C542">
            <v>46113</v>
          </cell>
        </row>
        <row r="543">
          <cell r="B543">
            <v>46104</v>
          </cell>
          <cell r="C543">
            <v>46113</v>
          </cell>
        </row>
        <row r="544">
          <cell r="B544">
            <v>46104</v>
          </cell>
          <cell r="C544">
            <v>46113</v>
          </cell>
        </row>
        <row r="545">
          <cell r="B545">
            <v>46104</v>
          </cell>
          <cell r="C545">
            <v>46113</v>
          </cell>
        </row>
        <row r="546">
          <cell r="B546">
            <v>46104</v>
          </cell>
          <cell r="C546">
            <v>46113</v>
          </cell>
        </row>
        <row r="547">
          <cell r="B547">
            <v>46104</v>
          </cell>
          <cell r="C547">
            <v>46113</v>
          </cell>
        </row>
        <row r="548">
          <cell r="B548">
            <v>46104</v>
          </cell>
          <cell r="C548">
            <v>46113</v>
          </cell>
        </row>
        <row r="549">
          <cell r="B549">
            <v>46104</v>
          </cell>
          <cell r="C549">
            <v>46113</v>
          </cell>
        </row>
        <row r="550">
          <cell r="B550">
            <v>46104</v>
          </cell>
          <cell r="C550">
            <v>46113</v>
          </cell>
        </row>
        <row r="551">
          <cell r="B551">
            <v>46104</v>
          </cell>
          <cell r="C551">
            <v>46113</v>
          </cell>
        </row>
        <row r="552">
          <cell r="B552">
            <v>46104</v>
          </cell>
          <cell r="C552">
            <v>46113</v>
          </cell>
        </row>
        <row r="553">
          <cell r="B553">
            <v>46104</v>
          </cell>
          <cell r="C553">
            <v>46113</v>
          </cell>
        </row>
        <row r="554">
          <cell r="B554">
            <v>46104</v>
          </cell>
          <cell r="C554">
            <v>46113</v>
          </cell>
        </row>
        <row r="555">
          <cell r="B555">
            <v>46104</v>
          </cell>
          <cell r="C555">
            <v>46113</v>
          </cell>
        </row>
        <row r="556">
          <cell r="B556">
            <v>46104</v>
          </cell>
          <cell r="C556">
            <v>46113</v>
          </cell>
        </row>
        <row r="557">
          <cell r="B557">
            <v>46104</v>
          </cell>
          <cell r="C557">
            <v>46113</v>
          </cell>
        </row>
        <row r="558">
          <cell r="B558">
            <v>46104</v>
          </cell>
          <cell r="C558">
            <v>46113</v>
          </cell>
        </row>
        <row r="559">
          <cell r="B559">
            <v>46104</v>
          </cell>
          <cell r="C559">
            <v>46113</v>
          </cell>
        </row>
        <row r="560">
          <cell r="B560">
            <v>46104</v>
          </cell>
          <cell r="C560">
            <v>46113</v>
          </cell>
        </row>
        <row r="561">
          <cell r="B561">
            <v>46104</v>
          </cell>
          <cell r="C561">
            <v>46113</v>
          </cell>
        </row>
        <row r="562">
          <cell r="B562">
            <v>46104</v>
          </cell>
          <cell r="C562">
            <v>46113</v>
          </cell>
        </row>
        <row r="563">
          <cell r="B563">
            <v>46104</v>
          </cell>
          <cell r="C563">
            <v>46113</v>
          </cell>
        </row>
        <row r="564">
          <cell r="B564">
            <v>46104</v>
          </cell>
          <cell r="C564">
            <v>46113</v>
          </cell>
        </row>
        <row r="565">
          <cell r="B565">
            <v>46104</v>
          </cell>
          <cell r="C565">
            <v>46113</v>
          </cell>
        </row>
        <row r="566">
          <cell r="B566">
            <v>46104</v>
          </cell>
          <cell r="C566">
            <v>46113</v>
          </cell>
        </row>
        <row r="567">
          <cell r="B567">
            <v>46104</v>
          </cell>
          <cell r="C567">
            <v>46113</v>
          </cell>
        </row>
        <row r="568">
          <cell r="B568">
            <v>46104</v>
          </cell>
          <cell r="C568">
            <v>46113</v>
          </cell>
        </row>
        <row r="569">
          <cell r="B569">
            <v>46104</v>
          </cell>
          <cell r="C569">
            <v>46113</v>
          </cell>
        </row>
        <row r="570">
          <cell r="B570">
            <v>46104</v>
          </cell>
          <cell r="C570">
            <v>46113</v>
          </cell>
        </row>
        <row r="571">
          <cell r="B571">
            <v>46104</v>
          </cell>
          <cell r="C571">
            <v>46113</v>
          </cell>
        </row>
        <row r="572">
          <cell r="B572">
            <v>46104</v>
          </cell>
          <cell r="C572">
            <v>46113</v>
          </cell>
        </row>
        <row r="573">
          <cell r="B573">
            <v>46104</v>
          </cell>
          <cell r="C573">
            <v>46113</v>
          </cell>
        </row>
        <row r="574">
          <cell r="B574">
            <v>46104</v>
          </cell>
          <cell r="C574">
            <v>46113</v>
          </cell>
        </row>
        <row r="575">
          <cell r="B575">
            <v>46104</v>
          </cell>
          <cell r="C575">
            <v>46113</v>
          </cell>
        </row>
        <row r="576">
          <cell r="B576">
            <v>46104</v>
          </cell>
          <cell r="C576">
            <v>46113</v>
          </cell>
        </row>
        <row r="577">
          <cell r="B577">
            <v>46104</v>
          </cell>
          <cell r="C577">
            <v>46113</v>
          </cell>
        </row>
        <row r="578">
          <cell r="B578">
            <v>46104</v>
          </cell>
          <cell r="C578">
            <v>46113</v>
          </cell>
        </row>
        <row r="579">
          <cell r="B579">
            <v>46104</v>
          </cell>
          <cell r="C579">
            <v>46113</v>
          </cell>
        </row>
        <row r="580">
          <cell r="B580">
            <v>46104</v>
          </cell>
          <cell r="C580">
            <v>46113</v>
          </cell>
        </row>
        <row r="581">
          <cell r="B581">
            <v>46104</v>
          </cell>
          <cell r="C581">
            <v>46113</v>
          </cell>
        </row>
        <row r="582">
          <cell r="B582">
            <v>46104</v>
          </cell>
          <cell r="C582">
            <v>46113</v>
          </cell>
        </row>
        <row r="583">
          <cell r="B583">
            <v>46104</v>
          </cell>
          <cell r="C583">
            <v>46113</v>
          </cell>
        </row>
        <row r="584">
          <cell r="B584">
            <v>46104</v>
          </cell>
          <cell r="C584">
            <v>46113</v>
          </cell>
        </row>
        <row r="585">
          <cell r="B585">
            <v>46104</v>
          </cell>
          <cell r="C585">
            <v>46113</v>
          </cell>
        </row>
        <row r="586">
          <cell r="B586">
            <v>46104</v>
          </cell>
          <cell r="C586">
            <v>46113</v>
          </cell>
        </row>
        <row r="587">
          <cell r="B587">
            <v>46104</v>
          </cell>
          <cell r="C587">
            <v>46113</v>
          </cell>
        </row>
        <row r="588">
          <cell r="B588">
            <v>46104</v>
          </cell>
          <cell r="C588">
            <v>46113</v>
          </cell>
        </row>
        <row r="589">
          <cell r="B589">
            <v>46104</v>
          </cell>
          <cell r="C589">
            <v>46113</v>
          </cell>
        </row>
        <row r="590">
          <cell r="B590">
            <v>46104</v>
          </cell>
          <cell r="C590">
            <v>46113</v>
          </cell>
        </row>
        <row r="591">
          <cell r="B591">
            <v>46104</v>
          </cell>
          <cell r="C591">
            <v>46113</v>
          </cell>
        </row>
        <row r="592">
          <cell r="B592">
            <v>46104</v>
          </cell>
          <cell r="C592">
            <v>46113</v>
          </cell>
        </row>
        <row r="593">
          <cell r="B593">
            <v>46104</v>
          </cell>
          <cell r="C593">
            <v>46113</v>
          </cell>
        </row>
        <row r="594">
          <cell r="B594">
            <v>46104</v>
          </cell>
          <cell r="C594">
            <v>46113</v>
          </cell>
        </row>
        <row r="595">
          <cell r="B595">
            <v>46104</v>
          </cell>
          <cell r="C595">
            <v>46113</v>
          </cell>
        </row>
        <row r="596">
          <cell r="B596">
            <v>46104</v>
          </cell>
          <cell r="C596">
            <v>46113</v>
          </cell>
        </row>
        <row r="597">
          <cell r="B597">
            <v>46104</v>
          </cell>
          <cell r="C597">
            <v>46113</v>
          </cell>
        </row>
        <row r="598">
          <cell r="B598">
            <v>46104</v>
          </cell>
          <cell r="C598">
            <v>46113</v>
          </cell>
        </row>
        <row r="599">
          <cell r="B599">
            <v>46104</v>
          </cell>
          <cell r="C599">
            <v>46113</v>
          </cell>
        </row>
        <row r="600">
          <cell r="B600">
            <v>46104</v>
          </cell>
          <cell r="C600">
            <v>46113</v>
          </cell>
        </row>
        <row r="601">
          <cell r="B601">
            <v>46104</v>
          </cell>
          <cell r="C601">
            <v>46113</v>
          </cell>
        </row>
        <row r="602">
          <cell r="B602">
            <v>46104</v>
          </cell>
          <cell r="C602">
            <v>46113</v>
          </cell>
        </row>
        <row r="603">
          <cell r="B603">
            <v>46104</v>
          </cell>
          <cell r="C603">
            <v>46113</v>
          </cell>
        </row>
        <row r="604">
          <cell r="B604">
            <v>46104</v>
          </cell>
          <cell r="C604">
            <v>46113</v>
          </cell>
        </row>
        <row r="605">
          <cell r="B605">
            <v>46104</v>
          </cell>
          <cell r="C605">
            <v>46113</v>
          </cell>
        </row>
        <row r="606">
          <cell r="B606">
            <v>46104</v>
          </cell>
          <cell r="C606">
            <v>46113</v>
          </cell>
        </row>
        <row r="607">
          <cell r="B607">
            <v>46104</v>
          </cell>
          <cell r="C607">
            <v>46113</v>
          </cell>
        </row>
        <row r="608">
          <cell r="B608">
            <v>46104</v>
          </cell>
          <cell r="C608">
            <v>46113</v>
          </cell>
        </row>
        <row r="609">
          <cell r="B609">
            <v>46104</v>
          </cell>
          <cell r="C609">
            <v>46113</v>
          </cell>
        </row>
        <row r="610">
          <cell r="B610">
            <v>46104</v>
          </cell>
          <cell r="C610">
            <v>46113</v>
          </cell>
        </row>
        <row r="611">
          <cell r="B611">
            <v>46104</v>
          </cell>
          <cell r="C611">
            <v>46113</v>
          </cell>
        </row>
        <row r="612">
          <cell r="B612">
            <v>46104</v>
          </cell>
          <cell r="C612">
            <v>46113</v>
          </cell>
        </row>
        <row r="613">
          <cell r="B613">
            <v>46104</v>
          </cell>
          <cell r="C613">
            <v>46113</v>
          </cell>
        </row>
        <row r="614">
          <cell r="B614">
            <v>46104</v>
          </cell>
          <cell r="C614">
            <v>46113</v>
          </cell>
        </row>
        <row r="615">
          <cell r="B615">
            <v>46104</v>
          </cell>
          <cell r="C615">
            <v>46113</v>
          </cell>
        </row>
        <row r="616">
          <cell r="B616">
            <v>46104</v>
          </cell>
          <cell r="C616">
            <v>46113</v>
          </cell>
        </row>
        <row r="617">
          <cell r="B617">
            <v>46104</v>
          </cell>
          <cell r="C617">
            <v>46113</v>
          </cell>
        </row>
        <row r="618">
          <cell r="B618">
            <v>46104</v>
          </cell>
          <cell r="C618">
            <v>46113</v>
          </cell>
        </row>
        <row r="619">
          <cell r="B619">
            <v>46104</v>
          </cell>
          <cell r="C619">
            <v>46113</v>
          </cell>
        </row>
        <row r="620">
          <cell r="B620">
            <v>46104</v>
          </cell>
          <cell r="C620">
            <v>46113</v>
          </cell>
        </row>
        <row r="621">
          <cell r="B621">
            <v>46104</v>
          </cell>
          <cell r="C621">
            <v>46113</v>
          </cell>
        </row>
        <row r="622">
          <cell r="B622">
            <v>46104</v>
          </cell>
          <cell r="C622">
            <v>46113</v>
          </cell>
        </row>
        <row r="623">
          <cell r="B623">
            <v>46104</v>
          </cell>
          <cell r="C623">
            <v>46113</v>
          </cell>
        </row>
        <row r="624">
          <cell r="B624">
            <v>46104</v>
          </cell>
          <cell r="C624">
            <v>46113</v>
          </cell>
        </row>
        <row r="625">
          <cell r="B625">
            <v>46104</v>
          </cell>
          <cell r="C625">
            <v>46113</v>
          </cell>
        </row>
        <row r="626">
          <cell r="B626">
            <v>46104</v>
          </cell>
          <cell r="C626">
            <v>46113</v>
          </cell>
        </row>
        <row r="627">
          <cell r="B627">
            <v>46104</v>
          </cell>
          <cell r="C627">
            <v>46113</v>
          </cell>
        </row>
        <row r="628">
          <cell r="B628">
            <v>46104</v>
          </cell>
          <cell r="C628">
            <v>46113</v>
          </cell>
        </row>
        <row r="629">
          <cell r="B629">
            <v>46104</v>
          </cell>
          <cell r="C629">
            <v>46113</v>
          </cell>
        </row>
        <row r="630">
          <cell r="B630">
            <v>46104</v>
          </cell>
          <cell r="C630">
            <v>46113</v>
          </cell>
        </row>
        <row r="631">
          <cell r="B631">
            <v>46104</v>
          </cell>
          <cell r="C631">
            <v>46113</v>
          </cell>
        </row>
        <row r="632">
          <cell r="B632">
            <v>46104</v>
          </cell>
          <cell r="C632">
            <v>46113</v>
          </cell>
        </row>
        <row r="633">
          <cell r="B633">
            <v>46104</v>
          </cell>
          <cell r="C633">
            <v>46113</v>
          </cell>
        </row>
        <row r="634">
          <cell r="B634">
            <v>46104</v>
          </cell>
          <cell r="C634">
            <v>46113</v>
          </cell>
        </row>
        <row r="635">
          <cell r="B635">
            <v>46104</v>
          </cell>
          <cell r="C635">
            <v>46113</v>
          </cell>
        </row>
        <row r="636">
          <cell r="B636">
            <v>46104</v>
          </cell>
          <cell r="C636">
            <v>46113</v>
          </cell>
        </row>
        <row r="637">
          <cell r="B637">
            <v>46104</v>
          </cell>
          <cell r="C637">
            <v>46113</v>
          </cell>
        </row>
        <row r="638">
          <cell r="B638">
            <v>46104</v>
          </cell>
          <cell r="C638">
            <v>46113</v>
          </cell>
        </row>
        <row r="639">
          <cell r="B639">
            <v>46104</v>
          </cell>
          <cell r="C639">
            <v>46113</v>
          </cell>
        </row>
        <row r="640">
          <cell r="B640">
            <v>46104</v>
          </cell>
          <cell r="C640">
            <v>46113</v>
          </cell>
        </row>
        <row r="641">
          <cell r="B641">
            <v>46104</v>
          </cell>
          <cell r="C641">
            <v>46113</v>
          </cell>
        </row>
        <row r="642">
          <cell r="B642">
            <v>46104</v>
          </cell>
          <cell r="C642">
            <v>46113</v>
          </cell>
        </row>
        <row r="643">
          <cell r="B643">
            <v>46104</v>
          </cell>
          <cell r="C643">
            <v>46113</v>
          </cell>
        </row>
        <row r="644">
          <cell r="B644">
            <v>46104</v>
          </cell>
          <cell r="C644">
            <v>46113</v>
          </cell>
        </row>
        <row r="645">
          <cell r="B645">
            <v>46104</v>
          </cell>
          <cell r="C645">
            <v>46113</v>
          </cell>
        </row>
        <row r="646">
          <cell r="B646">
            <v>46104</v>
          </cell>
          <cell r="C646">
            <v>46113</v>
          </cell>
        </row>
        <row r="647">
          <cell r="B647">
            <v>46104</v>
          </cell>
          <cell r="C647">
            <v>46113</v>
          </cell>
        </row>
        <row r="648">
          <cell r="B648">
            <v>46104</v>
          </cell>
          <cell r="C648">
            <v>46113</v>
          </cell>
        </row>
        <row r="649">
          <cell r="B649">
            <v>46104</v>
          </cell>
          <cell r="C649">
            <v>46113</v>
          </cell>
        </row>
        <row r="650">
          <cell r="B650">
            <v>46104</v>
          </cell>
          <cell r="C650">
            <v>46113</v>
          </cell>
        </row>
        <row r="651">
          <cell r="B651">
            <v>46104</v>
          </cell>
          <cell r="C651">
            <v>46113</v>
          </cell>
        </row>
        <row r="652">
          <cell r="B652">
            <v>46104</v>
          </cell>
          <cell r="C652">
            <v>46113</v>
          </cell>
        </row>
        <row r="653">
          <cell r="B653">
            <v>46104</v>
          </cell>
          <cell r="C653">
            <v>46113</v>
          </cell>
        </row>
        <row r="654">
          <cell r="B654">
            <v>46104</v>
          </cell>
          <cell r="C654">
            <v>46113</v>
          </cell>
        </row>
        <row r="655">
          <cell r="B655">
            <v>46104</v>
          </cell>
          <cell r="C655">
            <v>46113</v>
          </cell>
        </row>
        <row r="656">
          <cell r="B656">
            <v>46104</v>
          </cell>
          <cell r="C656">
            <v>46113</v>
          </cell>
        </row>
        <row r="657">
          <cell r="B657">
            <v>46104</v>
          </cell>
          <cell r="C657">
            <v>46113</v>
          </cell>
        </row>
        <row r="658">
          <cell r="B658">
            <v>46104</v>
          </cell>
          <cell r="C658">
            <v>46113</v>
          </cell>
        </row>
        <row r="659">
          <cell r="B659">
            <v>46104</v>
          </cell>
          <cell r="C659">
            <v>46113</v>
          </cell>
        </row>
        <row r="660">
          <cell r="B660">
            <v>46104</v>
          </cell>
          <cell r="C660">
            <v>46113</v>
          </cell>
        </row>
        <row r="661">
          <cell r="B661">
            <v>46104</v>
          </cell>
          <cell r="C661">
            <v>46113</v>
          </cell>
        </row>
        <row r="662">
          <cell r="B662">
            <v>46104</v>
          </cell>
          <cell r="C662">
            <v>46113</v>
          </cell>
        </row>
        <row r="663">
          <cell r="B663">
            <v>46104</v>
          </cell>
          <cell r="C663">
            <v>46113</v>
          </cell>
        </row>
        <row r="664">
          <cell r="B664">
            <v>46104</v>
          </cell>
          <cell r="C664">
            <v>46113</v>
          </cell>
        </row>
        <row r="665">
          <cell r="B665">
            <v>46104</v>
          </cell>
          <cell r="C665">
            <v>46113</v>
          </cell>
        </row>
        <row r="666">
          <cell r="B666">
            <v>46104</v>
          </cell>
          <cell r="C666">
            <v>46113</v>
          </cell>
        </row>
        <row r="667">
          <cell r="B667">
            <v>46104</v>
          </cell>
          <cell r="C667">
            <v>46113</v>
          </cell>
        </row>
        <row r="668">
          <cell r="B668">
            <v>46104</v>
          </cell>
          <cell r="C668">
            <v>46113</v>
          </cell>
        </row>
        <row r="669">
          <cell r="B669">
            <v>46104</v>
          </cell>
          <cell r="C669">
            <v>46113</v>
          </cell>
        </row>
        <row r="670">
          <cell r="B670">
            <v>46104</v>
          </cell>
          <cell r="C670">
            <v>46113</v>
          </cell>
        </row>
        <row r="671">
          <cell r="B671">
            <v>46104</v>
          </cell>
          <cell r="C671">
            <v>46113</v>
          </cell>
        </row>
        <row r="672">
          <cell r="B672">
            <v>46104</v>
          </cell>
          <cell r="C672">
            <v>46113</v>
          </cell>
        </row>
        <row r="673">
          <cell r="B673">
            <v>46104</v>
          </cell>
          <cell r="C673">
            <v>46113</v>
          </cell>
        </row>
        <row r="674">
          <cell r="B674">
            <v>46104</v>
          </cell>
          <cell r="C674">
            <v>46113</v>
          </cell>
        </row>
        <row r="675">
          <cell r="B675">
            <v>46104</v>
          </cell>
          <cell r="C675">
            <v>46113</v>
          </cell>
        </row>
        <row r="676">
          <cell r="B676">
            <v>46104</v>
          </cell>
          <cell r="C676">
            <v>46113</v>
          </cell>
        </row>
        <row r="677">
          <cell r="B677">
            <v>46104</v>
          </cell>
          <cell r="C677">
            <v>46113</v>
          </cell>
        </row>
        <row r="678">
          <cell r="B678">
            <v>46104</v>
          </cell>
          <cell r="C678">
            <v>46113</v>
          </cell>
        </row>
        <row r="679">
          <cell r="B679">
            <v>46104</v>
          </cell>
          <cell r="C679">
            <v>46113</v>
          </cell>
        </row>
        <row r="680">
          <cell r="B680">
            <v>46104</v>
          </cell>
          <cell r="C680">
            <v>46113</v>
          </cell>
        </row>
        <row r="681">
          <cell r="B681">
            <v>46104</v>
          </cell>
          <cell r="C681">
            <v>46113</v>
          </cell>
        </row>
        <row r="682">
          <cell r="B682">
            <v>46104</v>
          </cell>
          <cell r="C682">
            <v>46113</v>
          </cell>
        </row>
        <row r="683">
          <cell r="B683">
            <v>46104</v>
          </cell>
          <cell r="C683">
            <v>46113</v>
          </cell>
        </row>
        <row r="684">
          <cell r="B684">
            <v>46104</v>
          </cell>
          <cell r="C684">
            <v>46113</v>
          </cell>
        </row>
        <row r="685">
          <cell r="B685">
            <v>46104</v>
          </cell>
          <cell r="C685">
            <v>46113</v>
          </cell>
        </row>
        <row r="686">
          <cell r="B686">
            <v>46104</v>
          </cell>
          <cell r="C686">
            <v>46113</v>
          </cell>
        </row>
        <row r="687">
          <cell r="B687">
            <v>46104</v>
          </cell>
          <cell r="C687">
            <v>46113</v>
          </cell>
        </row>
        <row r="688">
          <cell r="B688">
            <v>46104</v>
          </cell>
          <cell r="C688">
            <v>46113</v>
          </cell>
        </row>
        <row r="689">
          <cell r="B689">
            <v>46104</v>
          </cell>
          <cell r="C689">
            <v>46113</v>
          </cell>
        </row>
        <row r="690">
          <cell r="B690">
            <v>46104</v>
          </cell>
          <cell r="C690">
            <v>46113</v>
          </cell>
        </row>
        <row r="691">
          <cell r="B691">
            <v>46104</v>
          </cell>
          <cell r="C691">
            <v>46113</v>
          </cell>
        </row>
        <row r="692">
          <cell r="B692">
            <v>46104</v>
          </cell>
          <cell r="C692">
            <v>46113</v>
          </cell>
        </row>
        <row r="693">
          <cell r="B693">
            <v>46104</v>
          </cell>
          <cell r="C693">
            <v>46113</v>
          </cell>
        </row>
        <row r="694">
          <cell r="B694">
            <v>46104</v>
          </cell>
          <cell r="C694">
            <v>46113</v>
          </cell>
        </row>
        <row r="695">
          <cell r="B695">
            <v>46104</v>
          </cell>
          <cell r="C695">
            <v>46113</v>
          </cell>
        </row>
        <row r="696">
          <cell r="B696">
            <v>46104</v>
          </cell>
          <cell r="C696">
            <v>46113</v>
          </cell>
        </row>
        <row r="697">
          <cell r="B697">
            <v>46104</v>
          </cell>
          <cell r="C697">
            <v>46113</v>
          </cell>
        </row>
        <row r="698">
          <cell r="B698">
            <v>46104</v>
          </cell>
          <cell r="C698">
            <v>46113</v>
          </cell>
        </row>
        <row r="699">
          <cell r="B699">
            <v>46104</v>
          </cell>
          <cell r="C699">
            <v>46113</v>
          </cell>
        </row>
        <row r="700">
          <cell r="B700">
            <v>46104</v>
          </cell>
          <cell r="C700">
            <v>46113</v>
          </cell>
        </row>
        <row r="701">
          <cell r="B701">
            <v>46104</v>
          </cell>
          <cell r="C701">
            <v>46113</v>
          </cell>
        </row>
        <row r="702">
          <cell r="B702">
            <v>46104</v>
          </cell>
          <cell r="C702">
            <v>46113</v>
          </cell>
        </row>
        <row r="703">
          <cell r="B703">
            <v>46104</v>
          </cell>
          <cell r="C703">
            <v>46113</v>
          </cell>
        </row>
        <row r="704">
          <cell r="B704">
            <v>46104</v>
          </cell>
          <cell r="C704">
            <v>46113</v>
          </cell>
        </row>
        <row r="705">
          <cell r="B705">
            <v>46104</v>
          </cell>
          <cell r="C705">
            <v>46113</v>
          </cell>
        </row>
        <row r="706">
          <cell r="B706">
            <v>46104</v>
          </cell>
          <cell r="C706">
            <v>46113</v>
          </cell>
        </row>
        <row r="707">
          <cell r="B707">
            <v>46104</v>
          </cell>
          <cell r="C707">
            <v>46113</v>
          </cell>
        </row>
        <row r="708">
          <cell r="B708">
            <v>46104</v>
          </cell>
          <cell r="C708">
            <v>46113</v>
          </cell>
        </row>
        <row r="709">
          <cell r="B709">
            <v>46104</v>
          </cell>
          <cell r="C709">
            <v>46113</v>
          </cell>
        </row>
        <row r="710">
          <cell r="B710">
            <v>46104</v>
          </cell>
          <cell r="C710">
            <v>46113</v>
          </cell>
        </row>
        <row r="711">
          <cell r="B711">
            <v>46104</v>
          </cell>
          <cell r="C711">
            <v>46113</v>
          </cell>
        </row>
        <row r="712">
          <cell r="B712">
            <v>46104</v>
          </cell>
          <cell r="C712">
            <v>46113</v>
          </cell>
        </row>
        <row r="713">
          <cell r="B713">
            <v>46104</v>
          </cell>
          <cell r="C713">
            <v>46113</v>
          </cell>
        </row>
        <row r="714">
          <cell r="B714">
            <v>46104</v>
          </cell>
          <cell r="C714">
            <v>46113</v>
          </cell>
        </row>
        <row r="715">
          <cell r="B715">
            <v>46104</v>
          </cell>
          <cell r="C715">
            <v>46113</v>
          </cell>
        </row>
        <row r="716">
          <cell r="B716">
            <v>46104</v>
          </cell>
          <cell r="C716">
            <v>46113</v>
          </cell>
        </row>
        <row r="717">
          <cell r="B717">
            <v>46104</v>
          </cell>
          <cell r="C717">
            <v>46113</v>
          </cell>
        </row>
        <row r="718">
          <cell r="B718">
            <v>46104</v>
          </cell>
          <cell r="C718">
            <v>46113</v>
          </cell>
        </row>
        <row r="719">
          <cell r="B719">
            <v>46104</v>
          </cell>
          <cell r="C719">
            <v>46113</v>
          </cell>
        </row>
        <row r="720">
          <cell r="B720">
            <v>46104</v>
          </cell>
          <cell r="C720">
            <v>46113</v>
          </cell>
        </row>
        <row r="721">
          <cell r="B721">
            <v>46104</v>
          </cell>
          <cell r="C721">
            <v>46113</v>
          </cell>
        </row>
        <row r="722">
          <cell r="B722">
            <v>46104</v>
          </cell>
          <cell r="C722">
            <v>46113</v>
          </cell>
        </row>
        <row r="723">
          <cell r="B723">
            <v>46104</v>
          </cell>
          <cell r="C723">
            <v>46113</v>
          </cell>
        </row>
        <row r="724">
          <cell r="B724">
            <v>46104</v>
          </cell>
          <cell r="C724">
            <v>46113</v>
          </cell>
        </row>
        <row r="725">
          <cell r="B725">
            <v>46104</v>
          </cell>
          <cell r="C725">
            <v>46113</v>
          </cell>
        </row>
        <row r="726">
          <cell r="B726">
            <v>46104</v>
          </cell>
          <cell r="C726">
            <v>46113</v>
          </cell>
        </row>
        <row r="727">
          <cell r="B727">
            <v>46104</v>
          </cell>
          <cell r="C727">
            <v>46113</v>
          </cell>
        </row>
        <row r="728">
          <cell r="B728">
            <v>46104</v>
          </cell>
          <cell r="C728">
            <v>46113</v>
          </cell>
        </row>
        <row r="729">
          <cell r="B729">
            <v>46104</v>
          </cell>
          <cell r="C729">
            <v>46113</v>
          </cell>
        </row>
        <row r="730">
          <cell r="B730">
            <v>46104</v>
          </cell>
          <cell r="C730">
            <v>46113</v>
          </cell>
        </row>
        <row r="731">
          <cell r="B731">
            <v>46104</v>
          </cell>
          <cell r="C731">
            <v>46113</v>
          </cell>
        </row>
        <row r="732">
          <cell r="B732">
            <v>46104</v>
          </cell>
          <cell r="C732">
            <v>46113</v>
          </cell>
        </row>
        <row r="733">
          <cell r="B733">
            <v>46104</v>
          </cell>
          <cell r="C733">
            <v>46113</v>
          </cell>
        </row>
        <row r="734">
          <cell r="B734">
            <v>46104</v>
          </cell>
          <cell r="C734">
            <v>46113</v>
          </cell>
        </row>
        <row r="735">
          <cell r="B735">
            <v>46104</v>
          </cell>
          <cell r="C735">
            <v>46113</v>
          </cell>
        </row>
        <row r="736">
          <cell r="B736">
            <v>46104</v>
          </cell>
          <cell r="C736">
            <v>46113</v>
          </cell>
        </row>
        <row r="737">
          <cell r="B737">
            <v>46104</v>
          </cell>
          <cell r="C737">
            <v>46113</v>
          </cell>
        </row>
        <row r="738">
          <cell r="B738">
            <v>46104</v>
          </cell>
          <cell r="C738">
            <v>46113</v>
          </cell>
        </row>
        <row r="739">
          <cell r="B739">
            <v>46104</v>
          </cell>
          <cell r="C739">
            <v>46113</v>
          </cell>
        </row>
        <row r="740">
          <cell r="B740">
            <v>46104</v>
          </cell>
          <cell r="C740">
            <v>46113</v>
          </cell>
        </row>
        <row r="741">
          <cell r="B741">
            <v>46104</v>
          </cell>
          <cell r="C741">
            <v>46113</v>
          </cell>
        </row>
        <row r="742">
          <cell r="B742">
            <v>46104</v>
          </cell>
          <cell r="C742">
            <v>46113</v>
          </cell>
        </row>
        <row r="743">
          <cell r="B743">
            <v>46104</v>
          </cell>
          <cell r="C743">
            <v>46113</v>
          </cell>
        </row>
        <row r="744">
          <cell r="B744">
            <v>46104</v>
          </cell>
          <cell r="C744">
            <v>46113</v>
          </cell>
        </row>
        <row r="745">
          <cell r="B745">
            <v>46104</v>
          </cell>
          <cell r="C745">
            <v>46113</v>
          </cell>
        </row>
        <row r="746">
          <cell r="B746">
            <v>46104</v>
          </cell>
          <cell r="C746">
            <v>46113</v>
          </cell>
        </row>
        <row r="747">
          <cell r="B747">
            <v>46104</v>
          </cell>
          <cell r="C747">
            <v>46113</v>
          </cell>
        </row>
        <row r="748">
          <cell r="B748">
            <v>46104</v>
          </cell>
          <cell r="C748">
            <v>46113</v>
          </cell>
        </row>
        <row r="749">
          <cell r="B749">
            <v>46104</v>
          </cell>
          <cell r="C749">
            <v>46113</v>
          </cell>
        </row>
        <row r="750">
          <cell r="B750">
            <v>46104</v>
          </cell>
          <cell r="C750">
            <v>46113</v>
          </cell>
        </row>
        <row r="751">
          <cell r="B751">
            <v>46104</v>
          </cell>
          <cell r="C751">
            <v>46113</v>
          </cell>
        </row>
        <row r="752">
          <cell r="B752">
            <v>46104</v>
          </cell>
          <cell r="C752">
            <v>46113</v>
          </cell>
        </row>
        <row r="753">
          <cell r="B753">
            <v>46104</v>
          </cell>
          <cell r="C753">
            <v>46113</v>
          </cell>
        </row>
        <row r="754">
          <cell r="B754">
            <v>46104</v>
          </cell>
          <cell r="C754">
            <v>46113</v>
          </cell>
        </row>
        <row r="755">
          <cell r="B755">
            <v>46104</v>
          </cell>
          <cell r="C755">
            <v>46113</v>
          </cell>
        </row>
        <row r="756">
          <cell r="B756">
            <v>46104</v>
          </cell>
          <cell r="C756">
            <v>46113</v>
          </cell>
        </row>
        <row r="757">
          <cell r="B757">
            <v>46104</v>
          </cell>
          <cell r="C757">
            <v>46113</v>
          </cell>
        </row>
        <row r="758">
          <cell r="B758">
            <v>46104</v>
          </cell>
          <cell r="C758">
            <v>46113</v>
          </cell>
        </row>
        <row r="759">
          <cell r="B759">
            <v>46104</v>
          </cell>
          <cell r="C759">
            <v>46113</v>
          </cell>
        </row>
        <row r="760">
          <cell r="B760">
            <v>46104</v>
          </cell>
          <cell r="C760">
            <v>46113</v>
          </cell>
        </row>
        <row r="761">
          <cell r="B761">
            <v>46104</v>
          </cell>
          <cell r="C761">
            <v>46113</v>
          </cell>
        </row>
        <row r="762">
          <cell r="B762">
            <v>46104</v>
          </cell>
          <cell r="C762">
            <v>46113</v>
          </cell>
        </row>
        <row r="763">
          <cell r="B763">
            <v>46104</v>
          </cell>
          <cell r="C763">
            <v>46113</v>
          </cell>
        </row>
        <row r="764">
          <cell r="B764">
            <v>46104</v>
          </cell>
          <cell r="C764">
            <v>46113</v>
          </cell>
        </row>
        <row r="765">
          <cell r="B765">
            <v>46104</v>
          </cell>
          <cell r="C765">
            <v>46113</v>
          </cell>
        </row>
        <row r="766">
          <cell r="B766">
            <v>46104</v>
          </cell>
          <cell r="C766">
            <v>46113</v>
          </cell>
        </row>
        <row r="767">
          <cell r="B767">
            <v>46104</v>
          </cell>
          <cell r="C767">
            <v>46113</v>
          </cell>
        </row>
        <row r="768">
          <cell r="B768">
            <v>46104</v>
          </cell>
          <cell r="C768">
            <v>46113</v>
          </cell>
        </row>
        <row r="769">
          <cell r="B769">
            <v>46104</v>
          </cell>
          <cell r="C769">
            <v>46113</v>
          </cell>
        </row>
        <row r="770">
          <cell r="B770">
            <v>46104</v>
          </cell>
          <cell r="C770">
            <v>46113</v>
          </cell>
        </row>
        <row r="771">
          <cell r="B771">
            <v>46104</v>
          </cell>
          <cell r="C771">
            <v>46113</v>
          </cell>
        </row>
        <row r="772">
          <cell r="B772">
            <v>46104</v>
          </cell>
          <cell r="C772">
            <v>46113</v>
          </cell>
        </row>
        <row r="773">
          <cell r="B773">
            <v>46104</v>
          </cell>
          <cell r="C773">
            <v>46113</v>
          </cell>
        </row>
        <row r="774">
          <cell r="B774">
            <v>46104</v>
          </cell>
          <cell r="C774">
            <v>46113</v>
          </cell>
        </row>
        <row r="775">
          <cell r="B775">
            <v>46104</v>
          </cell>
          <cell r="C775">
            <v>46113</v>
          </cell>
        </row>
        <row r="776">
          <cell r="B776">
            <v>46104</v>
          </cell>
          <cell r="C776">
            <v>46113</v>
          </cell>
        </row>
        <row r="777">
          <cell r="B777">
            <v>46104</v>
          </cell>
          <cell r="C777">
            <v>46113</v>
          </cell>
        </row>
        <row r="778">
          <cell r="B778">
            <v>46104</v>
          </cell>
          <cell r="C778">
            <v>46113</v>
          </cell>
        </row>
        <row r="779">
          <cell r="B779">
            <v>46104</v>
          </cell>
          <cell r="C779">
            <v>46113</v>
          </cell>
        </row>
        <row r="780">
          <cell r="B780">
            <v>46104</v>
          </cell>
          <cell r="C780">
            <v>46113</v>
          </cell>
        </row>
        <row r="781">
          <cell r="B781">
            <v>46104</v>
          </cell>
          <cell r="C781">
            <v>46113</v>
          </cell>
        </row>
        <row r="782">
          <cell r="B782">
            <v>46104</v>
          </cell>
          <cell r="C782">
            <v>46113</v>
          </cell>
        </row>
        <row r="783">
          <cell r="B783">
            <v>46104</v>
          </cell>
          <cell r="C783">
            <v>46113</v>
          </cell>
        </row>
        <row r="784">
          <cell r="B784">
            <v>46104</v>
          </cell>
          <cell r="C784">
            <v>46113</v>
          </cell>
        </row>
        <row r="785">
          <cell r="B785">
            <v>46104</v>
          </cell>
          <cell r="C785">
            <v>46113</v>
          </cell>
        </row>
        <row r="786">
          <cell r="B786">
            <v>46104</v>
          </cell>
          <cell r="C786">
            <v>46113</v>
          </cell>
        </row>
        <row r="787">
          <cell r="B787">
            <v>46104</v>
          </cell>
          <cell r="C787">
            <v>46113</v>
          </cell>
        </row>
        <row r="788">
          <cell r="B788">
            <v>46104</v>
          </cell>
          <cell r="C788">
            <v>46113</v>
          </cell>
        </row>
        <row r="789">
          <cell r="B789">
            <v>46104</v>
          </cell>
          <cell r="C789">
            <v>46113</v>
          </cell>
        </row>
        <row r="790">
          <cell r="B790">
            <v>46104</v>
          </cell>
          <cell r="C790">
            <v>46113</v>
          </cell>
        </row>
        <row r="791">
          <cell r="B791">
            <v>46104</v>
          </cell>
          <cell r="C791">
            <v>46113</v>
          </cell>
        </row>
        <row r="792">
          <cell r="B792">
            <v>46104</v>
          </cell>
          <cell r="C792">
            <v>46113</v>
          </cell>
        </row>
        <row r="793">
          <cell r="B793">
            <v>46104</v>
          </cell>
          <cell r="C793">
            <v>46113</v>
          </cell>
        </row>
        <row r="794">
          <cell r="B794">
            <v>46104</v>
          </cell>
          <cell r="C794">
            <v>46113</v>
          </cell>
        </row>
        <row r="795">
          <cell r="B795">
            <v>46104</v>
          </cell>
          <cell r="C795">
            <v>46113</v>
          </cell>
        </row>
        <row r="796">
          <cell r="B796">
            <v>46104</v>
          </cell>
          <cell r="C796">
            <v>46113</v>
          </cell>
        </row>
        <row r="797">
          <cell r="B797">
            <v>46104</v>
          </cell>
          <cell r="C797">
            <v>46113</v>
          </cell>
        </row>
        <row r="798">
          <cell r="B798">
            <v>46104</v>
          </cell>
          <cell r="C798">
            <v>46113</v>
          </cell>
        </row>
        <row r="799">
          <cell r="B799">
            <v>46104</v>
          </cell>
          <cell r="C799">
            <v>46113</v>
          </cell>
        </row>
        <row r="800">
          <cell r="B800">
            <v>46104</v>
          </cell>
          <cell r="C800">
            <v>46113</v>
          </cell>
        </row>
        <row r="801">
          <cell r="B801">
            <v>46104</v>
          </cell>
          <cell r="C801">
            <v>46113</v>
          </cell>
        </row>
        <row r="802">
          <cell r="B802">
            <v>46104</v>
          </cell>
          <cell r="C802">
            <v>46113</v>
          </cell>
        </row>
        <row r="803">
          <cell r="B803">
            <v>46104</v>
          </cell>
          <cell r="C803">
            <v>46113</v>
          </cell>
        </row>
        <row r="804">
          <cell r="B804">
            <v>46104</v>
          </cell>
          <cell r="C804">
            <v>46113</v>
          </cell>
        </row>
        <row r="805">
          <cell r="B805">
            <v>46104</v>
          </cell>
          <cell r="C805">
            <v>46113</v>
          </cell>
        </row>
        <row r="806">
          <cell r="B806">
            <v>46104</v>
          </cell>
          <cell r="C806">
            <v>46113</v>
          </cell>
        </row>
        <row r="807">
          <cell r="B807">
            <v>46104</v>
          </cell>
          <cell r="C807">
            <v>46113</v>
          </cell>
        </row>
        <row r="808">
          <cell r="B808">
            <v>46104</v>
          </cell>
          <cell r="C808">
            <v>46113</v>
          </cell>
        </row>
        <row r="809">
          <cell r="B809">
            <v>46104</v>
          </cell>
          <cell r="C809">
            <v>46113</v>
          </cell>
        </row>
        <row r="810">
          <cell r="B810">
            <v>46104</v>
          </cell>
          <cell r="C810">
            <v>46113</v>
          </cell>
        </row>
        <row r="811">
          <cell r="B811">
            <v>46104</v>
          </cell>
          <cell r="C811">
            <v>46113</v>
          </cell>
        </row>
        <row r="812">
          <cell r="B812">
            <v>46104</v>
          </cell>
          <cell r="C812">
            <v>46113</v>
          </cell>
        </row>
        <row r="813">
          <cell r="B813">
            <v>46104</v>
          </cell>
          <cell r="C813">
            <v>46113</v>
          </cell>
        </row>
        <row r="814">
          <cell r="B814">
            <v>46104</v>
          </cell>
          <cell r="C814">
            <v>46113</v>
          </cell>
        </row>
        <row r="815">
          <cell r="B815">
            <v>46104</v>
          </cell>
          <cell r="C815">
            <v>46113</v>
          </cell>
        </row>
        <row r="816">
          <cell r="B816">
            <v>46104</v>
          </cell>
          <cell r="C816">
            <v>46113</v>
          </cell>
        </row>
        <row r="817">
          <cell r="B817">
            <v>46104</v>
          </cell>
          <cell r="C817">
            <v>46113</v>
          </cell>
        </row>
        <row r="818">
          <cell r="B818">
            <v>46104</v>
          </cell>
          <cell r="C818">
            <v>46113</v>
          </cell>
        </row>
        <row r="819">
          <cell r="B819">
            <v>46104</v>
          </cell>
          <cell r="C819">
            <v>46113</v>
          </cell>
        </row>
        <row r="820">
          <cell r="B820">
            <v>46104</v>
          </cell>
          <cell r="C820">
            <v>46113</v>
          </cell>
        </row>
        <row r="821">
          <cell r="B821">
            <v>46104</v>
          </cell>
          <cell r="C821">
            <v>46113</v>
          </cell>
        </row>
        <row r="822">
          <cell r="B822">
            <v>46104</v>
          </cell>
          <cell r="C822">
            <v>46113</v>
          </cell>
        </row>
        <row r="823">
          <cell r="B823">
            <v>46104</v>
          </cell>
          <cell r="C823">
            <v>46113</v>
          </cell>
        </row>
        <row r="824">
          <cell r="B824">
            <v>46104</v>
          </cell>
          <cell r="C824">
            <v>46113</v>
          </cell>
        </row>
        <row r="825">
          <cell r="B825">
            <v>46104</v>
          </cell>
          <cell r="C825">
            <v>46113</v>
          </cell>
        </row>
        <row r="826">
          <cell r="B826">
            <v>46104</v>
          </cell>
          <cell r="C826">
            <v>46113</v>
          </cell>
        </row>
        <row r="827">
          <cell r="B827">
            <v>46104</v>
          </cell>
          <cell r="C827">
            <v>46113</v>
          </cell>
        </row>
        <row r="828">
          <cell r="B828">
            <v>46104</v>
          </cell>
          <cell r="C828">
            <v>46113</v>
          </cell>
        </row>
        <row r="829">
          <cell r="B829">
            <v>46104</v>
          </cell>
          <cell r="C829">
            <v>46113</v>
          </cell>
        </row>
        <row r="830">
          <cell r="B830">
            <v>46104</v>
          </cell>
          <cell r="C830">
            <v>46113</v>
          </cell>
        </row>
        <row r="831">
          <cell r="B831">
            <v>46104</v>
          </cell>
          <cell r="C831">
            <v>46113</v>
          </cell>
        </row>
        <row r="832">
          <cell r="B832">
            <v>46104</v>
          </cell>
          <cell r="C832">
            <v>46113</v>
          </cell>
        </row>
        <row r="833">
          <cell r="B833">
            <v>46104</v>
          </cell>
          <cell r="C833">
            <v>46113</v>
          </cell>
        </row>
        <row r="834">
          <cell r="B834">
            <v>46104</v>
          </cell>
          <cell r="C834">
            <v>46113</v>
          </cell>
        </row>
        <row r="835">
          <cell r="B835">
            <v>46104</v>
          </cell>
          <cell r="C835">
            <v>46113</v>
          </cell>
        </row>
        <row r="836">
          <cell r="B836">
            <v>46104</v>
          </cell>
          <cell r="C836">
            <v>46113</v>
          </cell>
        </row>
        <row r="837">
          <cell r="B837">
            <v>46104</v>
          </cell>
          <cell r="C837">
            <v>46113</v>
          </cell>
        </row>
        <row r="838">
          <cell r="B838">
            <v>46104</v>
          </cell>
          <cell r="C838">
            <v>46113</v>
          </cell>
        </row>
        <row r="839">
          <cell r="B839">
            <v>46104</v>
          </cell>
          <cell r="C839">
            <v>46113</v>
          </cell>
        </row>
        <row r="840">
          <cell r="B840">
            <v>46104</v>
          </cell>
          <cell r="C840">
            <v>46113</v>
          </cell>
        </row>
        <row r="841">
          <cell r="B841">
            <v>46104</v>
          </cell>
          <cell r="C841">
            <v>46113</v>
          </cell>
        </row>
        <row r="842">
          <cell r="B842">
            <v>46104</v>
          </cell>
          <cell r="C842">
            <v>46113</v>
          </cell>
        </row>
        <row r="843">
          <cell r="B843">
            <v>46104</v>
          </cell>
          <cell r="C843">
            <v>46113</v>
          </cell>
        </row>
        <row r="844">
          <cell r="B844">
            <v>46104</v>
          </cell>
          <cell r="C844">
            <v>46113</v>
          </cell>
        </row>
        <row r="845">
          <cell r="B845">
            <v>46104</v>
          </cell>
          <cell r="C845">
            <v>46113</v>
          </cell>
        </row>
        <row r="846">
          <cell r="B846">
            <v>46104</v>
          </cell>
          <cell r="C846">
            <v>46113</v>
          </cell>
        </row>
        <row r="847">
          <cell r="B847">
            <v>46104</v>
          </cell>
          <cell r="C847">
            <v>46113</v>
          </cell>
        </row>
        <row r="848">
          <cell r="B848">
            <v>46104</v>
          </cell>
          <cell r="C848">
            <v>46113</v>
          </cell>
        </row>
        <row r="849">
          <cell r="B849">
            <v>46104</v>
          </cell>
          <cell r="C849">
            <v>46113</v>
          </cell>
        </row>
        <row r="850">
          <cell r="B850">
            <v>46104</v>
          </cell>
          <cell r="C850">
            <v>46113</v>
          </cell>
        </row>
        <row r="851">
          <cell r="B851">
            <v>46104</v>
          </cell>
          <cell r="C851">
            <v>46113</v>
          </cell>
        </row>
        <row r="852">
          <cell r="B852">
            <v>46104</v>
          </cell>
          <cell r="C852">
            <v>46113</v>
          </cell>
        </row>
        <row r="853">
          <cell r="B853">
            <v>46104</v>
          </cell>
          <cell r="C853">
            <v>46113</v>
          </cell>
        </row>
        <row r="854">
          <cell r="B854">
            <v>46104</v>
          </cell>
          <cell r="C854">
            <v>46113</v>
          </cell>
        </row>
        <row r="855">
          <cell r="B855">
            <v>46104</v>
          </cell>
          <cell r="C855">
            <v>46113</v>
          </cell>
        </row>
        <row r="856">
          <cell r="B856">
            <v>46104</v>
          </cell>
          <cell r="C856">
            <v>46113</v>
          </cell>
        </row>
        <row r="857">
          <cell r="B857">
            <v>46104</v>
          </cell>
          <cell r="C857">
            <v>46113</v>
          </cell>
        </row>
        <row r="858">
          <cell r="B858">
            <v>46104</v>
          </cell>
          <cell r="C858">
            <v>46113</v>
          </cell>
        </row>
        <row r="859">
          <cell r="B859">
            <v>46104</v>
          </cell>
          <cell r="C859">
            <v>46113</v>
          </cell>
        </row>
        <row r="860">
          <cell r="B860">
            <v>46104</v>
          </cell>
          <cell r="C860">
            <v>46113</v>
          </cell>
        </row>
        <row r="861">
          <cell r="B861">
            <v>46104</v>
          </cell>
          <cell r="C861">
            <v>46113</v>
          </cell>
        </row>
        <row r="862">
          <cell r="B862">
            <v>46104</v>
          </cell>
          <cell r="C862">
            <v>46113</v>
          </cell>
        </row>
        <row r="863">
          <cell r="B863">
            <v>46104</v>
          </cell>
          <cell r="C863">
            <v>46113</v>
          </cell>
        </row>
        <row r="864">
          <cell r="B864">
            <v>46104</v>
          </cell>
          <cell r="C864">
            <v>46113</v>
          </cell>
        </row>
        <row r="865">
          <cell r="B865">
            <v>46104</v>
          </cell>
          <cell r="C865">
            <v>46113</v>
          </cell>
        </row>
        <row r="866">
          <cell r="B866">
            <v>46104</v>
          </cell>
          <cell r="C866">
            <v>46113</v>
          </cell>
        </row>
        <row r="867">
          <cell r="B867">
            <v>46104</v>
          </cell>
          <cell r="C867">
            <v>46113</v>
          </cell>
        </row>
        <row r="868">
          <cell r="B868">
            <v>46104</v>
          </cell>
          <cell r="C868">
            <v>46113</v>
          </cell>
        </row>
        <row r="869">
          <cell r="B869">
            <v>46104</v>
          </cell>
          <cell r="C869">
            <v>46113</v>
          </cell>
        </row>
        <row r="870">
          <cell r="B870">
            <v>46104</v>
          </cell>
          <cell r="C870">
            <v>46113</v>
          </cell>
        </row>
        <row r="871">
          <cell r="B871">
            <v>46104</v>
          </cell>
          <cell r="C871">
            <v>46113</v>
          </cell>
        </row>
        <row r="872">
          <cell r="B872">
            <v>46104</v>
          </cell>
          <cell r="C872">
            <v>46113</v>
          </cell>
        </row>
        <row r="873">
          <cell r="B873">
            <v>46104</v>
          </cell>
          <cell r="C873">
            <v>46113</v>
          </cell>
        </row>
        <row r="874">
          <cell r="B874">
            <v>46104</v>
          </cell>
          <cell r="C874">
            <v>46113</v>
          </cell>
        </row>
        <row r="875">
          <cell r="B875">
            <v>46104</v>
          </cell>
          <cell r="C875">
            <v>46113</v>
          </cell>
        </row>
        <row r="876">
          <cell r="B876">
            <v>46104</v>
          </cell>
          <cell r="C876">
            <v>46113</v>
          </cell>
        </row>
        <row r="877">
          <cell r="B877">
            <v>46104</v>
          </cell>
          <cell r="C877">
            <v>46113</v>
          </cell>
        </row>
        <row r="878">
          <cell r="B878">
            <v>46104</v>
          </cell>
          <cell r="C878">
            <v>46113</v>
          </cell>
        </row>
        <row r="879">
          <cell r="B879">
            <v>46104</v>
          </cell>
          <cell r="C879">
            <v>46113</v>
          </cell>
        </row>
        <row r="880">
          <cell r="B880">
            <v>46104</v>
          </cell>
          <cell r="C880">
            <v>46113</v>
          </cell>
        </row>
        <row r="881">
          <cell r="B881">
            <v>46104</v>
          </cell>
          <cell r="C881">
            <v>46113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B64">
            <v>46104</v>
          </cell>
          <cell r="C64">
            <v>46113</v>
          </cell>
          <cell r="D64">
            <v>3273</v>
          </cell>
          <cell r="E64">
            <v>336</v>
          </cell>
          <cell r="F64">
            <v>4</v>
          </cell>
          <cell r="I64" t="str">
            <v>DISNEY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0D8D-F8F9-4437-A5AB-E4F38F7353AF}">
  <sheetPr>
    <tabColor rgb="FFFFFF00"/>
  </sheetPr>
  <dimension ref="A1:P1796"/>
  <sheetViews>
    <sheetView topLeftCell="A890" workbookViewId="0">
      <selection activeCell="C882" sqref="C882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6" max="16" width="15.7109375" bestFit="1" customWidth="1"/>
  </cols>
  <sheetData>
    <row r="1" spans="1:16" s="8" customFormat="1" ht="33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9" t="s">
        <v>16</v>
      </c>
      <c r="B2" s="10">
        <f>'[1]2019 ALL D95'!B2</f>
        <v>46104</v>
      </c>
      <c r="C2" s="10">
        <f>'[1]2019 ALL D95'!C2</f>
        <v>46113</v>
      </c>
      <c r="D2" s="11">
        <v>3273</v>
      </c>
      <c r="E2" s="11">
        <v>336</v>
      </c>
      <c r="F2" s="11">
        <v>4</v>
      </c>
      <c r="G2" s="12">
        <v>11</v>
      </c>
      <c r="H2" s="11">
        <v>81676</v>
      </c>
      <c r="I2" s="11" t="s">
        <v>17</v>
      </c>
      <c r="J2" s="13">
        <v>86003767</v>
      </c>
      <c r="K2" s="9" t="s">
        <v>18</v>
      </c>
      <c r="L2" s="9" t="s">
        <v>19</v>
      </c>
      <c r="M2" s="14">
        <v>139900</v>
      </c>
      <c r="N2" s="15">
        <v>0.75</v>
      </c>
      <c r="O2" s="16">
        <f t="shared" ref="O2:O65" si="0">M2*(1-N2)</f>
        <v>34975</v>
      </c>
      <c r="P2" s="11" t="s">
        <v>20</v>
      </c>
    </row>
    <row r="3" spans="1:16" x14ac:dyDescent="0.25">
      <c r="A3" s="9" t="str">
        <f t="shared" ref="A3:A18" si="1">A2</f>
        <v>2024 ALL D75</v>
      </c>
      <c r="B3" s="10">
        <f>'[1]2019 ALL D95'!B3</f>
        <v>46104</v>
      </c>
      <c r="C3" s="10">
        <f>'[1]2019 ALL D95'!C3</f>
        <v>46113</v>
      </c>
      <c r="D3" s="11">
        <v>3273</v>
      </c>
      <c r="E3" s="11">
        <v>336</v>
      </c>
      <c r="F3" s="11">
        <v>4</v>
      </c>
      <c r="G3" s="13">
        <v>11</v>
      </c>
      <c r="H3" s="13">
        <v>81676</v>
      </c>
      <c r="I3" s="11" t="s">
        <v>17</v>
      </c>
      <c r="J3" s="13">
        <v>86003776</v>
      </c>
      <c r="K3" s="13" t="s">
        <v>18</v>
      </c>
      <c r="L3" s="13" t="s">
        <v>21</v>
      </c>
      <c r="M3" s="17">
        <v>139900</v>
      </c>
      <c r="N3" s="15">
        <v>0.75</v>
      </c>
      <c r="O3" s="16">
        <f t="shared" si="0"/>
        <v>34975</v>
      </c>
      <c r="P3" s="11" t="s">
        <v>20</v>
      </c>
    </row>
    <row r="4" spans="1:16" x14ac:dyDescent="0.25">
      <c r="A4" s="9" t="str">
        <f t="shared" si="1"/>
        <v>2024 ALL D75</v>
      </c>
      <c r="B4" s="10">
        <f>'[1]2019 ALL D95'!B4</f>
        <v>46104</v>
      </c>
      <c r="C4" s="10">
        <f>'[1]2019 ALL D95'!C4</f>
        <v>46113</v>
      </c>
      <c r="D4" s="11">
        <v>3273</v>
      </c>
      <c r="E4" s="11">
        <v>336</v>
      </c>
      <c r="F4" s="11">
        <v>4</v>
      </c>
      <c r="G4" s="13">
        <v>11</v>
      </c>
      <c r="H4" s="13">
        <v>81676</v>
      </c>
      <c r="I4" s="11" t="s">
        <v>17</v>
      </c>
      <c r="J4" s="13">
        <v>86003785</v>
      </c>
      <c r="K4" s="13" t="s">
        <v>18</v>
      </c>
      <c r="L4" s="13" t="s">
        <v>22</v>
      </c>
      <c r="M4" s="17">
        <v>139900</v>
      </c>
      <c r="N4" s="15">
        <v>0.75</v>
      </c>
      <c r="O4" s="16">
        <f t="shared" si="0"/>
        <v>34975</v>
      </c>
      <c r="P4" s="11" t="s">
        <v>20</v>
      </c>
    </row>
    <row r="5" spans="1:16" x14ac:dyDescent="0.25">
      <c r="A5" s="9" t="str">
        <f t="shared" si="1"/>
        <v>2024 ALL D75</v>
      </c>
      <c r="B5" s="10">
        <f>'[1]2019 ALL D95'!B5</f>
        <v>46104</v>
      </c>
      <c r="C5" s="10">
        <f>'[1]2019 ALL D95'!C5</f>
        <v>46113</v>
      </c>
      <c r="D5" s="11">
        <v>3273</v>
      </c>
      <c r="E5" s="11">
        <v>336</v>
      </c>
      <c r="F5" s="11">
        <v>4</v>
      </c>
      <c r="G5" s="13">
        <v>11</v>
      </c>
      <c r="H5" s="13">
        <v>81676</v>
      </c>
      <c r="I5" s="11" t="s">
        <v>17</v>
      </c>
      <c r="J5" s="13">
        <v>86003794</v>
      </c>
      <c r="K5" s="13" t="s">
        <v>18</v>
      </c>
      <c r="L5" s="13" t="s">
        <v>23</v>
      </c>
      <c r="M5" s="17">
        <v>139900</v>
      </c>
      <c r="N5" s="15">
        <v>0.75</v>
      </c>
      <c r="O5" s="16">
        <f t="shared" si="0"/>
        <v>34975</v>
      </c>
      <c r="P5" s="11" t="s">
        <v>20</v>
      </c>
    </row>
    <row r="6" spans="1:16" x14ac:dyDescent="0.25">
      <c r="A6" s="9" t="str">
        <f t="shared" si="1"/>
        <v>2024 ALL D75</v>
      </c>
      <c r="B6" s="10">
        <f>'[1]2019 ALL D95'!B6</f>
        <v>46104</v>
      </c>
      <c r="C6" s="10">
        <f>'[1]2019 ALL D95'!C6</f>
        <v>46113</v>
      </c>
      <c r="D6" s="11">
        <v>3273</v>
      </c>
      <c r="E6" s="11">
        <v>336</v>
      </c>
      <c r="F6" s="11">
        <v>4</v>
      </c>
      <c r="G6" s="13">
        <v>11</v>
      </c>
      <c r="H6" s="13">
        <v>81676</v>
      </c>
      <c r="I6" s="11" t="s">
        <v>17</v>
      </c>
      <c r="J6" s="13">
        <v>86003801</v>
      </c>
      <c r="K6" s="13" t="s">
        <v>18</v>
      </c>
      <c r="L6" s="13" t="s">
        <v>24</v>
      </c>
      <c r="M6" s="17">
        <v>139900</v>
      </c>
      <c r="N6" s="15">
        <v>0.75</v>
      </c>
      <c r="O6" s="16">
        <f t="shared" si="0"/>
        <v>34975</v>
      </c>
      <c r="P6" s="11" t="s">
        <v>20</v>
      </c>
    </row>
    <row r="7" spans="1:16" x14ac:dyDescent="0.25">
      <c r="A7" s="9" t="str">
        <f t="shared" si="1"/>
        <v>2024 ALL D75</v>
      </c>
      <c r="B7" s="10">
        <f>'[1]2019 ALL D95'!B7</f>
        <v>46104</v>
      </c>
      <c r="C7" s="10">
        <f>'[1]2019 ALL D95'!C7</f>
        <v>46113</v>
      </c>
      <c r="D7" s="11">
        <v>3273</v>
      </c>
      <c r="E7" s="11">
        <v>336</v>
      </c>
      <c r="F7" s="11">
        <v>4</v>
      </c>
      <c r="G7" s="13">
        <v>11</v>
      </c>
      <c r="H7" s="13">
        <v>81676</v>
      </c>
      <c r="I7" s="11" t="s">
        <v>17</v>
      </c>
      <c r="J7" s="13">
        <v>86003810</v>
      </c>
      <c r="K7" s="13" t="s">
        <v>18</v>
      </c>
      <c r="L7" s="13" t="s">
        <v>25</v>
      </c>
      <c r="M7" s="17">
        <v>139900</v>
      </c>
      <c r="N7" s="15">
        <v>0.75</v>
      </c>
      <c r="O7" s="16">
        <f t="shared" si="0"/>
        <v>34975</v>
      </c>
      <c r="P7" s="11" t="s">
        <v>20</v>
      </c>
    </row>
    <row r="8" spans="1:16" x14ac:dyDescent="0.25">
      <c r="A8" s="9" t="str">
        <f t="shared" si="1"/>
        <v>2024 ALL D75</v>
      </c>
      <c r="B8" s="10">
        <f>'[1]2019 ALL D95'!B8</f>
        <v>46104</v>
      </c>
      <c r="C8" s="10">
        <f>'[1]2019 ALL D95'!C8</f>
        <v>46113</v>
      </c>
      <c r="D8" s="11">
        <v>3273</v>
      </c>
      <c r="E8" s="11">
        <v>336</v>
      </c>
      <c r="F8" s="11">
        <v>4</v>
      </c>
      <c r="G8" s="13">
        <v>11</v>
      </c>
      <c r="H8" s="13">
        <v>81676</v>
      </c>
      <c r="I8" s="11" t="s">
        <v>17</v>
      </c>
      <c r="J8" s="13">
        <v>86003829</v>
      </c>
      <c r="K8" s="13" t="s">
        <v>18</v>
      </c>
      <c r="L8" s="13" t="s">
        <v>26</v>
      </c>
      <c r="M8" s="17">
        <v>139900</v>
      </c>
      <c r="N8" s="15">
        <v>0.75</v>
      </c>
      <c r="O8" s="16">
        <f t="shared" si="0"/>
        <v>34975</v>
      </c>
      <c r="P8" s="11" t="s">
        <v>20</v>
      </c>
    </row>
    <row r="9" spans="1:16" x14ac:dyDescent="0.25">
      <c r="A9" s="9" t="str">
        <f t="shared" si="1"/>
        <v>2024 ALL D75</v>
      </c>
      <c r="B9" s="10">
        <f>'[1]2019 ALL D95'!B9</f>
        <v>46104</v>
      </c>
      <c r="C9" s="10">
        <f>'[1]2019 ALL D95'!C9</f>
        <v>46113</v>
      </c>
      <c r="D9" s="11">
        <v>3273</v>
      </c>
      <c r="E9" s="11">
        <v>336</v>
      </c>
      <c r="F9" s="11">
        <v>4</v>
      </c>
      <c r="G9" s="13">
        <v>11</v>
      </c>
      <c r="H9" s="13">
        <v>81676</v>
      </c>
      <c r="I9" s="11" t="s">
        <v>17</v>
      </c>
      <c r="J9" s="13">
        <v>86003838</v>
      </c>
      <c r="K9" s="13" t="s">
        <v>18</v>
      </c>
      <c r="L9" s="13" t="s">
        <v>27</v>
      </c>
      <c r="M9" s="17">
        <v>139900</v>
      </c>
      <c r="N9" s="15">
        <v>0.75</v>
      </c>
      <c r="O9" s="16">
        <f t="shared" si="0"/>
        <v>34975</v>
      </c>
      <c r="P9" s="11" t="s">
        <v>20</v>
      </c>
    </row>
    <row r="10" spans="1:16" x14ac:dyDescent="0.25">
      <c r="A10" s="9" t="str">
        <f t="shared" si="1"/>
        <v>2024 ALL D75</v>
      </c>
      <c r="B10" s="10">
        <f>'[1]2019 ALL D95'!B10</f>
        <v>46104</v>
      </c>
      <c r="C10" s="10">
        <f>'[1]2019 ALL D95'!C10</f>
        <v>46113</v>
      </c>
      <c r="D10" s="11">
        <v>3273</v>
      </c>
      <c r="E10" s="11">
        <v>336</v>
      </c>
      <c r="F10" s="11">
        <v>4</v>
      </c>
      <c r="G10" s="13">
        <v>11</v>
      </c>
      <c r="H10" s="13">
        <v>81588</v>
      </c>
      <c r="I10" s="11" t="s">
        <v>17</v>
      </c>
      <c r="J10" s="13">
        <v>15638018</v>
      </c>
      <c r="K10" s="13" t="s">
        <v>28</v>
      </c>
      <c r="L10" s="13" t="s">
        <v>29</v>
      </c>
      <c r="M10" s="17">
        <v>149900</v>
      </c>
      <c r="N10" s="15">
        <v>0.75</v>
      </c>
      <c r="O10" s="16">
        <f t="shared" si="0"/>
        <v>37475</v>
      </c>
      <c r="P10" s="11" t="s">
        <v>20</v>
      </c>
    </row>
    <row r="11" spans="1:16" x14ac:dyDescent="0.25">
      <c r="A11" s="9" t="str">
        <f t="shared" si="1"/>
        <v>2024 ALL D75</v>
      </c>
      <c r="B11" s="10">
        <f>'[1]2019 ALL D95'!B11</f>
        <v>46104</v>
      </c>
      <c r="C11" s="10">
        <f>'[1]2019 ALL D95'!C11</f>
        <v>46113</v>
      </c>
      <c r="D11" s="11">
        <v>3273</v>
      </c>
      <c r="E11" s="11">
        <v>336</v>
      </c>
      <c r="F11" s="11">
        <v>4</v>
      </c>
      <c r="G11" s="13">
        <v>11</v>
      </c>
      <c r="H11" s="13">
        <v>81588</v>
      </c>
      <c r="I11" s="11" t="s">
        <v>17</v>
      </c>
      <c r="J11" s="13">
        <v>15638027</v>
      </c>
      <c r="K11" s="13" t="s">
        <v>28</v>
      </c>
      <c r="L11" s="13" t="s">
        <v>30</v>
      </c>
      <c r="M11" s="17">
        <v>149900</v>
      </c>
      <c r="N11" s="15">
        <v>0.75</v>
      </c>
      <c r="O11" s="16">
        <f t="shared" si="0"/>
        <v>37475</v>
      </c>
      <c r="P11" s="11" t="s">
        <v>20</v>
      </c>
    </row>
    <row r="12" spans="1:16" x14ac:dyDescent="0.25">
      <c r="A12" s="9" t="str">
        <f t="shared" si="1"/>
        <v>2024 ALL D75</v>
      </c>
      <c r="B12" s="10">
        <f>'[1]2019 ALL D95'!B12</f>
        <v>46104</v>
      </c>
      <c r="C12" s="10">
        <f>'[1]2019 ALL D95'!C12</f>
        <v>46113</v>
      </c>
      <c r="D12" s="11">
        <v>3273</v>
      </c>
      <c r="E12" s="11">
        <v>336</v>
      </c>
      <c r="F12" s="11">
        <v>4</v>
      </c>
      <c r="G12" s="13">
        <v>11</v>
      </c>
      <c r="H12" s="13">
        <v>81588</v>
      </c>
      <c r="I12" s="11" t="s">
        <v>17</v>
      </c>
      <c r="J12" s="13">
        <v>15638036</v>
      </c>
      <c r="K12" s="13" t="s">
        <v>28</v>
      </c>
      <c r="L12" s="13" t="s">
        <v>31</v>
      </c>
      <c r="M12" s="17">
        <v>149900</v>
      </c>
      <c r="N12" s="15">
        <v>0.75</v>
      </c>
      <c r="O12" s="16">
        <f t="shared" si="0"/>
        <v>37475</v>
      </c>
      <c r="P12" s="11" t="s">
        <v>20</v>
      </c>
    </row>
    <row r="13" spans="1:16" x14ac:dyDescent="0.25">
      <c r="A13" s="9" t="str">
        <f t="shared" si="1"/>
        <v>2024 ALL D75</v>
      </c>
      <c r="B13" s="10">
        <f>'[1]2019 ALL D95'!B13</f>
        <v>46104</v>
      </c>
      <c r="C13" s="10">
        <f>'[1]2019 ALL D95'!C13</f>
        <v>46113</v>
      </c>
      <c r="D13" s="11">
        <v>3273</v>
      </c>
      <c r="E13" s="11">
        <v>336</v>
      </c>
      <c r="F13" s="11">
        <v>4</v>
      </c>
      <c r="G13" s="13">
        <v>11</v>
      </c>
      <c r="H13" s="13">
        <v>81588</v>
      </c>
      <c r="I13" s="11" t="s">
        <v>17</v>
      </c>
      <c r="J13" s="13">
        <v>15638045</v>
      </c>
      <c r="K13" s="13" t="s">
        <v>28</v>
      </c>
      <c r="L13" s="13" t="s">
        <v>32</v>
      </c>
      <c r="M13" s="17">
        <v>149900</v>
      </c>
      <c r="N13" s="15">
        <v>0.75</v>
      </c>
      <c r="O13" s="16">
        <f t="shared" si="0"/>
        <v>37475</v>
      </c>
      <c r="P13" s="11" t="s">
        <v>20</v>
      </c>
    </row>
    <row r="14" spans="1:16" x14ac:dyDescent="0.25">
      <c r="A14" s="9" t="str">
        <f t="shared" si="1"/>
        <v>2024 ALL D75</v>
      </c>
      <c r="B14" s="10">
        <f>'[1]2019 ALL D95'!B14</f>
        <v>46104</v>
      </c>
      <c r="C14" s="10">
        <f>'[1]2019 ALL D95'!C14</f>
        <v>46113</v>
      </c>
      <c r="D14" s="11">
        <v>3273</v>
      </c>
      <c r="E14" s="11">
        <v>336</v>
      </c>
      <c r="F14" s="11">
        <v>4</v>
      </c>
      <c r="G14" s="13">
        <v>11</v>
      </c>
      <c r="H14" s="13">
        <v>81588</v>
      </c>
      <c r="I14" s="11" t="s">
        <v>17</v>
      </c>
      <c r="J14" s="13">
        <v>15638054</v>
      </c>
      <c r="K14" s="13" t="s">
        <v>28</v>
      </c>
      <c r="L14" s="13" t="s">
        <v>33</v>
      </c>
      <c r="M14" s="17">
        <v>149900</v>
      </c>
      <c r="N14" s="15">
        <v>0.75</v>
      </c>
      <c r="O14" s="16">
        <f t="shared" si="0"/>
        <v>37475</v>
      </c>
      <c r="P14" s="11" t="s">
        <v>20</v>
      </c>
    </row>
    <row r="15" spans="1:16" x14ac:dyDescent="0.25">
      <c r="A15" s="9" t="str">
        <f t="shared" si="1"/>
        <v>2024 ALL D75</v>
      </c>
      <c r="B15" s="10">
        <f>'[1]2019 ALL D95'!B15</f>
        <v>46104</v>
      </c>
      <c r="C15" s="10">
        <f>'[1]2019 ALL D95'!C15</f>
        <v>46113</v>
      </c>
      <c r="D15" s="11">
        <v>3273</v>
      </c>
      <c r="E15" s="11">
        <v>336</v>
      </c>
      <c r="F15" s="11">
        <v>4</v>
      </c>
      <c r="G15" s="13">
        <v>11</v>
      </c>
      <c r="H15" s="13">
        <v>81588</v>
      </c>
      <c r="I15" s="11" t="s">
        <v>17</v>
      </c>
      <c r="J15" s="13">
        <v>15638063</v>
      </c>
      <c r="K15" s="13" t="s">
        <v>28</v>
      </c>
      <c r="L15" s="13" t="s">
        <v>34</v>
      </c>
      <c r="M15" s="17">
        <v>149900</v>
      </c>
      <c r="N15" s="15">
        <v>0.75</v>
      </c>
      <c r="O15" s="16">
        <f t="shared" si="0"/>
        <v>37475</v>
      </c>
      <c r="P15" s="11" t="s">
        <v>20</v>
      </c>
    </row>
    <row r="16" spans="1:16" x14ac:dyDescent="0.25">
      <c r="A16" s="9" t="str">
        <f t="shared" si="1"/>
        <v>2024 ALL D75</v>
      </c>
      <c r="B16" s="10">
        <f>'[1]2019 ALL D95'!B16</f>
        <v>46104</v>
      </c>
      <c r="C16" s="10">
        <f>'[1]2019 ALL D95'!C16</f>
        <v>46113</v>
      </c>
      <c r="D16" s="11">
        <v>3273</v>
      </c>
      <c r="E16" s="11">
        <v>336</v>
      </c>
      <c r="F16" s="11">
        <v>4</v>
      </c>
      <c r="G16" s="13">
        <v>11</v>
      </c>
      <c r="H16" s="13">
        <v>81588</v>
      </c>
      <c r="I16" s="11" t="s">
        <v>17</v>
      </c>
      <c r="J16" s="13">
        <v>15638072</v>
      </c>
      <c r="K16" s="13" t="s">
        <v>35</v>
      </c>
      <c r="L16" s="13" t="s">
        <v>36</v>
      </c>
      <c r="M16" s="17">
        <v>189900</v>
      </c>
      <c r="N16" s="15">
        <v>0.75</v>
      </c>
      <c r="O16" s="16">
        <f t="shared" si="0"/>
        <v>47475</v>
      </c>
      <c r="P16" s="11" t="s">
        <v>20</v>
      </c>
    </row>
    <row r="17" spans="1:16" x14ac:dyDescent="0.25">
      <c r="A17" s="9" t="str">
        <f t="shared" si="1"/>
        <v>2024 ALL D75</v>
      </c>
      <c r="B17" s="10">
        <f>'[1]2019 ALL D95'!B17</f>
        <v>46104</v>
      </c>
      <c r="C17" s="10">
        <f>'[1]2019 ALL D95'!C17</f>
        <v>46113</v>
      </c>
      <c r="D17" s="11">
        <v>3273</v>
      </c>
      <c r="E17" s="11">
        <v>336</v>
      </c>
      <c r="F17" s="11">
        <v>4</v>
      </c>
      <c r="G17" s="13">
        <v>11</v>
      </c>
      <c r="H17" s="13">
        <v>81588</v>
      </c>
      <c r="I17" s="11" t="s">
        <v>17</v>
      </c>
      <c r="J17" s="13">
        <v>15638081</v>
      </c>
      <c r="K17" s="13" t="s">
        <v>35</v>
      </c>
      <c r="L17" s="13" t="s">
        <v>37</v>
      </c>
      <c r="M17" s="17">
        <v>189900</v>
      </c>
      <c r="N17" s="15">
        <v>0.75</v>
      </c>
      <c r="O17" s="16">
        <f t="shared" si="0"/>
        <v>47475</v>
      </c>
      <c r="P17" s="11" t="s">
        <v>20</v>
      </c>
    </row>
    <row r="18" spans="1:16" x14ac:dyDescent="0.25">
      <c r="A18" s="9" t="str">
        <f t="shared" si="1"/>
        <v>2024 ALL D75</v>
      </c>
      <c r="B18" s="10">
        <f>'[1]2019 ALL D95'!B18</f>
        <v>46104</v>
      </c>
      <c r="C18" s="10">
        <f>'[1]2019 ALL D95'!C18</f>
        <v>46113</v>
      </c>
      <c r="D18" s="11">
        <v>3273</v>
      </c>
      <c r="E18" s="11">
        <v>336</v>
      </c>
      <c r="F18" s="11">
        <v>4</v>
      </c>
      <c r="G18" s="13">
        <v>11</v>
      </c>
      <c r="H18" s="13">
        <v>81588</v>
      </c>
      <c r="I18" s="11" t="s">
        <v>17</v>
      </c>
      <c r="J18" s="13">
        <v>15638090</v>
      </c>
      <c r="K18" s="13" t="s">
        <v>35</v>
      </c>
      <c r="L18" s="13" t="s">
        <v>38</v>
      </c>
      <c r="M18" s="17">
        <v>189900</v>
      </c>
      <c r="N18" s="15">
        <v>0.75</v>
      </c>
      <c r="O18" s="16">
        <f t="shared" si="0"/>
        <v>47475</v>
      </c>
      <c r="P18" s="11" t="s">
        <v>20</v>
      </c>
    </row>
    <row r="19" spans="1:16" x14ac:dyDescent="0.25">
      <c r="A19" s="9" t="str">
        <f t="shared" ref="A19:A34" si="2">A18</f>
        <v>2024 ALL D75</v>
      </c>
      <c r="B19" s="10">
        <f>'[1]2019 ALL D95'!B19</f>
        <v>46104</v>
      </c>
      <c r="C19" s="10">
        <f>'[1]2019 ALL D95'!C19</f>
        <v>46113</v>
      </c>
      <c r="D19" s="11">
        <v>3273</v>
      </c>
      <c r="E19" s="11">
        <v>336</v>
      </c>
      <c r="F19" s="11">
        <v>4</v>
      </c>
      <c r="G19" s="13">
        <v>11</v>
      </c>
      <c r="H19" s="13">
        <v>81588</v>
      </c>
      <c r="I19" s="11" t="s">
        <v>17</v>
      </c>
      <c r="J19" s="13">
        <v>15638107</v>
      </c>
      <c r="K19" s="13" t="s">
        <v>35</v>
      </c>
      <c r="L19" s="13" t="s">
        <v>39</v>
      </c>
      <c r="M19" s="17">
        <v>189900</v>
      </c>
      <c r="N19" s="15">
        <v>0.75</v>
      </c>
      <c r="O19" s="16">
        <f t="shared" si="0"/>
        <v>47475</v>
      </c>
      <c r="P19" s="11" t="s">
        <v>20</v>
      </c>
    </row>
    <row r="20" spans="1:16" x14ac:dyDescent="0.25">
      <c r="A20" s="9" t="str">
        <f t="shared" si="2"/>
        <v>2024 ALL D75</v>
      </c>
      <c r="B20" s="10">
        <f>'[1]2019 ALL D95'!B20</f>
        <v>46104</v>
      </c>
      <c r="C20" s="10">
        <f>'[1]2019 ALL D95'!C20</f>
        <v>46113</v>
      </c>
      <c r="D20" s="11">
        <v>3273</v>
      </c>
      <c r="E20" s="11">
        <v>336</v>
      </c>
      <c r="F20" s="11">
        <v>4</v>
      </c>
      <c r="G20" s="13">
        <v>11</v>
      </c>
      <c r="H20" s="13">
        <v>81588</v>
      </c>
      <c r="I20" s="11" t="s">
        <v>17</v>
      </c>
      <c r="J20" s="13">
        <v>15638116</v>
      </c>
      <c r="K20" s="13" t="s">
        <v>35</v>
      </c>
      <c r="L20" s="13" t="s">
        <v>40</v>
      </c>
      <c r="M20" s="17">
        <v>189900</v>
      </c>
      <c r="N20" s="15">
        <v>0.75</v>
      </c>
      <c r="O20" s="16">
        <f t="shared" si="0"/>
        <v>47475</v>
      </c>
      <c r="P20" s="11" t="s">
        <v>20</v>
      </c>
    </row>
    <row r="21" spans="1:16" x14ac:dyDescent="0.25">
      <c r="A21" s="9" t="str">
        <f t="shared" si="2"/>
        <v>2024 ALL D75</v>
      </c>
      <c r="B21" s="10">
        <f>'[1]2019 ALL D95'!B21</f>
        <v>46104</v>
      </c>
      <c r="C21" s="10">
        <f>'[1]2019 ALL D95'!C21</f>
        <v>46113</v>
      </c>
      <c r="D21" s="11">
        <v>3273</v>
      </c>
      <c r="E21" s="11">
        <v>336</v>
      </c>
      <c r="F21" s="11">
        <v>4</v>
      </c>
      <c r="G21" s="13">
        <v>11</v>
      </c>
      <c r="H21" s="13">
        <v>81588</v>
      </c>
      <c r="I21" s="11" t="s">
        <v>17</v>
      </c>
      <c r="J21" s="13">
        <v>15638125</v>
      </c>
      <c r="K21" s="13" t="s">
        <v>35</v>
      </c>
      <c r="L21" s="13" t="s">
        <v>41</v>
      </c>
      <c r="M21" s="17">
        <v>189900</v>
      </c>
      <c r="N21" s="15">
        <v>0.75</v>
      </c>
      <c r="O21" s="16">
        <f t="shared" si="0"/>
        <v>47475</v>
      </c>
      <c r="P21" s="11" t="s">
        <v>20</v>
      </c>
    </row>
    <row r="22" spans="1:16" x14ac:dyDescent="0.25">
      <c r="A22" s="9" t="str">
        <f t="shared" si="2"/>
        <v>2024 ALL D75</v>
      </c>
      <c r="B22" s="10">
        <f>'[1]2019 ALL D95'!B22</f>
        <v>46104</v>
      </c>
      <c r="C22" s="10">
        <f>'[1]2019 ALL D95'!C22</f>
        <v>46113</v>
      </c>
      <c r="D22" s="11">
        <v>3273</v>
      </c>
      <c r="E22" s="11">
        <v>336</v>
      </c>
      <c r="F22" s="11">
        <v>4</v>
      </c>
      <c r="G22" s="13">
        <v>6</v>
      </c>
      <c r="H22" s="13">
        <v>81588</v>
      </c>
      <c r="I22" s="11" t="s">
        <v>17</v>
      </c>
      <c r="J22" s="13">
        <v>84037912</v>
      </c>
      <c r="K22" s="13" t="s">
        <v>42</v>
      </c>
      <c r="L22" s="13" t="s">
        <v>43</v>
      </c>
      <c r="M22" s="17">
        <v>139900</v>
      </c>
      <c r="N22" s="15">
        <v>0.75</v>
      </c>
      <c r="O22" s="16">
        <f t="shared" si="0"/>
        <v>34975</v>
      </c>
      <c r="P22" s="11" t="s">
        <v>20</v>
      </c>
    </row>
    <row r="23" spans="1:16" x14ac:dyDescent="0.25">
      <c r="A23" s="9" t="str">
        <f t="shared" si="2"/>
        <v>2024 ALL D75</v>
      </c>
      <c r="B23" s="10">
        <f>'[1]2019 ALL D95'!B23</f>
        <v>46104</v>
      </c>
      <c r="C23" s="10">
        <f>'[1]2019 ALL D95'!C23</f>
        <v>46113</v>
      </c>
      <c r="D23" s="11">
        <v>3273</v>
      </c>
      <c r="E23" s="11">
        <v>336</v>
      </c>
      <c r="F23" s="11">
        <v>4</v>
      </c>
      <c r="G23" s="13">
        <v>6</v>
      </c>
      <c r="H23" s="13">
        <v>81588</v>
      </c>
      <c r="I23" s="11" t="s">
        <v>17</v>
      </c>
      <c r="J23" s="13">
        <v>84037921</v>
      </c>
      <c r="K23" s="13" t="s">
        <v>42</v>
      </c>
      <c r="L23" s="13" t="s">
        <v>44</v>
      </c>
      <c r="M23" s="17">
        <v>139900</v>
      </c>
      <c r="N23" s="15">
        <v>0.75</v>
      </c>
      <c r="O23" s="16">
        <f t="shared" si="0"/>
        <v>34975</v>
      </c>
      <c r="P23" s="11" t="s">
        <v>20</v>
      </c>
    </row>
    <row r="24" spans="1:16" x14ac:dyDescent="0.25">
      <c r="A24" s="9" t="str">
        <f t="shared" si="2"/>
        <v>2024 ALL D75</v>
      </c>
      <c r="B24" s="10">
        <f>'[1]2019 ALL D95'!B24</f>
        <v>46104</v>
      </c>
      <c r="C24" s="10">
        <f>'[1]2019 ALL D95'!C24</f>
        <v>46113</v>
      </c>
      <c r="D24" s="11">
        <v>3273</v>
      </c>
      <c r="E24" s="11">
        <v>336</v>
      </c>
      <c r="F24" s="11">
        <v>4</v>
      </c>
      <c r="G24" s="13">
        <v>6</v>
      </c>
      <c r="H24" s="13">
        <v>81588</v>
      </c>
      <c r="I24" s="11" t="s">
        <v>17</v>
      </c>
      <c r="J24" s="13">
        <v>84037930</v>
      </c>
      <c r="K24" s="13" t="s">
        <v>42</v>
      </c>
      <c r="L24" s="13" t="s">
        <v>45</v>
      </c>
      <c r="M24" s="17">
        <v>139900</v>
      </c>
      <c r="N24" s="15">
        <v>0.75</v>
      </c>
      <c r="O24" s="16">
        <f t="shared" si="0"/>
        <v>34975</v>
      </c>
      <c r="P24" s="11" t="s">
        <v>20</v>
      </c>
    </row>
    <row r="25" spans="1:16" x14ac:dyDescent="0.25">
      <c r="A25" s="9" t="str">
        <f t="shared" si="2"/>
        <v>2024 ALL D75</v>
      </c>
      <c r="B25" s="10">
        <f>'[1]2019 ALL D95'!B25</f>
        <v>46104</v>
      </c>
      <c r="C25" s="10">
        <f>'[1]2019 ALL D95'!C25</f>
        <v>46113</v>
      </c>
      <c r="D25" s="11">
        <v>3273</v>
      </c>
      <c r="E25" s="11">
        <v>336</v>
      </c>
      <c r="F25" s="11">
        <v>4</v>
      </c>
      <c r="G25" s="13">
        <v>6</v>
      </c>
      <c r="H25" s="13">
        <v>81588</v>
      </c>
      <c r="I25" s="11" t="s">
        <v>17</v>
      </c>
      <c r="J25" s="13">
        <v>84037949</v>
      </c>
      <c r="K25" s="13" t="s">
        <v>42</v>
      </c>
      <c r="L25" s="13" t="s">
        <v>46</v>
      </c>
      <c r="M25" s="17">
        <v>139900</v>
      </c>
      <c r="N25" s="15">
        <v>0.75</v>
      </c>
      <c r="O25" s="16">
        <f t="shared" si="0"/>
        <v>34975</v>
      </c>
      <c r="P25" s="11" t="s">
        <v>20</v>
      </c>
    </row>
    <row r="26" spans="1:16" x14ac:dyDescent="0.25">
      <c r="A26" s="9" t="str">
        <f t="shared" si="2"/>
        <v>2024 ALL D75</v>
      </c>
      <c r="B26" s="10">
        <f>'[1]2019 ALL D95'!B26</f>
        <v>46104</v>
      </c>
      <c r="C26" s="10">
        <f>'[1]2019 ALL D95'!C26</f>
        <v>46113</v>
      </c>
      <c r="D26" s="11">
        <v>3273</v>
      </c>
      <c r="E26" s="11">
        <v>336</v>
      </c>
      <c r="F26" s="11">
        <v>4</v>
      </c>
      <c r="G26" s="13">
        <v>6</v>
      </c>
      <c r="H26" s="13">
        <v>81588</v>
      </c>
      <c r="I26" s="11" t="s">
        <v>17</v>
      </c>
      <c r="J26" s="13">
        <v>84037958</v>
      </c>
      <c r="K26" s="13" t="s">
        <v>42</v>
      </c>
      <c r="L26" s="13" t="s">
        <v>47</v>
      </c>
      <c r="M26" s="17">
        <v>139900</v>
      </c>
      <c r="N26" s="15">
        <v>0.75</v>
      </c>
      <c r="O26" s="16">
        <f t="shared" si="0"/>
        <v>34975</v>
      </c>
      <c r="P26" s="11" t="s">
        <v>20</v>
      </c>
    </row>
    <row r="27" spans="1:16" x14ac:dyDescent="0.25">
      <c r="A27" s="9" t="str">
        <f t="shared" si="2"/>
        <v>2024 ALL D75</v>
      </c>
      <c r="B27" s="10">
        <f>'[1]2019 ALL D95'!B27</f>
        <v>46104</v>
      </c>
      <c r="C27" s="10">
        <f>'[1]2019 ALL D95'!C27</f>
        <v>46113</v>
      </c>
      <c r="D27" s="11">
        <v>3273</v>
      </c>
      <c r="E27" s="11">
        <v>336</v>
      </c>
      <c r="F27" s="11">
        <v>4</v>
      </c>
      <c r="G27" s="13">
        <v>6</v>
      </c>
      <c r="H27" s="13">
        <v>81588</v>
      </c>
      <c r="I27" s="11" t="s">
        <v>17</v>
      </c>
      <c r="J27" s="13">
        <v>84037967</v>
      </c>
      <c r="K27" s="13" t="s">
        <v>42</v>
      </c>
      <c r="L27" s="13" t="s">
        <v>48</v>
      </c>
      <c r="M27" s="17">
        <v>139900</v>
      </c>
      <c r="N27" s="15">
        <v>0.75</v>
      </c>
      <c r="O27" s="16">
        <f t="shared" si="0"/>
        <v>34975</v>
      </c>
      <c r="P27" s="11" t="s">
        <v>20</v>
      </c>
    </row>
    <row r="28" spans="1:16" x14ac:dyDescent="0.25">
      <c r="A28" s="9" t="str">
        <f t="shared" si="2"/>
        <v>2024 ALL D75</v>
      </c>
      <c r="B28" s="10">
        <f>'[1]2019 ALL D95'!B28</f>
        <v>46104</v>
      </c>
      <c r="C28" s="10">
        <f>'[1]2019 ALL D95'!C28</f>
        <v>46113</v>
      </c>
      <c r="D28" s="11">
        <v>3273</v>
      </c>
      <c r="E28" s="11">
        <v>336</v>
      </c>
      <c r="F28" s="11">
        <v>4</v>
      </c>
      <c r="G28" s="13">
        <v>6</v>
      </c>
      <c r="H28" s="13">
        <v>81588</v>
      </c>
      <c r="I28" s="11" t="s">
        <v>17</v>
      </c>
      <c r="J28" s="13">
        <v>84037976</v>
      </c>
      <c r="K28" s="13" t="s">
        <v>42</v>
      </c>
      <c r="L28" s="13" t="s">
        <v>49</v>
      </c>
      <c r="M28" s="17">
        <v>139900</v>
      </c>
      <c r="N28" s="15">
        <v>0.75</v>
      </c>
      <c r="O28" s="16">
        <f t="shared" si="0"/>
        <v>34975</v>
      </c>
      <c r="P28" s="11" t="s">
        <v>20</v>
      </c>
    </row>
    <row r="29" spans="1:16" x14ac:dyDescent="0.25">
      <c r="A29" s="9" t="str">
        <f t="shared" si="2"/>
        <v>2024 ALL D75</v>
      </c>
      <c r="B29" s="10">
        <f>'[1]2019 ALL D95'!B29</f>
        <v>46104</v>
      </c>
      <c r="C29" s="10">
        <f>'[1]2019 ALL D95'!C29</f>
        <v>46113</v>
      </c>
      <c r="D29" s="11">
        <v>3273</v>
      </c>
      <c r="E29" s="11">
        <v>336</v>
      </c>
      <c r="F29" s="11">
        <v>4</v>
      </c>
      <c r="G29" s="13">
        <v>6</v>
      </c>
      <c r="H29" s="13">
        <v>81588</v>
      </c>
      <c r="I29" s="11" t="s">
        <v>17</v>
      </c>
      <c r="J29" s="13">
        <v>84037985</v>
      </c>
      <c r="K29" s="13" t="s">
        <v>42</v>
      </c>
      <c r="L29" s="13" t="s">
        <v>50</v>
      </c>
      <c r="M29" s="17">
        <v>139900</v>
      </c>
      <c r="N29" s="15">
        <v>0.75</v>
      </c>
      <c r="O29" s="16">
        <f t="shared" si="0"/>
        <v>34975</v>
      </c>
      <c r="P29" s="11" t="s">
        <v>20</v>
      </c>
    </row>
    <row r="30" spans="1:16" x14ac:dyDescent="0.25">
      <c r="A30" s="9" t="str">
        <f t="shared" si="2"/>
        <v>2024 ALL D75</v>
      </c>
      <c r="B30" s="10">
        <f>'[1]2019 ALL D95'!B30</f>
        <v>46104</v>
      </c>
      <c r="C30" s="10">
        <f>'[1]2019 ALL D95'!C30</f>
        <v>46113</v>
      </c>
      <c r="D30" s="11">
        <v>3273</v>
      </c>
      <c r="E30" s="11">
        <v>336</v>
      </c>
      <c r="F30" s="11">
        <v>4</v>
      </c>
      <c r="G30" s="13">
        <v>6</v>
      </c>
      <c r="H30" s="13">
        <v>81676</v>
      </c>
      <c r="I30" s="11" t="s">
        <v>17</v>
      </c>
      <c r="J30" s="13">
        <v>86002884</v>
      </c>
      <c r="K30" s="13" t="s">
        <v>51</v>
      </c>
      <c r="L30" s="13" t="s">
        <v>52</v>
      </c>
      <c r="M30" s="17">
        <v>129900</v>
      </c>
      <c r="N30" s="15">
        <v>0.75</v>
      </c>
      <c r="O30" s="16">
        <f t="shared" si="0"/>
        <v>32475</v>
      </c>
      <c r="P30" s="11" t="s">
        <v>20</v>
      </c>
    </row>
    <row r="31" spans="1:16" x14ac:dyDescent="0.25">
      <c r="A31" s="9" t="str">
        <f t="shared" si="2"/>
        <v>2024 ALL D75</v>
      </c>
      <c r="B31" s="10">
        <f>'[1]2019 ALL D95'!B31</f>
        <v>46104</v>
      </c>
      <c r="C31" s="10">
        <f>'[1]2019 ALL D95'!C31</f>
        <v>46113</v>
      </c>
      <c r="D31" s="11">
        <v>3273</v>
      </c>
      <c r="E31" s="11">
        <v>336</v>
      </c>
      <c r="F31" s="11">
        <v>4</v>
      </c>
      <c r="G31" s="13">
        <v>6</v>
      </c>
      <c r="H31" s="13">
        <v>81676</v>
      </c>
      <c r="I31" s="11" t="s">
        <v>17</v>
      </c>
      <c r="J31" s="13">
        <v>86002893</v>
      </c>
      <c r="K31" s="13" t="s">
        <v>51</v>
      </c>
      <c r="L31" s="13" t="s">
        <v>53</v>
      </c>
      <c r="M31" s="17">
        <v>129900</v>
      </c>
      <c r="N31" s="15">
        <v>0.75</v>
      </c>
      <c r="O31" s="16">
        <f t="shared" si="0"/>
        <v>32475</v>
      </c>
      <c r="P31" s="11" t="s">
        <v>20</v>
      </c>
    </row>
    <row r="32" spans="1:16" x14ac:dyDescent="0.25">
      <c r="A32" s="9" t="str">
        <f t="shared" si="2"/>
        <v>2024 ALL D75</v>
      </c>
      <c r="B32" s="10">
        <f>'[1]2019 ALL D95'!B32</f>
        <v>46104</v>
      </c>
      <c r="C32" s="10">
        <f>'[1]2019 ALL D95'!C32</f>
        <v>46113</v>
      </c>
      <c r="D32" s="11">
        <v>3273</v>
      </c>
      <c r="E32" s="11">
        <v>336</v>
      </c>
      <c r="F32" s="11">
        <v>4</v>
      </c>
      <c r="G32" s="13">
        <v>6</v>
      </c>
      <c r="H32" s="13">
        <v>81676</v>
      </c>
      <c r="I32" s="11" t="s">
        <v>17</v>
      </c>
      <c r="J32" s="13">
        <v>86002900</v>
      </c>
      <c r="K32" s="13" t="s">
        <v>51</v>
      </c>
      <c r="L32" s="13" t="s">
        <v>54</v>
      </c>
      <c r="M32" s="17">
        <v>129900</v>
      </c>
      <c r="N32" s="15">
        <v>0.75</v>
      </c>
      <c r="O32" s="16">
        <f t="shared" si="0"/>
        <v>32475</v>
      </c>
      <c r="P32" s="11" t="s">
        <v>20</v>
      </c>
    </row>
    <row r="33" spans="1:16" x14ac:dyDescent="0.25">
      <c r="A33" s="9" t="str">
        <f t="shared" si="2"/>
        <v>2024 ALL D75</v>
      </c>
      <c r="B33" s="10">
        <f>'[1]2019 ALL D95'!B33</f>
        <v>46104</v>
      </c>
      <c r="C33" s="10">
        <f>'[1]2019 ALL D95'!C33</f>
        <v>46113</v>
      </c>
      <c r="D33" s="11">
        <v>3273</v>
      </c>
      <c r="E33" s="11">
        <v>336</v>
      </c>
      <c r="F33" s="11">
        <v>4</v>
      </c>
      <c r="G33" s="13">
        <v>6</v>
      </c>
      <c r="H33" s="13">
        <v>81676</v>
      </c>
      <c r="I33" s="11" t="s">
        <v>17</v>
      </c>
      <c r="J33" s="13">
        <v>86002919</v>
      </c>
      <c r="K33" s="13" t="s">
        <v>51</v>
      </c>
      <c r="L33" s="13" t="s">
        <v>55</v>
      </c>
      <c r="M33" s="17">
        <v>129900</v>
      </c>
      <c r="N33" s="15">
        <v>0.75</v>
      </c>
      <c r="O33" s="16">
        <f t="shared" si="0"/>
        <v>32475</v>
      </c>
      <c r="P33" s="11" t="s">
        <v>20</v>
      </c>
    </row>
    <row r="34" spans="1:16" x14ac:dyDescent="0.25">
      <c r="A34" s="9" t="str">
        <f t="shared" si="2"/>
        <v>2024 ALL D75</v>
      </c>
      <c r="B34" s="10">
        <f>'[1]2019 ALL D95'!B34</f>
        <v>46104</v>
      </c>
      <c r="C34" s="10">
        <f>'[1]2019 ALL D95'!C34</f>
        <v>46113</v>
      </c>
      <c r="D34" s="11">
        <v>3273</v>
      </c>
      <c r="E34" s="11">
        <v>336</v>
      </c>
      <c r="F34" s="11">
        <v>4</v>
      </c>
      <c r="G34" s="13">
        <v>6</v>
      </c>
      <c r="H34" s="13">
        <v>81676</v>
      </c>
      <c r="I34" s="11" t="s">
        <v>17</v>
      </c>
      <c r="J34" s="13">
        <v>86002928</v>
      </c>
      <c r="K34" s="13" t="s">
        <v>51</v>
      </c>
      <c r="L34" s="13" t="s">
        <v>56</v>
      </c>
      <c r="M34" s="17">
        <v>129900</v>
      </c>
      <c r="N34" s="15">
        <v>0.75</v>
      </c>
      <c r="O34" s="16">
        <f t="shared" si="0"/>
        <v>32475</v>
      </c>
      <c r="P34" s="11" t="s">
        <v>20</v>
      </c>
    </row>
    <row r="35" spans="1:16" x14ac:dyDescent="0.25">
      <c r="A35" s="9" t="str">
        <f t="shared" ref="A35:A50" si="3">A34</f>
        <v>2024 ALL D75</v>
      </c>
      <c r="B35" s="10">
        <f>'[1]2019 ALL D95'!B35</f>
        <v>46104</v>
      </c>
      <c r="C35" s="10">
        <f>'[1]2019 ALL D95'!C35</f>
        <v>46113</v>
      </c>
      <c r="D35" s="11">
        <v>3273</v>
      </c>
      <c r="E35" s="11">
        <v>336</v>
      </c>
      <c r="F35" s="11">
        <v>4</v>
      </c>
      <c r="G35" s="13">
        <v>6</v>
      </c>
      <c r="H35" s="13">
        <v>81676</v>
      </c>
      <c r="I35" s="11" t="s">
        <v>17</v>
      </c>
      <c r="J35" s="13">
        <v>86002937</v>
      </c>
      <c r="K35" s="13" t="s">
        <v>51</v>
      </c>
      <c r="L35" s="13" t="s">
        <v>57</v>
      </c>
      <c r="M35" s="17">
        <v>129900</v>
      </c>
      <c r="N35" s="15">
        <v>0.75</v>
      </c>
      <c r="O35" s="16">
        <f t="shared" si="0"/>
        <v>32475</v>
      </c>
      <c r="P35" s="11" t="s">
        <v>20</v>
      </c>
    </row>
    <row r="36" spans="1:16" x14ac:dyDescent="0.25">
      <c r="A36" s="9" t="str">
        <f t="shared" si="3"/>
        <v>2024 ALL D75</v>
      </c>
      <c r="B36" s="10">
        <f>'[1]2019 ALL D95'!B36</f>
        <v>46104</v>
      </c>
      <c r="C36" s="10">
        <f>'[1]2019 ALL D95'!C36</f>
        <v>46113</v>
      </c>
      <c r="D36" s="11">
        <v>3273</v>
      </c>
      <c r="E36" s="11">
        <v>336</v>
      </c>
      <c r="F36" s="11">
        <v>4</v>
      </c>
      <c r="G36" s="13">
        <v>6</v>
      </c>
      <c r="H36" s="13">
        <v>81676</v>
      </c>
      <c r="I36" s="11" t="s">
        <v>17</v>
      </c>
      <c r="J36" s="13">
        <v>86002946</v>
      </c>
      <c r="K36" s="13" t="s">
        <v>51</v>
      </c>
      <c r="L36" s="13" t="s">
        <v>58</v>
      </c>
      <c r="M36" s="17">
        <v>129900</v>
      </c>
      <c r="N36" s="15">
        <v>0.75</v>
      </c>
      <c r="O36" s="16">
        <f t="shared" si="0"/>
        <v>32475</v>
      </c>
      <c r="P36" s="11" t="s">
        <v>20</v>
      </c>
    </row>
    <row r="37" spans="1:16" x14ac:dyDescent="0.25">
      <c r="A37" s="9" t="str">
        <f t="shared" si="3"/>
        <v>2024 ALL D75</v>
      </c>
      <c r="B37" s="10">
        <f>'[1]2019 ALL D95'!B37</f>
        <v>46104</v>
      </c>
      <c r="C37" s="10">
        <f>'[1]2019 ALL D95'!C37</f>
        <v>46113</v>
      </c>
      <c r="D37" s="11">
        <v>3273</v>
      </c>
      <c r="E37" s="11">
        <v>336</v>
      </c>
      <c r="F37" s="11">
        <v>4</v>
      </c>
      <c r="G37" s="13">
        <v>6</v>
      </c>
      <c r="H37" s="13">
        <v>81676</v>
      </c>
      <c r="I37" s="11" t="s">
        <v>17</v>
      </c>
      <c r="J37" s="13">
        <v>86002955</v>
      </c>
      <c r="K37" s="13" t="s">
        <v>51</v>
      </c>
      <c r="L37" s="13" t="s">
        <v>59</v>
      </c>
      <c r="M37" s="17">
        <v>129900</v>
      </c>
      <c r="N37" s="15">
        <v>0.75</v>
      </c>
      <c r="O37" s="16">
        <f t="shared" si="0"/>
        <v>32475</v>
      </c>
      <c r="P37" s="11" t="s">
        <v>20</v>
      </c>
    </row>
    <row r="38" spans="1:16" x14ac:dyDescent="0.25">
      <c r="A38" s="9" t="str">
        <f t="shared" si="3"/>
        <v>2024 ALL D75</v>
      </c>
      <c r="B38" s="10">
        <f>'[1]2019 ALL D95'!B38</f>
        <v>46104</v>
      </c>
      <c r="C38" s="10">
        <f>'[1]2019 ALL D95'!C38</f>
        <v>46113</v>
      </c>
      <c r="D38" s="11">
        <v>3273</v>
      </c>
      <c r="E38" s="11">
        <v>336</v>
      </c>
      <c r="F38" s="11">
        <v>4</v>
      </c>
      <c r="G38" s="13">
        <v>6</v>
      </c>
      <c r="H38" s="13">
        <v>81676</v>
      </c>
      <c r="I38" s="11" t="s">
        <v>17</v>
      </c>
      <c r="J38" s="13">
        <v>86002964</v>
      </c>
      <c r="K38" s="13" t="s">
        <v>60</v>
      </c>
      <c r="L38" s="13" t="s">
        <v>61</v>
      </c>
      <c r="M38" s="17">
        <v>139900</v>
      </c>
      <c r="N38" s="15">
        <v>0.75</v>
      </c>
      <c r="O38" s="16">
        <f t="shared" si="0"/>
        <v>34975</v>
      </c>
      <c r="P38" s="11" t="s">
        <v>20</v>
      </c>
    </row>
    <row r="39" spans="1:16" x14ac:dyDescent="0.25">
      <c r="A39" s="9" t="str">
        <f t="shared" si="3"/>
        <v>2024 ALL D75</v>
      </c>
      <c r="B39" s="10">
        <f>'[1]2019 ALL D95'!B39</f>
        <v>46104</v>
      </c>
      <c r="C39" s="10">
        <f>'[1]2019 ALL D95'!C39</f>
        <v>46113</v>
      </c>
      <c r="D39" s="11">
        <v>3273</v>
      </c>
      <c r="E39" s="11">
        <v>336</v>
      </c>
      <c r="F39" s="11">
        <v>4</v>
      </c>
      <c r="G39" s="13">
        <v>6</v>
      </c>
      <c r="H39" s="13">
        <v>81676</v>
      </c>
      <c r="I39" s="11" t="s">
        <v>17</v>
      </c>
      <c r="J39" s="13">
        <v>86002973</v>
      </c>
      <c r="K39" s="13" t="s">
        <v>60</v>
      </c>
      <c r="L39" s="13" t="s">
        <v>62</v>
      </c>
      <c r="M39" s="17">
        <v>139900</v>
      </c>
      <c r="N39" s="15">
        <v>0.75</v>
      </c>
      <c r="O39" s="16">
        <f t="shared" si="0"/>
        <v>34975</v>
      </c>
      <c r="P39" s="11" t="s">
        <v>20</v>
      </c>
    </row>
    <row r="40" spans="1:16" x14ac:dyDescent="0.25">
      <c r="A40" s="9" t="str">
        <f t="shared" si="3"/>
        <v>2024 ALL D75</v>
      </c>
      <c r="B40" s="10">
        <f>'[1]2019 ALL D95'!B40</f>
        <v>46104</v>
      </c>
      <c r="C40" s="10">
        <f>'[1]2019 ALL D95'!C40</f>
        <v>46113</v>
      </c>
      <c r="D40" s="11">
        <v>3273</v>
      </c>
      <c r="E40" s="11">
        <v>336</v>
      </c>
      <c r="F40" s="11">
        <v>4</v>
      </c>
      <c r="G40" s="13">
        <v>6</v>
      </c>
      <c r="H40" s="13">
        <v>81676</v>
      </c>
      <c r="I40" s="11" t="s">
        <v>17</v>
      </c>
      <c r="J40" s="13">
        <v>86002982</v>
      </c>
      <c r="K40" s="13" t="s">
        <v>60</v>
      </c>
      <c r="L40" s="13" t="s">
        <v>63</v>
      </c>
      <c r="M40" s="17">
        <v>139900</v>
      </c>
      <c r="N40" s="15">
        <v>0.75</v>
      </c>
      <c r="O40" s="16">
        <f t="shared" si="0"/>
        <v>34975</v>
      </c>
      <c r="P40" s="11" t="s">
        <v>20</v>
      </c>
    </row>
    <row r="41" spans="1:16" x14ac:dyDescent="0.25">
      <c r="A41" s="9" t="str">
        <f t="shared" si="3"/>
        <v>2024 ALL D75</v>
      </c>
      <c r="B41" s="10">
        <f>'[1]2019 ALL D95'!B41</f>
        <v>46104</v>
      </c>
      <c r="C41" s="10">
        <f>'[1]2019 ALL D95'!C41</f>
        <v>46113</v>
      </c>
      <c r="D41" s="11">
        <v>3273</v>
      </c>
      <c r="E41" s="11">
        <v>336</v>
      </c>
      <c r="F41" s="11">
        <v>4</v>
      </c>
      <c r="G41" s="13">
        <v>6</v>
      </c>
      <c r="H41" s="13">
        <v>81676</v>
      </c>
      <c r="I41" s="11" t="s">
        <v>17</v>
      </c>
      <c r="J41" s="13">
        <v>86002991</v>
      </c>
      <c r="K41" s="13" t="s">
        <v>60</v>
      </c>
      <c r="L41" s="13" t="s">
        <v>64</v>
      </c>
      <c r="M41" s="17">
        <v>139900</v>
      </c>
      <c r="N41" s="15">
        <v>0.75</v>
      </c>
      <c r="O41" s="16">
        <f t="shared" si="0"/>
        <v>34975</v>
      </c>
      <c r="P41" s="11" t="s">
        <v>20</v>
      </c>
    </row>
    <row r="42" spans="1:16" x14ac:dyDescent="0.25">
      <c r="A42" s="9" t="str">
        <f t="shared" si="3"/>
        <v>2024 ALL D75</v>
      </c>
      <c r="B42" s="10">
        <f>'[1]2019 ALL D95'!B42</f>
        <v>46104</v>
      </c>
      <c r="C42" s="10">
        <f>'[1]2019 ALL D95'!C42</f>
        <v>46113</v>
      </c>
      <c r="D42" s="11">
        <v>3273</v>
      </c>
      <c r="E42" s="11">
        <v>336</v>
      </c>
      <c r="F42" s="11">
        <v>4</v>
      </c>
      <c r="G42" s="13">
        <v>6</v>
      </c>
      <c r="H42" s="13">
        <v>81676</v>
      </c>
      <c r="I42" s="11" t="s">
        <v>17</v>
      </c>
      <c r="J42" s="13">
        <v>86003007</v>
      </c>
      <c r="K42" s="13" t="s">
        <v>60</v>
      </c>
      <c r="L42" s="13" t="s">
        <v>65</v>
      </c>
      <c r="M42" s="17">
        <v>139900</v>
      </c>
      <c r="N42" s="15">
        <v>0.75</v>
      </c>
      <c r="O42" s="16">
        <f t="shared" si="0"/>
        <v>34975</v>
      </c>
      <c r="P42" s="11" t="s">
        <v>20</v>
      </c>
    </row>
    <row r="43" spans="1:16" x14ac:dyDescent="0.25">
      <c r="A43" s="9" t="str">
        <f t="shared" si="3"/>
        <v>2024 ALL D75</v>
      </c>
      <c r="B43" s="10">
        <f>'[1]2019 ALL D95'!B43</f>
        <v>46104</v>
      </c>
      <c r="C43" s="10">
        <f>'[1]2019 ALL D95'!C43</f>
        <v>46113</v>
      </c>
      <c r="D43" s="11">
        <v>3273</v>
      </c>
      <c r="E43" s="11">
        <v>336</v>
      </c>
      <c r="F43" s="11">
        <v>4</v>
      </c>
      <c r="G43" s="13">
        <v>6</v>
      </c>
      <c r="H43" s="13">
        <v>81676</v>
      </c>
      <c r="I43" s="11" t="s">
        <v>17</v>
      </c>
      <c r="J43" s="13">
        <v>86003016</v>
      </c>
      <c r="K43" s="13" t="s">
        <v>60</v>
      </c>
      <c r="L43" s="13" t="s">
        <v>66</v>
      </c>
      <c r="M43" s="17">
        <v>139900</v>
      </c>
      <c r="N43" s="15">
        <v>0.75</v>
      </c>
      <c r="O43" s="16">
        <f t="shared" si="0"/>
        <v>34975</v>
      </c>
      <c r="P43" s="11" t="s">
        <v>20</v>
      </c>
    </row>
    <row r="44" spans="1:16" x14ac:dyDescent="0.25">
      <c r="A44" s="9" t="str">
        <f t="shared" si="3"/>
        <v>2024 ALL D75</v>
      </c>
      <c r="B44" s="10">
        <f>'[1]2019 ALL D95'!B44</f>
        <v>46104</v>
      </c>
      <c r="C44" s="10">
        <f>'[1]2019 ALL D95'!C44</f>
        <v>46113</v>
      </c>
      <c r="D44" s="11">
        <v>3273</v>
      </c>
      <c r="E44" s="11">
        <v>336</v>
      </c>
      <c r="F44" s="11">
        <v>4</v>
      </c>
      <c r="G44" s="13">
        <v>6</v>
      </c>
      <c r="H44" s="13">
        <v>81676</v>
      </c>
      <c r="I44" s="11" t="s">
        <v>17</v>
      </c>
      <c r="J44" s="13">
        <v>86003025</v>
      </c>
      <c r="K44" s="13" t="s">
        <v>60</v>
      </c>
      <c r="L44" s="13" t="s">
        <v>67</v>
      </c>
      <c r="M44" s="17">
        <v>139900</v>
      </c>
      <c r="N44" s="15">
        <v>0.75</v>
      </c>
      <c r="O44" s="16">
        <f t="shared" si="0"/>
        <v>34975</v>
      </c>
      <c r="P44" s="11" t="s">
        <v>20</v>
      </c>
    </row>
    <row r="45" spans="1:16" x14ac:dyDescent="0.25">
      <c r="A45" s="9" t="str">
        <f t="shared" si="3"/>
        <v>2024 ALL D75</v>
      </c>
      <c r="B45" s="10">
        <f>'[1]2019 ALL D95'!B45</f>
        <v>46104</v>
      </c>
      <c r="C45" s="10">
        <f>'[1]2019 ALL D95'!C45</f>
        <v>46113</v>
      </c>
      <c r="D45" s="11">
        <v>3273</v>
      </c>
      <c r="E45" s="11">
        <v>336</v>
      </c>
      <c r="F45" s="11">
        <v>4</v>
      </c>
      <c r="G45" s="13">
        <v>6</v>
      </c>
      <c r="H45" s="13">
        <v>81676</v>
      </c>
      <c r="I45" s="11" t="s">
        <v>17</v>
      </c>
      <c r="J45" s="13">
        <v>86003034</v>
      </c>
      <c r="K45" s="13" t="s">
        <v>60</v>
      </c>
      <c r="L45" s="13" t="s">
        <v>68</v>
      </c>
      <c r="M45" s="17">
        <v>139900</v>
      </c>
      <c r="N45" s="15">
        <v>0.75</v>
      </c>
      <c r="O45" s="16">
        <f t="shared" si="0"/>
        <v>34975</v>
      </c>
      <c r="P45" s="11" t="s">
        <v>20</v>
      </c>
    </row>
    <row r="46" spans="1:16" x14ac:dyDescent="0.25">
      <c r="A46" s="9" t="str">
        <f t="shared" si="3"/>
        <v>2024 ALL D75</v>
      </c>
      <c r="B46" s="10">
        <f>'[1]2019 ALL D95'!B46</f>
        <v>46104</v>
      </c>
      <c r="C46" s="10">
        <f>'[1]2019 ALL D95'!C46</f>
        <v>46113</v>
      </c>
      <c r="D46" s="11">
        <v>3273</v>
      </c>
      <c r="E46" s="11">
        <v>336</v>
      </c>
      <c r="F46" s="11">
        <v>4</v>
      </c>
      <c r="G46" s="13">
        <v>6</v>
      </c>
      <c r="H46" s="13">
        <v>81588</v>
      </c>
      <c r="I46" s="11" t="s">
        <v>17</v>
      </c>
      <c r="J46" s="13">
        <v>87330205</v>
      </c>
      <c r="K46" s="13" t="s">
        <v>69</v>
      </c>
      <c r="L46" s="13" t="s">
        <v>70</v>
      </c>
      <c r="M46" s="17">
        <v>139900</v>
      </c>
      <c r="N46" s="15">
        <v>0.75</v>
      </c>
      <c r="O46" s="16">
        <f t="shared" si="0"/>
        <v>34975</v>
      </c>
      <c r="P46" s="11" t="s">
        <v>20</v>
      </c>
    </row>
    <row r="47" spans="1:16" x14ac:dyDescent="0.25">
      <c r="A47" s="9" t="str">
        <f t="shared" si="3"/>
        <v>2024 ALL D75</v>
      </c>
      <c r="B47" s="10">
        <f>'[1]2019 ALL D95'!B47</f>
        <v>46104</v>
      </c>
      <c r="C47" s="10">
        <f>'[1]2019 ALL D95'!C47</f>
        <v>46113</v>
      </c>
      <c r="D47" s="11">
        <v>3273</v>
      </c>
      <c r="E47" s="11">
        <v>336</v>
      </c>
      <c r="F47" s="11">
        <v>4</v>
      </c>
      <c r="G47" s="13">
        <v>6</v>
      </c>
      <c r="H47" s="13">
        <v>81588</v>
      </c>
      <c r="I47" s="11" t="s">
        <v>17</v>
      </c>
      <c r="J47" s="13">
        <v>87330214</v>
      </c>
      <c r="K47" s="13" t="s">
        <v>69</v>
      </c>
      <c r="L47" s="13" t="s">
        <v>71</v>
      </c>
      <c r="M47" s="17">
        <v>139900</v>
      </c>
      <c r="N47" s="15">
        <v>0.75</v>
      </c>
      <c r="O47" s="16">
        <f t="shared" si="0"/>
        <v>34975</v>
      </c>
      <c r="P47" s="11" t="s">
        <v>20</v>
      </c>
    </row>
    <row r="48" spans="1:16" x14ac:dyDescent="0.25">
      <c r="A48" s="9" t="str">
        <f t="shared" si="3"/>
        <v>2024 ALL D75</v>
      </c>
      <c r="B48" s="10">
        <f>'[1]2019 ALL D95'!B48</f>
        <v>46104</v>
      </c>
      <c r="C48" s="10">
        <f>'[1]2019 ALL D95'!C48</f>
        <v>46113</v>
      </c>
      <c r="D48" s="11">
        <v>3273</v>
      </c>
      <c r="E48" s="11">
        <v>336</v>
      </c>
      <c r="F48" s="11">
        <v>4</v>
      </c>
      <c r="G48" s="13">
        <v>6</v>
      </c>
      <c r="H48" s="13">
        <v>81588</v>
      </c>
      <c r="I48" s="11" t="s">
        <v>17</v>
      </c>
      <c r="J48" s="13">
        <v>87330223</v>
      </c>
      <c r="K48" s="13" t="s">
        <v>69</v>
      </c>
      <c r="L48" s="13" t="s">
        <v>72</v>
      </c>
      <c r="M48" s="17">
        <v>139900</v>
      </c>
      <c r="N48" s="15">
        <v>0.75</v>
      </c>
      <c r="O48" s="16">
        <f t="shared" si="0"/>
        <v>34975</v>
      </c>
      <c r="P48" s="11" t="s">
        <v>20</v>
      </c>
    </row>
    <row r="49" spans="1:16" x14ac:dyDescent="0.25">
      <c r="A49" s="9" t="str">
        <f t="shared" si="3"/>
        <v>2024 ALL D75</v>
      </c>
      <c r="B49" s="10">
        <f>'[1]2019 ALL D95'!B49</f>
        <v>46104</v>
      </c>
      <c r="C49" s="10">
        <f>'[1]2019 ALL D95'!C49</f>
        <v>46113</v>
      </c>
      <c r="D49" s="11">
        <v>3273</v>
      </c>
      <c r="E49" s="11">
        <v>336</v>
      </c>
      <c r="F49" s="11">
        <v>4</v>
      </c>
      <c r="G49" s="13">
        <v>6</v>
      </c>
      <c r="H49" s="13">
        <v>81588</v>
      </c>
      <c r="I49" s="11" t="s">
        <v>17</v>
      </c>
      <c r="J49" s="13">
        <v>87330232</v>
      </c>
      <c r="K49" s="13" t="s">
        <v>69</v>
      </c>
      <c r="L49" s="13" t="s">
        <v>73</v>
      </c>
      <c r="M49" s="17">
        <v>139900</v>
      </c>
      <c r="N49" s="15">
        <v>0.75</v>
      </c>
      <c r="O49" s="16">
        <f t="shared" si="0"/>
        <v>34975</v>
      </c>
      <c r="P49" s="11" t="s">
        <v>20</v>
      </c>
    </row>
    <row r="50" spans="1:16" x14ac:dyDescent="0.25">
      <c r="A50" s="9" t="str">
        <f t="shared" si="3"/>
        <v>2024 ALL D75</v>
      </c>
      <c r="B50" s="10">
        <f>'[1]2019 ALL D95'!B50</f>
        <v>46104</v>
      </c>
      <c r="C50" s="10">
        <f>'[1]2019 ALL D95'!C50</f>
        <v>46113</v>
      </c>
      <c r="D50" s="11">
        <v>3273</v>
      </c>
      <c r="E50" s="11">
        <v>336</v>
      </c>
      <c r="F50" s="11">
        <v>4</v>
      </c>
      <c r="G50" s="13">
        <v>6</v>
      </c>
      <c r="H50" s="13">
        <v>81588</v>
      </c>
      <c r="I50" s="11" t="s">
        <v>17</v>
      </c>
      <c r="J50" s="13">
        <v>87330241</v>
      </c>
      <c r="K50" s="13" t="s">
        <v>69</v>
      </c>
      <c r="L50" s="13" t="s">
        <v>74</v>
      </c>
      <c r="M50" s="17">
        <v>139900</v>
      </c>
      <c r="N50" s="15">
        <v>0.75</v>
      </c>
      <c r="O50" s="16">
        <f t="shared" si="0"/>
        <v>34975</v>
      </c>
      <c r="P50" s="11" t="s">
        <v>20</v>
      </c>
    </row>
    <row r="51" spans="1:16" x14ac:dyDescent="0.25">
      <c r="A51" s="9" t="str">
        <f t="shared" ref="A51:A66" si="4">A50</f>
        <v>2024 ALL D75</v>
      </c>
      <c r="B51" s="10">
        <f>'[1]2019 ALL D95'!B51</f>
        <v>46104</v>
      </c>
      <c r="C51" s="10">
        <f>'[1]2019 ALL D95'!C51</f>
        <v>46113</v>
      </c>
      <c r="D51" s="11">
        <v>3273</v>
      </c>
      <c r="E51" s="11">
        <v>336</v>
      </c>
      <c r="F51" s="11">
        <v>4</v>
      </c>
      <c r="G51" s="13">
        <v>6</v>
      </c>
      <c r="H51" s="13">
        <v>81588</v>
      </c>
      <c r="I51" s="11" t="s">
        <v>17</v>
      </c>
      <c r="J51" s="13">
        <v>87330250</v>
      </c>
      <c r="K51" s="13" t="s">
        <v>69</v>
      </c>
      <c r="L51" s="13" t="s">
        <v>75</v>
      </c>
      <c r="M51" s="17">
        <v>139900</v>
      </c>
      <c r="N51" s="15">
        <v>0.75</v>
      </c>
      <c r="O51" s="16">
        <f t="shared" si="0"/>
        <v>34975</v>
      </c>
      <c r="P51" s="11" t="s">
        <v>20</v>
      </c>
    </row>
    <row r="52" spans="1:16" x14ac:dyDescent="0.25">
      <c r="A52" s="9" t="str">
        <f t="shared" si="4"/>
        <v>2024 ALL D75</v>
      </c>
      <c r="B52" s="10">
        <f>'[1]2019 ALL D95'!B52</f>
        <v>46104</v>
      </c>
      <c r="C52" s="10">
        <f>'[1]2019 ALL D95'!C52</f>
        <v>46113</v>
      </c>
      <c r="D52" s="11">
        <v>3273</v>
      </c>
      <c r="E52" s="11">
        <v>336</v>
      </c>
      <c r="F52" s="11">
        <v>4</v>
      </c>
      <c r="G52" s="13">
        <v>6</v>
      </c>
      <c r="H52" s="13">
        <v>81588</v>
      </c>
      <c r="I52" s="11" t="s">
        <v>17</v>
      </c>
      <c r="J52" s="13">
        <v>87330269</v>
      </c>
      <c r="K52" s="13" t="s">
        <v>69</v>
      </c>
      <c r="L52" s="13" t="s">
        <v>76</v>
      </c>
      <c r="M52" s="17">
        <v>139900</v>
      </c>
      <c r="N52" s="15">
        <v>0.75</v>
      </c>
      <c r="O52" s="16">
        <f t="shared" si="0"/>
        <v>34975</v>
      </c>
      <c r="P52" s="11" t="s">
        <v>20</v>
      </c>
    </row>
    <row r="53" spans="1:16" x14ac:dyDescent="0.25">
      <c r="A53" s="9" t="str">
        <f t="shared" si="4"/>
        <v>2024 ALL D75</v>
      </c>
      <c r="B53" s="10">
        <f>'[1]2019 ALL D95'!B53</f>
        <v>46104</v>
      </c>
      <c r="C53" s="10">
        <f>'[1]2019 ALL D95'!C53</f>
        <v>46113</v>
      </c>
      <c r="D53" s="11">
        <v>3273</v>
      </c>
      <c r="E53" s="11">
        <v>336</v>
      </c>
      <c r="F53" s="11">
        <v>4</v>
      </c>
      <c r="G53" s="13">
        <v>6</v>
      </c>
      <c r="H53" s="13">
        <v>81588</v>
      </c>
      <c r="I53" s="11" t="s">
        <v>17</v>
      </c>
      <c r="J53" s="13">
        <v>87330278</v>
      </c>
      <c r="K53" s="13" t="s">
        <v>69</v>
      </c>
      <c r="L53" s="13" t="s">
        <v>77</v>
      </c>
      <c r="M53" s="17">
        <v>139900</v>
      </c>
      <c r="N53" s="15">
        <v>0.75</v>
      </c>
      <c r="O53" s="16">
        <f t="shared" si="0"/>
        <v>34975</v>
      </c>
      <c r="P53" s="11" t="s">
        <v>20</v>
      </c>
    </row>
    <row r="54" spans="1:16" x14ac:dyDescent="0.25">
      <c r="A54" s="9" t="str">
        <f t="shared" si="4"/>
        <v>2024 ALL D75</v>
      </c>
      <c r="B54" s="10">
        <f>'[1]2019 ALL D95'!B54</f>
        <v>46104</v>
      </c>
      <c r="C54" s="10">
        <f>'[1]2019 ALL D95'!C54</f>
        <v>46113</v>
      </c>
      <c r="D54" s="11">
        <v>3273</v>
      </c>
      <c r="E54" s="11">
        <v>336</v>
      </c>
      <c r="F54" s="11">
        <v>4</v>
      </c>
      <c r="G54" s="13">
        <v>6</v>
      </c>
      <c r="H54" s="13">
        <v>81588</v>
      </c>
      <c r="I54" s="11" t="s">
        <v>17</v>
      </c>
      <c r="J54" s="13">
        <v>15638321</v>
      </c>
      <c r="K54" s="13" t="s">
        <v>78</v>
      </c>
      <c r="L54" s="13" t="s">
        <v>79</v>
      </c>
      <c r="M54" s="17">
        <v>149900</v>
      </c>
      <c r="N54" s="15">
        <v>0.75</v>
      </c>
      <c r="O54" s="16">
        <f t="shared" si="0"/>
        <v>37475</v>
      </c>
      <c r="P54" s="11" t="s">
        <v>20</v>
      </c>
    </row>
    <row r="55" spans="1:16" x14ac:dyDescent="0.25">
      <c r="A55" s="9" t="str">
        <f t="shared" si="4"/>
        <v>2024 ALL D75</v>
      </c>
      <c r="B55" s="10">
        <f>'[1]2019 ALL D95'!B55</f>
        <v>46104</v>
      </c>
      <c r="C55" s="10">
        <f>'[1]2019 ALL D95'!C55</f>
        <v>46113</v>
      </c>
      <c r="D55" s="11">
        <v>3273</v>
      </c>
      <c r="E55" s="11">
        <v>336</v>
      </c>
      <c r="F55" s="11">
        <v>4</v>
      </c>
      <c r="G55" s="13">
        <v>6</v>
      </c>
      <c r="H55" s="13">
        <v>81588</v>
      </c>
      <c r="I55" s="11" t="s">
        <v>17</v>
      </c>
      <c r="J55" s="13">
        <v>15638330</v>
      </c>
      <c r="K55" s="13" t="s">
        <v>78</v>
      </c>
      <c r="L55" s="13" t="s">
        <v>80</v>
      </c>
      <c r="M55" s="17">
        <v>149900</v>
      </c>
      <c r="N55" s="15">
        <v>0.75</v>
      </c>
      <c r="O55" s="16">
        <f t="shared" si="0"/>
        <v>37475</v>
      </c>
      <c r="P55" s="11" t="s">
        <v>20</v>
      </c>
    </row>
    <row r="56" spans="1:16" x14ac:dyDescent="0.25">
      <c r="A56" s="9" t="str">
        <f t="shared" si="4"/>
        <v>2024 ALL D75</v>
      </c>
      <c r="B56" s="10">
        <f>'[1]2019 ALL D95'!B56</f>
        <v>46104</v>
      </c>
      <c r="C56" s="10">
        <f>'[1]2019 ALL D95'!C56</f>
        <v>46113</v>
      </c>
      <c r="D56" s="11">
        <v>3273</v>
      </c>
      <c r="E56" s="11">
        <v>336</v>
      </c>
      <c r="F56" s="11">
        <v>4</v>
      </c>
      <c r="G56" s="13">
        <v>6</v>
      </c>
      <c r="H56" s="13">
        <v>81588</v>
      </c>
      <c r="I56" s="11" t="s">
        <v>17</v>
      </c>
      <c r="J56" s="13">
        <v>15638349</v>
      </c>
      <c r="K56" s="13" t="s">
        <v>78</v>
      </c>
      <c r="L56" s="13" t="s">
        <v>81</v>
      </c>
      <c r="M56" s="17">
        <v>149900</v>
      </c>
      <c r="N56" s="15">
        <v>0.75</v>
      </c>
      <c r="O56" s="16">
        <f t="shared" si="0"/>
        <v>37475</v>
      </c>
      <c r="P56" s="11" t="s">
        <v>20</v>
      </c>
    </row>
    <row r="57" spans="1:16" x14ac:dyDescent="0.25">
      <c r="A57" s="9" t="str">
        <f t="shared" si="4"/>
        <v>2024 ALL D75</v>
      </c>
      <c r="B57" s="10">
        <f>'[1]2019 ALL D95'!B57</f>
        <v>46104</v>
      </c>
      <c r="C57" s="10">
        <f>'[1]2019 ALL D95'!C57</f>
        <v>46113</v>
      </c>
      <c r="D57" s="11">
        <v>3273</v>
      </c>
      <c r="E57" s="11">
        <v>336</v>
      </c>
      <c r="F57" s="11">
        <v>4</v>
      </c>
      <c r="G57" s="13">
        <v>6</v>
      </c>
      <c r="H57" s="13">
        <v>81588</v>
      </c>
      <c r="I57" s="11" t="s">
        <v>17</v>
      </c>
      <c r="J57" s="13">
        <v>15638358</v>
      </c>
      <c r="K57" s="13" t="s">
        <v>78</v>
      </c>
      <c r="L57" s="13" t="s">
        <v>82</v>
      </c>
      <c r="M57" s="17">
        <v>149900</v>
      </c>
      <c r="N57" s="15">
        <v>0.75</v>
      </c>
      <c r="O57" s="16">
        <f t="shared" si="0"/>
        <v>37475</v>
      </c>
      <c r="P57" s="11" t="s">
        <v>20</v>
      </c>
    </row>
    <row r="58" spans="1:16" x14ac:dyDescent="0.25">
      <c r="A58" s="9" t="str">
        <f t="shared" si="4"/>
        <v>2024 ALL D75</v>
      </c>
      <c r="B58" s="10">
        <f>'[1]2019 ALL D95'!B58</f>
        <v>46104</v>
      </c>
      <c r="C58" s="10">
        <f>'[1]2019 ALL D95'!C58</f>
        <v>46113</v>
      </c>
      <c r="D58" s="11">
        <v>3273</v>
      </c>
      <c r="E58" s="11">
        <v>336</v>
      </c>
      <c r="F58" s="11">
        <v>4</v>
      </c>
      <c r="G58" s="13">
        <v>6</v>
      </c>
      <c r="H58" s="13">
        <v>81588</v>
      </c>
      <c r="I58" s="11" t="s">
        <v>17</v>
      </c>
      <c r="J58" s="13">
        <v>15638367</v>
      </c>
      <c r="K58" s="13" t="s">
        <v>78</v>
      </c>
      <c r="L58" s="13" t="s">
        <v>83</v>
      </c>
      <c r="M58" s="17">
        <v>149900</v>
      </c>
      <c r="N58" s="15">
        <v>0.75</v>
      </c>
      <c r="O58" s="16">
        <f t="shared" si="0"/>
        <v>37475</v>
      </c>
      <c r="P58" s="11" t="s">
        <v>20</v>
      </c>
    </row>
    <row r="59" spans="1:16" x14ac:dyDescent="0.25">
      <c r="A59" s="9" t="str">
        <f t="shared" si="4"/>
        <v>2024 ALL D75</v>
      </c>
      <c r="B59" s="10">
        <f>'[1]2019 ALL D95'!B59</f>
        <v>46104</v>
      </c>
      <c r="C59" s="10">
        <f>'[1]2019 ALL D95'!C59</f>
        <v>46113</v>
      </c>
      <c r="D59" s="11">
        <v>3273</v>
      </c>
      <c r="E59" s="11">
        <v>336</v>
      </c>
      <c r="F59" s="11">
        <v>4</v>
      </c>
      <c r="G59" s="13">
        <v>6</v>
      </c>
      <c r="H59" s="13">
        <v>81588</v>
      </c>
      <c r="I59" s="11" t="s">
        <v>17</v>
      </c>
      <c r="J59" s="13">
        <v>15638376</v>
      </c>
      <c r="K59" s="13" t="s">
        <v>78</v>
      </c>
      <c r="L59" s="13" t="s">
        <v>84</v>
      </c>
      <c r="M59" s="17">
        <v>149900</v>
      </c>
      <c r="N59" s="15">
        <v>0.75</v>
      </c>
      <c r="O59" s="16">
        <f t="shared" si="0"/>
        <v>37475</v>
      </c>
      <c r="P59" s="11" t="s">
        <v>20</v>
      </c>
    </row>
    <row r="60" spans="1:16" x14ac:dyDescent="0.25">
      <c r="A60" s="9" t="str">
        <f t="shared" si="4"/>
        <v>2024 ALL D75</v>
      </c>
      <c r="B60" s="10">
        <f>'[1]2019 ALL D95'!B60</f>
        <v>46104</v>
      </c>
      <c r="C60" s="10">
        <f>'[1]2019 ALL D95'!C60</f>
        <v>46113</v>
      </c>
      <c r="D60" s="11">
        <v>3273</v>
      </c>
      <c r="E60" s="11">
        <v>336</v>
      </c>
      <c r="F60" s="11">
        <v>4</v>
      </c>
      <c r="G60" s="13">
        <v>6</v>
      </c>
      <c r="H60" s="13">
        <v>81588</v>
      </c>
      <c r="I60" s="11" t="s">
        <v>17</v>
      </c>
      <c r="J60" s="13">
        <v>15638385</v>
      </c>
      <c r="K60" s="13" t="s">
        <v>78</v>
      </c>
      <c r="L60" s="13" t="s">
        <v>85</v>
      </c>
      <c r="M60" s="17">
        <v>149900</v>
      </c>
      <c r="N60" s="15">
        <v>0.75</v>
      </c>
      <c r="O60" s="16">
        <f t="shared" si="0"/>
        <v>37475</v>
      </c>
      <c r="P60" s="11" t="s">
        <v>20</v>
      </c>
    </row>
    <row r="61" spans="1:16" x14ac:dyDescent="0.25">
      <c r="A61" s="9" t="str">
        <f t="shared" si="4"/>
        <v>2024 ALL D75</v>
      </c>
      <c r="B61" s="10">
        <f>'[1]2019 ALL D95'!B61</f>
        <v>46104</v>
      </c>
      <c r="C61" s="10">
        <f>'[1]2019 ALL D95'!C61</f>
        <v>46113</v>
      </c>
      <c r="D61" s="11">
        <v>3273</v>
      </c>
      <c r="E61" s="11">
        <v>336</v>
      </c>
      <c r="F61" s="11">
        <v>4</v>
      </c>
      <c r="G61" s="13">
        <v>6</v>
      </c>
      <c r="H61" s="13">
        <v>81588</v>
      </c>
      <c r="I61" s="11" t="s">
        <v>17</v>
      </c>
      <c r="J61" s="13">
        <v>15638394</v>
      </c>
      <c r="K61" s="13" t="s">
        <v>78</v>
      </c>
      <c r="L61" s="13" t="s">
        <v>86</v>
      </c>
      <c r="M61" s="17">
        <v>149900</v>
      </c>
      <c r="N61" s="15">
        <v>0.75</v>
      </c>
      <c r="O61" s="16">
        <f t="shared" si="0"/>
        <v>37475</v>
      </c>
      <c r="P61" s="11" t="s">
        <v>20</v>
      </c>
    </row>
    <row r="62" spans="1:16" x14ac:dyDescent="0.25">
      <c r="A62" s="9" t="str">
        <f t="shared" si="4"/>
        <v>2024 ALL D75</v>
      </c>
      <c r="B62" s="10">
        <f>'[1]2019 ALL D95'!B62</f>
        <v>46104</v>
      </c>
      <c r="C62" s="10">
        <f>'[1]2019 ALL D95'!C62</f>
        <v>46113</v>
      </c>
      <c r="D62" s="11">
        <v>3273</v>
      </c>
      <c r="E62" s="11">
        <v>336</v>
      </c>
      <c r="F62" s="11">
        <v>4</v>
      </c>
      <c r="G62" s="13">
        <v>6</v>
      </c>
      <c r="H62" s="13">
        <v>81588</v>
      </c>
      <c r="I62" s="11" t="s">
        <v>17</v>
      </c>
      <c r="J62" s="13">
        <v>15638401</v>
      </c>
      <c r="K62" s="13" t="s">
        <v>87</v>
      </c>
      <c r="L62" s="13" t="s">
        <v>88</v>
      </c>
      <c r="M62" s="17">
        <v>149900</v>
      </c>
      <c r="N62" s="15">
        <v>0.75</v>
      </c>
      <c r="O62" s="16">
        <f t="shared" si="0"/>
        <v>37475</v>
      </c>
      <c r="P62" s="11" t="s">
        <v>20</v>
      </c>
    </row>
    <row r="63" spans="1:16" x14ac:dyDescent="0.25">
      <c r="A63" s="9" t="str">
        <f t="shared" si="4"/>
        <v>2024 ALL D75</v>
      </c>
      <c r="B63" s="10">
        <f>'[1]2019 ALL D95'!B63</f>
        <v>46104</v>
      </c>
      <c r="C63" s="10">
        <f>'[1]2019 ALL D95'!C63</f>
        <v>46113</v>
      </c>
      <c r="D63" s="11">
        <v>3273</v>
      </c>
      <c r="E63" s="11">
        <v>336</v>
      </c>
      <c r="F63" s="11">
        <v>4</v>
      </c>
      <c r="G63" s="13">
        <v>6</v>
      </c>
      <c r="H63" s="13">
        <v>81588</v>
      </c>
      <c r="I63" s="11" t="s">
        <v>17</v>
      </c>
      <c r="J63" s="13">
        <v>15638410</v>
      </c>
      <c r="K63" s="13" t="s">
        <v>87</v>
      </c>
      <c r="L63" s="13" t="s">
        <v>89</v>
      </c>
      <c r="M63" s="17">
        <v>149900</v>
      </c>
      <c r="N63" s="15">
        <v>0.75</v>
      </c>
      <c r="O63" s="16">
        <f t="shared" si="0"/>
        <v>37475</v>
      </c>
      <c r="P63" s="11" t="s">
        <v>20</v>
      </c>
    </row>
    <row r="64" spans="1:16" x14ac:dyDescent="0.25">
      <c r="A64" s="9" t="str">
        <f t="shared" si="4"/>
        <v>2024 ALL D75</v>
      </c>
      <c r="B64" s="10">
        <f>'[1]2019 ALL D95'!B64</f>
        <v>46104</v>
      </c>
      <c r="C64" s="10">
        <f>'[1]2019 ALL D95'!C64</f>
        <v>46113</v>
      </c>
      <c r="D64" s="11">
        <v>3273</v>
      </c>
      <c r="E64" s="11">
        <v>336</v>
      </c>
      <c r="F64" s="11">
        <v>4</v>
      </c>
      <c r="G64" s="13">
        <v>6</v>
      </c>
      <c r="H64" s="13">
        <v>81588</v>
      </c>
      <c r="I64" s="11" t="s">
        <v>17</v>
      </c>
      <c r="J64" s="13">
        <v>15638429</v>
      </c>
      <c r="K64" s="13" t="s">
        <v>87</v>
      </c>
      <c r="L64" s="13" t="s">
        <v>90</v>
      </c>
      <c r="M64" s="17">
        <v>149900</v>
      </c>
      <c r="N64" s="15">
        <v>0.75</v>
      </c>
      <c r="O64" s="16">
        <f t="shared" si="0"/>
        <v>37475</v>
      </c>
      <c r="P64" s="11" t="s">
        <v>20</v>
      </c>
    </row>
    <row r="65" spans="1:16" x14ac:dyDescent="0.25">
      <c r="A65" s="9" t="str">
        <f t="shared" si="4"/>
        <v>2024 ALL D75</v>
      </c>
      <c r="B65" s="10">
        <f>'[1]2019 ALL D95'!B65</f>
        <v>46104</v>
      </c>
      <c r="C65" s="10">
        <f>'[1]2019 ALL D95'!C65</f>
        <v>46113</v>
      </c>
      <c r="D65" s="11">
        <v>3273</v>
      </c>
      <c r="E65" s="11">
        <v>336</v>
      </c>
      <c r="F65" s="11">
        <v>4</v>
      </c>
      <c r="G65" s="13">
        <v>6</v>
      </c>
      <c r="H65" s="13">
        <v>81588</v>
      </c>
      <c r="I65" s="11" t="s">
        <v>17</v>
      </c>
      <c r="J65" s="13">
        <v>15638438</v>
      </c>
      <c r="K65" s="13" t="s">
        <v>87</v>
      </c>
      <c r="L65" s="13" t="s">
        <v>91</v>
      </c>
      <c r="M65" s="17">
        <v>149900</v>
      </c>
      <c r="N65" s="15">
        <v>0.75</v>
      </c>
      <c r="O65" s="16">
        <f t="shared" si="0"/>
        <v>37475</v>
      </c>
      <c r="P65" s="11" t="s">
        <v>20</v>
      </c>
    </row>
    <row r="66" spans="1:16" x14ac:dyDescent="0.25">
      <c r="A66" s="9" t="str">
        <f t="shared" si="4"/>
        <v>2024 ALL D75</v>
      </c>
      <c r="B66" s="10">
        <f>'[1]2019 ALL D95'!B66</f>
        <v>46104</v>
      </c>
      <c r="C66" s="10">
        <f>'[1]2019 ALL D95'!C66</f>
        <v>46113</v>
      </c>
      <c r="D66" s="11">
        <v>3273</v>
      </c>
      <c r="E66" s="11">
        <v>336</v>
      </c>
      <c r="F66" s="11">
        <v>4</v>
      </c>
      <c r="G66" s="13">
        <v>6</v>
      </c>
      <c r="H66" s="13">
        <v>81588</v>
      </c>
      <c r="I66" s="11" t="s">
        <v>17</v>
      </c>
      <c r="J66" s="13">
        <v>15638447</v>
      </c>
      <c r="K66" s="13" t="s">
        <v>87</v>
      </c>
      <c r="L66" s="13" t="s">
        <v>92</v>
      </c>
      <c r="M66" s="17">
        <v>149900</v>
      </c>
      <c r="N66" s="15">
        <v>0.75</v>
      </c>
      <c r="O66" s="16">
        <f t="shared" ref="O66:O129" si="5">M66*(1-N66)</f>
        <v>37475</v>
      </c>
      <c r="P66" s="11" t="s">
        <v>20</v>
      </c>
    </row>
    <row r="67" spans="1:16" x14ac:dyDescent="0.25">
      <c r="A67" s="9" t="str">
        <f t="shared" ref="A67:A82" si="6">A66</f>
        <v>2024 ALL D75</v>
      </c>
      <c r="B67" s="10">
        <f>'[1]2019 ALL D95'!B67</f>
        <v>46104</v>
      </c>
      <c r="C67" s="10">
        <f>'[1]2019 ALL D95'!C67</f>
        <v>46113</v>
      </c>
      <c r="D67" s="11">
        <v>3273</v>
      </c>
      <c r="E67" s="11">
        <v>336</v>
      </c>
      <c r="F67" s="11">
        <v>4</v>
      </c>
      <c r="G67" s="13">
        <v>6</v>
      </c>
      <c r="H67" s="13">
        <v>81588</v>
      </c>
      <c r="I67" s="11" t="s">
        <v>17</v>
      </c>
      <c r="J67" s="13">
        <v>15638456</v>
      </c>
      <c r="K67" s="13" t="s">
        <v>87</v>
      </c>
      <c r="L67" s="13" t="s">
        <v>93</v>
      </c>
      <c r="M67" s="17">
        <v>149900</v>
      </c>
      <c r="N67" s="15">
        <v>0.75</v>
      </c>
      <c r="O67" s="16">
        <f t="shared" si="5"/>
        <v>37475</v>
      </c>
      <c r="P67" s="11" t="s">
        <v>20</v>
      </c>
    </row>
    <row r="68" spans="1:16" x14ac:dyDescent="0.25">
      <c r="A68" s="9" t="str">
        <f t="shared" si="6"/>
        <v>2024 ALL D75</v>
      </c>
      <c r="B68" s="10">
        <f>'[1]2019 ALL D95'!B68</f>
        <v>46104</v>
      </c>
      <c r="C68" s="10">
        <f>'[1]2019 ALL D95'!C68</f>
        <v>46113</v>
      </c>
      <c r="D68" s="11">
        <v>3273</v>
      </c>
      <c r="E68" s="11">
        <v>336</v>
      </c>
      <c r="F68" s="11">
        <v>4</v>
      </c>
      <c r="G68" s="13">
        <v>6</v>
      </c>
      <c r="H68" s="13">
        <v>81588</v>
      </c>
      <c r="I68" s="11" t="s">
        <v>17</v>
      </c>
      <c r="J68" s="13">
        <v>15638465</v>
      </c>
      <c r="K68" s="13" t="s">
        <v>87</v>
      </c>
      <c r="L68" s="13" t="s">
        <v>94</v>
      </c>
      <c r="M68" s="17">
        <v>149900</v>
      </c>
      <c r="N68" s="15">
        <v>0.75</v>
      </c>
      <c r="O68" s="16">
        <f t="shared" si="5"/>
        <v>37475</v>
      </c>
      <c r="P68" s="11" t="s">
        <v>20</v>
      </c>
    </row>
    <row r="69" spans="1:16" x14ac:dyDescent="0.25">
      <c r="A69" s="9" t="str">
        <f t="shared" si="6"/>
        <v>2024 ALL D75</v>
      </c>
      <c r="B69" s="10">
        <f>'[1]2019 ALL D95'!B69</f>
        <v>46104</v>
      </c>
      <c r="C69" s="10">
        <f>'[1]2019 ALL D95'!C69</f>
        <v>46113</v>
      </c>
      <c r="D69" s="11">
        <v>3273</v>
      </c>
      <c r="E69" s="11">
        <v>336</v>
      </c>
      <c r="F69" s="11">
        <v>4</v>
      </c>
      <c r="G69" s="13">
        <v>6</v>
      </c>
      <c r="H69" s="13">
        <v>81588</v>
      </c>
      <c r="I69" s="11" t="s">
        <v>17</v>
      </c>
      <c r="J69" s="13">
        <v>15638474</v>
      </c>
      <c r="K69" s="13" t="s">
        <v>87</v>
      </c>
      <c r="L69" s="13" t="s">
        <v>95</v>
      </c>
      <c r="M69" s="17">
        <v>149900</v>
      </c>
      <c r="N69" s="15">
        <v>0.75</v>
      </c>
      <c r="O69" s="16">
        <f t="shared" si="5"/>
        <v>37475</v>
      </c>
      <c r="P69" s="11" t="s">
        <v>20</v>
      </c>
    </row>
    <row r="70" spans="1:16" x14ac:dyDescent="0.25">
      <c r="A70" s="9" t="str">
        <f t="shared" si="6"/>
        <v>2024 ALL D75</v>
      </c>
      <c r="B70" s="10">
        <f>'[1]2019 ALL D95'!B70</f>
        <v>46104</v>
      </c>
      <c r="C70" s="10">
        <f>'[1]2019 ALL D95'!C70</f>
        <v>46113</v>
      </c>
      <c r="D70" s="11">
        <v>3273</v>
      </c>
      <c r="E70" s="11">
        <v>336</v>
      </c>
      <c r="F70" s="11">
        <v>4</v>
      </c>
      <c r="G70" s="13">
        <v>6</v>
      </c>
      <c r="H70" s="13">
        <v>81588</v>
      </c>
      <c r="I70" s="11" t="s">
        <v>17</v>
      </c>
      <c r="J70" s="13">
        <v>15639419</v>
      </c>
      <c r="K70" s="13" t="s">
        <v>96</v>
      </c>
      <c r="L70" s="13" t="s">
        <v>97</v>
      </c>
      <c r="M70" s="17">
        <v>149900</v>
      </c>
      <c r="N70" s="15">
        <v>0.75</v>
      </c>
      <c r="O70" s="16">
        <f t="shared" si="5"/>
        <v>37475</v>
      </c>
      <c r="P70" s="11" t="s">
        <v>20</v>
      </c>
    </row>
    <row r="71" spans="1:16" x14ac:dyDescent="0.25">
      <c r="A71" s="9" t="str">
        <f t="shared" si="6"/>
        <v>2024 ALL D75</v>
      </c>
      <c r="B71" s="10">
        <f>'[1]2019 ALL D95'!B71</f>
        <v>46104</v>
      </c>
      <c r="C71" s="10">
        <f>'[1]2019 ALL D95'!C71</f>
        <v>46113</v>
      </c>
      <c r="D71" s="11">
        <v>3273</v>
      </c>
      <c r="E71" s="11">
        <v>336</v>
      </c>
      <c r="F71" s="11">
        <v>4</v>
      </c>
      <c r="G71" s="13">
        <v>6</v>
      </c>
      <c r="H71" s="13">
        <v>81588</v>
      </c>
      <c r="I71" s="11" t="s">
        <v>17</v>
      </c>
      <c r="J71" s="13">
        <v>15639428</v>
      </c>
      <c r="K71" s="13" t="s">
        <v>96</v>
      </c>
      <c r="L71" s="13" t="s">
        <v>98</v>
      </c>
      <c r="M71" s="17">
        <v>149900</v>
      </c>
      <c r="N71" s="15">
        <v>0.75</v>
      </c>
      <c r="O71" s="16">
        <f t="shared" si="5"/>
        <v>37475</v>
      </c>
      <c r="P71" s="11" t="s">
        <v>20</v>
      </c>
    </row>
    <row r="72" spans="1:16" x14ac:dyDescent="0.25">
      <c r="A72" s="9" t="str">
        <f t="shared" si="6"/>
        <v>2024 ALL D75</v>
      </c>
      <c r="B72" s="10">
        <f>'[1]2019 ALL D95'!B72</f>
        <v>46104</v>
      </c>
      <c r="C72" s="10">
        <f>'[1]2019 ALL D95'!C72</f>
        <v>46113</v>
      </c>
      <c r="D72" s="11">
        <v>3273</v>
      </c>
      <c r="E72" s="11">
        <v>336</v>
      </c>
      <c r="F72" s="11">
        <v>4</v>
      </c>
      <c r="G72" s="13">
        <v>6</v>
      </c>
      <c r="H72" s="13">
        <v>81588</v>
      </c>
      <c r="I72" s="11" t="s">
        <v>17</v>
      </c>
      <c r="J72" s="13">
        <v>15639437</v>
      </c>
      <c r="K72" s="13" t="s">
        <v>96</v>
      </c>
      <c r="L72" s="13" t="s">
        <v>99</v>
      </c>
      <c r="M72" s="17">
        <v>149900</v>
      </c>
      <c r="N72" s="15">
        <v>0.75</v>
      </c>
      <c r="O72" s="16">
        <f t="shared" si="5"/>
        <v>37475</v>
      </c>
      <c r="P72" s="11" t="s">
        <v>20</v>
      </c>
    </row>
    <row r="73" spans="1:16" x14ac:dyDescent="0.25">
      <c r="A73" s="9" t="str">
        <f t="shared" si="6"/>
        <v>2024 ALL D75</v>
      </c>
      <c r="B73" s="10">
        <f>'[1]2019 ALL D95'!B73</f>
        <v>46104</v>
      </c>
      <c r="C73" s="10">
        <f>'[1]2019 ALL D95'!C73</f>
        <v>46113</v>
      </c>
      <c r="D73" s="11">
        <v>3273</v>
      </c>
      <c r="E73" s="11">
        <v>336</v>
      </c>
      <c r="F73" s="11">
        <v>4</v>
      </c>
      <c r="G73" s="13">
        <v>6</v>
      </c>
      <c r="H73" s="13">
        <v>81588</v>
      </c>
      <c r="I73" s="11" t="s">
        <v>17</v>
      </c>
      <c r="J73" s="13">
        <v>15639446</v>
      </c>
      <c r="K73" s="13" t="s">
        <v>96</v>
      </c>
      <c r="L73" s="13" t="s">
        <v>100</v>
      </c>
      <c r="M73" s="17">
        <v>149900</v>
      </c>
      <c r="N73" s="15">
        <v>0.75</v>
      </c>
      <c r="O73" s="16">
        <f t="shared" si="5"/>
        <v>37475</v>
      </c>
      <c r="P73" s="11" t="s">
        <v>20</v>
      </c>
    </row>
    <row r="74" spans="1:16" x14ac:dyDescent="0.25">
      <c r="A74" s="9" t="str">
        <f t="shared" si="6"/>
        <v>2024 ALL D75</v>
      </c>
      <c r="B74" s="10">
        <f>'[1]2019 ALL D95'!B74</f>
        <v>46104</v>
      </c>
      <c r="C74" s="10">
        <f>'[1]2019 ALL D95'!C74</f>
        <v>46113</v>
      </c>
      <c r="D74" s="11">
        <v>3273</v>
      </c>
      <c r="E74" s="11">
        <v>336</v>
      </c>
      <c r="F74" s="11">
        <v>4</v>
      </c>
      <c r="G74" s="13">
        <v>6</v>
      </c>
      <c r="H74" s="13">
        <v>81588</v>
      </c>
      <c r="I74" s="11" t="s">
        <v>17</v>
      </c>
      <c r="J74" s="13">
        <v>15639455</v>
      </c>
      <c r="K74" s="13" t="s">
        <v>96</v>
      </c>
      <c r="L74" s="13" t="s">
        <v>101</v>
      </c>
      <c r="M74" s="17">
        <v>149900</v>
      </c>
      <c r="N74" s="15">
        <v>0.75</v>
      </c>
      <c r="O74" s="16">
        <f t="shared" si="5"/>
        <v>37475</v>
      </c>
      <c r="P74" s="11" t="s">
        <v>20</v>
      </c>
    </row>
    <row r="75" spans="1:16" x14ac:dyDescent="0.25">
      <c r="A75" s="9" t="str">
        <f t="shared" si="6"/>
        <v>2024 ALL D75</v>
      </c>
      <c r="B75" s="10">
        <f>'[1]2019 ALL D95'!B75</f>
        <v>46104</v>
      </c>
      <c r="C75" s="10">
        <f>'[1]2019 ALL D95'!C75</f>
        <v>46113</v>
      </c>
      <c r="D75" s="11">
        <v>3273</v>
      </c>
      <c r="E75" s="11">
        <v>336</v>
      </c>
      <c r="F75" s="11">
        <v>4</v>
      </c>
      <c r="G75" s="13">
        <v>6</v>
      </c>
      <c r="H75" s="13">
        <v>81588</v>
      </c>
      <c r="I75" s="11" t="s">
        <v>17</v>
      </c>
      <c r="J75" s="13">
        <v>15639464</v>
      </c>
      <c r="K75" s="13" t="s">
        <v>96</v>
      </c>
      <c r="L75" s="13" t="s">
        <v>102</v>
      </c>
      <c r="M75" s="17">
        <v>149900</v>
      </c>
      <c r="N75" s="15">
        <v>0.75</v>
      </c>
      <c r="O75" s="16">
        <f t="shared" si="5"/>
        <v>37475</v>
      </c>
      <c r="P75" s="11" t="s">
        <v>20</v>
      </c>
    </row>
    <row r="76" spans="1:16" x14ac:dyDescent="0.25">
      <c r="A76" s="9" t="str">
        <f t="shared" si="6"/>
        <v>2024 ALL D75</v>
      </c>
      <c r="B76" s="10">
        <f>'[1]2019 ALL D95'!B76</f>
        <v>46104</v>
      </c>
      <c r="C76" s="10">
        <f>'[1]2019 ALL D95'!C76</f>
        <v>46113</v>
      </c>
      <c r="D76" s="11">
        <v>3273</v>
      </c>
      <c r="E76" s="11">
        <v>336</v>
      </c>
      <c r="F76" s="11">
        <v>4</v>
      </c>
      <c r="G76" s="13">
        <v>6</v>
      </c>
      <c r="H76" s="13">
        <v>81588</v>
      </c>
      <c r="I76" s="11" t="s">
        <v>17</v>
      </c>
      <c r="J76" s="13">
        <v>15639473</v>
      </c>
      <c r="K76" s="13" t="s">
        <v>96</v>
      </c>
      <c r="L76" s="13" t="s">
        <v>103</v>
      </c>
      <c r="M76" s="17">
        <v>149900</v>
      </c>
      <c r="N76" s="15">
        <v>0.75</v>
      </c>
      <c r="O76" s="16">
        <f t="shared" si="5"/>
        <v>37475</v>
      </c>
      <c r="P76" s="11" t="s">
        <v>20</v>
      </c>
    </row>
    <row r="77" spans="1:16" x14ac:dyDescent="0.25">
      <c r="A77" s="9" t="str">
        <f t="shared" si="6"/>
        <v>2024 ALL D75</v>
      </c>
      <c r="B77" s="10">
        <f>'[1]2019 ALL D95'!B77</f>
        <v>46104</v>
      </c>
      <c r="C77" s="10">
        <f>'[1]2019 ALL D95'!C77</f>
        <v>46113</v>
      </c>
      <c r="D77" s="11">
        <v>3273</v>
      </c>
      <c r="E77" s="11">
        <v>336</v>
      </c>
      <c r="F77" s="11">
        <v>4</v>
      </c>
      <c r="G77" s="13">
        <v>6</v>
      </c>
      <c r="H77" s="13">
        <v>81588</v>
      </c>
      <c r="I77" s="11" t="s">
        <v>17</v>
      </c>
      <c r="J77" s="13">
        <v>15639482</v>
      </c>
      <c r="K77" s="13" t="s">
        <v>96</v>
      </c>
      <c r="L77" s="13" t="s">
        <v>104</v>
      </c>
      <c r="M77" s="17">
        <v>149900</v>
      </c>
      <c r="N77" s="15">
        <v>0.75</v>
      </c>
      <c r="O77" s="16">
        <f t="shared" si="5"/>
        <v>37475</v>
      </c>
      <c r="P77" s="11" t="s">
        <v>20</v>
      </c>
    </row>
    <row r="78" spans="1:16" x14ac:dyDescent="0.25">
      <c r="A78" s="9" t="str">
        <f t="shared" si="6"/>
        <v>2024 ALL D75</v>
      </c>
      <c r="B78" s="10">
        <f>'[1]2019 ALL D95'!B78</f>
        <v>46104</v>
      </c>
      <c r="C78" s="10">
        <f>'[1]2019 ALL D95'!C78</f>
        <v>46113</v>
      </c>
      <c r="D78" s="11">
        <v>3273</v>
      </c>
      <c r="E78" s="11">
        <v>336</v>
      </c>
      <c r="F78" s="11">
        <v>4</v>
      </c>
      <c r="G78" s="13">
        <v>6</v>
      </c>
      <c r="H78" s="13">
        <v>81588</v>
      </c>
      <c r="I78" s="11" t="s">
        <v>17</v>
      </c>
      <c r="J78" s="13">
        <v>15639491</v>
      </c>
      <c r="K78" s="13" t="s">
        <v>105</v>
      </c>
      <c r="L78" s="13" t="s">
        <v>106</v>
      </c>
      <c r="M78" s="17">
        <v>139900</v>
      </c>
      <c r="N78" s="15">
        <v>0.75</v>
      </c>
      <c r="O78" s="16">
        <f t="shared" si="5"/>
        <v>34975</v>
      </c>
      <c r="P78" s="11" t="s">
        <v>20</v>
      </c>
    </row>
    <row r="79" spans="1:16" x14ac:dyDescent="0.25">
      <c r="A79" s="9" t="str">
        <f t="shared" si="6"/>
        <v>2024 ALL D75</v>
      </c>
      <c r="B79" s="10">
        <f>'[1]2019 ALL D95'!B79</f>
        <v>46104</v>
      </c>
      <c r="C79" s="10">
        <f>'[1]2019 ALL D95'!C79</f>
        <v>46113</v>
      </c>
      <c r="D79" s="11">
        <v>3273</v>
      </c>
      <c r="E79" s="11">
        <v>336</v>
      </c>
      <c r="F79" s="11">
        <v>4</v>
      </c>
      <c r="G79" s="13">
        <v>6</v>
      </c>
      <c r="H79" s="13">
        <v>81588</v>
      </c>
      <c r="I79" s="11" t="s">
        <v>17</v>
      </c>
      <c r="J79" s="13">
        <v>15639508</v>
      </c>
      <c r="K79" s="13" t="s">
        <v>105</v>
      </c>
      <c r="L79" s="13" t="s">
        <v>107</v>
      </c>
      <c r="M79" s="17">
        <v>139900</v>
      </c>
      <c r="N79" s="15">
        <v>0.75</v>
      </c>
      <c r="O79" s="16">
        <f t="shared" si="5"/>
        <v>34975</v>
      </c>
      <c r="P79" s="11" t="s">
        <v>20</v>
      </c>
    </row>
    <row r="80" spans="1:16" x14ac:dyDescent="0.25">
      <c r="A80" s="9" t="str">
        <f t="shared" si="6"/>
        <v>2024 ALL D75</v>
      </c>
      <c r="B80" s="10">
        <f>'[1]2019 ALL D95'!B80</f>
        <v>46104</v>
      </c>
      <c r="C80" s="10">
        <f>'[1]2019 ALL D95'!C80</f>
        <v>46113</v>
      </c>
      <c r="D80" s="11">
        <v>3273</v>
      </c>
      <c r="E80" s="11">
        <v>336</v>
      </c>
      <c r="F80" s="11">
        <v>4</v>
      </c>
      <c r="G80" s="13">
        <v>6</v>
      </c>
      <c r="H80" s="13">
        <v>81588</v>
      </c>
      <c r="I80" s="11" t="s">
        <v>17</v>
      </c>
      <c r="J80" s="13">
        <v>15639517</v>
      </c>
      <c r="K80" s="13" t="s">
        <v>105</v>
      </c>
      <c r="L80" s="13" t="s">
        <v>108</v>
      </c>
      <c r="M80" s="17">
        <v>139900</v>
      </c>
      <c r="N80" s="15">
        <v>0.75</v>
      </c>
      <c r="O80" s="16">
        <f t="shared" si="5"/>
        <v>34975</v>
      </c>
      <c r="P80" s="11" t="s">
        <v>20</v>
      </c>
    </row>
    <row r="81" spans="1:16" x14ac:dyDescent="0.25">
      <c r="A81" s="9" t="str">
        <f t="shared" si="6"/>
        <v>2024 ALL D75</v>
      </c>
      <c r="B81" s="10">
        <f>'[1]2019 ALL D95'!B81</f>
        <v>46104</v>
      </c>
      <c r="C81" s="10">
        <f>'[1]2019 ALL D95'!C81</f>
        <v>46113</v>
      </c>
      <c r="D81" s="11">
        <v>3273</v>
      </c>
      <c r="E81" s="11">
        <v>336</v>
      </c>
      <c r="F81" s="11">
        <v>4</v>
      </c>
      <c r="G81" s="13">
        <v>6</v>
      </c>
      <c r="H81" s="13">
        <v>81588</v>
      </c>
      <c r="I81" s="11" t="s">
        <v>17</v>
      </c>
      <c r="J81" s="13">
        <v>15639526</v>
      </c>
      <c r="K81" s="13" t="s">
        <v>105</v>
      </c>
      <c r="L81" s="13" t="s">
        <v>109</v>
      </c>
      <c r="M81" s="17">
        <v>139900</v>
      </c>
      <c r="N81" s="15">
        <v>0.75</v>
      </c>
      <c r="O81" s="16">
        <f t="shared" si="5"/>
        <v>34975</v>
      </c>
      <c r="P81" s="11" t="s">
        <v>20</v>
      </c>
    </row>
    <row r="82" spans="1:16" x14ac:dyDescent="0.25">
      <c r="A82" s="9" t="str">
        <f t="shared" si="6"/>
        <v>2024 ALL D75</v>
      </c>
      <c r="B82" s="10">
        <f>'[1]2019 ALL D95'!B82</f>
        <v>46104</v>
      </c>
      <c r="C82" s="10">
        <f>'[1]2019 ALL D95'!C82</f>
        <v>46113</v>
      </c>
      <c r="D82" s="11">
        <v>3273</v>
      </c>
      <c r="E82" s="11">
        <v>336</v>
      </c>
      <c r="F82" s="11">
        <v>4</v>
      </c>
      <c r="G82" s="13">
        <v>6</v>
      </c>
      <c r="H82" s="13">
        <v>81588</v>
      </c>
      <c r="I82" s="11" t="s">
        <v>17</v>
      </c>
      <c r="J82" s="13">
        <v>15639535</v>
      </c>
      <c r="K82" s="13" t="s">
        <v>105</v>
      </c>
      <c r="L82" s="13" t="s">
        <v>110</v>
      </c>
      <c r="M82" s="17">
        <v>139900</v>
      </c>
      <c r="N82" s="15">
        <v>0.75</v>
      </c>
      <c r="O82" s="16">
        <f t="shared" si="5"/>
        <v>34975</v>
      </c>
      <c r="P82" s="11" t="s">
        <v>20</v>
      </c>
    </row>
    <row r="83" spans="1:16" x14ac:dyDescent="0.25">
      <c r="A83" s="9" t="str">
        <f t="shared" ref="A83:A98" si="7">A82</f>
        <v>2024 ALL D75</v>
      </c>
      <c r="B83" s="10">
        <f>'[1]2019 ALL D95'!B83</f>
        <v>46104</v>
      </c>
      <c r="C83" s="10">
        <f>'[1]2019 ALL D95'!C83</f>
        <v>46113</v>
      </c>
      <c r="D83" s="11">
        <v>3273</v>
      </c>
      <c r="E83" s="11">
        <v>336</v>
      </c>
      <c r="F83" s="11">
        <v>4</v>
      </c>
      <c r="G83" s="13">
        <v>6</v>
      </c>
      <c r="H83" s="13">
        <v>81588</v>
      </c>
      <c r="I83" s="11" t="s">
        <v>17</v>
      </c>
      <c r="J83" s="13">
        <v>15639544</v>
      </c>
      <c r="K83" s="13" t="s">
        <v>105</v>
      </c>
      <c r="L83" s="13" t="s">
        <v>111</v>
      </c>
      <c r="M83" s="17">
        <v>139900</v>
      </c>
      <c r="N83" s="15">
        <v>0.75</v>
      </c>
      <c r="O83" s="16">
        <f t="shared" si="5"/>
        <v>34975</v>
      </c>
      <c r="P83" s="11" t="s">
        <v>20</v>
      </c>
    </row>
    <row r="84" spans="1:16" x14ac:dyDescent="0.25">
      <c r="A84" s="9" t="str">
        <f t="shared" si="7"/>
        <v>2024 ALL D75</v>
      </c>
      <c r="B84" s="10">
        <f>'[1]2019 ALL D95'!B84</f>
        <v>46104</v>
      </c>
      <c r="C84" s="10">
        <f>'[1]2019 ALL D95'!C84</f>
        <v>46113</v>
      </c>
      <c r="D84" s="11">
        <v>3273</v>
      </c>
      <c r="E84" s="11">
        <v>336</v>
      </c>
      <c r="F84" s="11">
        <v>4</v>
      </c>
      <c r="G84" s="13">
        <v>6</v>
      </c>
      <c r="H84" s="13">
        <v>81588</v>
      </c>
      <c r="I84" s="11" t="s">
        <v>17</v>
      </c>
      <c r="J84" s="13">
        <v>15639553</v>
      </c>
      <c r="K84" s="13" t="s">
        <v>105</v>
      </c>
      <c r="L84" s="13" t="s">
        <v>112</v>
      </c>
      <c r="M84" s="17">
        <v>139900</v>
      </c>
      <c r="N84" s="15">
        <v>0.75</v>
      </c>
      <c r="O84" s="16">
        <f t="shared" si="5"/>
        <v>34975</v>
      </c>
      <c r="P84" s="11" t="s">
        <v>20</v>
      </c>
    </row>
    <row r="85" spans="1:16" x14ac:dyDescent="0.25">
      <c r="A85" s="9" t="str">
        <f t="shared" si="7"/>
        <v>2024 ALL D75</v>
      </c>
      <c r="B85" s="10">
        <f>'[1]2019 ALL D95'!B85</f>
        <v>46104</v>
      </c>
      <c r="C85" s="10">
        <f>'[1]2019 ALL D95'!C85</f>
        <v>46113</v>
      </c>
      <c r="D85" s="11">
        <v>3273</v>
      </c>
      <c r="E85" s="11">
        <v>336</v>
      </c>
      <c r="F85" s="11">
        <v>4</v>
      </c>
      <c r="G85" s="13">
        <v>6</v>
      </c>
      <c r="H85" s="13">
        <v>81588</v>
      </c>
      <c r="I85" s="11" t="s">
        <v>17</v>
      </c>
      <c r="J85" s="13">
        <v>15639562</v>
      </c>
      <c r="K85" s="13" t="s">
        <v>105</v>
      </c>
      <c r="L85" s="13" t="s">
        <v>113</v>
      </c>
      <c r="M85" s="17">
        <v>139900</v>
      </c>
      <c r="N85" s="15">
        <v>0.75</v>
      </c>
      <c r="O85" s="16">
        <f t="shared" si="5"/>
        <v>34975</v>
      </c>
      <c r="P85" s="11" t="s">
        <v>20</v>
      </c>
    </row>
    <row r="86" spans="1:16" x14ac:dyDescent="0.25">
      <c r="A86" s="9" t="str">
        <f t="shared" si="7"/>
        <v>2024 ALL D75</v>
      </c>
      <c r="B86" s="10">
        <f>'[1]2019 ALL D95'!B86</f>
        <v>46104</v>
      </c>
      <c r="C86" s="10">
        <f>'[1]2019 ALL D95'!C86</f>
        <v>46113</v>
      </c>
      <c r="D86" s="11">
        <v>3273</v>
      </c>
      <c r="E86" s="11">
        <v>336</v>
      </c>
      <c r="F86" s="11">
        <v>4</v>
      </c>
      <c r="G86" s="13">
        <v>6</v>
      </c>
      <c r="H86" s="13">
        <v>81588</v>
      </c>
      <c r="I86" s="11" t="s">
        <v>17</v>
      </c>
      <c r="J86" s="13">
        <v>15747990</v>
      </c>
      <c r="K86" s="13" t="s">
        <v>114</v>
      </c>
      <c r="L86" s="13" t="s">
        <v>115</v>
      </c>
      <c r="M86" s="17">
        <v>149900</v>
      </c>
      <c r="N86" s="15">
        <v>0.75</v>
      </c>
      <c r="O86" s="16">
        <f t="shared" si="5"/>
        <v>37475</v>
      </c>
      <c r="P86" s="11" t="s">
        <v>20</v>
      </c>
    </row>
    <row r="87" spans="1:16" x14ac:dyDescent="0.25">
      <c r="A87" s="9" t="str">
        <f t="shared" si="7"/>
        <v>2024 ALL D75</v>
      </c>
      <c r="B87" s="10">
        <f>'[1]2019 ALL D95'!B87</f>
        <v>46104</v>
      </c>
      <c r="C87" s="10">
        <f>'[1]2019 ALL D95'!C87</f>
        <v>46113</v>
      </c>
      <c r="D87" s="11">
        <v>3273</v>
      </c>
      <c r="E87" s="11">
        <v>336</v>
      </c>
      <c r="F87" s="11">
        <v>4</v>
      </c>
      <c r="G87" s="13">
        <v>6</v>
      </c>
      <c r="H87" s="13">
        <v>81588</v>
      </c>
      <c r="I87" s="11" t="s">
        <v>17</v>
      </c>
      <c r="J87" s="13">
        <v>15748006</v>
      </c>
      <c r="K87" s="13" t="s">
        <v>114</v>
      </c>
      <c r="L87" s="13" t="s">
        <v>116</v>
      </c>
      <c r="M87" s="17">
        <v>149900</v>
      </c>
      <c r="N87" s="15">
        <v>0.75</v>
      </c>
      <c r="O87" s="16">
        <f t="shared" si="5"/>
        <v>37475</v>
      </c>
      <c r="P87" s="11" t="s">
        <v>20</v>
      </c>
    </row>
    <row r="88" spans="1:16" x14ac:dyDescent="0.25">
      <c r="A88" s="9" t="str">
        <f t="shared" si="7"/>
        <v>2024 ALL D75</v>
      </c>
      <c r="B88" s="10">
        <f>'[1]2019 ALL D95'!B88</f>
        <v>46104</v>
      </c>
      <c r="C88" s="10">
        <f>'[1]2019 ALL D95'!C88</f>
        <v>46113</v>
      </c>
      <c r="D88" s="11">
        <v>3273</v>
      </c>
      <c r="E88" s="11">
        <v>336</v>
      </c>
      <c r="F88" s="11">
        <v>4</v>
      </c>
      <c r="G88" s="13">
        <v>6</v>
      </c>
      <c r="H88" s="13">
        <v>81588</v>
      </c>
      <c r="I88" s="11" t="s">
        <v>17</v>
      </c>
      <c r="J88" s="13">
        <v>15748015</v>
      </c>
      <c r="K88" s="13" t="s">
        <v>114</v>
      </c>
      <c r="L88" s="13" t="s">
        <v>117</v>
      </c>
      <c r="M88" s="17">
        <v>149900</v>
      </c>
      <c r="N88" s="15">
        <v>0.75</v>
      </c>
      <c r="O88" s="16">
        <f t="shared" si="5"/>
        <v>37475</v>
      </c>
      <c r="P88" s="11" t="s">
        <v>20</v>
      </c>
    </row>
    <row r="89" spans="1:16" x14ac:dyDescent="0.25">
      <c r="A89" s="9" t="str">
        <f t="shared" si="7"/>
        <v>2024 ALL D75</v>
      </c>
      <c r="B89" s="10">
        <f>'[1]2019 ALL D95'!B89</f>
        <v>46104</v>
      </c>
      <c r="C89" s="10">
        <f>'[1]2019 ALL D95'!C89</f>
        <v>46113</v>
      </c>
      <c r="D89" s="11">
        <v>3273</v>
      </c>
      <c r="E89" s="11">
        <v>336</v>
      </c>
      <c r="F89" s="11">
        <v>4</v>
      </c>
      <c r="G89" s="13">
        <v>6</v>
      </c>
      <c r="H89" s="13">
        <v>81588</v>
      </c>
      <c r="I89" s="11" t="s">
        <v>17</v>
      </c>
      <c r="J89" s="13">
        <v>15748024</v>
      </c>
      <c r="K89" s="13" t="s">
        <v>114</v>
      </c>
      <c r="L89" s="13" t="s">
        <v>118</v>
      </c>
      <c r="M89" s="17">
        <v>149900</v>
      </c>
      <c r="N89" s="15">
        <v>0.75</v>
      </c>
      <c r="O89" s="16">
        <f t="shared" si="5"/>
        <v>37475</v>
      </c>
      <c r="P89" s="11" t="s">
        <v>20</v>
      </c>
    </row>
    <row r="90" spans="1:16" x14ac:dyDescent="0.25">
      <c r="A90" s="9" t="str">
        <f t="shared" si="7"/>
        <v>2024 ALL D75</v>
      </c>
      <c r="B90" s="10">
        <f>'[1]2019 ALL D95'!B90</f>
        <v>46104</v>
      </c>
      <c r="C90" s="10">
        <f>'[1]2019 ALL D95'!C90</f>
        <v>46113</v>
      </c>
      <c r="D90" s="11">
        <v>3273</v>
      </c>
      <c r="E90" s="11">
        <v>336</v>
      </c>
      <c r="F90" s="11">
        <v>4</v>
      </c>
      <c r="G90" s="13">
        <v>6</v>
      </c>
      <c r="H90" s="13">
        <v>81588</v>
      </c>
      <c r="I90" s="11" t="s">
        <v>17</v>
      </c>
      <c r="J90" s="13">
        <v>15748033</v>
      </c>
      <c r="K90" s="13" t="s">
        <v>114</v>
      </c>
      <c r="L90" s="13" t="s">
        <v>119</v>
      </c>
      <c r="M90" s="17">
        <v>149900</v>
      </c>
      <c r="N90" s="15">
        <v>0.75</v>
      </c>
      <c r="O90" s="16">
        <f t="shared" si="5"/>
        <v>37475</v>
      </c>
      <c r="P90" s="11" t="s">
        <v>20</v>
      </c>
    </row>
    <row r="91" spans="1:16" x14ac:dyDescent="0.25">
      <c r="A91" s="9" t="str">
        <f t="shared" si="7"/>
        <v>2024 ALL D75</v>
      </c>
      <c r="B91" s="10">
        <f>'[1]2019 ALL D95'!B91</f>
        <v>46104</v>
      </c>
      <c r="C91" s="10">
        <f>'[1]2019 ALL D95'!C91</f>
        <v>46113</v>
      </c>
      <c r="D91" s="11">
        <v>3273</v>
      </c>
      <c r="E91" s="11">
        <v>336</v>
      </c>
      <c r="F91" s="11">
        <v>4</v>
      </c>
      <c r="G91" s="13">
        <v>6</v>
      </c>
      <c r="H91" s="13">
        <v>81588</v>
      </c>
      <c r="I91" s="11" t="s">
        <v>17</v>
      </c>
      <c r="J91" s="13">
        <v>15748042</v>
      </c>
      <c r="K91" s="13" t="s">
        <v>114</v>
      </c>
      <c r="L91" s="13" t="s">
        <v>120</v>
      </c>
      <c r="M91" s="17">
        <v>149900</v>
      </c>
      <c r="N91" s="15">
        <v>0.75</v>
      </c>
      <c r="O91" s="16">
        <f t="shared" si="5"/>
        <v>37475</v>
      </c>
      <c r="P91" s="11" t="s">
        <v>20</v>
      </c>
    </row>
    <row r="92" spans="1:16" x14ac:dyDescent="0.25">
      <c r="A92" s="9" t="str">
        <f t="shared" si="7"/>
        <v>2024 ALL D75</v>
      </c>
      <c r="B92" s="10">
        <f>'[1]2019 ALL D95'!B92</f>
        <v>46104</v>
      </c>
      <c r="C92" s="10">
        <f>'[1]2019 ALL D95'!C92</f>
        <v>46113</v>
      </c>
      <c r="D92" s="11">
        <v>3273</v>
      </c>
      <c r="E92" s="11">
        <v>336</v>
      </c>
      <c r="F92" s="11">
        <v>4</v>
      </c>
      <c r="G92" s="13">
        <v>6</v>
      </c>
      <c r="H92" s="13">
        <v>81588</v>
      </c>
      <c r="I92" s="11" t="s">
        <v>17</v>
      </c>
      <c r="J92" s="13">
        <v>15748051</v>
      </c>
      <c r="K92" s="13" t="s">
        <v>114</v>
      </c>
      <c r="L92" s="13" t="s">
        <v>121</v>
      </c>
      <c r="M92" s="17">
        <v>149900</v>
      </c>
      <c r="N92" s="15">
        <v>0.75</v>
      </c>
      <c r="O92" s="16">
        <f t="shared" si="5"/>
        <v>37475</v>
      </c>
      <c r="P92" s="11" t="s">
        <v>20</v>
      </c>
    </row>
    <row r="93" spans="1:16" x14ac:dyDescent="0.25">
      <c r="A93" s="9" t="str">
        <f t="shared" si="7"/>
        <v>2024 ALL D75</v>
      </c>
      <c r="B93" s="10">
        <f>'[1]2019 ALL D95'!B93</f>
        <v>46104</v>
      </c>
      <c r="C93" s="10">
        <f>'[1]2019 ALL D95'!C93</f>
        <v>46113</v>
      </c>
      <c r="D93" s="11">
        <v>3273</v>
      </c>
      <c r="E93" s="11">
        <v>336</v>
      </c>
      <c r="F93" s="11">
        <v>4</v>
      </c>
      <c r="G93" s="13">
        <v>6</v>
      </c>
      <c r="H93" s="13">
        <v>81588</v>
      </c>
      <c r="I93" s="11" t="s">
        <v>17</v>
      </c>
      <c r="J93" s="13">
        <v>15748060</v>
      </c>
      <c r="K93" s="13" t="s">
        <v>114</v>
      </c>
      <c r="L93" s="13" t="s">
        <v>122</v>
      </c>
      <c r="M93" s="17">
        <v>149900</v>
      </c>
      <c r="N93" s="15">
        <v>0.75</v>
      </c>
      <c r="O93" s="16">
        <f t="shared" si="5"/>
        <v>37475</v>
      </c>
      <c r="P93" s="11" t="s">
        <v>20</v>
      </c>
    </row>
    <row r="94" spans="1:16" x14ac:dyDescent="0.25">
      <c r="A94" s="9" t="str">
        <f t="shared" si="7"/>
        <v>2024 ALL D75</v>
      </c>
      <c r="B94" s="10">
        <f>'[1]2019 ALL D95'!B94</f>
        <v>46104</v>
      </c>
      <c r="C94" s="10">
        <f>'[1]2019 ALL D95'!C94</f>
        <v>46113</v>
      </c>
      <c r="D94" s="11">
        <v>3273</v>
      </c>
      <c r="E94" s="11">
        <v>336</v>
      </c>
      <c r="F94" s="11">
        <v>4</v>
      </c>
      <c r="G94" s="13">
        <v>6</v>
      </c>
      <c r="H94" s="13">
        <v>81588</v>
      </c>
      <c r="I94" s="11" t="s">
        <v>17</v>
      </c>
      <c r="J94" s="13">
        <v>15748159</v>
      </c>
      <c r="K94" s="13" t="s">
        <v>123</v>
      </c>
      <c r="L94" s="13" t="s">
        <v>124</v>
      </c>
      <c r="M94" s="17">
        <v>139900</v>
      </c>
      <c r="N94" s="15">
        <v>0.75</v>
      </c>
      <c r="O94" s="16">
        <f t="shared" si="5"/>
        <v>34975</v>
      </c>
      <c r="P94" s="11" t="s">
        <v>20</v>
      </c>
    </row>
    <row r="95" spans="1:16" x14ac:dyDescent="0.25">
      <c r="A95" s="9" t="str">
        <f t="shared" si="7"/>
        <v>2024 ALL D75</v>
      </c>
      <c r="B95" s="10">
        <f>'[1]2019 ALL D95'!B95</f>
        <v>46104</v>
      </c>
      <c r="C95" s="10">
        <f>'[1]2019 ALL D95'!C95</f>
        <v>46113</v>
      </c>
      <c r="D95" s="11">
        <v>3273</v>
      </c>
      <c r="E95" s="11">
        <v>336</v>
      </c>
      <c r="F95" s="11">
        <v>4</v>
      </c>
      <c r="G95" s="13">
        <v>6</v>
      </c>
      <c r="H95" s="13">
        <v>81588</v>
      </c>
      <c r="I95" s="11" t="s">
        <v>17</v>
      </c>
      <c r="J95" s="13">
        <v>15748168</v>
      </c>
      <c r="K95" s="13" t="s">
        <v>123</v>
      </c>
      <c r="L95" s="13" t="s">
        <v>125</v>
      </c>
      <c r="M95" s="17">
        <v>139900</v>
      </c>
      <c r="N95" s="15">
        <v>0.75</v>
      </c>
      <c r="O95" s="16">
        <f t="shared" si="5"/>
        <v>34975</v>
      </c>
      <c r="P95" s="11" t="s">
        <v>20</v>
      </c>
    </row>
    <row r="96" spans="1:16" x14ac:dyDescent="0.25">
      <c r="A96" s="9" t="str">
        <f t="shared" si="7"/>
        <v>2024 ALL D75</v>
      </c>
      <c r="B96" s="10">
        <f>'[1]2019 ALL D95'!B96</f>
        <v>46104</v>
      </c>
      <c r="C96" s="10">
        <f>'[1]2019 ALL D95'!C96</f>
        <v>46113</v>
      </c>
      <c r="D96" s="11">
        <v>3273</v>
      </c>
      <c r="E96" s="11">
        <v>336</v>
      </c>
      <c r="F96" s="11">
        <v>4</v>
      </c>
      <c r="G96" s="13">
        <v>6</v>
      </c>
      <c r="H96" s="13">
        <v>81588</v>
      </c>
      <c r="I96" s="11" t="s">
        <v>17</v>
      </c>
      <c r="J96" s="13">
        <v>15748177</v>
      </c>
      <c r="K96" s="13" t="s">
        <v>123</v>
      </c>
      <c r="L96" s="13" t="s">
        <v>126</v>
      </c>
      <c r="M96" s="17">
        <v>139900</v>
      </c>
      <c r="N96" s="15">
        <v>0.75</v>
      </c>
      <c r="O96" s="16">
        <f t="shared" si="5"/>
        <v>34975</v>
      </c>
      <c r="P96" s="11" t="s">
        <v>20</v>
      </c>
    </row>
    <row r="97" spans="1:16" x14ac:dyDescent="0.25">
      <c r="A97" s="9" t="str">
        <f t="shared" si="7"/>
        <v>2024 ALL D75</v>
      </c>
      <c r="B97" s="10">
        <f>'[1]2019 ALL D95'!B97</f>
        <v>46104</v>
      </c>
      <c r="C97" s="10">
        <f>'[1]2019 ALL D95'!C97</f>
        <v>46113</v>
      </c>
      <c r="D97" s="11">
        <v>3273</v>
      </c>
      <c r="E97" s="11">
        <v>336</v>
      </c>
      <c r="F97" s="11">
        <v>4</v>
      </c>
      <c r="G97" s="13">
        <v>6</v>
      </c>
      <c r="H97" s="13">
        <v>81588</v>
      </c>
      <c r="I97" s="11" t="s">
        <v>17</v>
      </c>
      <c r="J97" s="13">
        <v>15748186</v>
      </c>
      <c r="K97" s="13" t="s">
        <v>123</v>
      </c>
      <c r="L97" s="13" t="s">
        <v>127</v>
      </c>
      <c r="M97" s="17">
        <v>139900</v>
      </c>
      <c r="N97" s="15">
        <v>0.75</v>
      </c>
      <c r="O97" s="16">
        <f t="shared" si="5"/>
        <v>34975</v>
      </c>
      <c r="P97" s="11" t="s">
        <v>20</v>
      </c>
    </row>
    <row r="98" spans="1:16" x14ac:dyDescent="0.25">
      <c r="A98" s="9" t="str">
        <f t="shared" si="7"/>
        <v>2024 ALL D75</v>
      </c>
      <c r="B98" s="10">
        <f>'[1]2019 ALL D95'!B98</f>
        <v>46104</v>
      </c>
      <c r="C98" s="10">
        <f>'[1]2019 ALL D95'!C98</f>
        <v>46113</v>
      </c>
      <c r="D98" s="11">
        <v>3273</v>
      </c>
      <c r="E98" s="11">
        <v>336</v>
      </c>
      <c r="F98" s="11">
        <v>4</v>
      </c>
      <c r="G98" s="13">
        <v>6</v>
      </c>
      <c r="H98" s="13">
        <v>81588</v>
      </c>
      <c r="I98" s="11" t="s">
        <v>17</v>
      </c>
      <c r="J98" s="13">
        <v>15748195</v>
      </c>
      <c r="K98" s="13" t="s">
        <v>123</v>
      </c>
      <c r="L98" s="13" t="s">
        <v>128</v>
      </c>
      <c r="M98" s="17">
        <v>139900</v>
      </c>
      <c r="N98" s="15">
        <v>0.75</v>
      </c>
      <c r="O98" s="16">
        <f t="shared" si="5"/>
        <v>34975</v>
      </c>
      <c r="P98" s="11" t="s">
        <v>20</v>
      </c>
    </row>
    <row r="99" spans="1:16" x14ac:dyDescent="0.25">
      <c r="A99" s="9" t="str">
        <f t="shared" ref="A99:A114" si="8">A98</f>
        <v>2024 ALL D75</v>
      </c>
      <c r="B99" s="10">
        <f>'[1]2019 ALL D95'!B99</f>
        <v>46104</v>
      </c>
      <c r="C99" s="10">
        <f>'[1]2019 ALL D95'!C99</f>
        <v>46113</v>
      </c>
      <c r="D99" s="11">
        <v>3273</v>
      </c>
      <c r="E99" s="11">
        <v>336</v>
      </c>
      <c r="F99" s="11">
        <v>4</v>
      </c>
      <c r="G99" s="13">
        <v>6</v>
      </c>
      <c r="H99" s="13">
        <v>81588</v>
      </c>
      <c r="I99" s="11" t="s">
        <v>17</v>
      </c>
      <c r="J99" s="13">
        <v>15748202</v>
      </c>
      <c r="K99" s="13" t="s">
        <v>123</v>
      </c>
      <c r="L99" s="13" t="s">
        <v>129</v>
      </c>
      <c r="M99" s="17">
        <v>139900</v>
      </c>
      <c r="N99" s="15">
        <v>0.75</v>
      </c>
      <c r="O99" s="16">
        <f t="shared" si="5"/>
        <v>34975</v>
      </c>
      <c r="P99" s="11" t="s">
        <v>20</v>
      </c>
    </row>
    <row r="100" spans="1:16" x14ac:dyDescent="0.25">
      <c r="A100" s="9" t="str">
        <f t="shared" si="8"/>
        <v>2024 ALL D75</v>
      </c>
      <c r="B100" s="10">
        <f>'[1]2019 ALL D95'!B100</f>
        <v>46104</v>
      </c>
      <c r="C100" s="10">
        <f>'[1]2019 ALL D95'!C100</f>
        <v>46113</v>
      </c>
      <c r="D100" s="11">
        <v>3273</v>
      </c>
      <c r="E100" s="11">
        <v>336</v>
      </c>
      <c r="F100" s="11">
        <v>4</v>
      </c>
      <c r="G100" s="13">
        <v>6</v>
      </c>
      <c r="H100" s="13">
        <v>81588</v>
      </c>
      <c r="I100" s="11" t="s">
        <v>17</v>
      </c>
      <c r="J100" s="13">
        <v>15748211</v>
      </c>
      <c r="K100" s="13" t="s">
        <v>123</v>
      </c>
      <c r="L100" s="13" t="s">
        <v>130</v>
      </c>
      <c r="M100" s="17">
        <v>139900</v>
      </c>
      <c r="N100" s="15">
        <v>0.75</v>
      </c>
      <c r="O100" s="16">
        <f t="shared" si="5"/>
        <v>34975</v>
      </c>
      <c r="P100" s="11" t="s">
        <v>20</v>
      </c>
    </row>
    <row r="101" spans="1:16" x14ac:dyDescent="0.25">
      <c r="A101" s="9" t="str">
        <f t="shared" si="8"/>
        <v>2024 ALL D75</v>
      </c>
      <c r="B101" s="10">
        <f>'[1]2019 ALL D95'!B101</f>
        <v>46104</v>
      </c>
      <c r="C101" s="10">
        <f>'[1]2019 ALL D95'!C101</f>
        <v>46113</v>
      </c>
      <c r="D101" s="11">
        <v>3273</v>
      </c>
      <c r="E101" s="11">
        <v>336</v>
      </c>
      <c r="F101" s="11">
        <v>4</v>
      </c>
      <c r="G101" s="13">
        <v>6</v>
      </c>
      <c r="H101" s="13">
        <v>81588</v>
      </c>
      <c r="I101" s="11" t="s">
        <v>17</v>
      </c>
      <c r="J101" s="13">
        <v>15748220</v>
      </c>
      <c r="K101" s="13" t="s">
        <v>123</v>
      </c>
      <c r="L101" s="13" t="s">
        <v>131</v>
      </c>
      <c r="M101" s="17">
        <v>139900</v>
      </c>
      <c r="N101" s="15">
        <v>0.75</v>
      </c>
      <c r="O101" s="16">
        <f t="shared" si="5"/>
        <v>34975</v>
      </c>
      <c r="P101" s="11" t="s">
        <v>20</v>
      </c>
    </row>
    <row r="102" spans="1:16" x14ac:dyDescent="0.25">
      <c r="A102" s="9" t="str">
        <f t="shared" si="8"/>
        <v>2024 ALL D75</v>
      </c>
      <c r="B102" s="10">
        <f>'[1]2019 ALL D95'!B102</f>
        <v>46104</v>
      </c>
      <c r="C102" s="10">
        <f>'[1]2019 ALL D95'!C102</f>
        <v>46113</v>
      </c>
      <c r="D102" s="11">
        <v>3273</v>
      </c>
      <c r="E102" s="11">
        <v>336</v>
      </c>
      <c r="F102" s="11">
        <v>4</v>
      </c>
      <c r="G102" s="13">
        <v>6</v>
      </c>
      <c r="H102" s="13">
        <v>81588</v>
      </c>
      <c r="I102" s="11" t="s">
        <v>17</v>
      </c>
      <c r="J102" s="13">
        <v>15748293</v>
      </c>
      <c r="K102" s="13" t="s">
        <v>132</v>
      </c>
      <c r="L102" s="13" t="s">
        <v>133</v>
      </c>
      <c r="M102" s="17">
        <v>139900</v>
      </c>
      <c r="N102" s="15">
        <v>0.75</v>
      </c>
      <c r="O102" s="16">
        <f t="shared" si="5"/>
        <v>34975</v>
      </c>
      <c r="P102" s="11" t="s">
        <v>20</v>
      </c>
    </row>
    <row r="103" spans="1:16" x14ac:dyDescent="0.25">
      <c r="A103" s="9" t="str">
        <f t="shared" si="8"/>
        <v>2024 ALL D75</v>
      </c>
      <c r="B103" s="10">
        <f>'[1]2019 ALL D95'!B103</f>
        <v>46104</v>
      </c>
      <c r="C103" s="10">
        <f>'[1]2019 ALL D95'!C103</f>
        <v>46113</v>
      </c>
      <c r="D103" s="11">
        <v>3273</v>
      </c>
      <c r="E103" s="11">
        <v>336</v>
      </c>
      <c r="F103" s="11">
        <v>4</v>
      </c>
      <c r="G103" s="13">
        <v>6</v>
      </c>
      <c r="H103" s="13">
        <v>81588</v>
      </c>
      <c r="I103" s="11" t="s">
        <v>17</v>
      </c>
      <c r="J103" s="13">
        <v>15748300</v>
      </c>
      <c r="K103" s="13" t="s">
        <v>132</v>
      </c>
      <c r="L103" s="13" t="s">
        <v>134</v>
      </c>
      <c r="M103" s="17">
        <v>139900</v>
      </c>
      <c r="N103" s="15">
        <v>0.75</v>
      </c>
      <c r="O103" s="16">
        <f t="shared" si="5"/>
        <v>34975</v>
      </c>
      <c r="P103" s="11" t="s">
        <v>20</v>
      </c>
    </row>
    <row r="104" spans="1:16" x14ac:dyDescent="0.25">
      <c r="A104" s="9" t="str">
        <f t="shared" si="8"/>
        <v>2024 ALL D75</v>
      </c>
      <c r="B104" s="10">
        <f>'[1]2019 ALL D95'!B104</f>
        <v>46104</v>
      </c>
      <c r="C104" s="10">
        <f>'[1]2019 ALL D95'!C104</f>
        <v>46113</v>
      </c>
      <c r="D104" s="11">
        <v>3273</v>
      </c>
      <c r="E104" s="11">
        <v>336</v>
      </c>
      <c r="F104" s="11">
        <v>4</v>
      </c>
      <c r="G104" s="13">
        <v>6</v>
      </c>
      <c r="H104" s="13">
        <v>81588</v>
      </c>
      <c r="I104" s="11" t="s">
        <v>17</v>
      </c>
      <c r="J104" s="13">
        <v>15748319</v>
      </c>
      <c r="K104" s="13" t="s">
        <v>132</v>
      </c>
      <c r="L104" s="13" t="s">
        <v>135</v>
      </c>
      <c r="M104" s="17">
        <v>139900</v>
      </c>
      <c r="N104" s="15">
        <v>0.75</v>
      </c>
      <c r="O104" s="16">
        <f t="shared" si="5"/>
        <v>34975</v>
      </c>
      <c r="P104" s="11" t="s">
        <v>20</v>
      </c>
    </row>
    <row r="105" spans="1:16" x14ac:dyDescent="0.25">
      <c r="A105" s="9" t="str">
        <f t="shared" si="8"/>
        <v>2024 ALL D75</v>
      </c>
      <c r="B105" s="10">
        <f>'[1]2019 ALL D95'!B105</f>
        <v>46104</v>
      </c>
      <c r="C105" s="10">
        <f>'[1]2019 ALL D95'!C105</f>
        <v>46113</v>
      </c>
      <c r="D105" s="11">
        <v>3273</v>
      </c>
      <c r="E105" s="11">
        <v>336</v>
      </c>
      <c r="F105" s="11">
        <v>4</v>
      </c>
      <c r="G105" s="13">
        <v>6</v>
      </c>
      <c r="H105" s="13">
        <v>81588</v>
      </c>
      <c r="I105" s="11" t="s">
        <v>17</v>
      </c>
      <c r="J105" s="13">
        <v>15748328</v>
      </c>
      <c r="K105" s="13" t="s">
        <v>132</v>
      </c>
      <c r="L105" s="13" t="s">
        <v>136</v>
      </c>
      <c r="M105" s="17">
        <v>139900</v>
      </c>
      <c r="N105" s="15">
        <v>0.75</v>
      </c>
      <c r="O105" s="16">
        <f t="shared" si="5"/>
        <v>34975</v>
      </c>
      <c r="P105" s="11" t="s">
        <v>20</v>
      </c>
    </row>
    <row r="106" spans="1:16" x14ac:dyDescent="0.25">
      <c r="A106" s="9" t="str">
        <f t="shared" si="8"/>
        <v>2024 ALL D75</v>
      </c>
      <c r="B106" s="10">
        <f>'[1]2019 ALL D95'!B106</f>
        <v>46104</v>
      </c>
      <c r="C106" s="10">
        <f>'[1]2019 ALL D95'!C106</f>
        <v>46113</v>
      </c>
      <c r="D106" s="11">
        <v>3273</v>
      </c>
      <c r="E106" s="11">
        <v>336</v>
      </c>
      <c r="F106" s="11">
        <v>4</v>
      </c>
      <c r="G106" s="13">
        <v>6</v>
      </c>
      <c r="H106" s="13">
        <v>81588</v>
      </c>
      <c r="I106" s="11" t="s">
        <v>17</v>
      </c>
      <c r="J106" s="13">
        <v>15748337</v>
      </c>
      <c r="K106" s="13" t="s">
        <v>132</v>
      </c>
      <c r="L106" s="13" t="s">
        <v>137</v>
      </c>
      <c r="M106" s="17">
        <v>139900</v>
      </c>
      <c r="N106" s="15">
        <v>0.75</v>
      </c>
      <c r="O106" s="16">
        <f t="shared" si="5"/>
        <v>34975</v>
      </c>
      <c r="P106" s="11" t="s">
        <v>20</v>
      </c>
    </row>
    <row r="107" spans="1:16" x14ac:dyDescent="0.25">
      <c r="A107" s="9" t="str">
        <f t="shared" si="8"/>
        <v>2024 ALL D75</v>
      </c>
      <c r="B107" s="10">
        <f>'[1]2019 ALL D95'!B107</f>
        <v>46104</v>
      </c>
      <c r="C107" s="10">
        <f>'[1]2019 ALL D95'!C107</f>
        <v>46113</v>
      </c>
      <c r="D107" s="11">
        <v>3273</v>
      </c>
      <c r="E107" s="11">
        <v>336</v>
      </c>
      <c r="F107" s="11">
        <v>4</v>
      </c>
      <c r="G107" s="13">
        <v>6</v>
      </c>
      <c r="H107" s="13">
        <v>81588</v>
      </c>
      <c r="I107" s="11" t="s">
        <v>17</v>
      </c>
      <c r="J107" s="13">
        <v>15748346</v>
      </c>
      <c r="K107" s="13" t="s">
        <v>132</v>
      </c>
      <c r="L107" s="13" t="s">
        <v>138</v>
      </c>
      <c r="M107" s="17">
        <v>139900</v>
      </c>
      <c r="N107" s="15">
        <v>0.75</v>
      </c>
      <c r="O107" s="16">
        <f t="shared" si="5"/>
        <v>34975</v>
      </c>
      <c r="P107" s="11" t="s">
        <v>20</v>
      </c>
    </row>
    <row r="108" spans="1:16" x14ac:dyDescent="0.25">
      <c r="A108" s="9" t="str">
        <f t="shared" si="8"/>
        <v>2024 ALL D75</v>
      </c>
      <c r="B108" s="10">
        <f>'[1]2019 ALL D95'!B108</f>
        <v>46104</v>
      </c>
      <c r="C108" s="10">
        <f>'[1]2019 ALL D95'!C108</f>
        <v>46113</v>
      </c>
      <c r="D108" s="11">
        <v>3273</v>
      </c>
      <c r="E108" s="11">
        <v>336</v>
      </c>
      <c r="F108" s="11">
        <v>4</v>
      </c>
      <c r="G108" s="13">
        <v>6</v>
      </c>
      <c r="H108" s="13">
        <v>81588</v>
      </c>
      <c r="I108" s="11" t="s">
        <v>17</v>
      </c>
      <c r="J108" s="13">
        <v>15748355</v>
      </c>
      <c r="K108" s="13" t="s">
        <v>132</v>
      </c>
      <c r="L108" s="13" t="s">
        <v>139</v>
      </c>
      <c r="M108" s="17">
        <v>139900</v>
      </c>
      <c r="N108" s="15">
        <v>0.75</v>
      </c>
      <c r="O108" s="16">
        <f t="shared" si="5"/>
        <v>34975</v>
      </c>
      <c r="P108" s="11" t="s">
        <v>20</v>
      </c>
    </row>
    <row r="109" spans="1:16" x14ac:dyDescent="0.25">
      <c r="A109" s="9" t="str">
        <f t="shared" si="8"/>
        <v>2024 ALL D75</v>
      </c>
      <c r="B109" s="10">
        <f>'[1]2019 ALL D95'!B109</f>
        <v>46104</v>
      </c>
      <c r="C109" s="10">
        <f>'[1]2019 ALL D95'!C109</f>
        <v>46113</v>
      </c>
      <c r="D109" s="11">
        <v>3273</v>
      </c>
      <c r="E109" s="11">
        <v>336</v>
      </c>
      <c r="F109" s="11">
        <v>4</v>
      </c>
      <c r="G109" s="13">
        <v>6</v>
      </c>
      <c r="H109" s="13">
        <v>81588</v>
      </c>
      <c r="I109" s="11" t="s">
        <v>17</v>
      </c>
      <c r="J109" s="13">
        <v>15748364</v>
      </c>
      <c r="K109" s="13" t="s">
        <v>132</v>
      </c>
      <c r="L109" s="13" t="s">
        <v>140</v>
      </c>
      <c r="M109" s="17">
        <v>139900</v>
      </c>
      <c r="N109" s="15">
        <v>0.75</v>
      </c>
      <c r="O109" s="16">
        <f t="shared" si="5"/>
        <v>34975</v>
      </c>
      <c r="P109" s="11" t="s">
        <v>20</v>
      </c>
    </row>
    <row r="110" spans="1:16" x14ac:dyDescent="0.25">
      <c r="A110" s="9" t="str">
        <f t="shared" si="8"/>
        <v>2024 ALL D75</v>
      </c>
      <c r="B110" s="10">
        <f>'[1]2019 ALL D95'!B110</f>
        <v>46104</v>
      </c>
      <c r="C110" s="10">
        <f>'[1]2019 ALL D95'!C110</f>
        <v>46113</v>
      </c>
      <c r="D110" s="11">
        <v>3273</v>
      </c>
      <c r="E110" s="11">
        <v>336</v>
      </c>
      <c r="F110" s="11">
        <v>4</v>
      </c>
      <c r="G110" s="13">
        <v>6</v>
      </c>
      <c r="H110" s="13">
        <v>81588</v>
      </c>
      <c r="I110" s="11" t="s">
        <v>17</v>
      </c>
      <c r="J110" s="13">
        <v>15748462</v>
      </c>
      <c r="K110" s="13" t="s">
        <v>141</v>
      </c>
      <c r="L110" s="13" t="s">
        <v>142</v>
      </c>
      <c r="M110" s="17">
        <v>149900</v>
      </c>
      <c r="N110" s="15">
        <v>0.75</v>
      </c>
      <c r="O110" s="16">
        <f t="shared" si="5"/>
        <v>37475</v>
      </c>
      <c r="P110" s="11" t="s">
        <v>20</v>
      </c>
    </row>
    <row r="111" spans="1:16" x14ac:dyDescent="0.25">
      <c r="A111" s="9" t="str">
        <f t="shared" si="8"/>
        <v>2024 ALL D75</v>
      </c>
      <c r="B111" s="10">
        <f>'[1]2019 ALL D95'!B111</f>
        <v>46104</v>
      </c>
      <c r="C111" s="10">
        <f>'[1]2019 ALL D95'!C111</f>
        <v>46113</v>
      </c>
      <c r="D111" s="11">
        <v>3273</v>
      </c>
      <c r="E111" s="11">
        <v>336</v>
      </c>
      <c r="F111" s="11">
        <v>4</v>
      </c>
      <c r="G111" s="13">
        <v>6</v>
      </c>
      <c r="H111" s="13">
        <v>81588</v>
      </c>
      <c r="I111" s="11" t="s">
        <v>17</v>
      </c>
      <c r="J111" s="13">
        <v>15748471</v>
      </c>
      <c r="K111" s="13" t="s">
        <v>141</v>
      </c>
      <c r="L111" s="13" t="s">
        <v>143</v>
      </c>
      <c r="M111" s="17">
        <v>149900</v>
      </c>
      <c r="N111" s="15">
        <v>0.75</v>
      </c>
      <c r="O111" s="16">
        <f t="shared" si="5"/>
        <v>37475</v>
      </c>
      <c r="P111" s="11" t="s">
        <v>20</v>
      </c>
    </row>
    <row r="112" spans="1:16" x14ac:dyDescent="0.25">
      <c r="A112" s="9" t="str">
        <f t="shared" si="8"/>
        <v>2024 ALL D75</v>
      </c>
      <c r="B112" s="10">
        <f>'[1]2019 ALL D95'!B112</f>
        <v>46104</v>
      </c>
      <c r="C112" s="10">
        <f>'[1]2019 ALL D95'!C112</f>
        <v>46113</v>
      </c>
      <c r="D112" s="11">
        <v>3273</v>
      </c>
      <c r="E112" s="11">
        <v>336</v>
      </c>
      <c r="F112" s="11">
        <v>4</v>
      </c>
      <c r="G112" s="13">
        <v>6</v>
      </c>
      <c r="H112" s="13">
        <v>81588</v>
      </c>
      <c r="I112" s="11" t="s">
        <v>17</v>
      </c>
      <c r="J112" s="13">
        <v>15748480</v>
      </c>
      <c r="K112" s="13" t="s">
        <v>141</v>
      </c>
      <c r="L112" s="13" t="s">
        <v>144</v>
      </c>
      <c r="M112" s="17">
        <v>149900</v>
      </c>
      <c r="N112" s="15">
        <v>0.75</v>
      </c>
      <c r="O112" s="16">
        <f t="shared" si="5"/>
        <v>37475</v>
      </c>
      <c r="P112" s="11" t="s">
        <v>20</v>
      </c>
    </row>
    <row r="113" spans="1:16" x14ac:dyDescent="0.25">
      <c r="A113" s="9" t="str">
        <f t="shared" si="8"/>
        <v>2024 ALL D75</v>
      </c>
      <c r="B113" s="10">
        <f>'[1]2019 ALL D95'!B113</f>
        <v>46104</v>
      </c>
      <c r="C113" s="10">
        <f>'[1]2019 ALL D95'!C113</f>
        <v>46113</v>
      </c>
      <c r="D113" s="11">
        <v>3273</v>
      </c>
      <c r="E113" s="11">
        <v>336</v>
      </c>
      <c r="F113" s="11">
        <v>4</v>
      </c>
      <c r="G113" s="13">
        <v>6</v>
      </c>
      <c r="H113" s="13">
        <v>81588</v>
      </c>
      <c r="I113" s="11" t="s">
        <v>17</v>
      </c>
      <c r="J113" s="13">
        <v>15748499</v>
      </c>
      <c r="K113" s="13" t="s">
        <v>141</v>
      </c>
      <c r="L113" s="13" t="s">
        <v>145</v>
      </c>
      <c r="M113" s="17">
        <v>149900</v>
      </c>
      <c r="N113" s="15">
        <v>0.75</v>
      </c>
      <c r="O113" s="16">
        <f t="shared" si="5"/>
        <v>37475</v>
      </c>
      <c r="P113" s="11" t="s">
        <v>20</v>
      </c>
    </row>
    <row r="114" spans="1:16" x14ac:dyDescent="0.25">
      <c r="A114" s="9" t="str">
        <f t="shared" si="8"/>
        <v>2024 ALL D75</v>
      </c>
      <c r="B114" s="10">
        <f>'[1]2019 ALL D95'!B114</f>
        <v>46104</v>
      </c>
      <c r="C114" s="10">
        <f>'[1]2019 ALL D95'!C114</f>
        <v>46113</v>
      </c>
      <c r="D114" s="11">
        <v>3273</v>
      </c>
      <c r="E114" s="11">
        <v>336</v>
      </c>
      <c r="F114" s="11">
        <v>4</v>
      </c>
      <c r="G114" s="13">
        <v>6</v>
      </c>
      <c r="H114" s="13">
        <v>81588</v>
      </c>
      <c r="I114" s="11" t="s">
        <v>17</v>
      </c>
      <c r="J114" s="13">
        <v>15748506</v>
      </c>
      <c r="K114" s="13" t="s">
        <v>141</v>
      </c>
      <c r="L114" s="13" t="s">
        <v>146</v>
      </c>
      <c r="M114" s="17">
        <v>149900</v>
      </c>
      <c r="N114" s="15">
        <v>0.75</v>
      </c>
      <c r="O114" s="16">
        <f t="shared" si="5"/>
        <v>37475</v>
      </c>
      <c r="P114" s="11" t="s">
        <v>20</v>
      </c>
    </row>
    <row r="115" spans="1:16" x14ac:dyDescent="0.25">
      <c r="A115" s="9" t="str">
        <f t="shared" ref="A115:A130" si="9">A114</f>
        <v>2024 ALL D75</v>
      </c>
      <c r="B115" s="10">
        <f>'[1]2019 ALL D95'!B115</f>
        <v>46104</v>
      </c>
      <c r="C115" s="10">
        <f>'[1]2019 ALL D95'!C115</f>
        <v>46113</v>
      </c>
      <c r="D115" s="11">
        <v>3273</v>
      </c>
      <c r="E115" s="11">
        <v>336</v>
      </c>
      <c r="F115" s="11">
        <v>4</v>
      </c>
      <c r="G115" s="13">
        <v>6</v>
      </c>
      <c r="H115" s="13">
        <v>81588</v>
      </c>
      <c r="I115" s="11" t="s">
        <v>17</v>
      </c>
      <c r="J115" s="13">
        <v>15748515</v>
      </c>
      <c r="K115" s="13" t="s">
        <v>141</v>
      </c>
      <c r="L115" s="13" t="s">
        <v>147</v>
      </c>
      <c r="M115" s="17">
        <v>149900</v>
      </c>
      <c r="N115" s="15">
        <v>0.75</v>
      </c>
      <c r="O115" s="16">
        <f t="shared" si="5"/>
        <v>37475</v>
      </c>
      <c r="P115" s="11" t="s">
        <v>20</v>
      </c>
    </row>
    <row r="116" spans="1:16" x14ac:dyDescent="0.25">
      <c r="A116" s="9" t="str">
        <f t="shared" si="9"/>
        <v>2024 ALL D75</v>
      </c>
      <c r="B116" s="10">
        <f>'[1]2019 ALL D95'!B116</f>
        <v>46104</v>
      </c>
      <c r="C116" s="10">
        <f>'[1]2019 ALL D95'!C116</f>
        <v>46113</v>
      </c>
      <c r="D116" s="11">
        <v>3273</v>
      </c>
      <c r="E116" s="11">
        <v>336</v>
      </c>
      <c r="F116" s="11">
        <v>4</v>
      </c>
      <c r="G116" s="13">
        <v>6</v>
      </c>
      <c r="H116" s="13">
        <v>81588</v>
      </c>
      <c r="I116" s="11" t="s">
        <v>17</v>
      </c>
      <c r="J116" s="13">
        <v>15748524</v>
      </c>
      <c r="K116" s="13" t="s">
        <v>141</v>
      </c>
      <c r="L116" s="13" t="s">
        <v>148</v>
      </c>
      <c r="M116" s="17">
        <v>149900</v>
      </c>
      <c r="N116" s="15">
        <v>0.75</v>
      </c>
      <c r="O116" s="16">
        <f t="shared" si="5"/>
        <v>37475</v>
      </c>
      <c r="P116" s="11" t="s">
        <v>20</v>
      </c>
    </row>
    <row r="117" spans="1:16" x14ac:dyDescent="0.25">
      <c r="A117" s="9" t="str">
        <f t="shared" si="9"/>
        <v>2024 ALL D75</v>
      </c>
      <c r="B117" s="10">
        <f>'[1]2019 ALL D95'!B117</f>
        <v>46104</v>
      </c>
      <c r="C117" s="10">
        <f>'[1]2019 ALL D95'!C117</f>
        <v>46113</v>
      </c>
      <c r="D117" s="11">
        <v>3273</v>
      </c>
      <c r="E117" s="11">
        <v>336</v>
      </c>
      <c r="F117" s="11">
        <v>4</v>
      </c>
      <c r="G117" s="13">
        <v>6</v>
      </c>
      <c r="H117" s="13">
        <v>81588</v>
      </c>
      <c r="I117" s="11" t="s">
        <v>17</v>
      </c>
      <c r="J117" s="13">
        <v>15748533</v>
      </c>
      <c r="K117" s="13" t="s">
        <v>141</v>
      </c>
      <c r="L117" s="13" t="s">
        <v>149</v>
      </c>
      <c r="M117" s="17">
        <v>149900</v>
      </c>
      <c r="N117" s="15">
        <v>0.75</v>
      </c>
      <c r="O117" s="16">
        <f t="shared" si="5"/>
        <v>37475</v>
      </c>
      <c r="P117" s="11" t="s">
        <v>20</v>
      </c>
    </row>
    <row r="118" spans="1:16" x14ac:dyDescent="0.25">
      <c r="A118" s="9" t="str">
        <f t="shared" si="9"/>
        <v>2024 ALL D75</v>
      </c>
      <c r="B118" s="10">
        <f>'[1]2019 ALL D95'!B118</f>
        <v>46104</v>
      </c>
      <c r="C118" s="10">
        <f>'[1]2019 ALL D95'!C118</f>
        <v>46113</v>
      </c>
      <c r="D118" s="11">
        <v>3273</v>
      </c>
      <c r="E118" s="11">
        <v>336</v>
      </c>
      <c r="F118" s="11">
        <v>4</v>
      </c>
      <c r="G118" s="13">
        <v>6</v>
      </c>
      <c r="H118" s="13">
        <v>81588</v>
      </c>
      <c r="I118" s="11" t="s">
        <v>17</v>
      </c>
      <c r="J118" s="13">
        <v>15748686</v>
      </c>
      <c r="K118" s="13" t="s">
        <v>150</v>
      </c>
      <c r="L118" s="13" t="s">
        <v>151</v>
      </c>
      <c r="M118" s="17">
        <v>149900</v>
      </c>
      <c r="N118" s="15">
        <v>0.75</v>
      </c>
      <c r="O118" s="16">
        <f t="shared" si="5"/>
        <v>37475</v>
      </c>
      <c r="P118" s="11" t="s">
        <v>20</v>
      </c>
    </row>
    <row r="119" spans="1:16" x14ac:dyDescent="0.25">
      <c r="A119" s="9" t="str">
        <f t="shared" si="9"/>
        <v>2024 ALL D75</v>
      </c>
      <c r="B119" s="10">
        <f>'[1]2019 ALL D95'!B119</f>
        <v>46104</v>
      </c>
      <c r="C119" s="10">
        <f>'[1]2019 ALL D95'!C119</f>
        <v>46113</v>
      </c>
      <c r="D119" s="11">
        <v>3273</v>
      </c>
      <c r="E119" s="11">
        <v>336</v>
      </c>
      <c r="F119" s="11">
        <v>4</v>
      </c>
      <c r="G119" s="13">
        <v>6</v>
      </c>
      <c r="H119" s="13">
        <v>81588</v>
      </c>
      <c r="I119" s="11" t="s">
        <v>17</v>
      </c>
      <c r="J119" s="13">
        <v>15748695</v>
      </c>
      <c r="K119" s="13" t="s">
        <v>150</v>
      </c>
      <c r="L119" s="13" t="s">
        <v>152</v>
      </c>
      <c r="M119" s="17">
        <v>149900</v>
      </c>
      <c r="N119" s="15">
        <v>0.75</v>
      </c>
      <c r="O119" s="16">
        <f t="shared" si="5"/>
        <v>37475</v>
      </c>
      <c r="P119" s="11" t="s">
        <v>20</v>
      </c>
    </row>
    <row r="120" spans="1:16" x14ac:dyDescent="0.25">
      <c r="A120" s="9" t="str">
        <f t="shared" si="9"/>
        <v>2024 ALL D75</v>
      </c>
      <c r="B120" s="10">
        <f>'[1]2019 ALL D95'!B120</f>
        <v>46104</v>
      </c>
      <c r="C120" s="10">
        <f>'[1]2019 ALL D95'!C120</f>
        <v>46113</v>
      </c>
      <c r="D120" s="11">
        <v>3273</v>
      </c>
      <c r="E120" s="11">
        <v>336</v>
      </c>
      <c r="F120" s="11">
        <v>4</v>
      </c>
      <c r="G120" s="13">
        <v>6</v>
      </c>
      <c r="H120" s="13">
        <v>81588</v>
      </c>
      <c r="I120" s="11" t="s">
        <v>17</v>
      </c>
      <c r="J120" s="13">
        <v>15748702</v>
      </c>
      <c r="K120" s="13" t="s">
        <v>150</v>
      </c>
      <c r="L120" s="13" t="s">
        <v>153</v>
      </c>
      <c r="M120" s="17">
        <v>149900</v>
      </c>
      <c r="N120" s="15">
        <v>0.75</v>
      </c>
      <c r="O120" s="16">
        <f t="shared" si="5"/>
        <v>37475</v>
      </c>
      <c r="P120" s="11" t="s">
        <v>20</v>
      </c>
    </row>
    <row r="121" spans="1:16" x14ac:dyDescent="0.25">
      <c r="A121" s="9" t="str">
        <f t="shared" si="9"/>
        <v>2024 ALL D75</v>
      </c>
      <c r="B121" s="10">
        <f>'[1]2019 ALL D95'!B121</f>
        <v>46104</v>
      </c>
      <c r="C121" s="10">
        <f>'[1]2019 ALL D95'!C121</f>
        <v>46113</v>
      </c>
      <c r="D121" s="11">
        <v>3273</v>
      </c>
      <c r="E121" s="11">
        <v>336</v>
      </c>
      <c r="F121" s="11">
        <v>4</v>
      </c>
      <c r="G121" s="13">
        <v>6</v>
      </c>
      <c r="H121" s="13">
        <v>81588</v>
      </c>
      <c r="I121" s="11" t="s">
        <v>17</v>
      </c>
      <c r="J121" s="13">
        <v>15748711</v>
      </c>
      <c r="K121" s="13" t="s">
        <v>150</v>
      </c>
      <c r="L121" s="13" t="s">
        <v>154</v>
      </c>
      <c r="M121" s="17">
        <v>149900</v>
      </c>
      <c r="N121" s="15">
        <v>0.75</v>
      </c>
      <c r="O121" s="16">
        <f t="shared" si="5"/>
        <v>37475</v>
      </c>
      <c r="P121" s="11" t="s">
        <v>20</v>
      </c>
    </row>
    <row r="122" spans="1:16" x14ac:dyDescent="0.25">
      <c r="A122" s="9" t="str">
        <f t="shared" si="9"/>
        <v>2024 ALL D75</v>
      </c>
      <c r="B122" s="10">
        <f>'[1]2019 ALL D95'!B122</f>
        <v>46104</v>
      </c>
      <c r="C122" s="10">
        <f>'[1]2019 ALL D95'!C122</f>
        <v>46113</v>
      </c>
      <c r="D122" s="11">
        <v>3273</v>
      </c>
      <c r="E122" s="11">
        <v>336</v>
      </c>
      <c r="F122" s="11">
        <v>4</v>
      </c>
      <c r="G122" s="13">
        <v>6</v>
      </c>
      <c r="H122" s="13">
        <v>81588</v>
      </c>
      <c r="I122" s="11" t="s">
        <v>17</v>
      </c>
      <c r="J122" s="13">
        <v>15748720</v>
      </c>
      <c r="K122" s="13" t="s">
        <v>150</v>
      </c>
      <c r="L122" s="13" t="s">
        <v>155</v>
      </c>
      <c r="M122" s="17">
        <v>149900</v>
      </c>
      <c r="N122" s="15">
        <v>0.75</v>
      </c>
      <c r="O122" s="16">
        <f t="shared" si="5"/>
        <v>37475</v>
      </c>
      <c r="P122" s="11" t="s">
        <v>20</v>
      </c>
    </row>
    <row r="123" spans="1:16" x14ac:dyDescent="0.25">
      <c r="A123" s="9" t="str">
        <f t="shared" si="9"/>
        <v>2024 ALL D75</v>
      </c>
      <c r="B123" s="10">
        <f>'[1]2019 ALL D95'!B123</f>
        <v>46104</v>
      </c>
      <c r="C123" s="10">
        <f>'[1]2019 ALL D95'!C123</f>
        <v>46113</v>
      </c>
      <c r="D123" s="11">
        <v>3273</v>
      </c>
      <c r="E123" s="11">
        <v>336</v>
      </c>
      <c r="F123" s="11">
        <v>4</v>
      </c>
      <c r="G123" s="13">
        <v>6</v>
      </c>
      <c r="H123" s="13">
        <v>81588</v>
      </c>
      <c r="I123" s="11" t="s">
        <v>17</v>
      </c>
      <c r="J123" s="13">
        <v>15748739</v>
      </c>
      <c r="K123" s="13" t="s">
        <v>150</v>
      </c>
      <c r="L123" s="13" t="s">
        <v>156</v>
      </c>
      <c r="M123" s="17">
        <v>149900</v>
      </c>
      <c r="N123" s="15">
        <v>0.75</v>
      </c>
      <c r="O123" s="16">
        <f t="shared" si="5"/>
        <v>37475</v>
      </c>
      <c r="P123" s="11" t="s">
        <v>20</v>
      </c>
    </row>
    <row r="124" spans="1:16" x14ac:dyDescent="0.25">
      <c r="A124" s="9" t="str">
        <f t="shared" si="9"/>
        <v>2024 ALL D75</v>
      </c>
      <c r="B124" s="10">
        <f>'[1]2019 ALL D95'!B124</f>
        <v>46104</v>
      </c>
      <c r="C124" s="10">
        <f>'[1]2019 ALL D95'!C124</f>
        <v>46113</v>
      </c>
      <c r="D124" s="11">
        <v>3273</v>
      </c>
      <c r="E124" s="11">
        <v>336</v>
      </c>
      <c r="F124" s="11">
        <v>4</v>
      </c>
      <c r="G124" s="13">
        <v>6</v>
      </c>
      <c r="H124" s="13">
        <v>81588</v>
      </c>
      <c r="I124" s="11" t="s">
        <v>17</v>
      </c>
      <c r="J124" s="13">
        <v>15748748</v>
      </c>
      <c r="K124" s="13" t="s">
        <v>150</v>
      </c>
      <c r="L124" s="13" t="s">
        <v>157</v>
      </c>
      <c r="M124" s="17">
        <v>149900</v>
      </c>
      <c r="N124" s="15">
        <v>0.75</v>
      </c>
      <c r="O124" s="16">
        <f t="shared" si="5"/>
        <v>37475</v>
      </c>
      <c r="P124" s="11" t="s">
        <v>20</v>
      </c>
    </row>
    <row r="125" spans="1:16" x14ac:dyDescent="0.25">
      <c r="A125" s="9" t="str">
        <f t="shared" si="9"/>
        <v>2024 ALL D75</v>
      </c>
      <c r="B125" s="10">
        <f>'[1]2019 ALL D95'!B125</f>
        <v>46104</v>
      </c>
      <c r="C125" s="10">
        <f>'[1]2019 ALL D95'!C125</f>
        <v>46113</v>
      </c>
      <c r="D125" s="11">
        <v>3273</v>
      </c>
      <c r="E125" s="11">
        <v>336</v>
      </c>
      <c r="F125" s="11">
        <v>4</v>
      </c>
      <c r="G125" s="13">
        <v>6</v>
      </c>
      <c r="H125" s="13">
        <v>81588</v>
      </c>
      <c r="I125" s="11" t="s">
        <v>17</v>
      </c>
      <c r="J125" s="13">
        <v>15748757</v>
      </c>
      <c r="K125" s="13" t="s">
        <v>150</v>
      </c>
      <c r="L125" s="13" t="s">
        <v>158</v>
      </c>
      <c r="M125" s="17">
        <v>149900</v>
      </c>
      <c r="N125" s="15">
        <v>0.75</v>
      </c>
      <c r="O125" s="16">
        <f t="shared" si="5"/>
        <v>37475</v>
      </c>
      <c r="P125" s="11" t="s">
        <v>20</v>
      </c>
    </row>
    <row r="126" spans="1:16" x14ac:dyDescent="0.25">
      <c r="A126" s="9" t="str">
        <f t="shared" si="9"/>
        <v>2024 ALL D75</v>
      </c>
      <c r="B126" s="10">
        <f>'[1]2019 ALL D95'!B126</f>
        <v>46104</v>
      </c>
      <c r="C126" s="10">
        <f>'[1]2019 ALL D95'!C126</f>
        <v>46113</v>
      </c>
      <c r="D126" s="11">
        <v>3273</v>
      </c>
      <c r="E126" s="11">
        <v>336</v>
      </c>
      <c r="F126" s="11">
        <v>4</v>
      </c>
      <c r="G126" s="13">
        <v>6</v>
      </c>
      <c r="H126" s="13">
        <v>81588</v>
      </c>
      <c r="I126" s="11" t="s">
        <v>17</v>
      </c>
      <c r="J126" s="13">
        <v>15748766</v>
      </c>
      <c r="K126" s="13" t="s">
        <v>159</v>
      </c>
      <c r="L126" s="13" t="s">
        <v>160</v>
      </c>
      <c r="M126" s="17">
        <v>149900</v>
      </c>
      <c r="N126" s="15">
        <v>0.75</v>
      </c>
      <c r="O126" s="16">
        <f t="shared" si="5"/>
        <v>37475</v>
      </c>
      <c r="P126" s="11" t="s">
        <v>20</v>
      </c>
    </row>
    <row r="127" spans="1:16" x14ac:dyDescent="0.25">
      <c r="A127" s="9" t="str">
        <f t="shared" si="9"/>
        <v>2024 ALL D75</v>
      </c>
      <c r="B127" s="10">
        <f>'[1]2019 ALL D95'!B127</f>
        <v>46104</v>
      </c>
      <c r="C127" s="10">
        <f>'[1]2019 ALL D95'!C127</f>
        <v>46113</v>
      </c>
      <c r="D127" s="11">
        <v>3273</v>
      </c>
      <c r="E127" s="11">
        <v>336</v>
      </c>
      <c r="F127" s="11">
        <v>4</v>
      </c>
      <c r="G127" s="13">
        <v>6</v>
      </c>
      <c r="H127" s="13">
        <v>81588</v>
      </c>
      <c r="I127" s="11" t="s">
        <v>17</v>
      </c>
      <c r="J127" s="13">
        <v>15748775</v>
      </c>
      <c r="K127" s="13" t="s">
        <v>159</v>
      </c>
      <c r="L127" s="13" t="s">
        <v>161</v>
      </c>
      <c r="M127" s="17">
        <v>149900</v>
      </c>
      <c r="N127" s="15">
        <v>0.75</v>
      </c>
      <c r="O127" s="16">
        <f t="shared" si="5"/>
        <v>37475</v>
      </c>
      <c r="P127" s="11" t="s">
        <v>20</v>
      </c>
    </row>
    <row r="128" spans="1:16" x14ac:dyDescent="0.25">
      <c r="A128" s="9" t="str">
        <f t="shared" si="9"/>
        <v>2024 ALL D75</v>
      </c>
      <c r="B128" s="10">
        <f>'[1]2019 ALL D95'!B128</f>
        <v>46104</v>
      </c>
      <c r="C128" s="10">
        <f>'[1]2019 ALL D95'!C128</f>
        <v>46113</v>
      </c>
      <c r="D128" s="11">
        <v>3273</v>
      </c>
      <c r="E128" s="11">
        <v>336</v>
      </c>
      <c r="F128" s="11">
        <v>4</v>
      </c>
      <c r="G128" s="13">
        <v>6</v>
      </c>
      <c r="H128" s="13">
        <v>81588</v>
      </c>
      <c r="I128" s="11" t="s">
        <v>17</v>
      </c>
      <c r="J128" s="13">
        <v>15748784</v>
      </c>
      <c r="K128" s="13" t="s">
        <v>159</v>
      </c>
      <c r="L128" s="13" t="s">
        <v>162</v>
      </c>
      <c r="M128" s="17">
        <v>149900</v>
      </c>
      <c r="N128" s="15">
        <v>0.75</v>
      </c>
      <c r="O128" s="16">
        <f t="shared" si="5"/>
        <v>37475</v>
      </c>
      <c r="P128" s="11" t="s">
        <v>20</v>
      </c>
    </row>
    <row r="129" spans="1:16" x14ac:dyDescent="0.25">
      <c r="A129" s="9" t="str">
        <f t="shared" si="9"/>
        <v>2024 ALL D75</v>
      </c>
      <c r="B129" s="10">
        <f>'[1]2019 ALL D95'!B129</f>
        <v>46104</v>
      </c>
      <c r="C129" s="10">
        <f>'[1]2019 ALL D95'!C129</f>
        <v>46113</v>
      </c>
      <c r="D129" s="11">
        <v>3273</v>
      </c>
      <c r="E129" s="11">
        <v>336</v>
      </c>
      <c r="F129" s="11">
        <v>4</v>
      </c>
      <c r="G129" s="13">
        <v>6</v>
      </c>
      <c r="H129" s="13">
        <v>81588</v>
      </c>
      <c r="I129" s="11" t="s">
        <v>17</v>
      </c>
      <c r="J129" s="13">
        <v>15748793</v>
      </c>
      <c r="K129" s="13" t="s">
        <v>159</v>
      </c>
      <c r="L129" s="13" t="s">
        <v>163</v>
      </c>
      <c r="M129" s="17">
        <v>149900</v>
      </c>
      <c r="N129" s="15">
        <v>0.75</v>
      </c>
      <c r="O129" s="16">
        <f t="shared" si="5"/>
        <v>37475</v>
      </c>
      <c r="P129" s="11" t="s">
        <v>20</v>
      </c>
    </row>
    <row r="130" spans="1:16" x14ac:dyDescent="0.25">
      <c r="A130" s="9" t="str">
        <f t="shared" si="9"/>
        <v>2024 ALL D75</v>
      </c>
      <c r="B130" s="10">
        <f>'[1]2019 ALL D95'!B130</f>
        <v>46104</v>
      </c>
      <c r="C130" s="10">
        <f>'[1]2019 ALL D95'!C130</f>
        <v>46113</v>
      </c>
      <c r="D130" s="11">
        <v>3273</v>
      </c>
      <c r="E130" s="11">
        <v>336</v>
      </c>
      <c r="F130" s="11">
        <v>4</v>
      </c>
      <c r="G130" s="13">
        <v>6</v>
      </c>
      <c r="H130" s="13">
        <v>81588</v>
      </c>
      <c r="I130" s="11" t="s">
        <v>17</v>
      </c>
      <c r="J130" s="13">
        <v>15748800</v>
      </c>
      <c r="K130" s="13" t="s">
        <v>159</v>
      </c>
      <c r="L130" s="13" t="s">
        <v>164</v>
      </c>
      <c r="M130" s="17">
        <v>149900</v>
      </c>
      <c r="N130" s="15">
        <v>0.75</v>
      </c>
      <c r="O130" s="16">
        <f t="shared" ref="O130:O193" si="10">M130*(1-N130)</f>
        <v>37475</v>
      </c>
      <c r="P130" s="11" t="s">
        <v>20</v>
      </c>
    </row>
    <row r="131" spans="1:16" x14ac:dyDescent="0.25">
      <c r="A131" s="9" t="str">
        <f t="shared" ref="A131:A146" si="11">A130</f>
        <v>2024 ALL D75</v>
      </c>
      <c r="B131" s="10">
        <f>'[1]2019 ALL D95'!B131</f>
        <v>46104</v>
      </c>
      <c r="C131" s="10">
        <f>'[1]2019 ALL D95'!C131</f>
        <v>46113</v>
      </c>
      <c r="D131" s="11">
        <v>3273</v>
      </c>
      <c r="E131" s="11">
        <v>336</v>
      </c>
      <c r="F131" s="11">
        <v>4</v>
      </c>
      <c r="G131" s="13">
        <v>6</v>
      </c>
      <c r="H131" s="13">
        <v>81588</v>
      </c>
      <c r="I131" s="11" t="s">
        <v>17</v>
      </c>
      <c r="J131" s="13">
        <v>15748819</v>
      </c>
      <c r="K131" s="13" t="s">
        <v>159</v>
      </c>
      <c r="L131" s="13" t="s">
        <v>165</v>
      </c>
      <c r="M131" s="17">
        <v>149900</v>
      </c>
      <c r="N131" s="15">
        <v>0.75</v>
      </c>
      <c r="O131" s="16">
        <f t="shared" si="10"/>
        <v>37475</v>
      </c>
      <c r="P131" s="11" t="s">
        <v>20</v>
      </c>
    </row>
    <row r="132" spans="1:16" x14ac:dyDescent="0.25">
      <c r="A132" s="9" t="str">
        <f t="shared" si="11"/>
        <v>2024 ALL D75</v>
      </c>
      <c r="B132" s="10">
        <f>'[1]2019 ALL D95'!B132</f>
        <v>46104</v>
      </c>
      <c r="C132" s="10">
        <f>'[1]2019 ALL D95'!C132</f>
        <v>46113</v>
      </c>
      <c r="D132" s="11">
        <v>3273</v>
      </c>
      <c r="E132" s="11">
        <v>336</v>
      </c>
      <c r="F132" s="11">
        <v>4</v>
      </c>
      <c r="G132" s="13">
        <v>6</v>
      </c>
      <c r="H132" s="13">
        <v>81588</v>
      </c>
      <c r="I132" s="11" t="s">
        <v>17</v>
      </c>
      <c r="J132" s="13">
        <v>15748828</v>
      </c>
      <c r="K132" s="13" t="s">
        <v>159</v>
      </c>
      <c r="L132" s="13" t="s">
        <v>166</v>
      </c>
      <c r="M132" s="17">
        <v>149900</v>
      </c>
      <c r="N132" s="15">
        <v>0.75</v>
      </c>
      <c r="O132" s="16">
        <f t="shared" si="10"/>
        <v>37475</v>
      </c>
      <c r="P132" s="11" t="s">
        <v>20</v>
      </c>
    </row>
    <row r="133" spans="1:16" x14ac:dyDescent="0.25">
      <c r="A133" s="9" t="str">
        <f t="shared" si="11"/>
        <v>2024 ALL D75</v>
      </c>
      <c r="B133" s="10">
        <f>'[1]2019 ALL D95'!B133</f>
        <v>46104</v>
      </c>
      <c r="C133" s="10">
        <f>'[1]2019 ALL D95'!C133</f>
        <v>46113</v>
      </c>
      <c r="D133" s="11">
        <v>3273</v>
      </c>
      <c r="E133" s="11">
        <v>336</v>
      </c>
      <c r="F133" s="11">
        <v>4</v>
      </c>
      <c r="G133" s="13">
        <v>6</v>
      </c>
      <c r="H133" s="13">
        <v>81588</v>
      </c>
      <c r="I133" s="11" t="s">
        <v>17</v>
      </c>
      <c r="J133" s="13">
        <v>15748837</v>
      </c>
      <c r="K133" s="13" t="s">
        <v>159</v>
      </c>
      <c r="L133" s="13" t="s">
        <v>167</v>
      </c>
      <c r="M133" s="17">
        <v>149900</v>
      </c>
      <c r="N133" s="15">
        <v>0.75</v>
      </c>
      <c r="O133" s="16">
        <f t="shared" si="10"/>
        <v>37475</v>
      </c>
      <c r="P133" s="11" t="s">
        <v>20</v>
      </c>
    </row>
    <row r="134" spans="1:16" x14ac:dyDescent="0.25">
      <c r="A134" s="9" t="str">
        <f t="shared" si="11"/>
        <v>2024 ALL D75</v>
      </c>
      <c r="B134" s="10">
        <f>'[1]2019 ALL D95'!B134</f>
        <v>46104</v>
      </c>
      <c r="C134" s="10">
        <f>'[1]2019 ALL D95'!C134</f>
        <v>46113</v>
      </c>
      <c r="D134" s="11">
        <v>3273</v>
      </c>
      <c r="E134" s="11">
        <v>336</v>
      </c>
      <c r="F134" s="11">
        <v>4</v>
      </c>
      <c r="G134" s="13">
        <v>6</v>
      </c>
      <c r="H134" s="13">
        <v>81588</v>
      </c>
      <c r="I134" s="11" t="s">
        <v>17</v>
      </c>
      <c r="J134" s="13">
        <v>15748846</v>
      </c>
      <c r="K134" s="13" t="s">
        <v>168</v>
      </c>
      <c r="L134" s="13" t="s">
        <v>169</v>
      </c>
      <c r="M134" s="17">
        <v>149900</v>
      </c>
      <c r="N134" s="15">
        <v>0.75</v>
      </c>
      <c r="O134" s="16">
        <f t="shared" si="10"/>
        <v>37475</v>
      </c>
      <c r="P134" s="11" t="s">
        <v>20</v>
      </c>
    </row>
    <row r="135" spans="1:16" x14ac:dyDescent="0.25">
      <c r="A135" s="9" t="str">
        <f t="shared" si="11"/>
        <v>2024 ALL D75</v>
      </c>
      <c r="B135" s="10">
        <f>'[1]2019 ALL D95'!B135</f>
        <v>46104</v>
      </c>
      <c r="C135" s="10">
        <f>'[1]2019 ALL D95'!C135</f>
        <v>46113</v>
      </c>
      <c r="D135" s="11">
        <v>3273</v>
      </c>
      <c r="E135" s="11">
        <v>336</v>
      </c>
      <c r="F135" s="11">
        <v>4</v>
      </c>
      <c r="G135" s="13">
        <v>6</v>
      </c>
      <c r="H135" s="13">
        <v>81588</v>
      </c>
      <c r="I135" s="11" t="s">
        <v>17</v>
      </c>
      <c r="J135" s="13">
        <v>15748855</v>
      </c>
      <c r="K135" s="13" t="s">
        <v>168</v>
      </c>
      <c r="L135" s="13" t="s">
        <v>170</v>
      </c>
      <c r="M135" s="17">
        <v>149900</v>
      </c>
      <c r="N135" s="15">
        <v>0.75</v>
      </c>
      <c r="O135" s="16">
        <f t="shared" si="10"/>
        <v>37475</v>
      </c>
      <c r="P135" s="11" t="s">
        <v>20</v>
      </c>
    </row>
    <row r="136" spans="1:16" x14ac:dyDescent="0.25">
      <c r="A136" s="9" t="str">
        <f t="shared" si="11"/>
        <v>2024 ALL D75</v>
      </c>
      <c r="B136" s="10">
        <f>'[1]2019 ALL D95'!B136</f>
        <v>46104</v>
      </c>
      <c r="C136" s="10">
        <f>'[1]2019 ALL D95'!C136</f>
        <v>46113</v>
      </c>
      <c r="D136" s="11">
        <v>3273</v>
      </c>
      <c r="E136" s="11">
        <v>336</v>
      </c>
      <c r="F136" s="11">
        <v>4</v>
      </c>
      <c r="G136" s="13">
        <v>6</v>
      </c>
      <c r="H136" s="13">
        <v>81588</v>
      </c>
      <c r="I136" s="11" t="s">
        <v>17</v>
      </c>
      <c r="J136" s="13">
        <v>15748873</v>
      </c>
      <c r="K136" s="13" t="s">
        <v>168</v>
      </c>
      <c r="L136" s="13" t="s">
        <v>171</v>
      </c>
      <c r="M136" s="17">
        <v>149900</v>
      </c>
      <c r="N136" s="15">
        <v>0.75</v>
      </c>
      <c r="O136" s="16">
        <f t="shared" si="10"/>
        <v>37475</v>
      </c>
      <c r="P136" s="11" t="s">
        <v>20</v>
      </c>
    </row>
    <row r="137" spans="1:16" x14ac:dyDescent="0.25">
      <c r="A137" s="9" t="str">
        <f t="shared" si="11"/>
        <v>2024 ALL D75</v>
      </c>
      <c r="B137" s="10">
        <f>'[1]2019 ALL D95'!B137</f>
        <v>46104</v>
      </c>
      <c r="C137" s="10">
        <f>'[1]2019 ALL D95'!C137</f>
        <v>46113</v>
      </c>
      <c r="D137" s="11">
        <v>3273</v>
      </c>
      <c r="E137" s="11">
        <v>336</v>
      </c>
      <c r="F137" s="11">
        <v>4</v>
      </c>
      <c r="G137" s="13">
        <v>6</v>
      </c>
      <c r="H137" s="13">
        <v>81588</v>
      </c>
      <c r="I137" s="11" t="s">
        <v>17</v>
      </c>
      <c r="J137" s="13">
        <v>15748882</v>
      </c>
      <c r="K137" s="13" t="s">
        <v>168</v>
      </c>
      <c r="L137" s="13" t="s">
        <v>172</v>
      </c>
      <c r="M137" s="17">
        <v>149900</v>
      </c>
      <c r="N137" s="15">
        <v>0.75</v>
      </c>
      <c r="O137" s="16">
        <f t="shared" si="10"/>
        <v>37475</v>
      </c>
      <c r="P137" s="11" t="s">
        <v>20</v>
      </c>
    </row>
    <row r="138" spans="1:16" x14ac:dyDescent="0.25">
      <c r="A138" s="9" t="str">
        <f t="shared" si="11"/>
        <v>2024 ALL D75</v>
      </c>
      <c r="B138" s="10">
        <f>'[1]2019 ALL D95'!B138</f>
        <v>46104</v>
      </c>
      <c r="C138" s="10">
        <f>'[1]2019 ALL D95'!C138</f>
        <v>46113</v>
      </c>
      <c r="D138" s="11">
        <v>3273</v>
      </c>
      <c r="E138" s="11">
        <v>336</v>
      </c>
      <c r="F138" s="11">
        <v>4</v>
      </c>
      <c r="G138" s="13">
        <v>6</v>
      </c>
      <c r="H138" s="13">
        <v>81588</v>
      </c>
      <c r="I138" s="11" t="s">
        <v>17</v>
      </c>
      <c r="J138" s="13">
        <v>15748891</v>
      </c>
      <c r="K138" s="13" t="s">
        <v>168</v>
      </c>
      <c r="L138" s="13" t="s">
        <v>173</v>
      </c>
      <c r="M138" s="17">
        <v>149900</v>
      </c>
      <c r="N138" s="15">
        <v>0.75</v>
      </c>
      <c r="O138" s="16">
        <f t="shared" si="10"/>
        <v>37475</v>
      </c>
      <c r="P138" s="11" t="s">
        <v>20</v>
      </c>
    </row>
    <row r="139" spans="1:16" x14ac:dyDescent="0.25">
      <c r="A139" s="9" t="str">
        <f t="shared" si="11"/>
        <v>2024 ALL D75</v>
      </c>
      <c r="B139" s="10">
        <f>'[1]2019 ALL D95'!B139</f>
        <v>46104</v>
      </c>
      <c r="C139" s="10">
        <f>'[1]2019 ALL D95'!C139</f>
        <v>46113</v>
      </c>
      <c r="D139" s="11">
        <v>3273</v>
      </c>
      <c r="E139" s="11">
        <v>336</v>
      </c>
      <c r="F139" s="11">
        <v>4</v>
      </c>
      <c r="G139" s="13">
        <v>6</v>
      </c>
      <c r="H139" s="13">
        <v>81588</v>
      </c>
      <c r="I139" s="11" t="s">
        <v>17</v>
      </c>
      <c r="J139" s="13">
        <v>15748908</v>
      </c>
      <c r="K139" s="13" t="s">
        <v>168</v>
      </c>
      <c r="L139" s="13" t="s">
        <v>174</v>
      </c>
      <c r="M139" s="17">
        <v>149900</v>
      </c>
      <c r="N139" s="15">
        <v>0.75</v>
      </c>
      <c r="O139" s="16">
        <f t="shared" si="10"/>
        <v>37475</v>
      </c>
      <c r="P139" s="11" t="s">
        <v>20</v>
      </c>
    </row>
    <row r="140" spans="1:16" x14ac:dyDescent="0.25">
      <c r="A140" s="9" t="str">
        <f t="shared" si="11"/>
        <v>2024 ALL D75</v>
      </c>
      <c r="B140" s="10">
        <f>'[1]2019 ALL D95'!B140</f>
        <v>46104</v>
      </c>
      <c r="C140" s="10">
        <f>'[1]2019 ALL D95'!C140</f>
        <v>46113</v>
      </c>
      <c r="D140" s="11">
        <v>3273</v>
      </c>
      <c r="E140" s="11">
        <v>336</v>
      </c>
      <c r="F140" s="11">
        <v>4</v>
      </c>
      <c r="G140" s="13">
        <v>6</v>
      </c>
      <c r="H140" s="13">
        <v>81588</v>
      </c>
      <c r="I140" s="11" t="s">
        <v>17</v>
      </c>
      <c r="J140" s="13">
        <v>15748917</v>
      </c>
      <c r="K140" s="13" t="s">
        <v>168</v>
      </c>
      <c r="L140" s="13" t="s">
        <v>175</v>
      </c>
      <c r="M140" s="17">
        <v>149900</v>
      </c>
      <c r="N140" s="15">
        <v>0.75</v>
      </c>
      <c r="O140" s="16">
        <f t="shared" si="10"/>
        <v>37475</v>
      </c>
      <c r="P140" s="11" t="s">
        <v>20</v>
      </c>
    </row>
    <row r="141" spans="1:16" x14ac:dyDescent="0.25">
      <c r="A141" s="9" t="str">
        <f t="shared" si="11"/>
        <v>2024 ALL D75</v>
      </c>
      <c r="B141" s="10">
        <f>'[1]2019 ALL D95'!B141</f>
        <v>46104</v>
      </c>
      <c r="C141" s="10">
        <f>'[1]2019 ALL D95'!C141</f>
        <v>46113</v>
      </c>
      <c r="D141" s="11">
        <v>3273</v>
      </c>
      <c r="E141" s="11">
        <v>336</v>
      </c>
      <c r="F141" s="11">
        <v>4</v>
      </c>
      <c r="G141" s="13">
        <v>6</v>
      </c>
      <c r="H141" s="13">
        <v>81588</v>
      </c>
      <c r="I141" s="11" t="s">
        <v>17</v>
      </c>
      <c r="J141" s="13">
        <v>15748926</v>
      </c>
      <c r="K141" s="13" t="s">
        <v>168</v>
      </c>
      <c r="L141" s="13" t="s">
        <v>176</v>
      </c>
      <c r="M141" s="17">
        <v>149900</v>
      </c>
      <c r="N141" s="15">
        <v>0.75</v>
      </c>
      <c r="O141" s="16">
        <f t="shared" si="10"/>
        <v>37475</v>
      </c>
      <c r="P141" s="11" t="s">
        <v>20</v>
      </c>
    </row>
    <row r="142" spans="1:16" x14ac:dyDescent="0.25">
      <c r="A142" s="9" t="str">
        <f t="shared" si="11"/>
        <v>2024 ALL D75</v>
      </c>
      <c r="B142" s="10">
        <f>'[1]2019 ALL D95'!B142</f>
        <v>46104</v>
      </c>
      <c r="C142" s="10">
        <f>'[1]2019 ALL D95'!C142</f>
        <v>46113</v>
      </c>
      <c r="D142" s="11">
        <v>3273</v>
      </c>
      <c r="E142" s="11">
        <v>336</v>
      </c>
      <c r="F142" s="11">
        <v>4</v>
      </c>
      <c r="G142" s="13">
        <v>6</v>
      </c>
      <c r="H142" s="13">
        <v>81676</v>
      </c>
      <c r="I142" s="11" t="s">
        <v>17</v>
      </c>
      <c r="J142" s="13">
        <v>15749023</v>
      </c>
      <c r="K142" s="13" t="s">
        <v>177</v>
      </c>
      <c r="L142" s="13" t="s">
        <v>178</v>
      </c>
      <c r="M142" s="17">
        <v>149900</v>
      </c>
      <c r="N142" s="15">
        <v>0.75</v>
      </c>
      <c r="O142" s="16">
        <f t="shared" si="10"/>
        <v>37475</v>
      </c>
      <c r="P142" s="11" t="s">
        <v>20</v>
      </c>
    </row>
    <row r="143" spans="1:16" x14ac:dyDescent="0.25">
      <c r="A143" s="9" t="str">
        <f t="shared" si="11"/>
        <v>2024 ALL D75</v>
      </c>
      <c r="B143" s="10">
        <f>'[1]2019 ALL D95'!B143</f>
        <v>46104</v>
      </c>
      <c r="C143" s="10">
        <f>'[1]2019 ALL D95'!C143</f>
        <v>46113</v>
      </c>
      <c r="D143" s="11">
        <v>3273</v>
      </c>
      <c r="E143" s="11">
        <v>336</v>
      </c>
      <c r="F143" s="11">
        <v>4</v>
      </c>
      <c r="G143" s="13">
        <v>6</v>
      </c>
      <c r="H143" s="13">
        <v>81676</v>
      </c>
      <c r="I143" s="11" t="s">
        <v>17</v>
      </c>
      <c r="J143" s="13">
        <v>15749032</v>
      </c>
      <c r="K143" s="13" t="s">
        <v>177</v>
      </c>
      <c r="L143" s="13" t="s">
        <v>179</v>
      </c>
      <c r="M143" s="17">
        <v>149900</v>
      </c>
      <c r="N143" s="15">
        <v>0.75</v>
      </c>
      <c r="O143" s="16">
        <f t="shared" si="10"/>
        <v>37475</v>
      </c>
      <c r="P143" s="11" t="s">
        <v>20</v>
      </c>
    </row>
    <row r="144" spans="1:16" x14ac:dyDescent="0.25">
      <c r="A144" s="9" t="str">
        <f t="shared" si="11"/>
        <v>2024 ALL D75</v>
      </c>
      <c r="B144" s="10">
        <f>'[1]2019 ALL D95'!B144</f>
        <v>46104</v>
      </c>
      <c r="C144" s="10">
        <f>'[1]2019 ALL D95'!C144</f>
        <v>46113</v>
      </c>
      <c r="D144" s="11">
        <v>3273</v>
      </c>
      <c r="E144" s="11">
        <v>336</v>
      </c>
      <c r="F144" s="11">
        <v>4</v>
      </c>
      <c r="G144" s="13">
        <v>6</v>
      </c>
      <c r="H144" s="13">
        <v>81676</v>
      </c>
      <c r="I144" s="11" t="s">
        <v>17</v>
      </c>
      <c r="J144" s="13">
        <v>15749041</v>
      </c>
      <c r="K144" s="13" t="s">
        <v>177</v>
      </c>
      <c r="L144" s="13" t="s">
        <v>180</v>
      </c>
      <c r="M144" s="17">
        <v>149900</v>
      </c>
      <c r="N144" s="15">
        <v>0.75</v>
      </c>
      <c r="O144" s="16">
        <f t="shared" si="10"/>
        <v>37475</v>
      </c>
      <c r="P144" s="11" t="s">
        <v>20</v>
      </c>
    </row>
    <row r="145" spans="1:16" x14ac:dyDescent="0.25">
      <c r="A145" s="9" t="str">
        <f t="shared" si="11"/>
        <v>2024 ALL D75</v>
      </c>
      <c r="B145" s="10">
        <f>'[1]2019 ALL D95'!B145</f>
        <v>46104</v>
      </c>
      <c r="C145" s="10">
        <f>'[1]2019 ALL D95'!C145</f>
        <v>46113</v>
      </c>
      <c r="D145" s="11">
        <v>3273</v>
      </c>
      <c r="E145" s="11">
        <v>336</v>
      </c>
      <c r="F145" s="11">
        <v>4</v>
      </c>
      <c r="G145" s="13">
        <v>6</v>
      </c>
      <c r="H145" s="13">
        <v>81676</v>
      </c>
      <c r="I145" s="11" t="s">
        <v>17</v>
      </c>
      <c r="J145" s="13">
        <v>15749050</v>
      </c>
      <c r="K145" s="13" t="s">
        <v>177</v>
      </c>
      <c r="L145" s="13" t="s">
        <v>181</v>
      </c>
      <c r="M145" s="17">
        <v>149900</v>
      </c>
      <c r="N145" s="15">
        <v>0.75</v>
      </c>
      <c r="O145" s="16">
        <f t="shared" si="10"/>
        <v>37475</v>
      </c>
      <c r="P145" s="11" t="s">
        <v>20</v>
      </c>
    </row>
    <row r="146" spans="1:16" x14ac:dyDescent="0.25">
      <c r="A146" s="9" t="str">
        <f t="shared" si="11"/>
        <v>2024 ALL D75</v>
      </c>
      <c r="B146" s="10">
        <f>'[1]2019 ALL D95'!B146</f>
        <v>46104</v>
      </c>
      <c r="C146" s="10">
        <f>'[1]2019 ALL D95'!C146</f>
        <v>46113</v>
      </c>
      <c r="D146" s="11">
        <v>3273</v>
      </c>
      <c r="E146" s="11">
        <v>336</v>
      </c>
      <c r="F146" s="11">
        <v>4</v>
      </c>
      <c r="G146" s="13">
        <v>6</v>
      </c>
      <c r="H146" s="13">
        <v>81676</v>
      </c>
      <c r="I146" s="11" t="s">
        <v>17</v>
      </c>
      <c r="J146" s="13">
        <v>15749069</v>
      </c>
      <c r="K146" s="13" t="s">
        <v>177</v>
      </c>
      <c r="L146" s="13" t="s">
        <v>182</v>
      </c>
      <c r="M146" s="17">
        <v>149900</v>
      </c>
      <c r="N146" s="15">
        <v>0.75</v>
      </c>
      <c r="O146" s="16">
        <f t="shared" si="10"/>
        <v>37475</v>
      </c>
      <c r="P146" s="11" t="s">
        <v>20</v>
      </c>
    </row>
    <row r="147" spans="1:16" x14ac:dyDescent="0.25">
      <c r="A147" s="9" t="str">
        <f t="shared" ref="A147:A162" si="12">A146</f>
        <v>2024 ALL D75</v>
      </c>
      <c r="B147" s="10">
        <f>'[1]2019 ALL D95'!B147</f>
        <v>46104</v>
      </c>
      <c r="C147" s="10">
        <f>'[1]2019 ALL D95'!C147</f>
        <v>46113</v>
      </c>
      <c r="D147" s="11">
        <v>3273</v>
      </c>
      <c r="E147" s="11">
        <v>336</v>
      </c>
      <c r="F147" s="11">
        <v>4</v>
      </c>
      <c r="G147" s="13">
        <v>6</v>
      </c>
      <c r="H147" s="13">
        <v>81676</v>
      </c>
      <c r="I147" s="11" t="s">
        <v>17</v>
      </c>
      <c r="J147" s="13">
        <v>15749078</v>
      </c>
      <c r="K147" s="13" t="s">
        <v>177</v>
      </c>
      <c r="L147" s="13" t="s">
        <v>183</v>
      </c>
      <c r="M147" s="17">
        <v>149900</v>
      </c>
      <c r="N147" s="15">
        <v>0.75</v>
      </c>
      <c r="O147" s="16">
        <f t="shared" si="10"/>
        <v>37475</v>
      </c>
      <c r="P147" s="11" t="s">
        <v>20</v>
      </c>
    </row>
    <row r="148" spans="1:16" x14ac:dyDescent="0.25">
      <c r="A148" s="9" t="str">
        <f t="shared" si="12"/>
        <v>2024 ALL D75</v>
      </c>
      <c r="B148" s="10">
        <f>'[1]2019 ALL D95'!B148</f>
        <v>46104</v>
      </c>
      <c r="C148" s="10">
        <f>'[1]2019 ALL D95'!C148</f>
        <v>46113</v>
      </c>
      <c r="D148" s="11">
        <v>3273</v>
      </c>
      <c r="E148" s="11">
        <v>336</v>
      </c>
      <c r="F148" s="11">
        <v>4</v>
      </c>
      <c r="G148" s="13">
        <v>6</v>
      </c>
      <c r="H148" s="13">
        <v>81676</v>
      </c>
      <c r="I148" s="11" t="s">
        <v>17</v>
      </c>
      <c r="J148" s="13">
        <v>15749087</v>
      </c>
      <c r="K148" s="13" t="s">
        <v>177</v>
      </c>
      <c r="L148" s="13" t="s">
        <v>184</v>
      </c>
      <c r="M148" s="17">
        <v>149900</v>
      </c>
      <c r="N148" s="15">
        <v>0.75</v>
      </c>
      <c r="O148" s="16">
        <f t="shared" si="10"/>
        <v>37475</v>
      </c>
      <c r="P148" s="11" t="s">
        <v>20</v>
      </c>
    </row>
    <row r="149" spans="1:16" x14ac:dyDescent="0.25">
      <c r="A149" s="9" t="str">
        <f t="shared" si="12"/>
        <v>2024 ALL D75</v>
      </c>
      <c r="B149" s="10">
        <f>'[1]2019 ALL D95'!B149</f>
        <v>46104</v>
      </c>
      <c r="C149" s="10">
        <f>'[1]2019 ALL D95'!C149</f>
        <v>46113</v>
      </c>
      <c r="D149" s="11">
        <v>3273</v>
      </c>
      <c r="E149" s="11">
        <v>336</v>
      </c>
      <c r="F149" s="11">
        <v>4</v>
      </c>
      <c r="G149" s="13">
        <v>6</v>
      </c>
      <c r="H149" s="13">
        <v>81676</v>
      </c>
      <c r="I149" s="11" t="s">
        <v>17</v>
      </c>
      <c r="J149" s="13">
        <v>15749096</v>
      </c>
      <c r="K149" s="13" t="s">
        <v>177</v>
      </c>
      <c r="L149" s="13" t="s">
        <v>185</v>
      </c>
      <c r="M149" s="17">
        <v>149900</v>
      </c>
      <c r="N149" s="15">
        <v>0.75</v>
      </c>
      <c r="O149" s="16">
        <f t="shared" si="10"/>
        <v>37475</v>
      </c>
      <c r="P149" s="11" t="s">
        <v>20</v>
      </c>
    </row>
    <row r="150" spans="1:16" x14ac:dyDescent="0.25">
      <c r="A150" s="9" t="str">
        <f t="shared" si="12"/>
        <v>2024 ALL D75</v>
      </c>
      <c r="B150" s="10">
        <f>'[1]2019 ALL D95'!B150</f>
        <v>46104</v>
      </c>
      <c r="C150" s="10">
        <f>'[1]2019 ALL D95'!C150</f>
        <v>46113</v>
      </c>
      <c r="D150" s="11">
        <v>3273</v>
      </c>
      <c r="E150" s="11">
        <v>336</v>
      </c>
      <c r="F150" s="11">
        <v>4</v>
      </c>
      <c r="G150" s="13">
        <v>6</v>
      </c>
      <c r="H150" s="13">
        <v>81676</v>
      </c>
      <c r="I150" s="11" t="s">
        <v>17</v>
      </c>
      <c r="J150" s="13">
        <v>15749103</v>
      </c>
      <c r="K150" s="13" t="s">
        <v>186</v>
      </c>
      <c r="L150" s="13" t="s">
        <v>187</v>
      </c>
      <c r="M150" s="17">
        <v>119900</v>
      </c>
      <c r="N150" s="15">
        <v>0.75</v>
      </c>
      <c r="O150" s="16">
        <f t="shared" si="10"/>
        <v>29975</v>
      </c>
      <c r="P150" s="11" t="s">
        <v>20</v>
      </c>
    </row>
    <row r="151" spans="1:16" x14ac:dyDescent="0.25">
      <c r="A151" s="9" t="str">
        <f t="shared" si="12"/>
        <v>2024 ALL D75</v>
      </c>
      <c r="B151" s="10">
        <f>'[1]2019 ALL D95'!B151</f>
        <v>46104</v>
      </c>
      <c r="C151" s="10">
        <f>'[1]2019 ALL D95'!C151</f>
        <v>46113</v>
      </c>
      <c r="D151" s="11">
        <v>3273</v>
      </c>
      <c r="E151" s="11">
        <v>336</v>
      </c>
      <c r="F151" s="11">
        <v>4</v>
      </c>
      <c r="G151" s="13">
        <v>6</v>
      </c>
      <c r="H151" s="13">
        <v>81676</v>
      </c>
      <c r="I151" s="11" t="s">
        <v>17</v>
      </c>
      <c r="J151" s="13">
        <v>15749112</v>
      </c>
      <c r="K151" s="13" t="s">
        <v>186</v>
      </c>
      <c r="L151" s="13" t="s">
        <v>188</v>
      </c>
      <c r="M151" s="17">
        <v>119900</v>
      </c>
      <c r="N151" s="15">
        <v>0.75</v>
      </c>
      <c r="O151" s="16">
        <f t="shared" si="10"/>
        <v>29975</v>
      </c>
      <c r="P151" s="11" t="s">
        <v>20</v>
      </c>
    </row>
    <row r="152" spans="1:16" x14ac:dyDescent="0.25">
      <c r="A152" s="9" t="str">
        <f t="shared" si="12"/>
        <v>2024 ALL D75</v>
      </c>
      <c r="B152" s="10">
        <f>'[1]2019 ALL D95'!B152</f>
        <v>46104</v>
      </c>
      <c r="C152" s="10">
        <f>'[1]2019 ALL D95'!C152</f>
        <v>46113</v>
      </c>
      <c r="D152" s="11">
        <v>3273</v>
      </c>
      <c r="E152" s="11">
        <v>336</v>
      </c>
      <c r="F152" s="11">
        <v>4</v>
      </c>
      <c r="G152" s="13">
        <v>6</v>
      </c>
      <c r="H152" s="13">
        <v>81676</v>
      </c>
      <c r="I152" s="11" t="s">
        <v>17</v>
      </c>
      <c r="J152" s="13">
        <v>15749121</v>
      </c>
      <c r="K152" s="13" t="s">
        <v>186</v>
      </c>
      <c r="L152" s="13" t="s">
        <v>189</v>
      </c>
      <c r="M152" s="17">
        <v>119900</v>
      </c>
      <c r="N152" s="15">
        <v>0.75</v>
      </c>
      <c r="O152" s="16">
        <f t="shared" si="10"/>
        <v>29975</v>
      </c>
      <c r="P152" s="11" t="s">
        <v>20</v>
      </c>
    </row>
    <row r="153" spans="1:16" x14ac:dyDescent="0.25">
      <c r="A153" s="9" t="str">
        <f t="shared" si="12"/>
        <v>2024 ALL D75</v>
      </c>
      <c r="B153" s="10">
        <f>'[1]2019 ALL D95'!B153</f>
        <v>46104</v>
      </c>
      <c r="C153" s="10">
        <f>'[1]2019 ALL D95'!C153</f>
        <v>46113</v>
      </c>
      <c r="D153" s="11">
        <v>3273</v>
      </c>
      <c r="E153" s="11">
        <v>336</v>
      </c>
      <c r="F153" s="11">
        <v>4</v>
      </c>
      <c r="G153" s="13">
        <v>6</v>
      </c>
      <c r="H153" s="13">
        <v>81676</v>
      </c>
      <c r="I153" s="11" t="s">
        <v>17</v>
      </c>
      <c r="J153" s="13">
        <v>15749130</v>
      </c>
      <c r="K153" s="13" t="s">
        <v>186</v>
      </c>
      <c r="L153" s="13" t="s">
        <v>190</v>
      </c>
      <c r="M153" s="17">
        <v>119900</v>
      </c>
      <c r="N153" s="15">
        <v>0.75</v>
      </c>
      <c r="O153" s="16">
        <f t="shared" si="10"/>
        <v>29975</v>
      </c>
      <c r="P153" s="11" t="s">
        <v>20</v>
      </c>
    </row>
    <row r="154" spans="1:16" x14ac:dyDescent="0.25">
      <c r="A154" s="9" t="str">
        <f t="shared" si="12"/>
        <v>2024 ALL D75</v>
      </c>
      <c r="B154" s="10">
        <f>'[1]2019 ALL D95'!B154</f>
        <v>46104</v>
      </c>
      <c r="C154" s="10">
        <f>'[1]2019 ALL D95'!C154</f>
        <v>46113</v>
      </c>
      <c r="D154" s="11">
        <v>3273</v>
      </c>
      <c r="E154" s="11">
        <v>336</v>
      </c>
      <c r="F154" s="11">
        <v>4</v>
      </c>
      <c r="G154" s="13">
        <v>6</v>
      </c>
      <c r="H154" s="13">
        <v>81676</v>
      </c>
      <c r="I154" s="11" t="s">
        <v>17</v>
      </c>
      <c r="J154" s="13">
        <v>15749149</v>
      </c>
      <c r="K154" s="13" t="s">
        <v>186</v>
      </c>
      <c r="L154" s="13" t="s">
        <v>191</v>
      </c>
      <c r="M154" s="17">
        <v>119900</v>
      </c>
      <c r="N154" s="15">
        <v>0.75</v>
      </c>
      <c r="O154" s="16">
        <f t="shared" si="10"/>
        <v>29975</v>
      </c>
      <c r="P154" s="11" t="s">
        <v>20</v>
      </c>
    </row>
    <row r="155" spans="1:16" x14ac:dyDescent="0.25">
      <c r="A155" s="9" t="str">
        <f t="shared" si="12"/>
        <v>2024 ALL D75</v>
      </c>
      <c r="B155" s="10">
        <f>'[1]2019 ALL D95'!B155</f>
        <v>46104</v>
      </c>
      <c r="C155" s="10">
        <f>'[1]2019 ALL D95'!C155</f>
        <v>46113</v>
      </c>
      <c r="D155" s="11">
        <v>3273</v>
      </c>
      <c r="E155" s="11">
        <v>336</v>
      </c>
      <c r="F155" s="11">
        <v>4</v>
      </c>
      <c r="G155" s="13">
        <v>6</v>
      </c>
      <c r="H155" s="13">
        <v>81676</v>
      </c>
      <c r="I155" s="11" t="s">
        <v>17</v>
      </c>
      <c r="J155" s="13">
        <v>15749158</v>
      </c>
      <c r="K155" s="13" t="s">
        <v>186</v>
      </c>
      <c r="L155" s="13" t="s">
        <v>192</v>
      </c>
      <c r="M155" s="17">
        <v>119900</v>
      </c>
      <c r="N155" s="15">
        <v>0.75</v>
      </c>
      <c r="O155" s="16">
        <f t="shared" si="10"/>
        <v>29975</v>
      </c>
      <c r="P155" s="11" t="s">
        <v>20</v>
      </c>
    </row>
    <row r="156" spans="1:16" x14ac:dyDescent="0.25">
      <c r="A156" s="9" t="str">
        <f t="shared" si="12"/>
        <v>2024 ALL D75</v>
      </c>
      <c r="B156" s="10">
        <f>'[1]2019 ALL D95'!B156</f>
        <v>46104</v>
      </c>
      <c r="C156" s="10">
        <f>'[1]2019 ALL D95'!C156</f>
        <v>46113</v>
      </c>
      <c r="D156" s="11">
        <v>3273</v>
      </c>
      <c r="E156" s="11">
        <v>336</v>
      </c>
      <c r="F156" s="11">
        <v>4</v>
      </c>
      <c r="G156" s="13">
        <v>6</v>
      </c>
      <c r="H156" s="13">
        <v>81676</v>
      </c>
      <c r="I156" s="11" t="s">
        <v>17</v>
      </c>
      <c r="J156" s="13">
        <v>15749167</v>
      </c>
      <c r="K156" s="13" t="s">
        <v>186</v>
      </c>
      <c r="L156" s="13" t="s">
        <v>193</v>
      </c>
      <c r="M156" s="17">
        <v>119900</v>
      </c>
      <c r="N156" s="15">
        <v>0.75</v>
      </c>
      <c r="O156" s="16">
        <f t="shared" si="10"/>
        <v>29975</v>
      </c>
      <c r="P156" s="11" t="s">
        <v>20</v>
      </c>
    </row>
    <row r="157" spans="1:16" x14ac:dyDescent="0.25">
      <c r="A157" s="9" t="str">
        <f t="shared" si="12"/>
        <v>2024 ALL D75</v>
      </c>
      <c r="B157" s="10">
        <f>'[1]2019 ALL D95'!B157</f>
        <v>46104</v>
      </c>
      <c r="C157" s="10">
        <f>'[1]2019 ALL D95'!C157</f>
        <v>46113</v>
      </c>
      <c r="D157" s="11">
        <v>3273</v>
      </c>
      <c r="E157" s="11">
        <v>336</v>
      </c>
      <c r="F157" s="11">
        <v>4</v>
      </c>
      <c r="G157" s="13">
        <v>6</v>
      </c>
      <c r="H157" s="13">
        <v>81676</v>
      </c>
      <c r="I157" s="11" t="s">
        <v>17</v>
      </c>
      <c r="J157" s="13">
        <v>15749176</v>
      </c>
      <c r="K157" s="13" t="s">
        <v>186</v>
      </c>
      <c r="L157" s="13" t="s">
        <v>194</v>
      </c>
      <c r="M157" s="17">
        <v>119900</v>
      </c>
      <c r="N157" s="15">
        <v>0.75</v>
      </c>
      <c r="O157" s="16">
        <f t="shared" si="10"/>
        <v>29975</v>
      </c>
      <c r="P157" s="11" t="s">
        <v>20</v>
      </c>
    </row>
    <row r="158" spans="1:16" x14ac:dyDescent="0.25">
      <c r="A158" s="9" t="str">
        <f t="shared" si="12"/>
        <v>2024 ALL D75</v>
      </c>
      <c r="B158" s="10">
        <f>'[1]2019 ALL D95'!B158</f>
        <v>46104</v>
      </c>
      <c r="C158" s="10">
        <f>'[1]2019 ALL D95'!C158</f>
        <v>46113</v>
      </c>
      <c r="D158" s="11">
        <v>3273</v>
      </c>
      <c r="E158" s="11">
        <v>336</v>
      </c>
      <c r="F158" s="11">
        <v>4</v>
      </c>
      <c r="G158" s="13">
        <v>6</v>
      </c>
      <c r="H158" s="13">
        <v>81588</v>
      </c>
      <c r="I158" s="11" t="s">
        <v>17</v>
      </c>
      <c r="J158" s="13">
        <v>15749792</v>
      </c>
      <c r="K158" s="13" t="s">
        <v>195</v>
      </c>
      <c r="L158" s="13" t="s">
        <v>196</v>
      </c>
      <c r="M158" s="17">
        <v>149900</v>
      </c>
      <c r="N158" s="15">
        <v>0.75</v>
      </c>
      <c r="O158" s="16">
        <f t="shared" si="10"/>
        <v>37475</v>
      </c>
      <c r="P158" s="11" t="s">
        <v>20</v>
      </c>
    </row>
    <row r="159" spans="1:16" x14ac:dyDescent="0.25">
      <c r="A159" s="9" t="str">
        <f t="shared" si="12"/>
        <v>2024 ALL D75</v>
      </c>
      <c r="B159" s="10">
        <f>'[1]2019 ALL D95'!B159</f>
        <v>46104</v>
      </c>
      <c r="C159" s="10">
        <f>'[1]2019 ALL D95'!C159</f>
        <v>46113</v>
      </c>
      <c r="D159" s="11">
        <v>3273</v>
      </c>
      <c r="E159" s="11">
        <v>336</v>
      </c>
      <c r="F159" s="11">
        <v>4</v>
      </c>
      <c r="G159" s="13">
        <v>6</v>
      </c>
      <c r="H159" s="13">
        <v>81588</v>
      </c>
      <c r="I159" s="11" t="s">
        <v>17</v>
      </c>
      <c r="J159" s="13">
        <v>15749809</v>
      </c>
      <c r="K159" s="13" t="s">
        <v>195</v>
      </c>
      <c r="L159" s="13" t="s">
        <v>197</v>
      </c>
      <c r="M159" s="17">
        <v>149900</v>
      </c>
      <c r="N159" s="15">
        <v>0.75</v>
      </c>
      <c r="O159" s="16">
        <f t="shared" si="10"/>
        <v>37475</v>
      </c>
      <c r="P159" s="11" t="s">
        <v>20</v>
      </c>
    </row>
    <row r="160" spans="1:16" x14ac:dyDescent="0.25">
      <c r="A160" s="9" t="str">
        <f t="shared" si="12"/>
        <v>2024 ALL D75</v>
      </c>
      <c r="B160" s="10">
        <f>'[1]2019 ALL D95'!B160</f>
        <v>46104</v>
      </c>
      <c r="C160" s="10">
        <f>'[1]2019 ALL D95'!C160</f>
        <v>46113</v>
      </c>
      <c r="D160" s="11">
        <v>3273</v>
      </c>
      <c r="E160" s="11">
        <v>336</v>
      </c>
      <c r="F160" s="11">
        <v>4</v>
      </c>
      <c r="G160" s="13">
        <v>6</v>
      </c>
      <c r="H160" s="13">
        <v>81588</v>
      </c>
      <c r="I160" s="11" t="s">
        <v>17</v>
      </c>
      <c r="J160" s="13">
        <v>15749818</v>
      </c>
      <c r="K160" s="13" t="s">
        <v>195</v>
      </c>
      <c r="L160" s="13" t="s">
        <v>198</v>
      </c>
      <c r="M160" s="17">
        <v>149900</v>
      </c>
      <c r="N160" s="15">
        <v>0.75</v>
      </c>
      <c r="O160" s="16">
        <f t="shared" si="10"/>
        <v>37475</v>
      </c>
      <c r="P160" s="11" t="s">
        <v>20</v>
      </c>
    </row>
    <row r="161" spans="1:16" x14ac:dyDescent="0.25">
      <c r="A161" s="9" t="str">
        <f t="shared" si="12"/>
        <v>2024 ALL D75</v>
      </c>
      <c r="B161" s="10">
        <f>'[1]2019 ALL D95'!B161</f>
        <v>46104</v>
      </c>
      <c r="C161" s="10">
        <f>'[1]2019 ALL D95'!C161</f>
        <v>46113</v>
      </c>
      <c r="D161" s="11">
        <v>3273</v>
      </c>
      <c r="E161" s="11">
        <v>336</v>
      </c>
      <c r="F161" s="11">
        <v>4</v>
      </c>
      <c r="G161" s="13">
        <v>6</v>
      </c>
      <c r="H161" s="13">
        <v>81588</v>
      </c>
      <c r="I161" s="11" t="s">
        <v>17</v>
      </c>
      <c r="J161" s="13">
        <v>15749827</v>
      </c>
      <c r="K161" s="13" t="s">
        <v>195</v>
      </c>
      <c r="L161" s="13" t="s">
        <v>199</v>
      </c>
      <c r="M161" s="17">
        <v>149900</v>
      </c>
      <c r="N161" s="15">
        <v>0.75</v>
      </c>
      <c r="O161" s="16">
        <f t="shared" si="10"/>
        <v>37475</v>
      </c>
      <c r="P161" s="11" t="s">
        <v>20</v>
      </c>
    </row>
    <row r="162" spans="1:16" x14ac:dyDescent="0.25">
      <c r="A162" s="9" t="str">
        <f t="shared" si="12"/>
        <v>2024 ALL D75</v>
      </c>
      <c r="B162" s="10">
        <f>'[1]2019 ALL D95'!B162</f>
        <v>46104</v>
      </c>
      <c r="C162" s="10">
        <f>'[1]2019 ALL D95'!C162</f>
        <v>46113</v>
      </c>
      <c r="D162" s="11">
        <v>3273</v>
      </c>
      <c r="E162" s="11">
        <v>336</v>
      </c>
      <c r="F162" s="11">
        <v>4</v>
      </c>
      <c r="G162" s="13">
        <v>6</v>
      </c>
      <c r="H162" s="13">
        <v>81588</v>
      </c>
      <c r="I162" s="11" t="s">
        <v>17</v>
      </c>
      <c r="J162" s="13">
        <v>15749836</v>
      </c>
      <c r="K162" s="13" t="s">
        <v>195</v>
      </c>
      <c r="L162" s="13" t="s">
        <v>200</v>
      </c>
      <c r="M162" s="17">
        <v>149900</v>
      </c>
      <c r="N162" s="15">
        <v>0.75</v>
      </c>
      <c r="O162" s="16">
        <f t="shared" si="10"/>
        <v>37475</v>
      </c>
      <c r="P162" s="11" t="s">
        <v>20</v>
      </c>
    </row>
    <row r="163" spans="1:16" x14ac:dyDescent="0.25">
      <c r="A163" s="9" t="str">
        <f t="shared" ref="A163:A178" si="13">A162</f>
        <v>2024 ALL D75</v>
      </c>
      <c r="B163" s="10">
        <f>'[1]2019 ALL D95'!B163</f>
        <v>46104</v>
      </c>
      <c r="C163" s="10">
        <f>'[1]2019 ALL D95'!C163</f>
        <v>46113</v>
      </c>
      <c r="D163" s="11">
        <v>3273</v>
      </c>
      <c r="E163" s="11">
        <v>336</v>
      </c>
      <c r="F163" s="11">
        <v>4</v>
      </c>
      <c r="G163" s="13">
        <v>6</v>
      </c>
      <c r="H163" s="13">
        <v>81588</v>
      </c>
      <c r="I163" s="11" t="s">
        <v>17</v>
      </c>
      <c r="J163" s="13">
        <v>15749845</v>
      </c>
      <c r="K163" s="13" t="s">
        <v>195</v>
      </c>
      <c r="L163" s="13" t="s">
        <v>201</v>
      </c>
      <c r="M163" s="17">
        <v>149900</v>
      </c>
      <c r="N163" s="15">
        <v>0.75</v>
      </c>
      <c r="O163" s="16">
        <f t="shared" si="10"/>
        <v>37475</v>
      </c>
      <c r="P163" s="11" t="s">
        <v>20</v>
      </c>
    </row>
    <row r="164" spans="1:16" x14ac:dyDescent="0.25">
      <c r="A164" s="9" t="str">
        <f t="shared" si="13"/>
        <v>2024 ALL D75</v>
      </c>
      <c r="B164" s="10">
        <f>'[1]2019 ALL D95'!B164</f>
        <v>46104</v>
      </c>
      <c r="C164" s="10">
        <f>'[1]2019 ALL D95'!C164</f>
        <v>46113</v>
      </c>
      <c r="D164" s="11">
        <v>3273</v>
      </c>
      <c r="E164" s="11">
        <v>336</v>
      </c>
      <c r="F164" s="11">
        <v>4</v>
      </c>
      <c r="G164" s="13">
        <v>6</v>
      </c>
      <c r="H164" s="13">
        <v>81588</v>
      </c>
      <c r="I164" s="11" t="s">
        <v>17</v>
      </c>
      <c r="J164" s="13">
        <v>15749854</v>
      </c>
      <c r="K164" s="13" t="s">
        <v>195</v>
      </c>
      <c r="L164" s="13" t="s">
        <v>202</v>
      </c>
      <c r="M164" s="17">
        <v>149900</v>
      </c>
      <c r="N164" s="15">
        <v>0.75</v>
      </c>
      <c r="O164" s="16">
        <f t="shared" si="10"/>
        <v>37475</v>
      </c>
      <c r="P164" s="11" t="s">
        <v>20</v>
      </c>
    </row>
    <row r="165" spans="1:16" x14ac:dyDescent="0.25">
      <c r="A165" s="9" t="str">
        <f t="shared" si="13"/>
        <v>2024 ALL D75</v>
      </c>
      <c r="B165" s="10">
        <f>'[1]2019 ALL D95'!B165</f>
        <v>46104</v>
      </c>
      <c r="C165" s="10">
        <f>'[1]2019 ALL D95'!C165</f>
        <v>46113</v>
      </c>
      <c r="D165" s="11">
        <v>3273</v>
      </c>
      <c r="E165" s="11">
        <v>336</v>
      </c>
      <c r="F165" s="11">
        <v>4</v>
      </c>
      <c r="G165" s="13">
        <v>6</v>
      </c>
      <c r="H165" s="13">
        <v>81588</v>
      </c>
      <c r="I165" s="11" t="s">
        <v>17</v>
      </c>
      <c r="J165" s="13">
        <v>15749863</v>
      </c>
      <c r="K165" s="13" t="s">
        <v>195</v>
      </c>
      <c r="L165" s="13" t="s">
        <v>203</v>
      </c>
      <c r="M165" s="17">
        <v>149900</v>
      </c>
      <c r="N165" s="15">
        <v>0.75</v>
      </c>
      <c r="O165" s="16">
        <f t="shared" si="10"/>
        <v>37475</v>
      </c>
      <c r="P165" s="11" t="s">
        <v>20</v>
      </c>
    </row>
    <row r="166" spans="1:16" x14ac:dyDescent="0.25">
      <c r="A166" s="9" t="str">
        <f t="shared" si="13"/>
        <v>2024 ALL D75</v>
      </c>
      <c r="B166" s="10">
        <f>'[1]2019 ALL D95'!B166</f>
        <v>46104</v>
      </c>
      <c r="C166" s="10">
        <f>'[1]2019 ALL D95'!C166</f>
        <v>46113</v>
      </c>
      <c r="D166" s="11">
        <v>3273</v>
      </c>
      <c r="E166" s="11">
        <v>336</v>
      </c>
      <c r="F166" s="11">
        <v>4</v>
      </c>
      <c r="G166" s="13">
        <v>6</v>
      </c>
      <c r="H166" s="13">
        <v>81588</v>
      </c>
      <c r="I166" s="11" t="s">
        <v>17</v>
      </c>
      <c r="J166" s="13">
        <v>15749872</v>
      </c>
      <c r="K166" s="13" t="s">
        <v>204</v>
      </c>
      <c r="L166" s="13" t="s">
        <v>205</v>
      </c>
      <c r="M166" s="17">
        <v>139900</v>
      </c>
      <c r="N166" s="15">
        <v>0.75</v>
      </c>
      <c r="O166" s="16">
        <f t="shared" si="10"/>
        <v>34975</v>
      </c>
      <c r="P166" s="11" t="s">
        <v>20</v>
      </c>
    </row>
    <row r="167" spans="1:16" x14ac:dyDescent="0.25">
      <c r="A167" s="9" t="str">
        <f t="shared" si="13"/>
        <v>2024 ALL D75</v>
      </c>
      <c r="B167" s="10">
        <f>'[1]2019 ALL D95'!B167</f>
        <v>46104</v>
      </c>
      <c r="C167" s="10">
        <f>'[1]2019 ALL D95'!C167</f>
        <v>46113</v>
      </c>
      <c r="D167" s="11">
        <v>3273</v>
      </c>
      <c r="E167" s="11">
        <v>336</v>
      </c>
      <c r="F167" s="11">
        <v>4</v>
      </c>
      <c r="G167" s="13">
        <v>6</v>
      </c>
      <c r="H167" s="13">
        <v>81588</v>
      </c>
      <c r="I167" s="11" t="s">
        <v>17</v>
      </c>
      <c r="J167" s="13">
        <v>15749881</v>
      </c>
      <c r="K167" s="13" t="s">
        <v>204</v>
      </c>
      <c r="L167" s="13" t="s">
        <v>206</v>
      </c>
      <c r="M167" s="17">
        <v>139900</v>
      </c>
      <c r="N167" s="15">
        <v>0.75</v>
      </c>
      <c r="O167" s="16">
        <f t="shared" si="10"/>
        <v>34975</v>
      </c>
      <c r="P167" s="11" t="s">
        <v>20</v>
      </c>
    </row>
    <row r="168" spans="1:16" x14ac:dyDescent="0.25">
      <c r="A168" s="9" t="str">
        <f t="shared" si="13"/>
        <v>2024 ALL D75</v>
      </c>
      <c r="B168" s="10">
        <f>'[1]2019 ALL D95'!B168</f>
        <v>46104</v>
      </c>
      <c r="C168" s="10">
        <f>'[1]2019 ALL D95'!C168</f>
        <v>46113</v>
      </c>
      <c r="D168" s="11">
        <v>3273</v>
      </c>
      <c r="E168" s="11">
        <v>336</v>
      </c>
      <c r="F168" s="11">
        <v>4</v>
      </c>
      <c r="G168" s="13">
        <v>6</v>
      </c>
      <c r="H168" s="13">
        <v>81588</v>
      </c>
      <c r="I168" s="11" t="s">
        <v>17</v>
      </c>
      <c r="J168" s="13">
        <v>15749890</v>
      </c>
      <c r="K168" s="13" t="s">
        <v>204</v>
      </c>
      <c r="L168" s="13" t="s">
        <v>207</v>
      </c>
      <c r="M168" s="17">
        <v>139900</v>
      </c>
      <c r="N168" s="15">
        <v>0.75</v>
      </c>
      <c r="O168" s="16">
        <f t="shared" si="10"/>
        <v>34975</v>
      </c>
      <c r="P168" s="11" t="s">
        <v>20</v>
      </c>
    </row>
    <row r="169" spans="1:16" x14ac:dyDescent="0.25">
      <c r="A169" s="9" t="str">
        <f t="shared" si="13"/>
        <v>2024 ALL D75</v>
      </c>
      <c r="B169" s="10">
        <f>'[1]2019 ALL D95'!B169</f>
        <v>46104</v>
      </c>
      <c r="C169" s="10">
        <f>'[1]2019 ALL D95'!C169</f>
        <v>46113</v>
      </c>
      <c r="D169" s="11">
        <v>3273</v>
      </c>
      <c r="E169" s="11">
        <v>336</v>
      </c>
      <c r="F169" s="11">
        <v>4</v>
      </c>
      <c r="G169" s="13">
        <v>6</v>
      </c>
      <c r="H169" s="13">
        <v>81588</v>
      </c>
      <c r="I169" s="11" t="s">
        <v>17</v>
      </c>
      <c r="J169" s="13">
        <v>15749907</v>
      </c>
      <c r="K169" s="13" t="s">
        <v>204</v>
      </c>
      <c r="L169" s="13" t="s">
        <v>208</v>
      </c>
      <c r="M169" s="17">
        <v>139900</v>
      </c>
      <c r="N169" s="15">
        <v>0.75</v>
      </c>
      <c r="O169" s="16">
        <f t="shared" si="10"/>
        <v>34975</v>
      </c>
      <c r="P169" s="11" t="s">
        <v>20</v>
      </c>
    </row>
    <row r="170" spans="1:16" x14ac:dyDescent="0.25">
      <c r="A170" s="9" t="str">
        <f t="shared" si="13"/>
        <v>2024 ALL D75</v>
      </c>
      <c r="B170" s="10">
        <f>'[1]2019 ALL D95'!B170</f>
        <v>46104</v>
      </c>
      <c r="C170" s="10">
        <f>'[1]2019 ALL D95'!C170</f>
        <v>46113</v>
      </c>
      <c r="D170" s="11">
        <v>3273</v>
      </c>
      <c r="E170" s="11">
        <v>336</v>
      </c>
      <c r="F170" s="11">
        <v>4</v>
      </c>
      <c r="G170" s="13">
        <v>6</v>
      </c>
      <c r="H170" s="13">
        <v>81588</v>
      </c>
      <c r="I170" s="11" t="s">
        <v>17</v>
      </c>
      <c r="J170" s="13">
        <v>15749916</v>
      </c>
      <c r="K170" s="13" t="s">
        <v>204</v>
      </c>
      <c r="L170" s="13" t="s">
        <v>209</v>
      </c>
      <c r="M170" s="17">
        <v>139900</v>
      </c>
      <c r="N170" s="15">
        <v>0.75</v>
      </c>
      <c r="O170" s="16">
        <f t="shared" si="10"/>
        <v>34975</v>
      </c>
      <c r="P170" s="11" t="s">
        <v>20</v>
      </c>
    </row>
    <row r="171" spans="1:16" x14ac:dyDescent="0.25">
      <c r="A171" s="9" t="str">
        <f t="shared" si="13"/>
        <v>2024 ALL D75</v>
      </c>
      <c r="B171" s="10">
        <f>'[1]2019 ALL D95'!B171</f>
        <v>46104</v>
      </c>
      <c r="C171" s="10">
        <f>'[1]2019 ALL D95'!C171</f>
        <v>46113</v>
      </c>
      <c r="D171" s="11">
        <v>3273</v>
      </c>
      <c r="E171" s="11">
        <v>336</v>
      </c>
      <c r="F171" s="11">
        <v>4</v>
      </c>
      <c r="G171" s="13">
        <v>6</v>
      </c>
      <c r="H171" s="13">
        <v>81588</v>
      </c>
      <c r="I171" s="11" t="s">
        <v>17</v>
      </c>
      <c r="J171" s="13">
        <v>15749925</v>
      </c>
      <c r="K171" s="13" t="s">
        <v>204</v>
      </c>
      <c r="L171" s="13" t="s">
        <v>210</v>
      </c>
      <c r="M171" s="17">
        <v>139900</v>
      </c>
      <c r="N171" s="15">
        <v>0.75</v>
      </c>
      <c r="O171" s="16">
        <f t="shared" si="10"/>
        <v>34975</v>
      </c>
      <c r="P171" s="11" t="s">
        <v>20</v>
      </c>
    </row>
    <row r="172" spans="1:16" x14ac:dyDescent="0.25">
      <c r="A172" s="9" t="str">
        <f t="shared" si="13"/>
        <v>2024 ALL D75</v>
      </c>
      <c r="B172" s="10">
        <f>'[1]2019 ALL D95'!B172</f>
        <v>46104</v>
      </c>
      <c r="C172" s="10">
        <f>'[1]2019 ALL D95'!C172</f>
        <v>46113</v>
      </c>
      <c r="D172" s="11">
        <v>3273</v>
      </c>
      <c r="E172" s="11">
        <v>336</v>
      </c>
      <c r="F172" s="11">
        <v>4</v>
      </c>
      <c r="G172" s="13">
        <v>6</v>
      </c>
      <c r="H172" s="13">
        <v>81588</v>
      </c>
      <c r="I172" s="11" t="s">
        <v>17</v>
      </c>
      <c r="J172" s="13">
        <v>15749934</v>
      </c>
      <c r="K172" s="13" t="s">
        <v>204</v>
      </c>
      <c r="L172" s="13" t="s">
        <v>211</v>
      </c>
      <c r="M172" s="17">
        <v>139900</v>
      </c>
      <c r="N172" s="15">
        <v>0.75</v>
      </c>
      <c r="O172" s="16">
        <f t="shared" si="10"/>
        <v>34975</v>
      </c>
      <c r="P172" s="11" t="s">
        <v>20</v>
      </c>
    </row>
    <row r="173" spans="1:16" x14ac:dyDescent="0.25">
      <c r="A173" s="9" t="str">
        <f t="shared" si="13"/>
        <v>2024 ALL D75</v>
      </c>
      <c r="B173" s="10">
        <f>'[1]2019 ALL D95'!B173</f>
        <v>46104</v>
      </c>
      <c r="C173" s="10">
        <f>'[1]2019 ALL D95'!C173</f>
        <v>46113</v>
      </c>
      <c r="D173" s="11">
        <v>3273</v>
      </c>
      <c r="E173" s="11">
        <v>336</v>
      </c>
      <c r="F173" s="11">
        <v>4</v>
      </c>
      <c r="G173" s="13">
        <v>6</v>
      </c>
      <c r="H173" s="13">
        <v>81588</v>
      </c>
      <c r="I173" s="11" t="s">
        <v>17</v>
      </c>
      <c r="J173" s="13">
        <v>15749943</v>
      </c>
      <c r="K173" s="13" t="s">
        <v>204</v>
      </c>
      <c r="L173" s="13" t="s">
        <v>212</v>
      </c>
      <c r="M173" s="17">
        <v>139900</v>
      </c>
      <c r="N173" s="15">
        <v>0.75</v>
      </c>
      <c r="O173" s="16">
        <f t="shared" si="10"/>
        <v>34975</v>
      </c>
      <c r="P173" s="11" t="s">
        <v>20</v>
      </c>
    </row>
    <row r="174" spans="1:16" x14ac:dyDescent="0.25">
      <c r="A174" s="9" t="str">
        <f t="shared" si="13"/>
        <v>2024 ALL D75</v>
      </c>
      <c r="B174" s="10">
        <f>'[1]2019 ALL D95'!B174</f>
        <v>46104</v>
      </c>
      <c r="C174" s="10">
        <f>'[1]2019 ALL D95'!C174</f>
        <v>46113</v>
      </c>
      <c r="D174" s="11">
        <v>3273</v>
      </c>
      <c r="E174" s="11">
        <v>336</v>
      </c>
      <c r="F174" s="11">
        <v>4</v>
      </c>
      <c r="G174" s="13">
        <v>6</v>
      </c>
      <c r="H174" s="13">
        <v>81588</v>
      </c>
      <c r="I174" s="11" t="s">
        <v>17</v>
      </c>
      <c r="J174" s="13">
        <v>15749952</v>
      </c>
      <c r="K174" s="13" t="s">
        <v>213</v>
      </c>
      <c r="L174" s="13" t="s">
        <v>214</v>
      </c>
      <c r="M174" s="17">
        <v>139900</v>
      </c>
      <c r="N174" s="15">
        <v>0.75</v>
      </c>
      <c r="O174" s="16">
        <f t="shared" si="10"/>
        <v>34975</v>
      </c>
      <c r="P174" s="11" t="s">
        <v>20</v>
      </c>
    </row>
    <row r="175" spans="1:16" x14ac:dyDescent="0.25">
      <c r="A175" s="9" t="str">
        <f t="shared" si="13"/>
        <v>2024 ALL D75</v>
      </c>
      <c r="B175" s="10">
        <f>'[1]2019 ALL D95'!B175</f>
        <v>46104</v>
      </c>
      <c r="C175" s="10">
        <f>'[1]2019 ALL D95'!C175</f>
        <v>46113</v>
      </c>
      <c r="D175" s="11">
        <v>3273</v>
      </c>
      <c r="E175" s="11">
        <v>336</v>
      </c>
      <c r="F175" s="11">
        <v>4</v>
      </c>
      <c r="G175" s="13">
        <v>6</v>
      </c>
      <c r="H175" s="13">
        <v>81588</v>
      </c>
      <c r="I175" s="11" t="s">
        <v>17</v>
      </c>
      <c r="J175" s="13">
        <v>15749961</v>
      </c>
      <c r="K175" s="13" t="s">
        <v>213</v>
      </c>
      <c r="L175" s="13" t="s">
        <v>215</v>
      </c>
      <c r="M175" s="17">
        <v>139900</v>
      </c>
      <c r="N175" s="15">
        <v>0.75</v>
      </c>
      <c r="O175" s="16">
        <f t="shared" si="10"/>
        <v>34975</v>
      </c>
      <c r="P175" s="11" t="s">
        <v>20</v>
      </c>
    </row>
    <row r="176" spans="1:16" x14ac:dyDescent="0.25">
      <c r="A176" s="9" t="str">
        <f t="shared" si="13"/>
        <v>2024 ALL D75</v>
      </c>
      <c r="B176" s="10">
        <f>'[1]2019 ALL D95'!B176</f>
        <v>46104</v>
      </c>
      <c r="C176" s="10">
        <f>'[1]2019 ALL D95'!C176</f>
        <v>46113</v>
      </c>
      <c r="D176" s="11">
        <v>3273</v>
      </c>
      <c r="E176" s="11">
        <v>336</v>
      </c>
      <c r="F176" s="11">
        <v>4</v>
      </c>
      <c r="G176" s="13">
        <v>6</v>
      </c>
      <c r="H176" s="13">
        <v>81588</v>
      </c>
      <c r="I176" s="11" t="s">
        <v>17</v>
      </c>
      <c r="J176" s="13">
        <v>15749970</v>
      </c>
      <c r="K176" s="13" t="s">
        <v>213</v>
      </c>
      <c r="L176" s="13" t="s">
        <v>216</v>
      </c>
      <c r="M176" s="17">
        <v>139900</v>
      </c>
      <c r="N176" s="15">
        <v>0.75</v>
      </c>
      <c r="O176" s="16">
        <f t="shared" si="10"/>
        <v>34975</v>
      </c>
      <c r="P176" s="11" t="s">
        <v>20</v>
      </c>
    </row>
    <row r="177" spans="1:16" x14ac:dyDescent="0.25">
      <c r="A177" s="9" t="str">
        <f t="shared" si="13"/>
        <v>2024 ALL D75</v>
      </c>
      <c r="B177" s="10">
        <f>'[1]2019 ALL D95'!B177</f>
        <v>46104</v>
      </c>
      <c r="C177" s="10">
        <f>'[1]2019 ALL D95'!C177</f>
        <v>46113</v>
      </c>
      <c r="D177" s="11">
        <v>3273</v>
      </c>
      <c r="E177" s="11">
        <v>336</v>
      </c>
      <c r="F177" s="11">
        <v>4</v>
      </c>
      <c r="G177" s="13">
        <v>6</v>
      </c>
      <c r="H177" s="13">
        <v>81588</v>
      </c>
      <c r="I177" s="11" t="s">
        <v>17</v>
      </c>
      <c r="J177" s="13">
        <v>15749989</v>
      </c>
      <c r="K177" s="13" t="s">
        <v>213</v>
      </c>
      <c r="L177" s="13" t="s">
        <v>217</v>
      </c>
      <c r="M177" s="17">
        <v>139900</v>
      </c>
      <c r="N177" s="15">
        <v>0.75</v>
      </c>
      <c r="O177" s="16">
        <f t="shared" si="10"/>
        <v>34975</v>
      </c>
      <c r="P177" s="11" t="s">
        <v>20</v>
      </c>
    </row>
    <row r="178" spans="1:16" x14ac:dyDescent="0.25">
      <c r="A178" s="9" t="str">
        <f t="shared" si="13"/>
        <v>2024 ALL D75</v>
      </c>
      <c r="B178" s="10">
        <f>'[1]2019 ALL D95'!B178</f>
        <v>46104</v>
      </c>
      <c r="C178" s="10">
        <f>'[1]2019 ALL D95'!C178</f>
        <v>46113</v>
      </c>
      <c r="D178" s="11">
        <v>3273</v>
      </c>
      <c r="E178" s="11">
        <v>336</v>
      </c>
      <c r="F178" s="11">
        <v>4</v>
      </c>
      <c r="G178" s="13">
        <v>6</v>
      </c>
      <c r="H178" s="13">
        <v>81588</v>
      </c>
      <c r="I178" s="11" t="s">
        <v>17</v>
      </c>
      <c r="J178" s="13">
        <v>15749998</v>
      </c>
      <c r="K178" s="13" t="s">
        <v>213</v>
      </c>
      <c r="L178" s="13" t="s">
        <v>218</v>
      </c>
      <c r="M178" s="17">
        <v>139900</v>
      </c>
      <c r="N178" s="15">
        <v>0.75</v>
      </c>
      <c r="O178" s="16">
        <f t="shared" si="10"/>
        <v>34975</v>
      </c>
      <c r="P178" s="11" t="s">
        <v>20</v>
      </c>
    </row>
    <row r="179" spans="1:16" x14ac:dyDescent="0.25">
      <c r="A179" s="9" t="str">
        <f t="shared" ref="A179:A194" si="14">A178</f>
        <v>2024 ALL D75</v>
      </c>
      <c r="B179" s="10">
        <f>'[1]2019 ALL D95'!B179</f>
        <v>46104</v>
      </c>
      <c r="C179" s="10">
        <f>'[1]2019 ALL D95'!C179</f>
        <v>46113</v>
      </c>
      <c r="D179" s="11">
        <v>3273</v>
      </c>
      <c r="E179" s="11">
        <v>336</v>
      </c>
      <c r="F179" s="11">
        <v>4</v>
      </c>
      <c r="G179" s="13">
        <v>6</v>
      </c>
      <c r="H179" s="13">
        <v>81588</v>
      </c>
      <c r="I179" s="11" t="s">
        <v>17</v>
      </c>
      <c r="J179" s="13">
        <v>15750002</v>
      </c>
      <c r="K179" s="13" t="s">
        <v>213</v>
      </c>
      <c r="L179" s="13" t="s">
        <v>219</v>
      </c>
      <c r="M179" s="17">
        <v>139900</v>
      </c>
      <c r="N179" s="15">
        <v>0.75</v>
      </c>
      <c r="O179" s="16">
        <f t="shared" si="10"/>
        <v>34975</v>
      </c>
      <c r="P179" s="11" t="s">
        <v>20</v>
      </c>
    </row>
    <row r="180" spans="1:16" x14ac:dyDescent="0.25">
      <c r="A180" s="9" t="str">
        <f t="shared" si="14"/>
        <v>2024 ALL D75</v>
      </c>
      <c r="B180" s="10">
        <f>'[1]2019 ALL D95'!B180</f>
        <v>46104</v>
      </c>
      <c r="C180" s="10">
        <f>'[1]2019 ALL D95'!C180</f>
        <v>46113</v>
      </c>
      <c r="D180" s="11">
        <v>3273</v>
      </c>
      <c r="E180" s="11">
        <v>336</v>
      </c>
      <c r="F180" s="11">
        <v>4</v>
      </c>
      <c r="G180" s="13">
        <v>6</v>
      </c>
      <c r="H180" s="13">
        <v>81588</v>
      </c>
      <c r="I180" s="11" t="s">
        <v>17</v>
      </c>
      <c r="J180" s="13">
        <v>15750011</v>
      </c>
      <c r="K180" s="13" t="s">
        <v>213</v>
      </c>
      <c r="L180" s="13" t="s">
        <v>220</v>
      </c>
      <c r="M180" s="17">
        <v>139900</v>
      </c>
      <c r="N180" s="15">
        <v>0.75</v>
      </c>
      <c r="O180" s="16">
        <f t="shared" si="10"/>
        <v>34975</v>
      </c>
      <c r="P180" s="11" t="s">
        <v>20</v>
      </c>
    </row>
    <row r="181" spans="1:16" x14ac:dyDescent="0.25">
      <c r="A181" s="9" t="str">
        <f t="shared" si="14"/>
        <v>2024 ALL D75</v>
      </c>
      <c r="B181" s="10">
        <f>'[1]2019 ALL D95'!B181</f>
        <v>46104</v>
      </c>
      <c r="C181" s="10">
        <f>'[1]2019 ALL D95'!C181</f>
        <v>46113</v>
      </c>
      <c r="D181" s="11">
        <v>3273</v>
      </c>
      <c r="E181" s="11">
        <v>336</v>
      </c>
      <c r="F181" s="11">
        <v>4</v>
      </c>
      <c r="G181" s="13">
        <v>6</v>
      </c>
      <c r="H181" s="13">
        <v>81588</v>
      </c>
      <c r="I181" s="11" t="s">
        <v>17</v>
      </c>
      <c r="J181" s="13">
        <v>15750020</v>
      </c>
      <c r="K181" s="13" t="s">
        <v>213</v>
      </c>
      <c r="L181" s="13" t="s">
        <v>221</v>
      </c>
      <c r="M181" s="17">
        <v>139900</v>
      </c>
      <c r="N181" s="15">
        <v>0.75</v>
      </c>
      <c r="O181" s="16">
        <f t="shared" si="10"/>
        <v>34975</v>
      </c>
      <c r="P181" s="11" t="s">
        <v>20</v>
      </c>
    </row>
    <row r="182" spans="1:16" x14ac:dyDescent="0.25">
      <c r="A182" s="9" t="str">
        <f t="shared" si="14"/>
        <v>2024 ALL D75</v>
      </c>
      <c r="B182" s="10">
        <f>'[1]2019 ALL D95'!B182</f>
        <v>46104</v>
      </c>
      <c r="C182" s="10">
        <f>'[1]2019 ALL D95'!C182</f>
        <v>46113</v>
      </c>
      <c r="D182" s="11">
        <v>3273</v>
      </c>
      <c r="E182" s="11">
        <v>336</v>
      </c>
      <c r="F182" s="11">
        <v>4</v>
      </c>
      <c r="G182" s="13">
        <v>6</v>
      </c>
      <c r="H182" s="13">
        <v>81676</v>
      </c>
      <c r="I182" s="11" t="s">
        <v>17</v>
      </c>
      <c r="J182" s="13">
        <v>15750351</v>
      </c>
      <c r="K182" s="13" t="s">
        <v>222</v>
      </c>
      <c r="L182" s="13" t="s">
        <v>223</v>
      </c>
      <c r="M182" s="17">
        <v>149900</v>
      </c>
      <c r="N182" s="15">
        <v>0.75</v>
      </c>
      <c r="O182" s="16">
        <f t="shared" si="10"/>
        <v>37475</v>
      </c>
      <c r="P182" s="11" t="s">
        <v>20</v>
      </c>
    </row>
    <row r="183" spans="1:16" x14ac:dyDescent="0.25">
      <c r="A183" s="9" t="str">
        <f t="shared" si="14"/>
        <v>2024 ALL D75</v>
      </c>
      <c r="B183" s="10">
        <f>'[1]2019 ALL D95'!B183</f>
        <v>46104</v>
      </c>
      <c r="C183" s="10">
        <f>'[1]2019 ALL D95'!C183</f>
        <v>46113</v>
      </c>
      <c r="D183" s="11">
        <v>3273</v>
      </c>
      <c r="E183" s="11">
        <v>336</v>
      </c>
      <c r="F183" s="11">
        <v>4</v>
      </c>
      <c r="G183" s="13">
        <v>6</v>
      </c>
      <c r="H183" s="13">
        <v>81676</v>
      </c>
      <c r="I183" s="11" t="s">
        <v>17</v>
      </c>
      <c r="J183" s="13">
        <v>15750360</v>
      </c>
      <c r="K183" s="13" t="s">
        <v>222</v>
      </c>
      <c r="L183" s="13" t="s">
        <v>224</v>
      </c>
      <c r="M183" s="17">
        <v>149900</v>
      </c>
      <c r="N183" s="15">
        <v>0.75</v>
      </c>
      <c r="O183" s="16">
        <f t="shared" si="10"/>
        <v>37475</v>
      </c>
      <c r="P183" s="11" t="s">
        <v>20</v>
      </c>
    </row>
    <row r="184" spans="1:16" x14ac:dyDescent="0.25">
      <c r="A184" s="9" t="str">
        <f t="shared" si="14"/>
        <v>2024 ALL D75</v>
      </c>
      <c r="B184" s="10">
        <f>'[1]2019 ALL D95'!B184</f>
        <v>46104</v>
      </c>
      <c r="C184" s="10">
        <f>'[1]2019 ALL D95'!C184</f>
        <v>46113</v>
      </c>
      <c r="D184" s="11">
        <v>3273</v>
      </c>
      <c r="E184" s="11">
        <v>336</v>
      </c>
      <c r="F184" s="11">
        <v>4</v>
      </c>
      <c r="G184" s="13">
        <v>6</v>
      </c>
      <c r="H184" s="13">
        <v>81676</v>
      </c>
      <c r="I184" s="11" t="s">
        <v>17</v>
      </c>
      <c r="J184" s="13">
        <v>15750379</v>
      </c>
      <c r="K184" s="13" t="s">
        <v>222</v>
      </c>
      <c r="L184" s="13" t="s">
        <v>225</v>
      </c>
      <c r="M184" s="17">
        <v>149900</v>
      </c>
      <c r="N184" s="15">
        <v>0.75</v>
      </c>
      <c r="O184" s="16">
        <f t="shared" si="10"/>
        <v>37475</v>
      </c>
      <c r="P184" s="11" t="s">
        <v>20</v>
      </c>
    </row>
    <row r="185" spans="1:16" x14ac:dyDescent="0.25">
      <c r="A185" s="9" t="str">
        <f t="shared" si="14"/>
        <v>2024 ALL D75</v>
      </c>
      <c r="B185" s="10">
        <f>'[1]2019 ALL D95'!B185</f>
        <v>46104</v>
      </c>
      <c r="C185" s="10">
        <f>'[1]2019 ALL D95'!C185</f>
        <v>46113</v>
      </c>
      <c r="D185" s="11">
        <v>3273</v>
      </c>
      <c r="E185" s="11">
        <v>336</v>
      </c>
      <c r="F185" s="11">
        <v>4</v>
      </c>
      <c r="G185" s="13">
        <v>6</v>
      </c>
      <c r="H185" s="13">
        <v>81676</v>
      </c>
      <c r="I185" s="11" t="s">
        <v>17</v>
      </c>
      <c r="J185" s="13">
        <v>15750388</v>
      </c>
      <c r="K185" s="13" t="s">
        <v>222</v>
      </c>
      <c r="L185" s="13" t="s">
        <v>226</v>
      </c>
      <c r="M185" s="17">
        <v>149900</v>
      </c>
      <c r="N185" s="15">
        <v>0.75</v>
      </c>
      <c r="O185" s="16">
        <f t="shared" si="10"/>
        <v>37475</v>
      </c>
      <c r="P185" s="11" t="s">
        <v>20</v>
      </c>
    </row>
    <row r="186" spans="1:16" x14ac:dyDescent="0.25">
      <c r="A186" s="9" t="str">
        <f t="shared" si="14"/>
        <v>2024 ALL D75</v>
      </c>
      <c r="B186" s="10">
        <f>'[1]2019 ALL D95'!B186</f>
        <v>46104</v>
      </c>
      <c r="C186" s="10">
        <f>'[1]2019 ALL D95'!C186</f>
        <v>46113</v>
      </c>
      <c r="D186" s="11">
        <v>3273</v>
      </c>
      <c r="E186" s="11">
        <v>336</v>
      </c>
      <c r="F186" s="11">
        <v>4</v>
      </c>
      <c r="G186" s="13">
        <v>6</v>
      </c>
      <c r="H186" s="13">
        <v>81676</v>
      </c>
      <c r="I186" s="11" t="s">
        <v>17</v>
      </c>
      <c r="J186" s="13">
        <v>15750397</v>
      </c>
      <c r="K186" s="13" t="s">
        <v>222</v>
      </c>
      <c r="L186" s="13" t="s">
        <v>227</v>
      </c>
      <c r="M186" s="17">
        <v>149900</v>
      </c>
      <c r="N186" s="15">
        <v>0.75</v>
      </c>
      <c r="O186" s="16">
        <f t="shared" si="10"/>
        <v>37475</v>
      </c>
      <c r="P186" s="11" t="s">
        <v>20</v>
      </c>
    </row>
    <row r="187" spans="1:16" x14ac:dyDescent="0.25">
      <c r="A187" s="9" t="str">
        <f t="shared" si="14"/>
        <v>2024 ALL D75</v>
      </c>
      <c r="B187" s="10">
        <f>'[1]2019 ALL D95'!B187</f>
        <v>46104</v>
      </c>
      <c r="C187" s="10">
        <f>'[1]2019 ALL D95'!C187</f>
        <v>46113</v>
      </c>
      <c r="D187" s="11">
        <v>3273</v>
      </c>
      <c r="E187" s="11">
        <v>336</v>
      </c>
      <c r="F187" s="11">
        <v>4</v>
      </c>
      <c r="G187" s="13">
        <v>6</v>
      </c>
      <c r="H187" s="13">
        <v>81676</v>
      </c>
      <c r="I187" s="11" t="s">
        <v>17</v>
      </c>
      <c r="J187" s="13">
        <v>15750404</v>
      </c>
      <c r="K187" s="13" t="s">
        <v>222</v>
      </c>
      <c r="L187" s="13" t="s">
        <v>228</v>
      </c>
      <c r="M187" s="17">
        <v>149900</v>
      </c>
      <c r="N187" s="15">
        <v>0.75</v>
      </c>
      <c r="O187" s="16">
        <f t="shared" si="10"/>
        <v>37475</v>
      </c>
      <c r="P187" s="11" t="s">
        <v>20</v>
      </c>
    </row>
    <row r="188" spans="1:16" x14ac:dyDescent="0.25">
      <c r="A188" s="9" t="str">
        <f t="shared" si="14"/>
        <v>2024 ALL D75</v>
      </c>
      <c r="B188" s="10">
        <f>'[1]2019 ALL D95'!B188</f>
        <v>46104</v>
      </c>
      <c r="C188" s="10">
        <f>'[1]2019 ALL D95'!C188</f>
        <v>46113</v>
      </c>
      <c r="D188" s="11">
        <v>3273</v>
      </c>
      <c r="E188" s="11">
        <v>336</v>
      </c>
      <c r="F188" s="11">
        <v>4</v>
      </c>
      <c r="G188" s="13">
        <v>6</v>
      </c>
      <c r="H188" s="13">
        <v>81676</v>
      </c>
      <c r="I188" s="11" t="s">
        <v>17</v>
      </c>
      <c r="J188" s="13">
        <v>15750413</v>
      </c>
      <c r="K188" s="13" t="s">
        <v>222</v>
      </c>
      <c r="L188" s="13" t="s">
        <v>229</v>
      </c>
      <c r="M188" s="17">
        <v>149900</v>
      </c>
      <c r="N188" s="15">
        <v>0.75</v>
      </c>
      <c r="O188" s="16">
        <f t="shared" si="10"/>
        <v>37475</v>
      </c>
      <c r="P188" s="11" t="s">
        <v>20</v>
      </c>
    </row>
    <row r="189" spans="1:16" x14ac:dyDescent="0.25">
      <c r="A189" s="9" t="str">
        <f t="shared" si="14"/>
        <v>2024 ALL D75</v>
      </c>
      <c r="B189" s="10">
        <f>'[1]2019 ALL D95'!B189</f>
        <v>46104</v>
      </c>
      <c r="C189" s="10">
        <f>'[1]2019 ALL D95'!C189</f>
        <v>46113</v>
      </c>
      <c r="D189" s="11">
        <v>3273</v>
      </c>
      <c r="E189" s="11">
        <v>336</v>
      </c>
      <c r="F189" s="11">
        <v>4</v>
      </c>
      <c r="G189" s="13">
        <v>6</v>
      </c>
      <c r="H189" s="13">
        <v>81676</v>
      </c>
      <c r="I189" s="11" t="s">
        <v>17</v>
      </c>
      <c r="J189" s="13">
        <v>15750422</v>
      </c>
      <c r="K189" s="13" t="s">
        <v>222</v>
      </c>
      <c r="L189" s="13" t="s">
        <v>230</v>
      </c>
      <c r="M189" s="17">
        <v>149900</v>
      </c>
      <c r="N189" s="15">
        <v>0.75</v>
      </c>
      <c r="O189" s="16">
        <f t="shared" si="10"/>
        <v>37475</v>
      </c>
      <c r="P189" s="11" t="s">
        <v>20</v>
      </c>
    </row>
    <row r="190" spans="1:16" x14ac:dyDescent="0.25">
      <c r="A190" s="9" t="str">
        <f t="shared" si="14"/>
        <v>2024 ALL D75</v>
      </c>
      <c r="B190" s="10">
        <f>'[1]2019 ALL D95'!B190</f>
        <v>46104</v>
      </c>
      <c r="C190" s="10">
        <f>'[1]2019 ALL D95'!C190</f>
        <v>46113</v>
      </c>
      <c r="D190" s="11">
        <v>3273</v>
      </c>
      <c r="E190" s="11">
        <v>336</v>
      </c>
      <c r="F190" s="11">
        <v>4</v>
      </c>
      <c r="G190" s="13">
        <v>6</v>
      </c>
      <c r="H190" s="13">
        <v>81676</v>
      </c>
      <c r="I190" s="11" t="s">
        <v>17</v>
      </c>
      <c r="J190" s="13">
        <v>15750431</v>
      </c>
      <c r="K190" s="13" t="s">
        <v>231</v>
      </c>
      <c r="L190" s="13" t="s">
        <v>232</v>
      </c>
      <c r="M190" s="17">
        <v>139900</v>
      </c>
      <c r="N190" s="15">
        <v>0.75</v>
      </c>
      <c r="O190" s="16">
        <f t="shared" si="10"/>
        <v>34975</v>
      </c>
      <c r="P190" s="11" t="s">
        <v>20</v>
      </c>
    </row>
    <row r="191" spans="1:16" x14ac:dyDescent="0.25">
      <c r="A191" s="9" t="str">
        <f t="shared" si="14"/>
        <v>2024 ALL D75</v>
      </c>
      <c r="B191" s="10">
        <f>'[1]2019 ALL D95'!B191</f>
        <v>46104</v>
      </c>
      <c r="C191" s="10">
        <f>'[1]2019 ALL D95'!C191</f>
        <v>46113</v>
      </c>
      <c r="D191" s="11">
        <v>3273</v>
      </c>
      <c r="E191" s="11">
        <v>336</v>
      </c>
      <c r="F191" s="11">
        <v>4</v>
      </c>
      <c r="G191" s="13">
        <v>6</v>
      </c>
      <c r="H191" s="13">
        <v>81676</v>
      </c>
      <c r="I191" s="11" t="s">
        <v>17</v>
      </c>
      <c r="J191" s="13">
        <v>15750440</v>
      </c>
      <c r="K191" s="13" t="s">
        <v>231</v>
      </c>
      <c r="L191" s="13" t="s">
        <v>233</v>
      </c>
      <c r="M191" s="17">
        <v>139900</v>
      </c>
      <c r="N191" s="15">
        <v>0.75</v>
      </c>
      <c r="O191" s="16">
        <f t="shared" si="10"/>
        <v>34975</v>
      </c>
      <c r="P191" s="11" t="s">
        <v>20</v>
      </c>
    </row>
    <row r="192" spans="1:16" x14ac:dyDescent="0.25">
      <c r="A192" s="9" t="str">
        <f t="shared" si="14"/>
        <v>2024 ALL D75</v>
      </c>
      <c r="B192" s="10">
        <f>'[1]2019 ALL D95'!B192</f>
        <v>46104</v>
      </c>
      <c r="C192" s="10">
        <f>'[1]2019 ALL D95'!C192</f>
        <v>46113</v>
      </c>
      <c r="D192" s="11">
        <v>3273</v>
      </c>
      <c r="E192" s="11">
        <v>336</v>
      </c>
      <c r="F192" s="11">
        <v>4</v>
      </c>
      <c r="G192" s="13">
        <v>6</v>
      </c>
      <c r="H192" s="13">
        <v>81676</v>
      </c>
      <c r="I192" s="11" t="s">
        <v>17</v>
      </c>
      <c r="J192" s="13">
        <v>15750459</v>
      </c>
      <c r="K192" s="13" t="s">
        <v>231</v>
      </c>
      <c r="L192" s="13" t="s">
        <v>234</v>
      </c>
      <c r="M192" s="17">
        <v>139900</v>
      </c>
      <c r="N192" s="15">
        <v>0.75</v>
      </c>
      <c r="O192" s="16">
        <f t="shared" si="10"/>
        <v>34975</v>
      </c>
      <c r="P192" s="11" t="s">
        <v>20</v>
      </c>
    </row>
    <row r="193" spans="1:16" x14ac:dyDescent="0.25">
      <c r="A193" s="9" t="str">
        <f t="shared" si="14"/>
        <v>2024 ALL D75</v>
      </c>
      <c r="B193" s="10">
        <f>'[1]2019 ALL D95'!B193</f>
        <v>46104</v>
      </c>
      <c r="C193" s="10">
        <f>'[1]2019 ALL D95'!C193</f>
        <v>46113</v>
      </c>
      <c r="D193" s="11">
        <v>3273</v>
      </c>
      <c r="E193" s="11">
        <v>336</v>
      </c>
      <c r="F193" s="11">
        <v>4</v>
      </c>
      <c r="G193" s="13">
        <v>6</v>
      </c>
      <c r="H193" s="13">
        <v>81676</v>
      </c>
      <c r="I193" s="11" t="s">
        <v>17</v>
      </c>
      <c r="J193" s="13">
        <v>15750468</v>
      </c>
      <c r="K193" s="13" t="s">
        <v>231</v>
      </c>
      <c r="L193" s="13" t="s">
        <v>235</v>
      </c>
      <c r="M193" s="17">
        <v>139900</v>
      </c>
      <c r="N193" s="15">
        <v>0.75</v>
      </c>
      <c r="O193" s="16">
        <f t="shared" si="10"/>
        <v>34975</v>
      </c>
      <c r="P193" s="11" t="s">
        <v>20</v>
      </c>
    </row>
    <row r="194" spans="1:16" x14ac:dyDescent="0.25">
      <c r="A194" s="9" t="str">
        <f t="shared" si="14"/>
        <v>2024 ALL D75</v>
      </c>
      <c r="B194" s="10">
        <f>'[1]2019 ALL D95'!B194</f>
        <v>46104</v>
      </c>
      <c r="C194" s="10">
        <f>'[1]2019 ALL D95'!C194</f>
        <v>46113</v>
      </c>
      <c r="D194" s="11">
        <v>3273</v>
      </c>
      <c r="E194" s="11">
        <v>336</v>
      </c>
      <c r="F194" s="11">
        <v>4</v>
      </c>
      <c r="G194" s="13">
        <v>6</v>
      </c>
      <c r="H194" s="13">
        <v>81676</v>
      </c>
      <c r="I194" s="11" t="s">
        <v>17</v>
      </c>
      <c r="J194" s="13">
        <v>15750477</v>
      </c>
      <c r="K194" s="13" t="s">
        <v>231</v>
      </c>
      <c r="L194" s="13" t="s">
        <v>236</v>
      </c>
      <c r="M194" s="17">
        <v>139900</v>
      </c>
      <c r="N194" s="15">
        <v>0.75</v>
      </c>
      <c r="O194" s="16">
        <f t="shared" ref="O194:O257" si="15">M194*(1-N194)</f>
        <v>34975</v>
      </c>
      <c r="P194" s="11" t="s">
        <v>20</v>
      </c>
    </row>
    <row r="195" spans="1:16" x14ac:dyDescent="0.25">
      <c r="A195" s="9" t="str">
        <f t="shared" ref="A195:A210" si="16">A194</f>
        <v>2024 ALL D75</v>
      </c>
      <c r="B195" s="10">
        <f>'[1]2019 ALL D95'!B195</f>
        <v>46104</v>
      </c>
      <c r="C195" s="10">
        <f>'[1]2019 ALL D95'!C195</f>
        <v>46113</v>
      </c>
      <c r="D195" s="11">
        <v>3273</v>
      </c>
      <c r="E195" s="11">
        <v>336</v>
      </c>
      <c r="F195" s="11">
        <v>4</v>
      </c>
      <c r="G195" s="13">
        <v>6</v>
      </c>
      <c r="H195" s="13">
        <v>81676</v>
      </c>
      <c r="I195" s="11" t="s">
        <v>17</v>
      </c>
      <c r="J195" s="13">
        <v>15750486</v>
      </c>
      <c r="K195" s="13" t="s">
        <v>231</v>
      </c>
      <c r="L195" s="13" t="s">
        <v>237</v>
      </c>
      <c r="M195" s="17">
        <v>139900</v>
      </c>
      <c r="N195" s="15">
        <v>0.75</v>
      </c>
      <c r="O195" s="16">
        <f t="shared" si="15"/>
        <v>34975</v>
      </c>
      <c r="P195" s="11" t="s">
        <v>20</v>
      </c>
    </row>
    <row r="196" spans="1:16" x14ac:dyDescent="0.25">
      <c r="A196" s="9" t="str">
        <f t="shared" si="16"/>
        <v>2024 ALL D75</v>
      </c>
      <c r="B196" s="10">
        <f>'[1]2019 ALL D95'!B196</f>
        <v>46104</v>
      </c>
      <c r="C196" s="10">
        <f>'[1]2019 ALL D95'!C196</f>
        <v>46113</v>
      </c>
      <c r="D196" s="11">
        <v>3273</v>
      </c>
      <c r="E196" s="11">
        <v>336</v>
      </c>
      <c r="F196" s="11">
        <v>4</v>
      </c>
      <c r="G196" s="13">
        <v>6</v>
      </c>
      <c r="H196" s="13">
        <v>81676</v>
      </c>
      <c r="I196" s="11" t="s">
        <v>17</v>
      </c>
      <c r="J196" s="13">
        <v>15750495</v>
      </c>
      <c r="K196" s="13" t="s">
        <v>231</v>
      </c>
      <c r="L196" s="13" t="s">
        <v>238</v>
      </c>
      <c r="M196" s="17">
        <v>139900</v>
      </c>
      <c r="N196" s="15">
        <v>0.75</v>
      </c>
      <c r="O196" s="16">
        <f t="shared" si="15"/>
        <v>34975</v>
      </c>
      <c r="P196" s="11" t="s">
        <v>20</v>
      </c>
    </row>
    <row r="197" spans="1:16" x14ac:dyDescent="0.25">
      <c r="A197" s="9" t="str">
        <f t="shared" si="16"/>
        <v>2024 ALL D75</v>
      </c>
      <c r="B197" s="10">
        <f>'[1]2019 ALL D95'!B197</f>
        <v>46104</v>
      </c>
      <c r="C197" s="10">
        <f>'[1]2019 ALL D95'!C197</f>
        <v>46113</v>
      </c>
      <c r="D197" s="11">
        <v>3273</v>
      </c>
      <c r="E197" s="11">
        <v>336</v>
      </c>
      <c r="F197" s="11">
        <v>4</v>
      </c>
      <c r="G197" s="13">
        <v>6</v>
      </c>
      <c r="H197" s="13">
        <v>81676</v>
      </c>
      <c r="I197" s="11" t="s">
        <v>17</v>
      </c>
      <c r="J197" s="13">
        <v>15750502</v>
      </c>
      <c r="K197" s="13" t="s">
        <v>231</v>
      </c>
      <c r="L197" s="13" t="s">
        <v>239</v>
      </c>
      <c r="M197" s="17">
        <v>139900</v>
      </c>
      <c r="N197" s="15">
        <v>0.75</v>
      </c>
      <c r="O197" s="16">
        <f t="shared" si="15"/>
        <v>34975</v>
      </c>
      <c r="P197" s="11" t="s">
        <v>20</v>
      </c>
    </row>
    <row r="198" spans="1:16" x14ac:dyDescent="0.25">
      <c r="A198" s="9" t="str">
        <f t="shared" si="16"/>
        <v>2024 ALL D75</v>
      </c>
      <c r="B198" s="10">
        <f>'[1]2019 ALL D95'!B198</f>
        <v>46104</v>
      </c>
      <c r="C198" s="10">
        <f>'[1]2019 ALL D95'!C198</f>
        <v>46113</v>
      </c>
      <c r="D198" s="11">
        <v>3273</v>
      </c>
      <c r="E198" s="11">
        <v>336</v>
      </c>
      <c r="F198" s="11">
        <v>4</v>
      </c>
      <c r="G198" s="13">
        <v>6</v>
      </c>
      <c r="H198" s="13">
        <v>81588</v>
      </c>
      <c r="I198" s="11" t="s">
        <v>17</v>
      </c>
      <c r="J198" s="13">
        <v>84037994</v>
      </c>
      <c r="K198" s="13" t="s">
        <v>240</v>
      </c>
      <c r="L198" s="13" t="s">
        <v>241</v>
      </c>
      <c r="M198" s="17">
        <v>139900</v>
      </c>
      <c r="N198" s="15">
        <v>0.75</v>
      </c>
      <c r="O198" s="16">
        <f t="shared" si="15"/>
        <v>34975</v>
      </c>
      <c r="P198" s="11" t="s">
        <v>20</v>
      </c>
    </row>
    <row r="199" spans="1:16" x14ac:dyDescent="0.25">
      <c r="A199" s="9" t="str">
        <f t="shared" si="16"/>
        <v>2024 ALL D75</v>
      </c>
      <c r="B199" s="10">
        <f>'[1]2019 ALL D95'!B199</f>
        <v>46104</v>
      </c>
      <c r="C199" s="10">
        <f>'[1]2019 ALL D95'!C199</f>
        <v>46113</v>
      </c>
      <c r="D199" s="11">
        <v>3273</v>
      </c>
      <c r="E199" s="11">
        <v>336</v>
      </c>
      <c r="F199" s="11">
        <v>4</v>
      </c>
      <c r="G199" s="13">
        <v>6</v>
      </c>
      <c r="H199" s="13">
        <v>81588</v>
      </c>
      <c r="I199" s="11" t="s">
        <v>17</v>
      </c>
      <c r="J199" s="13">
        <v>84038000</v>
      </c>
      <c r="K199" s="13" t="s">
        <v>240</v>
      </c>
      <c r="L199" s="13" t="s">
        <v>242</v>
      </c>
      <c r="M199" s="17">
        <v>139900</v>
      </c>
      <c r="N199" s="15">
        <v>0.75</v>
      </c>
      <c r="O199" s="16">
        <f t="shared" si="15"/>
        <v>34975</v>
      </c>
      <c r="P199" s="11" t="s">
        <v>20</v>
      </c>
    </row>
    <row r="200" spans="1:16" x14ac:dyDescent="0.25">
      <c r="A200" s="9" t="str">
        <f t="shared" si="16"/>
        <v>2024 ALL D75</v>
      </c>
      <c r="B200" s="10">
        <f>'[1]2019 ALL D95'!B200</f>
        <v>46104</v>
      </c>
      <c r="C200" s="10">
        <f>'[1]2019 ALL D95'!C200</f>
        <v>46113</v>
      </c>
      <c r="D200" s="11">
        <v>3273</v>
      </c>
      <c r="E200" s="11">
        <v>336</v>
      </c>
      <c r="F200" s="11">
        <v>4</v>
      </c>
      <c r="G200" s="13">
        <v>6</v>
      </c>
      <c r="H200" s="13">
        <v>81588</v>
      </c>
      <c r="I200" s="11" t="s">
        <v>17</v>
      </c>
      <c r="J200" s="13">
        <v>84038019</v>
      </c>
      <c r="K200" s="13" t="s">
        <v>240</v>
      </c>
      <c r="L200" s="13" t="s">
        <v>243</v>
      </c>
      <c r="M200" s="17">
        <v>139900</v>
      </c>
      <c r="N200" s="15">
        <v>0.75</v>
      </c>
      <c r="O200" s="16">
        <f t="shared" si="15"/>
        <v>34975</v>
      </c>
      <c r="P200" s="11" t="s">
        <v>20</v>
      </c>
    </row>
    <row r="201" spans="1:16" x14ac:dyDescent="0.25">
      <c r="A201" s="9" t="str">
        <f t="shared" si="16"/>
        <v>2024 ALL D75</v>
      </c>
      <c r="B201" s="10">
        <f>'[1]2019 ALL D95'!B201</f>
        <v>46104</v>
      </c>
      <c r="C201" s="10">
        <f>'[1]2019 ALL D95'!C201</f>
        <v>46113</v>
      </c>
      <c r="D201" s="11">
        <v>3273</v>
      </c>
      <c r="E201" s="11">
        <v>336</v>
      </c>
      <c r="F201" s="11">
        <v>4</v>
      </c>
      <c r="G201" s="13">
        <v>6</v>
      </c>
      <c r="H201" s="13">
        <v>81588</v>
      </c>
      <c r="I201" s="11" t="s">
        <v>17</v>
      </c>
      <c r="J201" s="13">
        <v>84038028</v>
      </c>
      <c r="K201" s="13" t="s">
        <v>240</v>
      </c>
      <c r="L201" s="13" t="s">
        <v>244</v>
      </c>
      <c r="M201" s="17">
        <v>139900</v>
      </c>
      <c r="N201" s="15">
        <v>0.75</v>
      </c>
      <c r="O201" s="16">
        <f t="shared" si="15"/>
        <v>34975</v>
      </c>
      <c r="P201" s="11" t="s">
        <v>20</v>
      </c>
    </row>
    <row r="202" spans="1:16" x14ac:dyDescent="0.25">
      <c r="A202" s="9" t="str">
        <f t="shared" si="16"/>
        <v>2024 ALL D75</v>
      </c>
      <c r="B202" s="10">
        <f>'[1]2019 ALL D95'!B202</f>
        <v>46104</v>
      </c>
      <c r="C202" s="10">
        <f>'[1]2019 ALL D95'!C202</f>
        <v>46113</v>
      </c>
      <c r="D202" s="11">
        <v>3273</v>
      </c>
      <c r="E202" s="11">
        <v>336</v>
      </c>
      <c r="F202" s="11">
        <v>4</v>
      </c>
      <c r="G202" s="13">
        <v>6</v>
      </c>
      <c r="H202" s="13">
        <v>81588</v>
      </c>
      <c r="I202" s="11" t="s">
        <v>17</v>
      </c>
      <c r="J202" s="13">
        <v>84038037</v>
      </c>
      <c r="K202" s="13" t="s">
        <v>240</v>
      </c>
      <c r="L202" s="13" t="s">
        <v>245</v>
      </c>
      <c r="M202" s="17">
        <v>139900</v>
      </c>
      <c r="N202" s="15">
        <v>0.75</v>
      </c>
      <c r="O202" s="16">
        <f t="shared" si="15"/>
        <v>34975</v>
      </c>
      <c r="P202" s="11" t="s">
        <v>20</v>
      </c>
    </row>
    <row r="203" spans="1:16" x14ac:dyDescent="0.25">
      <c r="A203" s="9" t="str">
        <f t="shared" si="16"/>
        <v>2024 ALL D75</v>
      </c>
      <c r="B203" s="10">
        <f>'[1]2019 ALL D95'!B203</f>
        <v>46104</v>
      </c>
      <c r="C203" s="10">
        <f>'[1]2019 ALL D95'!C203</f>
        <v>46113</v>
      </c>
      <c r="D203" s="11">
        <v>3273</v>
      </c>
      <c r="E203" s="11">
        <v>336</v>
      </c>
      <c r="F203" s="11">
        <v>4</v>
      </c>
      <c r="G203" s="13">
        <v>6</v>
      </c>
      <c r="H203" s="13">
        <v>81588</v>
      </c>
      <c r="I203" s="11" t="s">
        <v>17</v>
      </c>
      <c r="J203" s="13">
        <v>84038046</v>
      </c>
      <c r="K203" s="13" t="s">
        <v>240</v>
      </c>
      <c r="L203" s="13" t="s">
        <v>246</v>
      </c>
      <c r="M203" s="17">
        <v>139900</v>
      </c>
      <c r="N203" s="15">
        <v>0.75</v>
      </c>
      <c r="O203" s="16">
        <f t="shared" si="15"/>
        <v>34975</v>
      </c>
      <c r="P203" s="11" t="s">
        <v>20</v>
      </c>
    </row>
    <row r="204" spans="1:16" x14ac:dyDescent="0.25">
      <c r="A204" s="9" t="str">
        <f t="shared" si="16"/>
        <v>2024 ALL D75</v>
      </c>
      <c r="B204" s="10">
        <f>'[1]2019 ALL D95'!B204</f>
        <v>46104</v>
      </c>
      <c r="C204" s="10">
        <f>'[1]2019 ALL D95'!C204</f>
        <v>46113</v>
      </c>
      <c r="D204" s="11">
        <v>3273</v>
      </c>
      <c r="E204" s="11">
        <v>336</v>
      </c>
      <c r="F204" s="11">
        <v>4</v>
      </c>
      <c r="G204" s="13">
        <v>6</v>
      </c>
      <c r="H204" s="13">
        <v>81588</v>
      </c>
      <c r="I204" s="11" t="s">
        <v>17</v>
      </c>
      <c r="J204" s="13">
        <v>84038055</v>
      </c>
      <c r="K204" s="13" t="s">
        <v>240</v>
      </c>
      <c r="L204" s="13" t="s">
        <v>247</v>
      </c>
      <c r="M204" s="17">
        <v>139900</v>
      </c>
      <c r="N204" s="15">
        <v>0.75</v>
      </c>
      <c r="O204" s="16">
        <f t="shared" si="15"/>
        <v>34975</v>
      </c>
      <c r="P204" s="11" t="s">
        <v>20</v>
      </c>
    </row>
    <row r="205" spans="1:16" x14ac:dyDescent="0.25">
      <c r="A205" s="9" t="str">
        <f t="shared" si="16"/>
        <v>2024 ALL D75</v>
      </c>
      <c r="B205" s="10">
        <f>'[1]2019 ALL D95'!B205</f>
        <v>46104</v>
      </c>
      <c r="C205" s="10">
        <f>'[1]2019 ALL D95'!C205</f>
        <v>46113</v>
      </c>
      <c r="D205" s="11">
        <v>3273</v>
      </c>
      <c r="E205" s="11">
        <v>336</v>
      </c>
      <c r="F205" s="11">
        <v>4</v>
      </c>
      <c r="G205" s="13">
        <v>6</v>
      </c>
      <c r="H205" s="13">
        <v>81588</v>
      </c>
      <c r="I205" s="11" t="s">
        <v>17</v>
      </c>
      <c r="J205" s="13">
        <v>84038064</v>
      </c>
      <c r="K205" s="13" t="s">
        <v>240</v>
      </c>
      <c r="L205" s="13" t="s">
        <v>248</v>
      </c>
      <c r="M205" s="17">
        <v>139900</v>
      </c>
      <c r="N205" s="15">
        <v>0.75</v>
      </c>
      <c r="O205" s="16">
        <f t="shared" si="15"/>
        <v>34975</v>
      </c>
      <c r="P205" s="11" t="s">
        <v>20</v>
      </c>
    </row>
    <row r="206" spans="1:16" x14ac:dyDescent="0.25">
      <c r="A206" s="9" t="str">
        <f t="shared" si="16"/>
        <v>2024 ALL D75</v>
      </c>
      <c r="B206" s="10">
        <f>'[1]2019 ALL D95'!B206</f>
        <v>46104</v>
      </c>
      <c r="C206" s="10">
        <f>'[1]2019 ALL D95'!C206</f>
        <v>46113</v>
      </c>
      <c r="D206" s="11">
        <v>3273</v>
      </c>
      <c r="E206" s="11">
        <v>336</v>
      </c>
      <c r="F206" s="11">
        <v>4</v>
      </c>
      <c r="G206" s="13">
        <v>6</v>
      </c>
      <c r="H206" s="13">
        <v>81676</v>
      </c>
      <c r="I206" s="11" t="s">
        <v>17</v>
      </c>
      <c r="J206" s="13">
        <v>87623970</v>
      </c>
      <c r="K206" s="13" t="s">
        <v>249</v>
      </c>
      <c r="L206" s="13" t="s">
        <v>250</v>
      </c>
      <c r="M206" s="17">
        <v>129900</v>
      </c>
      <c r="N206" s="15">
        <v>0.75</v>
      </c>
      <c r="O206" s="16">
        <f t="shared" si="15"/>
        <v>32475</v>
      </c>
      <c r="P206" s="11" t="s">
        <v>20</v>
      </c>
    </row>
    <row r="207" spans="1:16" x14ac:dyDescent="0.25">
      <c r="A207" s="9" t="str">
        <f t="shared" si="16"/>
        <v>2024 ALL D75</v>
      </c>
      <c r="B207" s="10">
        <f>'[1]2019 ALL D95'!B207</f>
        <v>46104</v>
      </c>
      <c r="C207" s="10">
        <f>'[1]2019 ALL D95'!C207</f>
        <v>46113</v>
      </c>
      <c r="D207" s="11">
        <v>3273</v>
      </c>
      <c r="E207" s="11">
        <v>336</v>
      </c>
      <c r="F207" s="11">
        <v>4</v>
      </c>
      <c r="G207" s="13">
        <v>6</v>
      </c>
      <c r="H207" s="13">
        <v>81676</v>
      </c>
      <c r="I207" s="11" t="s">
        <v>17</v>
      </c>
      <c r="J207" s="13">
        <v>87623989</v>
      </c>
      <c r="K207" s="13" t="s">
        <v>249</v>
      </c>
      <c r="L207" s="13" t="s">
        <v>251</v>
      </c>
      <c r="M207" s="17">
        <v>129900</v>
      </c>
      <c r="N207" s="15">
        <v>0.75</v>
      </c>
      <c r="O207" s="16">
        <f t="shared" si="15"/>
        <v>32475</v>
      </c>
      <c r="P207" s="11" t="s">
        <v>20</v>
      </c>
    </row>
    <row r="208" spans="1:16" x14ac:dyDescent="0.25">
      <c r="A208" s="9" t="str">
        <f t="shared" si="16"/>
        <v>2024 ALL D75</v>
      </c>
      <c r="B208" s="10">
        <f>'[1]2019 ALL D95'!B208</f>
        <v>46104</v>
      </c>
      <c r="C208" s="10">
        <f>'[1]2019 ALL D95'!C208</f>
        <v>46113</v>
      </c>
      <c r="D208" s="11">
        <v>3273</v>
      </c>
      <c r="E208" s="11">
        <v>336</v>
      </c>
      <c r="F208" s="11">
        <v>4</v>
      </c>
      <c r="G208" s="13">
        <v>6</v>
      </c>
      <c r="H208" s="13">
        <v>81676</v>
      </c>
      <c r="I208" s="11" t="s">
        <v>17</v>
      </c>
      <c r="J208" s="13">
        <v>87623998</v>
      </c>
      <c r="K208" s="13" t="s">
        <v>249</v>
      </c>
      <c r="L208" s="13" t="s">
        <v>252</v>
      </c>
      <c r="M208" s="17">
        <v>129900</v>
      </c>
      <c r="N208" s="15">
        <v>0.75</v>
      </c>
      <c r="O208" s="16">
        <f t="shared" si="15"/>
        <v>32475</v>
      </c>
      <c r="P208" s="11" t="s">
        <v>20</v>
      </c>
    </row>
    <row r="209" spans="1:16" x14ac:dyDescent="0.25">
      <c r="A209" s="9" t="str">
        <f t="shared" si="16"/>
        <v>2024 ALL D75</v>
      </c>
      <c r="B209" s="10">
        <f>'[1]2019 ALL D95'!B209</f>
        <v>46104</v>
      </c>
      <c r="C209" s="10">
        <f>'[1]2019 ALL D95'!C209</f>
        <v>46113</v>
      </c>
      <c r="D209" s="11">
        <v>3273</v>
      </c>
      <c r="E209" s="11">
        <v>336</v>
      </c>
      <c r="F209" s="11">
        <v>4</v>
      </c>
      <c r="G209" s="13">
        <v>6</v>
      </c>
      <c r="H209" s="13">
        <v>81676</v>
      </c>
      <c r="I209" s="11" t="s">
        <v>17</v>
      </c>
      <c r="J209" s="13">
        <v>87624004</v>
      </c>
      <c r="K209" s="13" t="s">
        <v>249</v>
      </c>
      <c r="L209" s="13" t="s">
        <v>253</v>
      </c>
      <c r="M209" s="17">
        <v>129900</v>
      </c>
      <c r="N209" s="15">
        <v>0.75</v>
      </c>
      <c r="O209" s="16">
        <f t="shared" si="15"/>
        <v>32475</v>
      </c>
      <c r="P209" s="11" t="s">
        <v>20</v>
      </c>
    </row>
    <row r="210" spans="1:16" x14ac:dyDescent="0.25">
      <c r="A210" s="9" t="str">
        <f t="shared" si="16"/>
        <v>2024 ALL D75</v>
      </c>
      <c r="B210" s="10">
        <f>'[1]2019 ALL D95'!B210</f>
        <v>46104</v>
      </c>
      <c r="C210" s="10">
        <f>'[1]2019 ALL D95'!C210</f>
        <v>46113</v>
      </c>
      <c r="D210" s="11">
        <v>3273</v>
      </c>
      <c r="E210" s="11">
        <v>336</v>
      </c>
      <c r="F210" s="11">
        <v>4</v>
      </c>
      <c r="G210" s="13">
        <v>6</v>
      </c>
      <c r="H210" s="13">
        <v>81676</v>
      </c>
      <c r="I210" s="11" t="s">
        <v>17</v>
      </c>
      <c r="J210" s="13">
        <v>87624013</v>
      </c>
      <c r="K210" s="13" t="s">
        <v>249</v>
      </c>
      <c r="L210" s="13" t="s">
        <v>254</v>
      </c>
      <c r="M210" s="17">
        <v>129900</v>
      </c>
      <c r="N210" s="15">
        <v>0.75</v>
      </c>
      <c r="O210" s="16">
        <f t="shared" si="15"/>
        <v>32475</v>
      </c>
      <c r="P210" s="11" t="s">
        <v>20</v>
      </c>
    </row>
    <row r="211" spans="1:16" x14ac:dyDescent="0.25">
      <c r="A211" s="9" t="str">
        <f t="shared" ref="A211:A226" si="17">A210</f>
        <v>2024 ALL D75</v>
      </c>
      <c r="B211" s="10">
        <f>'[1]2019 ALL D95'!B211</f>
        <v>46104</v>
      </c>
      <c r="C211" s="10">
        <f>'[1]2019 ALL D95'!C211</f>
        <v>46113</v>
      </c>
      <c r="D211" s="11">
        <v>3273</v>
      </c>
      <c r="E211" s="11">
        <v>336</v>
      </c>
      <c r="F211" s="11">
        <v>4</v>
      </c>
      <c r="G211" s="13">
        <v>6</v>
      </c>
      <c r="H211" s="13">
        <v>81676</v>
      </c>
      <c r="I211" s="11" t="s">
        <v>17</v>
      </c>
      <c r="J211" s="13">
        <v>87624022</v>
      </c>
      <c r="K211" s="13" t="s">
        <v>249</v>
      </c>
      <c r="L211" s="13" t="s">
        <v>255</v>
      </c>
      <c r="M211" s="17">
        <v>129900</v>
      </c>
      <c r="N211" s="15">
        <v>0.75</v>
      </c>
      <c r="O211" s="16">
        <f t="shared" si="15"/>
        <v>32475</v>
      </c>
      <c r="P211" s="11" t="s">
        <v>20</v>
      </c>
    </row>
    <row r="212" spans="1:16" x14ac:dyDescent="0.25">
      <c r="A212" s="9" t="str">
        <f t="shared" si="17"/>
        <v>2024 ALL D75</v>
      </c>
      <c r="B212" s="10">
        <f>'[1]2019 ALL D95'!B212</f>
        <v>46104</v>
      </c>
      <c r="C212" s="10">
        <f>'[1]2019 ALL D95'!C212</f>
        <v>46113</v>
      </c>
      <c r="D212" s="11">
        <v>3273</v>
      </c>
      <c r="E212" s="11">
        <v>336</v>
      </c>
      <c r="F212" s="11">
        <v>4</v>
      </c>
      <c r="G212" s="13">
        <v>6</v>
      </c>
      <c r="H212" s="13">
        <v>81676</v>
      </c>
      <c r="I212" s="11" t="s">
        <v>17</v>
      </c>
      <c r="J212" s="13">
        <v>87624031</v>
      </c>
      <c r="K212" s="13" t="s">
        <v>249</v>
      </c>
      <c r="L212" s="13" t="s">
        <v>256</v>
      </c>
      <c r="M212" s="17">
        <v>129900</v>
      </c>
      <c r="N212" s="15">
        <v>0.75</v>
      </c>
      <c r="O212" s="16">
        <f t="shared" si="15"/>
        <v>32475</v>
      </c>
      <c r="P212" s="11" t="s">
        <v>20</v>
      </c>
    </row>
    <row r="213" spans="1:16" x14ac:dyDescent="0.25">
      <c r="A213" s="9" t="str">
        <f t="shared" si="17"/>
        <v>2024 ALL D75</v>
      </c>
      <c r="B213" s="10">
        <f>'[1]2019 ALL D95'!B213</f>
        <v>46104</v>
      </c>
      <c r="C213" s="10">
        <f>'[1]2019 ALL D95'!C213</f>
        <v>46113</v>
      </c>
      <c r="D213" s="11">
        <v>3273</v>
      </c>
      <c r="E213" s="11">
        <v>336</v>
      </c>
      <c r="F213" s="11">
        <v>4</v>
      </c>
      <c r="G213" s="13">
        <v>6</v>
      </c>
      <c r="H213" s="13">
        <v>81676</v>
      </c>
      <c r="I213" s="11" t="s">
        <v>17</v>
      </c>
      <c r="J213" s="13">
        <v>87624040</v>
      </c>
      <c r="K213" s="13" t="s">
        <v>249</v>
      </c>
      <c r="L213" s="13" t="s">
        <v>257</v>
      </c>
      <c r="M213" s="17">
        <v>129900</v>
      </c>
      <c r="N213" s="15">
        <v>0.75</v>
      </c>
      <c r="O213" s="16">
        <f t="shared" si="15"/>
        <v>32475</v>
      </c>
      <c r="P213" s="11" t="s">
        <v>20</v>
      </c>
    </row>
    <row r="214" spans="1:16" x14ac:dyDescent="0.25">
      <c r="A214" s="9" t="str">
        <f t="shared" si="17"/>
        <v>2024 ALL D75</v>
      </c>
      <c r="B214" s="10">
        <f>'[1]2019 ALL D95'!B214</f>
        <v>46104</v>
      </c>
      <c r="C214" s="10">
        <f>'[1]2019 ALL D95'!C214</f>
        <v>46113</v>
      </c>
      <c r="D214" s="11">
        <v>3273</v>
      </c>
      <c r="E214" s="11">
        <v>336</v>
      </c>
      <c r="F214" s="11">
        <v>4</v>
      </c>
      <c r="G214" s="13">
        <v>6</v>
      </c>
      <c r="H214" s="13">
        <v>81588</v>
      </c>
      <c r="I214" s="11" t="s">
        <v>17</v>
      </c>
      <c r="J214" s="13">
        <v>11665666</v>
      </c>
      <c r="K214" s="13" t="s">
        <v>258</v>
      </c>
      <c r="L214" s="13" t="s">
        <v>259</v>
      </c>
      <c r="M214" s="17">
        <v>139900</v>
      </c>
      <c r="N214" s="15">
        <v>0.75</v>
      </c>
      <c r="O214" s="16">
        <f t="shared" si="15"/>
        <v>34975</v>
      </c>
      <c r="P214" s="11" t="s">
        <v>20</v>
      </c>
    </row>
    <row r="215" spans="1:16" x14ac:dyDescent="0.25">
      <c r="A215" s="9" t="str">
        <f t="shared" si="17"/>
        <v>2024 ALL D75</v>
      </c>
      <c r="B215" s="10">
        <f>'[1]2019 ALL D95'!B215</f>
        <v>46104</v>
      </c>
      <c r="C215" s="10">
        <f>'[1]2019 ALL D95'!C215</f>
        <v>46113</v>
      </c>
      <c r="D215" s="11">
        <v>3273</v>
      </c>
      <c r="E215" s="11">
        <v>336</v>
      </c>
      <c r="F215" s="11">
        <v>4</v>
      </c>
      <c r="G215" s="13">
        <v>6</v>
      </c>
      <c r="H215" s="13">
        <v>81588</v>
      </c>
      <c r="I215" s="11" t="s">
        <v>17</v>
      </c>
      <c r="J215" s="13">
        <v>11665675</v>
      </c>
      <c r="K215" s="13" t="s">
        <v>258</v>
      </c>
      <c r="L215" s="13" t="s">
        <v>260</v>
      </c>
      <c r="M215" s="17">
        <v>139900</v>
      </c>
      <c r="N215" s="15">
        <v>0.75</v>
      </c>
      <c r="O215" s="16">
        <f t="shared" si="15"/>
        <v>34975</v>
      </c>
      <c r="P215" s="11" t="s">
        <v>20</v>
      </c>
    </row>
    <row r="216" spans="1:16" x14ac:dyDescent="0.25">
      <c r="A216" s="9" t="str">
        <f t="shared" si="17"/>
        <v>2024 ALL D75</v>
      </c>
      <c r="B216" s="10">
        <f>'[1]2019 ALL D95'!B216</f>
        <v>46104</v>
      </c>
      <c r="C216" s="10">
        <f>'[1]2019 ALL D95'!C216</f>
        <v>46113</v>
      </c>
      <c r="D216" s="11">
        <v>3273</v>
      </c>
      <c r="E216" s="11">
        <v>336</v>
      </c>
      <c r="F216" s="11">
        <v>4</v>
      </c>
      <c r="G216" s="13">
        <v>6</v>
      </c>
      <c r="H216" s="13">
        <v>81588</v>
      </c>
      <c r="I216" s="11" t="s">
        <v>17</v>
      </c>
      <c r="J216" s="13">
        <v>11665684</v>
      </c>
      <c r="K216" s="13" t="s">
        <v>258</v>
      </c>
      <c r="L216" s="13" t="s">
        <v>261</v>
      </c>
      <c r="M216" s="17">
        <v>139900</v>
      </c>
      <c r="N216" s="15">
        <v>0.75</v>
      </c>
      <c r="O216" s="16">
        <f t="shared" si="15"/>
        <v>34975</v>
      </c>
      <c r="P216" s="11" t="s">
        <v>20</v>
      </c>
    </row>
    <row r="217" spans="1:16" x14ac:dyDescent="0.25">
      <c r="A217" s="9" t="str">
        <f t="shared" si="17"/>
        <v>2024 ALL D75</v>
      </c>
      <c r="B217" s="10">
        <f>'[1]2019 ALL D95'!B217</f>
        <v>46104</v>
      </c>
      <c r="C217" s="10">
        <f>'[1]2019 ALL D95'!C217</f>
        <v>46113</v>
      </c>
      <c r="D217" s="11">
        <v>3273</v>
      </c>
      <c r="E217" s="11">
        <v>336</v>
      </c>
      <c r="F217" s="11">
        <v>4</v>
      </c>
      <c r="G217" s="13">
        <v>6</v>
      </c>
      <c r="H217" s="13">
        <v>81588</v>
      </c>
      <c r="I217" s="11" t="s">
        <v>17</v>
      </c>
      <c r="J217" s="13">
        <v>11665693</v>
      </c>
      <c r="K217" s="13" t="s">
        <v>258</v>
      </c>
      <c r="L217" s="13" t="s">
        <v>262</v>
      </c>
      <c r="M217" s="17">
        <v>139900</v>
      </c>
      <c r="N217" s="15">
        <v>0.75</v>
      </c>
      <c r="O217" s="16">
        <f t="shared" si="15"/>
        <v>34975</v>
      </c>
      <c r="P217" s="11" t="s">
        <v>20</v>
      </c>
    </row>
    <row r="218" spans="1:16" x14ac:dyDescent="0.25">
      <c r="A218" s="9" t="str">
        <f t="shared" si="17"/>
        <v>2024 ALL D75</v>
      </c>
      <c r="B218" s="10">
        <f>'[1]2019 ALL D95'!B218</f>
        <v>46104</v>
      </c>
      <c r="C218" s="10">
        <f>'[1]2019 ALL D95'!C218</f>
        <v>46113</v>
      </c>
      <c r="D218" s="11">
        <v>3273</v>
      </c>
      <c r="E218" s="11">
        <v>336</v>
      </c>
      <c r="F218" s="11">
        <v>4</v>
      </c>
      <c r="G218" s="13">
        <v>6</v>
      </c>
      <c r="H218" s="13">
        <v>81588</v>
      </c>
      <c r="I218" s="11" t="s">
        <v>17</v>
      </c>
      <c r="J218" s="13">
        <v>11665700</v>
      </c>
      <c r="K218" s="13" t="s">
        <v>258</v>
      </c>
      <c r="L218" s="13" t="s">
        <v>263</v>
      </c>
      <c r="M218" s="17">
        <v>139900</v>
      </c>
      <c r="N218" s="15">
        <v>0.75</v>
      </c>
      <c r="O218" s="16">
        <f t="shared" si="15"/>
        <v>34975</v>
      </c>
      <c r="P218" s="11" t="s">
        <v>20</v>
      </c>
    </row>
    <row r="219" spans="1:16" x14ac:dyDescent="0.25">
      <c r="A219" s="9" t="str">
        <f t="shared" si="17"/>
        <v>2024 ALL D75</v>
      </c>
      <c r="B219" s="10">
        <f>'[1]2019 ALL D95'!B219</f>
        <v>46104</v>
      </c>
      <c r="C219" s="10">
        <f>'[1]2019 ALL D95'!C219</f>
        <v>46113</v>
      </c>
      <c r="D219" s="11">
        <v>3273</v>
      </c>
      <c r="E219" s="11">
        <v>336</v>
      </c>
      <c r="F219" s="11">
        <v>4</v>
      </c>
      <c r="G219" s="13">
        <v>6</v>
      </c>
      <c r="H219" s="13">
        <v>81588</v>
      </c>
      <c r="I219" s="11" t="s">
        <v>17</v>
      </c>
      <c r="J219" s="13">
        <v>11665719</v>
      </c>
      <c r="K219" s="13" t="s">
        <v>258</v>
      </c>
      <c r="L219" s="13" t="s">
        <v>264</v>
      </c>
      <c r="M219" s="17">
        <v>139900</v>
      </c>
      <c r="N219" s="15">
        <v>0.75</v>
      </c>
      <c r="O219" s="16">
        <f t="shared" si="15"/>
        <v>34975</v>
      </c>
      <c r="P219" s="11" t="s">
        <v>20</v>
      </c>
    </row>
    <row r="220" spans="1:16" x14ac:dyDescent="0.25">
      <c r="A220" s="9" t="str">
        <f t="shared" si="17"/>
        <v>2024 ALL D75</v>
      </c>
      <c r="B220" s="10">
        <f>'[1]2019 ALL D95'!B220</f>
        <v>46104</v>
      </c>
      <c r="C220" s="10">
        <f>'[1]2019 ALL D95'!C220</f>
        <v>46113</v>
      </c>
      <c r="D220" s="11">
        <v>3273</v>
      </c>
      <c r="E220" s="11">
        <v>336</v>
      </c>
      <c r="F220" s="11">
        <v>4</v>
      </c>
      <c r="G220" s="13">
        <v>6</v>
      </c>
      <c r="H220" s="13">
        <v>81574</v>
      </c>
      <c r="I220" s="11" t="s">
        <v>17</v>
      </c>
      <c r="J220" s="13">
        <v>15639731</v>
      </c>
      <c r="K220" s="13" t="s">
        <v>265</v>
      </c>
      <c r="L220" s="13" t="s">
        <v>266</v>
      </c>
      <c r="M220" s="17">
        <v>189900</v>
      </c>
      <c r="N220" s="15">
        <v>0.75</v>
      </c>
      <c r="O220" s="16">
        <f t="shared" si="15"/>
        <v>47475</v>
      </c>
      <c r="P220" s="11" t="s">
        <v>20</v>
      </c>
    </row>
    <row r="221" spans="1:16" x14ac:dyDescent="0.25">
      <c r="A221" s="9" t="str">
        <f t="shared" si="17"/>
        <v>2024 ALL D75</v>
      </c>
      <c r="B221" s="10">
        <f>'[1]2019 ALL D95'!B221</f>
        <v>46104</v>
      </c>
      <c r="C221" s="10">
        <f>'[1]2019 ALL D95'!C221</f>
        <v>46113</v>
      </c>
      <c r="D221" s="11">
        <v>3273</v>
      </c>
      <c r="E221" s="11">
        <v>336</v>
      </c>
      <c r="F221" s="11">
        <v>4</v>
      </c>
      <c r="G221" s="13">
        <v>6</v>
      </c>
      <c r="H221" s="13">
        <v>81574</v>
      </c>
      <c r="I221" s="11" t="s">
        <v>17</v>
      </c>
      <c r="J221" s="13">
        <v>15639740</v>
      </c>
      <c r="K221" s="13" t="s">
        <v>265</v>
      </c>
      <c r="L221" s="13" t="s">
        <v>267</v>
      </c>
      <c r="M221" s="17">
        <v>189900</v>
      </c>
      <c r="N221" s="15">
        <v>0.75</v>
      </c>
      <c r="O221" s="16">
        <f t="shared" si="15"/>
        <v>47475</v>
      </c>
      <c r="P221" s="11" t="s">
        <v>20</v>
      </c>
    </row>
    <row r="222" spans="1:16" x14ac:dyDescent="0.25">
      <c r="A222" s="9" t="str">
        <f t="shared" si="17"/>
        <v>2024 ALL D75</v>
      </c>
      <c r="B222" s="10">
        <f>'[1]2019 ALL D95'!B222</f>
        <v>46104</v>
      </c>
      <c r="C222" s="10">
        <f>'[1]2019 ALL D95'!C222</f>
        <v>46113</v>
      </c>
      <c r="D222" s="11">
        <v>3273</v>
      </c>
      <c r="E222" s="11">
        <v>336</v>
      </c>
      <c r="F222" s="11">
        <v>4</v>
      </c>
      <c r="G222" s="13">
        <v>6</v>
      </c>
      <c r="H222" s="13">
        <v>81574</v>
      </c>
      <c r="I222" s="11" t="s">
        <v>17</v>
      </c>
      <c r="J222" s="13">
        <v>15639759</v>
      </c>
      <c r="K222" s="13" t="s">
        <v>265</v>
      </c>
      <c r="L222" s="13" t="s">
        <v>268</v>
      </c>
      <c r="M222" s="17">
        <v>189900</v>
      </c>
      <c r="N222" s="15">
        <v>0.75</v>
      </c>
      <c r="O222" s="16">
        <f t="shared" si="15"/>
        <v>47475</v>
      </c>
      <c r="P222" s="11" t="s">
        <v>20</v>
      </c>
    </row>
    <row r="223" spans="1:16" x14ac:dyDescent="0.25">
      <c r="A223" s="9" t="str">
        <f t="shared" si="17"/>
        <v>2024 ALL D75</v>
      </c>
      <c r="B223" s="10">
        <f>'[1]2019 ALL D95'!B223</f>
        <v>46104</v>
      </c>
      <c r="C223" s="10">
        <f>'[1]2019 ALL D95'!C223</f>
        <v>46113</v>
      </c>
      <c r="D223" s="11">
        <v>3273</v>
      </c>
      <c r="E223" s="11">
        <v>336</v>
      </c>
      <c r="F223" s="11">
        <v>4</v>
      </c>
      <c r="G223" s="13">
        <v>6</v>
      </c>
      <c r="H223" s="13">
        <v>81574</v>
      </c>
      <c r="I223" s="11" t="s">
        <v>17</v>
      </c>
      <c r="J223" s="13">
        <v>15639768</v>
      </c>
      <c r="K223" s="13" t="s">
        <v>265</v>
      </c>
      <c r="L223" s="13" t="s">
        <v>269</v>
      </c>
      <c r="M223" s="17">
        <v>189900</v>
      </c>
      <c r="N223" s="15">
        <v>0.75</v>
      </c>
      <c r="O223" s="16">
        <f t="shared" si="15"/>
        <v>47475</v>
      </c>
      <c r="P223" s="11" t="s">
        <v>20</v>
      </c>
    </row>
    <row r="224" spans="1:16" x14ac:dyDescent="0.25">
      <c r="A224" s="9" t="str">
        <f t="shared" si="17"/>
        <v>2024 ALL D75</v>
      </c>
      <c r="B224" s="10">
        <f>'[1]2019 ALL D95'!B224</f>
        <v>46104</v>
      </c>
      <c r="C224" s="10">
        <f>'[1]2019 ALL D95'!C224</f>
        <v>46113</v>
      </c>
      <c r="D224" s="11">
        <v>3273</v>
      </c>
      <c r="E224" s="11">
        <v>336</v>
      </c>
      <c r="F224" s="11">
        <v>4</v>
      </c>
      <c r="G224" s="13">
        <v>6</v>
      </c>
      <c r="H224" s="13">
        <v>81574</v>
      </c>
      <c r="I224" s="11" t="s">
        <v>17</v>
      </c>
      <c r="J224" s="13">
        <v>15639777</v>
      </c>
      <c r="K224" s="13" t="s">
        <v>265</v>
      </c>
      <c r="L224" s="13" t="s">
        <v>270</v>
      </c>
      <c r="M224" s="17">
        <v>189900</v>
      </c>
      <c r="N224" s="15">
        <v>0.75</v>
      </c>
      <c r="O224" s="16">
        <f t="shared" si="15"/>
        <v>47475</v>
      </c>
      <c r="P224" s="11" t="s">
        <v>20</v>
      </c>
    </row>
    <row r="225" spans="1:16" x14ac:dyDescent="0.25">
      <c r="A225" s="9" t="str">
        <f t="shared" si="17"/>
        <v>2024 ALL D75</v>
      </c>
      <c r="B225" s="10">
        <f>'[1]2019 ALL D95'!B225</f>
        <v>46104</v>
      </c>
      <c r="C225" s="10">
        <f>'[1]2019 ALL D95'!C225</f>
        <v>46113</v>
      </c>
      <c r="D225" s="11">
        <v>3273</v>
      </c>
      <c r="E225" s="11">
        <v>336</v>
      </c>
      <c r="F225" s="11">
        <v>4</v>
      </c>
      <c r="G225" s="13">
        <v>6</v>
      </c>
      <c r="H225" s="13">
        <v>81574</v>
      </c>
      <c r="I225" s="11" t="s">
        <v>17</v>
      </c>
      <c r="J225" s="13">
        <v>15639786</v>
      </c>
      <c r="K225" s="13" t="s">
        <v>265</v>
      </c>
      <c r="L225" s="13" t="s">
        <v>271</v>
      </c>
      <c r="M225" s="17">
        <v>189900</v>
      </c>
      <c r="N225" s="15">
        <v>0.75</v>
      </c>
      <c r="O225" s="16">
        <f t="shared" si="15"/>
        <v>47475</v>
      </c>
      <c r="P225" s="11" t="s">
        <v>20</v>
      </c>
    </row>
    <row r="226" spans="1:16" x14ac:dyDescent="0.25">
      <c r="A226" s="9" t="str">
        <f t="shared" si="17"/>
        <v>2024 ALL D75</v>
      </c>
      <c r="B226" s="10">
        <f>'[1]2019 ALL D95'!B226</f>
        <v>46104</v>
      </c>
      <c r="C226" s="10">
        <f>'[1]2019 ALL D95'!C226</f>
        <v>46113</v>
      </c>
      <c r="D226" s="11">
        <v>3273</v>
      </c>
      <c r="E226" s="11">
        <v>336</v>
      </c>
      <c r="F226" s="11">
        <v>4</v>
      </c>
      <c r="G226" s="13">
        <v>6</v>
      </c>
      <c r="H226" s="13">
        <v>81574</v>
      </c>
      <c r="I226" s="11" t="s">
        <v>17</v>
      </c>
      <c r="J226" s="13">
        <v>15639795</v>
      </c>
      <c r="K226" s="13" t="s">
        <v>265</v>
      </c>
      <c r="L226" s="13" t="s">
        <v>272</v>
      </c>
      <c r="M226" s="17">
        <v>189900</v>
      </c>
      <c r="N226" s="15">
        <v>0.75</v>
      </c>
      <c r="O226" s="16">
        <f t="shared" si="15"/>
        <v>47475</v>
      </c>
      <c r="P226" s="11" t="s">
        <v>20</v>
      </c>
    </row>
    <row r="227" spans="1:16" x14ac:dyDescent="0.25">
      <c r="A227" s="9" t="str">
        <f t="shared" ref="A227:A242" si="18">A226</f>
        <v>2024 ALL D75</v>
      </c>
      <c r="B227" s="10">
        <f>'[1]2019 ALL D95'!B227</f>
        <v>46104</v>
      </c>
      <c r="C227" s="10">
        <f>'[1]2019 ALL D95'!C227</f>
        <v>46113</v>
      </c>
      <c r="D227" s="11">
        <v>3273</v>
      </c>
      <c r="E227" s="11">
        <v>336</v>
      </c>
      <c r="F227" s="11">
        <v>4</v>
      </c>
      <c r="G227" s="13">
        <v>6</v>
      </c>
      <c r="H227" s="13">
        <v>81574</v>
      </c>
      <c r="I227" s="11" t="s">
        <v>17</v>
      </c>
      <c r="J227" s="13">
        <v>15639802</v>
      </c>
      <c r="K227" s="13" t="s">
        <v>265</v>
      </c>
      <c r="L227" s="13" t="s">
        <v>273</v>
      </c>
      <c r="M227" s="17">
        <v>189900</v>
      </c>
      <c r="N227" s="15">
        <v>0.75</v>
      </c>
      <c r="O227" s="16">
        <f t="shared" si="15"/>
        <v>47475</v>
      </c>
      <c r="P227" s="11" t="s">
        <v>20</v>
      </c>
    </row>
    <row r="228" spans="1:16" x14ac:dyDescent="0.25">
      <c r="A228" s="9" t="str">
        <f t="shared" si="18"/>
        <v>2024 ALL D75</v>
      </c>
      <c r="B228" s="10">
        <f>'[1]2019 ALL D95'!B228</f>
        <v>46104</v>
      </c>
      <c r="C228" s="10">
        <f>'[1]2019 ALL D95'!C228</f>
        <v>46113</v>
      </c>
      <c r="D228" s="11">
        <v>3273</v>
      </c>
      <c r="E228" s="11">
        <v>336</v>
      </c>
      <c r="F228" s="11">
        <v>4</v>
      </c>
      <c r="G228" s="13">
        <v>6</v>
      </c>
      <c r="H228" s="13">
        <v>81588</v>
      </c>
      <c r="I228" s="11" t="s">
        <v>17</v>
      </c>
      <c r="J228" s="13">
        <v>15640069</v>
      </c>
      <c r="K228" s="13" t="s">
        <v>274</v>
      </c>
      <c r="L228" s="13" t="s">
        <v>275</v>
      </c>
      <c r="M228" s="17">
        <v>149900</v>
      </c>
      <c r="N228" s="15">
        <v>0.75</v>
      </c>
      <c r="O228" s="16">
        <f t="shared" si="15"/>
        <v>37475</v>
      </c>
      <c r="P228" s="11" t="s">
        <v>20</v>
      </c>
    </row>
    <row r="229" spans="1:16" x14ac:dyDescent="0.25">
      <c r="A229" s="9" t="str">
        <f t="shared" si="18"/>
        <v>2024 ALL D75</v>
      </c>
      <c r="B229" s="10">
        <f>'[1]2019 ALL D95'!B229</f>
        <v>46104</v>
      </c>
      <c r="C229" s="10">
        <f>'[1]2019 ALL D95'!C229</f>
        <v>46113</v>
      </c>
      <c r="D229" s="11">
        <v>3273</v>
      </c>
      <c r="E229" s="11">
        <v>336</v>
      </c>
      <c r="F229" s="11">
        <v>4</v>
      </c>
      <c r="G229" s="13">
        <v>6</v>
      </c>
      <c r="H229" s="13">
        <v>81588</v>
      </c>
      <c r="I229" s="11" t="s">
        <v>17</v>
      </c>
      <c r="J229" s="13">
        <v>15640078</v>
      </c>
      <c r="K229" s="13" t="s">
        <v>274</v>
      </c>
      <c r="L229" s="13" t="s">
        <v>276</v>
      </c>
      <c r="M229" s="17">
        <v>149900</v>
      </c>
      <c r="N229" s="15">
        <v>0.75</v>
      </c>
      <c r="O229" s="16">
        <f t="shared" si="15"/>
        <v>37475</v>
      </c>
      <c r="P229" s="11" t="s">
        <v>20</v>
      </c>
    </row>
    <row r="230" spans="1:16" x14ac:dyDescent="0.25">
      <c r="A230" s="9" t="str">
        <f t="shared" si="18"/>
        <v>2024 ALL D75</v>
      </c>
      <c r="B230" s="10">
        <f>'[1]2019 ALL D95'!B230</f>
        <v>46104</v>
      </c>
      <c r="C230" s="10">
        <f>'[1]2019 ALL D95'!C230</f>
        <v>46113</v>
      </c>
      <c r="D230" s="11">
        <v>3273</v>
      </c>
      <c r="E230" s="11">
        <v>336</v>
      </c>
      <c r="F230" s="11">
        <v>4</v>
      </c>
      <c r="G230" s="13">
        <v>6</v>
      </c>
      <c r="H230" s="13">
        <v>81588</v>
      </c>
      <c r="I230" s="11" t="s">
        <v>17</v>
      </c>
      <c r="J230" s="13">
        <v>15640087</v>
      </c>
      <c r="K230" s="13" t="s">
        <v>274</v>
      </c>
      <c r="L230" s="13" t="s">
        <v>277</v>
      </c>
      <c r="M230" s="17">
        <v>149900</v>
      </c>
      <c r="N230" s="15">
        <v>0.75</v>
      </c>
      <c r="O230" s="16">
        <f t="shared" si="15"/>
        <v>37475</v>
      </c>
      <c r="P230" s="11" t="s">
        <v>20</v>
      </c>
    </row>
    <row r="231" spans="1:16" x14ac:dyDescent="0.25">
      <c r="A231" s="9" t="str">
        <f t="shared" si="18"/>
        <v>2024 ALL D75</v>
      </c>
      <c r="B231" s="10">
        <f>'[1]2019 ALL D95'!B231</f>
        <v>46104</v>
      </c>
      <c r="C231" s="10">
        <f>'[1]2019 ALL D95'!C231</f>
        <v>46113</v>
      </c>
      <c r="D231" s="11">
        <v>3273</v>
      </c>
      <c r="E231" s="11">
        <v>336</v>
      </c>
      <c r="F231" s="11">
        <v>4</v>
      </c>
      <c r="G231" s="13">
        <v>6</v>
      </c>
      <c r="H231" s="13">
        <v>81588</v>
      </c>
      <c r="I231" s="11" t="s">
        <v>17</v>
      </c>
      <c r="J231" s="13">
        <v>15640096</v>
      </c>
      <c r="K231" s="13" t="s">
        <v>274</v>
      </c>
      <c r="L231" s="13" t="s">
        <v>278</v>
      </c>
      <c r="M231" s="17">
        <v>149900</v>
      </c>
      <c r="N231" s="15">
        <v>0.75</v>
      </c>
      <c r="O231" s="16">
        <f t="shared" si="15"/>
        <v>37475</v>
      </c>
      <c r="P231" s="11" t="s">
        <v>20</v>
      </c>
    </row>
    <row r="232" spans="1:16" x14ac:dyDescent="0.25">
      <c r="A232" s="9" t="str">
        <f t="shared" si="18"/>
        <v>2024 ALL D75</v>
      </c>
      <c r="B232" s="10">
        <f>'[1]2019 ALL D95'!B232</f>
        <v>46104</v>
      </c>
      <c r="C232" s="10">
        <f>'[1]2019 ALL D95'!C232</f>
        <v>46113</v>
      </c>
      <c r="D232" s="11">
        <v>3273</v>
      </c>
      <c r="E232" s="11">
        <v>336</v>
      </c>
      <c r="F232" s="11">
        <v>4</v>
      </c>
      <c r="G232" s="13">
        <v>6</v>
      </c>
      <c r="H232" s="13">
        <v>81588</v>
      </c>
      <c r="I232" s="11" t="s">
        <v>17</v>
      </c>
      <c r="J232" s="13">
        <v>15640103</v>
      </c>
      <c r="K232" s="13" t="s">
        <v>274</v>
      </c>
      <c r="L232" s="13" t="s">
        <v>279</v>
      </c>
      <c r="M232" s="17">
        <v>149900</v>
      </c>
      <c r="N232" s="15">
        <v>0.75</v>
      </c>
      <c r="O232" s="16">
        <f t="shared" si="15"/>
        <v>37475</v>
      </c>
      <c r="P232" s="11" t="s">
        <v>20</v>
      </c>
    </row>
    <row r="233" spans="1:16" x14ac:dyDescent="0.25">
      <c r="A233" s="9" t="str">
        <f t="shared" si="18"/>
        <v>2024 ALL D75</v>
      </c>
      <c r="B233" s="10">
        <f>'[1]2019 ALL D95'!B233</f>
        <v>46104</v>
      </c>
      <c r="C233" s="10">
        <f>'[1]2019 ALL D95'!C233</f>
        <v>46113</v>
      </c>
      <c r="D233" s="11">
        <v>3273</v>
      </c>
      <c r="E233" s="11">
        <v>336</v>
      </c>
      <c r="F233" s="11">
        <v>4</v>
      </c>
      <c r="G233" s="13">
        <v>6</v>
      </c>
      <c r="H233" s="13">
        <v>81588</v>
      </c>
      <c r="I233" s="11" t="s">
        <v>17</v>
      </c>
      <c r="J233" s="13">
        <v>15748079</v>
      </c>
      <c r="K233" s="13" t="s">
        <v>280</v>
      </c>
      <c r="L233" s="13" t="s">
        <v>281</v>
      </c>
      <c r="M233" s="17">
        <v>139900</v>
      </c>
      <c r="N233" s="15">
        <v>0.75</v>
      </c>
      <c r="O233" s="16">
        <f t="shared" si="15"/>
        <v>34975</v>
      </c>
      <c r="P233" s="11" t="s">
        <v>20</v>
      </c>
    </row>
    <row r="234" spans="1:16" x14ac:dyDescent="0.25">
      <c r="A234" s="9" t="str">
        <f t="shared" si="18"/>
        <v>2024 ALL D75</v>
      </c>
      <c r="B234" s="10">
        <f>'[1]2019 ALL D95'!B234</f>
        <v>46104</v>
      </c>
      <c r="C234" s="10">
        <f>'[1]2019 ALL D95'!C234</f>
        <v>46113</v>
      </c>
      <c r="D234" s="11">
        <v>3273</v>
      </c>
      <c r="E234" s="11">
        <v>336</v>
      </c>
      <c r="F234" s="11">
        <v>4</v>
      </c>
      <c r="G234" s="13">
        <v>6</v>
      </c>
      <c r="H234" s="13">
        <v>81588</v>
      </c>
      <c r="I234" s="11" t="s">
        <v>17</v>
      </c>
      <c r="J234" s="13">
        <v>15748088</v>
      </c>
      <c r="K234" s="13" t="s">
        <v>280</v>
      </c>
      <c r="L234" s="13" t="s">
        <v>282</v>
      </c>
      <c r="M234" s="17">
        <v>139900</v>
      </c>
      <c r="N234" s="15">
        <v>0.75</v>
      </c>
      <c r="O234" s="16">
        <f t="shared" si="15"/>
        <v>34975</v>
      </c>
      <c r="P234" s="11" t="s">
        <v>20</v>
      </c>
    </row>
    <row r="235" spans="1:16" x14ac:dyDescent="0.25">
      <c r="A235" s="9" t="str">
        <f t="shared" si="18"/>
        <v>2024 ALL D75</v>
      </c>
      <c r="B235" s="10">
        <f>'[1]2019 ALL D95'!B235</f>
        <v>46104</v>
      </c>
      <c r="C235" s="10">
        <f>'[1]2019 ALL D95'!C235</f>
        <v>46113</v>
      </c>
      <c r="D235" s="11">
        <v>3273</v>
      </c>
      <c r="E235" s="11">
        <v>336</v>
      </c>
      <c r="F235" s="11">
        <v>4</v>
      </c>
      <c r="G235" s="13">
        <v>6</v>
      </c>
      <c r="H235" s="13">
        <v>81588</v>
      </c>
      <c r="I235" s="11" t="s">
        <v>17</v>
      </c>
      <c r="J235" s="13">
        <v>15748097</v>
      </c>
      <c r="K235" s="13" t="s">
        <v>280</v>
      </c>
      <c r="L235" s="13" t="s">
        <v>283</v>
      </c>
      <c r="M235" s="17">
        <v>139900</v>
      </c>
      <c r="N235" s="15">
        <v>0.75</v>
      </c>
      <c r="O235" s="16">
        <f t="shared" si="15"/>
        <v>34975</v>
      </c>
      <c r="P235" s="11" t="s">
        <v>20</v>
      </c>
    </row>
    <row r="236" spans="1:16" x14ac:dyDescent="0.25">
      <c r="A236" s="9" t="str">
        <f t="shared" si="18"/>
        <v>2024 ALL D75</v>
      </c>
      <c r="B236" s="10">
        <f>'[1]2019 ALL D95'!B236</f>
        <v>46104</v>
      </c>
      <c r="C236" s="10">
        <f>'[1]2019 ALL D95'!C236</f>
        <v>46113</v>
      </c>
      <c r="D236" s="11">
        <v>3273</v>
      </c>
      <c r="E236" s="11">
        <v>336</v>
      </c>
      <c r="F236" s="11">
        <v>4</v>
      </c>
      <c r="G236" s="13">
        <v>6</v>
      </c>
      <c r="H236" s="13">
        <v>81588</v>
      </c>
      <c r="I236" s="11" t="s">
        <v>17</v>
      </c>
      <c r="J236" s="13">
        <v>15748104</v>
      </c>
      <c r="K236" s="13" t="s">
        <v>280</v>
      </c>
      <c r="L236" s="13" t="s">
        <v>284</v>
      </c>
      <c r="M236" s="17">
        <v>139900</v>
      </c>
      <c r="N236" s="15">
        <v>0.75</v>
      </c>
      <c r="O236" s="16">
        <f t="shared" si="15"/>
        <v>34975</v>
      </c>
      <c r="P236" s="11" t="s">
        <v>20</v>
      </c>
    </row>
    <row r="237" spans="1:16" x14ac:dyDescent="0.25">
      <c r="A237" s="9" t="str">
        <f t="shared" si="18"/>
        <v>2024 ALL D75</v>
      </c>
      <c r="B237" s="10">
        <f>'[1]2019 ALL D95'!B237</f>
        <v>46104</v>
      </c>
      <c r="C237" s="10">
        <f>'[1]2019 ALL D95'!C237</f>
        <v>46113</v>
      </c>
      <c r="D237" s="11">
        <v>3273</v>
      </c>
      <c r="E237" s="11">
        <v>336</v>
      </c>
      <c r="F237" s="11">
        <v>4</v>
      </c>
      <c r="G237" s="13">
        <v>6</v>
      </c>
      <c r="H237" s="13">
        <v>81588</v>
      </c>
      <c r="I237" s="11" t="s">
        <v>17</v>
      </c>
      <c r="J237" s="13">
        <v>15748113</v>
      </c>
      <c r="K237" s="13" t="s">
        <v>280</v>
      </c>
      <c r="L237" s="13" t="s">
        <v>285</v>
      </c>
      <c r="M237" s="17">
        <v>139900</v>
      </c>
      <c r="N237" s="15">
        <v>0.75</v>
      </c>
      <c r="O237" s="16">
        <f t="shared" si="15"/>
        <v>34975</v>
      </c>
      <c r="P237" s="11" t="s">
        <v>20</v>
      </c>
    </row>
    <row r="238" spans="1:16" x14ac:dyDescent="0.25">
      <c r="A238" s="9" t="str">
        <f t="shared" si="18"/>
        <v>2024 ALL D75</v>
      </c>
      <c r="B238" s="10">
        <f>'[1]2019 ALL D95'!B238</f>
        <v>46104</v>
      </c>
      <c r="C238" s="10">
        <f>'[1]2019 ALL D95'!C238</f>
        <v>46113</v>
      </c>
      <c r="D238" s="11">
        <v>3273</v>
      </c>
      <c r="E238" s="11">
        <v>336</v>
      </c>
      <c r="F238" s="11">
        <v>4</v>
      </c>
      <c r="G238" s="13">
        <v>6</v>
      </c>
      <c r="H238" s="13">
        <v>81588</v>
      </c>
      <c r="I238" s="11" t="s">
        <v>17</v>
      </c>
      <c r="J238" s="13">
        <v>15748122</v>
      </c>
      <c r="K238" s="13" t="s">
        <v>280</v>
      </c>
      <c r="L238" s="13" t="s">
        <v>286</v>
      </c>
      <c r="M238" s="17">
        <v>139900</v>
      </c>
      <c r="N238" s="15">
        <v>0.75</v>
      </c>
      <c r="O238" s="16">
        <f t="shared" si="15"/>
        <v>34975</v>
      </c>
      <c r="P238" s="11" t="s">
        <v>20</v>
      </c>
    </row>
    <row r="239" spans="1:16" x14ac:dyDescent="0.25">
      <c r="A239" s="9" t="str">
        <f t="shared" si="18"/>
        <v>2024 ALL D75</v>
      </c>
      <c r="B239" s="10">
        <f>'[1]2019 ALL D95'!B239</f>
        <v>46104</v>
      </c>
      <c r="C239" s="10">
        <f>'[1]2019 ALL D95'!C239</f>
        <v>46113</v>
      </c>
      <c r="D239" s="11">
        <v>3273</v>
      </c>
      <c r="E239" s="11">
        <v>336</v>
      </c>
      <c r="F239" s="11">
        <v>4</v>
      </c>
      <c r="G239" s="13">
        <v>6</v>
      </c>
      <c r="H239" s="13">
        <v>81588</v>
      </c>
      <c r="I239" s="11" t="s">
        <v>17</v>
      </c>
      <c r="J239" s="13">
        <v>15748131</v>
      </c>
      <c r="K239" s="13" t="s">
        <v>280</v>
      </c>
      <c r="L239" s="13" t="s">
        <v>287</v>
      </c>
      <c r="M239" s="17">
        <v>139900</v>
      </c>
      <c r="N239" s="15">
        <v>0.75</v>
      </c>
      <c r="O239" s="16">
        <f t="shared" si="15"/>
        <v>34975</v>
      </c>
      <c r="P239" s="11" t="s">
        <v>20</v>
      </c>
    </row>
    <row r="240" spans="1:16" x14ac:dyDescent="0.25">
      <c r="A240" s="9" t="str">
        <f t="shared" si="18"/>
        <v>2024 ALL D75</v>
      </c>
      <c r="B240" s="10">
        <f>'[1]2019 ALL D95'!B240</f>
        <v>46104</v>
      </c>
      <c r="C240" s="10">
        <f>'[1]2019 ALL D95'!C240</f>
        <v>46113</v>
      </c>
      <c r="D240" s="11">
        <v>3273</v>
      </c>
      <c r="E240" s="11">
        <v>336</v>
      </c>
      <c r="F240" s="11">
        <v>4</v>
      </c>
      <c r="G240" s="13">
        <v>6</v>
      </c>
      <c r="H240" s="13">
        <v>81588</v>
      </c>
      <c r="I240" s="11" t="s">
        <v>17</v>
      </c>
      <c r="J240" s="13">
        <v>15748140</v>
      </c>
      <c r="K240" s="13" t="s">
        <v>280</v>
      </c>
      <c r="L240" s="13" t="s">
        <v>288</v>
      </c>
      <c r="M240" s="17">
        <v>139900</v>
      </c>
      <c r="N240" s="15">
        <v>0.75</v>
      </c>
      <c r="O240" s="16">
        <f t="shared" si="15"/>
        <v>34975</v>
      </c>
      <c r="P240" s="11" t="s">
        <v>20</v>
      </c>
    </row>
    <row r="241" spans="1:16" x14ac:dyDescent="0.25">
      <c r="A241" s="9" t="str">
        <f t="shared" si="18"/>
        <v>2024 ALL D75</v>
      </c>
      <c r="B241" s="10">
        <f>'[1]2019 ALL D95'!B241</f>
        <v>46104</v>
      </c>
      <c r="C241" s="10">
        <f>'[1]2019 ALL D95'!C241</f>
        <v>46113</v>
      </c>
      <c r="D241" s="11">
        <v>3273</v>
      </c>
      <c r="E241" s="11">
        <v>336</v>
      </c>
      <c r="F241" s="11">
        <v>4</v>
      </c>
      <c r="G241" s="13">
        <v>6</v>
      </c>
      <c r="H241" s="13">
        <v>81676</v>
      </c>
      <c r="I241" s="11" t="s">
        <v>17</v>
      </c>
      <c r="J241" s="13">
        <v>15748944</v>
      </c>
      <c r="K241" s="13" t="s">
        <v>289</v>
      </c>
      <c r="L241" s="13" t="s">
        <v>290</v>
      </c>
      <c r="M241" s="17">
        <v>139900</v>
      </c>
      <c r="N241" s="15">
        <v>0.75</v>
      </c>
      <c r="O241" s="16">
        <f t="shared" si="15"/>
        <v>34975</v>
      </c>
      <c r="P241" s="11" t="s">
        <v>20</v>
      </c>
    </row>
    <row r="242" spans="1:16" x14ac:dyDescent="0.25">
      <c r="A242" s="9" t="str">
        <f t="shared" si="18"/>
        <v>2024 ALL D75</v>
      </c>
      <c r="B242" s="10">
        <f>'[1]2019 ALL D95'!B242</f>
        <v>46104</v>
      </c>
      <c r="C242" s="10">
        <f>'[1]2019 ALL D95'!C242</f>
        <v>46113</v>
      </c>
      <c r="D242" s="11">
        <v>3273</v>
      </c>
      <c r="E242" s="11">
        <v>336</v>
      </c>
      <c r="F242" s="11">
        <v>4</v>
      </c>
      <c r="G242" s="13">
        <v>6</v>
      </c>
      <c r="H242" s="13">
        <v>81676</v>
      </c>
      <c r="I242" s="11" t="s">
        <v>17</v>
      </c>
      <c r="J242" s="13">
        <v>15748953</v>
      </c>
      <c r="K242" s="13" t="s">
        <v>289</v>
      </c>
      <c r="L242" s="13" t="s">
        <v>291</v>
      </c>
      <c r="M242" s="17">
        <v>139900</v>
      </c>
      <c r="N242" s="15">
        <v>0.75</v>
      </c>
      <c r="O242" s="16">
        <f t="shared" si="15"/>
        <v>34975</v>
      </c>
      <c r="P242" s="11" t="s">
        <v>20</v>
      </c>
    </row>
    <row r="243" spans="1:16" x14ac:dyDescent="0.25">
      <c r="A243" s="9" t="str">
        <f t="shared" ref="A243:A258" si="19">A242</f>
        <v>2024 ALL D75</v>
      </c>
      <c r="B243" s="10">
        <f>'[1]2019 ALL D95'!B243</f>
        <v>46104</v>
      </c>
      <c r="C243" s="10">
        <f>'[1]2019 ALL D95'!C243</f>
        <v>46113</v>
      </c>
      <c r="D243" s="11">
        <v>3273</v>
      </c>
      <c r="E243" s="11">
        <v>336</v>
      </c>
      <c r="F243" s="11">
        <v>4</v>
      </c>
      <c r="G243" s="13">
        <v>6</v>
      </c>
      <c r="H243" s="13">
        <v>81676</v>
      </c>
      <c r="I243" s="11" t="s">
        <v>17</v>
      </c>
      <c r="J243" s="13">
        <v>15748962</v>
      </c>
      <c r="K243" s="13" t="s">
        <v>289</v>
      </c>
      <c r="L243" s="13" t="s">
        <v>292</v>
      </c>
      <c r="M243" s="17">
        <v>139900</v>
      </c>
      <c r="N243" s="15">
        <v>0.75</v>
      </c>
      <c r="O243" s="16">
        <f t="shared" si="15"/>
        <v>34975</v>
      </c>
      <c r="P243" s="11" t="s">
        <v>20</v>
      </c>
    </row>
    <row r="244" spans="1:16" x14ac:dyDescent="0.25">
      <c r="A244" s="9" t="str">
        <f t="shared" si="19"/>
        <v>2024 ALL D75</v>
      </c>
      <c r="B244" s="10">
        <f>'[1]2019 ALL D95'!B244</f>
        <v>46104</v>
      </c>
      <c r="C244" s="10">
        <f>'[1]2019 ALL D95'!C244</f>
        <v>46113</v>
      </c>
      <c r="D244" s="11">
        <v>3273</v>
      </c>
      <c r="E244" s="11">
        <v>336</v>
      </c>
      <c r="F244" s="11">
        <v>4</v>
      </c>
      <c r="G244" s="13">
        <v>6</v>
      </c>
      <c r="H244" s="13">
        <v>81676</v>
      </c>
      <c r="I244" s="11" t="s">
        <v>17</v>
      </c>
      <c r="J244" s="13">
        <v>15748971</v>
      </c>
      <c r="K244" s="13" t="s">
        <v>289</v>
      </c>
      <c r="L244" s="13" t="s">
        <v>293</v>
      </c>
      <c r="M244" s="17">
        <v>139900</v>
      </c>
      <c r="N244" s="15">
        <v>0.75</v>
      </c>
      <c r="O244" s="16">
        <f t="shared" si="15"/>
        <v>34975</v>
      </c>
      <c r="P244" s="11" t="s">
        <v>20</v>
      </c>
    </row>
    <row r="245" spans="1:16" x14ac:dyDescent="0.25">
      <c r="A245" s="9" t="str">
        <f t="shared" si="19"/>
        <v>2024 ALL D75</v>
      </c>
      <c r="B245" s="10">
        <f>'[1]2019 ALL D95'!B245</f>
        <v>46104</v>
      </c>
      <c r="C245" s="10">
        <f>'[1]2019 ALL D95'!C245</f>
        <v>46113</v>
      </c>
      <c r="D245" s="11">
        <v>3273</v>
      </c>
      <c r="E245" s="11">
        <v>336</v>
      </c>
      <c r="F245" s="11">
        <v>4</v>
      </c>
      <c r="G245" s="13">
        <v>6</v>
      </c>
      <c r="H245" s="13">
        <v>81676</v>
      </c>
      <c r="I245" s="11" t="s">
        <v>17</v>
      </c>
      <c r="J245" s="13">
        <v>15748980</v>
      </c>
      <c r="K245" s="13" t="s">
        <v>289</v>
      </c>
      <c r="L245" s="13" t="s">
        <v>294</v>
      </c>
      <c r="M245" s="17">
        <v>139900</v>
      </c>
      <c r="N245" s="15">
        <v>0.75</v>
      </c>
      <c r="O245" s="16">
        <f t="shared" si="15"/>
        <v>34975</v>
      </c>
      <c r="P245" s="11" t="s">
        <v>20</v>
      </c>
    </row>
    <row r="246" spans="1:16" x14ac:dyDescent="0.25">
      <c r="A246" s="9" t="str">
        <f t="shared" si="19"/>
        <v>2024 ALL D75</v>
      </c>
      <c r="B246" s="10">
        <f>'[1]2019 ALL D95'!B246</f>
        <v>46104</v>
      </c>
      <c r="C246" s="10">
        <f>'[1]2019 ALL D95'!C246</f>
        <v>46113</v>
      </c>
      <c r="D246" s="11">
        <v>3273</v>
      </c>
      <c r="E246" s="11">
        <v>336</v>
      </c>
      <c r="F246" s="11">
        <v>4</v>
      </c>
      <c r="G246" s="13">
        <v>6</v>
      </c>
      <c r="H246" s="13">
        <v>81676</v>
      </c>
      <c r="I246" s="11" t="s">
        <v>17</v>
      </c>
      <c r="J246" s="13">
        <v>15748999</v>
      </c>
      <c r="K246" s="13" t="s">
        <v>289</v>
      </c>
      <c r="L246" s="13" t="s">
        <v>295</v>
      </c>
      <c r="M246" s="17">
        <v>139900</v>
      </c>
      <c r="N246" s="15">
        <v>0.75</v>
      </c>
      <c r="O246" s="16">
        <f t="shared" si="15"/>
        <v>34975</v>
      </c>
      <c r="P246" s="11" t="s">
        <v>20</v>
      </c>
    </row>
    <row r="247" spans="1:16" x14ac:dyDescent="0.25">
      <c r="A247" s="9" t="str">
        <f t="shared" si="19"/>
        <v>2024 ALL D75</v>
      </c>
      <c r="B247" s="10">
        <f>'[1]2019 ALL D95'!B247</f>
        <v>46104</v>
      </c>
      <c r="C247" s="10">
        <f>'[1]2019 ALL D95'!C247</f>
        <v>46113</v>
      </c>
      <c r="D247" s="11">
        <v>3273</v>
      </c>
      <c r="E247" s="11">
        <v>336</v>
      </c>
      <c r="F247" s="11">
        <v>4</v>
      </c>
      <c r="G247" s="13">
        <v>6</v>
      </c>
      <c r="H247" s="13">
        <v>81676</v>
      </c>
      <c r="I247" s="11" t="s">
        <v>17</v>
      </c>
      <c r="J247" s="13">
        <v>15749005</v>
      </c>
      <c r="K247" s="13" t="s">
        <v>289</v>
      </c>
      <c r="L247" s="13" t="s">
        <v>296</v>
      </c>
      <c r="M247" s="17">
        <v>139900</v>
      </c>
      <c r="N247" s="15">
        <v>0.75</v>
      </c>
      <c r="O247" s="16">
        <f t="shared" si="15"/>
        <v>34975</v>
      </c>
      <c r="P247" s="11" t="s">
        <v>20</v>
      </c>
    </row>
    <row r="248" spans="1:16" x14ac:dyDescent="0.25">
      <c r="A248" s="9" t="str">
        <f t="shared" si="19"/>
        <v>2024 ALL D75</v>
      </c>
      <c r="B248" s="10">
        <f>'[1]2019 ALL D95'!B248</f>
        <v>46104</v>
      </c>
      <c r="C248" s="10">
        <f>'[1]2019 ALL D95'!C248</f>
        <v>46113</v>
      </c>
      <c r="D248" s="11">
        <v>3273</v>
      </c>
      <c r="E248" s="11">
        <v>336</v>
      </c>
      <c r="F248" s="11">
        <v>4</v>
      </c>
      <c r="G248" s="13">
        <v>6</v>
      </c>
      <c r="H248" s="13">
        <v>81676</v>
      </c>
      <c r="I248" s="11" t="s">
        <v>17</v>
      </c>
      <c r="J248" s="13">
        <v>15749014</v>
      </c>
      <c r="K248" s="13" t="s">
        <v>289</v>
      </c>
      <c r="L248" s="13" t="s">
        <v>297</v>
      </c>
      <c r="M248" s="17">
        <v>139900</v>
      </c>
      <c r="N248" s="15">
        <v>0.75</v>
      </c>
      <c r="O248" s="16">
        <f t="shared" si="15"/>
        <v>34975</v>
      </c>
      <c r="P248" s="11" t="s">
        <v>20</v>
      </c>
    </row>
    <row r="249" spans="1:16" x14ac:dyDescent="0.25">
      <c r="A249" s="9" t="str">
        <f t="shared" si="19"/>
        <v>2024 ALL D75</v>
      </c>
      <c r="B249" s="10">
        <f>'[1]2019 ALL D95'!B249</f>
        <v>46104</v>
      </c>
      <c r="C249" s="10">
        <f>'[1]2019 ALL D95'!C249</f>
        <v>46113</v>
      </c>
      <c r="D249" s="11">
        <v>3273</v>
      </c>
      <c r="E249" s="11">
        <v>336</v>
      </c>
      <c r="F249" s="11">
        <v>4</v>
      </c>
      <c r="G249" s="13">
        <v>6</v>
      </c>
      <c r="H249" s="13">
        <v>81676</v>
      </c>
      <c r="I249" s="11" t="s">
        <v>17</v>
      </c>
      <c r="J249" s="13">
        <v>15749265</v>
      </c>
      <c r="K249" s="13" t="s">
        <v>298</v>
      </c>
      <c r="L249" s="13" t="s">
        <v>299</v>
      </c>
      <c r="M249" s="17">
        <v>189900</v>
      </c>
      <c r="N249" s="15">
        <v>0.75</v>
      </c>
      <c r="O249" s="16">
        <f t="shared" si="15"/>
        <v>47475</v>
      </c>
      <c r="P249" s="11" t="s">
        <v>20</v>
      </c>
    </row>
    <row r="250" spans="1:16" x14ac:dyDescent="0.25">
      <c r="A250" s="9" t="str">
        <f t="shared" si="19"/>
        <v>2024 ALL D75</v>
      </c>
      <c r="B250" s="10">
        <f>'[1]2019 ALL D95'!B250</f>
        <v>46104</v>
      </c>
      <c r="C250" s="10">
        <f>'[1]2019 ALL D95'!C250</f>
        <v>46113</v>
      </c>
      <c r="D250" s="11">
        <v>3273</v>
      </c>
      <c r="E250" s="11">
        <v>336</v>
      </c>
      <c r="F250" s="11">
        <v>4</v>
      </c>
      <c r="G250" s="13">
        <v>6</v>
      </c>
      <c r="H250" s="13">
        <v>81676</v>
      </c>
      <c r="I250" s="11" t="s">
        <v>17</v>
      </c>
      <c r="J250" s="13">
        <v>15749274</v>
      </c>
      <c r="K250" s="13" t="s">
        <v>298</v>
      </c>
      <c r="L250" s="13" t="s">
        <v>300</v>
      </c>
      <c r="M250" s="17">
        <v>189900</v>
      </c>
      <c r="N250" s="15">
        <v>0.75</v>
      </c>
      <c r="O250" s="16">
        <f t="shared" si="15"/>
        <v>47475</v>
      </c>
      <c r="P250" s="11" t="s">
        <v>20</v>
      </c>
    </row>
    <row r="251" spans="1:16" x14ac:dyDescent="0.25">
      <c r="A251" s="9" t="str">
        <f t="shared" si="19"/>
        <v>2024 ALL D75</v>
      </c>
      <c r="B251" s="10">
        <f>'[1]2019 ALL D95'!B251</f>
        <v>46104</v>
      </c>
      <c r="C251" s="10">
        <f>'[1]2019 ALL D95'!C251</f>
        <v>46113</v>
      </c>
      <c r="D251" s="11">
        <v>3273</v>
      </c>
      <c r="E251" s="11">
        <v>336</v>
      </c>
      <c r="F251" s="11">
        <v>4</v>
      </c>
      <c r="G251" s="13">
        <v>6</v>
      </c>
      <c r="H251" s="13">
        <v>81676</v>
      </c>
      <c r="I251" s="11" t="s">
        <v>17</v>
      </c>
      <c r="J251" s="13">
        <v>15749283</v>
      </c>
      <c r="K251" s="13" t="s">
        <v>298</v>
      </c>
      <c r="L251" s="13" t="s">
        <v>301</v>
      </c>
      <c r="M251" s="17">
        <v>189900</v>
      </c>
      <c r="N251" s="15">
        <v>0.75</v>
      </c>
      <c r="O251" s="16">
        <f t="shared" si="15"/>
        <v>47475</v>
      </c>
      <c r="P251" s="11" t="s">
        <v>20</v>
      </c>
    </row>
    <row r="252" spans="1:16" x14ac:dyDescent="0.25">
      <c r="A252" s="9" t="str">
        <f t="shared" si="19"/>
        <v>2024 ALL D75</v>
      </c>
      <c r="B252" s="10">
        <f>'[1]2019 ALL D95'!B252</f>
        <v>46104</v>
      </c>
      <c r="C252" s="10">
        <f>'[1]2019 ALL D95'!C252</f>
        <v>46113</v>
      </c>
      <c r="D252" s="11">
        <v>3273</v>
      </c>
      <c r="E252" s="11">
        <v>336</v>
      </c>
      <c r="F252" s="11">
        <v>4</v>
      </c>
      <c r="G252" s="13">
        <v>6</v>
      </c>
      <c r="H252" s="13">
        <v>81676</v>
      </c>
      <c r="I252" s="11" t="s">
        <v>17</v>
      </c>
      <c r="J252" s="13">
        <v>15749292</v>
      </c>
      <c r="K252" s="13" t="s">
        <v>298</v>
      </c>
      <c r="L252" s="13" t="s">
        <v>302</v>
      </c>
      <c r="M252" s="17">
        <v>189900</v>
      </c>
      <c r="N252" s="15">
        <v>0.75</v>
      </c>
      <c r="O252" s="16">
        <f t="shared" si="15"/>
        <v>47475</v>
      </c>
      <c r="P252" s="11" t="s">
        <v>20</v>
      </c>
    </row>
    <row r="253" spans="1:16" x14ac:dyDescent="0.25">
      <c r="A253" s="9" t="str">
        <f t="shared" si="19"/>
        <v>2024 ALL D75</v>
      </c>
      <c r="B253" s="10">
        <f>'[1]2019 ALL D95'!B253</f>
        <v>46104</v>
      </c>
      <c r="C253" s="10">
        <f>'[1]2019 ALL D95'!C253</f>
        <v>46113</v>
      </c>
      <c r="D253" s="11">
        <v>3273</v>
      </c>
      <c r="E253" s="11">
        <v>336</v>
      </c>
      <c r="F253" s="11">
        <v>4</v>
      </c>
      <c r="G253" s="13">
        <v>6</v>
      </c>
      <c r="H253" s="13">
        <v>81676</v>
      </c>
      <c r="I253" s="11" t="s">
        <v>17</v>
      </c>
      <c r="J253" s="13">
        <v>15749309</v>
      </c>
      <c r="K253" s="13" t="s">
        <v>298</v>
      </c>
      <c r="L253" s="13" t="s">
        <v>303</v>
      </c>
      <c r="M253" s="17">
        <v>189900</v>
      </c>
      <c r="N253" s="15">
        <v>0.75</v>
      </c>
      <c r="O253" s="16">
        <f t="shared" si="15"/>
        <v>47475</v>
      </c>
      <c r="P253" s="11" t="s">
        <v>20</v>
      </c>
    </row>
    <row r="254" spans="1:16" x14ac:dyDescent="0.25">
      <c r="A254" s="9" t="str">
        <f t="shared" si="19"/>
        <v>2024 ALL D75</v>
      </c>
      <c r="B254" s="10">
        <f>'[1]2019 ALL D95'!B254</f>
        <v>46104</v>
      </c>
      <c r="C254" s="10">
        <f>'[1]2019 ALL D95'!C254</f>
        <v>46113</v>
      </c>
      <c r="D254" s="11">
        <v>3273</v>
      </c>
      <c r="E254" s="11">
        <v>336</v>
      </c>
      <c r="F254" s="11">
        <v>4</v>
      </c>
      <c r="G254" s="13">
        <v>6</v>
      </c>
      <c r="H254" s="13">
        <v>81676</v>
      </c>
      <c r="I254" s="11" t="s">
        <v>17</v>
      </c>
      <c r="J254" s="13">
        <v>15749318</v>
      </c>
      <c r="K254" s="13" t="s">
        <v>298</v>
      </c>
      <c r="L254" s="13" t="s">
        <v>304</v>
      </c>
      <c r="M254" s="17">
        <v>189900</v>
      </c>
      <c r="N254" s="15">
        <v>0.75</v>
      </c>
      <c r="O254" s="16">
        <f t="shared" si="15"/>
        <v>47475</v>
      </c>
      <c r="P254" s="11" t="s">
        <v>20</v>
      </c>
    </row>
    <row r="255" spans="1:16" x14ac:dyDescent="0.25">
      <c r="A255" s="9" t="str">
        <f t="shared" si="19"/>
        <v>2024 ALL D75</v>
      </c>
      <c r="B255" s="10">
        <f>'[1]2019 ALL D95'!B255</f>
        <v>46104</v>
      </c>
      <c r="C255" s="10">
        <f>'[1]2019 ALL D95'!C255</f>
        <v>46113</v>
      </c>
      <c r="D255" s="11">
        <v>3273</v>
      </c>
      <c r="E255" s="11">
        <v>336</v>
      </c>
      <c r="F255" s="11">
        <v>4</v>
      </c>
      <c r="G255" s="13">
        <v>6</v>
      </c>
      <c r="H255" s="13">
        <v>81676</v>
      </c>
      <c r="I255" s="11" t="s">
        <v>17</v>
      </c>
      <c r="J255" s="13">
        <v>15749327</v>
      </c>
      <c r="K255" s="13" t="s">
        <v>298</v>
      </c>
      <c r="L255" s="13" t="s">
        <v>305</v>
      </c>
      <c r="M255" s="17">
        <v>189900</v>
      </c>
      <c r="N255" s="15">
        <v>0.75</v>
      </c>
      <c r="O255" s="16">
        <f t="shared" si="15"/>
        <v>47475</v>
      </c>
      <c r="P255" s="11" t="s">
        <v>20</v>
      </c>
    </row>
    <row r="256" spans="1:16" x14ac:dyDescent="0.25">
      <c r="A256" s="9" t="str">
        <f t="shared" si="19"/>
        <v>2024 ALL D75</v>
      </c>
      <c r="B256" s="10">
        <f>'[1]2019 ALL D95'!B256</f>
        <v>46104</v>
      </c>
      <c r="C256" s="10">
        <f>'[1]2019 ALL D95'!C256</f>
        <v>46113</v>
      </c>
      <c r="D256" s="11">
        <v>3273</v>
      </c>
      <c r="E256" s="11">
        <v>336</v>
      </c>
      <c r="F256" s="11">
        <v>4</v>
      </c>
      <c r="G256" s="13">
        <v>6</v>
      </c>
      <c r="H256" s="13">
        <v>81676</v>
      </c>
      <c r="I256" s="11" t="s">
        <v>17</v>
      </c>
      <c r="J256" s="13">
        <v>15749336</v>
      </c>
      <c r="K256" s="13" t="s">
        <v>298</v>
      </c>
      <c r="L256" s="13" t="s">
        <v>306</v>
      </c>
      <c r="M256" s="17">
        <v>189900</v>
      </c>
      <c r="N256" s="15">
        <v>0.75</v>
      </c>
      <c r="O256" s="16">
        <f t="shared" si="15"/>
        <v>47475</v>
      </c>
      <c r="P256" s="11" t="s">
        <v>20</v>
      </c>
    </row>
    <row r="257" spans="1:16" x14ac:dyDescent="0.25">
      <c r="A257" s="9" t="str">
        <f t="shared" si="19"/>
        <v>2024 ALL D75</v>
      </c>
      <c r="B257" s="10">
        <f>'[1]2019 ALL D95'!B257</f>
        <v>46104</v>
      </c>
      <c r="C257" s="10">
        <f>'[1]2019 ALL D95'!C257</f>
        <v>46113</v>
      </c>
      <c r="D257" s="11">
        <v>3273</v>
      </c>
      <c r="E257" s="11">
        <v>336</v>
      </c>
      <c r="F257" s="11">
        <v>4</v>
      </c>
      <c r="G257" s="13">
        <v>6</v>
      </c>
      <c r="H257" s="13">
        <v>81588</v>
      </c>
      <c r="I257" s="11" t="s">
        <v>17</v>
      </c>
      <c r="J257" s="13">
        <v>15638812</v>
      </c>
      <c r="K257" s="13" t="s">
        <v>307</v>
      </c>
      <c r="L257" s="13" t="s">
        <v>308</v>
      </c>
      <c r="M257" s="17">
        <v>179900</v>
      </c>
      <c r="N257" s="15">
        <v>0.75</v>
      </c>
      <c r="O257" s="16">
        <f t="shared" si="15"/>
        <v>44975</v>
      </c>
      <c r="P257" s="11" t="s">
        <v>20</v>
      </c>
    </row>
    <row r="258" spans="1:16" x14ac:dyDescent="0.25">
      <c r="A258" s="9" t="str">
        <f t="shared" si="19"/>
        <v>2024 ALL D75</v>
      </c>
      <c r="B258" s="10">
        <f>'[1]2019 ALL D95'!B258</f>
        <v>46104</v>
      </c>
      <c r="C258" s="10">
        <f>'[1]2019 ALL D95'!C258</f>
        <v>46113</v>
      </c>
      <c r="D258" s="11">
        <v>3273</v>
      </c>
      <c r="E258" s="11">
        <v>336</v>
      </c>
      <c r="F258" s="11">
        <v>4</v>
      </c>
      <c r="G258" s="13">
        <v>6</v>
      </c>
      <c r="H258" s="13">
        <v>81588</v>
      </c>
      <c r="I258" s="11" t="s">
        <v>17</v>
      </c>
      <c r="J258" s="13">
        <v>15638821</v>
      </c>
      <c r="K258" s="13" t="s">
        <v>307</v>
      </c>
      <c r="L258" s="13" t="s">
        <v>309</v>
      </c>
      <c r="M258" s="17">
        <v>179900</v>
      </c>
      <c r="N258" s="15">
        <v>0.75</v>
      </c>
      <c r="O258" s="16">
        <f t="shared" ref="O258:O321" si="20">M258*(1-N258)</f>
        <v>44975</v>
      </c>
      <c r="P258" s="11" t="s">
        <v>20</v>
      </c>
    </row>
    <row r="259" spans="1:16" x14ac:dyDescent="0.25">
      <c r="A259" s="9" t="str">
        <f t="shared" ref="A259:A274" si="21">A258</f>
        <v>2024 ALL D75</v>
      </c>
      <c r="B259" s="10">
        <f>'[1]2019 ALL D95'!B259</f>
        <v>46104</v>
      </c>
      <c r="C259" s="10">
        <f>'[1]2019 ALL D95'!C259</f>
        <v>46113</v>
      </c>
      <c r="D259" s="11">
        <v>3273</v>
      </c>
      <c r="E259" s="11">
        <v>336</v>
      </c>
      <c r="F259" s="11">
        <v>4</v>
      </c>
      <c r="G259" s="13">
        <v>6</v>
      </c>
      <c r="H259" s="13">
        <v>81588</v>
      </c>
      <c r="I259" s="11" t="s">
        <v>17</v>
      </c>
      <c r="J259" s="13">
        <v>15638830</v>
      </c>
      <c r="K259" s="13" t="s">
        <v>307</v>
      </c>
      <c r="L259" s="13" t="s">
        <v>310</v>
      </c>
      <c r="M259" s="17">
        <v>179900</v>
      </c>
      <c r="N259" s="15">
        <v>0.75</v>
      </c>
      <c r="O259" s="16">
        <f t="shared" si="20"/>
        <v>44975</v>
      </c>
      <c r="P259" s="11" t="s">
        <v>20</v>
      </c>
    </row>
    <row r="260" spans="1:16" x14ac:dyDescent="0.25">
      <c r="A260" s="9" t="str">
        <f t="shared" si="21"/>
        <v>2024 ALL D75</v>
      </c>
      <c r="B260" s="10">
        <f>'[1]2019 ALL D95'!B260</f>
        <v>46104</v>
      </c>
      <c r="C260" s="10">
        <f>'[1]2019 ALL D95'!C260</f>
        <v>46113</v>
      </c>
      <c r="D260" s="11">
        <v>3273</v>
      </c>
      <c r="E260" s="11">
        <v>336</v>
      </c>
      <c r="F260" s="11">
        <v>4</v>
      </c>
      <c r="G260" s="13">
        <v>6</v>
      </c>
      <c r="H260" s="13">
        <v>81588</v>
      </c>
      <c r="I260" s="11" t="s">
        <v>17</v>
      </c>
      <c r="J260" s="13">
        <v>15638858</v>
      </c>
      <c r="K260" s="13" t="s">
        <v>307</v>
      </c>
      <c r="L260" s="13" t="s">
        <v>311</v>
      </c>
      <c r="M260" s="17">
        <v>179900</v>
      </c>
      <c r="N260" s="15">
        <v>0.75</v>
      </c>
      <c r="O260" s="16">
        <f t="shared" si="20"/>
        <v>44975</v>
      </c>
      <c r="P260" s="11" t="s">
        <v>20</v>
      </c>
    </row>
    <row r="261" spans="1:16" x14ac:dyDescent="0.25">
      <c r="A261" s="9" t="str">
        <f t="shared" si="21"/>
        <v>2024 ALL D75</v>
      </c>
      <c r="B261" s="10">
        <f>'[1]2019 ALL D95'!B261</f>
        <v>46104</v>
      </c>
      <c r="C261" s="10">
        <f>'[1]2019 ALL D95'!C261</f>
        <v>46113</v>
      </c>
      <c r="D261" s="11">
        <v>3273</v>
      </c>
      <c r="E261" s="11">
        <v>336</v>
      </c>
      <c r="F261" s="11">
        <v>4</v>
      </c>
      <c r="G261" s="13">
        <v>6</v>
      </c>
      <c r="H261" s="13">
        <v>81588</v>
      </c>
      <c r="I261" s="11" t="s">
        <v>17</v>
      </c>
      <c r="J261" s="13">
        <v>15638867</v>
      </c>
      <c r="K261" s="13" t="s">
        <v>307</v>
      </c>
      <c r="L261" s="13" t="s">
        <v>312</v>
      </c>
      <c r="M261" s="17">
        <v>179900</v>
      </c>
      <c r="N261" s="15">
        <v>0.75</v>
      </c>
      <c r="O261" s="16">
        <f t="shared" si="20"/>
        <v>44975</v>
      </c>
      <c r="P261" s="11" t="s">
        <v>20</v>
      </c>
    </row>
    <row r="262" spans="1:16" x14ac:dyDescent="0.25">
      <c r="A262" s="9" t="str">
        <f t="shared" si="21"/>
        <v>2024 ALL D75</v>
      </c>
      <c r="B262" s="10">
        <f>'[1]2019 ALL D95'!B262</f>
        <v>46104</v>
      </c>
      <c r="C262" s="10">
        <f>'[1]2019 ALL D95'!C262</f>
        <v>46113</v>
      </c>
      <c r="D262" s="11">
        <v>3273</v>
      </c>
      <c r="E262" s="11">
        <v>336</v>
      </c>
      <c r="F262" s="11">
        <v>4</v>
      </c>
      <c r="G262" s="13">
        <v>6</v>
      </c>
      <c r="H262" s="13">
        <v>81588</v>
      </c>
      <c r="I262" s="11" t="s">
        <v>17</v>
      </c>
      <c r="J262" s="13">
        <v>15638876</v>
      </c>
      <c r="K262" s="13" t="s">
        <v>307</v>
      </c>
      <c r="L262" s="13" t="s">
        <v>313</v>
      </c>
      <c r="M262" s="17">
        <v>179900</v>
      </c>
      <c r="N262" s="15">
        <v>0.75</v>
      </c>
      <c r="O262" s="16">
        <f t="shared" si="20"/>
        <v>44975</v>
      </c>
      <c r="P262" s="11" t="s">
        <v>20</v>
      </c>
    </row>
    <row r="263" spans="1:16" x14ac:dyDescent="0.25">
      <c r="A263" s="9" t="str">
        <f t="shared" si="21"/>
        <v>2024 ALL D75</v>
      </c>
      <c r="B263" s="10">
        <f>'[1]2019 ALL D95'!B263</f>
        <v>46104</v>
      </c>
      <c r="C263" s="10">
        <f>'[1]2019 ALL D95'!C263</f>
        <v>46113</v>
      </c>
      <c r="D263" s="11">
        <v>3273</v>
      </c>
      <c r="E263" s="11">
        <v>336</v>
      </c>
      <c r="F263" s="11">
        <v>4</v>
      </c>
      <c r="G263" s="13">
        <v>6</v>
      </c>
      <c r="H263" s="13">
        <v>81588</v>
      </c>
      <c r="I263" s="11" t="s">
        <v>17</v>
      </c>
      <c r="J263" s="13">
        <v>15638885</v>
      </c>
      <c r="K263" s="13" t="s">
        <v>307</v>
      </c>
      <c r="L263" s="13" t="s">
        <v>314</v>
      </c>
      <c r="M263" s="17">
        <v>179900</v>
      </c>
      <c r="N263" s="15">
        <v>0.75</v>
      </c>
      <c r="O263" s="16">
        <f t="shared" si="20"/>
        <v>44975</v>
      </c>
      <c r="P263" s="11" t="s">
        <v>20</v>
      </c>
    </row>
    <row r="264" spans="1:16" x14ac:dyDescent="0.25">
      <c r="A264" s="9" t="str">
        <f t="shared" si="21"/>
        <v>2024 ALL D75</v>
      </c>
      <c r="B264" s="10">
        <f>'[1]2019 ALL D95'!B264</f>
        <v>46104</v>
      </c>
      <c r="C264" s="10">
        <f>'[1]2019 ALL D95'!C264</f>
        <v>46113</v>
      </c>
      <c r="D264" s="11">
        <v>3273</v>
      </c>
      <c r="E264" s="11">
        <v>336</v>
      </c>
      <c r="F264" s="11">
        <v>4</v>
      </c>
      <c r="G264" s="13">
        <v>6</v>
      </c>
      <c r="H264" s="13">
        <v>81588</v>
      </c>
      <c r="I264" s="11" t="s">
        <v>17</v>
      </c>
      <c r="J264" s="13">
        <v>15638894</v>
      </c>
      <c r="K264" s="13" t="s">
        <v>307</v>
      </c>
      <c r="L264" s="13" t="s">
        <v>315</v>
      </c>
      <c r="M264" s="17">
        <v>179900</v>
      </c>
      <c r="N264" s="15">
        <v>0.75</v>
      </c>
      <c r="O264" s="16">
        <f t="shared" si="20"/>
        <v>44975</v>
      </c>
      <c r="P264" s="11" t="s">
        <v>20</v>
      </c>
    </row>
    <row r="265" spans="1:16" x14ac:dyDescent="0.25">
      <c r="A265" s="9" t="str">
        <f t="shared" si="21"/>
        <v>2024 ALL D75</v>
      </c>
      <c r="B265" s="10">
        <f>'[1]2019 ALL D95'!B265</f>
        <v>46104</v>
      </c>
      <c r="C265" s="10">
        <f>'[1]2019 ALL D95'!C265</f>
        <v>46113</v>
      </c>
      <c r="D265" s="11">
        <v>3273</v>
      </c>
      <c r="E265" s="11">
        <v>336</v>
      </c>
      <c r="F265" s="11">
        <v>4</v>
      </c>
      <c r="G265" s="13">
        <v>6</v>
      </c>
      <c r="H265" s="13">
        <v>81574</v>
      </c>
      <c r="I265" s="11" t="s">
        <v>17</v>
      </c>
      <c r="J265" s="13">
        <v>15750593</v>
      </c>
      <c r="K265" s="13" t="s">
        <v>316</v>
      </c>
      <c r="L265" s="13" t="s">
        <v>317</v>
      </c>
      <c r="M265" s="17">
        <v>149900</v>
      </c>
      <c r="N265" s="15">
        <v>0.75</v>
      </c>
      <c r="O265" s="16">
        <f t="shared" si="20"/>
        <v>37475</v>
      </c>
      <c r="P265" s="11" t="s">
        <v>20</v>
      </c>
    </row>
    <row r="266" spans="1:16" x14ac:dyDescent="0.25">
      <c r="A266" s="9" t="str">
        <f t="shared" si="21"/>
        <v>2024 ALL D75</v>
      </c>
      <c r="B266" s="10">
        <f>'[1]2019 ALL D95'!B266</f>
        <v>46104</v>
      </c>
      <c r="C266" s="10">
        <f>'[1]2019 ALL D95'!C266</f>
        <v>46113</v>
      </c>
      <c r="D266" s="11">
        <v>3273</v>
      </c>
      <c r="E266" s="11">
        <v>336</v>
      </c>
      <c r="F266" s="11">
        <v>4</v>
      </c>
      <c r="G266" s="13">
        <v>6</v>
      </c>
      <c r="H266" s="13">
        <v>81574</v>
      </c>
      <c r="I266" s="11" t="s">
        <v>17</v>
      </c>
      <c r="J266" s="13">
        <v>15750600</v>
      </c>
      <c r="K266" s="13" t="s">
        <v>316</v>
      </c>
      <c r="L266" s="13" t="s">
        <v>318</v>
      </c>
      <c r="M266" s="17">
        <v>149900</v>
      </c>
      <c r="N266" s="15">
        <v>0.75</v>
      </c>
      <c r="O266" s="16">
        <f t="shared" si="20"/>
        <v>37475</v>
      </c>
      <c r="P266" s="11" t="s">
        <v>20</v>
      </c>
    </row>
    <row r="267" spans="1:16" x14ac:dyDescent="0.25">
      <c r="A267" s="9" t="str">
        <f t="shared" si="21"/>
        <v>2024 ALL D75</v>
      </c>
      <c r="B267" s="10">
        <f>'[1]2019 ALL D95'!B267</f>
        <v>46104</v>
      </c>
      <c r="C267" s="10">
        <f>'[1]2019 ALL D95'!C267</f>
        <v>46113</v>
      </c>
      <c r="D267" s="11">
        <v>3273</v>
      </c>
      <c r="E267" s="11">
        <v>336</v>
      </c>
      <c r="F267" s="11">
        <v>4</v>
      </c>
      <c r="G267" s="13">
        <v>6</v>
      </c>
      <c r="H267" s="13">
        <v>81574</v>
      </c>
      <c r="I267" s="11" t="s">
        <v>17</v>
      </c>
      <c r="J267" s="13">
        <v>15750619</v>
      </c>
      <c r="K267" s="13" t="s">
        <v>316</v>
      </c>
      <c r="L267" s="13" t="s">
        <v>319</v>
      </c>
      <c r="M267" s="17">
        <v>149900</v>
      </c>
      <c r="N267" s="15">
        <v>0.75</v>
      </c>
      <c r="O267" s="16">
        <f t="shared" si="20"/>
        <v>37475</v>
      </c>
      <c r="P267" s="11" t="s">
        <v>20</v>
      </c>
    </row>
    <row r="268" spans="1:16" x14ac:dyDescent="0.25">
      <c r="A268" s="9" t="str">
        <f t="shared" si="21"/>
        <v>2024 ALL D75</v>
      </c>
      <c r="B268" s="10">
        <f>'[1]2019 ALL D95'!B268</f>
        <v>46104</v>
      </c>
      <c r="C268" s="10">
        <f>'[1]2019 ALL D95'!C268</f>
        <v>46113</v>
      </c>
      <c r="D268" s="11">
        <v>3273</v>
      </c>
      <c r="E268" s="11">
        <v>336</v>
      </c>
      <c r="F268" s="11">
        <v>4</v>
      </c>
      <c r="G268" s="13">
        <v>6</v>
      </c>
      <c r="H268" s="13">
        <v>81574</v>
      </c>
      <c r="I268" s="11" t="s">
        <v>17</v>
      </c>
      <c r="J268" s="13">
        <v>15750628</v>
      </c>
      <c r="K268" s="13" t="s">
        <v>316</v>
      </c>
      <c r="L268" s="13" t="s">
        <v>320</v>
      </c>
      <c r="M268" s="17">
        <v>149900</v>
      </c>
      <c r="N268" s="15">
        <v>0.75</v>
      </c>
      <c r="O268" s="16">
        <f t="shared" si="20"/>
        <v>37475</v>
      </c>
      <c r="P268" s="11" t="s">
        <v>20</v>
      </c>
    </row>
    <row r="269" spans="1:16" x14ac:dyDescent="0.25">
      <c r="A269" s="9" t="str">
        <f t="shared" si="21"/>
        <v>2024 ALL D75</v>
      </c>
      <c r="B269" s="10">
        <f>'[1]2019 ALL D95'!B269</f>
        <v>46104</v>
      </c>
      <c r="C269" s="10">
        <f>'[1]2019 ALL D95'!C269</f>
        <v>46113</v>
      </c>
      <c r="D269" s="11">
        <v>3273</v>
      </c>
      <c r="E269" s="11">
        <v>336</v>
      </c>
      <c r="F269" s="11">
        <v>4</v>
      </c>
      <c r="G269" s="13">
        <v>6</v>
      </c>
      <c r="H269" s="13">
        <v>81574</v>
      </c>
      <c r="I269" s="11" t="s">
        <v>17</v>
      </c>
      <c r="J269" s="13">
        <v>15750637</v>
      </c>
      <c r="K269" s="13" t="s">
        <v>316</v>
      </c>
      <c r="L269" s="13" t="s">
        <v>321</v>
      </c>
      <c r="M269" s="17">
        <v>149900</v>
      </c>
      <c r="N269" s="15">
        <v>0.75</v>
      </c>
      <c r="O269" s="16">
        <f t="shared" si="20"/>
        <v>37475</v>
      </c>
      <c r="P269" s="11" t="s">
        <v>20</v>
      </c>
    </row>
    <row r="270" spans="1:16" x14ac:dyDescent="0.25">
      <c r="A270" s="9" t="str">
        <f t="shared" si="21"/>
        <v>2024 ALL D75</v>
      </c>
      <c r="B270" s="10">
        <f>'[1]2019 ALL D95'!B270</f>
        <v>46104</v>
      </c>
      <c r="C270" s="10">
        <f>'[1]2019 ALL D95'!C270</f>
        <v>46113</v>
      </c>
      <c r="D270" s="11">
        <v>3273</v>
      </c>
      <c r="E270" s="11">
        <v>336</v>
      </c>
      <c r="F270" s="11">
        <v>4</v>
      </c>
      <c r="G270" s="13">
        <v>6</v>
      </c>
      <c r="H270" s="13">
        <v>81574</v>
      </c>
      <c r="I270" s="11" t="s">
        <v>17</v>
      </c>
      <c r="J270" s="13">
        <v>15750646</v>
      </c>
      <c r="K270" s="13" t="s">
        <v>316</v>
      </c>
      <c r="L270" s="13" t="s">
        <v>322</v>
      </c>
      <c r="M270" s="17">
        <v>149900</v>
      </c>
      <c r="N270" s="15">
        <v>0.75</v>
      </c>
      <c r="O270" s="16">
        <f t="shared" si="20"/>
        <v>37475</v>
      </c>
      <c r="P270" s="11" t="s">
        <v>20</v>
      </c>
    </row>
    <row r="271" spans="1:16" x14ac:dyDescent="0.25">
      <c r="A271" s="9" t="str">
        <f t="shared" si="21"/>
        <v>2024 ALL D75</v>
      </c>
      <c r="B271" s="10">
        <f>'[1]2019 ALL D95'!B271</f>
        <v>46104</v>
      </c>
      <c r="C271" s="10">
        <f>'[1]2019 ALL D95'!C271</f>
        <v>46113</v>
      </c>
      <c r="D271" s="11">
        <v>3273</v>
      </c>
      <c r="E271" s="11">
        <v>336</v>
      </c>
      <c r="F271" s="11">
        <v>4</v>
      </c>
      <c r="G271" s="13">
        <v>6</v>
      </c>
      <c r="H271" s="13">
        <v>81574</v>
      </c>
      <c r="I271" s="11" t="s">
        <v>17</v>
      </c>
      <c r="J271" s="13">
        <v>15750655</v>
      </c>
      <c r="K271" s="13" t="s">
        <v>316</v>
      </c>
      <c r="L271" s="13" t="s">
        <v>323</v>
      </c>
      <c r="M271" s="17">
        <v>149900</v>
      </c>
      <c r="N271" s="15">
        <v>0.75</v>
      </c>
      <c r="O271" s="16">
        <f t="shared" si="20"/>
        <v>37475</v>
      </c>
      <c r="P271" s="11" t="s">
        <v>20</v>
      </c>
    </row>
    <row r="272" spans="1:16" x14ac:dyDescent="0.25">
      <c r="A272" s="9" t="str">
        <f t="shared" si="21"/>
        <v>2024 ALL D75</v>
      </c>
      <c r="B272" s="10">
        <f>'[1]2019 ALL D95'!B272</f>
        <v>46104</v>
      </c>
      <c r="C272" s="10">
        <f>'[1]2019 ALL D95'!C272</f>
        <v>46113</v>
      </c>
      <c r="D272" s="11">
        <v>3273</v>
      </c>
      <c r="E272" s="11">
        <v>336</v>
      </c>
      <c r="F272" s="11">
        <v>4</v>
      </c>
      <c r="G272" s="13">
        <v>6</v>
      </c>
      <c r="H272" s="13">
        <v>81574</v>
      </c>
      <c r="I272" s="11" t="s">
        <v>17</v>
      </c>
      <c r="J272" s="13">
        <v>15750664</v>
      </c>
      <c r="K272" s="13" t="s">
        <v>316</v>
      </c>
      <c r="L272" s="13" t="s">
        <v>324</v>
      </c>
      <c r="M272" s="17">
        <v>149900</v>
      </c>
      <c r="N272" s="15">
        <v>0.75</v>
      </c>
      <c r="O272" s="16">
        <f t="shared" si="20"/>
        <v>37475</v>
      </c>
      <c r="P272" s="11" t="s">
        <v>20</v>
      </c>
    </row>
    <row r="273" spans="1:16" x14ac:dyDescent="0.25">
      <c r="A273" s="9" t="str">
        <f t="shared" si="21"/>
        <v>2024 ALL D75</v>
      </c>
      <c r="B273" s="10">
        <f>'[1]2019 ALL D95'!B273</f>
        <v>46104</v>
      </c>
      <c r="C273" s="10">
        <f>'[1]2019 ALL D95'!C273</f>
        <v>46113</v>
      </c>
      <c r="D273" s="11">
        <v>3273</v>
      </c>
      <c r="E273" s="11">
        <v>336</v>
      </c>
      <c r="F273" s="11">
        <v>4</v>
      </c>
      <c r="G273" s="13">
        <v>6</v>
      </c>
      <c r="H273" s="13">
        <v>81588</v>
      </c>
      <c r="I273" s="11" t="s">
        <v>17</v>
      </c>
      <c r="J273" s="13">
        <v>15749710</v>
      </c>
      <c r="K273" s="13" t="s">
        <v>325</v>
      </c>
      <c r="L273" s="13" t="s">
        <v>326</v>
      </c>
      <c r="M273" s="17">
        <v>149900</v>
      </c>
      <c r="N273" s="15">
        <v>0.75</v>
      </c>
      <c r="O273" s="16">
        <f t="shared" si="20"/>
        <v>37475</v>
      </c>
      <c r="P273" s="11" t="s">
        <v>20</v>
      </c>
    </row>
    <row r="274" spans="1:16" x14ac:dyDescent="0.25">
      <c r="A274" s="9" t="str">
        <f t="shared" si="21"/>
        <v>2024 ALL D75</v>
      </c>
      <c r="B274" s="10">
        <f>'[1]2019 ALL D95'!B274</f>
        <v>46104</v>
      </c>
      <c r="C274" s="10">
        <f>'[1]2019 ALL D95'!C274</f>
        <v>46113</v>
      </c>
      <c r="D274" s="11">
        <v>3273</v>
      </c>
      <c r="E274" s="11">
        <v>336</v>
      </c>
      <c r="F274" s="11">
        <v>4</v>
      </c>
      <c r="G274" s="13">
        <v>6</v>
      </c>
      <c r="H274" s="13">
        <v>81588</v>
      </c>
      <c r="I274" s="11" t="s">
        <v>17</v>
      </c>
      <c r="J274" s="13">
        <v>15749729</v>
      </c>
      <c r="K274" s="13" t="s">
        <v>325</v>
      </c>
      <c r="L274" s="13" t="s">
        <v>327</v>
      </c>
      <c r="M274" s="17">
        <v>149900</v>
      </c>
      <c r="N274" s="15">
        <v>0.75</v>
      </c>
      <c r="O274" s="16">
        <f t="shared" si="20"/>
        <v>37475</v>
      </c>
      <c r="P274" s="11" t="s">
        <v>20</v>
      </c>
    </row>
    <row r="275" spans="1:16" x14ac:dyDescent="0.25">
      <c r="A275" s="9" t="str">
        <f t="shared" ref="A275:A290" si="22">A274</f>
        <v>2024 ALL D75</v>
      </c>
      <c r="B275" s="10">
        <f>'[1]2019 ALL D95'!B275</f>
        <v>46104</v>
      </c>
      <c r="C275" s="10">
        <f>'[1]2019 ALL D95'!C275</f>
        <v>46113</v>
      </c>
      <c r="D275" s="11">
        <v>3273</v>
      </c>
      <c r="E275" s="11">
        <v>336</v>
      </c>
      <c r="F275" s="11">
        <v>4</v>
      </c>
      <c r="G275" s="13">
        <v>6</v>
      </c>
      <c r="H275" s="13">
        <v>81588</v>
      </c>
      <c r="I275" s="11" t="s">
        <v>17</v>
      </c>
      <c r="J275" s="13">
        <v>15749738</v>
      </c>
      <c r="K275" s="13" t="s">
        <v>325</v>
      </c>
      <c r="L275" s="13" t="s">
        <v>328</v>
      </c>
      <c r="M275" s="17">
        <v>149900</v>
      </c>
      <c r="N275" s="15">
        <v>0.75</v>
      </c>
      <c r="O275" s="16">
        <f t="shared" si="20"/>
        <v>37475</v>
      </c>
      <c r="P275" s="11" t="s">
        <v>20</v>
      </c>
    </row>
    <row r="276" spans="1:16" x14ac:dyDescent="0.25">
      <c r="A276" s="9" t="str">
        <f t="shared" si="22"/>
        <v>2024 ALL D75</v>
      </c>
      <c r="B276" s="10">
        <f>'[1]2019 ALL D95'!B276</f>
        <v>46104</v>
      </c>
      <c r="C276" s="10">
        <f>'[1]2019 ALL D95'!C276</f>
        <v>46113</v>
      </c>
      <c r="D276" s="11">
        <v>3273</v>
      </c>
      <c r="E276" s="11">
        <v>336</v>
      </c>
      <c r="F276" s="11">
        <v>4</v>
      </c>
      <c r="G276" s="13">
        <v>6</v>
      </c>
      <c r="H276" s="13">
        <v>81588</v>
      </c>
      <c r="I276" s="11" t="s">
        <v>17</v>
      </c>
      <c r="J276" s="13">
        <v>15749747</v>
      </c>
      <c r="K276" s="13" t="s">
        <v>325</v>
      </c>
      <c r="L276" s="13" t="s">
        <v>329</v>
      </c>
      <c r="M276" s="17">
        <v>149900</v>
      </c>
      <c r="N276" s="15">
        <v>0.75</v>
      </c>
      <c r="O276" s="16">
        <f t="shared" si="20"/>
        <v>37475</v>
      </c>
      <c r="P276" s="11" t="s">
        <v>20</v>
      </c>
    </row>
    <row r="277" spans="1:16" x14ac:dyDescent="0.25">
      <c r="A277" s="9" t="str">
        <f t="shared" si="22"/>
        <v>2024 ALL D75</v>
      </c>
      <c r="B277" s="10">
        <f>'[1]2019 ALL D95'!B277</f>
        <v>46104</v>
      </c>
      <c r="C277" s="10">
        <f>'[1]2019 ALL D95'!C277</f>
        <v>46113</v>
      </c>
      <c r="D277" s="11">
        <v>3273</v>
      </c>
      <c r="E277" s="11">
        <v>336</v>
      </c>
      <c r="F277" s="11">
        <v>4</v>
      </c>
      <c r="G277" s="13">
        <v>6</v>
      </c>
      <c r="H277" s="13">
        <v>81588</v>
      </c>
      <c r="I277" s="11" t="s">
        <v>17</v>
      </c>
      <c r="J277" s="13">
        <v>15749756</v>
      </c>
      <c r="K277" s="13" t="s">
        <v>325</v>
      </c>
      <c r="L277" s="13" t="s">
        <v>330</v>
      </c>
      <c r="M277" s="17">
        <v>149900</v>
      </c>
      <c r="N277" s="15">
        <v>0.75</v>
      </c>
      <c r="O277" s="16">
        <f t="shared" si="20"/>
        <v>37475</v>
      </c>
      <c r="P277" s="11" t="s">
        <v>20</v>
      </c>
    </row>
    <row r="278" spans="1:16" x14ac:dyDescent="0.25">
      <c r="A278" s="9" t="str">
        <f t="shared" si="22"/>
        <v>2024 ALL D75</v>
      </c>
      <c r="B278" s="10">
        <f>'[1]2019 ALL D95'!B278</f>
        <v>46104</v>
      </c>
      <c r="C278" s="10">
        <f>'[1]2019 ALL D95'!C278</f>
        <v>46113</v>
      </c>
      <c r="D278" s="11">
        <v>3273</v>
      </c>
      <c r="E278" s="11">
        <v>336</v>
      </c>
      <c r="F278" s="11">
        <v>4</v>
      </c>
      <c r="G278" s="13">
        <v>6</v>
      </c>
      <c r="H278" s="13">
        <v>81588</v>
      </c>
      <c r="I278" s="11" t="s">
        <v>17</v>
      </c>
      <c r="J278" s="13">
        <v>15749765</v>
      </c>
      <c r="K278" s="13" t="s">
        <v>325</v>
      </c>
      <c r="L278" s="13" t="s">
        <v>331</v>
      </c>
      <c r="M278" s="17">
        <v>149900</v>
      </c>
      <c r="N278" s="15">
        <v>0.75</v>
      </c>
      <c r="O278" s="16">
        <f t="shared" si="20"/>
        <v>37475</v>
      </c>
      <c r="P278" s="11" t="s">
        <v>20</v>
      </c>
    </row>
    <row r="279" spans="1:16" x14ac:dyDescent="0.25">
      <c r="A279" s="9" t="str">
        <f t="shared" si="22"/>
        <v>2024 ALL D75</v>
      </c>
      <c r="B279" s="10">
        <f>'[1]2019 ALL D95'!B279</f>
        <v>46104</v>
      </c>
      <c r="C279" s="10">
        <f>'[1]2019 ALL D95'!C279</f>
        <v>46113</v>
      </c>
      <c r="D279" s="11">
        <v>3273</v>
      </c>
      <c r="E279" s="11">
        <v>336</v>
      </c>
      <c r="F279" s="11">
        <v>4</v>
      </c>
      <c r="G279" s="13">
        <v>6</v>
      </c>
      <c r="H279" s="13">
        <v>81588</v>
      </c>
      <c r="I279" s="11" t="s">
        <v>17</v>
      </c>
      <c r="J279" s="13">
        <v>15749774</v>
      </c>
      <c r="K279" s="13" t="s">
        <v>325</v>
      </c>
      <c r="L279" s="13" t="s">
        <v>332</v>
      </c>
      <c r="M279" s="17">
        <v>149900</v>
      </c>
      <c r="N279" s="15">
        <v>0.75</v>
      </c>
      <c r="O279" s="16">
        <f t="shared" si="20"/>
        <v>37475</v>
      </c>
      <c r="P279" s="11" t="s">
        <v>20</v>
      </c>
    </row>
    <row r="280" spans="1:16" x14ac:dyDescent="0.25">
      <c r="A280" s="9" t="str">
        <f t="shared" si="22"/>
        <v>2024 ALL D75</v>
      </c>
      <c r="B280" s="10">
        <f>'[1]2019 ALL D95'!B280</f>
        <v>46104</v>
      </c>
      <c r="C280" s="10">
        <f>'[1]2019 ALL D95'!C280</f>
        <v>46113</v>
      </c>
      <c r="D280" s="11">
        <v>3273</v>
      </c>
      <c r="E280" s="11">
        <v>336</v>
      </c>
      <c r="F280" s="11">
        <v>4</v>
      </c>
      <c r="G280" s="13">
        <v>6</v>
      </c>
      <c r="H280" s="13">
        <v>81588</v>
      </c>
      <c r="I280" s="11" t="s">
        <v>17</v>
      </c>
      <c r="J280" s="13">
        <v>15749783</v>
      </c>
      <c r="K280" s="13" t="s">
        <v>325</v>
      </c>
      <c r="L280" s="13" t="s">
        <v>333</v>
      </c>
      <c r="M280" s="17">
        <v>149900</v>
      </c>
      <c r="N280" s="15">
        <v>0.75</v>
      </c>
      <c r="O280" s="16">
        <f t="shared" si="20"/>
        <v>37475</v>
      </c>
      <c r="P280" s="11" t="s">
        <v>20</v>
      </c>
    </row>
    <row r="281" spans="1:16" x14ac:dyDescent="0.25">
      <c r="A281" s="9" t="str">
        <f t="shared" si="22"/>
        <v>2024 ALL D75</v>
      </c>
      <c r="B281" s="10">
        <f>'[1]2019 ALL D95'!B281</f>
        <v>46104</v>
      </c>
      <c r="C281" s="10">
        <f>'[1]2019 ALL D95'!C281</f>
        <v>46113</v>
      </c>
      <c r="D281" s="11">
        <v>3273</v>
      </c>
      <c r="E281" s="11">
        <v>336</v>
      </c>
      <c r="F281" s="11">
        <v>4</v>
      </c>
      <c r="G281" s="13">
        <v>6</v>
      </c>
      <c r="H281" s="13">
        <v>81588</v>
      </c>
      <c r="I281" s="11" t="s">
        <v>17</v>
      </c>
      <c r="J281" s="13">
        <v>15750039</v>
      </c>
      <c r="K281" s="13" t="s">
        <v>334</v>
      </c>
      <c r="L281" s="13" t="s">
        <v>335</v>
      </c>
      <c r="M281" s="17">
        <v>149900</v>
      </c>
      <c r="N281" s="15">
        <v>0.75</v>
      </c>
      <c r="O281" s="16">
        <f t="shared" si="20"/>
        <v>37475</v>
      </c>
      <c r="P281" s="11" t="s">
        <v>20</v>
      </c>
    </row>
    <row r="282" spans="1:16" x14ac:dyDescent="0.25">
      <c r="A282" s="9" t="str">
        <f t="shared" si="22"/>
        <v>2024 ALL D75</v>
      </c>
      <c r="B282" s="10">
        <f>'[1]2019 ALL D95'!B282</f>
        <v>46104</v>
      </c>
      <c r="C282" s="10">
        <f>'[1]2019 ALL D95'!C282</f>
        <v>46113</v>
      </c>
      <c r="D282" s="11">
        <v>3273</v>
      </c>
      <c r="E282" s="11">
        <v>336</v>
      </c>
      <c r="F282" s="11">
        <v>4</v>
      </c>
      <c r="G282" s="13">
        <v>6</v>
      </c>
      <c r="H282" s="13">
        <v>81588</v>
      </c>
      <c r="I282" s="11" t="s">
        <v>17</v>
      </c>
      <c r="J282" s="13">
        <v>15750048</v>
      </c>
      <c r="K282" s="13" t="s">
        <v>334</v>
      </c>
      <c r="L282" s="13" t="s">
        <v>336</v>
      </c>
      <c r="M282" s="17">
        <v>149900</v>
      </c>
      <c r="N282" s="15">
        <v>0.75</v>
      </c>
      <c r="O282" s="16">
        <f t="shared" si="20"/>
        <v>37475</v>
      </c>
      <c r="P282" s="11" t="s">
        <v>20</v>
      </c>
    </row>
    <row r="283" spans="1:16" x14ac:dyDescent="0.25">
      <c r="A283" s="9" t="str">
        <f t="shared" si="22"/>
        <v>2024 ALL D75</v>
      </c>
      <c r="B283" s="10">
        <f>'[1]2019 ALL D95'!B283</f>
        <v>46104</v>
      </c>
      <c r="C283" s="10">
        <f>'[1]2019 ALL D95'!C283</f>
        <v>46113</v>
      </c>
      <c r="D283" s="11">
        <v>3273</v>
      </c>
      <c r="E283" s="11">
        <v>336</v>
      </c>
      <c r="F283" s="11">
        <v>4</v>
      </c>
      <c r="G283" s="13">
        <v>6</v>
      </c>
      <c r="H283" s="13">
        <v>81588</v>
      </c>
      <c r="I283" s="11" t="s">
        <v>17</v>
      </c>
      <c r="J283" s="13">
        <v>15750057</v>
      </c>
      <c r="K283" s="13" t="s">
        <v>334</v>
      </c>
      <c r="L283" s="13" t="s">
        <v>337</v>
      </c>
      <c r="M283" s="17">
        <v>149900</v>
      </c>
      <c r="N283" s="15">
        <v>0.75</v>
      </c>
      <c r="O283" s="16">
        <f t="shared" si="20"/>
        <v>37475</v>
      </c>
      <c r="P283" s="11" t="s">
        <v>20</v>
      </c>
    </row>
    <row r="284" spans="1:16" x14ac:dyDescent="0.25">
      <c r="A284" s="9" t="str">
        <f t="shared" si="22"/>
        <v>2024 ALL D75</v>
      </c>
      <c r="B284" s="10">
        <f>'[1]2019 ALL D95'!B284</f>
        <v>46104</v>
      </c>
      <c r="C284" s="10">
        <f>'[1]2019 ALL D95'!C284</f>
        <v>46113</v>
      </c>
      <c r="D284" s="11">
        <v>3273</v>
      </c>
      <c r="E284" s="11">
        <v>336</v>
      </c>
      <c r="F284" s="11">
        <v>4</v>
      </c>
      <c r="G284" s="13">
        <v>6</v>
      </c>
      <c r="H284" s="13">
        <v>81588</v>
      </c>
      <c r="I284" s="11" t="s">
        <v>17</v>
      </c>
      <c r="J284" s="13">
        <v>15750066</v>
      </c>
      <c r="K284" s="13" t="s">
        <v>334</v>
      </c>
      <c r="L284" s="13" t="s">
        <v>338</v>
      </c>
      <c r="M284" s="17">
        <v>149900</v>
      </c>
      <c r="N284" s="15">
        <v>0.75</v>
      </c>
      <c r="O284" s="16">
        <f t="shared" si="20"/>
        <v>37475</v>
      </c>
      <c r="P284" s="11" t="s">
        <v>20</v>
      </c>
    </row>
    <row r="285" spans="1:16" x14ac:dyDescent="0.25">
      <c r="A285" s="9" t="str">
        <f t="shared" si="22"/>
        <v>2024 ALL D75</v>
      </c>
      <c r="B285" s="10">
        <f>'[1]2019 ALL D95'!B285</f>
        <v>46104</v>
      </c>
      <c r="C285" s="10">
        <f>'[1]2019 ALL D95'!C285</f>
        <v>46113</v>
      </c>
      <c r="D285" s="11">
        <v>3273</v>
      </c>
      <c r="E285" s="11">
        <v>336</v>
      </c>
      <c r="F285" s="11">
        <v>4</v>
      </c>
      <c r="G285" s="13">
        <v>6</v>
      </c>
      <c r="H285" s="13">
        <v>81588</v>
      </c>
      <c r="I285" s="11" t="s">
        <v>17</v>
      </c>
      <c r="J285" s="13">
        <v>15750075</v>
      </c>
      <c r="K285" s="13" t="s">
        <v>334</v>
      </c>
      <c r="L285" s="13" t="s">
        <v>339</v>
      </c>
      <c r="M285" s="17">
        <v>149900</v>
      </c>
      <c r="N285" s="15">
        <v>0.75</v>
      </c>
      <c r="O285" s="16">
        <f t="shared" si="20"/>
        <v>37475</v>
      </c>
      <c r="P285" s="11" t="s">
        <v>20</v>
      </c>
    </row>
    <row r="286" spans="1:16" x14ac:dyDescent="0.25">
      <c r="A286" s="9" t="str">
        <f t="shared" si="22"/>
        <v>2024 ALL D75</v>
      </c>
      <c r="B286" s="10">
        <f>'[1]2019 ALL D95'!B286</f>
        <v>46104</v>
      </c>
      <c r="C286" s="10">
        <f>'[1]2019 ALL D95'!C286</f>
        <v>46113</v>
      </c>
      <c r="D286" s="11">
        <v>3273</v>
      </c>
      <c r="E286" s="11">
        <v>336</v>
      </c>
      <c r="F286" s="11">
        <v>4</v>
      </c>
      <c r="G286" s="13">
        <v>6</v>
      </c>
      <c r="H286" s="13">
        <v>81588</v>
      </c>
      <c r="I286" s="11" t="s">
        <v>17</v>
      </c>
      <c r="J286" s="13">
        <v>15750084</v>
      </c>
      <c r="K286" s="13" t="s">
        <v>334</v>
      </c>
      <c r="L286" s="13" t="s">
        <v>340</v>
      </c>
      <c r="M286" s="17">
        <v>149900</v>
      </c>
      <c r="N286" s="15">
        <v>0.75</v>
      </c>
      <c r="O286" s="16">
        <f t="shared" si="20"/>
        <v>37475</v>
      </c>
      <c r="P286" s="11" t="s">
        <v>20</v>
      </c>
    </row>
    <row r="287" spans="1:16" x14ac:dyDescent="0.25">
      <c r="A287" s="9" t="str">
        <f t="shared" si="22"/>
        <v>2024 ALL D75</v>
      </c>
      <c r="B287" s="10">
        <f>'[1]2019 ALL D95'!B287</f>
        <v>46104</v>
      </c>
      <c r="C287" s="10">
        <f>'[1]2019 ALL D95'!C287</f>
        <v>46113</v>
      </c>
      <c r="D287" s="11">
        <v>3273</v>
      </c>
      <c r="E287" s="11">
        <v>336</v>
      </c>
      <c r="F287" s="11">
        <v>4</v>
      </c>
      <c r="G287" s="13">
        <v>6</v>
      </c>
      <c r="H287" s="13">
        <v>81588</v>
      </c>
      <c r="I287" s="11" t="s">
        <v>17</v>
      </c>
      <c r="J287" s="13">
        <v>15750093</v>
      </c>
      <c r="K287" s="13" t="s">
        <v>334</v>
      </c>
      <c r="L287" s="13" t="s">
        <v>341</v>
      </c>
      <c r="M287" s="17">
        <v>149900</v>
      </c>
      <c r="N287" s="15">
        <v>0.75</v>
      </c>
      <c r="O287" s="16">
        <f t="shared" si="20"/>
        <v>37475</v>
      </c>
      <c r="P287" s="11" t="s">
        <v>20</v>
      </c>
    </row>
    <row r="288" spans="1:16" x14ac:dyDescent="0.25">
      <c r="A288" s="9" t="str">
        <f t="shared" si="22"/>
        <v>2024 ALL D75</v>
      </c>
      <c r="B288" s="10">
        <f>'[1]2019 ALL D95'!B288</f>
        <v>46104</v>
      </c>
      <c r="C288" s="10">
        <f>'[1]2019 ALL D95'!C288</f>
        <v>46113</v>
      </c>
      <c r="D288" s="11">
        <v>3273</v>
      </c>
      <c r="E288" s="11">
        <v>336</v>
      </c>
      <c r="F288" s="11">
        <v>4</v>
      </c>
      <c r="G288" s="13">
        <v>6</v>
      </c>
      <c r="H288" s="13">
        <v>81588</v>
      </c>
      <c r="I288" s="11" t="s">
        <v>17</v>
      </c>
      <c r="J288" s="13">
        <v>15750100</v>
      </c>
      <c r="K288" s="13" t="s">
        <v>334</v>
      </c>
      <c r="L288" s="13" t="s">
        <v>342</v>
      </c>
      <c r="M288" s="17">
        <v>149900</v>
      </c>
      <c r="N288" s="15">
        <v>0.75</v>
      </c>
      <c r="O288" s="16">
        <f t="shared" si="20"/>
        <v>37475</v>
      </c>
      <c r="P288" s="11" t="s">
        <v>20</v>
      </c>
    </row>
    <row r="289" spans="1:16" x14ac:dyDescent="0.25">
      <c r="A289" s="9" t="str">
        <f t="shared" si="22"/>
        <v>2024 ALL D75</v>
      </c>
      <c r="B289" s="10">
        <f>'[1]2019 ALL D95'!B289</f>
        <v>46104</v>
      </c>
      <c r="C289" s="10">
        <f>'[1]2019 ALL D95'!C289</f>
        <v>46113</v>
      </c>
      <c r="D289" s="11">
        <v>3273</v>
      </c>
      <c r="E289" s="11">
        <v>336</v>
      </c>
      <c r="F289" s="11">
        <v>4</v>
      </c>
      <c r="G289" s="13">
        <v>6</v>
      </c>
      <c r="H289" s="13">
        <v>81574</v>
      </c>
      <c r="I289" s="11" t="s">
        <v>17</v>
      </c>
      <c r="J289" s="13">
        <v>15639115</v>
      </c>
      <c r="K289" s="13" t="s">
        <v>343</v>
      </c>
      <c r="L289" s="13" t="s">
        <v>344</v>
      </c>
      <c r="M289" s="17">
        <v>189900</v>
      </c>
      <c r="N289" s="15">
        <v>0.75</v>
      </c>
      <c r="O289" s="16">
        <f t="shared" si="20"/>
        <v>47475</v>
      </c>
      <c r="P289" s="11" t="s">
        <v>20</v>
      </c>
    </row>
    <row r="290" spans="1:16" x14ac:dyDescent="0.25">
      <c r="A290" s="9" t="str">
        <f t="shared" si="22"/>
        <v>2024 ALL D75</v>
      </c>
      <c r="B290" s="10">
        <f>'[1]2019 ALL D95'!B290</f>
        <v>46104</v>
      </c>
      <c r="C290" s="10">
        <f>'[1]2019 ALL D95'!C290</f>
        <v>46113</v>
      </c>
      <c r="D290" s="11">
        <v>3273</v>
      </c>
      <c r="E290" s="11">
        <v>336</v>
      </c>
      <c r="F290" s="11">
        <v>4</v>
      </c>
      <c r="G290" s="13">
        <v>6</v>
      </c>
      <c r="H290" s="13">
        <v>81574</v>
      </c>
      <c r="I290" s="11" t="s">
        <v>17</v>
      </c>
      <c r="J290" s="13">
        <v>15639124</v>
      </c>
      <c r="K290" s="13" t="s">
        <v>343</v>
      </c>
      <c r="L290" s="13" t="s">
        <v>345</v>
      </c>
      <c r="M290" s="17">
        <v>189900</v>
      </c>
      <c r="N290" s="15">
        <v>0.75</v>
      </c>
      <c r="O290" s="16">
        <f t="shared" si="20"/>
        <v>47475</v>
      </c>
      <c r="P290" s="11" t="s">
        <v>20</v>
      </c>
    </row>
    <row r="291" spans="1:16" x14ac:dyDescent="0.25">
      <c r="A291" s="9" t="str">
        <f t="shared" ref="A291:A306" si="23">A290</f>
        <v>2024 ALL D75</v>
      </c>
      <c r="B291" s="10">
        <f>'[1]2019 ALL D95'!B291</f>
        <v>46104</v>
      </c>
      <c r="C291" s="10">
        <f>'[1]2019 ALL D95'!C291</f>
        <v>46113</v>
      </c>
      <c r="D291" s="11">
        <v>3273</v>
      </c>
      <c r="E291" s="11">
        <v>336</v>
      </c>
      <c r="F291" s="11">
        <v>4</v>
      </c>
      <c r="G291" s="13">
        <v>6</v>
      </c>
      <c r="H291" s="13">
        <v>81574</v>
      </c>
      <c r="I291" s="11" t="s">
        <v>17</v>
      </c>
      <c r="J291" s="13">
        <v>15639133</v>
      </c>
      <c r="K291" s="13" t="s">
        <v>343</v>
      </c>
      <c r="L291" s="13" t="s">
        <v>346</v>
      </c>
      <c r="M291" s="17">
        <v>189900</v>
      </c>
      <c r="N291" s="15">
        <v>0.75</v>
      </c>
      <c r="O291" s="16">
        <f t="shared" si="20"/>
        <v>47475</v>
      </c>
      <c r="P291" s="11" t="s">
        <v>20</v>
      </c>
    </row>
    <row r="292" spans="1:16" x14ac:dyDescent="0.25">
      <c r="A292" s="9" t="str">
        <f t="shared" si="23"/>
        <v>2024 ALL D75</v>
      </c>
      <c r="B292" s="10">
        <f>'[1]2019 ALL D95'!B292</f>
        <v>46104</v>
      </c>
      <c r="C292" s="10">
        <f>'[1]2019 ALL D95'!C292</f>
        <v>46113</v>
      </c>
      <c r="D292" s="11">
        <v>3273</v>
      </c>
      <c r="E292" s="11">
        <v>336</v>
      </c>
      <c r="F292" s="11">
        <v>4</v>
      </c>
      <c r="G292" s="13">
        <v>6</v>
      </c>
      <c r="H292" s="13">
        <v>81574</v>
      </c>
      <c r="I292" s="11" t="s">
        <v>17</v>
      </c>
      <c r="J292" s="13">
        <v>15639142</v>
      </c>
      <c r="K292" s="13" t="s">
        <v>343</v>
      </c>
      <c r="L292" s="13" t="s">
        <v>347</v>
      </c>
      <c r="M292" s="17">
        <v>189900</v>
      </c>
      <c r="N292" s="15">
        <v>0.75</v>
      </c>
      <c r="O292" s="16">
        <f t="shared" si="20"/>
        <v>47475</v>
      </c>
      <c r="P292" s="11" t="s">
        <v>20</v>
      </c>
    </row>
    <row r="293" spans="1:16" x14ac:dyDescent="0.25">
      <c r="A293" s="9" t="str">
        <f t="shared" si="23"/>
        <v>2024 ALL D75</v>
      </c>
      <c r="B293" s="10">
        <f>'[1]2019 ALL D95'!B293</f>
        <v>46104</v>
      </c>
      <c r="C293" s="10">
        <f>'[1]2019 ALL D95'!C293</f>
        <v>46113</v>
      </c>
      <c r="D293" s="11">
        <v>3273</v>
      </c>
      <c r="E293" s="11">
        <v>336</v>
      </c>
      <c r="F293" s="11">
        <v>4</v>
      </c>
      <c r="G293" s="13">
        <v>6</v>
      </c>
      <c r="H293" s="13">
        <v>81574</v>
      </c>
      <c r="I293" s="11" t="s">
        <v>17</v>
      </c>
      <c r="J293" s="13">
        <v>15639151</v>
      </c>
      <c r="K293" s="13" t="s">
        <v>343</v>
      </c>
      <c r="L293" s="13" t="s">
        <v>348</v>
      </c>
      <c r="M293" s="17">
        <v>189900</v>
      </c>
      <c r="N293" s="15">
        <v>0.75</v>
      </c>
      <c r="O293" s="16">
        <f t="shared" si="20"/>
        <v>47475</v>
      </c>
      <c r="P293" s="11" t="s">
        <v>20</v>
      </c>
    </row>
    <row r="294" spans="1:16" x14ac:dyDescent="0.25">
      <c r="A294" s="9" t="str">
        <f t="shared" si="23"/>
        <v>2024 ALL D75</v>
      </c>
      <c r="B294" s="10">
        <f>'[1]2019 ALL D95'!B294</f>
        <v>46104</v>
      </c>
      <c r="C294" s="10">
        <f>'[1]2019 ALL D95'!C294</f>
        <v>46113</v>
      </c>
      <c r="D294" s="11">
        <v>3273</v>
      </c>
      <c r="E294" s="11">
        <v>336</v>
      </c>
      <c r="F294" s="11">
        <v>4</v>
      </c>
      <c r="G294" s="13">
        <v>6</v>
      </c>
      <c r="H294" s="13">
        <v>81574</v>
      </c>
      <c r="I294" s="11" t="s">
        <v>17</v>
      </c>
      <c r="J294" s="13">
        <v>15639160</v>
      </c>
      <c r="K294" s="13" t="s">
        <v>343</v>
      </c>
      <c r="L294" s="13" t="s">
        <v>349</v>
      </c>
      <c r="M294" s="17">
        <v>189900</v>
      </c>
      <c r="N294" s="15">
        <v>0.75</v>
      </c>
      <c r="O294" s="16">
        <f t="shared" si="20"/>
        <v>47475</v>
      </c>
      <c r="P294" s="11" t="s">
        <v>20</v>
      </c>
    </row>
    <row r="295" spans="1:16" x14ac:dyDescent="0.25">
      <c r="A295" s="9" t="str">
        <f t="shared" si="23"/>
        <v>2024 ALL D75</v>
      </c>
      <c r="B295" s="10">
        <f>'[1]2019 ALL D95'!B295</f>
        <v>46104</v>
      </c>
      <c r="C295" s="10">
        <f>'[1]2019 ALL D95'!C295</f>
        <v>46113</v>
      </c>
      <c r="D295" s="11">
        <v>3273</v>
      </c>
      <c r="E295" s="11">
        <v>336</v>
      </c>
      <c r="F295" s="11">
        <v>4</v>
      </c>
      <c r="G295" s="13">
        <v>6</v>
      </c>
      <c r="H295" s="13">
        <v>81574</v>
      </c>
      <c r="I295" s="11" t="s">
        <v>17</v>
      </c>
      <c r="J295" s="13">
        <v>15639179</v>
      </c>
      <c r="K295" s="13" t="s">
        <v>343</v>
      </c>
      <c r="L295" s="13" t="s">
        <v>350</v>
      </c>
      <c r="M295" s="17">
        <v>189900</v>
      </c>
      <c r="N295" s="15">
        <v>0.75</v>
      </c>
      <c r="O295" s="16">
        <f t="shared" si="20"/>
        <v>47475</v>
      </c>
      <c r="P295" s="11" t="s">
        <v>20</v>
      </c>
    </row>
    <row r="296" spans="1:16" x14ac:dyDescent="0.25">
      <c r="A296" s="9" t="str">
        <f t="shared" si="23"/>
        <v>2024 ALL D75</v>
      </c>
      <c r="B296" s="10">
        <f>'[1]2019 ALL D95'!B296</f>
        <v>46104</v>
      </c>
      <c r="C296" s="10">
        <f>'[1]2019 ALL D95'!C296</f>
        <v>46113</v>
      </c>
      <c r="D296" s="11">
        <v>3273</v>
      </c>
      <c r="E296" s="11">
        <v>336</v>
      </c>
      <c r="F296" s="11">
        <v>4</v>
      </c>
      <c r="G296" s="13">
        <v>6</v>
      </c>
      <c r="H296" s="13">
        <v>81574</v>
      </c>
      <c r="I296" s="11" t="s">
        <v>17</v>
      </c>
      <c r="J296" s="13">
        <v>15639188</v>
      </c>
      <c r="K296" s="13" t="s">
        <v>343</v>
      </c>
      <c r="L296" s="13" t="s">
        <v>351</v>
      </c>
      <c r="M296" s="17">
        <v>189900</v>
      </c>
      <c r="N296" s="15">
        <v>0.75</v>
      </c>
      <c r="O296" s="16">
        <f t="shared" si="20"/>
        <v>47475</v>
      </c>
      <c r="P296" s="11" t="s">
        <v>20</v>
      </c>
    </row>
    <row r="297" spans="1:16" x14ac:dyDescent="0.25">
      <c r="A297" s="9" t="str">
        <f t="shared" si="23"/>
        <v>2024 ALL D75</v>
      </c>
      <c r="B297" s="10">
        <f>'[1]2019 ALL D95'!B297</f>
        <v>46104</v>
      </c>
      <c r="C297" s="10">
        <f>'[1]2019 ALL D95'!C297</f>
        <v>46113</v>
      </c>
      <c r="D297" s="11">
        <v>3273</v>
      </c>
      <c r="E297" s="11">
        <v>336</v>
      </c>
      <c r="F297" s="11">
        <v>4</v>
      </c>
      <c r="G297" s="13">
        <v>6</v>
      </c>
      <c r="H297" s="13">
        <v>81588</v>
      </c>
      <c r="I297" s="11" t="s">
        <v>17</v>
      </c>
      <c r="J297" s="13">
        <v>15750191</v>
      </c>
      <c r="K297" s="13" t="s">
        <v>352</v>
      </c>
      <c r="L297" s="13" t="s">
        <v>353</v>
      </c>
      <c r="M297" s="17">
        <v>179900</v>
      </c>
      <c r="N297" s="15">
        <v>0.75</v>
      </c>
      <c r="O297" s="16">
        <f t="shared" si="20"/>
        <v>44975</v>
      </c>
      <c r="P297" s="11" t="s">
        <v>20</v>
      </c>
    </row>
    <row r="298" spans="1:16" x14ac:dyDescent="0.25">
      <c r="A298" s="9" t="str">
        <f t="shared" si="23"/>
        <v>2024 ALL D75</v>
      </c>
      <c r="B298" s="10">
        <f>'[1]2019 ALL D95'!B298</f>
        <v>46104</v>
      </c>
      <c r="C298" s="10">
        <f>'[1]2019 ALL D95'!C298</f>
        <v>46113</v>
      </c>
      <c r="D298" s="11">
        <v>3273</v>
      </c>
      <c r="E298" s="11">
        <v>336</v>
      </c>
      <c r="F298" s="11">
        <v>4</v>
      </c>
      <c r="G298" s="13">
        <v>6</v>
      </c>
      <c r="H298" s="13">
        <v>81588</v>
      </c>
      <c r="I298" s="11" t="s">
        <v>17</v>
      </c>
      <c r="J298" s="13">
        <v>15750208</v>
      </c>
      <c r="K298" s="13" t="s">
        <v>352</v>
      </c>
      <c r="L298" s="13" t="s">
        <v>354</v>
      </c>
      <c r="M298" s="17">
        <v>179900</v>
      </c>
      <c r="N298" s="15">
        <v>0.75</v>
      </c>
      <c r="O298" s="16">
        <f t="shared" si="20"/>
        <v>44975</v>
      </c>
      <c r="P298" s="11" t="s">
        <v>20</v>
      </c>
    </row>
    <row r="299" spans="1:16" x14ac:dyDescent="0.25">
      <c r="A299" s="9" t="str">
        <f t="shared" si="23"/>
        <v>2024 ALL D75</v>
      </c>
      <c r="B299" s="10">
        <f>'[1]2019 ALL D95'!B299</f>
        <v>46104</v>
      </c>
      <c r="C299" s="10">
        <f>'[1]2019 ALL D95'!C299</f>
        <v>46113</v>
      </c>
      <c r="D299" s="11">
        <v>3273</v>
      </c>
      <c r="E299" s="11">
        <v>336</v>
      </c>
      <c r="F299" s="11">
        <v>4</v>
      </c>
      <c r="G299" s="13">
        <v>6</v>
      </c>
      <c r="H299" s="13">
        <v>81588</v>
      </c>
      <c r="I299" s="11" t="s">
        <v>17</v>
      </c>
      <c r="J299" s="13">
        <v>15750217</v>
      </c>
      <c r="K299" s="13" t="s">
        <v>352</v>
      </c>
      <c r="L299" s="13" t="s">
        <v>355</v>
      </c>
      <c r="M299" s="17">
        <v>179900</v>
      </c>
      <c r="N299" s="15">
        <v>0.75</v>
      </c>
      <c r="O299" s="16">
        <f t="shared" si="20"/>
        <v>44975</v>
      </c>
      <c r="P299" s="11" t="s">
        <v>20</v>
      </c>
    </row>
    <row r="300" spans="1:16" x14ac:dyDescent="0.25">
      <c r="A300" s="9" t="str">
        <f t="shared" si="23"/>
        <v>2024 ALL D75</v>
      </c>
      <c r="B300" s="10">
        <f>'[1]2019 ALL D95'!B300</f>
        <v>46104</v>
      </c>
      <c r="C300" s="10">
        <f>'[1]2019 ALL D95'!C300</f>
        <v>46113</v>
      </c>
      <c r="D300" s="11">
        <v>3273</v>
      </c>
      <c r="E300" s="11">
        <v>336</v>
      </c>
      <c r="F300" s="11">
        <v>4</v>
      </c>
      <c r="G300" s="13">
        <v>6</v>
      </c>
      <c r="H300" s="13">
        <v>81588</v>
      </c>
      <c r="I300" s="11" t="s">
        <v>17</v>
      </c>
      <c r="J300" s="13">
        <v>15750226</v>
      </c>
      <c r="K300" s="13" t="s">
        <v>352</v>
      </c>
      <c r="L300" s="13" t="s">
        <v>356</v>
      </c>
      <c r="M300" s="17">
        <v>179900</v>
      </c>
      <c r="N300" s="15">
        <v>0.75</v>
      </c>
      <c r="O300" s="16">
        <f t="shared" si="20"/>
        <v>44975</v>
      </c>
      <c r="P300" s="11" t="s">
        <v>20</v>
      </c>
    </row>
    <row r="301" spans="1:16" x14ac:dyDescent="0.25">
      <c r="A301" s="9" t="str">
        <f t="shared" si="23"/>
        <v>2024 ALL D75</v>
      </c>
      <c r="B301" s="10">
        <f>'[1]2019 ALL D95'!B301</f>
        <v>46104</v>
      </c>
      <c r="C301" s="10">
        <f>'[1]2019 ALL D95'!C301</f>
        <v>46113</v>
      </c>
      <c r="D301" s="11">
        <v>3273</v>
      </c>
      <c r="E301" s="11">
        <v>336</v>
      </c>
      <c r="F301" s="11">
        <v>4</v>
      </c>
      <c r="G301" s="13">
        <v>6</v>
      </c>
      <c r="H301" s="13">
        <v>81588</v>
      </c>
      <c r="I301" s="11" t="s">
        <v>17</v>
      </c>
      <c r="J301" s="13">
        <v>15750235</v>
      </c>
      <c r="K301" s="13" t="s">
        <v>352</v>
      </c>
      <c r="L301" s="13" t="s">
        <v>357</v>
      </c>
      <c r="M301" s="17">
        <v>179900</v>
      </c>
      <c r="N301" s="15">
        <v>0.75</v>
      </c>
      <c r="O301" s="16">
        <f t="shared" si="20"/>
        <v>44975</v>
      </c>
      <c r="P301" s="11" t="s">
        <v>20</v>
      </c>
    </row>
    <row r="302" spans="1:16" x14ac:dyDescent="0.25">
      <c r="A302" s="9" t="str">
        <f t="shared" si="23"/>
        <v>2024 ALL D75</v>
      </c>
      <c r="B302" s="10">
        <f>'[1]2019 ALL D95'!B302</f>
        <v>46104</v>
      </c>
      <c r="C302" s="10">
        <f>'[1]2019 ALL D95'!C302</f>
        <v>46113</v>
      </c>
      <c r="D302" s="11">
        <v>3273</v>
      </c>
      <c r="E302" s="11">
        <v>336</v>
      </c>
      <c r="F302" s="11">
        <v>4</v>
      </c>
      <c r="G302" s="13">
        <v>6</v>
      </c>
      <c r="H302" s="13">
        <v>81588</v>
      </c>
      <c r="I302" s="11" t="s">
        <v>17</v>
      </c>
      <c r="J302" s="13">
        <v>15750244</v>
      </c>
      <c r="K302" s="13" t="s">
        <v>352</v>
      </c>
      <c r="L302" s="13" t="s">
        <v>358</v>
      </c>
      <c r="M302" s="17">
        <v>179900</v>
      </c>
      <c r="N302" s="15">
        <v>0.75</v>
      </c>
      <c r="O302" s="16">
        <f t="shared" si="20"/>
        <v>44975</v>
      </c>
      <c r="P302" s="11" t="s">
        <v>20</v>
      </c>
    </row>
    <row r="303" spans="1:16" x14ac:dyDescent="0.25">
      <c r="A303" s="9" t="str">
        <f t="shared" si="23"/>
        <v>2024 ALL D75</v>
      </c>
      <c r="B303" s="10">
        <f>'[1]2019 ALL D95'!B303</f>
        <v>46104</v>
      </c>
      <c r="C303" s="10">
        <f>'[1]2019 ALL D95'!C303</f>
        <v>46113</v>
      </c>
      <c r="D303" s="11">
        <v>3273</v>
      </c>
      <c r="E303" s="11">
        <v>336</v>
      </c>
      <c r="F303" s="11">
        <v>4</v>
      </c>
      <c r="G303" s="13">
        <v>6</v>
      </c>
      <c r="H303" s="13">
        <v>81588</v>
      </c>
      <c r="I303" s="11" t="s">
        <v>17</v>
      </c>
      <c r="J303" s="13">
        <v>15750253</v>
      </c>
      <c r="K303" s="13" t="s">
        <v>352</v>
      </c>
      <c r="L303" s="13" t="s">
        <v>359</v>
      </c>
      <c r="M303" s="17">
        <v>179900</v>
      </c>
      <c r="N303" s="15">
        <v>0.75</v>
      </c>
      <c r="O303" s="16">
        <f t="shared" si="20"/>
        <v>44975</v>
      </c>
      <c r="P303" s="11" t="s">
        <v>20</v>
      </c>
    </row>
    <row r="304" spans="1:16" x14ac:dyDescent="0.25">
      <c r="A304" s="9" t="str">
        <f t="shared" si="23"/>
        <v>2024 ALL D75</v>
      </c>
      <c r="B304" s="10">
        <f>'[1]2019 ALL D95'!B304</f>
        <v>46104</v>
      </c>
      <c r="C304" s="10">
        <f>'[1]2019 ALL D95'!C304</f>
        <v>46113</v>
      </c>
      <c r="D304" s="11">
        <v>3273</v>
      </c>
      <c r="E304" s="11">
        <v>336</v>
      </c>
      <c r="F304" s="11">
        <v>4</v>
      </c>
      <c r="G304" s="13">
        <v>6</v>
      </c>
      <c r="H304" s="13">
        <v>81588</v>
      </c>
      <c r="I304" s="11" t="s">
        <v>17</v>
      </c>
      <c r="J304" s="13">
        <v>15750262</v>
      </c>
      <c r="K304" s="13" t="s">
        <v>352</v>
      </c>
      <c r="L304" s="13" t="s">
        <v>360</v>
      </c>
      <c r="M304" s="17">
        <v>179900</v>
      </c>
      <c r="N304" s="15">
        <v>0.75</v>
      </c>
      <c r="O304" s="16">
        <f t="shared" si="20"/>
        <v>44975</v>
      </c>
      <c r="P304" s="11" t="s">
        <v>20</v>
      </c>
    </row>
    <row r="305" spans="1:16" x14ac:dyDescent="0.25">
      <c r="A305" s="9" t="str">
        <f t="shared" si="23"/>
        <v>2024 ALL D75</v>
      </c>
      <c r="B305" s="10">
        <f>'[1]2019 ALL D95'!B305</f>
        <v>46104</v>
      </c>
      <c r="C305" s="10">
        <f>'[1]2019 ALL D95'!C305</f>
        <v>46113</v>
      </c>
      <c r="D305" s="11">
        <v>3273</v>
      </c>
      <c r="E305" s="11">
        <v>336</v>
      </c>
      <c r="F305" s="11">
        <v>4</v>
      </c>
      <c r="G305" s="13">
        <v>6</v>
      </c>
      <c r="H305" s="13">
        <v>81676</v>
      </c>
      <c r="I305" s="11" t="s">
        <v>17</v>
      </c>
      <c r="J305" s="13">
        <v>15139638</v>
      </c>
      <c r="K305" s="13" t="s">
        <v>361</v>
      </c>
      <c r="L305" s="13" t="s">
        <v>362</v>
      </c>
      <c r="M305" s="17">
        <v>119900</v>
      </c>
      <c r="N305" s="15">
        <v>0.75</v>
      </c>
      <c r="O305" s="16">
        <f t="shared" si="20"/>
        <v>29975</v>
      </c>
      <c r="P305" s="11" t="s">
        <v>20</v>
      </c>
    </row>
    <row r="306" spans="1:16" x14ac:dyDescent="0.25">
      <c r="A306" s="9" t="str">
        <f t="shared" si="23"/>
        <v>2024 ALL D75</v>
      </c>
      <c r="B306" s="10">
        <f>'[1]2019 ALL D95'!B306</f>
        <v>46104</v>
      </c>
      <c r="C306" s="10">
        <f>'[1]2019 ALL D95'!C306</f>
        <v>46113</v>
      </c>
      <c r="D306" s="11">
        <v>3273</v>
      </c>
      <c r="E306" s="11">
        <v>336</v>
      </c>
      <c r="F306" s="11">
        <v>4</v>
      </c>
      <c r="G306" s="13">
        <v>6</v>
      </c>
      <c r="H306" s="13">
        <v>81676</v>
      </c>
      <c r="I306" s="11" t="s">
        <v>17</v>
      </c>
      <c r="J306" s="13">
        <v>15139647</v>
      </c>
      <c r="K306" s="13" t="s">
        <v>361</v>
      </c>
      <c r="L306" s="13" t="s">
        <v>363</v>
      </c>
      <c r="M306" s="17">
        <v>119900</v>
      </c>
      <c r="N306" s="15">
        <v>0.75</v>
      </c>
      <c r="O306" s="16">
        <f t="shared" si="20"/>
        <v>29975</v>
      </c>
      <c r="P306" s="11" t="s">
        <v>20</v>
      </c>
    </row>
    <row r="307" spans="1:16" x14ac:dyDescent="0.25">
      <c r="A307" s="9" t="str">
        <f t="shared" ref="A307:A322" si="24">A306</f>
        <v>2024 ALL D75</v>
      </c>
      <c r="B307" s="10">
        <f>'[1]2019 ALL D95'!B307</f>
        <v>46104</v>
      </c>
      <c r="C307" s="10">
        <f>'[1]2019 ALL D95'!C307</f>
        <v>46113</v>
      </c>
      <c r="D307" s="11">
        <v>3273</v>
      </c>
      <c r="E307" s="11">
        <v>336</v>
      </c>
      <c r="F307" s="11">
        <v>4</v>
      </c>
      <c r="G307" s="13">
        <v>6</v>
      </c>
      <c r="H307" s="13">
        <v>81676</v>
      </c>
      <c r="I307" s="11" t="s">
        <v>17</v>
      </c>
      <c r="J307" s="13">
        <v>15139656</v>
      </c>
      <c r="K307" s="13" t="s">
        <v>361</v>
      </c>
      <c r="L307" s="13" t="s">
        <v>364</v>
      </c>
      <c r="M307" s="17">
        <v>119900</v>
      </c>
      <c r="N307" s="15">
        <v>0.75</v>
      </c>
      <c r="O307" s="16">
        <f t="shared" si="20"/>
        <v>29975</v>
      </c>
      <c r="P307" s="11" t="s">
        <v>20</v>
      </c>
    </row>
    <row r="308" spans="1:16" x14ac:dyDescent="0.25">
      <c r="A308" s="9" t="str">
        <f t="shared" si="24"/>
        <v>2024 ALL D75</v>
      </c>
      <c r="B308" s="10">
        <f>'[1]2019 ALL D95'!B308</f>
        <v>46104</v>
      </c>
      <c r="C308" s="10">
        <f>'[1]2019 ALL D95'!C308</f>
        <v>46113</v>
      </c>
      <c r="D308" s="11">
        <v>3273</v>
      </c>
      <c r="E308" s="11">
        <v>336</v>
      </c>
      <c r="F308" s="11">
        <v>4</v>
      </c>
      <c r="G308" s="13">
        <v>6</v>
      </c>
      <c r="H308" s="13">
        <v>81676</v>
      </c>
      <c r="I308" s="11" t="s">
        <v>17</v>
      </c>
      <c r="J308" s="13">
        <v>15139665</v>
      </c>
      <c r="K308" s="13" t="s">
        <v>361</v>
      </c>
      <c r="L308" s="13" t="s">
        <v>365</v>
      </c>
      <c r="M308" s="17">
        <v>119900</v>
      </c>
      <c r="N308" s="15">
        <v>0.75</v>
      </c>
      <c r="O308" s="16">
        <f t="shared" si="20"/>
        <v>29975</v>
      </c>
      <c r="P308" s="11" t="s">
        <v>20</v>
      </c>
    </row>
    <row r="309" spans="1:16" x14ac:dyDescent="0.25">
      <c r="A309" s="9" t="str">
        <f t="shared" si="24"/>
        <v>2024 ALL D75</v>
      </c>
      <c r="B309" s="10">
        <f>'[1]2019 ALL D95'!B309</f>
        <v>46104</v>
      </c>
      <c r="C309" s="10">
        <f>'[1]2019 ALL D95'!C309</f>
        <v>46113</v>
      </c>
      <c r="D309" s="11">
        <v>3273</v>
      </c>
      <c r="E309" s="11">
        <v>336</v>
      </c>
      <c r="F309" s="11">
        <v>4</v>
      </c>
      <c r="G309" s="13">
        <v>6</v>
      </c>
      <c r="H309" s="13">
        <v>81676</v>
      </c>
      <c r="I309" s="11" t="s">
        <v>17</v>
      </c>
      <c r="J309" s="13">
        <v>15139674</v>
      </c>
      <c r="K309" s="13" t="s">
        <v>361</v>
      </c>
      <c r="L309" s="13" t="s">
        <v>366</v>
      </c>
      <c r="M309" s="17">
        <v>119900</v>
      </c>
      <c r="N309" s="15">
        <v>0.75</v>
      </c>
      <c r="O309" s="16">
        <f t="shared" si="20"/>
        <v>29975</v>
      </c>
      <c r="P309" s="11" t="s">
        <v>20</v>
      </c>
    </row>
    <row r="310" spans="1:16" x14ac:dyDescent="0.25">
      <c r="A310" s="9" t="str">
        <f t="shared" si="24"/>
        <v>2024 ALL D75</v>
      </c>
      <c r="B310" s="10">
        <f>'[1]2019 ALL D95'!B310</f>
        <v>46104</v>
      </c>
      <c r="C310" s="10">
        <f>'[1]2019 ALL D95'!C310</f>
        <v>46113</v>
      </c>
      <c r="D310" s="11">
        <v>3273</v>
      </c>
      <c r="E310" s="11">
        <v>336</v>
      </c>
      <c r="F310" s="11">
        <v>4</v>
      </c>
      <c r="G310" s="13">
        <v>6</v>
      </c>
      <c r="H310" s="13">
        <v>81676</v>
      </c>
      <c r="I310" s="11" t="s">
        <v>17</v>
      </c>
      <c r="J310" s="13">
        <v>15139683</v>
      </c>
      <c r="K310" s="13" t="s">
        <v>361</v>
      </c>
      <c r="L310" s="13" t="s">
        <v>367</v>
      </c>
      <c r="M310" s="17">
        <v>119900</v>
      </c>
      <c r="N310" s="15">
        <v>0.75</v>
      </c>
      <c r="O310" s="16">
        <f t="shared" si="20"/>
        <v>29975</v>
      </c>
      <c r="P310" s="11" t="s">
        <v>20</v>
      </c>
    </row>
    <row r="311" spans="1:16" x14ac:dyDescent="0.25">
      <c r="A311" s="9" t="str">
        <f t="shared" si="24"/>
        <v>2024 ALL D75</v>
      </c>
      <c r="B311" s="10">
        <f>'[1]2019 ALL D95'!B311</f>
        <v>46104</v>
      </c>
      <c r="C311" s="10">
        <f>'[1]2019 ALL D95'!C311</f>
        <v>46113</v>
      </c>
      <c r="D311" s="11">
        <v>3273</v>
      </c>
      <c r="E311" s="11">
        <v>336</v>
      </c>
      <c r="F311" s="11">
        <v>4</v>
      </c>
      <c r="G311" s="13">
        <v>6</v>
      </c>
      <c r="H311" s="13">
        <v>81676</v>
      </c>
      <c r="I311" s="11" t="s">
        <v>17</v>
      </c>
      <c r="J311" s="13">
        <v>15139692</v>
      </c>
      <c r="K311" s="13" t="s">
        <v>361</v>
      </c>
      <c r="L311" s="13" t="s">
        <v>368</v>
      </c>
      <c r="M311" s="17">
        <v>119900</v>
      </c>
      <c r="N311" s="15">
        <v>0.75</v>
      </c>
      <c r="O311" s="16">
        <f t="shared" si="20"/>
        <v>29975</v>
      </c>
      <c r="P311" s="11" t="s">
        <v>20</v>
      </c>
    </row>
    <row r="312" spans="1:16" x14ac:dyDescent="0.25">
      <c r="A312" s="9" t="str">
        <f t="shared" si="24"/>
        <v>2024 ALL D75</v>
      </c>
      <c r="B312" s="10">
        <f>'[1]2019 ALL D95'!B312</f>
        <v>46104</v>
      </c>
      <c r="C312" s="10">
        <f>'[1]2019 ALL D95'!C312</f>
        <v>46113</v>
      </c>
      <c r="D312" s="11">
        <v>3273</v>
      </c>
      <c r="E312" s="11">
        <v>336</v>
      </c>
      <c r="F312" s="11">
        <v>4</v>
      </c>
      <c r="G312" s="13">
        <v>6</v>
      </c>
      <c r="H312" s="13">
        <v>81676</v>
      </c>
      <c r="I312" s="11" t="s">
        <v>17</v>
      </c>
      <c r="J312" s="13">
        <v>15139709</v>
      </c>
      <c r="K312" s="13" t="s">
        <v>361</v>
      </c>
      <c r="L312" s="13" t="s">
        <v>369</v>
      </c>
      <c r="M312" s="17">
        <v>119900</v>
      </c>
      <c r="N312" s="15">
        <v>0.75</v>
      </c>
      <c r="O312" s="16">
        <f t="shared" si="20"/>
        <v>29975</v>
      </c>
      <c r="P312" s="11" t="s">
        <v>20</v>
      </c>
    </row>
    <row r="313" spans="1:16" x14ac:dyDescent="0.25">
      <c r="A313" s="9" t="str">
        <f t="shared" si="24"/>
        <v>2024 ALL D75</v>
      </c>
      <c r="B313" s="10">
        <f>'[1]2019 ALL D95'!B313</f>
        <v>46104</v>
      </c>
      <c r="C313" s="10">
        <f>'[1]2019 ALL D95'!C313</f>
        <v>46113</v>
      </c>
      <c r="D313" s="11">
        <v>3273</v>
      </c>
      <c r="E313" s="11">
        <v>336</v>
      </c>
      <c r="F313" s="11">
        <v>4</v>
      </c>
      <c r="G313" s="13">
        <v>6</v>
      </c>
      <c r="H313" s="13">
        <v>81588</v>
      </c>
      <c r="I313" s="11" t="s">
        <v>17</v>
      </c>
      <c r="J313" s="13">
        <v>15640112</v>
      </c>
      <c r="K313" s="13" t="s">
        <v>370</v>
      </c>
      <c r="L313" s="13" t="s">
        <v>371</v>
      </c>
      <c r="M313" s="17">
        <v>149900</v>
      </c>
      <c r="N313" s="15">
        <v>0.75</v>
      </c>
      <c r="O313" s="16">
        <f t="shared" si="20"/>
        <v>37475</v>
      </c>
      <c r="P313" s="11" t="s">
        <v>20</v>
      </c>
    </row>
    <row r="314" spans="1:16" x14ac:dyDescent="0.25">
      <c r="A314" s="9" t="str">
        <f t="shared" si="24"/>
        <v>2024 ALL D75</v>
      </c>
      <c r="B314" s="10">
        <f>'[1]2019 ALL D95'!B314</f>
        <v>46104</v>
      </c>
      <c r="C314" s="10">
        <f>'[1]2019 ALL D95'!C314</f>
        <v>46113</v>
      </c>
      <c r="D314" s="11">
        <v>3273</v>
      </c>
      <c r="E314" s="11">
        <v>336</v>
      </c>
      <c r="F314" s="11">
        <v>4</v>
      </c>
      <c r="G314" s="13">
        <v>6</v>
      </c>
      <c r="H314" s="13">
        <v>81588</v>
      </c>
      <c r="I314" s="11" t="s">
        <v>17</v>
      </c>
      <c r="J314" s="13">
        <v>15640121</v>
      </c>
      <c r="K314" s="13" t="s">
        <v>370</v>
      </c>
      <c r="L314" s="13" t="s">
        <v>372</v>
      </c>
      <c r="M314" s="17">
        <v>149900</v>
      </c>
      <c r="N314" s="15">
        <v>0.75</v>
      </c>
      <c r="O314" s="16">
        <f t="shared" si="20"/>
        <v>37475</v>
      </c>
      <c r="P314" s="11" t="s">
        <v>20</v>
      </c>
    </row>
    <row r="315" spans="1:16" x14ac:dyDescent="0.25">
      <c r="A315" s="9" t="str">
        <f t="shared" si="24"/>
        <v>2024 ALL D75</v>
      </c>
      <c r="B315" s="10">
        <f>'[1]2019 ALL D95'!B315</f>
        <v>46104</v>
      </c>
      <c r="C315" s="10">
        <f>'[1]2019 ALL D95'!C315</f>
        <v>46113</v>
      </c>
      <c r="D315" s="11">
        <v>3273</v>
      </c>
      <c r="E315" s="11">
        <v>336</v>
      </c>
      <c r="F315" s="11">
        <v>4</v>
      </c>
      <c r="G315" s="13">
        <v>6</v>
      </c>
      <c r="H315" s="13">
        <v>81588</v>
      </c>
      <c r="I315" s="11" t="s">
        <v>17</v>
      </c>
      <c r="J315" s="13">
        <v>15640130</v>
      </c>
      <c r="K315" s="13" t="s">
        <v>370</v>
      </c>
      <c r="L315" s="13" t="s">
        <v>373</v>
      </c>
      <c r="M315" s="17">
        <v>149900</v>
      </c>
      <c r="N315" s="15">
        <v>0.75</v>
      </c>
      <c r="O315" s="16">
        <f t="shared" si="20"/>
        <v>37475</v>
      </c>
      <c r="P315" s="11" t="s">
        <v>20</v>
      </c>
    </row>
    <row r="316" spans="1:16" x14ac:dyDescent="0.25">
      <c r="A316" s="9" t="str">
        <f t="shared" si="24"/>
        <v>2024 ALL D75</v>
      </c>
      <c r="B316" s="10">
        <f>'[1]2019 ALL D95'!B316</f>
        <v>46104</v>
      </c>
      <c r="C316" s="10">
        <f>'[1]2019 ALL D95'!C316</f>
        <v>46113</v>
      </c>
      <c r="D316" s="11">
        <v>3273</v>
      </c>
      <c r="E316" s="11">
        <v>336</v>
      </c>
      <c r="F316" s="11">
        <v>4</v>
      </c>
      <c r="G316" s="13">
        <v>6</v>
      </c>
      <c r="H316" s="13">
        <v>81588</v>
      </c>
      <c r="I316" s="11" t="s">
        <v>17</v>
      </c>
      <c r="J316" s="13">
        <v>15640149</v>
      </c>
      <c r="K316" s="13" t="s">
        <v>370</v>
      </c>
      <c r="L316" s="13" t="s">
        <v>374</v>
      </c>
      <c r="M316" s="17">
        <v>149900</v>
      </c>
      <c r="N316" s="15">
        <v>0.75</v>
      </c>
      <c r="O316" s="16">
        <f t="shared" si="20"/>
        <v>37475</v>
      </c>
      <c r="P316" s="11" t="s">
        <v>20</v>
      </c>
    </row>
    <row r="317" spans="1:16" x14ac:dyDescent="0.25">
      <c r="A317" s="9" t="str">
        <f t="shared" si="24"/>
        <v>2024 ALL D75</v>
      </c>
      <c r="B317" s="10">
        <f>'[1]2019 ALL D95'!B317</f>
        <v>46104</v>
      </c>
      <c r="C317" s="10">
        <f>'[1]2019 ALL D95'!C317</f>
        <v>46113</v>
      </c>
      <c r="D317" s="11">
        <v>3273</v>
      </c>
      <c r="E317" s="11">
        <v>336</v>
      </c>
      <c r="F317" s="11">
        <v>4</v>
      </c>
      <c r="G317" s="13">
        <v>6</v>
      </c>
      <c r="H317" s="13">
        <v>81588</v>
      </c>
      <c r="I317" s="11" t="s">
        <v>17</v>
      </c>
      <c r="J317" s="13">
        <v>15640158</v>
      </c>
      <c r="K317" s="13" t="s">
        <v>370</v>
      </c>
      <c r="L317" s="13" t="s">
        <v>375</v>
      </c>
      <c r="M317" s="17">
        <v>149900</v>
      </c>
      <c r="N317" s="15">
        <v>0.75</v>
      </c>
      <c r="O317" s="16">
        <f t="shared" si="20"/>
        <v>37475</v>
      </c>
      <c r="P317" s="11" t="s">
        <v>20</v>
      </c>
    </row>
    <row r="318" spans="1:16" x14ac:dyDescent="0.25">
      <c r="A318" s="9" t="str">
        <f t="shared" si="24"/>
        <v>2024 ALL D75</v>
      </c>
      <c r="B318" s="10">
        <f>'[1]2019 ALL D95'!B318</f>
        <v>46104</v>
      </c>
      <c r="C318" s="10">
        <f>'[1]2019 ALL D95'!C318</f>
        <v>46113</v>
      </c>
      <c r="D318" s="11">
        <v>3273</v>
      </c>
      <c r="E318" s="11">
        <v>336</v>
      </c>
      <c r="F318" s="11">
        <v>4</v>
      </c>
      <c r="G318" s="13">
        <v>6</v>
      </c>
      <c r="H318" s="13">
        <v>81588</v>
      </c>
      <c r="I318" s="11" t="s">
        <v>17</v>
      </c>
      <c r="J318" s="13">
        <v>15748239</v>
      </c>
      <c r="K318" s="13" t="s">
        <v>376</v>
      </c>
      <c r="L318" s="13" t="s">
        <v>377</v>
      </c>
      <c r="M318" s="17">
        <v>129900</v>
      </c>
      <c r="N318" s="15">
        <v>0.75</v>
      </c>
      <c r="O318" s="16">
        <f t="shared" si="20"/>
        <v>32475</v>
      </c>
      <c r="P318" s="11" t="s">
        <v>20</v>
      </c>
    </row>
    <row r="319" spans="1:16" x14ac:dyDescent="0.25">
      <c r="A319" s="9" t="str">
        <f t="shared" si="24"/>
        <v>2024 ALL D75</v>
      </c>
      <c r="B319" s="10">
        <f>'[1]2019 ALL D95'!B319</f>
        <v>46104</v>
      </c>
      <c r="C319" s="10">
        <f>'[1]2019 ALL D95'!C319</f>
        <v>46113</v>
      </c>
      <c r="D319" s="11">
        <v>3273</v>
      </c>
      <c r="E319" s="11">
        <v>336</v>
      </c>
      <c r="F319" s="11">
        <v>4</v>
      </c>
      <c r="G319" s="13">
        <v>6</v>
      </c>
      <c r="H319" s="13">
        <v>81588</v>
      </c>
      <c r="I319" s="11" t="s">
        <v>17</v>
      </c>
      <c r="J319" s="13">
        <v>15748248</v>
      </c>
      <c r="K319" s="13" t="s">
        <v>376</v>
      </c>
      <c r="L319" s="13" t="s">
        <v>378</v>
      </c>
      <c r="M319" s="17">
        <v>129900</v>
      </c>
      <c r="N319" s="15">
        <v>0.75</v>
      </c>
      <c r="O319" s="16">
        <f t="shared" si="20"/>
        <v>32475</v>
      </c>
      <c r="P319" s="11" t="s">
        <v>20</v>
      </c>
    </row>
    <row r="320" spans="1:16" x14ac:dyDescent="0.25">
      <c r="A320" s="9" t="str">
        <f t="shared" si="24"/>
        <v>2024 ALL D75</v>
      </c>
      <c r="B320" s="10">
        <f>'[1]2019 ALL D95'!B320</f>
        <v>46104</v>
      </c>
      <c r="C320" s="10">
        <f>'[1]2019 ALL D95'!C320</f>
        <v>46113</v>
      </c>
      <c r="D320" s="11">
        <v>3273</v>
      </c>
      <c r="E320" s="11">
        <v>336</v>
      </c>
      <c r="F320" s="11">
        <v>4</v>
      </c>
      <c r="G320" s="13">
        <v>6</v>
      </c>
      <c r="H320" s="13">
        <v>81588</v>
      </c>
      <c r="I320" s="11" t="s">
        <v>17</v>
      </c>
      <c r="J320" s="13">
        <v>15748257</v>
      </c>
      <c r="K320" s="13" t="s">
        <v>376</v>
      </c>
      <c r="L320" s="13" t="s">
        <v>379</v>
      </c>
      <c r="M320" s="17">
        <v>129900</v>
      </c>
      <c r="N320" s="15">
        <v>0.75</v>
      </c>
      <c r="O320" s="16">
        <f t="shared" si="20"/>
        <v>32475</v>
      </c>
      <c r="P320" s="11" t="s">
        <v>20</v>
      </c>
    </row>
    <row r="321" spans="1:16" x14ac:dyDescent="0.25">
      <c r="A321" s="9" t="str">
        <f t="shared" si="24"/>
        <v>2024 ALL D75</v>
      </c>
      <c r="B321" s="10">
        <f>'[1]2019 ALL D95'!B321</f>
        <v>46104</v>
      </c>
      <c r="C321" s="10">
        <f>'[1]2019 ALL D95'!C321</f>
        <v>46113</v>
      </c>
      <c r="D321" s="11">
        <v>3273</v>
      </c>
      <c r="E321" s="11">
        <v>336</v>
      </c>
      <c r="F321" s="11">
        <v>4</v>
      </c>
      <c r="G321" s="13">
        <v>6</v>
      </c>
      <c r="H321" s="13">
        <v>81588</v>
      </c>
      <c r="I321" s="11" t="s">
        <v>17</v>
      </c>
      <c r="J321" s="13">
        <v>15748266</v>
      </c>
      <c r="K321" s="13" t="s">
        <v>376</v>
      </c>
      <c r="L321" s="13" t="s">
        <v>380</v>
      </c>
      <c r="M321" s="17">
        <v>129900</v>
      </c>
      <c r="N321" s="15">
        <v>0.75</v>
      </c>
      <c r="O321" s="16">
        <f t="shared" si="20"/>
        <v>32475</v>
      </c>
      <c r="P321" s="11" t="s">
        <v>20</v>
      </c>
    </row>
    <row r="322" spans="1:16" x14ac:dyDescent="0.25">
      <c r="A322" s="9" t="str">
        <f t="shared" si="24"/>
        <v>2024 ALL D75</v>
      </c>
      <c r="B322" s="10">
        <f>'[1]2019 ALL D95'!B322</f>
        <v>46104</v>
      </c>
      <c r="C322" s="10">
        <f>'[1]2019 ALL D95'!C322</f>
        <v>46113</v>
      </c>
      <c r="D322" s="11">
        <v>3273</v>
      </c>
      <c r="E322" s="11">
        <v>336</v>
      </c>
      <c r="F322" s="11">
        <v>4</v>
      </c>
      <c r="G322" s="13">
        <v>6</v>
      </c>
      <c r="H322" s="13">
        <v>81588</v>
      </c>
      <c r="I322" s="11" t="s">
        <v>17</v>
      </c>
      <c r="J322" s="13">
        <v>15748275</v>
      </c>
      <c r="K322" s="13" t="s">
        <v>376</v>
      </c>
      <c r="L322" s="13" t="s">
        <v>381</v>
      </c>
      <c r="M322" s="17">
        <v>129900</v>
      </c>
      <c r="N322" s="15">
        <v>0.75</v>
      </c>
      <c r="O322" s="16">
        <f t="shared" ref="O322:O385" si="25">M322*(1-N322)</f>
        <v>32475</v>
      </c>
      <c r="P322" s="11" t="s">
        <v>20</v>
      </c>
    </row>
    <row r="323" spans="1:16" x14ac:dyDescent="0.25">
      <c r="A323" s="9" t="str">
        <f t="shared" ref="A323:A338" si="26">A322</f>
        <v>2024 ALL D75</v>
      </c>
      <c r="B323" s="10">
        <f>'[1]2019 ALL D95'!B323</f>
        <v>46104</v>
      </c>
      <c r="C323" s="10">
        <f>'[1]2019 ALL D95'!C323</f>
        <v>46113</v>
      </c>
      <c r="D323" s="11">
        <v>3273</v>
      </c>
      <c r="E323" s="11">
        <v>336</v>
      </c>
      <c r="F323" s="11">
        <v>4</v>
      </c>
      <c r="G323" s="13">
        <v>6</v>
      </c>
      <c r="H323" s="13">
        <v>81588</v>
      </c>
      <c r="I323" s="11" t="s">
        <v>17</v>
      </c>
      <c r="J323" s="13">
        <v>15748284</v>
      </c>
      <c r="K323" s="13" t="s">
        <v>376</v>
      </c>
      <c r="L323" s="13" t="s">
        <v>382</v>
      </c>
      <c r="M323" s="17">
        <v>129900</v>
      </c>
      <c r="N323" s="15">
        <v>0.75</v>
      </c>
      <c r="O323" s="16">
        <f t="shared" si="25"/>
        <v>32475</v>
      </c>
      <c r="P323" s="11" t="s">
        <v>20</v>
      </c>
    </row>
    <row r="324" spans="1:16" x14ac:dyDescent="0.25">
      <c r="A324" s="9" t="str">
        <f t="shared" si="26"/>
        <v>2024 ALL D75</v>
      </c>
      <c r="B324" s="10">
        <f>'[1]2019 ALL D95'!B324</f>
        <v>46104</v>
      </c>
      <c r="C324" s="10">
        <f>'[1]2019 ALL D95'!C324</f>
        <v>46113</v>
      </c>
      <c r="D324" s="11">
        <v>3273</v>
      </c>
      <c r="E324" s="11">
        <v>336</v>
      </c>
      <c r="F324" s="11">
        <v>4</v>
      </c>
      <c r="G324" s="13">
        <v>6</v>
      </c>
      <c r="H324" s="13">
        <v>81588</v>
      </c>
      <c r="I324" s="11" t="s">
        <v>17</v>
      </c>
      <c r="J324" s="13">
        <v>15748382</v>
      </c>
      <c r="K324" s="13" t="s">
        <v>383</v>
      </c>
      <c r="L324" s="13" t="s">
        <v>384</v>
      </c>
      <c r="M324" s="17">
        <v>139900</v>
      </c>
      <c r="N324" s="15">
        <v>0.75</v>
      </c>
      <c r="O324" s="16">
        <f t="shared" si="25"/>
        <v>34975</v>
      </c>
      <c r="P324" s="11" t="s">
        <v>20</v>
      </c>
    </row>
    <row r="325" spans="1:16" x14ac:dyDescent="0.25">
      <c r="A325" s="9" t="str">
        <f t="shared" si="26"/>
        <v>2024 ALL D75</v>
      </c>
      <c r="B325" s="10">
        <f>'[1]2019 ALL D95'!B325</f>
        <v>46104</v>
      </c>
      <c r="C325" s="10">
        <f>'[1]2019 ALL D95'!C325</f>
        <v>46113</v>
      </c>
      <c r="D325" s="11">
        <v>3273</v>
      </c>
      <c r="E325" s="11">
        <v>336</v>
      </c>
      <c r="F325" s="11">
        <v>4</v>
      </c>
      <c r="G325" s="13">
        <v>6</v>
      </c>
      <c r="H325" s="13">
        <v>81588</v>
      </c>
      <c r="I325" s="11" t="s">
        <v>17</v>
      </c>
      <c r="J325" s="13">
        <v>15748391</v>
      </c>
      <c r="K325" s="13" t="s">
        <v>383</v>
      </c>
      <c r="L325" s="13" t="s">
        <v>385</v>
      </c>
      <c r="M325" s="17">
        <v>139900</v>
      </c>
      <c r="N325" s="15">
        <v>0.75</v>
      </c>
      <c r="O325" s="16">
        <f t="shared" si="25"/>
        <v>34975</v>
      </c>
      <c r="P325" s="11" t="s">
        <v>20</v>
      </c>
    </row>
    <row r="326" spans="1:16" x14ac:dyDescent="0.25">
      <c r="A326" s="9" t="str">
        <f t="shared" si="26"/>
        <v>2024 ALL D75</v>
      </c>
      <c r="B326" s="10">
        <f>'[1]2019 ALL D95'!B326</f>
        <v>46104</v>
      </c>
      <c r="C326" s="10">
        <f>'[1]2019 ALL D95'!C326</f>
        <v>46113</v>
      </c>
      <c r="D326" s="11">
        <v>3273</v>
      </c>
      <c r="E326" s="11">
        <v>336</v>
      </c>
      <c r="F326" s="11">
        <v>4</v>
      </c>
      <c r="G326" s="13">
        <v>6</v>
      </c>
      <c r="H326" s="13">
        <v>81588</v>
      </c>
      <c r="I326" s="11" t="s">
        <v>17</v>
      </c>
      <c r="J326" s="13">
        <v>15748408</v>
      </c>
      <c r="K326" s="13" t="s">
        <v>383</v>
      </c>
      <c r="L326" s="13" t="s">
        <v>386</v>
      </c>
      <c r="M326" s="17">
        <v>139900</v>
      </c>
      <c r="N326" s="15">
        <v>0.75</v>
      </c>
      <c r="O326" s="16">
        <f t="shared" si="25"/>
        <v>34975</v>
      </c>
      <c r="P326" s="11" t="s">
        <v>20</v>
      </c>
    </row>
    <row r="327" spans="1:16" x14ac:dyDescent="0.25">
      <c r="A327" s="9" t="str">
        <f t="shared" si="26"/>
        <v>2024 ALL D75</v>
      </c>
      <c r="B327" s="10">
        <f>'[1]2019 ALL D95'!B327</f>
        <v>46104</v>
      </c>
      <c r="C327" s="10">
        <f>'[1]2019 ALL D95'!C327</f>
        <v>46113</v>
      </c>
      <c r="D327" s="11">
        <v>3273</v>
      </c>
      <c r="E327" s="11">
        <v>336</v>
      </c>
      <c r="F327" s="11">
        <v>4</v>
      </c>
      <c r="G327" s="13">
        <v>6</v>
      </c>
      <c r="H327" s="13">
        <v>81588</v>
      </c>
      <c r="I327" s="11" t="s">
        <v>17</v>
      </c>
      <c r="J327" s="13">
        <v>15748417</v>
      </c>
      <c r="K327" s="13" t="s">
        <v>383</v>
      </c>
      <c r="L327" s="13" t="s">
        <v>387</v>
      </c>
      <c r="M327" s="17">
        <v>139900</v>
      </c>
      <c r="N327" s="15">
        <v>0.75</v>
      </c>
      <c r="O327" s="16">
        <f t="shared" si="25"/>
        <v>34975</v>
      </c>
      <c r="P327" s="11" t="s">
        <v>20</v>
      </c>
    </row>
    <row r="328" spans="1:16" x14ac:dyDescent="0.25">
      <c r="A328" s="9" t="str">
        <f t="shared" si="26"/>
        <v>2024 ALL D75</v>
      </c>
      <c r="B328" s="10">
        <f>'[1]2019 ALL D95'!B328</f>
        <v>46104</v>
      </c>
      <c r="C328" s="10">
        <f>'[1]2019 ALL D95'!C328</f>
        <v>46113</v>
      </c>
      <c r="D328" s="11">
        <v>3273</v>
      </c>
      <c r="E328" s="11">
        <v>336</v>
      </c>
      <c r="F328" s="11">
        <v>4</v>
      </c>
      <c r="G328" s="13">
        <v>6</v>
      </c>
      <c r="H328" s="13">
        <v>81588</v>
      </c>
      <c r="I328" s="11" t="s">
        <v>17</v>
      </c>
      <c r="J328" s="13">
        <v>15748426</v>
      </c>
      <c r="K328" s="13" t="s">
        <v>383</v>
      </c>
      <c r="L328" s="13" t="s">
        <v>388</v>
      </c>
      <c r="M328" s="17">
        <v>139900</v>
      </c>
      <c r="N328" s="15">
        <v>0.75</v>
      </c>
      <c r="O328" s="16">
        <f t="shared" si="25"/>
        <v>34975</v>
      </c>
      <c r="P328" s="11" t="s">
        <v>20</v>
      </c>
    </row>
    <row r="329" spans="1:16" x14ac:dyDescent="0.25">
      <c r="A329" s="9" t="str">
        <f t="shared" si="26"/>
        <v>2024 ALL D75</v>
      </c>
      <c r="B329" s="10">
        <f>'[1]2019 ALL D95'!B329</f>
        <v>46104</v>
      </c>
      <c r="C329" s="10">
        <f>'[1]2019 ALL D95'!C329</f>
        <v>46113</v>
      </c>
      <c r="D329" s="11">
        <v>3273</v>
      </c>
      <c r="E329" s="11">
        <v>336</v>
      </c>
      <c r="F329" s="11">
        <v>4</v>
      </c>
      <c r="G329" s="13">
        <v>6</v>
      </c>
      <c r="H329" s="13">
        <v>81588</v>
      </c>
      <c r="I329" s="11" t="s">
        <v>17</v>
      </c>
      <c r="J329" s="13">
        <v>15748435</v>
      </c>
      <c r="K329" s="13" t="s">
        <v>383</v>
      </c>
      <c r="L329" s="13" t="s">
        <v>389</v>
      </c>
      <c r="M329" s="17">
        <v>139900</v>
      </c>
      <c r="N329" s="15">
        <v>0.75</v>
      </c>
      <c r="O329" s="16">
        <f t="shared" si="25"/>
        <v>34975</v>
      </c>
      <c r="P329" s="11" t="s">
        <v>20</v>
      </c>
    </row>
    <row r="330" spans="1:16" x14ac:dyDescent="0.25">
      <c r="A330" s="9" t="str">
        <f t="shared" si="26"/>
        <v>2024 ALL D75</v>
      </c>
      <c r="B330" s="10">
        <f>'[1]2019 ALL D95'!B330</f>
        <v>46104</v>
      </c>
      <c r="C330" s="10">
        <f>'[1]2019 ALL D95'!C330</f>
        <v>46113</v>
      </c>
      <c r="D330" s="11">
        <v>3273</v>
      </c>
      <c r="E330" s="11">
        <v>336</v>
      </c>
      <c r="F330" s="11">
        <v>4</v>
      </c>
      <c r="G330" s="13">
        <v>6</v>
      </c>
      <c r="H330" s="13">
        <v>81588</v>
      </c>
      <c r="I330" s="11" t="s">
        <v>17</v>
      </c>
      <c r="J330" s="13">
        <v>15748444</v>
      </c>
      <c r="K330" s="13" t="s">
        <v>383</v>
      </c>
      <c r="L330" s="13" t="s">
        <v>390</v>
      </c>
      <c r="M330" s="17">
        <v>139900</v>
      </c>
      <c r="N330" s="15">
        <v>0.75</v>
      </c>
      <c r="O330" s="16">
        <f t="shared" si="25"/>
        <v>34975</v>
      </c>
      <c r="P330" s="11" t="s">
        <v>20</v>
      </c>
    </row>
    <row r="331" spans="1:16" x14ac:dyDescent="0.25">
      <c r="A331" s="9" t="str">
        <f t="shared" si="26"/>
        <v>2024 ALL D75</v>
      </c>
      <c r="B331" s="10">
        <f>'[1]2019 ALL D95'!B331</f>
        <v>46104</v>
      </c>
      <c r="C331" s="10">
        <f>'[1]2019 ALL D95'!C331</f>
        <v>46113</v>
      </c>
      <c r="D331" s="11">
        <v>3273</v>
      </c>
      <c r="E331" s="11">
        <v>336</v>
      </c>
      <c r="F331" s="11">
        <v>4</v>
      </c>
      <c r="G331" s="13">
        <v>6</v>
      </c>
      <c r="H331" s="13">
        <v>81588</v>
      </c>
      <c r="I331" s="11" t="s">
        <v>17</v>
      </c>
      <c r="J331" s="13">
        <v>15748453</v>
      </c>
      <c r="K331" s="13" t="s">
        <v>383</v>
      </c>
      <c r="L331" s="13" t="s">
        <v>391</v>
      </c>
      <c r="M331" s="17">
        <v>139900</v>
      </c>
      <c r="N331" s="15">
        <v>0.75</v>
      </c>
      <c r="O331" s="16">
        <f t="shared" si="25"/>
        <v>34975</v>
      </c>
      <c r="P331" s="11" t="s">
        <v>20</v>
      </c>
    </row>
    <row r="332" spans="1:16" x14ac:dyDescent="0.25">
      <c r="A332" s="9" t="str">
        <f t="shared" si="26"/>
        <v>2024 ALL D75</v>
      </c>
      <c r="B332" s="10">
        <f>'[1]2019 ALL D95'!B332</f>
        <v>46104</v>
      </c>
      <c r="C332" s="10">
        <f>'[1]2019 ALL D95'!C332</f>
        <v>46113</v>
      </c>
      <c r="D332" s="11">
        <v>3273</v>
      </c>
      <c r="E332" s="11">
        <v>336</v>
      </c>
      <c r="F332" s="11">
        <v>4</v>
      </c>
      <c r="G332" s="13">
        <v>6</v>
      </c>
      <c r="H332" s="13">
        <v>81588</v>
      </c>
      <c r="I332" s="11" t="s">
        <v>17</v>
      </c>
      <c r="J332" s="13">
        <v>15748542</v>
      </c>
      <c r="K332" s="13" t="s">
        <v>392</v>
      </c>
      <c r="L332" s="13" t="s">
        <v>393</v>
      </c>
      <c r="M332" s="17">
        <v>149900</v>
      </c>
      <c r="N332" s="15">
        <v>0.75</v>
      </c>
      <c r="O332" s="16">
        <f t="shared" si="25"/>
        <v>37475</v>
      </c>
      <c r="P332" s="11" t="s">
        <v>20</v>
      </c>
    </row>
    <row r="333" spans="1:16" x14ac:dyDescent="0.25">
      <c r="A333" s="9" t="str">
        <f t="shared" si="26"/>
        <v>2024 ALL D75</v>
      </c>
      <c r="B333" s="10">
        <f>'[1]2019 ALL D95'!B333</f>
        <v>46104</v>
      </c>
      <c r="C333" s="10">
        <f>'[1]2019 ALL D95'!C333</f>
        <v>46113</v>
      </c>
      <c r="D333" s="11">
        <v>3273</v>
      </c>
      <c r="E333" s="11">
        <v>336</v>
      </c>
      <c r="F333" s="11">
        <v>4</v>
      </c>
      <c r="G333" s="13">
        <v>6</v>
      </c>
      <c r="H333" s="13">
        <v>81588</v>
      </c>
      <c r="I333" s="11" t="s">
        <v>17</v>
      </c>
      <c r="J333" s="13">
        <v>15748551</v>
      </c>
      <c r="K333" s="13" t="s">
        <v>392</v>
      </c>
      <c r="L333" s="13" t="s">
        <v>394</v>
      </c>
      <c r="M333" s="17">
        <v>149900</v>
      </c>
      <c r="N333" s="15">
        <v>0.75</v>
      </c>
      <c r="O333" s="16">
        <f t="shared" si="25"/>
        <v>37475</v>
      </c>
      <c r="P333" s="11" t="s">
        <v>20</v>
      </c>
    </row>
    <row r="334" spans="1:16" x14ac:dyDescent="0.25">
      <c r="A334" s="9" t="str">
        <f t="shared" si="26"/>
        <v>2024 ALL D75</v>
      </c>
      <c r="B334" s="10">
        <f>'[1]2019 ALL D95'!B334</f>
        <v>46104</v>
      </c>
      <c r="C334" s="10">
        <f>'[1]2019 ALL D95'!C334</f>
        <v>46113</v>
      </c>
      <c r="D334" s="11">
        <v>3273</v>
      </c>
      <c r="E334" s="11">
        <v>336</v>
      </c>
      <c r="F334" s="11">
        <v>4</v>
      </c>
      <c r="G334" s="13">
        <v>6</v>
      </c>
      <c r="H334" s="13">
        <v>81588</v>
      </c>
      <c r="I334" s="11" t="s">
        <v>17</v>
      </c>
      <c r="J334" s="13">
        <v>15748560</v>
      </c>
      <c r="K334" s="13" t="s">
        <v>392</v>
      </c>
      <c r="L334" s="13" t="s">
        <v>395</v>
      </c>
      <c r="M334" s="17">
        <v>149900</v>
      </c>
      <c r="N334" s="15">
        <v>0.75</v>
      </c>
      <c r="O334" s="16">
        <f t="shared" si="25"/>
        <v>37475</v>
      </c>
      <c r="P334" s="11" t="s">
        <v>20</v>
      </c>
    </row>
    <row r="335" spans="1:16" x14ac:dyDescent="0.25">
      <c r="A335" s="9" t="str">
        <f t="shared" si="26"/>
        <v>2024 ALL D75</v>
      </c>
      <c r="B335" s="10">
        <f>'[1]2019 ALL D95'!B335</f>
        <v>46104</v>
      </c>
      <c r="C335" s="10">
        <f>'[1]2019 ALL D95'!C335</f>
        <v>46113</v>
      </c>
      <c r="D335" s="11">
        <v>3273</v>
      </c>
      <c r="E335" s="11">
        <v>336</v>
      </c>
      <c r="F335" s="11">
        <v>4</v>
      </c>
      <c r="G335" s="13">
        <v>6</v>
      </c>
      <c r="H335" s="13">
        <v>81588</v>
      </c>
      <c r="I335" s="11" t="s">
        <v>17</v>
      </c>
      <c r="J335" s="13">
        <v>15748579</v>
      </c>
      <c r="K335" s="13" t="s">
        <v>392</v>
      </c>
      <c r="L335" s="13" t="s">
        <v>396</v>
      </c>
      <c r="M335" s="17">
        <v>149900</v>
      </c>
      <c r="N335" s="15">
        <v>0.75</v>
      </c>
      <c r="O335" s="16">
        <f t="shared" si="25"/>
        <v>37475</v>
      </c>
      <c r="P335" s="11" t="s">
        <v>20</v>
      </c>
    </row>
    <row r="336" spans="1:16" x14ac:dyDescent="0.25">
      <c r="A336" s="9" t="str">
        <f t="shared" si="26"/>
        <v>2024 ALL D75</v>
      </c>
      <c r="B336" s="10">
        <f>'[1]2019 ALL D95'!B336</f>
        <v>46104</v>
      </c>
      <c r="C336" s="10">
        <f>'[1]2019 ALL D95'!C336</f>
        <v>46113</v>
      </c>
      <c r="D336" s="11">
        <v>3273</v>
      </c>
      <c r="E336" s="11">
        <v>336</v>
      </c>
      <c r="F336" s="11">
        <v>4</v>
      </c>
      <c r="G336" s="13">
        <v>6</v>
      </c>
      <c r="H336" s="13">
        <v>81588</v>
      </c>
      <c r="I336" s="11" t="s">
        <v>17</v>
      </c>
      <c r="J336" s="13">
        <v>15748588</v>
      </c>
      <c r="K336" s="13" t="s">
        <v>392</v>
      </c>
      <c r="L336" s="13" t="s">
        <v>397</v>
      </c>
      <c r="M336" s="17">
        <v>149900</v>
      </c>
      <c r="N336" s="15">
        <v>0.75</v>
      </c>
      <c r="O336" s="16">
        <f t="shared" si="25"/>
        <v>37475</v>
      </c>
      <c r="P336" s="11" t="s">
        <v>20</v>
      </c>
    </row>
    <row r="337" spans="1:16" x14ac:dyDescent="0.25">
      <c r="A337" s="9" t="str">
        <f t="shared" si="26"/>
        <v>2024 ALL D75</v>
      </c>
      <c r="B337" s="10">
        <f>'[1]2019 ALL D95'!B337</f>
        <v>46104</v>
      </c>
      <c r="C337" s="10">
        <f>'[1]2019 ALL D95'!C337</f>
        <v>46113</v>
      </c>
      <c r="D337" s="11">
        <v>3273</v>
      </c>
      <c r="E337" s="11">
        <v>336</v>
      </c>
      <c r="F337" s="11">
        <v>4</v>
      </c>
      <c r="G337" s="13">
        <v>6</v>
      </c>
      <c r="H337" s="13">
        <v>81588</v>
      </c>
      <c r="I337" s="11" t="s">
        <v>17</v>
      </c>
      <c r="J337" s="13">
        <v>15748597</v>
      </c>
      <c r="K337" s="13" t="s">
        <v>392</v>
      </c>
      <c r="L337" s="13" t="s">
        <v>398</v>
      </c>
      <c r="M337" s="17">
        <v>149900</v>
      </c>
      <c r="N337" s="15">
        <v>0.75</v>
      </c>
      <c r="O337" s="16">
        <f t="shared" si="25"/>
        <v>37475</v>
      </c>
      <c r="P337" s="11" t="s">
        <v>20</v>
      </c>
    </row>
    <row r="338" spans="1:16" x14ac:dyDescent="0.25">
      <c r="A338" s="9" t="str">
        <f t="shared" si="26"/>
        <v>2024 ALL D75</v>
      </c>
      <c r="B338" s="10">
        <f>'[1]2019 ALL D95'!B338</f>
        <v>46104</v>
      </c>
      <c r="C338" s="10">
        <f>'[1]2019 ALL D95'!C338</f>
        <v>46113</v>
      </c>
      <c r="D338" s="11">
        <v>3273</v>
      </c>
      <c r="E338" s="11">
        <v>336</v>
      </c>
      <c r="F338" s="11">
        <v>4</v>
      </c>
      <c r="G338" s="13">
        <v>6</v>
      </c>
      <c r="H338" s="13">
        <v>81588</v>
      </c>
      <c r="I338" s="11" t="s">
        <v>17</v>
      </c>
      <c r="J338" s="13">
        <v>15748604</v>
      </c>
      <c r="K338" s="13" t="s">
        <v>392</v>
      </c>
      <c r="L338" s="13" t="s">
        <v>399</v>
      </c>
      <c r="M338" s="17">
        <v>149900</v>
      </c>
      <c r="N338" s="15">
        <v>0.75</v>
      </c>
      <c r="O338" s="16">
        <f t="shared" si="25"/>
        <v>37475</v>
      </c>
      <c r="P338" s="11" t="s">
        <v>20</v>
      </c>
    </row>
    <row r="339" spans="1:16" x14ac:dyDescent="0.25">
      <c r="A339" s="9" t="str">
        <f t="shared" ref="A339:A354" si="27">A338</f>
        <v>2024 ALL D75</v>
      </c>
      <c r="B339" s="10">
        <f>'[1]2019 ALL D95'!B339</f>
        <v>46104</v>
      </c>
      <c r="C339" s="10">
        <f>'[1]2019 ALL D95'!C339</f>
        <v>46113</v>
      </c>
      <c r="D339" s="11">
        <v>3273</v>
      </c>
      <c r="E339" s="11">
        <v>336</v>
      </c>
      <c r="F339" s="11">
        <v>4</v>
      </c>
      <c r="G339" s="13">
        <v>6</v>
      </c>
      <c r="H339" s="13">
        <v>81588</v>
      </c>
      <c r="I339" s="11" t="s">
        <v>17</v>
      </c>
      <c r="J339" s="13">
        <v>15748613</v>
      </c>
      <c r="K339" s="13" t="s">
        <v>392</v>
      </c>
      <c r="L339" s="13" t="s">
        <v>400</v>
      </c>
      <c r="M339" s="17">
        <v>149900</v>
      </c>
      <c r="N339" s="15">
        <v>0.75</v>
      </c>
      <c r="O339" s="16">
        <f t="shared" si="25"/>
        <v>37475</v>
      </c>
      <c r="P339" s="11" t="s">
        <v>20</v>
      </c>
    </row>
    <row r="340" spans="1:16" x14ac:dyDescent="0.25">
      <c r="A340" s="9" t="str">
        <f t="shared" si="27"/>
        <v>2024 ALL D75</v>
      </c>
      <c r="B340" s="10">
        <f>'[1]2019 ALL D95'!B340</f>
        <v>46104</v>
      </c>
      <c r="C340" s="10">
        <f>'[1]2019 ALL D95'!C340</f>
        <v>46113</v>
      </c>
      <c r="D340" s="11">
        <v>3273</v>
      </c>
      <c r="E340" s="11">
        <v>336</v>
      </c>
      <c r="F340" s="11">
        <v>4</v>
      </c>
      <c r="G340" s="13">
        <v>6</v>
      </c>
      <c r="H340" s="13">
        <v>81676</v>
      </c>
      <c r="I340" s="11" t="s">
        <v>17</v>
      </c>
      <c r="J340" s="13">
        <v>15749185</v>
      </c>
      <c r="K340" s="13" t="s">
        <v>401</v>
      </c>
      <c r="L340" s="13" t="s">
        <v>402</v>
      </c>
      <c r="M340" s="17">
        <v>119900</v>
      </c>
      <c r="N340" s="15">
        <v>0.75</v>
      </c>
      <c r="O340" s="16">
        <f t="shared" si="25"/>
        <v>29975</v>
      </c>
      <c r="P340" s="11" t="s">
        <v>20</v>
      </c>
    </row>
    <row r="341" spans="1:16" x14ac:dyDescent="0.25">
      <c r="A341" s="9" t="str">
        <f t="shared" si="27"/>
        <v>2024 ALL D75</v>
      </c>
      <c r="B341" s="10">
        <f>'[1]2019 ALL D95'!B341</f>
        <v>46104</v>
      </c>
      <c r="C341" s="10">
        <f>'[1]2019 ALL D95'!C341</f>
        <v>46113</v>
      </c>
      <c r="D341" s="11">
        <v>3273</v>
      </c>
      <c r="E341" s="11">
        <v>336</v>
      </c>
      <c r="F341" s="11">
        <v>4</v>
      </c>
      <c r="G341" s="13">
        <v>6</v>
      </c>
      <c r="H341" s="13">
        <v>81676</v>
      </c>
      <c r="I341" s="11" t="s">
        <v>17</v>
      </c>
      <c r="J341" s="13">
        <v>15749194</v>
      </c>
      <c r="K341" s="13" t="s">
        <v>401</v>
      </c>
      <c r="L341" s="13" t="s">
        <v>403</v>
      </c>
      <c r="M341" s="17">
        <v>119900</v>
      </c>
      <c r="N341" s="15">
        <v>0.75</v>
      </c>
      <c r="O341" s="16">
        <f t="shared" si="25"/>
        <v>29975</v>
      </c>
      <c r="P341" s="11" t="s">
        <v>20</v>
      </c>
    </row>
    <row r="342" spans="1:16" x14ac:dyDescent="0.25">
      <c r="A342" s="9" t="str">
        <f t="shared" si="27"/>
        <v>2024 ALL D75</v>
      </c>
      <c r="B342" s="10">
        <f>'[1]2019 ALL D95'!B342</f>
        <v>46104</v>
      </c>
      <c r="C342" s="10">
        <f>'[1]2019 ALL D95'!C342</f>
        <v>46113</v>
      </c>
      <c r="D342" s="11">
        <v>3273</v>
      </c>
      <c r="E342" s="11">
        <v>336</v>
      </c>
      <c r="F342" s="11">
        <v>4</v>
      </c>
      <c r="G342" s="13">
        <v>6</v>
      </c>
      <c r="H342" s="13">
        <v>81676</v>
      </c>
      <c r="I342" s="11" t="s">
        <v>17</v>
      </c>
      <c r="J342" s="13">
        <v>15749201</v>
      </c>
      <c r="K342" s="13" t="s">
        <v>401</v>
      </c>
      <c r="L342" s="13" t="s">
        <v>404</v>
      </c>
      <c r="M342" s="17">
        <v>119900</v>
      </c>
      <c r="N342" s="15">
        <v>0.75</v>
      </c>
      <c r="O342" s="16">
        <f t="shared" si="25"/>
        <v>29975</v>
      </c>
      <c r="P342" s="11" t="s">
        <v>20</v>
      </c>
    </row>
    <row r="343" spans="1:16" x14ac:dyDescent="0.25">
      <c r="A343" s="9" t="str">
        <f t="shared" si="27"/>
        <v>2024 ALL D75</v>
      </c>
      <c r="B343" s="10">
        <f>'[1]2019 ALL D95'!B343</f>
        <v>46104</v>
      </c>
      <c r="C343" s="10">
        <f>'[1]2019 ALL D95'!C343</f>
        <v>46113</v>
      </c>
      <c r="D343" s="11">
        <v>3273</v>
      </c>
      <c r="E343" s="11">
        <v>336</v>
      </c>
      <c r="F343" s="11">
        <v>4</v>
      </c>
      <c r="G343" s="13">
        <v>6</v>
      </c>
      <c r="H343" s="13">
        <v>81676</v>
      </c>
      <c r="I343" s="11" t="s">
        <v>17</v>
      </c>
      <c r="J343" s="13">
        <v>15749210</v>
      </c>
      <c r="K343" s="13" t="s">
        <v>401</v>
      </c>
      <c r="L343" s="13" t="s">
        <v>405</v>
      </c>
      <c r="M343" s="17">
        <v>119900</v>
      </c>
      <c r="N343" s="15">
        <v>0.75</v>
      </c>
      <c r="O343" s="16">
        <f t="shared" si="25"/>
        <v>29975</v>
      </c>
      <c r="P343" s="11" t="s">
        <v>20</v>
      </c>
    </row>
    <row r="344" spans="1:16" x14ac:dyDescent="0.25">
      <c r="A344" s="9" t="str">
        <f t="shared" si="27"/>
        <v>2024 ALL D75</v>
      </c>
      <c r="B344" s="10">
        <f>'[1]2019 ALL D95'!B344</f>
        <v>46104</v>
      </c>
      <c r="C344" s="10">
        <f>'[1]2019 ALL D95'!C344</f>
        <v>46113</v>
      </c>
      <c r="D344" s="11">
        <v>3273</v>
      </c>
      <c r="E344" s="11">
        <v>336</v>
      </c>
      <c r="F344" s="11">
        <v>4</v>
      </c>
      <c r="G344" s="13">
        <v>6</v>
      </c>
      <c r="H344" s="13">
        <v>81676</v>
      </c>
      <c r="I344" s="11" t="s">
        <v>17</v>
      </c>
      <c r="J344" s="13">
        <v>15749229</v>
      </c>
      <c r="K344" s="13" t="s">
        <v>401</v>
      </c>
      <c r="L344" s="13" t="s">
        <v>406</v>
      </c>
      <c r="M344" s="17">
        <v>119900</v>
      </c>
      <c r="N344" s="15">
        <v>0.75</v>
      </c>
      <c r="O344" s="16">
        <f t="shared" si="25"/>
        <v>29975</v>
      </c>
      <c r="P344" s="11" t="s">
        <v>20</v>
      </c>
    </row>
    <row r="345" spans="1:16" x14ac:dyDescent="0.25">
      <c r="A345" s="9" t="str">
        <f t="shared" si="27"/>
        <v>2024 ALL D75</v>
      </c>
      <c r="B345" s="10">
        <f>'[1]2019 ALL D95'!B345</f>
        <v>46104</v>
      </c>
      <c r="C345" s="10">
        <f>'[1]2019 ALL D95'!C345</f>
        <v>46113</v>
      </c>
      <c r="D345" s="11">
        <v>3273</v>
      </c>
      <c r="E345" s="11">
        <v>336</v>
      </c>
      <c r="F345" s="11">
        <v>4</v>
      </c>
      <c r="G345" s="13">
        <v>6</v>
      </c>
      <c r="H345" s="13">
        <v>81676</v>
      </c>
      <c r="I345" s="11" t="s">
        <v>17</v>
      </c>
      <c r="J345" s="13">
        <v>15749238</v>
      </c>
      <c r="K345" s="13" t="s">
        <v>401</v>
      </c>
      <c r="L345" s="13" t="s">
        <v>407</v>
      </c>
      <c r="M345" s="17">
        <v>119900</v>
      </c>
      <c r="N345" s="15">
        <v>0.75</v>
      </c>
      <c r="O345" s="16">
        <f t="shared" si="25"/>
        <v>29975</v>
      </c>
      <c r="P345" s="11" t="s">
        <v>20</v>
      </c>
    </row>
    <row r="346" spans="1:16" x14ac:dyDescent="0.25">
      <c r="A346" s="9" t="str">
        <f t="shared" si="27"/>
        <v>2024 ALL D75</v>
      </c>
      <c r="B346" s="10">
        <f>'[1]2019 ALL D95'!B346</f>
        <v>46104</v>
      </c>
      <c r="C346" s="10">
        <f>'[1]2019 ALL D95'!C346</f>
        <v>46113</v>
      </c>
      <c r="D346" s="11">
        <v>3273</v>
      </c>
      <c r="E346" s="11">
        <v>336</v>
      </c>
      <c r="F346" s="11">
        <v>4</v>
      </c>
      <c r="G346" s="13">
        <v>6</v>
      </c>
      <c r="H346" s="13">
        <v>81676</v>
      </c>
      <c r="I346" s="11" t="s">
        <v>17</v>
      </c>
      <c r="J346" s="13">
        <v>15749247</v>
      </c>
      <c r="K346" s="13" t="s">
        <v>401</v>
      </c>
      <c r="L346" s="13" t="s">
        <v>408</v>
      </c>
      <c r="M346" s="17">
        <v>119900</v>
      </c>
      <c r="N346" s="15">
        <v>0.75</v>
      </c>
      <c r="O346" s="16">
        <f t="shared" si="25"/>
        <v>29975</v>
      </c>
      <c r="P346" s="11" t="s">
        <v>20</v>
      </c>
    </row>
    <row r="347" spans="1:16" x14ac:dyDescent="0.25">
      <c r="A347" s="9" t="str">
        <f t="shared" si="27"/>
        <v>2024 ALL D75</v>
      </c>
      <c r="B347" s="10">
        <f>'[1]2019 ALL D95'!B347</f>
        <v>46104</v>
      </c>
      <c r="C347" s="10">
        <f>'[1]2019 ALL D95'!C347</f>
        <v>46113</v>
      </c>
      <c r="D347" s="11">
        <v>3273</v>
      </c>
      <c r="E347" s="11">
        <v>336</v>
      </c>
      <c r="F347" s="11">
        <v>4</v>
      </c>
      <c r="G347" s="13">
        <v>6</v>
      </c>
      <c r="H347" s="13">
        <v>81676</v>
      </c>
      <c r="I347" s="11" t="s">
        <v>17</v>
      </c>
      <c r="J347" s="13">
        <v>15749256</v>
      </c>
      <c r="K347" s="13" t="s">
        <v>401</v>
      </c>
      <c r="L347" s="13" t="s">
        <v>409</v>
      </c>
      <c r="M347" s="17">
        <v>119900</v>
      </c>
      <c r="N347" s="15">
        <v>0.75</v>
      </c>
      <c r="O347" s="16">
        <f t="shared" si="25"/>
        <v>29975</v>
      </c>
      <c r="P347" s="11" t="s">
        <v>20</v>
      </c>
    </row>
    <row r="348" spans="1:16" x14ac:dyDescent="0.25">
      <c r="A348" s="9" t="str">
        <f t="shared" si="27"/>
        <v>2024 ALL D75</v>
      </c>
      <c r="B348" s="10">
        <f>'[1]2019 ALL D95'!B348</f>
        <v>46104</v>
      </c>
      <c r="C348" s="10">
        <f>'[1]2019 ALL D95'!C348</f>
        <v>46113</v>
      </c>
      <c r="D348" s="11">
        <v>3273</v>
      </c>
      <c r="E348" s="11">
        <v>336</v>
      </c>
      <c r="F348" s="11">
        <v>4</v>
      </c>
      <c r="G348" s="13">
        <v>6</v>
      </c>
      <c r="H348" s="13">
        <v>81588</v>
      </c>
      <c r="I348" s="11" t="s">
        <v>17</v>
      </c>
      <c r="J348" s="13">
        <v>15750119</v>
      </c>
      <c r="K348" s="13" t="s">
        <v>410</v>
      </c>
      <c r="L348" s="13" t="s">
        <v>411</v>
      </c>
      <c r="M348" s="17">
        <v>179900</v>
      </c>
      <c r="N348" s="15">
        <v>0.75</v>
      </c>
      <c r="O348" s="16">
        <f t="shared" si="25"/>
        <v>44975</v>
      </c>
      <c r="P348" s="11" t="s">
        <v>20</v>
      </c>
    </row>
    <row r="349" spans="1:16" x14ac:dyDescent="0.25">
      <c r="A349" s="9" t="str">
        <f t="shared" si="27"/>
        <v>2024 ALL D75</v>
      </c>
      <c r="B349" s="10">
        <f>'[1]2019 ALL D95'!B349</f>
        <v>46104</v>
      </c>
      <c r="C349" s="10">
        <f>'[1]2019 ALL D95'!C349</f>
        <v>46113</v>
      </c>
      <c r="D349" s="11">
        <v>3273</v>
      </c>
      <c r="E349" s="11">
        <v>336</v>
      </c>
      <c r="F349" s="11">
        <v>4</v>
      </c>
      <c r="G349" s="13">
        <v>6</v>
      </c>
      <c r="H349" s="13">
        <v>81588</v>
      </c>
      <c r="I349" s="11" t="s">
        <v>17</v>
      </c>
      <c r="J349" s="13">
        <v>15750128</v>
      </c>
      <c r="K349" s="13" t="s">
        <v>410</v>
      </c>
      <c r="L349" s="13" t="s">
        <v>412</v>
      </c>
      <c r="M349" s="17">
        <v>179900</v>
      </c>
      <c r="N349" s="15">
        <v>0.75</v>
      </c>
      <c r="O349" s="16">
        <f t="shared" si="25"/>
        <v>44975</v>
      </c>
      <c r="P349" s="11" t="s">
        <v>20</v>
      </c>
    </row>
    <row r="350" spans="1:16" x14ac:dyDescent="0.25">
      <c r="A350" s="9" t="str">
        <f t="shared" si="27"/>
        <v>2024 ALL D75</v>
      </c>
      <c r="B350" s="10">
        <f>'[1]2019 ALL D95'!B350</f>
        <v>46104</v>
      </c>
      <c r="C350" s="10">
        <f>'[1]2019 ALL D95'!C350</f>
        <v>46113</v>
      </c>
      <c r="D350" s="11">
        <v>3273</v>
      </c>
      <c r="E350" s="11">
        <v>336</v>
      </c>
      <c r="F350" s="11">
        <v>4</v>
      </c>
      <c r="G350" s="13">
        <v>6</v>
      </c>
      <c r="H350" s="13">
        <v>81588</v>
      </c>
      <c r="I350" s="11" t="s">
        <v>17</v>
      </c>
      <c r="J350" s="13">
        <v>15750137</v>
      </c>
      <c r="K350" s="13" t="s">
        <v>410</v>
      </c>
      <c r="L350" s="13" t="s">
        <v>413</v>
      </c>
      <c r="M350" s="17">
        <v>179900</v>
      </c>
      <c r="N350" s="15">
        <v>0.75</v>
      </c>
      <c r="O350" s="16">
        <f t="shared" si="25"/>
        <v>44975</v>
      </c>
      <c r="P350" s="11" t="s">
        <v>20</v>
      </c>
    </row>
    <row r="351" spans="1:16" x14ac:dyDescent="0.25">
      <c r="A351" s="9" t="str">
        <f t="shared" si="27"/>
        <v>2024 ALL D75</v>
      </c>
      <c r="B351" s="10">
        <f>'[1]2019 ALL D95'!B351</f>
        <v>46104</v>
      </c>
      <c r="C351" s="10">
        <f>'[1]2019 ALL D95'!C351</f>
        <v>46113</v>
      </c>
      <c r="D351" s="11">
        <v>3273</v>
      </c>
      <c r="E351" s="11">
        <v>336</v>
      </c>
      <c r="F351" s="11">
        <v>4</v>
      </c>
      <c r="G351" s="13">
        <v>6</v>
      </c>
      <c r="H351" s="13">
        <v>81588</v>
      </c>
      <c r="I351" s="11" t="s">
        <v>17</v>
      </c>
      <c r="J351" s="13">
        <v>15750146</v>
      </c>
      <c r="K351" s="13" t="s">
        <v>410</v>
      </c>
      <c r="L351" s="13" t="s">
        <v>414</v>
      </c>
      <c r="M351" s="17">
        <v>179900</v>
      </c>
      <c r="N351" s="15">
        <v>0.75</v>
      </c>
      <c r="O351" s="16">
        <f t="shared" si="25"/>
        <v>44975</v>
      </c>
      <c r="P351" s="11" t="s">
        <v>20</v>
      </c>
    </row>
    <row r="352" spans="1:16" x14ac:dyDescent="0.25">
      <c r="A352" s="9" t="str">
        <f t="shared" si="27"/>
        <v>2024 ALL D75</v>
      </c>
      <c r="B352" s="10">
        <f>'[1]2019 ALL D95'!B352</f>
        <v>46104</v>
      </c>
      <c r="C352" s="10">
        <f>'[1]2019 ALL D95'!C352</f>
        <v>46113</v>
      </c>
      <c r="D352" s="11">
        <v>3273</v>
      </c>
      <c r="E352" s="11">
        <v>336</v>
      </c>
      <c r="F352" s="11">
        <v>4</v>
      </c>
      <c r="G352" s="13">
        <v>6</v>
      </c>
      <c r="H352" s="13">
        <v>81588</v>
      </c>
      <c r="I352" s="11" t="s">
        <v>17</v>
      </c>
      <c r="J352" s="13">
        <v>15750155</v>
      </c>
      <c r="K352" s="13" t="s">
        <v>410</v>
      </c>
      <c r="L352" s="13" t="s">
        <v>415</v>
      </c>
      <c r="M352" s="17">
        <v>179900</v>
      </c>
      <c r="N352" s="15">
        <v>0.75</v>
      </c>
      <c r="O352" s="16">
        <f t="shared" si="25"/>
        <v>44975</v>
      </c>
      <c r="P352" s="11" t="s">
        <v>20</v>
      </c>
    </row>
    <row r="353" spans="1:16" x14ac:dyDescent="0.25">
      <c r="A353" s="9" t="str">
        <f t="shared" si="27"/>
        <v>2024 ALL D75</v>
      </c>
      <c r="B353" s="10">
        <f>'[1]2019 ALL D95'!B353</f>
        <v>46104</v>
      </c>
      <c r="C353" s="10">
        <f>'[1]2019 ALL D95'!C353</f>
        <v>46113</v>
      </c>
      <c r="D353" s="11">
        <v>3273</v>
      </c>
      <c r="E353" s="11">
        <v>336</v>
      </c>
      <c r="F353" s="11">
        <v>4</v>
      </c>
      <c r="G353" s="13">
        <v>6</v>
      </c>
      <c r="H353" s="13">
        <v>81588</v>
      </c>
      <c r="I353" s="11" t="s">
        <v>17</v>
      </c>
      <c r="J353" s="13">
        <v>15750164</v>
      </c>
      <c r="K353" s="13" t="s">
        <v>410</v>
      </c>
      <c r="L353" s="13" t="s">
        <v>416</v>
      </c>
      <c r="M353" s="17">
        <v>179900</v>
      </c>
      <c r="N353" s="15">
        <v>0.75</v>
      </c>
      <c r="O353" s="16">
        <f t="shared" si="25"/>
        <v>44975</v>
      </c>
      <c r="P353" s="11" t="s">
        <v>20</v>
      </c>
    </row>
    <row r="354" spans="1:16" x14ac:dyDescent="0.25">
      <c r="A354" s="9" t="str">
        <f t="shared" si="27"/>
        <v>2024 ALL D75</v>
      </c>
      <c r="B354" s="10">
        <f>'[1]2019 ALL D95'!B354</f>
        <v>46104</v>
      </c>
      <c r="C354" s="10">
        <f>'[1]2019 ALL D95'!C354</f>
        <v>46113</v>
      </c>
      <c r="D354" s="11">
        <v>3273</v>
      </c>
      <c r="E354" s="11">
        <v>336</v>
      </c>
      <c r="F354" s="11">
        <v>4</v>
      </c>
      <c r="G354" s="13">
        <v>6</v>
      </c>
      <c r="H354" s="13">
        <v>81588</v>
      </c>
      <c r="I354" s="11" t="s">
        <v>17</v>
      </c>
      <c r="J354" s="13">
        <v>15750173</v>
      </c>
      <c r="K354" s="13" t="s">
        <v>410</v>
      </c>
      <c r="L354" s="13" t="s">
        <v>417</v>
      </c>
      <c r="M354" s="17">
        <v>179900</v>
      </c>
      <c r="N354" s="15">
        <v>0.75</v>
      </c>
      <c r="O354" s="16">
        <f t="shared" si="25"/>
        <v>44975</v>
      </c>
      <c r="P354" s="11" t="s">
        <v>20</v>
      </c>
    </row>
    <row r="355" spans="1:16" x14ac:dyDescent="0.25">
      <c r="A355" s="9" t="str">
        <f t="shared" ref="A355:A370" si="28">A354</f>
        <v>2024 ALL D75</v>
      </c>
      <c r="B355" s="10">
        <f>'[1]2019 ALL D95'!B355</f>
        <v>46104</v>
      </c>
      <c r="C355" s="10">
        <f>'[1]2019 ALL D95'!C355</f>
        <v>46113</v>
      </c>
      <c r="D355" s="11">
        <v>3273</v>
      </c>
      <c r="E355" s="11">
        <v>336</v>
      </c>
      <c r="F355" s="11">
        <v>4</v>
      </c>
      <c r="G355" s="13">
        <v>6</v>
      </c>
      <c r="H355" s="13">
        <v>81588</v>
      </c>
      <c r="I355" s="11" t="s">
        <v>17</v>
      </c>
      <c r="J355" s="13">
        <v>15750182</v>
      </c>
      <c r="K355" s="13" t="s">
        <v>410</v>
      </c>
      <c r="L355" s="13" t="s">
        <v>418</v>
      </c>
      <c r="M355" s="17">
        <v>179900</v>
      </c>
      <c r="N355" s="15">
        <v>0.75</v>
      </c>
      <c r="O355" s="16">
        <f t="shared" si="25"/>
        <v>44975</v>
      </c>
      <c r="P355" s="11" t="s">
        <v>20</v>
      </c>
    </row>
    <row r="356" spans="1:16" x14ac:dyDescent="0.25">
      <c r="A356" s="9" t="str">
        <f t="shared" si="28"/>
        <v>2024 ALL D75</v>
      </c>
      <c r="B356" s="10">
        <f>'[1]2019 ALL D95'!B356</f>
        <v>46104</v>
      </c>
      <c r="C356" s="10">
        <f>'[1]2019 ALL D95'!C356</f>
        <v>46113</v>
      </c>
      <c r="D356" s="11">
        <v>3273</v>
      </c>
      <c r="E356" s="11">
        <v>336</v>
      </c>
      <c r="F356" s="11">
        <v>4</v>
      </c>
      <c r="G356" s="13">
        <v>7</v>
      </c>
      <c r="H356" s="13">
        <v>81574</v>
      </c>
      <c r="I356" s="11" t="s">
        <v>17</v>
      </c>
      <c r="J356" s="13">
        <v>15638483</v>
      </c>
      <c r="K356" s="13" t="s">
        <v>419</v>
      </c>
      <c r="L356" s="13" t="s">
        <v>420</v>
      </c>
      <c r="M356" s="17">
        <v>249900</v>
      </c>
      <c r="N356" s="15">
        <v>0.75</v>
      </c>
      <c r="O356" s="16">
        <f t="shared" si="25"/>
        <v>62475</v>
      </c>
      <c r="P356" s="11" t="s">
        <v>20</v>
      </c>
    </row>
    <row r="357" spans="1:16" x14ac:dyDescent="0.25">
      <c r="A357" s="9" t="str">
        <f t="shared" si="28"/>
        <v>2024 ALL D75</v>
      </c>
      <c r="B357" s="10">
        <f>'[1]2019 ALL D95'!B357</f>
        <v>46104</v>
      </c>
      <c r="C357" s="10">
        <f>'[1]2019 ALL D95'!C357</f>
        <v>46113</v>
      </c>
      <c r="D357" s="11">
        <v>3273</v>
      </c>
      <c r="E357" s="11">
        <v>336</v>
      </c>
      <c r="F357" s="11">
        <v>4</v>
      </c>
      <c r="G357" s="13">
        <v>7</v>
      </c>
      <c r="H357" s="13">
        <v>81574</v>
      </c>
      <c r="I357" s="11" t="s">
        <v>17</v>
      </c>
      <c r="J357" s="13">
        <v>15638492</v>
      </c>
      <c r="K357" s="13" t="s">
        <v>419</v>
      </c>
      <c r="L357" s="13" t="s">
        <v>421</v>
      </c>
      <c r="M357" s="17">
        <v>249900</v>
      </c>
      <c r="N357" s="15">
        <v>0.75</v>
      </c>
      <c r="O357" s="16">
        <f t="shared" si="25"/>
        <v>62475</v>
      </c>
      <c r="P357" s="11" t="s">
        <v>20</v>
      </c>
    </row>
    <row r="358" spans="1:16" x14ac:dyDescent="0.25">
      <c r="A358" s="9" t="str">
        <f t="shared" si="28"/>
        <v>2024 ALL D75</v>
      </c>
      <c r="B358" s="10">
        <f>'[1]2019 ALL D95'!B358</f>
        <v>46104</v>
      </c>
      <c r="C358" s="10">
        <f>'[1]2019 ALL D95'!C358</f>
        <v>46113</v>
      </c>
      <c r="D358" s="11">
        <v>3273</v>
      </c>
      <c r="E358" s="11">
        <v>336</v>
      </c>
      <c r="F358" s="11">
        <v>4</v>
      </c>
      <c r="G358" s="13">
        <v>7</v>
      </c>
      <c r="H358" s="13">
        <v>81574</v>
      </c>
      <c r="I358" s="11" t="s">
        <v>17</v>
      </c>
      <c r="J358" s="13">
        <v>15638509</v>
      </c>
      <c r="K358" s="13" t="s">
        <v>419</v>
      </c>
      <c r="L358" s="13" t="s">
        <v>422</v>
      </c>
      <c r="M358" s="17">
        <v>249900</v>
      </c>
      <c r="N358" s="15">
        <v>0.75</v>
      </c>
      <c r="O358" s="16">
        <f t="shared" si="25"/>
        <v>62475</v>
      </c>
      <c r="P358" s="11" t="s">
        <v>20</v>
      </c>
    </row>
    <row r="359" spans="1:16" x14ac:dyDescent="0.25">
      <c r="A359" s="9" t="str">
        <f t="shared" si="28"/>
        <v>2024 ALL D75</v>
      </c>
      <c r="B359" s="10">
        <f>'[1]2019 ALL D95'!B359</f>
        <v>46104</v>
      </c>
      <c r="C359" s="10">
        <f>'[1]2019 ALL D95'!C359</f>
        <v>46113</v>
      </c>
      <c r="D359" s="11">
        <v>3273</v>
      </c>
      <c r="E359" s="11">
        <v>336</v>
      </c>
      <c r="F359" s="11">
        <v>4</v>
      </c>
      <c r="G359" s="13">
        <v>7</v>
      </c>
      <c r="H359" s="13">
        <v>81574</v>
      </c>
      <c r="I359" s="11" t="s">
        <v>17</v>
      </c>
      <c r="J359" s="13">
        <v>15638518</v>
      </c>
      <c r="K359" s="13" t="s">
        <v>419</v>
      </c>
      <c r="L359" s="13" t="s">
        <v>423</v>
      </c>
      <c r="M359" s="17">
        <v>249900</v>
      </c>
      <c r="N359" s="15">
        <v>0.75</v>
      </c>
      <c r="O359" s="16">
        <f t="shared" si="25"/>
        <v>62475</v>
      </c>
      <c r="P359" s="11" t="s">
        <v>20</v>
      </c>
    </row>
    <row r="360" spans="1:16" x14ac:dyDescent="0.25">
      <c r="A360" s="9" t="str">
        <f t="shared" si="28"/>
        <v>2024 ALL D75</v>
      </c>
      <c r="B360" s="10">
        <f>'[1]2019 ALL D95'!B360</f>
        <v>46104</v>
      </c>
      <c r="C360" s="10">
        <f>'[1]2019 ALL D95'!C360</f>
        <v>46113</v>
      </c>
      <c r="D360" s="11">
        <v>3273</v>
      </c>
      <c r="E360" s="11">
        <v>336</v>
      </c>
      <c r="F360" s="11">
        <v>4</v>
      </c>
      <c r="G360" s="13">
        <v>7</v>
      </c>
      <c r="H360" s="13">
        <v>81574</v>
      </c>
      <c r="I360" s="11" t="s">
        <v>17</v>
      </c>
      <c r="J360" s="13">
        <v>15638527</v>
      </c>
      <c r="K360" s="13" t="s">
        <v>419</v>
      </c>
      <c r="L360" s="13" t="s">
        <v>424</v>
      </c>
      <c r="M360" s="17">
        <v>249900</v>
      </c>
      <c r="N360" s="15">
        <v>0.75</v>
      </c>
      <c r="O360" s="16">
        <f t="shared" si="25"/>
        <v>62475</v>
      </c>
      <c r="P360" s="11" t="s">
        <v>20</v>
      </c>
    </row>
    <row r="361" spans="1:16" x14ac:dyDescent="0.25">
      <c r="A361" s="9" t="str">
        <f t="shared" si="28"/>
        <v>2024 ALL D75</v>
      </c>
      <c r="B361" s="10">
        <f>'[1]2019 ALL D95'!B361</f>
        <v>46104</v>
      </c>
      <c r="C361" s="10">
        <f>'[1]2019 ALL D95'!C361</f>
        <v>46113</v>
      </c>
      <c r="D361" s="11">
        <v>3273</v>
      </c>
      <c r="E361" s="11">
        <v>336</v>
      </c>
      <c r="F361" s="11">
        <v>4</v>
      </c>
      <c r="G361" s="13">
        <v>7</v>
      </c>
      <c r="H361" s="13">
        <v>81574</v>
      </c>
      <c r="I361" s="11" t="s">
        <v>17</v>
      </c>
      <c r="J361" s="13">
        <v>15638536</v>
      </c>
      <c r="K361" s="13" t="s">
        <v>419</v>
      </c>
      <c r="L361" s="13" t="s">
        <v>425</v>
      </c>
      <c r="M361" s="17">
        <v>249900</v>
      </c>
      <c r="N361" s="15">
        <v>0.75</v>
      </c>
      <c r="O361" s="16">
        <f t="shared" si="25"/>
        <v>62475</v>
      </c>
      <c r="P361" s="11" t="s">
        <v>20</v>
      </c>
    </row>
    <row r="362" spans="1:16" x14ac:dyDescent="0.25">
      <c r="A362" s="9" t="str">
        <f t="shared" si="28"/>
        <v>2024 ALL D75</v>
      </c>
      <c r="B362" s="10">
        <f>'[1]2019 ALL D95'!B362</f>
        <v>46104</v>
      </c>
      <c r="C362" s="10">
        <f>'[1]2019 ALL D95'!C362</f>
        <v>46113</v>
      </c>
      <c r="D362" s="11">
        <v>3273</v>
      </c>
      <c r="E362" s="11">
        <v>336</v>
      </c>
      <c r="F362" s="11">
        <v>4</v>
      </c>
      <c r="G362" s="13">
        <v>7</v>
      </c>
      <c r="H362" s="13">
        <v>81574</v>
      </c>
      <c r="I362" s="11" t="s">
        <v>17</v>
      </c>
      <c r="J362" s="13">
        <v>15638545</v>
      </c>
      <c r="K362" s="13" t="s">
        <v>419</v>
      </c>
      <c r="L362" s="13" t="s">
        <v>426</v>
      </c>
      <c r="M362" s="17">
        <v>249900</v>
      </c>
      <c r="N362" s="15">
        <v>0.75</v>
      </c>
      <c r="O362" s="16">
        <f t="shared" si="25"/>
        <v>62475</v>
      </c>
      <c r="P362" s="11" t="s">
        <v>20</v>
      </c>
    </row>
    <row r="363" spans="1:16" x14ac:dyDescent="0.25">
      <c r="A363" s="9" t="str">
        <f t="shared" si="28"/>
        <v>2024 ALL D75</v>
      </c>
      <c r="B363" s="10">
        <f>'[1]2019 ALL D95'!B363</f>
        <v>46104</v>
      </c>
      <c r="C363" s="10">
        <f>'[1]2019 ALL D95'!C363</f>
        <v>46113</v>
      </c>
      <c r="D363" s="11">
        <v>3273</v>
      </c>
      <c r="E363" s="11">
        <v>336</v>
      </c>
      <c r="F363" s="11">
        <v>4</v>
      </c>
      <c r="G363" s="13">
        <v>7</v>
      </c>
      <c r="H363" s="13">
        <v>81574</v>
      </c>
      <c r="I363" s="11" t="s">
        <v>17</v>
      </c>
      <c r="J363" s="13">
        <v>15638554</v>
      </c>
      <c r="K363" s="13" t="s">
        <v>419</v>
      </c>
      <c r="L363" s="13" t="s">
        <v>427</v>
      </c>
      <c r="M363" s="17">
        <v>249900</v>
      </c>
      <c r="N363" s="15">
        <v>0.75</v>
      </c>
      <c r="O363" s="16">
        <f t="shared" si="25"/>
        <v>62475</v>
      </c>
      <c r="P363" s="11" t="s">
        <v>20</v>
      </c>
    </row>
    <row r="364" spans="1:16" x14ac:dyDescent="0.25">
      <c r="A364" s="9" t="str">
        <f t="shared" si="28"/>
        <v>2024 ALL D75</v>
      </c>
      <c r="B364" s="10">
        <f>'[1]2019 ALL D95'!B364</f>
        <v>46104</v>
      </c>
      <c r="C364" s="10">
        <f>'[1]2019 ALL D95'!C364</f>
        <v>46113</v>
      </c>
      <c r="D364" s="11">
        <v>3273</v>
      </c>
      <c r="E364" s="11">
        <v>336</v>
      </c>
      <c r="F364" s="11">
        <v>4</v>
      </c>
      <c r="G364" s="13">
        <v>7</v>
      </c>
      <c r="H364" s="13">
        <v>81574</v>
      </c>
      <c r="I364" s="11" t="s">
        <v>17</v>
      </c>
      <c r="J364" s="13">
        <v>15639811</v>
      </c>
      <c r="K364" s="13" t="s">
        <v>428</v>
      </c>
      <c r="L364" s="13" t="s">
        <v>429</v>
      </c>
      <c r="M364" s="17">
        <v>249900</v>
      </c>
      <c r="N364" s="15">
        <v>0.75</v>
      </c>
      <c r="O364" s="16">
        <f t="shared" si="25"/>
        <v>62475</v>
      </c>
      <c r="P364" s="11" t="s">
        <v>20</v>
      </c>
    </row>
    <row r="365" spans="1:16" x14ac:dyDescent="0.25">
      <c r="A365" s="9" t="str">
        <f t="shared" si="28"/>
        <v>2024 ALL D75</v>
      </c>
      <c r="B365" s="10">
        <f>'[1]2019 ALL D95'!B365</f>
        <v>46104</v>
      </c>
      <c r="C365" s="10">
        <f>'[1]2019 ALL D95'!C365</f>
        <v>46113</v>
      </c>
      <c r="D365" s="11">
        <v>3273</v>
      </c>
      <c r="E365" s="11">
        <v>336</v>
      </c>
      <c r="F365" s="11">
        <v>4</v>
      </c>
      <c r="G365" s="13">
        <v>7</v>
      </c>
      <c r="H365" s="13">
        <v>81574</v>
      </c>
      <c r="I365" s="11" t="s">
        <v>17</v>
      </c>
      <c r="J365" s="13">
        <v>15639820</v>
      </c>
      <c r="K365" s="13" t="s">
        <v>428</v>
      </c>
      <c r="L365" s="13" t="s">
        <v>430</v>
      </c>
      <c r="M365" s="17">
        <v>249900</v>
      </c>
      <c r="N365" s="15">
        <v>0.75</v>
      </c>
      <c r="O365" s="16">
        <f t="shared" si="25"/>
        <v>62475</v>
      </c>
      <c r="P365" s="11" t="s">
        <v>20</v>
      </c>
    </row>
    <row r="366" spans="1:16" x14ac:dyDescent="0.25">
      <c r="A366" s="9" t="str">
        <f t="shared" si="28"/>
        <v>2024 ALL D75</v>
      </c>
      <c r="B366" s="10">
        <f>'[1]2019 ALL D95'!B366</f>
        <v>46104</v>
      </c>
      <c r="C366" s="10">
        <f>'[1]2019 ALL D95'!C366</f>
        <v>46113</v>
      </c>
      <c r="D366" s="11">
        <v>3273</v>
      </c>
      <c r="E366" s="11">
        <v>336</v>
      </c>
      <c r="F366" s="11">
        <v>4</v>
      </c>
      <c r="G366" s="13">
        <v>7</v>
      </c>
      <c r="H366" s="13">
        <v>81574</v>
      </c>
      <c r="I366" s="11" t="s">
        <v>17</v>
      </c>
      <c r="J366" s="13">
        <v>15639839</v>
      </c>
      <c r="K366" s="13" t="s">
        <v>428</v>
      </c>
      <c r="L366" s="13" t="s">
        <v>431</v>
      </c>
      <c r="M366" s="17">
        <v>249900</v>
      </c>
      <c r="N366" s="15">
        <v>0.75</v>
      </c>
      <c r="O366" s="16">
        <f t="shared" si="25"/>
        <v>62475</v>
      </c>
      <c r="P366" s="11" t="s">
        <v>20</v>
      </c>
    </row>
    <row r="367" spans="1:16" x14ac:dyDescent="0.25">
      <c r="A367" s="9" t="str">
        <f t="shared" si="28"/>
        <v>2024 ALL D75</v>
      </c>
      <c r="B367" s="10">
        <f>'[1]2019 ALL D95'!B367</f>
        <v>46104</v>
      </c>
      <c r="C367" s="10">
        <f>'[1]2019 ALL D95'!C367</f>
        <v>46113</v>
      </c>
      <c r="D367" s="11">
        <v>3273</v>
      </c>
      <c r="E367" s="11">
        <v>336</v>
      </c>
      <c r="F367" s="11">
        <v>4</v>
      </c>
      <c r="G367" s="13">
        <v>7</v>
      </c>
      <c r="H367" s="13">
        <v>81574</v>
      </c>
      <c r="I367" s="11" t="s">
        <v>17</v>
      </c>
      <c r="J367" s="13">
        <v>15639848</v>
      </c>
      <c r="K367" s="13" t="s">
        <v>428</v>
      </c>
      <c r="L367" s="13" t="s">
        <v>432</v>
      </c>
      <c r="M367" s="17">
        <v>249900</v>
      </c>
      <c r="N367" s="15">
        <v>0.75</v>
      </c>
      <c r="O367" s="16">
        <f t="shared" si="25"/>
        <v>62475</v>
      </c>
      <c r="P367" s="11" t="s">
        <v>20</v>
      </c>
    </row>
    <row r="368" spans="1:16" x14ac:dyDescent="0.25">
      <c r="A368" s="9" t="str">
        <f t="shared" si="28"/>
        <v>2024 ALL D75</v>
      </c>
      <c r="B368" s="10">
        <f>'[1]2019 ALL D95'!B368</f>
        <v>46104</v>
      </c>
      <c r="C368" s="10">
        <f>'[1]2019 ALL D95'!C368</f>
        <v>46113</v>
      </c>
      <c r="D368" s="11">
        <v>3273</v>
      </c>
      <c r="E368" s="11">
        <v>336</v>
      </c>
      <c r="F368" s="11">
        <v>4</v>
      </c>
      <c r="G368" s="13">
        <v>7</v>
      </c>
      <c r="H368" s="13">
        <v>81574</v>
      </c>
      <c r="I368" s="11" t="s">
        <v>17</v>
      </c>
      <c r="J368" s="13">
        <v>15639857</v>
      </c>
      <c r="K368" s="13" t="s">
        <v>428</v>
      </c>
      <c r="L368" s="13" t="s">
        <v>433</v>
      </c>
      <c r="M368" s="17">
        <v>249900</v>
      </c>
      <c r="N368" s="15">
        <v>0.75</v>
      </c>
      <c r="O368" s="16">
        <f t="shared" si="25"/>
        <v>62475</v>
      </c>
      <c r="P368" s="11" t="s">
        <v>20</v>
      </c>
    </row>
    <row r="369" spans="1:16" x14ac:dyDescent="0.25">
      <c r="A369" s="9" t="str">
        <f t="shared" si="28"/>
        <v>2024 ALL D75</v>
      </c>
      <c r="B369" s="10">
        <f>'[1]2019 ALL D95'!B369</f>
        <v>46104</v>
      </c>
      <c r="C369" s="10">
        <f>'[1]2019 ALL D95'!C369</f>
        <v>46113</v>
      </c>
      <c r="D369" s="11">
        <v>3273</v>
      </c>
      <c r="E369" s="11">
        <v>336</v>
      </c>
      <c r="F369" s="11">
        <v>4</v>
      </c>
      <c r="G369" s="13">
        <v>7</v>
      </c>
      <c r="H369" s="13">
        <v>81574</v>
      </c>
      <c r="I369" s="11" t="s">
        <v>17</v>
      </c>
      <c r="J369" s="13">
        <v>15639866</v>
      </c>
      <c r="K369" s="13" t="s">
        <v>428</v>
      </c>
      <c r="L369" s="13" t="s">
        <v>434</v>
      </c>
      <c r="M369" s="17">
        <v>249900</v>
      </c>
      <c r="N369" s="15">
        <v>0.75</v>
      </c>
      <c r="O369" s="16">
        <f t="shared" si="25"/>
        <v>62475</v>
      </c>
      <c r="P369" s="11" t="s">
        <v>20</v>
      </c>
    </row>
    <row r="370" spans="1:16" x14ac:dyDescent="0.25">
      <c r="A370" s="9" t="str">
        <f t="shared" si="28"/>
        <v>2024 ALL D75</v>
      </c>
      <c r="B370" s="10">
        <f>'[1]2019 ALL D95'!B370</f>
        <v>46104</v>
      </c>
      <c r="C370" s="10">
        <f>'[1]2019 ALL D95'!C370</f>
        <v>46113</v>
      </c>
      <c r="D370" s="11">
        <v>3273</v>
      </c>
      <c r="E370" s="11">
        <v>336</v>
      </c>
      <c r="F370" s="11">
        <v>4</v>
      </c>
      <c r="G370" s="13">
        <v>7</v>
      </c>
      <c r="H370" s="13">
        <v>81574</v>
      </c>
      <c r="I370" s="11" t="s">
        <v>17</v>
      </c>
      <c r="J370" s="13">
        <v>15639875</v>
      </c>
      <c r="K370" s="13" t="s">
        <v>428</v>
      </c>
      <c r="L370" s="13" t="s">
        <v>435</v>
      </c>
      <c r="M370" s="17">
        <v>249900</v>
      </c>
      <c r="N370" s="15">
        <v>0.75</v>
      </c>
      <c r="O370" s="16">
        <f t="shared" si="25"/>
        <v>62475</v>
      </c>
      <c r="P370" s="11" t="s">
        <v>20</v>
      </c>
    </row>
    <row r="371" spans="1:16" x14ac:dyDescent="0.25">
      <c r="A371" s="9" t="str">
        <f t="shared" ref="A371:A386" si="29">A370</f>
        <v>2024 ALL D75</v>
      </c>
      <c r="B371" s="10">
        <f>'[1]2019 ALL D95'!B371</f>
        <v>46104</v>
      </c>
      <c r="C371" s="10">
        <f>'[1]2019 ALL D95'!C371</f>
        <v>46113</v>
      </c>
      <c r="D371" s="11">
        <v>3273</v>
      </c>
      <c r="E371" s="11">
        <v>336</v>
      </c>
      <c r="F371" s="11">
        <v>4</v>
      </c>
      <c r="G371" s="13">
        <v>7</v>
      </c>
      <c r="H371" s="13">
        <v>81574</v>
      </c>
      <c r="I371" s="11" t="s">
        <v>17</v>
      </c>
      <c r="J371" s="13">
        <v>15639884</v>
      </c>
      <c r="K371" s="13" t="s">
        <v>428</v>
      </c>
      <c r="L371" s="13" t="s">
        <v>436</v>
      </c>
      <c r="M371" s="17">
        <v>249900</v>
      </c>
      <c r="N371" s="15">
        <v>0.75</v>
      </c>
      <c r="O371" s="16">
        <f t="shared" si="25"/>
        <v>62475</v>
      </c>
      <c r="P371" s="11" t="s">
        <v>20</v>
      </c>
    </row>
    <row r="372" spans="1:16" x14ac:dyDescent="0.25">
      <c r="A372" s="9" t="str">
        <f t="shared" si="29"/>
        <v>2024 ALL D75</v>
      </c>
      <c r="B372" s="10">
        <f>'[1]2019 ALL D95'!B372</f>
        <v>46104</v>
      </c>
      <c r="C372" s="10">
        <f>'[1]2019 ALL D95'!C372</f>
        <v>46113</v>
      </c>
      <c r="D372" s="11">
        <v>3273</v>
      </c>
      <c r="E372" s="11">
        <v>336</v>
      </c>
      <c r="F372" s="11">
        <v>4</v>
      </c>
      <c r="G372" s="13">
        <v>10</v>
      </c>
      <c r="H372" s="13">
        <v>81574</v>
      </c>
      <c r="I372" s="11" t="s">
        <v>17</v>
      </c>
      <c r="J372" s="13">
        <v>15162791</v>
      </c>
      <c r="K372" s="13" t="s">
        <v>437</v>
      </c>
      <c r="L372" s="13" t="s">
        <v>438</v>
      </c>
      <c r="M372" s="17">
        <v>139900</v>
      </c>
      <c r="N372" s="15">
        <v>0.75</v>
      </c>
      <c r="O372" s="16">
        <f t="shared" si="25"/>
        <v>34975</v>
      </c>
      <c r="P372" s="11" t="s">
        <v>20</v>
      </c>
    </row>
    <row r="373" spans="1:16" x14ac:dyDescent="0.25">
      <c r="A373" s="9" t="str">
        <f t="shared" si="29"/>
        <v>2024 ALL D75</v>
      </c>
      <c r="B373" s="10">
        <f>'[1]2019 ALL D95'!B373</f>
        <v>46104</v>
      </c>
      <c r="C373" s="10">
        <f>'[1]2019 ALL D95'!C373</f>
        <v>46113</v>
      </c>
      <c r="D373" s="11">
        <v>3273</v>
      </c>
      <c r="E373" s="11">
        <v>336</v>
      </c>
      <c r="F373" s="11">
        <v>4</v>
      </c>
      <c r="G373" s="13">
        <v>10</v>
      </c>
      <c r="H373" s="13">
        <v>81574</v>
      </c>
      <c r="I373" s="11" t="s">
        <v>17</v>
      </c>
      <c r="J373" s="13">
        <v>15638803</v>
      </c>
      <c r="K373" s="13" t="s">
        <v>439</v>
      </c>
      <c r="L373" s="13" t="s">
        <v>440</v>
      </c>
      <c r="M373" s="17">
        <v>149900</v>
      </c>
      <c r="N373" s="15">
        <v>0.75</v>
      </c>
      <c r="O373" s="16">
        <f t="shared" si="25"/>
        <v>37475</v>
      </c>
      <c r="P373" s="11" t="s">
        <v>20</v>
      </c>
    </row>
    <row r="374" spans="1:16" x14ac:dyDescent="0.25">
      <c r="A374" s="9" t="str">
        <f t="shared" si="29"/>
        <v>2024 ALL D75</v>
      </c>
      <c r="B374" s="10">
        <f>'[1]2019 ALL D95'!B374</f>
        <v>46104</v>
      </c>
      <c r="C374" s="10">
        <f>'[1]2019 ALL D95'!C374</f>
        <v>46113</v>
      </c>
      <c r="D374" s="11">
        <v>3273</v>
      </c>
      <c r="E374" s="11">
        <v>336</v>
      </c>
      <c r="F374" s="11">
        <v>4</v>
      </c>
      <c r="G374" s="13">
        <v>10</v>
      </c>
      <c r="H374" s="13">
        <v>81574</v>
      </c>
      <c r="I374" s="11" t="s">
        <v>17</v>
      </c>
      <c r="J374" s="13">
        <v>15640050</v>
      </c>
      <c r="K374" s="13" t="s">
        <v>441</v>
      </c>
      <c r="L374" s="13" t="s">
        <v>442</v>
      </c>
      <c r="M374" s="17">
        <v>139900</v>
      </c>
      <c r="N374" s="15">
        <v>0.75</v>
      </c>
      <c r="O374" s="16">
        <f t="shared" si="25"/>
        <v>34975</v>
      </c>
      <c r="P374" s="11" t="s">
        <v>20</v>
      </c>
    </row>
    <row r="375" spans="1:16" x14ac:dyDescent="0.25">
      <c r="A375" s="9" t="str">
        <f t="shared" si="29"/>
        <v>2024 ALL D75</v>
      </c>
      <c r="B375" s="10">
        <f>'[1]2019 ALL D95'!B375</f>
        <v>46104</v>
      </c>
      <c r="C375" s="10">
        <f>'[1]2019 ALL D95'!C375</f>
        <v>46113</v>
      </c>
      <c r="D375" s="11">
        <v>3273</v>
      </c>
      <c r="E375" s="11">
        <v>336</v>
      </c>
      <c r="F375" s="11">
        <v>4</v>
      </c>
      <c r="G375" s="13">
        <v>10</v>
      </c>
      <c r="H375" s="13">
        <v>81574</v>
      </c>
      <c r="I375" s="11" t="s">
        <v>17</v>
      </c>
      <c r="J375" s="13">
        <v>15816478</v>
      </c>
      <c r="K375" s="13" t="s">
        <v>443</v>
      </c>
      <c r="L375" s="13" t="s">
        <v>444</v>
      </c>
      <c r="M375" s="17">
        <v>149900</v>
      </c>
      <c r="N375" s="15">
        <v>0.75</v>
      </c>
      <c r="O375" s="16">
        <f t="shared" si="25"/>
        <v>37475</v>
      </c>
      <c r="P375" s="11" t="s">
        <v>20</v>
      </c>
    </row>
    <row r="376" spans="1:16" x14ac:dyDescent="0.25">
      <c r="A376" s="9" t="str">
        <f t="shared" si="29"/>
        <v>2024 ALL D75</v>
      </c>
      <c r="B376" s="10">
        <f>'[1]2019 ALL D95'!B376</f>
        <v>46104</v>
      </c>
      <c r="C376" s="10">
        <f>'[1]2019 ALL D95'!C376</f>
        <v>46113</v>
      </c>
      <c r="D376" s="11">
        <v>3273</v>
      </c>
      <c r="E376" s="11">
        <v>336</v>
      </c>
      <c r="F376" s="11">
        <v>4</v>
      </c>
      <c r="G376" s="13">
        <v>10</v>
      </c>
      <c r="H376" s="13">
        <v>81574</v>
      </c>
      <c r="I376" s="11" t="s">
        <v>17</v>
      </c>
      <c r="J376" s="13">
        <v>15816487</v>
      </c>
      <c r="K376" s="13" t="s">
        <v>445</v>
      </c>
      <c r="L376" s="13" t="s">
        <v>446</v>
      </c>
      <c r="M376" s="17">
        <v>149900</v>
      </c>
      <c r="N376" s="15">
        <v>0.75</v>
      </c>
      <c r="O376" s="16">
        <f t="shared" si="25"/>
        <v>37475</v>
      </c>
      <c r="P376" s="11" t="s">
        <v>20</v>
      </c>
    </row>
    <row r="377" spans="1:16" x14ac:dyDescent="0.25">
      <c r="A377" s="9" t="str">
        <f t="shared" si="29"/>
        <v>2024 ALL D75</v>
      </c>
      <c r="B377" s="10">
        <f>'[1]2019 ALL D95'!B377</f>
        <v>46104</v>
      </c>
      <c r="C377" s="10">
        <f>'[1]2019 ALL D95'!C377</f>
        <v>46113</v>
      </c>
      <c r="D377" s="11">
        <v>3273</v>
      </c>
      <c r="E377" s="11">
        <v>336</v>
      </c>
      <c r="F377" s="11">
        <v>4</v>
      </c>
      <c r="G377" s="13">
        <v>10</v>
      </c>
      <c r="H377" s="13">
        <v>81574</v>
      </c>
      <c r="I377" s="11" t="s">
        <v>17</v>
      </c>
      <c r="J377" s="13">
        <v>16430776</v>
      </c>
      <c r="K377" s="13" t="s">
        <v>447</v>
      </c>
      <c r="L377" s="13" t="s">
        <v>448</v>
      </c>
      <c r="M377" s="17">
        <v>139900</v>
      </c>
      <c r="N377" s="15">
        <v>0.75</v>
      </c>
      <c r="O377" s="16">
        <f t="shared" si="25"/>
        <v>34975</v>
      </c>
      <c r="P377" s="11" t="s">
        <v>20</v>
      </c>
    </row>
    <row r="378" spans="1:16" x14ac:dyDescent="0.25">
      <c r="A378" s="9" t="str">
        <f t="shared" si="29"/>
        <v>2024 ALL D75</v>
      </c>
      <c r="B378" s="10">
        <f>'[1]2019 ALL D95'!B378</f>
        <v>46104</v>
      </c>
      <c r="C378" s="10">
        <f>'[1]2019 ALL D95'!C378</f>
        <v>46113</v>
      </c>
      <c r="D378" s="11">
        <v>3273</v>
      </c>
      <c r="E378" s="11">
        <v>336</v>
      </c>
      <c r="F378" s="11">
        <v>4</v>
      </c>
      <c r="G378" s="13">
        <v>9</v>
      </c>
      <c r="H378" s="13">
        <v>81574</v>
      </c>
      <c r="I378" s="11" t="s">
        <v>17</v>
      </c>
      <c r="J378" s="13">
        <v>15638723</v>
      </c>
      <c r="K378" s="13" t="s">
        <v>449</v>
      </c>
      <c r="L378" s="13" t="s">
        <v>450</v>
      </c>
      <c r="M378" s="17">
        <v>329900</v>
      </c>
      <c r="N378" s="15">
        <v>0.75</v>
      </c>
      <c r="O378" s="16">
        <f t="shared" si="25"/>
        <v>82475</v>
      </c>
      <c r="P378" s="11" t="s">
        <v>20</v>
      </c>
    </row>
    <row r="379" spans="1:16" x14ac:dyDescent="0.25">
      <c r="A379" s="9" t="str">
        <f t="shared" si="29"/>
        <v>2024 ALL D75</v>
      </c>
      <c r="B379" s="10">
        <f>'[1]2019 ALL D95'!B379</f>
        <v>46104</v>
      </c>
      <c r="C379" s="10">
        <f>'[1]2019 ALL D95'!C379</f>
        <v>46113</v>
      </c>
      <c r="D379" s="11">
        <v>3273</v>
      </c>
      <c r="E379" s="11">
        <v>336</v>
      </c>
      <c r="F379" s="11">
        <v>4</v>
      </c>
      <c r="G379" s="13">
        <v>9</v>
      </c>
      <c r="H379" s="13">
        <v>81574</v>
      </c>
      <c r="I379" s="11" t="s">
        <v>17</v>
      </c>
      <c r="J379" s="13">
        <v>15638732</v>
      </c>
      <c r="K379" s="13" t="s">
        <v>449</v>
      </c>
      <c r="L379" s="13" t="s">
        <v>451</v>
      </c>
      <c r="M379" s="17">
        <v>329900</v>
      </c>
      <c r="N379" s="15">
        <v>0.75</v>
      </c>
      <c r="O379" s="16">
        <f t="shared" si="25"/>
        <v>82475</v>
      </c>
      <c r="P379" s="11" t="s">
        <v>20</v>
      </c>
    </row>
    <row r="380" spans="1:16" x14ac:dyDescent="0.25">
      <c r="A380" s="9" t="str">
        <f t="shared" si="29"/>
        <v>2024 ALL D75</v>
      </c>
      <c r="B380" s="10">
        <f>'[1]2019 ALL D95'!B380</f>
        <v>46104</v>
      </c>
      <c r="C380" s="10">
        <f>'[1]2019 ALL D95'!C380</f>
        <v>46113</v>
      </c>
      <c r="D380" s="11">
        <v>3273</v>
      </c>
      <c r="E380" s="11">
        <v>336</v>
      </c>
      <c r="F380" s="11">
        <v>4</v>
      </c>
      <c r="G380" s="13">
        <v>9</v>
      </c>
      <c r="H380" s="13">
        <v>81574</v>
      </c>
      <c r="I380" s="11" t="s">
        <v>17</v>
      </c>
      <c r="J380" s="13">
        <v>15638741</v>
      </c>
      <c r="K380" s="13" t="s">
        <v>449</v>
      </c>
      <c r="L380" s="13" t="s">
        <v>452</v>
      </c>
      <c r="M380" s="17">
        <v>329900</v>
      </c>
      <c r="N380" s="15">
        <v>0.75</v>
      </c>
      <c r="O380" s="16">
        <f t="shared" si="25"/>
        <v>82475</v>
      </c>
      <c r="P380" s="11" t="s">
        <v>20</v>
      </c>
    </row>
    <row r="381" spans="1:16" x14ac:dyDescent="0.25">
      <c r="A381" s="9" t="str">
        <f t="shared" si="29"/>
        <v>2024 ALL D75</v>
      </c>
      <c r="B381" s="10">
        <f>'[1]2019 ALL D95'!B381</f>
        <v>46104</v>
      </c>
      <c r="C381" s="10">
        <f>'[1]2019 ALL D95'!C381</f>
        <v>46113</v>
      </c>
      <c r="D381" s="11">
        <v>3273</v>
      </c>
      <c r="E381" s="11">
        <v>336</v>
      </c>
      <c r="F381" s="11">
        <v>4</v>
      </c>
      <c r="G381" s="13">
        <v>9</v>
      </c>
      <c r="H381" s="13">
        <v>81574</v>
      </c>
      <c r="I381" s="11" t="s">
        <v>17</v>
      </c>
      <c r="J381" s="13">
        <v>15638750</v>
      </c>
      <c r="K381" s="13" t="s">
        <v>449</v>
      </c>
      <c r="L381" s="13" t="s">
        <v>453</v>
      </c>
      <c r="M381" s="17">
        <v>329900</v>
      </c>
      <c r="N381" s="15">
        <v>0.75</v>
      </c>
      <c r="O381" s="16">
        <f t="shared" si="25"/>
        <v>82475</v>
      </c>
      <c r="P381" s="11" t="s">
        <v>20</v>
      </c>
    </row>
    <row r="382" spans="1:16" x14ac:dyDescent="0.25">
      <c r="A382" s="9" t="str">
        <f t="shared" si="29"/>
        <v>2024 ALL D75</v>
      </c>
      <c r="B382" s="10">
        <f>'[1]2019 ALL D95'!B382</f>
        <v>46104</v>
      </c>
      <c r="C382" s="10">
        <f>'[1]2019 ALL D95'!C382</f>
        <v>46113</v>
      </c>
      <c r="D382" s="11">
        <v>3273</v>
      </c>
      <c r="E382" s="11">
        <v>336</v>
      </c>
      <c r="F382" s="11">
        <v>4</v>
      </c>
      <c r="G382" s="13">
        <v>9</v>
      </c>
      <c r="H382" s="13">
        <v>81574</v>
      </c>
      <c r="I382" s="11" t="s">
        <v>17</v>
      </c>
      <c r="J382" s="13">
        <v>15638769</v>
      </c>
      <c r="K382" s="13" t="s">
        <v>449</v>
      </c>
      <c r="L382" s="13" t="s">
        <v>454</v>
      </c>
      <c r="M382" s="17">
        <v>329900</v>
      </c>
      <c r="N382" s="15">
        <v>0.75</v>
      </c>
      <c r="O382" s="16">
        <f t="shared" si="25"/>
        <v>82475</v>
      </c>
      <c r="P382" s="11" t="s">
        <v>20</v>
      </c>
    </row>
    <row r="383" spans="1:16" x14ac:dyDescent="0.25">
      <c r="A383" s="9" t="str">
        <f t="shared" si="29"/>
        <v>2024 ALL D75</v>
      </c>
      <c r="B383" s="10">
        <f>'[1]2019 ALL D95'!B383</f>
        <v>46104</v>
      </c>
      <c r="C383" s="10">
        <f>'[1]2019 ALL D95'!C383</f>
        <v>46113</v>
      </c>
      <c r="D383" s="11">
        <v>3273</v>
      </c>
      <c r="E383" s="11">
        <v>336</v>
      </c>
      <c r="F383" s="11">
        <v>4</v>
      </c>
      <c r="G383" s="13">
        <v>9</v>
      </c>
      <c r="H383" s="13">
        <v>81574</v>
      </c>
      <c r="I383" s="11" t="s">
        <v>17</v>
      </c>
      <c r="J383" s="13">
        <v>15638778</v>
      </c>
      <c r="K383" s="13" t="s">
        <v>449</v>
      </c>
      <c r="L383" s="13" t="s">
        <v>455</v>
      </c>
      <c r="M383" s="17">
        <v>329900</v>
      </c>
      <c r="N383" s="15">
        <v>0.75</v>
      </c>
      <c r="O383" s="16">
        <f t="shared" si="25"/>
        <v>82475</v>
      </c>
      <c r="P383" s="11" t="s">
        <v>20</v>
      </c>
    </row>
    <row r="384" spans="1:16" x14ac:dyDescent="0.25">
      <c r="A384" s="9" t="str">
        <f t="shared" si="29"/>
        <v>2024 ALL D75</v>
      </c>
      <c r="B384" s="10">
        <f>'[1]2019 ALL D95'!B384</f>
        <v>46104</v>
      </c>
      <c r="C384" s="10">
        <f>'[1]2019 ALL D95'!C384</f>
        <v>46113</v>
      </c>
      <c r="D384" s="11">
        <v>3273</v>
      </c>
      <c r="E384" s="11">
        <v>336</v>
      </c>
      <c r="F384" s="11">
        <v>4</v>
      </c>
      <c r="G384" s="13">
        <v>9</v>
      </c>
      <c r="H384" s="13">
        <v>81574</v>
      </c>
      <c r="I384" s="11" t="s">
        <v>17</v>
      </c>
      <c r="J384" s="13">
        <v>15638787</v>
      </c>
      <c r="K384" s="13" t="s">
        <v>449</v>
      </c>
      <c r="L384" s="13" t="s">
        <v>456</v>
      </c>
      <c r="M384" s="17">
        <v>329900</v>
      </c>
      <c r="N384" s="15">
        <v>0.75</v>
      </c>
      <c r="O384" s="16">
        <f t="shared" si="25"/>
        <v>82475</v>
      </c>
      <c r="P384" s="11" t="s">
        <v>20</v>
      </c>
    </row>
    <row r="385" spans="1:16" x14ac:dyDescent="0.25">
      <c r="A385" s="9" t="str">
        <f t="shared" si="29"/>
        <v>2024 ALL D75</v>
      </c>
      <c r="B385" s="10">
        <f>'[1]2019 ALL D95'!B385</f>
        <v>46104</v>
      </c>
      <c r="C385" s="10">
        <f>'[1]2019 ALL D95'!C385</f>
        <v>46113</v>
      </c>
      <c r="D385" s="11">
        <v>3273</v>
      </c>
      <c r="E385" s="11">
        <v>336</v>
      </c>
      <c r="F385" s="11">
        <v>4</v>
      </c>
      <c r="G385" s="13">
        <v>9</v>
      </c>
      <c r="H385" s="13">
        <v>81574</v>
      </c>
      <c r="I385" s="11" t="s">
        <v>17</v>
      </c>
      <c r="J385" s="13">
        <v>15638796</v>
      </c>
      <c r="K385" s="13" t="s">
        <v>449</v>
      </c>
      <c r="L385" s="13" t="s">
        <v>457</v>
      </c>
      <c r="M385" s="17">
        <v>329900</v>
      </c>
      <c r="N385" s="15">
        <v>0.75</v>
      </c>
      <c r="O385" s="16">
        <f t="shared" si="25"/>
        <v>82475</v>
      </c>
      <c r="P385" s="11" t="s">
        <v>20</v>
      </c>
    </row>
    <row r="386" spans="1:16" x14ac:dyDescent="0.25">
      <c r="A386" s="9" t="str">
        <f t="shared" si="29"/>
        <v>2024 ALL D75</v>
      </c>
      <c r="B386" s="10">
        <f>'[1]2019 ALL D95'!B386</f>
        <v>46104</v>
      </c>
      <c r="C386" s="10">
        <f>'[1]2019 ALL D95'!C386</f>
        <v>46113</v>
      </c>
      <c r="D386" s="11">
        <v>3273</v>
      </c>
      <c r="E386" s="11">
        <v>336</v>
      </c>
      <c r="F386" s="11">
        <v>4</v>
      </c>
      <c r="G386" s="13">
        <v>9</v>
      </c>
      <c r="H386" s="13">
        <v>81676</v>
      </c>
      <c r="I386" s="11" t="s">
        <v>17</v>
      </c>
      <c r="J386" s="13">
        <v>15639044</v>
      </c>
      <c r="K386" s="13" t="s">
        <v>458</v>
      </c>
      <c r="L386" s="13" t="s">
        <v>459</v>
      </c>
      <c r="M386" s="17">
        <v>239900</v>
      </c>
      <c r="N386" s="15">
        <v>0.75</v>
      </c>
      <c r="O386" s="16">
        <f t="shared" ref="O386:O449" si="30">M386*(1-N386)</f>
        <v>59975</v>
      </c>
      <c r="P386" s="11" t="s">
        <v>20</v>
      </c>
    </row>
    <row r="387" spans="1:16" x14ac:dyDescent="0.25">
      <c r="A387" s="9" t="str">
        <f t="shared" ref="A387:A402" si="31">A386</f>
        <v>2024 ALL D75</v>
      </c>
      <c r="B387" s="10">
        <f>'[1]2019 ALL D95'!B387</f>
        <v>46104</v>
      </c>
      <c r="C387" s="10">
        <f>'[1]2019 ALL D95'!C387</f>
        <v>46113</v>
      </c>
      <c r="D387" s="11">
        <v>3273</v>
      </c>
      <c r="E387" s="11">
        <v>336</v>
      </c>
      <c r="F387" s="11">
        <v>4</v>
      </c>
      <c r="G387" s="13">
        <v>9</v>
      </c>
      <c r="H387" s="13">
        <v>81676</v>
      </c>
      <c r="I387" s="11" t="s">
        <v>17</v>
      </c>
      <c r="J387" s="13">
        <v>15639053</v>
      </c>
      <c r="K387" s="13" t="s">
        <v>458</v>
      </c>
      <c r="L387" s="13" t="s">
        <v>460</v>
      </c>
      <c r="M387" s="17">
        <v>239900</v>
      </c>
      <c r="N387" s="15">
        <v>0.75</v>
      </c>
      <c r="O387" s="16">
        <f t="shared" si="30"/>
        <v>59975</v>
      </c>
      <c r="P387" s="11" t="s">
        <v>20</v>
      </c>
    </row>
    <row r="388" spans="1:16" x14ac:dyDescent="0.25">
      <c r="A388" s="9" t="str">
        <f t="shared" si="31"/>
        <v>2024 ALL D75</v>
      </c>
      <c r="B388" s="10">
        <f>'[1]2019 ALL D95'!B388</f>
        <v>46104</v>
      </c>
      <c r="C388" s="10">
        <f>'[1]2019 ALL D95'!C388</f>
        <v>46113</v>
      </c>
      <c r="D388" s="11">
        <v>3273</v>
      </c>
      <c r="E388" s="11">
        <v>336</v>
      </c>
      <c r="F388" s="11">
        <v>4</v>
      </c>
      <c r="G388" s="13">
        <v>9</v>
      </c>
      <c r="H388" s="13">
        <v>81676</v>
      </c>
      <c r="I388" s="11" t="s">
        <v>17</v>
      </c>
      <c r="J388" s="13">
        <v>15639062</v>
      </c>
      <c r="K388" s="13" t="s">
        <v>458</v>
      </c>
      <c r="L388" s="13" t="s">
        <v>461</v>
      </c>
      <c r="M388" s="17">
        <v>239900</v>
      </c>
      <c r="N388" s="15">
        <v>0.75</v>
      </c>
      <c r="O388" s="16">
        <f t="shared" si="30"/>
        <v>59975</v>
      </c>
      <c r="P388" s="11" t="s">
        <v>20</v>
      </c>
    </row>
    <row r="389" spans="1:16" x14ac:dyDescent="0.25">
      <c r="A389" s="9" t="str">
        <f t="shared" si="31"/>
        <v>2024 ALL D75</v>
      </c>
      <c r="B389" s="10">
        <f>'[1]2019 ALL D95'!B389</f>
        <v>46104</v>
      </c>
      <c r="C389" s="10">
        <f>'[1]2019 ALL D95'!C389</f>
        <v>46113</v>
      </c>
      <c r="D389" s="11">
        <v>3273</v>
      </c>
      <c r="E389" s="11">
        <v>336</v>
      </c>
      <c r="F389" s="11">
        <v>4</v>
      </c>
      <c r="G389" s="13">
        <v>9</v>
      </c>
      <c r="H389" s="13">
        <v>81676</v>
      </c>
      <c r="I389" s="11" t="s">
        <v>17</v>
      </c>
      <c r="J389" s="13">
        <v>15639071</v>
      </c>
      <c r="K389" s="13" t="s">
        <v>458</v>
      </c>
      <c r="L389" s="13" t="s">
        <v>462</v>
      </c>
      <c r="M389" s="17">
        <v>239900</v>
      </c>
      <c r="N389" s="15">
        <v>0.75</v>
      </c>
      <c r="O389" s="16">
        <f t="shared" si="30"/>
        <v>59975</v>
      </c>
      <c r="P389" s="11" t="s">
        <v>20</v>
      </c>
    </row>
    <row r="390" spans="1:16" x14ac:dyDescent="0.25">
      <c r="A390" s="9" t="str">
        <f t="shared" si="31"/>
        <v>2024 ALL D75</v>
      </c>
      <c r="B390" s="10">
        <f>'[1]2019 ALL D95'!B390</f>
        <v>46104</v>
      </c>
      <c r="C390" s="10">
        <f>'[1]2019 ALL D95'!C390</f>
        <v>46113</v>
      </c>
      <c r="D390" s="11">
        <v>3273</v>
      </c>
      <c r="E390" s="11">
        <v>336</v>
      </c>
      <c r="F390" s="11">
        <v>4</v>
      </c>
      <c r="G390" s="13">
        <v>9</v>
      </c>
      <c r="H390" s="13">
        <v>81676</v>
      </c>
      <c r="I390" s="11" t="s">
        <v>17</v>
      </c>
      <c r="J390" s="13">
        <v>15639080</v>
      </c>
      <c r="K390" s="13" t="s">
        <v>458</v>
      </c>
      <c r="L390" s="13" t="s">
        <v>463</v>
      </c>
      <c r="M390" s="17">
        <v>239900</v>
      </c>
      <c r="N390" s="15">
        <v>0.75</v>
      </c>
      <c r="O390" s="16">
        <f t="shared" si="30"/>
        <v>59975</v>
      </c>
      <c r="P390" s="11" t="s">
        <v>20</v>
      </c>
    </row>
    <row r="391" spans="1:16" x14ac:dyDescent="0.25">
      <c r="A391" s="9" t="str">
        <f t="shared" si="31"/>
        <v>2024 ALL D75</v>
      </c>
      <c r="B391" s="10">
        <f>'[1]2019 ALL D95'!B391</f>
        <v>46104</v>
      </c>
      <c r="C391" s="10">
        <f>'[1]2019 ALL D95'!C391</f>
        <v>46113</v>
      </c>
      <c r="D391" s="11">
        <v>3273</v>
      </c>
      <c r="E391" s="11">
        <v>336</v>
      </c>
      <c r="F391" s="11">
        <v>4</v>
      </c>
      <c r="G391" s="13">
        <v>9</v>
      </c>
      <c r="H391" s="13">
        <v>81676</v>
      </c>
      <c r="I391" s="11" t="s">
        <v>17</v>
      </c>
      <c r="J391" s="13">
        <v>15639099</v>
      </c>
      <c r="K391" s="13" t="s">
        <v>458</v>
      </c>
      <c r="L391" s="13" t="s">
        <v>464</v>
      </c>
      <c r="M391" s="17">
        <v>239900</v>
      </c>
      <c r="N391" s="15">
        <v>0.75</v>
      </c>
      <c r="O391" s="16">
        <f t="shared" si="30"/>
        <v>59975</v>
      </c>
      <c r="P391" s="11" t="s">
        <v>20</v>
      </c>
    </row>
    <row r="392" spans="1:16" x14ac:dyDescent="0.25">
      <c r="A392" s="9" t="str">
        <f t="shared" si="31"/>
        <v>2024 ALL D75</v>
      </c>
      <c r="B392" s="10">
        <f>'[1]2019 ALL D95'!B392</f>
        <v>46104</v>
      </c>
      <c r="C392" s="10">
        <f>'[1]2019 ALL D95'!C392</f>
        <v>46113</v>
      </c>
      <c r="D392" s="11">
        <v>3273</v>
      </c>
      <c r="E392" s="11">
        <v>336</v>
      </c>
      <c r="F392" s="11">
        <v>4</v>
      </c>
      <c r="G392" s="13">
        <v>9</v>
      </c>
      <c r="H392" s="13">
        <v>81676</v>
      </c>
      <c r="I392" s="11" t="s">
        <v>17</v>
      </c>
      <c r="J392" s="13">
        <v>15639106</v>
      </c>
      <c r="K392" s="13" t="s">
        <v>458</v>
      </c>
      <c r="L392" s="13" t="s">
        <v>465</v>
      </c>
      <c r="M392" s="17">
        <v>239900</v>
      </c>
      <c r="N392" s="15">
        <v>0.75</v>
      </c>
      <c r="O392" s="16">
        <f t="shared" si="30"/>
        <v>59975</v>
      </c>
      <c r="P392" s="11" t="s">
        <v>20</v>
      </c>
    </row>
    <row r="393" spans="1:16" x14ac:dyDescent="0.25">
      <c r="A393" s="9" t="str">
        <f t="shared" si="31"/>
        <v>2024 ALL D75</v>
      </c>
      <c r="B393" s="10">
        <f>'[1]2019 ALL D95'!B393</f>
        <v>46104</v>
      </c>
      <c r="C393" s="10">
        <f>'[1]2019 ALL D95'!C393</f>
        <v>46113</v>
      </c>
      <c r="D393" s="11">
        <v>3273</v>
      </c>
      <c r="E393" s="11">
        <v>336</v>
      </c>
      <c r="F393" s="11">
        <v>4</v>
      </c>
      <c r="G393" s="13">
        <v>9</v>
      </c>
      <c r="H393" s="13">
        <v>81676</v>
      </c>
      <c r="I393" s="11" t="s">
        <v>17</v>
      </c>
      <c r="J393" s="13">
        <v>15748935</v>
      </c>
      <c r="K393" s="13" t="s">
        <v>458</v>
      </c>
      <c r="L393" s="13" t="s">
        <v>466</v>
      </c>
      <c r="M393" s="17">
        <v>239900</v>
      </c>
      <c r="N393" s="15">
        <v>0.75</v>
      </c>
      <c r="O393" s="16">
        <f t="shared" si="30"/>
        <v>59975</v>
      </c>
      <c r="P393" s="11" t="s">
        <v>20</v>
      </c>
    </row>
    <row r="394" spans="1:16" x14ac:dyDescent="0.25">
      <c r="A394" s="9" t="str">
        <f t="shared" si="31"/>
        <v>2024 ALL D75</v>
      </c>
      <c r="B394" s="10">
        <f>'[1]2019 ALL D95'!B394</f>
        <v>46104</v>
      </c>
      <c r="C394" s="10">
        <f>'[1]2019 ALL D95'!C394</f>
        <v>46113</v>
      </c>
      <c r="D394" s="11">
        <v>3273</v>
      </c>
      <c r="E394" s="11">
        <v>336</v>
      </c>
      <c r="F394" s="11">
        <v>4</v>
      </c>
      <c r="G394" s="13">
        <v>9</v>
      </c>
      <c r="H394" s="13">
        <v>81574</v>
      </c>
      <c r="I394" s="11" t="s">
        <v>17</v>
      </c>
      <c r="J394" s="13">
        <v>15639973</v>
      </c>
      <c r="K394" s="13" t="s">
        <v>467</v>
      </c>
      <c r="L394" s="13" t="s">
        <v>468</v>
      </c>
      <c r="M394" s="17">
        <v>329900</v>
      </c>
      <c r="N394" s="15">
        <v>0.75</v>
      </c>
      <c r="O394" s="16">
        <f t="shared" si="30"/>
        <v>82475</v>
      </c>
      <c r="P394" s="11" t="s">
        <v>20</v>
      </c>
    </row>
    <row r="395" spans="1:16" x14ac:dyDescent="0.25">
      <c r="A395" s="9" t="str">
        <f t="shared" si="31"/>
        <v>2024 ALL D75</v>
      </c>
      <c r="B395" s="10">
        <f>'[1]2019 ALL D95'!B395</f>
        <v>46104</v>
      </c>
      <c r="C395" s="10">
        <f>'[1]2019 ALL D95'!C395</f>
        <v>46113</v>
      </c>
      <c r="D395" s="11">
        <v>3273</v>
      </c>
      <c r="E395" s="11">
        <v>336</v>
      </c>
      <c r="F395" s="11">
        <v>4</v>
      </c>
      <c r="G395" s="13">
        <v>9</v>
      </c>
      <c r="H395" s="13">
        <v>81574</v>
      </c>
      <c r="I395" s="11" t="s">
        <v>17</v>
      </c>
      <c r="J395" s="13">
        <v>15639982</v>
      </c>
      <c r="K395" s="13" t="s">
        <v>467</v>
      </c>
      <c r="L395" s="13" t="s">
        <v>469</v>
      </c>
      <c r="M395" s="17">
        <v>329900</v>
      </c>
      <c r="N395" s="15">
        <v>0.75</v>
      </c>
      <c r="O395" s="16">
        <f t="shared" si="30"/>
        <v>82475</v>
      </c>
      <c r="P395" s="11" t="s">
        <v>20</v>
      </c>
    </row>
    <row r="396" spans="1:16" x14ac:dyDescent="0.25">
      <c r="A396" s="9" t="str">
        <f t="shared" si="31"/>
        <v>2024 ALL D75</v>
      </c>
      <c r="B396" s="10">
        <f>'[1]2019 ALL D95'!B396</f>
        <v>46104</v>
      </c>
      <c r="C396" s="10">
        <f>'[1]2019 ALL D95'!C396</f>
        <v>46113</v>
      </c>
      <c r="D396" s="11">
        <v>3273</v>
      </c>
      <c r="E396" s="11">
        <v>336</v>
      </c>
      <c r="F396" s="11">
        <v>4</v>
      </c>
      <c r="G396" s="13">
        <v>9</v>
      </c>
      <c r="H396" s="13">
        <v>81574</v>
      </c>
      <c r="I396" s="11" t="s">
        <v>17</v>
      </c>
      <c r="J396" s="13">
        <v>15639991</v>
      </c>
      <c r="K396" s="13" t="s">
        <v>467</v>
      </c>
      <c r="L396" s="13" t="s">
        <v>470</v>
      </c>
      <c r="M396" s="17">
        <v>329900</v>
      </c>
      <c r="N396" s="15">
        <v>0.75</v>
      </c>
      <c r="O396" s="16">
        <f t="shared" si="30"/>
        <v>82475</v>
      </c>
      <c r="P396" s="11" t="s">
        <v>20</v>
      </c>
    </row>
    <row r="397" spans="1:16" x14ac:dyDescent="0.25">
      <c r="A397" s="9" t="str">
        <f t="shared" si="31"/>
        <v>2024 ALL D75</v>
      </c>
      <c r="B397" s="10">
        <f>'[1]2019 ALL D95'!B397</f>
        <v>46104</v>
      </c>
      <c r="C397" s="10">
        <f>'[1]2019 ALL D95'!C397</f>
        <v>46113</v>
      </c>
      <c r="D397" s="11">
        <v>3273</v>
      </c>
      <c r="E397" s="11">
        <v>336</v>
      </c>
      <c r="F397" s="11">
        <v>4</v>
      </c>
      <c r="G397" s="13">
        <v>9</v>
      </c>
      <c r="H397" s="13">
        <v>81574</v>
      </c>
      <c r="I397" s="11" t="s">
        <v>17</v>
      </c>
      <c r="J397" s="13">
        <v>15640005</v>
      </c>
      <c r="K397" s="13" t="s">
        <v>467</v>
      </c>
      <c r="L397" s="13" t="s">
        <v>471</v>
      </c>
      <c r="M397" s="17">
        <v>329900</v>
      </c>
      <c r="N397" s="15">
        <v>0.75</v>
      </c>
      <c r="O397" s="16">
        <f t="shared" si="30"/>
        <v>82475</v>
      </c>
      <c r="P397" s="11" t="s">
        <v>20</v>
      </c>
    </row>
    <row r="398" spans="1:16" x14ac:dyDescent="0.25">
      <c r="A398" s="9" t="str">
        <f t="shared" si="31"/>
        <v>2024 ALL D75</v>
      </c>
      <c r="B398" s="10">
        <f>'[1]2019 ALL D95'!B398</f>
        <v>46104</v>
      </c>
      <c r="C398" s="10">
        <f>'[1]2019 ALL D95'!C398</f>
        <v>46113</v>
      </c>
      <c r="D398" s="11">
        <v>3273</v>
      </c>
      <c r="E398" s="11">
        <v>336</v>
      </c>
      <c r="F398" s="11">
        <v>4</v>
      </c>
      <c r="G398" s="13">
        <v>9</v>
      </c>
      <c r="H398" s="13">
        <v>81574</v>
      </c>
      <c r="I398" s="11" t="s">
        <v>17</v>
      </c>
      <c r="J398" s="13">
        <v>15640014</v>
      </c>
      <c r="K398" s="13" t="s">
        <v>467</v>
      </c>
      <c r="L398" s="13" t="s">
        <v>472</v>
      </c>
      <c r="M398" s="17">
        <v>329900</v>
      </c>
      <c r="N398" s="15">
        <v>0.75</v>
      </c>
      <c r="O398" s="16">
        <f t="shared" si="30"/>
        <v>82475</v>
      </c>
      <c r="P398" s="11" t="s">
        <v>20</v>
      </c>
    </row>
    <row r="399" spans="1:16" x14ac:dyDescent="0.25">
      <c r="A399" s="9" t="str">
        <f t="shared" si="31"/>
        <v>2024 ALL D75</v>
      </c>
      <c r="B399" s="10">
        <f>'[1]2019 ALL D95'!B399</f>
        <v>46104</v>
      </c>
      <c r="C399" s="10">
        <f>'[1]2019 ALL D95'!C399</f>
        <v>46113</v>
      </c>
      <c r="D399" s="11">
        <v>3273</v>
      </c>
      <c r="E399" s="11">
        <v>336</v>
      </c>
      <c r="F399" s="11">
        <v>4</v>
      </c>
      <c r="G399" s="13">
        <v>9</v>
      </c>
      <c r="H399" s="13">
        <v>81574</v>
      </c>
      <c r="I399" s="11" t="s">
        <v>17</v>
      </c>
      <c r="J399" s="13">
        <v>15640023</v>
      </c>
      <c r="K399" s="13" t="s">
        <v>467</v>
      </c>
      <c r="L399" s="13" t="s">
        <v>473</v>
      </c>
      <c r="M399" s="17">
        <v>329900</v>
      </c>
      <c r="N399" s="15">
        <v>0.75</v>
      </c>
      <c r="O399" s="16">
        <f t="shared" si="30"/>
        <v>82475</v>
      </c>
      <c r="P399" s="11" t="s">
        <v>20</v>
      </c>
    </row>
    <row r="400" spans="1:16" x14ac:dyDescent="0.25">
      <c r="A400" s="9" t="str">
        <f t="shared" si="31"/>
        <v>2024 ALL D75</v>
      </c>
      <c r="B400" s="10">
        <f>'[1]2019 ALL D95'!B400</f>
        <v>46104</v>
      </c>
      <c r="C400" s="10">
        <f>'[1]2019 ALL D95'!C400</f>
        <v>46113</v>
      </c>
      <c r="D400" s="11">
        <v>3273</v>
      </c>
      <c r="E400" s="11">
        <v>336</v>
      </c>
      <c r="F400" s="11">
        <v>4</v>
      </c>
      <c r="G400" s="13">
        <v>9</v>
      </c>
      <c r="H400" s="13">
        <v>81574</v>
      </c>
      <c r="I400" s="11" t="s">
        <v>17</v>
      </c>
      <c r="J400" s="13">
        <v>15640032</v>
      </c>
      <c r="K400" s="13" t="s">
        <v>467</v>
      </c>
      <c r="L400" s="13" t="s">
        <v>474</v>
      </c>
      <c r="M400" s="17">
        <v>329900</v>
      </c>
      <c r="N400" s="15">
        <v>0.75</v>
      </c>
      <c r="O400" s="16">
        <f t="shared" si="30"/>
        <v>82475</v>
      </c>
      <c r="P400" s="11" t="s">
        <v>20</v>
      </c>
    </row>
    <row r="401" spans="1:16" x14ac:dyDescent="0.25">
      <c r="A401" s="9" t="str">
        <f t="shared" si="31"/>
        <v>2024 ALL D75</v>
      </c>
      <c r="B401" s="10">
        <f>'[1]2019 ALL D95'!B401</f>
        <v>46104</v>
      </c>
      <c r="C401" s="10">
        <f>'[1]2019 ALL D95'!C401</f>
        <v>46113</v>
      </c>
      <c r="D401" s="11">
        <v>3273</v>
      </c>
      <c r="E401" s="11">
        <v>336</v>
      </c>
      <c r="F401" s="11">
        <v>4</v>
      </c>
      <c r="G401" s="13">
        <v>9</v>
      </c>
      <c r="H401" s="13">
        <v>81574</v>
      </c>
      <c r="I401" s="11" t="s">
        <v>17</v>
      </c>
      <c r="J401" s="13">
        <v>15640041</v>
      </c>
      <c r="K401" s="13" t="s">
        <v>467</v>
      </c>
      <c r="L401" s="13" t="s">
        <v>475</v>
      </c>
      <c r="M401" s="17">
        <v>329900</v>
      </c>
      <c r="N401" s="15">
        <v>0.75</v>
      </c>
      <c r="O401" s="16">
        <f t="shared" si="30"/>
        <v>82475</v>
      </c>
      <c r="P401" s="11" t="s">
        <v>20</v>
      </c>
    </row>
    <row r="402" spans="1:16" x14ac:dyDescent="0.25">
      <c r="A402" s="9" t="str">
        <f t="shared" si="31"/>
        <v>2024 ALL D75</v>
      </c>
      <c r="B402" s="10">
        <f>'[1]2019 ALL D95'!B402</f>
        <v>46104</v>
      </c>
      <c r="C402" s="10">
        <f>'[1]2019 ALL D95'!C402</f>
        <v>46113</v>
      </c>
      <c r="D402" s="11">
        <v>3273</v>
      </c>
      <c r="E402" s="11">
        <v>336</v>
      </c>
      <c r="F402" s="11">
        <v>4</v>
      </c>
      <c r="G402" s="13">
        <v>9</v>
      </c>
      <c r="H402" s="13">
        <v>81676</v>
      </c>
      <c r="I402" s="11" t="s">
        <v>17</v>
      </c>
      <c r="J402" s="13">
        <v>15749345</v>
      </c>
      <c r="K402" s="13" t="s">
        <v>476</v>
      </c>
      <c r="L402" s="13" t="s">
        <v>477</v>
      </c>
      <c r="M402" s="17">
        <v>299900</v>
      </c>
      <c r="N402" s="15">
        <v>0.75</v>
      </c>
      <c r="O402" s="16">
        <f t="shared" si="30"/>
        <v>74975</v>
      </c>
      <c r="P402" s="11" t="s">
        <v>20</v>
      </c>
    </row>
    <row r="403" spans="1:16" x14ac:dyDescent="0.25">
      <c r="A403" s="9" t="str">
        <f t="shared" ref="A403:A418" si="32">A402</f>
        <v>2024 ALL D75</v>
      </c>
      <c r="B403" s="10">
        <f>'[1]2019 ALL D95'!B403</f>
        <v>46104</v>
      </c>
      <c r="C403" s="10">
        <f>'[1]2019 ALL D95'!C403</f>
        <v>46113</v>
      </c>
      <c r="D403" s="11">
        <v>3273</v>
      </c>
      <c r="E403" s="11">
        <v>336</v>
      </c>
      <c r="F403" s="11">
        <v>4</v>
      </c>
      <c r="G403" s="13">
        <v>9</v>
      </c>
      <c r="H403" s="13">
        <v>81676</v>
      </c>
      <c r="I403" s="11" t="s">
        <v>17</v>
      </c>
      <c r="J403" s="13">
        <v>15749354</v>
      </c>
      <c r="K403" s="13" t="s">
        <v>476</v>
      </c>
      <c r="L403" s="13" t="s">
        <v>478</v>
      </c>
      <c r="M403" s="17">
        <v>299900</v>
      </c>
      <c r="N403" s="15">
        <v>0.75</v>
      </c>
      <c r="O403" s="16">
        <f t="shared" si="30"/>
        <v>74975</v>
      </c>
      <c r="P403" s="11" t="s">
        <v>20</v>
      </c>
    </row>
    <row r="404" spans="1:16" x14ac:dyDescent="0.25">
      <c r="A404" s="9" t="str">
        <f t="shared" si="32"/>
        <v>2024 ALL D75</v>
      </c>
      <c r="B404" s="10">
        <f>'[1]2019 ALL D95'!B404</f>
        <v>46104</v>
      </c>
      <c r="C404" s="10">
        <f>'[1]2019 ALL D95'!C404</f>
        <v>46113</v>
      </c>
      <c r="D404" s="11">
        <v>3273</v>
      </c>
      <c r="E404" s="11">
        <v>336</v>
      </c>
      <c r="F404" s="11">
        <v>4</v>
      </c>
      <c r="G404" s="13">
        <v>9</v>
      </c>
      <c r="H404" s="13">
        <v>81676</v>
      </c>
      <c r="I404" s="11" t="s">
        <v>17</v>
      </c>
      <c r="J404" s="13">
        <v>15749363</v>
      </c>
      <c r="K404" s="13" t="s">
        <v>476</v>
      </c>
      <c r="L404" s="13" t="s">
        <v>479</v>
      </c>
      <c r="M404" s="17">
        <v>299900</v>
      </c>
      <c r="N404" s="15">
        <v>0.75</v>
      </c>
      <c r="O404" s="16">
        <f t="shared" si="30"/>
        <v>74975</v>
      </c>
      <c r="P404" s="11" t="s">
        <v>20</v>
      </c>
    </row>
    <row r="405" spans="1:16" x14ac:dyDescent="0.25">
      <c r="A405" s="9" t="str">
        <f t="shared" si="32"/>
        <v>2024 ALL D75</v>
      </c>
      <c r="B405" s="10">
        <f>'[1]2019 ALL D95'!B405</f>
        <v>46104</v>
      </c>
      <c r="C405" s="10">
        <f>'[1]2019 ALL D95'!C405</f>
        <v>46113</v>
      </c>
      <c r="D405" s="11">
        <v>3273</v>
      </c>
      <c r="E405" s="11">
        <v>336</v>
      </c>
      <c r="F405" s="11">
        <v>4</v>
      </c>
      <c r="G405" s="13">
        <v>9</v>
      </c>
      <c r="H405" s="13">
        <v>81676</v>
      </c>
      <c r="I405" s="11" t="s">
        <v>17</v>
      </c>
      <c r="J405" s="13">
        <v>15749372</v>
      </c>
      <c r="K405" s="13" t="s">
        <v>476</v>
      </c>
      <c r="L405" s="13" t="s">
        <v>480</v>
      </c>
      <c r="M405" s="17">
        <v>299900</v>
      </c>
      <c r="N405" s="15">
        <v>0.75</v>
      </c>
      <c r="O405" s="16">
        <f t="shared" si="30"/>
        <v>74975</v>
      </c>
      <c r="P405" s="11" t="s">
        <v>20</v>
      </c>
    </row>
    <row r="406" spans="1:16" x14ac:dyDescent="0.25">
      <c r="A406" s="9" t="str">
        <f t="shared" si="32"/>
        <v>2024 ALL D75</v>
      </c>
      <c r="B406" s="10">
        <f>'[1]2019 ALL D95'!B406</f>
        <v>46104</v>
      </c>
      <c r="C406" s="10">
        <f>'[1]2019 ALL D95'!C406</f>
        <v>46113</v>
      </c>
      <c r="D406" s="11">
        <v>3273</v>
      </c>
      <c r="E406" s="11">
        <v>336</v>
      </c>
      <c r="F406" s="11">
        <v>4</v>
      </c>
      <c r="G406" s="13">
        <v>9</v>
      </c>
      <c r="H406" s="13">
        <v>81676</v>
      </c>
      <c r="I406" s="11" t="s">
        <v>17</v>
      </c>
      <c r="J406" s="13">
        <v>15749381</v>
      </c>
      <c r="K406" s="13" t="s">
        <v>476</v>
      </c>
      <c r="L406" s="13" t="s">
        <v>481</v>
      </c>
      <c r="M406" s="17">
        <v>299900</v>
      </c>
      <c r="N406" s="15">
        <v>0.75</v>
      </c>
      <c r="O406" s="16">
        <f t="shared" si="30"/>
        <v>74975</v>
      </c>
      <c r="P406" s="11" t="s">
        <v>20</v>
      </c>
    </row>
    <row r="407" spans="1:16" x14ac:dyDescent="0.25">
      <c r="A407" s="9" t="str">
        <f t="shared" si="32"/>
        <v>2024 ALL D75</v>
      </c>
      <c r="B407" s="10">
        <f>'[1]2019 ALL D95'!B407</f>
        <v>46104</v>
      </c>
      <c r="C407" s="10">
        <f>'[1]2019 ALL D95'!C407</f>
        <v>46113</v>
      </c>
      <c r="D407" s="11">
        <v>3273</v>
      </c>
      <c r="E407" s="11">
        <v>336</v>
      </c>
      <c r="F407" s="11">
        <v>4</v>
      </c>
      <c r="G407" s="13">
        <v>9</v>
      </c>
      <c r="H407" s="13">
        <v>81676</v>
      </c>
      <c r="I407" s="11" t="s">
        <v>17</v>
      </c>
      <c r="J407" s="13">
        <v>15749390</v>
      </c>
      <c r="K407" s="13" t="s">
        <v>476</v>
      </c>
      <c r="L407" s="13" t="s">
        <v>482</v>
      </c>
      <c r="M407" s="17">
        <v>299900</v>
      </c>
      <c r="N407" s="15">
        <v>0.75</v>
      </c>
      <c r="O407" s="16">
        <f t="shared" si="30"/>
        <v>74975</v>
      </c>
      <c r="P407" s="11" t="s">
        <v>20</v>
      </c>
    </row>
    <row r="408" spans="1:16" x14ac:dyDescent="0.25">
      <c r="A408" s="9" t="str">
        <f t="shared" si="32"/>
        <v>2024 ALL D75</v>
      </c>
      <c r="B408" s="10">
        <f>'[1]2019 ALL D95'!B408</f>
        <v>46104</v>
      </c>
      <c r="C408" s="10">
        <f>'[1]2019 ALL D95'!C408</f>
        <v>46113</v>
      </c>
      <c r="D408" s="11">
        <v>3273</v>
      </c>
      <c r="E408" s="11">
        <v>336</v>
      </c>
      <c r="F408" s="11">
        <v>4</v>
      </c>
      <c r="G408" s="13">
        <v>9</v>
      </c>
      <c r="H408" s="13">
        <v>81676</v>
      </c>
      <c r="I408" s="11" t="s">
        <v>17</v>
      </c>
      <c r="J408" s="13">
        <v>15749407</v>
      </c>
      <c r="K408" s="13" t="s">
        <v>476</v>
      </c>
      <c r="L408" s="13" t="s">
        <v>483</v>
      </c>
      <c r="M408" s="17">
        <v>299900</v>
      </c>
      <c r="N408" s="15">
        <v>0.75</v>
      </c>
      <c r="O408" s="16">
        <f t="shared" si="30"/>
        <v>74975</v>
      </c>
      <c r="P408" s="11" t="s">
        <v>20</v>
      </c>
    </row>
    <row r="409" spans="1:16" x14ac:dyDescent="0.25">
      <c r="A409" s="9" t="str">
        <f t="shared" si="32"/>
        <v>2024 ALL D75</v>
      </c>
      <c r="B409" s="10">
        <f>'[1]2019 ALL D95'!B409</f>
        <v>46104</v>
      </c>
      <c r="C409" s="10">
        <f>'[1]2019 ALL D95'!C409</f>
        <v>46113</v>
      </c>
      <c r="D409" s="11">
        <v>3273</v>
      </c>
      <c r="E409" s="11">
        <v>336</v>
      </c>
      <c r="F409" s="11">
        <v>4</v>
      </c>
      <c r="G409" s="13">
        <v>9</v>
      </c>
      <c r="H409" s="13">
        <v>81676</v>
      </c>
      <c r="I409" s="11" t="s">
        <v>17</v>
      </c>
      <c r="J409" s="13">
        <v>15749416</v>
      </c>
      <c r="K409" s="13" t="s">
        <v>476</v>
      </c>
      <c r="L409" s="13" t="s">
        <v>484</v>
      </c>
      <c r="M409" s="17">
        <v>299900</v>
      </c>
      <c r="N409" s="15">
        <v>0.75</v>
      </c>
      <c r="O409" s="16">
        <f t="shared" si="30"/>
        <v>74975</v>
      </c>
      <c r="P409" s="11" t="s">
        <v>20</v>
      </c>
    </row>
    <row r="410" spans="1:16" x14ac:dyDescent="0.25">
      <c r="A410" s="9" t="str">
        <f t="shared" si="32"/>
        <v>2024 ALL D75</v>
      </c>
      <c r="B410" s="10">
        <f>'[1]2019 ALL D95'!B410</f>
        <v>46104</v>
      </c>
      <c r="C410" s="10">
        <f>'[1]2019 ALL D95'!C410</f>
        <v>46113</v>
      </c>
      <c r="D410" s="11">
        <v>3273</v>
      </c>
      <c r="E410" s="11">
        <v>336</v>
      </c>
      <c r="F410" s="11">
        <v>4</v>
      </c>
      <c r="G410" s="13">
        <v>9</v>
      </c>
      <c r="H410" s="13">
        <v>81676</v>
      </c>
      <c r="I410" s="11" t="s">
        <v>17</v>
      </c>
      <c r="J410" s="13">
        <v>15749550</v>
      </c>
      <c r="K410" s="13" t="s">
        <v>485</v>
      </c>
      <c r="L410" s="13" t="s">
        <v>486</v>
      </c>
      <c r="M410" s="17">
        <v>299900</v>
      </c>
      <c r="N410" s="15">
        <v>0.75</v>
      </c>
      <c r="O410" s="16">
        <f t="shared" si="30"/>
        <v>74975</v>
      </c>
      <c r="P410" s="11" t="s">
        <v>20</v>
      </c>
    </row>
    <row r="411" spans="1:16" x14ac:dyDescent="0.25">
      <c r="A411" s="9" t="str">
        <f t="shared" si="32"/>
        <v>2024 ALL D75</v>
      </c>
      <c r="B411" s="10">
        <f>'[1]2019 ALL D95'!B411</f>
        <v>46104</v>
      </c>
      <c r="C411" s="10">
        <f>'[1]2019 ALL D95'!C411</f>
        <v>46113</v>
      </c>
      <c r="D411" s="11">
        <v>3273</v>
      </c>
      <c r="E411" s="11">
        <v>336</v>
      </c>
      <c r="F411" s="11">
        <v>4</v>
      </c>
      <c r="G411" s="13">
        <v>9</v>
      </c>
      <c r="H411" s="13">
        <v>81676</v>
      </c>
      <c r="I411" s="11" t="s">
        <v>17</v>
      </c>
      <c r="J411" s="13">
        <v>15749569</v>
      </c>
      <c r="K411" s="13" t="s">
        <v>485</v>
      </c>
      <c r="L411" s="13" t="s">
        <v>487</v>
      </c>
      <c r="M411" s="17">
        <v>299900</v>
      </c>
      <c r="N411" s="15">
        <v>0.75</v>
      </c>
      <c r="O411" s="16">
        <f t="shared" si="30"/>
        <v>74975</v>
      </c>
      <c r="P411" s="11" t="s">
        <v>20</v>
      </c>
    </row>
    <row r="412" spans="1:16" x14ac:dyDescent="0.25">
      <c r="A412" s="9" t="str">
        <f t="shared" si="32"/>
        <v>2024 ALL D75</v>
      </c>
      <c r="B412" s="10">
        <f>'[1]2019 ALL D95'!B412</f>
        <v>46104</v>
      </c>
      <c r="C412" s="10">
        <f>'[1]2019 ALL D95'!C412</f>
        <v>46113</v>
      </c>
      <c r="D412" s="11">
        <v>3273</v>
      </c>
      <c r="E412" s="11">
        <v>336</v>
      </c>
      <c r="F412" s="11">
        <v>4</v>
      </c>
      <c r="G412" s="13">
        <v>9</v>
      </c>
      <c r="H412" s="13">
        <v>81676</v>
      </c>
      <c r="I412" s="11" t="s">
        <v>17</v>
      </c>
      <c r="J412" s="13">
        <v>15749578</v>
      </c>
      <c r="K412" s="13" t="s">
        <v>485</v>
      </c>
      <c r="L412" s="13" t="s">
        <v>488</v>
      </c>
      <c r="M412" s="17">
        <v>299900</v>
      </c>
      <c r="N412" s="15">
        <v>0.75</v>
      </c>
      <c r="O412" s="16">
        <f t="shared" si="30"/>
        <v>74975</v>
      </c>
      <c r="P412" s="11" t="s">
        <v>20</v>
      </c>
    </row>
    <row r="413" spans="1:16" x14ac:dyDescent="0.25">
      <c r="A413" s="9" t="str">
        <f t="shared" si="32"/>
        <v>2024 ALL D75</v>
      </c>
      <c r="B413" s="10">
        <f>'[1]2019 ALL D95'!B413</f>
        <v>46104</v>
      </c>
      <c r="C413" s="10">
        <f>'[1]2019 ALL D95'!C413</f>
        <v>46113</v>
      </c>
      <c r="D413" s="11">
        <v>3273</v>
      </c>
      <c r="E413" s="11">
        <v>336</v>
      </c>
      <c r="F413" s="11">
        <v>4</v>
      </c>
      <c r="G413" s="13">
        <v>9</v>
      </c>
      <c r="H413" s="13">
        <v>81676</v>
      </c>
      <c r="I413" s="11" t="s">
        <v>17</v>
      </c>
      <c r="J413" s="13">
        <v>15749587</v>
      </c>
      <c r="K413" s="13" t="s">
        <v>485</v>
      </c>
      <c r="L413" s="13" t="s">
        <v>489</v>
      </c>
      <c r="M413" s="17">
        <v>299900</v>
      </c>
      <c r="N413" s="15">
        <v>0.75</v>
      </c>
      <c r="O413" s="16">
        <f t="shared" si="30"/>
        <v>74975</v>
      </c>
      <c r="P413" s="11" t="s">
        <v>20</v>
      </c>
    </row>
    <row r="414" spans="1:16" x14ac:dyDescent="0.25">
      <c r="A414" s="9" t="str">
        <f t="shared" si="32"/>
        <v>2024 ALL D75</v>
      </c>
      <c r="B414" s="10">
        <f>'[1]2019 ALL D95'!B414</f>
        <v>46104</v>
      </c>
      <c r="C414" s="10">
        <f>'[1]2019 ALL D95'!C414</f>
        <v>46113</v>
      </c>
      <c r="D414" s="11">
        <v>3273</v>
      </c>
      <c r="E414" s="11">
        <v>336</v>
      </c>
      <c r="F414" s="11">
        <v>4</v>
      </c>
      <c r="G414" s="13">
        <v>9</v>
      </c>
      <c r="H414" s="13">
        <v>81676</v>
      </c>
      <c r="I414" s="11" t="s">
        <v>17</v>
      </c>
      <c r="J414" s="13">
        <v>15749596</v>
      </c>
      <c r="K414" s="13" t="s">
        <v>485</v>
      </c>
      <c r="L414" s="13" t="s">
        <v>490</v>
      </c>
      <c r="M414" s="17">
        <v>299900</v>
      </c>
      <c r="N414" s="15">
        <v>0.75</v>
      </c>
      <c r="O414" s="16">
        <f t="shared" si="30"/>
        <v>74975</v>
      </c>
      <c r="P414" s="11" t="s">
        <v>20</v>
      </c>
    </row>
    <row r="415" spans="1:16" x14ac:dyDescent="0.25">
      <c r="A415" s="9" t="str">
        <f t="shared" si="32"/>
        <v>2024 ALL D75</v>
      </c>
      <c r="B415" s="10">
        <f>'[1]2019 ALL D95'!B415</f>
        <v>46104</v>
      </c>
      <c r="C415" s="10">
        <f>'[1]2019 ALL D95'!C415</f>
        <v>46113</v>
      </c>
      <c r="D415" s="11">
        <v>3273</v>
      </c>
      <c r="E415" s="11">
        <v>336</v>
      </c>
      <c r="F415" s="11">
        <v>4</v>
      </c>
      <c r="G415" s="13">
        <v>9</v>
      </c>
      <c r="H415" s="13">
        <v>81676</v>
      </c>
      <c r="I415" s="11" t="s">
        <v>17</v>
      </c>
      <c r="J415" s="13">
        <v>15749603</v>
      </c>
      <c r="K415" s="13" t="s">
        <v>485</v>
      </c>
      <c r="L415" s="13" t="s">
        <v>491</v>
      </c>
      <c r="M415" s="17">
        <v>299900</v>
      </c>
      <c r="N415" s="15">
        <v>0.75</v>
      </c>
      <c r="O415" s="16">
        <f t="shared" si="30"/>
        <v>74975</v>
      </c>
      <c r="P415" s="11" t="s">
        <v>20</v>
      </c>
    </row>
    <row r="416" spans="1:16" x14ac:dyDescent="0.25">
      <c r="A416" s="9" t="str">
        <f t="shared" si="32"/>
        <v>2024 ALL D75</v>
      </c>
      <c r="B416" s="10">
        <f>'[1]2019 ALL D95'!B416</f>
        <v>46104</v>
      </c>
      <c r="C416" s="10">
        <f>'[1]2019 ALL D95'!C416</f>
        <v>46113</v>
      </c>
      <c r="D416" s="11">
        <v>3273</v>
      </c>
      <c r="E416" s="11">
        <v>336</v>
      </c>
      <c r="F416" s="11">
        <v>4</v>
      </c>
      <c r="G416" s="13">
        <v>9</v>
      </c>
      <c r="H416" s="13">
        <v>81676</v>
      </c>
      <c r="I416" s="11" t="s">
        <v>17</v>
      </c>
      <c r="J416" s="13">
        <v>15749612</v>
      </c>
      <c r="K416" s="13" t="s">
        <v>485</v>
      </c>
      <c r="L416" s="13" t="s">
        <v>492</v>
      </c>
      <c r="M416" s="17">
        <v>299900</v>
      </c>
      <c r="N416" s="15">
        <v>0.75</v>
      </c>
      <c r="O416" s="16">
        <f t="shared" si="30"/>
        <v>74975</v>
      </c>
      <c r="P416" s="11" t="s">
        <v>20</v>
      </c>
    </row>
    <row r="417" spans="1:16" x14ac:dyDescent="0.25">
      <c r="A417" s="9" t="str">
        <f t="shared" si="32"/>
        <v>2024 ALL D75</v>
      </c>
      <c r="B417" s="10">
        <f>'[1]2019 ALL D95'!B417</f>
        <v>46104</v>
      </c>
      <c r="C417" s="10">
        <f>'[1]2019 ALL D95'!C417</f>
        <v>46113</v>
      </c>
      <c r="D417" s="11">
        <v>3273</v>
      </c>
      <c r="E417" s="11">
        <v>336</v>
      </c>
      <c r="F417" s="11">
        <v>4</v>
      </c>
      <c r="G417" s="13">
        <v>9</v>
      </c>
      <c r="H417" s="13">
        <v>81676</v>
      </c>
      <c r="I417" s="11" t="s">
        <v>17</v>
      </c>
      <c r="J417" s="13">
        <v>15749621</v>
      </c>
      <c r="K417" s="13" t="s">
        <v>485</v>
      </c>
      <c r="L417" s="13" t="s">
        <v>493</v>
      </c>
      <c r="M417" s="17">
        <v>299900</v>
      </c>
      <c r="N417" s="15">
        <v>0.75</v>
      </c>
      <c r="O417" s="16">
        <f t="shared" si="30"/>
        <v>74975</v>
      </c>
      <c r="P417" s="11" t="s">
        <v>20</v>
      </c>
    </row>
    <row r="418" spans="1:16" x14ac:dyDescent="0.25">
      <c r="A418" s="9" t="str">
        <f t="shared" si="32"/>
        <v>2024 ALL D75</v>
      </c>
      <c r="B418" s="10">
        <f>'[1]2019 ALL D95'!B418</f>
        <v>46104</v>
      </c>
      <c r="C418" s="10">
        <f>'[1]2019 ALL D95'!C418</f>
        <v>46113</v>
      </c>
      <c r="D418" s="11">
        <v>3273</v>
      </c>
      <c r="E418" s="11">
        <v>336</v>
      </c>
      <c r="F418" s="11">
        <v>4</v>
      </c>
      <c r="G418" s="13">
        <v>9</v>
      </c>
      <c r="H418" s="13">
        <v>81574</v>
      </c>
      <c r="I418" s="11" t="s">
        <v>17</v>
      </c>
      <c r="J418" s="13">
        <v>15638643</v>
      </c>
      <c r="K418" s="13" t="s">
        <v>494</v>
      </c>
      <c r="L418" s="13" t="s">
        <v>495</v>
      </c>
      <c r="M418" s="17">
        <v>279900</v>
      </c>
      <c r="N418" s="15">
        <v>0.75</v>
      </c>
      <c r="O418" s="16">
        <f t="shared" si="30"/>
        <v>69975</v>
      </c>
      <c r="P418" s="11" t="s">
        <v>20</v>
      </c>
    </row>
    <row r="419" spans="1:16" x14ac:dyDescent="0.25">
      <c r="A419" s="9" t="str">
        <f t="shared" ref="A419:A434" si="33">A418</f>
        <v>2024 ALL D75</v>
      </c>
      <c r="B419" s="10">
        <f>'[1]2019 ALL D95'!B419</f>
        <v>46104</v>
      </c>
      <c r="C419" s="10">
        <f>'[1]2019 ALL D95'!C419</f>
        <v>46113</v>
      </c>
      <c r="D419" s="11">
        <v>3273</v>
      </c>
      <c r="E419" s="11">
        <v>336</v>
      </c>
      <c r="F419" s="11">
        <v>4</v>
      </c>
      <c r="G419" s="13">
        <v>9</v>
      </c>
      <c r="H419" s="13">
        <v>81574</v>
      </c>
      <c r="I419" s="11" t="s">
        <v>17</v>
      </c>
      <c r="J419" s="13">
        <v>15638652</v>
      </c>
      <c r="K419" s="13" t="s">
        <v>494</v>
      </c>
      <c r="L419" s="13" t="s">
        <v>496</v>
      </c>
      <c r="M419" s="17">
        <v>279900</v>
      </c>
      <c r="N419" s="15">
        <v>0.75</v>
      </c>
      <c r="O419" s="16">
        <f t="shared" si="30"/>
        <v>69975</v>
      </c>
      <c r="P419" s="11" t="s">
        <v>20</v>
      </c>
    </row>
    <row r="420" spans="1:16" x14ac:dyDescent="0.25">
      <c r="A420" s="9" t="str">
        <f t="shared" si="33"/>
        <v>2024 ALL D75</v>
      </c>
      <c r="B420" s="10">
        <f>'[1]2019 ALL D95'!B420</f>
        <v>46104</v>
      </c>
      <c r="C420" s="10">
        <f>'[1]2019 ALL D95'!C420</f>
        <v>46113</v>
      </c>
      <c r="D420" s="11">
        <v>3273</v>
      </c>
      <c r="E420" s="11">
        <v>336</v>
      </c>
      <c r="F420" s="11">
        <v>4</v>
      </c>
      <c r="G420" s="13">
        <v>9</v>
      </c>
      <c r="H420" s="13">
        <v>81574</v>
      </c>
      <c r="I420" s="11" t="s">
        <v>17</v>
      </c>
      <c r="J420" s="13">
        <v>15638661</v>
      </c>
      <c r="K420" s="13" t="s">
        <v>494</v>
      </c>
      <c r="L420" s="13" t="s">
        <v>497</v>
      </c>
      <c r="M420" s="17">
        <v>279900</v>
      </c>
      <c r="N420" s="15">
        <v>0.75</v>
      </c>
      <c r="O420" s="16">
        <f t="shared" si="30"/>
        <v>69975</v>
      </c>
      <c r="P420" s="11" t="s">
        <v>20</v>
      </c>
    </row>
    <row r="421" spans="1:16" x14ac:dyDescent="0.25">
      <c r="A421" s="9" t="str">
        <f t="shared" si="33"/>
        <v>2024 ALL D75</v>
      </c>
      <c r="B421" s="10">
        <f>'[1]2019 ALL D95'!B421</f>
        <v>46104</v>
      </c>
      <c r="C421" s="10">
        <f>'[1]2019 ALL D95'!C421</f>
        <v>46113</v>
      </c>
      <c r="D421" s="11">
        <v>3273</v>
      </c>
      <c r="E421" s="11">
        <v>336</v>
      </c>
      <c r="F421" s="11">
        <v>4</v>
      </c>
      <c r="G421" s="13">
        <v>9</v>
      </c>
      <c r="H421" s="13">
        <v>81574</v>
      </c>
      <c r="I421" s="11" t="s">
        <v>17</v>
      </c>
      <c r="J421" s="13">
        <v>15638670</v>
      </c>
      <c r="K421" s="13" t="s">
        <v>494</v>
      </c>
      <c r="L421" s="13" t="s">
        <v>498</v>
      </c>
      <c r="M421" s="17">
        <v>279900</v>
      </c>
      <c r="N421" s="15">
        <v>0.75</v>
      </c>
      <c r="O421" s="16">
        <f t="shared" si="30"/>
        <v>69975</v>
      </c>
      <c r="P421" s="11" t="s">
        <v>20</v>
      </c>
    </row>
    <row r="422" spans="1:16" x14ac:dyDescent="0.25">
      <c r="A422" s="9" t="str">
        <f t="shared" si="33"/>
        <v>2024 ALL D75</v>
      </c>
      <c r="B422" s="10">
        <f>'[1]2019 ALL D95'!B422</f>
        <v>46104</v>
      </c>
      <c r="C422" s="10">
        <f>'[1]2019 ALL D95'!C422</f>
        <v>46113</v>
      </c>
      <c r="D422" s="11">
        <v>3273</v>
      </c>
      <c r="E422" s="11">
        <v>336</v>
      </c>
      <c r="F422" s="11">
        <v>4</v>
      </c>
      <c r="G422" s="13">
        <v>9</v>
      </c>
      <c r="H422" s="13">
        <v>81574</v>
      </c>
      <c r="I422" s="11" t="s">
        <v>17</v>
      </c>
      <c r="J422" s="13">
        <v>15638689</v>
      </c>
      <c r="K422" s="13" t="s">
        <v>494</v>
      </c>
      <c r="L422" s="13" t="s">
        <v>499</v>
      </c>
      <c r="M422" s="17">
        <v>279900</v>
      </c>
      <c r="N422" s="15">
        <v>0.75</v>
      </c>
      <c r="O422" s="16">
        <f t="shared" si="30"/>
        <v>69975</v>
      </c>
      <c r="P422" s="11" t="s">
        <v>20</v>
      </c>
    </row>
    <row r="423" spans="1:16" x14ac:dyDescent="0.25">
      <c r="A423" s="9" t="str">
        <f t="shared" si="33"/>
        <v>2024 ALL D75</v>
      </c>
      <c r="B423" s="10">
        <f>'[1]2019 ALL D95'!B423</f>
        <v>46104</v>
      </c>
      <c r="C423" s="10">
        <f>'[1]2019 ALL D95'!C423</f>
        <v>46113</v>
      </c>
      <c r="D423" s="11">
        <v>3273</v>
      </c>
      <c r="E423" s="11">
        <v>336</v>
      </c>
      <c r="F423" s="11">
        <v>4</v>
      </c>
      <c r="G423" s="13">
        <v>9</v>
      </c>
      <c r="H423" s="13">
        <v>81574</v>
      </c>
      <c r="I423" s="11" t="s">
        <v>17</v>
      </c>
      <c r="J423" s="13">
        <v>15638698</v>
      </c>
      <c r="K423" s="13" t="s">
        <v>494</v>
      </c>
      <c r="L423" s="13" t="s">
        <v>500</v>
      </c>
      <c r="M423" s="17">
        <v>279900</v>
      </c>
      <c r="N423" s="15">
        <v>0.75</v>
      </c>
      <c r="O423" s="16">
        <f t="shared" si="30"/>
        <v>69975</v>
      </c>
      <c r="P423" s="11" t="s">
        <v>20</v>
      </c>
    </row>
    <row r="424" spans="1:16" x14ac:dyDescent="0.25">
      <c r="A424" s="9" t="str">
        <f t="shared" si="33"/>
        <v>2024 ALL D75</v>
      </c>
      <c r="B424" s="10">
        <f>'[1]2019 ALL D95'!B424</f>
        <v>46104</v>
      </c>
      <c r="C424" s="10">
        <f>'[1]2019 ALL D95'!C424</f>
        <v>46113</v>
      </c>
      <c r="D424" s="11">
        <v>3273</v>
      </c>
      <c r="E424" s="11">
        <v>336</v>
      </c>
      <c r="F424" s="11">
        <v>4</v>
      </c>
      <c r="G424" s="13">
        <v>9</v>
      </c>
      <c r="H424" s="13">
        <v>81574</v>
      </c>
      <c r="I424" s="11" t="s">
        <v>17</v>
      </c>
      <c r="J424" s="13">
        <v>15638705</v>
      </c>
      <c r="K424" s="13" t="s">
        <v>494</v>
      </c>
      <c r="L424" s="13" t="s">
        <v>501</v>
      </c>
      <c r="M424" s="17">
        <v>279900</v>
      </c>
      <c r="N424" s="15">
        <v>0.75</v>
      </c>
      <c r="O424" s="16">
        <f t="shared" si="30"/>
        <v>69975</v>
      </c>
      <c r="P424" s="11" t="s">
        <v>20</v>
      </c>
    </row>
    <row r="425" spans="1:16" x14ac:dyDescent="0.25">
      <c r="A425" s="9" t="str">
        <f t="shared" si="33"/>
        <v>2024 ALL D75</v>
      </c>
      <c r="B425" s="10">
        <f>'[1]2019 ALL D95'!B425</f>
        <v>46104</v>
      </c>
      <c r="C425" s="10">
        <f>'[1]2019 ALL D95'!C425</f>
        <v>46113</v>
      </c>
      <c r="D425" s="11">
        <v>3273</v>
      </c>
      <c r="E425" s="11">
        <v>336</v>
      </c>
      <c r="F425" s="11">
        <v>4</v>
      </c>
      <c r="G425" s="13">
        <v>9</v>
      </c>
      <c r="H425" s="13">
        <v>81574</v>
      </c>
      <c r="I425" s="11" t="s">
        <v>17</v>
      </c>
      <c r="J425" s="13">
        <v>15638714</v>
      </c>
      <c r="K425" s="13" t="s">
        <v>494</v>
      </c>
      <c r="L425" s="13" t="s">
        <v>502</v>
      </c>
      <c r="M425" s="17">
        <v>279900</v>
      </c>
      <c r="N425" s="15">
        <v>0.75</v>
      </c>
      <c r="O425" s="16">
        <f t="shared" si="30"/>
        <v>69975</v>
      </c>
      <c r="P425" s="11" t="s">
        <v>20</v>
      </c>
    </row>
    <row r="426" spans="1:16" x14ac:dyDescent="0.25">
      <c r="A426" s="9" t="str">
        <f t="shared" si="33"/>
        <v>2024 ALL D75</v>
      </c>
      <c r="B426" s="10">
        <f>'[1]2019 ALL D95'!B426</f>
        <v>46104</v>
      </c>
      <c r="C426" s="10">
        <f>'[1]2019 ALL D95'!C426</f>
        <v>46113</v>
      </c>
      <c r="D426" s="11">
        <v>3273</v>
      </c>
      <c r="E426" s="11">
        <v>336</v>
      </c>
      <c r="F426" s="11">
        <v>4</v>
      </c>
      <c r="G426" s="13">
        <v>9</v>
      </c>
      <c r="H426" s="13">
        <v>81574</v>
      </c>
      <c r="I426" s="11" t="s">
        <v>17</v>
      </c>
      <c r="J426" s="13">
        <v>15640327</v>
      </c>
      <c r="K426" s="13" t="s">
        <v>503</v>
      </c>
      <c r="L426" s="13" t="s">
        <v>504</v>
      </c>
      <c r="M426" s="17">
        <v>279900</v>
      </c>
      <c r="N426" s="15">
        <v>0.75</v>
      </c>
      <c r="O426" s="16">
        <f t="shared" si="30"/>
        <v>69975</v>
      </c>
      <c r="P426" s="11" t="s">
        <v>20</v>
      </c>
    </row>
    <row r="427" spans="1:16" x14ac:dyDescent="0.25">
      <c r="A427" s="9" t="str">
        <f t="shared" si="33"/>
        <v>2024 ALL D75</v>
      </c>
      <c r="B427" s="10">
        <f>'[1]2019 ALL D95'!B427</f>
        <v>46104</v>
      </c>
      <c r="C427" s="10">
        <f>'[1]2019 ALL D95'!C427</f>
        <v>46113</v>
      </c>
      <c r="D427" s="11">
        <v>3273</v>
      </c>
      <c r="E427" s="11">
        <v>336</v>
      </c>
      <c r="F427" s="11">
        <v>4</v>
      </c>
      <c r="G427" s="13">
        <v>9</v>
      </c>
      <c r="H427" s="13">
        <v>81574</v>
      </c>
      <c r="I427" s="11" t="s">
        <v>17</v>
      </c>
      <c r="J427" s="13">
        <v>15640336</v>
      </c>
      <c r="K427" s="13" t="s">
        <v>503</v>
      </c>
      <c r="L427" s="13" t="s">
        <v>505</v>
      </c>
      <c r="M427" s="17">
        <v>279900</v>
      </c>
      <c r="N427" s="15">
        <v>0.75</v>
      </c>
      <c r="O427" s="16">
        <f t="shared" si="30"/>
        <v>69975</v>
      </c>
      <c r="P427" s="11" t="s">
        <v>20</v>
      </c>
    </row>
    <row r="428" spans="1:16" x14ac:dyDescent="0.25">
      <c r="A428" s="9" t="str">
        <f t="shared" si="33"/>
        <v>2024 ALL D75</v>
      </c>
      <c r="B428" s="10">
        <f>'[1]2019 ALL D95'!B428</f>
        <v>46104</v>
      </c>
      <c r="C428" s="10">
        <f>'[1]2019 ALL D95'!C428</f>
        <v>46113</v>
      </c>
      <c r="D428" s="11">
        <v>3273</v>
      </c>
      <c r="E428" s="11">
        <v>336</v>
      </c>
      <c r="F428" s="11">
        <v>4</v>
      </c>
      <c r="G428" s="13">
        <v>9</v>
      </c>
      <c r="H428" s="13">
        <v>81574</v>
      </c>
      <c r="I428" s="11" t="s">
        <v>17</v>
      </c>
      <c r="J428" s="13">
        <v>15640345</v>
      </c>
      <c r="K428" s="13" t="s">
        <v>503</v>
      </c>
      <c r="L428" s="13" t="s">
        <v>506</v>
      </c>
      <c r="M428" s="17">
        <v>279900</v>
      </c>
      <c r="N428" s="15">
        <v>0.75</v>
      </c>
      <c r="O428" s="16">
        <f t="shared" si="30"/>
        <v>69975</v>
      </c>
      <c r="P428" s="11" t="s">
        <v>20</v>
      </c>
    </row>
    <row r="429" spans="1:16" x14ac:dyDescent="0.25">
      <c r="A429" s="9" t="str">
        <f t="shared" si="33"/>
        <v>2024 ALL D75</v>
      </c>
      <c r="B429" s="10">
        <f>'[1]2019 ALL D95'!B429</f>
        <v>46104</v>
      </c>
      <c r="C429" s="10">
        <f>'[1]2019 ALL D95'!C429</f>
        <v>46113</v>
      </c>
      <c r="D429" s="11">
        <v>3273</v>
      </c>
      <c r="E429" s="11">
        <v>336</v>
      </c>
      <c r="F429" s="11">
        <v>4</v>
      </c>
      <c r="G429" s="13">
        <v>9</v>
      </c>
      <c r="H429" s="13">
        <v>81574</v>
      </c>
      <c r="I429" s="11" t="s">
        <v>17</v>
      </c>
      <c r="J429" s="13">
        <v>15640354</v>
      </c>
      <c r="K429" s="13" t="s">
        <v>503</v>
      </c>
      <c r="L429" s="13" t="s">
        <v>507</v>
      </c>
      <c r="M429" s="17">
        <v>279900</v>
      </c>
      <c r="N429" s="15">
        <v>0.75</v>
      </c>
      <c r="O429" s="16">
        <f t="shared" si="30"/>
        <v>69975</v>
      </c>
      <c r="P429" s="11" t="s">
        <v>20</v>
      </c>
    </row>
    <row r="430" spans="1:16" x14ac:dyDescent="0.25">
      <c r="A430" s="9" t="str">
        <f t="shared" si="33"/>
        <v>2024 ALL D75</v>
      </c>
      <c r="B430" s="10">
        <f>'[1]2019 ALL D95'!B430</f>
        <v>46104</v>
      </c>
      <c r="C430" s="10">
        <f>'[1]2019 ALL D95'!C430</f>
        <v>46113</v>
      </c>
      <c r="D430" s="11">
        <v>3273</v>
      </c>
      <c r="E430" s="11">
        <v>336</v>
      </c>
      <c r="F430" s="11">
        <v>4</v>
      </c>
      <c r="G430" s="13">
        <v>9</v>
      </c>
      <c r="H430" s="13">
        <v>81574</v>
      </c>
      <c r="I430" s="11" t="s">
        <v>17</v>
      </c>
      <c r="J430" s="13">
        <v>15640363</v>
      </c>
      <c r="K430" s="13" t="s">
        <v>503</v>
      </c>
      <c r="L430" s="13" t="s">
        <v>508</v>
      </c>
      <c r="M430" s="17">
        <v>279900</v>
      </c>
      <c r="N430" s="15">
        <v>0.75</v>
      </c>
      <c r="O430" s="16">
        <f t="shared" si="30"/>
        <v>69975</v>
      </c>
      <c r="P430" s="11" t="s">
        <v>20</v>
      </c>
    </row>
    <row r="431" spans="1:16" x14ac:dyDescent="0.25">
      <c r="A431" s="9" t="str">
        <f t="shared" si="33"/>
        <v>2024 ALL D75</v>
      </c>
      <c r="B431" s="10">
        <f>'[1]2019 ALL D95'!B431</f>
        <v>46104</v>
      </c>
      <c r="C431" s="10">
        <f>'[1]2019 ALL D95'!C431</f>
        <v>46113</v>
      </c>
      <c r="D431" s="11">
        <v>3273</v>
      </c>
      <c r="E431" s="11">
        <v>336</v>
      </c>
      <c r="F431" s="11">
        <v>4</v>
      </c>
      <c r="G431" s="13">
        <v>9</v>
      </c>
      <c r="H431" s="13">
        <v>81574</v>
      </c>
      <c r="I431" s="11" t="s">
        <v>17</v>
      </c>
      <c r="J431" s="13">
        <v>15640372</v>
      </c>
      <c r="K431" s="13" t="s">
        <v>503</v>
      </c>
      <c r="L431" s="13" t="s">
        <v>509</v>
      </c>
      <c r="M431" s="17">
        <v>279900</v>
      </c>
      <c r="N431" s="15">
        <v>0.75</v>
      </c>
      <c r="O431" s="16">
        <f t="shared" si="30"/>
        <v>69975</v>
      </c>
      <c r="P431" s="11" t="s">
        <v>20</v>
      </c>
    </row>
    <row r="432" spans="1:16" x14ac:dyDescent="0.25">
      <c r="A432" s="9" t="str">
        <f t="shared" si="33"/>
        <v>2024 ALL D75</v>
      </c>
      <c r="B432" s="10">
        <f>'[1]2019 ALL D95'!B432</f>
        <v>46104</v>
      </c>
      <c r="C432" s="10">
        <f>'[1]2019 ALL D95'!C432</f>
        <v>46113</v>
      </c>
      <c r="D432" s="11">
        <v>3273</v>
      </c>
      <c r="E432" s="11">
        <v>336</v>
      </c>
      <c r="F432" s="11">
        <v>4</v>
      </c>
      <c r="G432" s="13">
        <v>9</v>
      </c>
      <c r="H432" s="13">
        <v>81574</v>
      </c>
      <c r="I432" s="11" t="s">
        <v>17</v>
      </c>
      <c r="J432" s="13">
        <v>15640381</v>
      </c>
      <c r="K432" s="13" t="s">
        <v>503</v>
      </c>
      <c r="L432" s="13" t="s">
        <v>510</v>
      </c>
      <c r="M432" s="17">
        <v>279900</v>
      </c>
      <c r="N432" s="15">
        <v>0.75</v>
      </c>
      <c r="O432" s="16">
        <f t="shared" si="30"/>
        <v>69975</v>
      </c>
      <c r="P432" s="11" t="s">
        <v>20</v>
      </c>
    </row>
    <row r="433" spans="1:16" x14ac:dyDescent="0.25">
      <c r="A433" s="9" t="str">
        <f t="shared" si="33"/>
        <v>2024 ALL D75</v>
      </c>
      <c r="B433" s="10">
        <f>'[1]2019 ALL D95'!B433</f>
        <v>46104</v>
      </c>
      <c r="C433" s="10">
        <f>'[1]2019 ALL D95'!C433</f>
        <v>46113</v>
      </c>
      <c r="D433" s="11">
        <v>3273</v>
      </c>
      <c r="E433" s="11">
        <v>336</v>
      </c>
      <c r="F433" s="11">
        <v>4</v>
      </c>
      <c r="G433" s="13">
        <v>9</v>
      </c>
      <c r="H433" s="13">
        <v>81574</v>
      </c>
      <c r="I433" s="11" t="s">
        <v>17</v>
      </c>
      <c r="J433" s="13">
        <v>15640390</v>
      </c>
      <c r="K433" s="13" t="s">
        <v>503</v>
      </c>
      <c r="L433" s="13" t="s">
        <v>511</v>
      </c>
      <c r="M433" s="17">
        <v>279900</v>
      </c>
      <c r="N433" s="15">
        <v>0.75</v>
      </c>
      <c r="O433" s="16">
        <f t="shared" si="30"/>
        <v>69975</v>
      </c>
      <c r="P433" s="11" t="s">
        <v>20</v>
      </c>
    </row>
    <row r="434" spans="1:16" x14ac:dyDescent="0.25">
      <c r="A434" s="9" t="str">
        <f t="shared" si="33"/>
        <v>2024 ALL D75</v>
      </c>
      <c r="B434" s="10">
        <f>'[1]2019 ALL D95'!B434</f>
        <v>46104</v>
      </c>
      <c r="C434" s="10">
        <f>'[1]2019 ALL D95'!C434</f>
        <v>46113</v>
      </c>
      <c r="D434" s="11">
        <v>3273</v>
      </c>
      <c r="E434" s="11">
        <v>336</v>
      </c>
      <c r="F434" s="11">
        <v>4</v>
      </c>
      <c r="G434" s="13">
        <v>9</v>
      </c>
      <c r="H434" s="13">
        <v>81588</v>
      </c>
      <c r="I434" s="11" t="s">
        <v>17</v>
      </c>
      <c r="J434" s="13">
        <v>15639651</v>
      </c>
      <c r="K434" s="13" t="s">
        <v>512</v>
      </c>
      <c r="L434" s="13" t="s">
        <v>513</v>
      </c>
      <c r="M434" s="17">
        <v>169900</v>
      </c>
      <c r="N434" s="15">
        <v>0.75</v>
      </c>
      <c r="O434" s="16">
        <f t="shared" si="30"/>
        <v>42475</v>
      </c>
      <c r="P434" s="11" t="s">
        <v>20</v>
      </c>
    </row>
    <row r="435" spans="1:16" x14ac:dyDescent="0.25">
      <c r="A435" s="9" t="str">
        <f t="shared" ref="A435:A450" si="34">A434</f>
        <v>2024 ALL D75</v>
      </c>
      <c r="B435" s="10">
        <f>'[1]2019 ALL D95'!B435</f>
        <v>46104</v>
      </c>
      <c r="C435" s="10">
        <f>'[1]2019 ALL D95'!C435</f>
        <v>46113</v>
      </c>
      <c r="D435" s="11">
        <v>3273</v>
      </c>
      <c r="E435" s="11">
        <v>336</v>
      </c>
      <c r="F435" s="11">
        <v>4</v>
      </c>
      <c r="G435" s="13">
        <v>9</v>
      </c>
      <c r="H435" s="13">
        <v>81588</v>
      </c>
      <c r="I435" s="11" t="s">
        <v>17</v>
      </c>
      <c r="J435" s="13">
        <v>15639660</v>
      </c>
      <c r="K435" s="13" t="s">
        <v>512</v>
      </c>
      <c r="L435" s="13" t="s">
        <v>514</v>
      </c>
      <c r="M435" s="17">
        <v>169900</v>
      </c>
      <c r="N435" s="15">
        <v>0.75</v>
      </c>
      <c r="O435" s="16">
        <f t="shared" si="30"/>
        <v>42475</v>
      </c>
      <c r="P435" s="11" t="s">
        <v>20</v>
      </c>
    </row>
    <row r="436" spans="1:16" x14ac:dyDescent="0.25">
      <c r="A436" s="9" t="str">
        <f t="shared" si="34"/>
        <v>2024 ALL D75</v>
      </c>
      <c r="B436" s="10">
        <f>'[1]2019 ALL D95'!B436</f>
        <v>46104</v>
      </c>
      <c r="C436" s="10">
        <f>'[1]2019 ALL D95'!C436</f>
        <v>46113</v>
      </c>
      <c r="D436" s="11">
        <v>3273</v>
      </c>
      <c r="E436" s="11">
        <v>336</v>
      </c>
      <c r="F436" s="11">
        <v>4</v>
      </c>
      <c r="G436" s="13">
        <v>9</v>
      </c>
      <c r="H436" s="13">
        <v>81588</v>
      </c>
      <c r="I436" s="11" t="s">
        <v>17</v>
      </c>
      <c r="J436" s="13">
        <v>15639679</v>
      </c>
      <c r="K436" s="13" t="s">
        <v>512</v>
      </c>
      <c r="L436" s="13" t="s">
        <v>515</v>
      </c>
      <c r="M436" s="17">
        <v>169900</v>
      </c>
      <c r="N436" s="15">
        <v>0.75</v>
      </c>
      <c r="O436" s="16">
        <f t="shared" si="30"/>
        <v>42475</v>
      </c>
      <c r="P436" s="11" t="s">
        <v>20</v>
      </c>
    </row>
    <row r="437" spans="1:16" x14ac:dyDescent="0.25">
      <c r="A437" s="9" t="str">
        <f t="shared" si="34"/>
        <v>2024 ALL D75</v>
      </c>
      <c r="B437" s="10">
        <f>'[1]2019 ALL D95'!B437</f>
        <v>46104</v>
      </c>
      <c r="C437" s="10">
        <f>'[1]2019 ALL D95'!C437</f>
        <v>46113</v>
      </c>
      <c r="D437" s="11">
        <v>3273</v>
      </c>
      <c r="E437" s="11">
        <v>336</v>
      </c>
      <c r="F437" s="11">
        <v>4</v>
      </c>
      <c r="G437" s="13">
        <v>9</v>
      </c>
      <c r="H437" s="13">
        <v>81588</v>
      </c>
      <c r="I437" s="11" t="s">
        <v>17</v>
      </c>
      <c r="J437" s="13">
        <v>15639688</v>
      </c>
      <c r="K437" s="13" t="s">
        <v>512</v>
      </c>
      <c r="L437" s="13" t="s">
        <v>516</v>
      </c>
      <c r="M437" s="17">
        <v>169900</v>
      </c>
      <c r="N437" s="15">
        <v>0.75</v>
      </c>
      <c r="O437" s="16">
        <f t="shared" si="30"/>
        <v>42475</v>
      </c>
      <c r="P437" s="11" t="s">
        <v>20</v>
      </c>
    </row>
    <row r="438" spans="1:16" x14ac:dyDescent="0.25">
      <c r="A438" s="9" t="str">
        <f t="shared" si="34"/>
        <v>2024 ALL D75</v>
      </c>
      <c r="B438" s="10">
        <f>'[1]2019 ALL D95'!B438</f>
        <v>46104</v>
      </c>
      <c r="C438" s="10">
        <f>'[1]2019 ALL D95'!C438</f>
        <v>46113</v>
      </c>
      <c r="D438" s="11">
        <v>3273</v>
      </c>
      <c r="E438" s="11">
        <v>336</v>
      </c>
      <c r="F438" s="11">
        <v>4</v>
      </c>
      <c r="G438" s="13">
        <v>9</v>
      </c>
      <c r="H438" s="13">
        <v>81588</v>
      </c>
      <c r="I438" s="11" t="s">
        <v>17</v>
      </c>
      <c r="J438" s="13">
        <v>15639697</v>
      </c>
      <c r="K438" s="13" t="s">
        <v>512</v>
      </c>
      <c r="L438" s="13" t="s">
        <v>517</v>
      </c>
      <c r="M438" s="17">
        <v>169900</v>
      </c>
      <c r="N438" s="15">
        <v>0.75</v>
      </c>
      <c r="O438" s="16">
        <f t="shared" si="30"/>
        <v>42475</v>
      </c>
      <c r="P438" s="11" t="s">
        <v>20</v>
      </c>
    </row>
    <row r="439" spans="1:16" x14ac:dyDescent="0.25">
      <c r="A439" s="9" t="str">
        <f t="shared" si="34"/>
        <v>2024 ALL D75</v>
      </c>
      <c r="B439" s="10">
        <f>'[1]2019 ALL D95'!B439</f>
        <v>46104</v>
      </c>
      <c r="C439" s="10">
        <f>'[1]2019 ALL D95'!C439</f>
        <v>46113</v>
      </c>
      <c r="D439" s="11">
        <v>3273</v>
      </c>
      <c r="E439" s="11">
        <v>336</v>
      </c>
      <c r="F439" s="11">
        <v>4</v>
      </c>
      <c r="G439" s="13">
        <v>9</v>
      </c>
      <c r="H439" s="13">
        <v>81588</v>
      </c>
      <c r="I439" s="11" t="s">
        <v>17</v>
      </c>
      <c r="J439" s="13">
        <v>15639704</v>
      </c>
      <c r="K439" s="13" t="s">
        <v>512</v>
      </c>
      <c r="L439" s="13" t="s">
        <v>518</v>
      </c>
      <c r="M439" s="17">
        <v>169900</v>
      </c>
      <c r="N439" s="15">
        <v>0.75</v>
      </c>
      <c r="O439" s="16">
        <f t="shared" si="30"/>
        <v>42475</v>
      </c>
      <c r="P439" s="11" t="s">
        <v>20</v>
      </c>
    </row>
    <row r="440" spans="1:16" x14ac:dyDescent="0.25">
      <c r="A440" s="9" t="str">
        <f t="shared" si="34"/>
        <v>2024 ALL D75</v>
      </c>
      <c r="B440" s="10">
        <f>'[1]2019 ALL D95'!B440</f>
        <v>46104</v>
      </c>
      <c r="C440" s="10">
        <f>'[1]2019 ALL D95'!C440</f>
        <v>46113</v>
      </c>
      <c r="D440" s="11">
        <v>3273</v>
      </c>
      <c r="E440" s="11">
        <v>336</v>
      </c>
      <c r="F440" s="11">
        <v>4</v>
      </c>
      <c r="G440" s="13">
        <v>9</v>
      </c>
      <c r="H440" s="13">
        <v>81588</v>
      </c>
      <c r="I440" s="11" t="s">
        <v>17</v>
      </c>
      <c r="J440" s="13">
        <v>15639713</v>
      </c>
      <c r="K440" s="13" t="s">
        <v>512</v>
      </c>
      <c r="L440" s="13" t="s">
        <v>519</v>
      </c>
      <c r="M440" s="17">
        <v>169900</v>
      </c>
      <c r="N440" s="15">
        <v>0.75</v>
      </c>
      <c r="O440" s="16">
        <f t="shared" si="30"/>
        <v>42475</v>
      </c>
      <c r="P440" s="11" t="s">
        <v>20</v>
      </c>
    </row>
    <row r="441" spans="1:16" x14ac:dyDescent="0.25">
      <c r="A441" s="9" t="str">
        <f t="shared" si="34"/>
        <v>2024 ALL D75</v>
      </c>
      <c r="B441" s="10">
        <f>'[1]2019 ALL D95'!B441</f>
        <v>46104</v>
      </c>
      <c r="C441" s="10">
        <f>'[1]2019 ALL D95'!C441</f>
        <v>46113</v>
      </c>
      <c r="D441" s="11">
        <v>3273</v>
      </c>
      <c r="E441" s="11">
        <v>336</v>
      </c>
      <c r="F441" s="11">
        <v>4</v>
      </c>
      <c r="G441" s="13">
        <v>9</v>
      </c>
      <c r="H441" s="13">
        <v>81588</v>
      </c>
      <c r="I441" s="11" t="s">
        <v>17</v>
      </c>
      <c r="J441" s="13">
        <v>15639722</v>
      </c>
      <c r="K441" s="13" t="s">
        <v>512</v>
      </c>
      <c r="L441" s="13" t="s">
        <v>520</v>
      </c>
      <c r="M441" s="17">
        <v>169900</v>
      </c>
      <c r="N441" s="15">
        <v>0.75</v>
      </c>
      <c r="O441" s="16">
        <f t="shared" si="30"/>
        <v>42475</v>
      </c>
      <c r="P441" s="11" t="s">
        <v>20</v>
      </c>
    </row>
    <row r="442" spans="1:16" x14ac:dyDescent="0.25">
      <c r="A442" s="9" t="str">
        <f t="shared" si="34"/>
        <v>2024 ALL D75</v>
      </c>
      <c r="B442" s="10">
        <f>'[1]2019 ALL D95'!B442</f>
        <v>46104</v>
      </c>
      <c r="C442" s="10">
        <f>'[1]2019 ALL D95'!C442</f>
        <v>46113</v>
      </c>
      <c r="D442" s="11">
        <v>3273</v>
      </c>
      <c r="E442" s="11">
        <v>336</v>
      </c>
      <c r="F442" s="11">
        <v>4</v>
      </c>
      <c r="G442" s="13">
        <v>9</v>
      </c>
      <c r="H442" s="13">
        <v>81574</v>
      </c>
      <c r="I442" s="11" t="s">
        <v>17</v>
      </c>
      <c r="J442" s="13">
        <v>15639893</v>
      </c>
      <c r="K442" s="13" t="s">
        <v>521</v>
      </c>
      <c r="L442" s="13" t="s">
        <v>522</v>
      </c>
      <c r="M442" s="17">
        <v>279900</v>
      </c>
      <c r="N442" s="15">
        <v>0.75</v>
      </c>
      <c r="O442" s="16">
        <f t="shared" si="30"/>
        <v>69975</v>
      </c>
      <c r="P442" s="11" t="s">
        <v>20</v>
      </c>
    </row>
    <row r="443" spans="1:16" x14ac:dyDescent="0.25">
      <c r="A443" s="9" t="str">
        <f t="shared" si="34"/>
        <v>2024 ALL D75</v>
      </c>
      <c r="B443" s="10">
        <f>'[1]2019 ALL D95'!B443</f>
        <v>46104</v>
      </c>
      <c r="C443" s="10">
        <f>'[1]2019 ALL D95'!C443</f>
        <v>46113</v>
      </c>
      <c r="D443" s="11">
        <v>3273</v>
      </c>
      <c r="E443" s="11">
        <v>336</v>
      </c>
      <c r="F443" s="11">
        <v>4</v>
      </c>
      <c r="G443" s="13">
        <v>9</v>
      </c>
      <c r="H443" s="13">
        <v>81574</v>
      </c>
      <c r="I443" s="11" t="s">
        <v>17</v>
      </c>
      <c r="J443" s="13">
        <v>15639900</v>
      </c>
      <c r="K443" s="13" t="s">
        <v>521</v>
      </c>
      <c r="L443" s="13" t="s">
        <v>523</v>
      </c>
      <c r="M443" s="17">
        <v>279900</v>
      </c>
      <c r="N443" s="15">
        <v>0.75</v>
      </c>
      <c r="O443" s="16">
        <f t="shared" si="30"/>
        <v>69975</v>
      </c>
      <c r="P443" s="11" t="s">
        <v>20</v>
      </c>
    </row>
    <row r="444" spans="1:16" x14ac:dyDescent="0.25">
      <c r="A444" s="9" t="str">
        <f t="shared" si="34"/>
        <v>2024 ALL D75</v>
      </c>
      <c r="B444" s="10">
        <f>'[1]2019 ALL D95'!B444</f>
        <v>46104</v>
      </c>
      <c r="C444" s="10">
        <f>'[1]2019 ALL D95'!C444</f>
        <v>46113</v>
      </c>
      <c r="D444" s="11">
        <v>3273</v>
      </c>
      <c r="E444" s="11">
        <v>336</v>
      </c>
      <c r="F444" s="11">
        <v>4</v>
      </c>
      <c r="G444" s="13">
        <v>9</v>
      </c>
      <c r="H444" s="13">
        <v>81574</v>
      </c>
      <c r="I444" s="11" t="s">
        <v>17</v>
      </c>
      <c r="J444" s="13">
        <v>15639919</v>
      </c>
      <c r="K444" s="13" t="s">
        <v>521</v>
      </c>
      <c r="L444" s="13" t="s">
        <v>524</v>
      </c>
      <c r="M444" s="17">
        <v>279900</v>
      </c>
      <c r="N444" s="15">
        <v>0.75</v>
      </c>
      <c r="O444" s="16">
        <f t="shared" si="30"/>
        <v>69975</v>
      </c>
      <c r="P444" s="11" t="s">
        <v>20</v>
      </c>
    </row>
    <row r="445" spans="1:16" x14ac:dyDescent="0.25">
      <c r="A445" s="9" t="str">
        <f t="shared" si="34"/>
        <v>2024 ALL D75</v>
      </c>
      <c r="B445" s="10">
        <f>'[1]2019 ALL D95'!B445</f>
        <v>46104</v>
      </c>
      <c r="C445" s="10">
        <f>'[1]2019 ALL D95'!C445</f>
        <v>46113</v>
      </c>
      <c r="D445" s="11">
        <v>3273</v>
      </c>
      <c r="E445" s="11">
        <v>336</v>
      </c>
      <c r="F445" s="11">
        <v>4</v>
      </c>
      <c r="G445" s="13">
        <v>9</v>
      </c>
      <c r="H445" s="13">
        <v>81574</v>
      </c>
      <c r="I445" s="11" t="s">
        <v>17</v>
      </c>
      <c r="J445" s="13">
        <v>15639928</v>
      </c>
      <c r="K445" s="13" t="s">
        <v>521</v>
      </c>
      <c r="L445" s="13" t="s">
        <v>525</v>
      </c>
      <c r="M445" s="17">
        <v>279900</v>
      </c>
      <c r="N445" s="15">
        <v>0.75</v>
      </c>
      <c r="O445" s="16">
        <f t="shared" si="30"/>
        <v>69975</v>
      </c>
      <c r="P445" s="11" t="s">
        <v>20</v>
      </c>
    </row>
    <row r="446" spans="1:16" x14ac:dyDescent="0.25">
      <c r="A446" s="9" t="str">
        <f t="shared" si="34"/>
        <v>2024 ALL D75</v>
      </c>
      <c r="B446" s="10">
        <f>'[1]2019 ALL D95'!B446</f>
        <v>46104</v>
      </c>
      <c r="C446" s="10">
        <f>'[1]2019 ALL D95'!C446</f>
        <v>46113</v>
      </c>
      <c r="D446" s="11">
        <v>3273</v>
      </c>
      <c r="E446" s="11">
        <v>336</v>
      </c>
      <c r="F446" s="11">
        <v>4</v>
      </c>
      <c r="G446" s="13">
        <v>9</v>
      </c>
      <c r="H446" s="13">
        <v>81574</v>
      </c>
      <c r="I446" s="11" t="s">
        <v>17</v>
      </c>
      <c r="J446" s="13">
        <v>15639937</v>
      </c>
      <c r="K446" s="13" t="s">
        <v>521</v>
      </c>
      <c r="L446" s="13" t="s">
        <v>526</v>
      </c>
      <c r="M446" s="17">
        <v>279900</v>
      </c>
      <c r="N446" s="15">
        <v>0.75</v>
      </c>
      <c r="O446" s="16">
        <f t="shared" si="30"/>
        <v>69975</v>
      </c>
      <c r="P446" s="11" t="s">
        <v>20</v>
      </c>
    </row>
    <row r="447" spans="1:16" x14ac:dyDescent="0.25">
      <c r="A447" s="9" t="str">
        <f t="shared" si="34"/>
        <v>2024 ALL D75</v>
      </c>
      <c r="B447" s="10">
        <f>'[1]2019 ALL D95'!B447</f>
        <v>46104</v>
      </c>
      <c r="C447" s="10">
        <f>'[1]2019 ALL D95'!C447</f>
        <v>46113</v>
      </c>
      <c r="D447" s="11">
        <v>3273</v>
      </c>
      <c r="E447" s="11">
        <v>336</v>
      </c>
      <c r="F447" s="11">
        <v>4</v>
      </c>
      <c r="G447" s="13">
        <v>9</v>
      </c>
      <c r="H447" s="13">
        <v>81574</v>
      </c>
      <c r="I447" s="11" t="s">
        <v>17</v>
      </c>
      <c r="J447" s="13">
        <v>15639946</v>
      </c>
      <c r="K447" s="13" t="s">
        <v>521</v>
      </c>
      <c r="L447" s="13" t="s">
        <v>527</v>
      </c>
      <c r="M447" s="17">
        <v>279900</v>
      </c>
      <c r="N447" s="15">
        <v>0.75</v>
      </c>
      <c r="O447" s="16">
        <f t="shared" si="30"/>
        <v>69975</v>
      </c>
      <c r="P447" s="11" t="s">
        <v>20</v>
      </c>
    </row>
    <row r="448" spans="1:16" x14ac:dyDescent="0.25">
      <c r="A448" s="9" t="str">
        <f t="shared" si="34"/>
        <v>2024 ALL D75</v>
      </c>
      <c r="B448" s="10">
        <f>'[1]2019 ALL D95'!B448</f>
        <v>46104</v>
      </c>
      <c r="C448" s="10">
        <f>'[1]2019 ALL D95'!C448</f>
        <v>46113</v>
      </c>
      <c r="D448" s="11">
        <v>3273</v>
      </c>
      <c r="E448" s="11">
        <v>336</v>
      </c>
      <c r="F448" s="11">
        <v>4</v>
      </c>
      <c r="G448" s="13">
        <v>9</v>
      </c>
      <c r="H448" s="13">
        <v>81574</v>
      </c>
      <c r="I448" s="11" t="s">
        <v>17</v>
      </c>
      <c r="J448" s="13">
        <v>15639955</v>
      </c>
      <c r="K448" s="13" t="s">
        <v>521</v>
      </c>
      <c r="L448" s="13" t="s">
        <v>528</v>
      </c>
      <c r="M448" s="17">
        <v>279900</v>
      </c>
      <c r="N448" s="15">
        <v>0.75</v>
      </c>
      <c r="O448" s="16">
        <f t="shared" si="30"/>
        <v>69975</v>
      </c>
      <c r="P448" s="11" t="s">
        <v>20</v>
      </c>
    </row>
    <row r="449" spans="1:16" x14ac:dyDescent="0.25">
      <c r="A449" s="9" t="str">
        <f t="shared" si="34"/>
        <v>2024 ALL D75</v>
      </c>
      <c r="B449" s="10">
        <f>'[1]2019 ALL D95'!B449</f>
        <v>46104</v>
      </c>
      <c r="C449" s="10">
        <f>'[1]2019 ALL D95'!C449</f>
        <v>46113</v>
      </c>
      <c r="D449" s="11">
        <v>3273</v>
      </c>
      <c r="E449" s="11">
        <v>336</v>
      </c>
      <c r="F449" s="11">
        <v>4</v>
      </c>
      <c r="G449" s="13">
        <v>9</v>
      </c>
      <c r="H449" s="13">
        <v>81574</v>
      </c>
      <c r="I449" s="11" t="s">
        <v>17</v>
      </c>
      <c r="J449" s="13">
        <v>15639964</v>
      </c>
      <c r="K449" s="13" t="s">
        <v>521</v>
      </c>
      <c r="L449" s="13" t="s">
        <v>529</v>
      </c>
      <c r="M449" s="17">
        <v>279900</v>
      </c>
      <c r="N449" s="15">
        <v>0.75</v>
      </c>
      <c r="O449" s="16">
        <f t="shared" si="30"/>
        <v>69975</v>
      </c>
      <c r="P449" s="11" t="s">
        <v>20</v>
      </c>
    </row>
    <row r="450" spans="1:16" x14ac:dyDescent="0.25">
      <c r="A450" s="9" t="str">
        <f t="shared" si="34"/>
        <v>2024 ALL D75</v>
      </c>
      <c r="B450" s="10">
        <f>'[1]2019 ALL D95'!B450</f>
        <v>46104</v>
      </c>
      <c r="C450" s="10">
        <f>'[1]2019 ALL D95'!C450</f>
        <v>46113</v>
      </c>
      <c r="D450" s="11">
        <v>3273</v>
      </c>
      <c r="E450" s="11">
        <v>336</v>
      </c>
      <c r="F450" s="11">
        <v>4</v>
      </c>
      <c r="G450" s="13">
        <v>9</v>
      </c>
      <c r="H450" s="13">
        <v>81588</v>
      </c>
      <c r="I450" s="11" t="s">
        <v>17</v>
      </c>
      <c r="J450" s="13">
        <v>15640167</v>
      </c>
      <c r="K450" s="13" t="s">
        <v>530</v>
      </c>
      <c r="L450" s="13" t="s">
        <v>531</v>
      </c>
      <c r="M450" s="17">
        <v>159900</v>
      </c>
      <c r="N450" s="15">
        <v>0.75</v>
      </c>
      <c r="O450" s="16">
        <f t="shared" ref="O450:O513" si="35">M450*(1-N450)</f>
        <v>39975</v>
      </c>
      <c r="P450" s="11" t="s">
        <v>20</v>
      </c>
    </row>
    <row r="451" spans="1:16" x14ac:dyDescent="0.25">
      <c r="A451" s="9" t="str">
        <f t="shared" ref="A451:A466" si="36">A450</f>
        <v>2024 ALL D75</v>
      </c>
      <c r="B451" s="10">
        <f>'[1]2019 ALL D95'!B451</f>
        <v>46104</v>
      </c>
      <c r="C451" s="10">
        <f>'[1]2019 ALL D95'!C451</f>
        <v>46113</v>
      </c>
      <c r="D451" s="11">
        <v>3273</v>
      </c>
      <c r="E451" s="11">
        <v>336</v>
      </c>
      <c r="F451" s="11">
        <v>4</v>
      </c>
      <c r="G451" s="13">
        <v>9</v>
      </c>
      <c r="H451" s="13">
        <v>81588</v>
      </c>
      <c r="I451" s="11" t="s">
        <v>17</v>
      </c>
      <c r="J451" s="13">
        <v>15640176</v>
      </c>
      <c r="K451" s="13" t="s">
        <v>530</v>
      </c>
      <c r="L451" s="13" t="s">
        <v>532</v>
      </c>
      <c r="M451" s="17">
        <v>159900</v>
      </c>
      <c r="N451" s="15">
        <v>0.75</v>
      </c>
      <c r="O451" s="16">
        <f t="shared" si="35"/>
        <v>39975</v>
      </c>
      <c r="P451" s="11" t="s">
        <v>20</v>
      </c>
    </row>
    <row r="452" spans="1:16" x14ac:dyDescent="0.25">
      <c r="A452" s="9" t="str">
        <f t="shared" si="36"/>
        <v>2024 ALL D75</v>
      </c>
      <c r="B452" s="10">
        <f>'[1]2019 ALL D95'!B452</f>
        <v>46104</v>
      </c>
      <c r="C452" s="10">
        <f>'[1]2019 ALL D95'!C452</f>
        <v>46113</v>
      </c>
      <c r="D452" s="11">
        <v>3273</v>
      </c>
      <c r="E452" s="11">
        <v>336</v>
      </c>
      <c r="F452" s="11">
        <v>4</v>
      </c>
      <c r="G452" s="13">
        <v>9</v>
      </c>
      <c r="H452" s="13">
        <v>81588</v>
      </c>
      <c r="I452" s="11" t="s">
        <v>17</v>
      </c>
      <c r="J452" s="13">
        <v>15640185</v>
      </c>
      <c r="K452" s="13" t="s">
        <v>530</v>
      </c>
      <c r="L452" s="13" t="s">
        <v>533</v>
      </c>
      <c r="M452" s="17">
        <v>159900</v>
      </c>
      <c r="N452" s="15">
        <v>0.75</v>
      </c>
      <c r="O452" s="16">
        <f t="shared" si="35"/>
        <v>39975</v>
      </c>
      <c r="P452" s="11" t="s">
        <v>20</v>
      </c>
    </row>
    <row r="453" spans="1:16" x14ac:dyDescent="0.25">
      <c r="A453" s="9" t="str">
        <f t="shared" si="36"/>
        <v>2024 ALL D75</v>
      </c>
      <c r="B453" s="10">
        <f>'[1]2019 ALL D95'!B453</f>
        <v>46104</v>
      </c>
      <c r="C453" s="10">
        <f>'[1]2019 ALL D95'!C453</f>
        <v>46113</v>
      </c>
      <c r="D453" s="11">
        <v>3273</v>
      </c>
      <c r="E453" s="11">
        <v>336</v>
      </c>
      <c r="F453" s="11">
        <v>4</v>
      </c>
      <c r="G453" s="13">
        <v>9</v>
      </c>
      <c r="H453" s="13">
        <v>81588</v>
      </c>
      <c r="I453" s="11" t="s">
        <v>17</v>
      </c>
      <c r="J453" s="13">
        <v>15640194</v>
      </c>
      <c r="K453" s="13" t="s">
        <v>530</v>
      </c>
      <c r="L453" s="13" t="s">
        <v>534</v>
      </c>
      <c r="M453" s="17">
        <v>159900</v>
      </c>
      <c r="N453" s="15">
        <v>0.75</v>
      </c>
      <c r="O453" s="16">
        <f t="shared" si="35"/>
        <v>39975</v>
      </c>
      <c r="P453" s="11" t="s">
        <v>20</v>
      </c>
    </row>
    <row r="454" spans="1:16" x14ac:dyDescent="0.25">
      <c r="A454" s="9" t="str">
        <f t="shared" si="36"/>
        <v>2024 ALL D75</v>
      </c>
      <c r="B454" s="10">
        <f>'[1]2019 ALL D95'!B454</f>
        <v>46104</v>
      </c>
      <c r="C454" s="10">
        <f>'[1]2019 ALL D95'!C454</f>
        <v>46113</v>
      </c>
      <c r="D454" s="11">
        <v>3273</v>
      </c>
      <c r="E454" s="11">
        <v>336</v>
      </c>
      <c r="F454" s="11">
        <v>4</v>
      </c>
      <c r="G454" s="13">
        <v>9</v>
      </c>
      <c r="H454" s="13">
        <v>81588</v>
      </c>
      <c r="I454" s="11" t="s">
        <v>17</v>
      </c>
      <c r="J454" s="13">
        <v>15640201</v>
      </c>
      <c r="K454" s="13" t="s">
        <v>530</v>
      </c>
      <c r="L454" s="13" t="s">
        <v>535</v>
      </c>
      <c r="M454" s="17">
        <v>159900</v>
      </c>
      <c r="N454" s="15">
        <v>0.75</v>
      </c>
      <c r="O454" s="16">
        <f t="shared" si="35"/>
        <v>39975</v>
      </c>
      <c r="P454" s="11" t="s">
        <v>20</v>
      </c>
    </row>
    <row r="455" spans="1:16" x14ac:dyDescent="0.25">
      <c r="A455" s="9" t="str">
        <f t="shared" si="36"/>
        <v>2024 ALL D75</v>
      </c>
      <c r="B455" s="10">
        <f>'[1]2019 ALL D95'!B455</f>
        <v>46104</v>
      </c>
      <c r="C455" s="10">
        <f>'[1]2019 ALL D95'!C455</f>
        <v>46113</v>
      </c>
      <c r="D455" s="11">
        <v>3273</v>
      </c>
      <c r="E455" s="11">
        <v>336</v>
      </c>
      <c r="F455" s="11">
        <v>4</v>
      </c>
      <c r="G455" s="13">
        <v>9</v>
      </c>
      <c r="H455" s="13">
        <v>81574</v>
      </c>
      <c r="I455" s="11" t="s">
        <v>17</v>
      </c>
      <c r="J455" s="13">
        <v>15639339</v>
      </c>
      <c r="K455" s="13" t="s">
        <v>536</v>
      </c>
      <c r="L455" s="13" t="s">
        <v>537</v>
      </c>
      <c r="M455" s="17">
        <v>279900</v>
      </c>
      <c r="N455" s="15">
        <v>0.75</v>
      </c>
      <c r="O455" s="16">
        <f t="shared" si="35"/>
        <v>69975</v>
      </c>
      <c r="P455" s="11" t="s">
        <v>20</v>
      </c>
    </row>
    <row r="456" spans="1:16" x14ac:dyDescent="0.25">
      <c r="A456" s="9" t="str">
        <f t="shared" si="36"/>
        <v>2024 ALL D75</v>
      </c>
      <c r="B456" s="10">
        <f>'[1]2019 ALL D95'!B456</f>
        <v>46104</v>
      </c>
      <c r="C456" s="10">
        <f>'[1]2019 ALL D95'!C456</f>
        <v>46113</v>
      </c>
      <c r="D456" s="11">
        <v>3273</v>
      </c>
      <c r="E456" s="11">
        <v>336</v>
      </c>
      <c r="F456" s="11">
        <v>4</v>
      </c>
      <c r="G456" s="13">
        <v>9</v>
      </c>
      <c r="H456" s="13">
        <v>81574</v>
      </c>
      <c r="I456" s="11" t="s">
        <v>17</v>
      </c>
      <c r="J456" s="13">
        <v>15639348</v>
      </c>
      <c r="K456" s="13" t="s">
        <v>536</v>
      </c>
      <c r="L456" s="13" t="s">
        <v>538</v>
      </c>
      <c r="M456" s="17">
        <v>279900</v>
      </c>
      <c r="N456" s="15">
        <v>0.75</v>
      </c>
      <c r="O456" s="16">
        <f t="shared" si="35"/>
        <v>69975</v>
      </c>
      <c r="P456" s="11" t="s">
        <v>20</v>
      </c>
    </row>
    <row r="457" spans="1:16" x14ac:dyDescent="0.25">
      <c r="A457" s="9" t="str">
        <f t="shared" si="36"/>
        <v>2024 ALL D75</v>
      </c>
      <c r="B457" s="10">
        <f>'[1]2019 ALL D95'!B457</f>
        <v>46104</v>
      </c>
      <c r="C457" s="10">
        <f>'[1]2019 ALL D95'!C457</f>
        <v>46113</v>
      </c>
      <c r="D457" s="11">
        <v>3273</v>
      </c>
      <c r="E457" s="11">
        <v>336</v>
      </c>
      <c r="F457" s="11">
        <v>4</v>
      </c>
      <c r="G457" s="13">
        <v>9</v>
      </c>
      <c r="H457" s="13">
        <v>81574</v>
      </c>
      <c r="I457" s="11" t="s">
        <v>17</v>
      </c>
      <c r="J457" s="13">
        <v>15639357</v>
      </c>
      <c r="K457" s="13" t="s">
        <v>536</v>
      </c>
      <c r="L457" s="13" t="s">
        <v>539</v>
      </c>
      <c r="M457" s="17">
        <v>279900</v>
      </c>
      <c r="N457" s="15">
        <v>0.75</v>
      </c>
      <c r="O457" s="16">
        <f t="shared" si="35"/>
        <v>69975</v>
      </c>
      <c r="P457" s="11" t="s">
        <v>20</v>
      </c>
    </row>
    <row r="458" spans="1:16" x14ac:dyDescent="0.25">
      <c r="A458" s="9" t="str">
        <f t="shared" si="36"/>
        <v>2024 ALL D75</v>
      </c>
      <c r="B458" s="10">
        <f>'[1]2019 ALL D95'!B458</f>
        <v>46104</v>
      </c>
      <c r="C458" s="10">
        <f>'[1]2019 ALL D95'!C458</f>
        <v>46113</v>
      </c>
      <c r="D458" s="11">
        <v>3273</v>
      </c>
      <c r="E458" s="11">
        <v>336</v>
      </c>
      <c r="F458" s="11">
        <v>4</v>
      </c>
      <c r="G458" s="13">
        <v>9</v>
      </c>
      <c r="H458" s="13">
        <v>81574</v>
      </c>
      <c r="I458" s="11" t="s">
        <v>17</v>
      </c>
      <c r="J458" s="13">
        <v>15639366</v>
      </c>
      <c r="K458" s="13" t="s">
        <v>536</v>
      </c>
      <c r="L458" s="13" t="s">
        <v>540</v>
      </c>
      <c r="M458" s="17">
        <v>279900</v>
      </c>
      <c r="N458" s="15">
        <v>0.75</v>
      </c>
      <c r="O458" s="16">
        <f t="shared" si="35"/>
        <v>69975</v>
      </c>
      <c r="P458" s="11" t="s">
        <v>20</v>
      </c>
    </row>
    <row r="459" spans="1:16" x14ac:dyDescent="0.25">
      <c r="A459" s="9" t="str">
        <f t="shared" si="36"/>
        <v>2024 ALL D75</v>
      </c>
      <c r="B459" s="10">
        <f>'[1]2019 ALL D95'!B459</f>
        <v>46104</v>
      </c>
      <c r="C459" s="10">
        <f>'[1]2019 ALL D95'!C459</f>
        <v>46113</v>
      </c>
      <c r="D459" s="11">
        <v>3273</v>
      </c>
      <c r="E459" s="11">
        <v>336</v>
      </c>
      <c r="F459" s="11">
        <v>4</v>
      </c>
      <c r="G459" s="13">
        <v>9</v>
      </c>
      <c r="H459" s="13">
        <v>81574</v>
      </c>
      <c r="I459" s="11" t="s">
        <v>17</v>
      </c>
      <c r="J459" s="13">
        <v>15639375</v>
      </c>
      <c r="K459" s="13" t="s">
        <v>536</v>
      </c>
      <c r="L459" s="13" t="s">
        <v>541</v>
      </c>
      <c r="M459" s="17">
        <v>279900</v>
      </c>
      <c r="N459" s="15">
        <v>0.75</v>
      </c>
      <c r="O459" s="16">
        <f t="shared" si="35"/>
        <v>69975</v>
      </c>
      <c r="P459" s="11" t="s">
        <v>20</v>
      </c>
    </row>
    <row r="460" spans="1:16" x14ac:dyDescent="0.25">
      <c r="A460" s="9" t="str">
        <f t="shared" si="36"/>
        <v>2024 ALL D75</v>
      </c>
      <c r="B460" s="10">
        <f>'[1]2019 ALL D95'!B460</f>
        <v>46104</v>
      </c>
      <c r="C460" s="10">
        <f>'[1]2019 ALL D95'!C460</f>
        <v>46113</v>
      </c>
      <c r="D460" s="11">
        <v>3273</v>
      </c>
      <c r="E460" s="11">
        <v>336</v>
      </c>
      <c r="F460" s="11">
        <v>4</v>
      </c>
      <c r="G460" s="13">
        <v>9</v>
      </c>
      <c r="H460" s="13">
        <v>81574</v>
      </c>
      <c r="I460" s="11" t="s">
        <v>17</v>
      </c>
      <c r="J460" s="13">
        <v>15639384</v>
      </c>
      <c r="K460" s="13" t="s">
        <v>536</v>
      </c>
      <c r="L460" s="13" t="s">
        <v>542</v>
      </c>
      <c r="M460" s="17">
        <v>279900</v>
      </c>
      <c r="N460" s="15">
        <v>0.75</v>
      </c>
      <c r="O460" s="16">
        <f t="shared" si="35"/>
        <v>69975</v>
      </c>
      <c r="P460" s="11" t="s">
        <v>20</v>
      </c>
    </row>
    <row r="461" spans="1:16" x14ac:dyDescent="0.25">
      <c r="A461" s="9" t="str">
        <f t="shared" si="36"/>
        <v>2024 ALL D75</v>
      </c>
      <c r="B461" s="10">
        <f>'[1]2019 ALL D95'!B461</f>
        <v>46104</v>
      </c>
      <c r="C461" s="10">
        <f>'[1]2019 ALL D95'!C461</f>
        <v>46113</v>
      </c>
      <c r="D461" s="11">
        <v>3273</v>
      </c>
      <c r="E461" s="11">
        <v>336</v>
      </c>
      <c r="F461" s="11">
        <v>4</v>
      </c>
      <c r="G461" s="13">
        <v>9</v>
      </c>
      <c r="H461" s="13">
        <v>81574</v>
      </c>
      <c r="I461" s="11" t="s">
        <v>17</v>
      </c>
      <c r="J461" s="13">
        <v>15639393</v>
      </c>
      <c r="K461" s="13" t="s">
        <v>536</v>
      </c>
      <c r="L461" s="13" t="s">
        <v>543</v>
      </c>
      <c r="M461" s="17">
        <v>279900</v>
      </c>
      <c r="N461" s="15">
        <v>0.75</v>
      </c>
      <c r="O461" s="16">
        <f t="shared" si="35"/>
        <v>69975</v>
      </c>
      <c r="P461" s="11" t="s">
        <v>20</v>
      </c>
    </row>
    <row r="462" spans="1:16" x14ac:dyDescent="0.25">
      <c r="A462" s="9" t="str">
        <f t="shared" si="36"/>
        <v>2024 ALL D75</v>
      </c>
      <c r="B462" s="10">
        <f>'[1]2019 ALL D95'!B462</f>
        <v>46104</v>
      </c>
      <c r="C462" s="10">
        <f>'[1]2019 ALL D95'!C462</f>
        <v>46113</v>
      </c>
      <c r="D462" s="11">
        <v>3273</v>
      </c>
      <c r="E462" s="11">
        <v>336</v>
      </c>
      <c r="F462" s="11">
        <v>4</v>
      </c>
      <c r="G462" s="13">
        <v>9</v>
      </c>
      <c r="H462" s="13">
        <v>81574</v>
      </c>
      <c r="I462" s="11" t="s">
        <v>17</v>
      </c>
      <c r="J462" s="13">
        <v>15639400</v>
      </c>
      <c r="K462" s="13" t="s">
        <v>536</v>
      </c>
      <c r="L462" s="13" t="s">
        <v>544</v>
      </c>
      <c r="M462" s="17">
        <v>279900</v>
      </c>
      <c r="N462" s="15">
        <v>0.75</v>
      </c>
      <c r="O462" s="16">
        <f t="shared" si="35"/>
        <v>69975</v>
      </c>
      <c r="P462" s="11" t="s">
        <v>20</v>
      </c>
    </row>
    <row r="463" spans="1:16" x14ac:dyDescent="0.25">
      <c r="A463" s="9" t="str">
        <f t="shared" si="36"/>
        <v>2024 ALL D75</v>
      </c>
      <c r="B463" s="10">
        <f>'[1]2019 ALL D95'!B463</f>
        <v>46104</v>
      </c>
      <c r="C463" s="10">
        <f>'[1]2019 ALL D95'!C463</f>
        <v>46113</v>
      </c>
      <c r="D463" s="11">
        <v>3273</v>
      </c>
      <c r="E463" s="11">
        <v>336</v>
      </c>
      <c r="F463" s="11">
        <v>4</v>
      </c>
      <c r="G463" s="13">
        <v>8</v>
      </c>
      <c r="H463" s="13">
        <v>81588</v>
      </c>
      <c r="I463" s="11" t="s">
        <v>17</v>
      </c>
      <c r="J463" s="13">
        <v>15638563</v>
      </c>
      <c r="K463" s="13" t="s">
        <v>545</v>
      </c>
      <c r="L463" s="13" t="s">
        <v>546</v>
      </c>
      <c r="M463" s="17">
        <v>239900</v>
      </c>
      <c r="N463" s="15">
        <v>0.75</v>
      </c>
      <c r="O463" s="16">
        <f t="shared" si="35"/>
        <v>59975</v>
      </c>
      <c r="P463" s="11" t="s">
        <v>20</v>
      </c>
    </row>
    <row r="464" spans="1:16" x14ac:dyDescent="0.25">
      <c r="A464" s="9" t="str">
        <f t="shared" si="36"/>
        <v>2024 ALL D75</v>
      </c>
      <c r="B464" s="10">
        <f>'[1]2019 ALL D95'!B464</f>
        <v>46104</v>
      </c>
      <c r="C464" s="10">
        <f>'[1]2019 ALL D95'!C464</f>
        <v>46113</v>
      </c>
      <c r="D464" s="11">
        <v>3273</v>
      </c>
      <c r="E464" s="11">
        <v>336</v>
      </c>
      <c r="F464" s="11">
        <v>4</v>
      </c>
      <c r="G464" s="13">
        <v>8</v>
      </c>
      <c r="H464" s="13">
        <v>81588</v>
      </c>
      <c r="I464" s="11" t="s">
        <v>17</v>
      </c>
      <c r="J464" s="13">
        <v>15638572</v>
      </c>
      <c r="K464" s="13" t="s">
        <v>545</v>
      </c>
      <c r="L464" s="13" t="s">
        <v>547</v>
      </c>
      <c r="M464" s="17">
        <v>239900</v>
      </c>
      <c r="N464" s="15">
        <v>0.75</v>
      </c>
      <c r="O464" s="16">
        <f t="shared" si="35"/>
        <v>59975</v>
      </c>
      <c r="P464" s="11" t="s">
        <v>20</v>
      </c>
    </row>
    <row r="465" spans="1:16" x14ac:dyDescent="0.25">
      <c r="A465" s="9" t="str">
        <f t="shared" si="36"/>
        <v>2024 ALL D75</v>
      </c>
      <c r="B465" s="10">
        <f>'[1]2019 ALL D95'!B465</f>
        <v>46104</v>
      </c>
      <c r="C465" s="10">
        <f>'[1]2019 ALL D95'!C465</f>
        <v>46113</v>
      </c>
      <c r="D465" s="11">
        <v>3273</v>
      </c>
      <c r="E465" s="11">
        <v>336</v>
      </c>
      <c r="F465" s="11">
        <v>4</v>
      </c>
      <c r="G465" s="13">
        <v>8</v>
      </c>
      <c r="H465" s="13">
        <v>81588</v>
      </c>
      <c r="I465" s="11" t="s">
        <v>17</v>
      </c>
      <c r="J465" s="13">
        <v>15638581</v>
      </c>
      <c r="K465" s="13" t="s">
        <v>545</v>
      </c>
      <c r="L465" s="13" t="s">
        <v>548</v>
      </c>
      <c r="M465" s="17">
        <v>239900</v>
      </c>
      <c r="N465" s="15">
        <v>0.75</v>
      </c>
      <c r="O465" s="16">
        <f t="shared" si="35"/>
        <v>59975</v>
      </c>
      <c r="P465" s="11" t="s">
        <v>20</v>
      </c>
    </row>
    <row r="466" spans="1:16" x14ac:dyDescent="0.25">
      <c r="A466" s="9" t="str">
        <f t="shared" si="36"/>
        <v>2024 ALL D75</v>
      </c>
      <c r="B466" s="10">
        <f>'[1]2019 ALL D95'!B466</f>
        <v>46104</v>
      </c>
      <c r="C466" s="10">
        <f>'[1]2019 ALL D95'!C466</f>
        <v>46113</v>
      </c>
      <c r="D466" s="11">
        <v>3273</v>
      </c>
      <c r="E466" s="11">
        <v>336</v>
      </c>
      <c r="F466" s="11">
        <v>4</v>
      </c>
      <c r="G466" s="13">
        <v>8</v>
      </c>
      <c r="H466" s="13">
        <v>81588</v>
      </c>
      <c r="I466" s="11" t="s">
        <v>17</v>
      </c>
      <c r="J466" s="13">
        <v>15638590</v>
      </c>
      <c r="K466" s="13" t="s">
        <v>545</v>
      </c>
      <c r="L466" s="13" t="s">
        <v>549</v>
      </c>
      <c r="M466" s="17">
        <v>239900</v>
      </c>
      <c r="N466" s="15">
        <v>0.75</v>
      </c>
      <c r="O466" s="16">
        <f t="shared" si="35"/>
        <v>59975</v>
      </c>
      <c r="P466" s="11" t="s">
        <v>20</v>
      </c>
    </row>
    <row r="467" spans="1:16" x14ac:dyDescent="0.25">
      <c r="A467" s="9" t="str">
        <f t="shared" ref="A467:A482" si="37">A466</f>
        <v>2024 ALL D75</v>
      </c>
      <c r="B467" s="10">
        <f>'[1]2019 ALL D95'!B467</f>
        <v>46104</v>
      </c>
      <c r="C467" s="10">
        <f>'[1]2019 ALL D95'!C467</f>
        <v>46113</v>
      </c>
      <c r="D467" s="11">
        <v>3273</v>
      </c>
      <c r="E467" s="11">
        <v>336</v>
      </c>
      <c r="F467" s="11">
        <v>4</v>
      </c>
      <c r="G467" s="13">
        <v>8</v>
      </c>
      <c r="H467" s="13">
        <v>81588</v>
      </c>
      <c r="I467" s="11" t="s">
        <v>17</v>
      </c>
      <c r="J467" s="13">
        <v>15638607</v>
      </c>
      <c r="K467" s="13" t="s">
        <v>545</v>
      </c>
      <c r="L467" s="13" t="s">
        <v>550</v>
      </c>
      <c r="M467" s="17">
        <v>239900</v>
      </c>
      <c r="N467" s="15">
        <v>0.75</v>
      </c>
      <c r="O467" s="16">
        <f t="shared" si="35"/>
        <v>59975</v>
      </c>
      <c r="P467" s="11" t="s">
        <v>20</v>
      </c>
    </row>
    <row r="468" spans="1:16" x14ac:dyDescent="0.25">
      <c r="A468" s="9" t="str">
        <f t="shared" si="37"/>
        <v>2024 ALL D75</v>
      </c>
      <c r="B468" s="10">
        <f>'[1]2019 ALL D95'!B468</f>
        <v>46104</v>
      </c>
      <c r="C468" s="10">
        <f>'[1]2019 ALL D95'!C468</f>
        <v>46113</v>
      </c>
      <c r="D468" s="11">
        <v>3273</v>
      </c>
      <c r="E468" s="11">
        <v>336</v>
      </c>
      <c r="F468" s="11">
        <v>4</v>
      </c>
      <c r="G468" s="13">
        <v>8</v>
      </c>
      <c r="H468" s="13">
        <v>81588</v>
      </c>
      <c r="I468" s="11" t="s">
        <v>17</v>
      </c>
      <c r="J468" s="13">
        <v>15638616</v>
      </c>
      <c r="K468" s="13" t="s">
        <v>545</v>
      </c>
      <c r="L468" s="13" t="s">
        <v>551</v>
      </c>
      <c r="M468" s="17">
        <v>239900</v>
      </c>
      <c r="N468" s="15">
        <v>0.75</v>
      </c>
      <c r="O468" s="16">
        <f t="shared" si="35"/>
        <v>59975</v>
      </c>
      <c r="P468" s="11" t="s">
        <v>20</v>
      </c>
    </row>
    <row r="469" spans="1:16" x14ac:dyDescent="0.25">
      <c r="A469" s="9" t="str">
        <f t="shared" si="37"/>
        <v>2024 ALL D75</v>
      </c>
      <c r="B469" s="10">
        <f>'[1]2019 ALL D95'!B469</f>
        <v>46104</v>
      </c>
      <c r="C469" s="10">
        <f>'[1]2019 ALL D95'!C469</f>
        <v>46113</v>
      </c>
      <c r="D469" s="11">
        <v>3273</v>
      </c>
      <c r="E469" s="11">
        <v>336</v>
      </c>
      <c r="F469" s="11">
        <v>4</v>
      </c>
      <c r="G469" s="13">
        <v>8</v>
      </c>
      <c r="H469" s="13">
        <v>81588</v>
      </c>
      <c r="I469" s="11" t="s">
        <v>17</v>
      </c>
      <c r="J469" s="13">
        <v>15638625</v>
      </c>
      <c r="K469" s="13" t="s">
        <v>545</v>
      </c>
      <c r="L469" s="13" t="s">
        <v>552</v>
      </c>
      <c r="M469" s="17">
        <v>239900</v>
      </c>
      <c r="N469" s="15">
        <v>0.75</v>
      </c>
      <c r="O469" s="16">
        <f t="shared" si="35"/>
        <v>59975</v>
      </c>
      <c r="P469" s="11" t="s">
        <v>20</v>
      </c>
    </row>
    <row r="470" spans="1:16" x14ac:dyDescent="0.25">
      <c r="A470" s="9" t="str">
        <f t="shared" si="37"/>
        <v>2024 ALL D75</v>
      </c>
      <c r="B470" s="10">
        <f>'[1]2019 ALL D95'!B470</f>
        <v>46104</v>
      </c>
      <c r="C470" s="10">
        <f>'[1]2019 ALL D95'!C470</f>
        <v>46113</v>
      </c>
      <c r="D470" s="11">
        <v>3273</v>
      </c>
      <c r="E470" s="11">
        <v>336</v>
      </c>
      <c r="F470" s="11">
        <v>4</v>
      </c>
      <c r="G470" s="13">
        <v>8</v>
      </c>
      <c r="H470" s="13">
        <v>81588</v>
      </c>
      <c r="I470" s="11" t="s">
        <v>17</v>
      </c>
      <c r="J470" s="13">
        <v>15638634</v>
      </c>
      <c r="K470" s="13" t="s">
        <v>545</v>
      </c>
      <c r="L470" s="13" t="s">
        <v>553</v>
      </c>
      <c r="M470" s="17">
        <v>239900</v>
      </c>
      <c r="N470" s="15">
        <v>0.75</v>
      </c>
      <c r="O470" s="16">
        <f t="shared" si="35"/>
        <v>59975</v>
      </c>
      <c r="P470" s="11" t="s">
        <v>20</v>
      </c>
    </row>
    <row r="471" spans="1:16" x14ac:dyDescent="0.25">
      <c r="A471" s="9" t="str">
        <f t="shared" si="37"/>
        <v>2024 ALL D75</v>
      </c>
      <c r="B471" s="10">
        <f>'[1]2019 ALL D95'!B471</f>
        <v>46104</v>
      </c>
      <c r="C471" s="10">
        <f>'[1]2019 ALL D95'!C471</f>
        <v>46113</v>
      </c>
      <c r="D471" s="11">
        <v>3273</v>
      </c>
      <c r="E471" s="11">
        <v>336</v>
      </c>
      <c r="F471" s="11">
        <v>4</v>
      </c>
      <c r="G471" s="13">
        <v>8</v>
      </c>
      <c r="H471" s="13">
        <v>81588</v>
      </c>
      <c r="I471" s="11" t="s">
        <v>17</v>
      </c>
      <c r="J471" s="13">
        <v>15638901</v>
      </c>
      <c r="K471" s="13" t="s">
        <v>554</v>
      </c>
      <c r="L471" s="13" t="s">
        <v>555</v>
      </c>
      <c r="M471" s="17">
        <v>239900</v>
      </c>
      <c r="N471" s="15">
        <v>0.75</v>
      </c>
      <c r="O471" s="16">
        <f t="shared" si="35"/>
        <v>59975</v>
      </c>
      <c r="P471" s="11" t="s">
        <v>20</v>
      </c>
    </row>
    <row r="472" spans="1:16" x14ac:dyDescent="0.25">
      <c r="A472" s="9" t="str">
        <f t="shared" si="37"/>
        <v>2024 ALL D75</v>
      </c>
      <c r="B472" s="10">
        <f>'[1]2019 ALL D95'!B472</f>
        <v>46104</v>
      </c>
      <c r="C472" s="10">
        <f>'[1]2019 ALL D95'!C472</f>
        <v>46113</v>
      </c>
      <c r="D472" s="11">
        <v>3273</v>
      </c>
      <c r="E472" s="11">
        <v>336</v>
      </c>
      <c r="F472" s="11">
        <v>4</v>
      </c>
      <c r="G472" s="13">
        <v>8</v>
      </c>
      <c r="H472" s="13">
        <v>81588</v>
      </c>
      <c r="I472" s="11" t="s">
        <v>17</v>
      </c>
      <c r="J472" s="13">
        <v>15638910</v>
      </c>
      <c r="K472" s="13" t="s">
        <v>554</v>
      </c>
      <c r="L472" s="13" t="s">
        <v>556</v>
      </c>
      <c r="M472" s="17">
        <v>239900</v>
      </c>
      <c r="N472" s="15">
        <v>0.75</v>
      </c>
      <c r="O472" s="16">
        <f t="shared" si="35"/>
        <v>59975</v>
      </c>
      <c r="P472" s="11" t="s">
        <v>20</v>
      </c>
    </row>
    <row r="473" spans="1:16" x14ac:dyDescent="0.25">
      <c r="A473" s="9" t="str">
        <f t="shared" si="37"/>
        <v>2024 ALL D75</v>
      </c>
      <c r="B473" s="10">
        <f>'[1]2019 ALL D95'!B473</f>
        <v>46104</v>
      </c>
      <c r="C473" s="10">
        <f>'[1]2019 ALL D95'!C473</f>
        <v>46113</v>
      </c>
      <c r="D473" s="11">
        <v>3273</v>
      </c>
      <c r="E473" s="11">
        <v>336</v>
      </c>
      <c r="F473" s="11">
        <v>4</v>
      </c>
      <c r="G473" s="13">
        <v>8</v>
      </c>
      <c r="H473" s="13">
        <v>81588</v>
      </c>
      <c r="I473" s="11" t="s">
        <v>17</v>
      </c>
      <c r="J473" s="13">
        <v>15638929</v>
      </c>
      <c r="K473" s="13" t="s">
        <v>554</v>
      </c>
      <c r="L473" s="13" t="s">
        <v>557</v>
      </c>
      <c r="M473" s="17">
        <v>239900</v>
      </c>
      <c r="N473" s="15">
        <v>0.75</v>
      </c>
      <c r="O473" s="16">
        <f t="shared" si="35"/>
        <v>59975</v>
      </c>
      <c r="P473" s="11" t="s">
        <v>20</v>
      </c>
    </row>
    <row r="474" spans="1:16" x14ac:dyDescent="0.25">
      <c r="A474" s="9" t="str">
        <f t="shared" si="37"/>
        <v>2024 ALL D75</v>
      </c>
      <c r="B474" s="10">
        <f>'[1]2019 ALL D95'!B474</f>
        <v>46104</v>
      </c>
      <c r="C474" s="10">
        <f>'[1]2019 ALL D95'!C474</f>
        <v>46113</v>
      </c>
      <c r="D474" s="11">
        <v>3273</v>
      </c>
      <c r="E474" s="11">
        <v>336</v>
      </c>
      <c r="F474" s="11">
        <v>4</v>
      </c>
      <c r="G474" s="13">
        <v>8</v>
      </c>
      <c r="H474" s="13">
        <v>81588</v>
      </c>
      <c r="I474" s="11" t="s">
        <v>17</v>
      </c>
      <c r="J474" s="13">
        <v>15638938</v>
      </c>
      <c r="K474" s="13" t="s">
        <v>554</v>
      </c>
      <c r="L474" s="13" t="s">
        <v>558</v>
      </c>
      <c r="M474" s="17">
        <v>239900</v>
      </c>
      <c r="N474" s="15">
        <v>0.75</v>
      </c>
      <c r="O474" s="16">
        <f t="shared" si="35"/>
        <v>59975</v>
      </c>
      <c r="P474" s="11" t="s">
        <v>20</v>
      </c>
    </row>
    <row r="475" spans="1:16" x14ac:dyDescent="0.25">
      <c r="A475" s="9" t="str">
        <f t="shared" si="37"/>
        <v>2024 ALL D75</v>
      </c>
      <c r="B475" s="10">
        <f>'[1]2019 ALL D95'!B475</f>
        <v>46104</v>
      </c>
      <c r="C475" s="10">
        <f>'[1]2019 ALL D95'!C475</f>
        <v>46113</v>
      </c>
      <c r="D475" s="11">
        <v>3273</v>
      </c>
      <c r="E475" s="11">
        <v>336</v>
      </c>
      <c r="F475" s="11">
        <v>4</v>
      </c>
      <c r="G475" s="13">
        <v>8</v>
      </c>
      <c r="H475" s="13">
        <v>81588</v>
      </c>
      <c r="I475" s="11" t="s">
        <v>17</v>
      </c>
      <c r="J475" s="13">
        <v>15638947</v>
      </c>
      <c r="K475" s="13" t="s">
        <v>554</v>
      </c>
      <c r="L475" s="13" t="s">
        <v>559</v>
      </c>
      <c r="M475" s="17">
        <v>239900</v>
      </c>
      <c r="N475" s="15">
        <v>0.75</v>
      </c>
      <c r="O475" s="16">
        <f t="shared" si="35"/>
        <v>59975</v>
      </c>
      <c r="P475" s="11" t="s">
        <v>20</v>
      </c>
    </row>
    <row r="476" spans="1:16" x14ac:dyDescent="0.25">
      <c r="A476" s="9" t="str">
        <f t="shared" si="37"/>
        <v>2024 ALL D75</v>
      </c>
      <c r="B476" s="10">
        <f>'[1]2019 ALL D95'!B476</f>
        <v>46104</v>
      </c>
      <c r="C476" s="10">
        <f>'[1]2019 ALL D95'!C476</f>
        <v>46113</v>
      </c>
      <c r="D476" s="11">
        <v>3273</v>
      </c>
      <c r="E476" s="11">
        <v>336</v>
      </c>
      <c r="F476" s="11">
        <v>4</v>
      </c>
      <c r="G476" s="13">
        <v>8</v>
      </c>
      <c r="H476" s="13">
        <v>81588</v>
      </c>
      <c r="I476" s="11" t="s">
        <v>17</v>
      </c>
      <c r="J476" s="13">
        <v>15638956</v>
      </c>
      <c r="K476" s="13" t="s">
        <v>554</v>
      </c>
      <c r="L476" s="13" t="s">
        <v>560</v>
      </c>
      <c r="M476" s="17">
        <v>239900</v>
      </c>
      <c r="N476" s="15">
        <v>0.75</v>
      </c>
      <c r="O476" s="16">
        <f t="shared" si="35"/>
        <v>59975</v>
      </c>
      <c r="P476" s="11" t="s">
        <v>20</v>
      </c>
    </row>
    <row r="477" spans="1:16" x14ac:dyDescent="0.25">
      <c r="A477" s="9" t="str">
        <f t="shared" si="37"/>
        <v>2024 ALL D75</v>
      </c>
      <c r="B477" s="10">
        <f>'[1]2019 ALL D95'!B477</f>
        <v>46104</v>
      </c>
      <c r="C477" s="10">
        <f>'[1]2019 ALL D95'!C477</f>
        <v>46113</v>
      </c>
      <c r="D477" s="11">
        <v>3273</v>
      </c>
      <c r="E477" s="11">
        <v>336</v>
      </c>
      <c r="F477" s="11">
        <v>4</v>
      </c>
      <c r="G477" s="13">
        <v>8</v>
      </c>
      <c r="H477" s="13">
        <v>81588</v>
      </c>
      <c r="I477" s="11" t="s">
        <v>17</v>
      </c>
      <c r="J477" s="13">
        <v>15639571</v>
      </c>
      <c r="K477" s="13" t="s">
        <v>561</v>
      </c>
      <c r="L477" s="13" t="s">
        <v>562</v>
      </c>
      <c r="M477" s="17">
        <v>239900</v>
      </c>
      <c r="N477" s="15">
        <v>0.75</v>
      </c>
      <c r="O477" s="16">
        <f t="shared" si="35"/>
        <v>59975</v>
      </c>
      <c r="P477" s="11" t="s">
        <v>20</v>
      </c>
    </row>
    <row r="478" spans="1:16" x14ac:dyDescent="0.25">
      <c r="A478" s="9" t="str">
        <f t="shared" si="37"/>
        <v>2024 ALL D75</v>
      </c>
      <c r="B478" s="10">
        <f>'[1]2019 ALL D95'!B478</f>
        <v>46104</v>
      </c>
      <c r="C478" s="10">
        <f>'[1]2019 ALL D95'!C478</f>
        <v>46113</v>
      </c>
      <c r="D478" s="11">
        <v>3273</v>
      </c>
      <c r="E478" s="11">
        <v>336</v>
      </c>
      <c r="F478" s="11">
        <v>4</v>
      </c>
      <c r="G478" s="13">
        <v>8</v>
      </c>
      <c r="H478" s="13">
        <v>81588</v>
      </c>
      <c r="I478" s="11" t="s">
        <v>17</v>
      </c>
      <c r="J478" s="13">
        <v>15639580</v>
      </c>
      <c r="K478" s="13" t="s">
        <v>561</v>
      </c>
      <c r="L478" s="13" t="s">
        <v>563</v>
      </c>
      <c r="M478" s="17">
        <v>239900</v>
      </c>
      <c r="N478" s="15">
        <v>0.75</v>
      </c>
      <c r="O478" s="16">
        <f t="shared" si="35"/>
        <v>59975</v>
      </c>
      <c r="P478" s="11" t="s">
        <v>20</v>
      </c>
    </row>
    <row r="479" spans="1:16" x14ac:dyDescent="0.25">
      <c r="A479" s="9" t="str">
        <f t="shared" si="37"/>
        <v>2024 ALL D75</v>
      </c>
      <c r="B479" s="10">
        <f>'[1]2019 ALL D95'!B479</f>
        <v>46104</v>
      </c>
      <c r="C479" s="10">
        <f>'[1]2019 ALL D95'!C479</f>
        <v>46113</v>
      </c>
      <c r="D479" s="11">
        <v>3273</v>
      </c>
      <c r="E479" s="11">
        <v>336</v>
      </c>
      <c r="F479" s="11">
        <v>4</v>
      </c>
      <c r="G479" s="13">
        <v>8</v>
      </c>
      <c r="H479" s="13">
        <v>81588</v>
      </c>
      <c r="I479" s="11" t="s">
        <v>17</v>
      </c>
      <c r="J479" s="13">
        <v>15639599</v>
      </c>
      <c r="K479" s="13" t="s">
        <v>561</v>
      </c>
      <c r="L479" s="13" t="s">
        <v>564</v>
      </c>
      <c r="M479" s="17">
        <v>239900</v>
      </c>
      <c r="N479" s="15">
        <v>0.75</v>
      </c>
      <c r="O479" s="16">
        <f t="shared" si="35"/>
        <v>59975</v>
      </c>
      <c r="P479" s="11" t="s">
        <v>20</v>
      </c>
    </row>
    <row r="480" spans="1:16" x14ac:dyDescent="0.25">
      <c r="A480" s="9" t="str">
        <f t="shared" si="37"/>
        <v>2024 ALL D75</v>
      </c>
      <c r="B480" s="10">
        <f>'[1]2019 ALL D95'!B480</f>
        <v>46104</v>
      </c>
      <c r="C480" s="10">
        <f>'[1]2019 ALL D95'!C480</f>
        <v>46113</v>
      </c>
      <c r="D480" s="11">
        <v>3273</v>
      </c>
      <c r="E480" s="11">
        <v>336</v>
      </c>
      <c r="F480" s="11">
        <v>4</v>
      </c>
      <c r="G480" s="13">
        <v>8</v>
      </c>
      <c r="H480" s="13">
        <v>81588</v>
      </c>
      <c r="I480" s="11" t="s">
        <v>17</v>
      </c>
      <c r="J480" s="13">
        <v>15639606</v>
      </c>
      <c r="K480" s="13" t="s">
        <v>561</v>
      </c>
      <c r="L480" s="13" t="s">
        <v>565</v>
      </c>
      <c r="M480" s="17">
        <v>239900</v>
      </c>
      <c r="N480" s="15">
        <v>0.75</v>
      </c>
      <c r="O480" s="16">
        <f t="shared" si="35"/>
        <v>59975</v>
      </c>
      <c r="P480" s="11" t="s">
        <v>20</v>
      </c>
    </row>
    <row r="481" spans="1:16" x14ac:dyDescent="0.25">
      <c r="A481" s="9" t="str">
        <f t="shared" si="37"/>
        <v>2024 ALL D75</v>
      </c>
      <c r="B481" s="10">
        <f>'[1]2019 ALL D95'!B481</f>
        <v>46104</v>
      </c>
      <c r="C481" s="10">
        <f>'[1]2019 ALL D95'!C481</f>
        <v>46113</v>
      </c>
      <c r="D481" s="11">
        <v>3273</v>
      </c>
      <c r="E481" s="11">
        <v>336</v>
      </c>
      <c r="F481" s="11">
        <v>4</v>
      </c>
      <c r="G481" s="13">
        <v>8</v>
      </c>
      <c r="H481" s="13">
        <v>81588</v>
      </c>
      <c r="I481" s="11" t="s">
        <v>17</v>
      </c>
      <c r="J481" s="13">
        <v>15639615</v>
      </c>
      <c r="K481" s="13" t="s">
        <v>561</v>
      </c>
      <c r="L481" s="13" t="s">
        <v>566</v>
      </c>
      <c r="M481" s="17">
        <v>239900</v>
      </c>
      <c r="N481" s="15">
        <v>0.75</v>
      </c>
      <c r="O481" s="16">
        <f t="shared" si="35"/>
        <v>59975</v>
      </c>
      <c r="P481" s="11" t="s">
        <v>20</v>
      </c>
    </row>
    <row r="482" spans="1:16" x14ac:dyDescent="0.25">
      <c r="A482" s="9" t="str">
        <f t="shared" si="37"/>
        <v>2024 ALL D75</v>
      </c>
      <c r="B482" s="10">
        <f>'[1]2019 ALL D95'!B482</f>
        <v>46104</v>
      </c>
      <c r="C482" s="10">
        <f>'[1]2019 ALL D95'!C482</f>
        <v>46113</v>
      </c>
      <c r="D482" s="11">
        <v>3273</v>
      </c>
      <c r="E482" s="11">
        <v>336</v>
      </c>
      <c r="F482" s="11">
        <v>4</v>
      </c>
      <c r="G482" s="13">
        <v>8</v>
      </c>
      <c r="H482" s="13">
        <v>81588</v>
      </c>
      <c r="I482" s="11" t="s">
        <v>17</v>
      </c>
      <c r="J482" s="13">
        <v>15639624</v>
      </c>
      <c r="K482" s="13" t="s">
        <v>561</v>
      </c>
      <c r="L482" s="13" t="s">
        <v>567</v>
      </c>
      <c r="M482" s="17">
        <v>239900</v>
      </c>
      <c r="N482" s="15">
        <v>0.75</v>
      </c>
      <c r="O482" s="16">
        <f t="shared" si="35"/>
        <v>59975</v>
      </c>
      <c r="P482" s="11" t="s">
        <v>20</v>
      </c>
    </row>
    <row r="483" spans="1:16" x14ac:dyDescent="0.25">
      <c r="A483" s="9" t="str">
        <f t="shared" ref="A483:A498" si="38">A482</f>
        <v>2024 ALL D75</v>
      </c>
      <c r="B483" s="10">
        <f>'[1]2019 ALL D95'!B483</f>
        <v>46104</v>
      </c>
      <c r="C483" s="10">
        <f>'[1]2019 ALL D95'!C483</f>
        <v>46113</v>
      </c>
      <c r="D483" s="11">
        <v>3273</v>
      </c>
      <c r="E483" s="11">
        <v>336</v>
      </c>
      <c r="F483" s="11">
        <v>4</v>
      </c>
      <c r="G483" s="13">
        <v>8</v>
      </c>
      <c r="H483" s="13">
        <v>81588</v>
      </c>
      <c r="I483" s="11" t="s">
        <v>17</v>
      </c>
      <c r="J483" s="13">
        <v>15639633</v>
      </c>
      <c r="K483" s="13" t="s">
        <v>561</v>
      </c>
      <c r="L483" s="13" t="s">
        <v>568</v>
      </c>
      <c r="M483" s="17">
        <v>239900</v>
      </c>
      <c r="N483" s="15">
        <v>0.75</v>
      </c>
      <c r="O483" s="16">
        <f t="shared" si="35"/>
        <v>59975</v>
      </c>
      <c r="P483" s="11" t="s">
        <v>20</v>
      </c>
    </row>
    <row r="484" spans="1:16" x14ac:dyDescent="0.25">
      <c r="A484" s="9" t="str">
        <f t="shared" si="38"/>
        <v>2024 ALL D75</v>
      </c>
      <c r="B484" s="10">
        <f>'[1]2019 ALL D95'!B484</f>
        <v>46104</v>
      </c>
      <c r="C484" s="10">
        <f>'[1]2019 ALL D95'!C484</f>
        <v>46113</v>
      </c>
      <c r="D484" s="11">
        <v>3273</v>
      </c>
      <c r="E484" s="11">
        <v>336</v>
      </c>
      <c r="F484" s="11">
        <v>4</v>
      </c>
      <c r="G484" s="13">
        <v>8</v>
      </c>
      <c r="H484" s="13">
        <v>81588</v>
      </c>
      <c r="I484" s="11" t="s">
        <v>17</v>
      </c>
      <c r="J484" s="13">
        <v>15639642</v>
      </c>
      <c r="K484" s="13" t="s">
        <v>561</v>
      </c>
      <c r="L484" s="13" t="s">
        <v>569</v>
      </c>
      <c r="M484" s="17">
        <v>239900</v>
      </c>
      <c r="N484" s="15">
        <v>0.75</v>
      </c>
      <c r="O484" s="16">
        <f t="shared" si="35"/>
        <v>59975</v>
      </c>
      <c r="P484" s="11" t="s">
        <v>20</v>
      </c>
    </row>
    <row r="485" spans="1:16" x14ac:dyDescent="0.25">
      <c r="A485" s="9" t="str">
        <f t="shared" si="38"/>
        <v>2024 ALL D75</v>
      </c>
      <c r="B485" s="10">
        <f>'[1]2019 ALL D95'!B485</f>
        <v>46104</v>
      </c>
      <c r="C485" s="10">
        <f>'[1]2019 ALL D95'!C485</f>
        <v>46113</v>
      </c>
      <c r="D485" s="11">
        <v>3273</v>
      </c>
      <c r="E485" s="11">
        <v>336</v>
      </c>
      <c r="F485" s="11">
        <v>4</v>
      </c>
      <c r="G485" s="13">
        <v>8</v>
      </c>
      <c r="H485" s="13">
        <v>81588</v>
      </c>
      <c r="I485" s="11" t="s">
        <v>17</v>
      </c>
      <c r="J485" s="13">
        <v>15749505</v>
      </c>
      <c r="K485" s="13" t="s">
        <v>570</v>
      </c>
      <c r="L485" s="13" t="s">
        <v>571</v>
      </c>
      <c r="M485" s="17">
        <v>239900</v>
      </c>
      <c r="N485" s="15">
        <v>0.75</v>
      </c>
      <c r="O485" s="16">
        <f t="shared" si="35"/>
        <v>59975</v>
      </c>
      <c r="P485" s="11" t="s">
        <v>20</v>
      </c>
    </row>
    <row r="486" spans="1:16" x14ac:dyDescent="0.25">
      <c r="A486" s="9" t="str">
        <f t="shared" si="38"/>
        <v>2024 ALL D75</v>
      </c>
      <c r="B486" s="10">
        <f>'[1]2019 ALL D95'!B486</f>
        <v>46104</v>
      </c>
      <c r="C486" s="10">
        <f>'[1]2019 ALL D95'!C486</f>
        <v>46113</v>
      </c>
      <c r="D486" s="11">
        <v>3273</v>
      </c>
      <c r="E486" s="11">
        <v>336</v>
      </c>
      <c r="F486" s="11">
        <v>4</v>
      </c>
      <c r="G486" s="13">
        <v>8</v>
      </c>
      <c r="H486" s="13">
        <v>81588</v>
      </c>
      <c r="I486" s="11" t="s">
        <v>17</v>
      </c>
      <c r="J486" s="13">
        <v>15749514</v>
      </c>
      <c r="K486" s="13" t="s">
        <v>570</v>
      </c>
      <c r="L486" s="13" t="s">
        <v>572</v>
      </c>
      <c r="M486" s="17">
        <v>239900</v>
      </c>
      <c r="N486" s="15">
        <v>0.75</v>
      </c>
      <c r="O486" s="16">
        <f t="shared" si="35"/>
        <v>59975</v>
      </c>
      <c r="P486" s="11" t="s">
        <v>20</v>
      </c>
    </row>
    <row r="487" spans="1:16" x14ac:dyDescent="0.25">
      <c r="A487" s="9" t="str">
        <f t="shared" si="38"/>
        <v>2024 ALL D75</v>
      </c>
      <c r="B487" s="10">
        <f>'[1]2019 ALL D95'!B487</f>
        <v>46104</v>
      </c>
      <c r="C487" s="10">
        <f>'[1]2019 ALL D95'!C487</f>
        <v>46113</v>
      </c>
      <c r="D487" s="11">
        <v>3273</v>
      </c>
      <c r="E487" s="11">
        <v>336</v>
      </c>
      <c r="F487" s="11">
        <v>4</v>
      </c>
      <c r="G487" s="13">
        <v>8</v>
      </c>
      <c r="H487" s="13">
        <v>81588</v>
      </c>
      <c r="I487" s="11" t="s">
        <v>17</v>
      </c>
      <c r="J487" s="13">
        <v>15749523</v>
      </c>
      <c r="K487" s="13" t="s">
        <v>570</v>
      </c>
      <c r="L487" s="13" t="s">
        <v>573</v>
      </c>
      <c r="M487" s="17">
        <v>239900</v>
      </c>
      <c r="N487" s="15">
        <v>0.75</v>
      </c>
      <c r="O487" s="16">
        <f t="shared" si="35"/>
        <v>59975</v>
      </c>
      <c r="P487" s="11" t="s">
        <v>20</v>
      </c>
    </row>
    <row r="488" spans="1:16" x14ac:dyDescent="0.25">
      <c r="A488" s="9" t="str">
        <f t="shared" si="38"/>
        <v>2024 ALL D75</v>
      </c>
      <c r="B488" s="10">
        <f>'[1]2019 ALL D95'!B488</f>
        <v>46104</v>
      </c>
      <c r="C488" s="10">
        <f>'[1]2019 ALL D95'!C488</f>
        <v>46113</v>
      </c>
      <c r="D488" s="11">
        <v>3273</v>
      </c>
      <c r="E488" s="11">
        <v>336</v>
      </c>
      <c r="F488" s="11">
        <v>4</v>
      </c>
      <c r="G488" s="13">
        <v>8</v>
      </c>
      <c r="H488" s="13">
        <v>81588</v>
      </c>
      <c r="I488" s="11" t="s">
        <v>17</v>
      </c>
      <c r="J488" s="13">
        <v>15749532</v>
      </c>
      <c r="K488" s="13" t="s">
        <v>570</v>
      </c>
      <c r="L488" s="13" t="s">
        <v>574</v>
      </c>
      <c r="M488" s="17">
        <v>239900</v>
      </c>
      <c r="N488" s="15">
        <v>0.75</v>
      </c>
      <c r="O488" s="16">
        <f t="shared" si="35"/>
        <v>59975</v>
      </c>
      <c r="P488" s="11" t="s">
        <v>20</v>
      </c>
    </row>
    <row r="489" spans="1:16" x14ac:dyDescent="0.25">
      <c r="A489" s="9" t="str">
        <f t="shared" si="38"/>
        <v>2024 ALL D75</v>
      </c>
      <c r="B489" s="10">
        <f>'[1]2019 ALL D95'!B489</f>
        <v>46104</v>
      </c>
      <c r="C489" s="10">
        <f>'[1]2019 ALL D95'!C489</f>
        <v>46113</v>
      </c>
      <c r="D489" s="11">
        <v>3273</v>
      </c>
      <c r="E489" s="11">
        <v>336</v>
      </c>
      <c r="F489" s="11">
        <v>4</v>
      </c>
      <c r="G489" s="13">
        <v>8</v>
      </c>
      <c r="H489" s="13">
        <v>81588</v>
      </c>
      <c r="I489" s="11" t="s">
        <v>17</v>
      </c>
      <c r="J489" s="13">
        <v>15749541</v>
      </c>
      <c r="K489" s="13" t="s">
        <v>570</v>
      </c>
      <c r="L489" s="13" t="s">
        <v>575</v>
      </c>
      <c r="M489" s="17">
        <v>239900</v>
      </c>
      <c r="N489" s="15">
        <v>0.75</v>
      </c>
      <c r="O489" s="16">
        <f t="shared" si="35"/>
        <v>59975</v>
      </c>
      <c r="P489" s="11" t="s">
        <v>20</v>
      </c>
    </row>
    <row r="490" spans="1:16" x14ac:dyDescent="0.25">
      <c r="A490" s="9" t="str">
        <f t="shared" si="38"/>
        <v>2024 ALL D75</v>
      </c>
      <c r="B490" s="10">
        <f>'[1]2019 ALL D95'!B490</f>
        <v>46104</v>
      </c>
      <c r="C490" s="10">
        <f>'[1]2019 ALL D95'!C490</f>
        <v>46113</v>
      </c>
      <c r="D490" s="11">
        <v>3273</v>
      </c>
      <c r="E490" s="11">
        <v>336</v>
      </c>
      <c r="F490" s="11">
        <v>4</v>
      </c>
      <c r="G490" s="13">
        <v>8</v>
      </c>
      <c r="H490" s="13">
        <v>81676</v>
      </c>
      <c r="I490" s="11" t="s">
        <v>17</v>
      </c>
      <c r="J490" s="13">
        <v>15750511</v>
      </c>
      <c r="K490" s="13" t="s">
        <v>576</v>
      </c>
      <c r="L490" s="13" t="s">
        <v>577</v>
      </c>
      <c r="M490" s="17">
        <v>229900</v>
      </c>
      <c r="N490" s="15">
        <v>0.75</v>
      </c>
      <c r="O490" s="16">
        <f t="shared" si="35"/>
        <v>57475</v>
      </c>
      <c r="P490" s="11" t="s">
        <v>20</v>
      </c>
    </row>
    <row r="491" spans="1:16" x14ac:dyDescent="0.25">
      <c r="A491" s="9" t="str">
        <f t="shared" si="38"/>
        <v>2024 ALL D75</v>
      </c>
      <c r="B491" s="10">
        <f>'[1]2019 ALL D95'!B491</f>
        <v>46104</v>
      </c>
      <c r="C491" s="10">
        <f>'[1]2019 ALL D95'!C491</f>
        <v>46113</v>
      </c>
      <c r="D491" s="11">
        <v>3273</v>
      </c>
      <c r="E491" s="11">
        <v>336</v>
      </c>
      <c r="F491" s="11">
        <v>4</v>
      </c>
      <c r="G491" s="13">
        <v>8</v>
      </c>
      <c r="H491" s="13">
        <v>81676</v>
      </c>
      <c r="I491" s="11" t="s">
        <v>17</v>
      </c>
      <c r="J491" s="13">
        <v>15750520</v>
      </c>
      <c r="K491" s="13" t="s">
        <v>576</v>
      </c>
      <c r="L491" s="13" t="s">
        <v>578</v>
      </c>
      <c r="M491" s="17">
        <v>229900</v>
      </c>
      <c r="N491" s="15">
        <v>0.75</v>
      </c>
      <c r="O491" s="16">
        <f t="shared" si="35"/>
        <v>57475</v>
      </c>
      <c r="P491" s="11" t="s">
        <v>20</v>
      </c>
    </row>
    <row r="492" spans="1:16" x14ac:dyDescent="0.25">
      <c r="A492" s="9" t="str">
        <f t="shared" si="38"/>
        <v>2024 ALL D75</v>
      </c>
      <c r="B492" s="10">
        <f>'[1]2019 ALL D95'!B492</f>
        <v>46104</v>
      </c>
      <c r="C492" s="10">
        <f>'[1]2019 ALL D95'!C492</f>
        <v>46113</v>
      </c>
      <c r="D492" s="11">
        <v>3273</v>
      </c>
      <c r="E492" s="11">
        <v>336</v>
      </c>
      <c r="F492" s="11">
        <v>4</v>
      </c>
      <c r="G492" s="13">
        <v>8</v>
      </c>
      <c r="H492" s="13">
        <v>81676</v>
      </c>
      <c r="I492" s="11" t="s">
        <v>17</v>
      </c>
      <c r="J492" s="13">
        <v>15750539</v>
      </c>
      <c r="K492" s="13" t="s">
        <v>576</v>
      </c>
      <c r="L492" s="13" t="s">
        <v>579</v>
      </c>
      <c r="M492" s="17">
        <v>229900</v>
      </c>
      <c r="N492" s="15">
        <v>0.75</v>
      </c>
      <c r="O492" s="16">
        <f t="shared" si="35"/>
        <v>57475</v>
      </c>
      <c r="P492" s="11" t="s">
        <v>20</v>
      </c>
    </row>
    <row r="493" spans="1:16" x14ac:dyDescent="0.25">
      <c r="A493" s="9" t="str">
        <f t="shared" si="38"/>
        <v>2024 ALL D75</v>
      </c>
      <c r="B493" s="10">
        <f>'[1]2019 ALL D95'!B493</f>
        <v>46104</v>
      </c>
      <c r="C493" s="10">
        <f>'[1]2019 ALL D95'!C493</f>
        <v>46113</v>
      </c>
      <c r="D493" s="11">
        <v>3273</v>
      </c>
      <c r="E493" s="11">
        <v>336</v>
      </c>
      <c r="F493" s="11">
        <v>4</v>
      </c>
      <c r="G493" s="13">
        <v>8</v>
      </c>
      <c r="H493" s="13">
        <v>81676</v>
      </c>
      <c r="I493" s="11" t="s">
        <v>17</v>
      </c>
      <c r="J493" s="13">
        <v>15750548</v>
      </c>
      <c r="K493" s="13" t="s">
        <v>576</v>
      </c>
      <c r="L493" s="13" t="s">
        <v>580</v>
      </c>
      <c r="M493" s="17">
        <v>229900</v>
      </c>
      <c r="N493" s="15">
        <v>0.75</v>
      </c>
      <c r="O493" s="16">
        <f t="shared" si="35"/>
        <v>57475</v>
      </c>
      <c r="P493" s="11" t="s">
        <v>20</v>
      </c>
    </row>
    <row r="494" spans="1:16" x14ac:dyDescent="0.25">
      <c r="A494" s="9" t="str">
        <f t="shared" si="38"/>
        <v>2024 ALL D75</v>
      </c>
      <c r="B494" s="10">
        <f>'[1]2019 ALL D95'!B494</f>
        <v>46104</v>
      </c>
      <c r="C494" s="10">
        <f>'[1]2019 ALL D95'!C494</f>
        <v>46113</v>
      </c>
      <c r="D494" s="11">
        <v>3273</v>
      </c>
      <c r="E494" s="11">
        <v>336</v>
      </c>
      <c r="F494" s="11">
        <v>4</v>
      </c>
      <c r="G494" s="13">
        <v>8</v>
      </c>
      <c r="H494" s="13">
        <v>81676</v>
      </c>
      <c r="I494" s="11" t="s">
        <v>17</v>
      </c>
      <c r="J494" s="13">
        <v>15750557</v>
      </c>
      <c r="K494" s="13" t="s">
        <v>576</v>
      </c>
      <c r="L494" s="13" t="s">
        <v>581</v>
      </c>
      <c r="M494" s="17">
        <v>229900</v>
      </c>
      <c r="N494" s="15">
        <v>0.75</v>
      </c>
      <c r="O494" s="16">
        <f t="shared" si="35"/>
        <v>57475</v>
      </c>
      <c r="P494" s="11" t="s">
        <v>20</v>
      </c>
    </row>
    <row r="495" spans="1:16" x14ac:dyDescent="0.25">
      <c r="A495" s="9" t="str">
        <f t="shared" si="38"/>
        <v>2024 ALL D75</v>
      </c>
      <c r="B495" s="10">
        <f>'[1]2019 ALL D95'!B495</f>
        <v>46104</v>
      </c>
      <c r="C495" s="10">
        <f>'[1]2019 ALL D95'!C495</f>
        <v>46113</v>
      </c>
      <c r="D495" s="11">
        <v>3273</v>
      </c>
      <c r="E495" s="11">
        <v>336</v>
      </c>
      <c r="F495" s="11">
        <v>4</v>
      </c>
      <c r="G495" s="13">
        <v>8</v>
      </c>
      <c r="H495" s="13">
        <v>81676</v>
      </c>
      <c r="I495" s="11" t="s">
        <v>17</v>
      </c>
      <c r="J495" s="13">
        <v>15750566</v>
      </c>
      <c r="K495" s="13" t="s">
        <v>576</v>
      </c>
      <c r="L495" s="13" t="s">
        <v>582</v>
      </c>
      <c r="M495" s="17">
        <v>229900</v>
      </c>
      <c r="N495" s="15">
        <v>0.75</v>
      </c>
      <c r="O495" s="16">
        <f t="shared" si="35"/>
        <v>57475</v>
      </c>
      <c r="P495" s="11" t="s">
        <v>20</v>
      </c>
    </row>
    <row r="496" spans="1:16" x14ac:dyDescent="0.25">
      <c r="A496" s="9" t="str">
        <f t="shared" si="38"/>
        <v>2024 ALL D75</v>
      </c>
      <c r="B496" s="10">
        <f>'[1]2019 ALL D95'!B496</f>
        <v>46104</v>
      </c>
      <c r="C496" s="10">
        <f>'[1]2019 ALL D95'!C496</f>
        <v>46113</v>
      </c>
      <c r="D496" s="11">
        <v>3273</v>
      </c>
      <c r="E496" s="11">
        <v>336</v>
      </c>
      <c r="F496" s="11">
        <v>4</v>
      </c>
      <c r="G496" s="13">
        <v>8</v>
      </c>
      <c r="H496" s="13">
        <v>81676</v>
      </c>
      <c r="I496" s="11" t="s">
        <v>17</v>
      </c>
      <c r="J496" s="13">
        <v>15750575</v>
      </c>
      <c r="K496" s="13" t="s">
        <v>576</v>
      </c>
      <c r="L496" s="13" t="s">
        <v>583</v>
      </c>
      <c r="M496" s="17">
        <v>229900</v>
      </c>
      <c r="N496" s="15">
        <v>0.75</v>
      </c>
      <c r="O496" s="16">
        <f t="shared" si="35"/>
        <v>57475</v>
      </c>
      <c r="P496" s="11" t="s">
        <v>20</v>
      </c>
    </row>
    <row r="497" spans="1:16" x14ac:dyDescent="0.25">
      <c r="A497" s="9" t="str">
        <f t="shared" si="38"/>
        <v>2024 ALL D75</v>
      </c>
      <c r="B497" s="10">
        <f>'[1]2019 ALL D95'!B497</f>
        <v>46104</v>
      </c>
      <c r="C497" s="10">
        <f>'[1]2019 ALL D95'!C497</f>
        <v>46113</v>
      </c>
      <c r="D497" s="11">
        <v>3273</v>
      </c>
      <c r="E497" s="11">
        <v>336</v>
      </c>
      <c r="F497" s="11">
        <v>4</v>
      </c>
      <c r="G497" s="13">
        <v>8</v>
      </c>
      <c r="H497" s="13">
        <v>81676</v>
      </c>
      <c r="I497" s="11" t="s">
        <v>17</v>
      </c>
      <c r="J497" s="13">
        <v>15750584</v>
      </c>
      <c r="K497" s="13" t="s">
        <v>576</v>
      </c>
      <c r="L497" s="13" t="s">
        <v>584</v>
      </c>
      <c r="M497" s="17">
        <v>229900</v>
      </c>
      <c r="N497" s="15">
        <v>0.75</v>
      </c>
      <c r="O497" s="16">
        <f t="shared" si="35"/>
        <v>57475</v>
      </c>
      <c r="P497" s="11" t="s">
        <v>20</v>
      </c>
    </row>
    <row r="498" spans="1:16" x14ac:dyDescent="0.25">
      <c r="A498" s="9" t="str">
        <f t="shared" si="38"/>
        <v>2024 ALL D75</v>
      </c>
      <c r="B498" s="10">
        <f>'[1]2019 ALL D95'!B498</f>
        <v>46104</v>
      </c>
      <c r="C498" s="10">
        <f>'[1]2019 ALL D95'!C498</f>
        <v>46113</v>
      </c>
      <c r="D498" s="11">
        <v>3273</v>
      </c>
      <c r="E498" s="11">
        <v>336</v>
      </c>
      <c r="F498" s="11">
        <v>4</v>
      </c>
      <c r="G498" s="13">
        <v>8</v>
      </c>
      <c r="H498" s="13">
        <v>81588</v>
      </c>
      <c r="I498" s="11" t="s">
        <v>17</v>
      </c>
      <c r="J498" s="13">
        <v>81309302</v>
      </c>
      <c r="K498" s="13" t="s">
        <v>585</v>
      </c>
      <c r="L498" s="13" t="s">
        <v>586</v>
      </c>
      <c r="M498" s="17">
        <v>239900</v>
      </c>
      <c r="N498" s="15">
        <v>0.75</v>
      </c>
      <c r="O498" s="16">
        <f t="shared" si="35"/>
        <v>59975</v>
      </c>
      <c r="P498" s="11" t="s">
        <v>20</v>
      </c>
    </row>
    <row r="499" spans="1:16" x14ac:dyDescent="0.25">
      <c r="A499" s="9" t="str">
        <f t="shared" ref="A499:A514" si="39">A498</f>
        <v>2024 ALL D75</v>
      </c>
      <c r="B499" s="10">
        <f>'[1]2019 ALL D95'!B499</f>
        <v>46104</v>
      </c>
      <c r="C499" s="10">
        <f>'[1]2019 ALL D95'!C499</f>
        <v>46113</v>
      </c>
      <c r="D499" s="11">
        <v>3273</v>
      </c>
      <c r="E499" s="11">
        <v>336</v>
      </c>
      <c r="F499" s="11">
        <v>4</v>
      </c>
      <c r="G499" s="13">
        <v>8</v>
      </c>
      <c r="H499" s="13">
        <v>81588</v>
      </c>
      <c r="I499" s="11" t="s">
        <v>17</v>
      </c>
      <c r="J499" s="13">
        <v>81309311</v>
      </c>
      <c r="K499" s="13" t="s">
        <v>585</v>
      </c>
      <c r="L499" s="13" t="s">
        <v>587</v>
      </c>
      <c r="M499" s="17">
        <v>239900</v>
      </c>
      <c r="N499" s="15">
        <v>0.75</v>
      </c>
      <c r="O499" s="16">
        <f t="shared" si="35"/>
        <v>59975</v>
      </c>
      <c r="P499" s="11" t="s">
        <v>20</v>
      </c>
    </row>
    <row r="500" spans="1:16" x14ac:dyDescent="0.25">
      <c r="A500" s="9" t="str">
        <f t="shared" si="39"/>
        <v>2024 ALL D75</v>
      </c>
      <c r="B500" s="10">
        <f>'[1]2019 ALL D95'!B500</f>
        <v>46104</v>
      </c>
      <c r="C500" s="10">
        <f>'[1]2019 ALL D95'!C500</f>
        <v>46113</v>
      </c>
      <c r="D500" s="11">
        <v>3273</v>
      </c>
      <c r="E500" s="11">
        <v>336</v>
      </c>
      <c r="F500" s="11">
        <v>4</v>
      </c>
      <c r="G500" s="13">
        <v>8</v>
      </c>
      <c r="H500" s="13">
        <v>81588</v>
      </c>
      <c r="I500" s="11" t="s">
        <v>17</v>
      </c>
      <c r="J500" s="13">
        <v>81309320</v>
      </c>
      <c r="K500" s="13" t="s">
        <v>585</v>
      </c>
      <c r="L500" s="13" t="s">
        <v>588</v>
      </c>
      <c r="M500" s="17">
        <v>239900</v>
      </c>
      <c r="N500" s="15">
        <v>0.75</v>
      </c>
      <c r="O500" s="16">
        <f t="shared" si="35"/>
        <v>59975</v>
      </c>
      <c r="P500" s="11" t="s">
        <v>20</v>
      </c>
    </row>
    <row r="501" spans="1:16" x14ac:dyDescent="0.25">
      <c r="A501" s="9" t="str">
        <f t="shared" si="39"/>
        <v>2024 ALL D75</v>
      </c>
      <c r="B501" s="10">
        <f>'[1]2019 ALL D95'!B501</f>
        <v>46104</v>
      </c>
      <c r="C501" s="10">
        <f>'[1]2019 ALL D95'!C501</f>
        <v>46113</v>
      </c>
      <c r="D501" s="11">
        <v>3273</v>
      </c>
      <c r="E501" s="11">
        <v>336</v>
      </c>
      <c r="F501" s="11">
        <v>4</v>
      </c>
      <c r="G501" s="13">
        <v>8</v>
      </c>
      <c r="H501" s="13">
        <v>81588</v>
      </c>
      <c r="I501" s="11" t="s">
        <v>17</v>
      </c>
      <c r="J501" s="13">
        <v>81309339</v>
      </c>
      <c r="K501" s="13" t="s">
        <v>585</v>
      </c>
      <c r="L501" s="13" t="s">
        <v>589</v>
      </c>
      <c r="M501" s="17">
        <v>239900</v>
      </c>
      <c r="N501" s="15">
        <v>0.75</v>
      </c>
      <c r="O501" s="16">
        <f t="shared" si="35"/>
        <v>59975</v>
      </c>
      <c r="P501" s="11" t="s">
        <v>20</v>
      </c>
    </row>
    <row r="502" spans="1:16" x14ac:dyDescent="0.25">
      <c r="A502" s="9" t="str">
        <f t="shared" si="39"/>
        <v>2024 ALL D75</v>
      </c>
      <c r="B502" s="10">
        <f>'[1]2019 ALL D95'!B502</f>
        <v>46104</v>
      </c>
      <c r="C502" s="10">
        <f>'[1]2019 ALL D95'!C502</f>
        <v>46113</v>
      </c>
      <c r="D502" s="11">
        <v>3273</v>
      </c>
      <c r="E502" s="11">
        <v>336</v>
      </c>
      <c r="F502" s="11">
        <v>4</v>
      </c>
      <c r="G502" s="13">
        <v>8</v>
      </c>
      <c r="H502" s="13">
        <v>81588</v>
      </c>
      <c r="I502" s="11" t="s">
        <v>17</v>
      </c>
      <c r="J502" s="13">
        <v>81309348</v>
      </c>
      <c r="K502" s="13" t="s">
        <v>585</v>
      </c>
      <c r="L502" s="13" t="s">
        <v>590</v>
      </c>
      <c r="M502" s="17">
        <v>239900</v>
      </c>
      <c r="N502" s="15">
        <v>0.75</v>
      </c>
      <c r="O502" s="16">
        <f t="shared" si="35"/>
        <v>59975</v>
      </c>
      <c r="P502" s="11" t="s">
        <v>20</v>
      </c>
    </row>
    <row r="503" spans="1:16" x14ac:dyDescent="0.25">
      <c r="A503" s="9" t="str">
        <f t="shared" si="39"/>
        <v>2024 ALL D75</v>
      </c>
      <c r="B503" s="10">
        <f>'[1]2019 ALL D95'!B503</f>
        <v>46104</v>
      </c>
      <c r="C503" s="10">
        <f>'[1]2019 ALL D95'!C503</f>
        <v>46113</v>
      </c>
      <c r="D503" s="11">
        <v>3273</v>
      </c>
      <c r="E503" s="11">
        <v>336</v>
      </c>
      <c r="F503" s="11">
        <v>4</v>
      </c>
      <c r="G503" s="13">
        <v>8</v>
      </c>
      <c r="H503" s="13">
        <v>81588</v>
      </c>
      <c r="I503" s="11" t="s">
        <v>17</v>
      </c>
      <c r="J503" s="13">
        <v>81309357</v>
      </c>
      <c r="K503" s="13" t="s">
        <v>585</v>
      </c>
      <c r="L503" s="13" t="s">
        <v>591</v>
      </c>
      <c r="M503" s="17">
        <v>239900</v>
      </c>
      <c r="N503" s="15">
        <v>0.75</v>
      </c>
      <c r="O503" s="16">
        <f t="shared" si="35"/>
        <v>59975</v>
      </c>
      <c r="P503" s="11" t="s">
        <v>20</v>
      </c>
    </row>
    <row r="504" spans="1:16" x14ac:dyDescent="0.25">
      <c r="A504" s="9" t="str">
        <f t="shared" si="39"/>
        <v>2024 ALL D75</v>
      </c>
      <c r="B504" s="10">
        <f>'[1]2019 ALL D95'!B504</f>
        <v>46104</v>
      </c>
      <c r="C504" s="10">
        <f>'[1]2019 ALL D95'!C504</f>
        <v>46113</v>
      </c>
      <c r="D504" s="11">
        <v>3273</v>
      </c>
      <c r="E504" s="11">
        <v>336</v>
      </c>
      <c r="F504" s="11">
        <v>4</v>
      </c>
      <c r="G504" s="13">
        <v>8</v>
      </c>
      <c r="H504" s="13">
        <v>81588</v>
      </c>
      <c r="I504" s="11" t="s">
        <v>17</v>
      </c>
      <c r="J504" s="13">
        <v>81309366</v>
      </c>
      <c r="K504" s="13" t="s">
        <v>585</v>
      </c>
      <c r="L504" s="13" t="s">
        <v>592</v>
      </c>
      <c r="M504" s="17">
        <v>239900</v>
      </c>
      <c r="N504" s="15">
        <v>0.75</v>
      </c>
      <c r="O504" s="16">
        <f t="shared" si="35"/>
        <v>59975</v>
      </c>
      <c r="P504" s="11" t="s">
        <v>20</v>
      </c>
    </row>
    <row r="505" spans="1:16" x14ac:dyDescent="0.25">
      <c r="A505" s="9" t="str">
        <f t="shared" si="39"/>
        <v>2024 ALL D75</v>
      </c>
      <c r="B505" s="10">
        <f>'[1]2019 ALL D95'!B505</f>
        <v>46104</v>
      </c>
      <c r="C505" s="10">
        <f>'[1]2019 ALL D95'!C505</f>
        <v>46113</v>
      </c>
      <c r="D505" s="11">
        <v>3273</v>
      </c>
      <c r="E505" s="11">
        <v>336</v>
      </c>
      <c r="F505" s="11">
        <v>4</v>
      </c>
      <c r="G505" s="13">
        <v>8</v>
      </c>
      <c r="H505" s="13">
        <v>81588</v>
      </c>
      <c r="I505" s="11" t="s">
        <v>17</v>
      </c>
      <c r="J505" s="13">
        <v>81309375</v>
      </c>
      <c r="K505" s="13" t="s">
        <v>585</v>
      </c>
      <c r="L505" s="13" t="s">
        <v>593</v>
      </c>
      <c r="M505" s="17">
        <v>239900</v>
      </c>
      <c r="N505" s="15">
        <v>0.75</v>
      </c>
      <c r="O505" s="16">
        <f t="shared" si="35"/>
        <v>59975</v>
      </c>
      <c r="P505" s="11" t="s">
        <v>20</v>
      </c>
    </row>
    <row r="506" spans="1:16" x14ac:dyDescent="0.25">
      <c r="A506" s="9" t="str">
        <f t="shared" si="39"/>
        <v>2024 ALL D75</v>
      </c>
      <c r="B506" s="10">
        <f>'[1]2019 ALL D95'!B506</f>
        <v>46104</v>
      </c>
      <c r="C506" s="10">
        <f>'[1]2019 ALL D95'!C506</f>
        <v>46113</v>
      </c>
      <c r="D506" s="11">
        <v>3273</v>
      </c>
      <c r="E506" s="11">
        <v>336</v>
      </c>
      <c r="F506" s="11">
        <v>4</v>
      </c>
      <c r="G506" s="13">
        <v>8</v>
      </c>
      <c r="H506" s="13">
        <v>81574</v>
      </c>
      <c r="I506" s="11" t="s">
        <v>17</v>
      </c>
      <c r="J506" s="13">
        <v>15749630</v>
      </c>
      <c r="K506" s="13" t="s">
        <v>594</v>
      </c>
      <c r="L506" s="13" t="s">
        <v>595</v>
      </c>
      <c r="M506" s="17">
        <v>319900</v>
      </c>
      <c r="N506" s="15">
        <v>0.75</v>
      </c>
      <c r="O506" s="16">
        <f t="shared" si="35"/>
        <v>79975</v>
      </c>
      <c r="P506" s="11" t="s">
        <v>20</v>
      </c>
    </row>
    <row r="507" spans="1:16" x14ac:dyDescent="0.25">
      <c r="A507" s="9" t="str">
        <f t="shared" si="39"/>
        <v>2024 ALL D75</v>
      </c>
      <c r="B507" s="10">
        <f>'[1]2019 ALL D95'!B507</f>
        <v>46104</v>
      </c>
      <c r="C507" s="10">
        <f>'[1]2019 ALL D95'!C507</f>
        <v>46113</v>
      </c>
      <c r="D507" s="11">
        <v>3273</v>
      </c>
      <c r="E507" s="11">
        <v>336</v>
      </c>
      <c r="F507" s="11">
        <v>4</v>
      </c>
      <c r="G507" s="13">
        <v>8</v>
      </c>
      <c r="H507" s="13">
        <v>81574</v>
      </c>
      <c r="I507" s="11" t="s">
        <v>17</v>
      </c>
      <c r="J507" s="13">
        <v>15749649</v>
      </c>
      <c r="K507" s="13" t="s">
        <v>594</v>
      </c>
      <c r="L507" s="13" t="s">
        <v>596</v>
      </c>
      <c r="M507" s="17">
        <v>319900</v>
      </c>
      <c r="N507" s="15">
        <v>0.75</v>
      </c>
      <c r="O507" s="16">
        <f t="shared" si="35"/>
        <v>79975</v>
      </c>
      <c r="P507" s="11" t="s">
        <v>20</v>
      </c>
    </row>
    <row r="508" spans="1:16" x14ac:dyDescent="0.25">
      <c r="A508" s="9" t="str">
        <f t="shared" si="39"/>
        <v>2024 ALL D75</v>
      </c>
      <c r="B508" s="10">
        <f>'[1]2019 ALL D95'!B508</f>
        <v>46104</v>
      </c>
      <c r="C508" s="10">
        <f>'[1]2019 ALL D95'!C508</f>
        <v>46113</v>
      </c>
      <c r="D508" s="11">
        <v>3273</v>
      </c>
      <c r="E508" s="11">
        <v>336</v>
      </c>
      <c r="F508" s="11">
        <v>4</v>
      </c>
      <c r="G508" s="13">
        <v>8</v>
      </c>
      <c r="H508" s="13">
        <v>81574</v>
      </c>
      <c r="I508" s="11" t="s">
        <v>17</v>
      </c>
      <c r="J508" s="13">
        <v>15749658</v>
      </c>
      <c r="K508" s="13" t="s">
        <v>594</v>
      </c>
      <c r="L508" s="13" t="s">
        <v>597</v>
      </c>
      <c r="M508" s="17">
        <v>319900</v>
      </c>
      <c r="N508" s="15">
        <v>0.75</v>
      </c>
      <c r="O508" s="16">
        <f t="shared" si="35"/>
        <v>79975</v>
      </c>
      <c r="P508" s="11" t="s">
        <v>20</v>
      </c>
    </row>
    <row r="509" spans="1:16" x14ac:dyDescent="0.25">
      <c r="A509" s="9" t="str">
        <f t="shared" si="39"/>
        <v>2024 ALL D75</v>
      </c>
      <c r="B509" s="10">
        <f>'[1]2019 ALL D95'!B509</f>
        <v>46104</v>
      </c>
      <c r="C509" s="10">
        <f>'[1]2019 ALL D95'!C509</f>
        <v>46113</v>
      </c>
      <c r="D509" s="11">
        <v>3273</v>
      </c>
      <c r="E509" s="11">
        <v>336</v>
      </c>
      <c r="F509" s="11">
        <v>4</v>
      </c>
      <c r="G509" s="13">
        <v>8</v>
      </c>
      <c r="H509" s="13">
        <v>81574</v>
      </c>
      <c r="I509" s="11" t="s">
        <v>17</v>
      </c>
      <c r="J509" s="13">
        <v>15749667</v>
      </c>
      <c r="K509" s="13" t="s">
        <v>594</v>
      </c>
      <c r="L509" s="13" t="s">
        <v>598</v>
      </c>
      <c r="M509" s="17">
        <v>319900</v>
      </c>
      <c r="N509" s="15">
        <v>0.75</v>
      </c>
      <c r="O509" s="16">
        <f t="shared" si="35"/>
        <v>79975</v>
      </c>
      <c r="P509" s="11" t="s">
        <v>20</v>
      </c>
    </row>
    <row r="510" spans="1:16" x14ac:dyDescent="0.25">
      <c r="A510" s="9" t="str">
        <f t="shared" si="39"/>
        <v>2024 ALL D75</v>
      </c>
      <c r="B510" s="10">
        <f>'[1]2019 ALL D95'!B510</f>
        <v>46104</v>
      </c>
      <c r="C510" s="10">
        <f>'[1]2019 ALL D95'!C510</f>
        <v>46113</v>
      </c>
      <c r="D510" s="11">
        <v>3273</v>
      </c>
      <c r="E510" s="11">
        <v>336</v>
      </c>
      <c r="F510" s="11">
        <v>4</v>
      </c>
      <c r="G510" s="13">
        <v>8</v>
      </c>
      <c r="H510" s="13">
        <v>81574</v>
      </c>
      <c r="I510" s="11" t="s">
        <v>17</v>
      </c>
      <c r="J510" s="13">
        <v>15749676</v>
      </c>
      <c r="K510" s="13" t="s">
        <v>594</v>
      </c>
      <c r="L510" s="13" t="s">
        <v>599</v>
      </c>
      <c r="M510" s="17">
        <v>319900</v>
      </c>
      <c r="N510" s="15">
        <v>0.75</v>
      </c>
      <c r="O510" s="16">
        <f t="shared" si="35"/>
        <v>79975</v>
      </c>
      <c r="P510" s="11" t="s">
        <v>20</v>
      </c>
    </row>
    <row r="511" spans="1:16" x14ac:dyDescent="0.25">
      <c r="A511" s="9" t="str">
        <f t="shared" si="39"/>
        <v>2024 ALL D75</v>
      </c>
      <c r="B511" s="10">
        <f>'[1]2019 ALL D95'!B511</f>
        <v>46104</v>
      </c>
      <c r="C511" s="10">
        <f>'[1]2019 ALL D95'!C511</f>
        <v>46113</v>
      </c>
      <c r="D511" s="11">
        <v>3273</v>
      </c>
      <c r="E511" s="11">
        <v>336</v>
      </c>
      <c r="F511" s="11">
        <v>4</v>
      </c>
      <c r="G511" s="13">
        <v>8</v>
      </c>
      <c r="H511" s="13">
        <v>81574</v>
      </c>
      <c r="I511" s="11" t="s">
        <v>17</v>
      </c>
      <c r="J511" s="13">
        <v>15749685</v>
      </c>
      <c r="K511" s="13" t="s">
        <v>594</v>
      </c>
      <c r="L511" s="13" t="s">
        <v>600</v>
      </c>
      <c r="M511" s="17">
        <v>319900</v>
      </c>
      <c r="N511" s="15">
        <v>0.75</v>
      </c>
      <c r="O511" s="16">
        <f t="shared" si="35"/>
        <v>79975</v>
      </c>
      <c r="P511" s="11" t="s">
        <v>20</v>
      </c>
    </row>
    <row r="512" spans="1:16" x14ac:dyDescent="0.25">
      <c r="A512" s="9" t="str">
        <f t="shared" si="39"/>
        <v>2024 ALL D75</v>
      </c>
      <c r="B512" s="10">
        <f>'[1]2019 ALL D95'!B512</f>
        <v>46104</v>
      </c>
      <c r="C512" s="10">
        <f>'[1]2019 ALL D95'!C512</f>
        <v>46113</v>
      </c>
      <c r="D512" s="11">
        <v>3273</v>
      </c>
      <c r="E512" s="11">
        <v>336</v>
      </c>
      <c r="F512" s="11">
        <v>4</v>
      </c>
      <c r="G512" s="13">
        <v>8</v>
      </c>
      <c r="H512" s="13">
        <v>81574</v>
      </c>
      <c r="I512" s="11" t="s">
        <v>17</v>
      </c>
      <c r="J512" s="13">
        <v>15749694</v>
      </c>
      <c r="K512" s="13" t="s">
        <v>594</v>
      </c>
      <c r="L512" s="13" t="s">
        <v>601</v>
      </c>
      <c r="M512" s="17">
        <v>319900</v>
      </c>
      <c r="N512" s="15">
        <v>0.75</v>
      </c>
      <c r="O512" s="16">
        <f t="shared" si="35"/>
        <v>79975</v>
      </c>
      <c r="P512" s="11" t="s">
        <v>20</v>
      </c>
    </row>
    <row r="513" spans="1:16" x14ac:dyDescent="0.25">
      <c r="A513" s="9" t="str">
        <f t="shared" si="39"/>
        <v>2024 ALL D75</v>
      </c>
      <c r="B513" s="10">
        <f>'[1]2019 ALL D95'!B513</f>
        <v>46104</v>
      </c>
      <c r="C513" s="10">
        <f>'[1]2019 ALL D95'!C513</f>
        <v>46113</v>
      </c>
      <c r="D513" s="11">
        <v>3273</v>
      </c>
      <c r="E513" s="11">
        <v>336</v>
      </c>
      <c r="F513" s="11">
        <v>4</v>
      </c>
      <c r="G513" s="13">
        <v>8</v>
      </c>
      <c r="H513" s="13">
        <v>81574</v>
      </c>
      <c r="I513" s="11" t="s">
        <v>17</v>
      </c>
      <c r="J513" s="13">
        <v>15749701</v>
      </c>
      <c r="K513" s="13" t="s">
        <v>594</v>
      </c>
      <c r="L513" s="13" t="s">
        <v>602</v>
      </c>
      <c r="M513" s="17">
        <v>319900</v>
      </c>
      <c r="N513" s="15">
        <v>0.75</v>
      </c>
      <c r="O513" s="16">
        <f t="shared" si="35"/>
        <v>79975</v>
      </c>
      <c r="P513" s="11" t="s">
        <v>20</v>
      </c>
    </row>
    <row r="514" spans="1:16" x14ac:dyDescent="0.25">
      <c r="A514" s="9" t="str">
        <f t="shared" si="39"/>
        <v>2024 ALL D75</v>
      </c>
      <c r="B514" s="10">
        <f>'[1]2019 ALL D95'!B514</f>
        <v>46104</v>
      </c>
      <c r="C514" s="10">
        <f>'[1]2019 ALL D95'!C514</f>
        <v>46113</v>
      </c>
      <c r="D514" s="11">
        <v>3273</v>
      </c>
      <c r="E514" s="11">
        <v>336</v>
      </c>
      <c r="F514" s="11">
        <v>4</v>
      </c>
      <c r="G514" s="13">
        <v>8</v>
      </c>
      <c r="H514" s="13">
        <v>81676</v>
      </c>
      <c r="I514" s="11" t="s">
        <v>17</v>
      </c>
      <c r="J514" s="13">
        <v>15638965</v>
      </c>
      <c r="K514" s="13" t="s">
        <v>603</v>
      </c>
      <c r="L514" s="13" t="s">
        <v>604</v>
      </c>
      <c r="M514" s="17">
        <v>279900</v>
      </c>
      <c r="N514" s="15">
        <v>0.75</v>
      </c>
      <c r="O514" s="16">
        <f t="shared" ref="O514:O577" si="40">M514*(1-N514)</f>
        <v>69975</v>
      </c>
      <c r="P514" s="11" t="s">
        <v>20</v>
      </c>
    </row>
    <row r="515" spans="1:16" x14ac:dyDescent="0.25">
      <c r="A515" s="9" t="str">
        <f t="shared" ref="A515:A530" si="41">A514</f>
        <v>2024 ALL D75</v>
      </c>
      <c r="B515" s="10">
        <f>'[1]2019 ALL D95'!B515</f>
        <v>46104</v>
      </c>
      <c r="C515" s="10">
        <f>'[1]2019 ALL D95'!C515</f>
        <v>46113</v>
      </c>
      <c r="D515" s="11">
        <v>3273</v>
      </c>
      <c r="E515" s="11">
        <v>336</v>
      </c>
      <c r="F515" s="11">
        <v>4</v>
      </c>
      <c r="G515" s="13">
        <v>8</v>
      </c>
      <c r="H515" s="13">
        <v>81676</v>
      </c>
      <c r="I515" s="11" t="s">
        <v>17</v>
      </c>
      <c r="J515" s="13">
        <v>15638974</v>
      </c>
      <c r="K515" s="13" t="s">
        <v>603</v>
      </c>
      <c r="L515" s="13" t="s">
        <v>605</v>
      </c>
      <c r="M515" s="17">
        <v>279900</v>
      </c>
      <c r="N515" s="15">
        <v>0.75</v>
      </c>
      <c r="O515" s="16">
        <f t="shared" si="40"/>
        <v>69975</v>
      </c>
      <c r="P515" s="11" t="s">
        <v>20</v>
      </c>
    </row>
    <row r="516" spans="1:16" x14ac:dyDescent="0.25">
      <c r="A516" s="9" t="str">
        <f t="shared" si="41"/>
        <v>2024 ALL D75</v>
      </c>
      <c r="B516" s="10">
        <f>'[1]2019 ALL D95'!B516</f>
        <v>46104</v>
      </c>
      <c r="C516" s="10">
        <f>'[1]2019 ALL D95'!C516</f>
        <v>46113</v>
      </c>
      <c r="D516" s="11">
        <v>3273</v>
      </c>
      <c r="E516" s="11">
        <v>336</v>
      </c>
      <c r="F516" s="11">
        <v>4</v>
      </c>
      <c r="G516" s="13">
        <v>8</v>
      </c>
      <c r="H516" s="13">
        <v>81676</v>
      </c>
      <c r="I516" s="11" t="s">
        <v>17</v>
      </c>
      <c r="J516" s="13">
        <v>15638983</v>
      </c>
      <c r="K516" s="13" t="s">
        <v>603</v>
      </c>
      <c r="L516" s="13" t="s">
        <v>606</v>
      </c>
      <c r="M516" s="17">
        <v>279900</v>
      </c>
      <c r="N516" s="15">
        <v>0.75</v>
      </c>
      <c r="O516" s="16">
        <f t="shared" si="40"/>
        <v>69975</v>
      </c>
      <c r="P516" s="11" t="s">
        <v>20</v>
      </c>
    </row>
    <row r="517" spans="1:16" x14ac:dyDescent="0.25">
      <c r="A517" s="9" t="str">
        <f t="shared" si="41"/>
        <v>2024 ALL D75</v>
      </c>
      <c r="B517" s="10">
        <f>'[1]2019 ALL D95'!B517</f>
        <v>46104</v>
      </c>
      <c r="C517" s="10">
        <f>'[1]2019 ALL D95'!C517</f>
        <v>46113</v>
      </c>
      <c r="D517" s="11">
        <v>3273</v>
      </c>
      <c r="E517" s="11">
        <v>336</v>
      </c>
      <c r="F517" s="11">
        <v>4</v>
      </c>
      <c r="G517" s="13">
        <v>8</v>
      </c>
      <c r="H517" s="13">
        <v>81676</v>
      </c>
      <c r="I517" s="11" t="s">
        <v>17</v>
      </c>
      <c r="J517" s="13">
        <v>15638992</v>
      </c>
      <c r="K517" s="13" t="s">
        <v>603</v>
      </c>
      <c r="L517" s="13" t="s">
        <v>607</v>
      </c>
      <c r="M517" s="17">
        <v>279900</v>
      </c>
      <c r="N517" s="15">
        <v>0.75</v>
      </c>
      <c r="O517" s="16">
        <f t="shared" si="40"/>
        <v>69975</v>
      </c>
      <c r="P517" s="11" t="s">
        <v>20</v>
      </c>
    </row>
    <row r="518" spans="1:16" x14ac:dyDescent="0.25">
      <c r="A518" s="9" t="str">
        <f t="shared" si="41"/>
        <v>2024 ALL D75</v>
      </c>
      <c r="B518" s="10">
        <f>'[1]2019 ALL D95'!B518</f>
        <v>46104</v>
      </c>
      <c r="C518" s="10">
        <f>'[1]2019 ALL D95'!C518</f>
        <v>46113</v>
      </c>
      <c r="D518" s="11">
        <v>3273</v>
      </c>
      <c r="E518" s="11">
        <v>336</v>
      </c>
      <c r="F518" s="11">
        <v>4</v>
      </c>
      <c r="G518" s="13">
        <v>8</v>
      </c>
      <c r="H518" s="13">
        <v>81676</v>
      </c>
      <c r="I518" s="11" t="s">
        <v>17</v>
      </c>
      <c r="J518" s="13">
        <v>15639008</v>
      </c>
      <c r="K518" s="13" t="s">
        <v>603</v>
      </c>
      <c r="L518" s="13" t="s">
        <v>608</v>
      </c>
      <c r="M518" s="17">
        <v>279900</v>
      </c>
      <c r="N518" s="15">
        <v>0.75</v>
      </c>
      <c r="O518" s="16">
        <f t="shared" si="40"/>
        <v>69975</v>
      </c>
      <c r="P518" s="11" t="s">
        <v>20</v>
      </c>
    </row>
    <row r="519" spans="1:16" x14ac:dyDescent="0.25">
      <c r="A519" s="9" t="str">
        <f t="shared" si="41"/>
        <v>2024 ALL D75</v>
      </c>
      <c r="B519" s="10">
        <f>'[1]2019 ALL D95'!B519</f>
        <v>46104</v>
      </c>
      <c r="C519" s="10">
        <f>'[1]2019 ALL D95'!C519</f>
        <v>46113</v>
      </c>
      <c r="D519" s="11">
        <v>3273</v>
      </c>
      <c r="E519" s="11">
        <v>336</v>
      </c>
      <c r="F519" s="11">
        <v>4</v>
      </c>
      <c r="G519" s="13">
        <v>8</v>
      </c>
      <c r="H519" s="13">
        <v>81676</v>
      </c>
      <c r="I519" s="11" t="s">
        <v>17</v>
      </c>
      <c r="J519" s="13">
        <v>15639017</v>
      </c>
      <c r="K519" s="13" t="s">
        <v>603</v>
      </c>
      <c r="L519" s="13" t="s">
        <v>609</v>
      </c>
      <c r="M519" s="17">
        <v>279900</v>
      </c>
      <c r="N519" s="15">
        <v>0.75</v>
      </c>
      <c r="O519" s="16">
        <f t="shared" si="40"/>
        <v>69975</v>
      </c>
      <c r="P519" s="11" t="s">
        <v>20</v>
      </c>
    </row>
    <row r="520" spans="1:16" x14ac:dyDescent="0.25">
      <c r="A520" s="9" t="str">
        <f t="shared" si="41"/>
        <v>2024 ALL D75</v>
      </c>
      <c r="B520" s="10">
        <f>'[1]2019 ALL D95'!B520</f>
        <v>46104</v>
      </c>
      <c r="C520" s="10">
        <f>'[1]2019 ALL D95'!C520</f>
        <v>46113</v>
      </c>
      <c r="D520" s="11">
        <v>3273</v>
      </c>
      <c r="E520" s="11">
        <v>336</v>
      </c>
      <c r="F520" s="11">
        <v>4</v>
      </c>
      <c r="G520" s="13">
        <v>8</v>
      </c>
      <c r="H520" s="13">
        <v>81676</v>
      </c>
      <c r="I520" s="11" t="s">
        <v>17</v>
      </c>
      <c r="J520" s="13">
        <v>15639026</v>
      </c>
      <c r="K520" s="13" t="s">
        <v>603</v>
      </c>
      <c r="L520" s="13" t="s">
        <v>610</v>
      </c>
      <c r="M520" s="17">
        <v>279900</v>
      </c>
      <c r="N520" s="15">
        <v>0.75</v>
      </c>
      <c r="O520" s="16">
        <f t="shared" si="40"/>
        <v>69975</v>
      </c>
      <c r="P520" s="11" t="s">
        <v>20</v>
      </c>
    </row>
    <row r="521" spans="1:16" x14ac:dyDescent="0.25">
      <c r="A521" s="9" t="str">
        <f t="shared" si="41"/>
        <v>2024 ALL D75</v>
      </c>
      <c r="B521" s="10">
        <f>'[1]2019 ALL D95'!B521</f>
        <v>46104</v>
      </c>
      <c r="C521" s="10">
        <f>'[1]2019 ALL D95'!C521</f>
        <v>46113</v>
      </c>
      <c r="D521" s="11">
        <v>3273</v>
      </c>
      <c r="E521" s="11">
        <v>336</v>
      </c>
      <c r="F521" s="11">
        <v>4</v>
      </c>
      <c r="G521" s="13">
        <v>8</v>
      </c>
      <c r="H521" s="13">
        <v>81676</v>
      </c>
      <c r="I521" s="11" t="s">
        <v>17</v>
      </c>
      <c r="J521" s="13">
        <v>15639035</v>
      </c>
      <c r="K521" s="13" t="s">
        <v>603</v>
      </c>
      <c r="L521" s="13" t="s">
        <v>611</v>
      </c>
      <c r="M521" s="17">
        <v>279900</v>
      </c>
      <c r="N521" s="15">
        <v>0.75</v>
      </c>
      <c r="O521" s="16">
        <f t="shared" si="40"/>
        <v>69975</v>
      </c>
      <c r="P521" s="11" t="s">
        <v>20</v>
      </c>
    </row>
    <row r="522" spans="1:16" x14ac:dyDescent="0.25">
      <c r="A522" s="9" t="str">
        <f t="shared" si="41"/>
        <v>2024 ALL D75</v>
      </c>
      <c r="B522" s="10">
        <f>'[1]2019 ALL D95'!B522</f>
        <v>46104</v>
      </c>
      <c r="C522" s="10">
        <f>'[1]2019 ALL D95'!C522</f>
        <v>46113</v>
      </c>
      <c r="D522" s="11">
        <v>3273</v>
      </c>
      <c r="E522" s="11">
        <v>336</v>
      </c>
      <c r="F522" s="11">
        <v>4</v>
      </c>
      <c r="G522" s="13">
        <v>8</v>
      </c>
      <c r="H522" s="13">
        <v>81588</v>
      </c>
      <c r="I522" s="11" t="s">
        <v>17</v>
      </c>
      <c r="J522" s="13">
        <v>15750271</v>
      </c>
      <c r="K522" s="13" t="s">
        <v>612</v>
      </c>
      <c r="L522" s="13" t="s">
        <v>613</v>
      </c>
      <c r="M522" s="17">
        <v>289900</v>
      </c>
      <c r="N522" s="15">
        <v>0.75</v>
      </c>
      <c r="O522" s="16">
        <f t="shared" si="40"/>
        <v>72475</v>
      </c>
      <c r="P522" s="11" t="s">
        <v>20</v>
      </c>
    </row>
    <row r="523" spans="1:16" x14ac:dyDescent="0.25">
      <c r="A523" s="9" t="str">
        <f t="shared" si="41"/>
        <v>2024 ALL D75</v>
      </c>
      <c r="B523" s="10">
        <f>'[1]2019 ALL D95'!B523</f>
        <v>46104</v>
      </c>
      <c r="C523" s="10">
        <f>'[1]2019 ALL D95'!C523</f>
        <v>46113</v>
      </c>
      <c r="D523" s="11">
        <v>3273</v>
      </c>
      <c r="E523" s="11">
        <v>336</v>
      </c>
      <c r="F523" s="11">
        <v>4</v>
      </c>
      <c r="G523" s="13">
        <v>8</v>
      </c>
      <c r="H523" s="13">
        <v>81588</v>
      </c>
      <c r="I523" s="11" t="s">
        <v>17</v>
      </c>
      <c r="J523" s="13">
        <v>15750280</v>
      </c>
      <c r="K523" s="13" t="s">
        <v>612</v>
      </c>
      <c r="L523" s="13" t="s">
        <v>614</v>
      </c>
      <c r="M523" s="17">
        <v>289900</v>
      </c>
      <c r="N523" s="15">
        <v>0.75</v>
      </c>
      <c r="O523" s="16">
        <f t="shared" si="40"/>
        <v>72475</v>
      </c>
      <c r="P523" s="11" t="s">
        <v>20</v>
      </c>
    </row>
    <row r="524" spans="1:16" x14ac:dyDescent="0.25">
      <c r="A524" s="9" t="str">
        <f t="shared" si="41"/>
        <v>2024 ALL D75</v>
      </c>
      <c r="B524" s="10">
        <f>'[1]2019 ALL D95'!B524</f>
        <v>46104</v>
      </c>
      <c r="C524" s="10">
        <f>'[1]2019 ALL D95'!C524</f>
        <v>46113</v>
      </c>
      <c r="D524" s="11">
        <v>3273</v>
      </c>
      <c r="E524" s="11">
        <v>336</v>
      </c>
      <c r="F524" s="11">
        <v>4</v>
      </c>
      <c r="G524" s="13">
        <v>8</v>
      </c>
      <c r="H524" s="13">
        <v>81588</v>
      </c>
      <c r="I524" s="11" t="s">
        <v>17</v>
      </c>
      <c r="J524" s="13">
        <v>15750299</v>
      </c>
      <c r="K524" s="13" t="s">
        <v>612</v>
      </c>
      <c r="L524" s="13" t="s">
        <v>615</v>
      </c>
      <c r="M524" s="17">
        <v>289900</v>
      </c>
      <c r="N524" s="15">
        <v>0.75</v>
      </c>
      <c r="O524" s="16">
        <f t="shared" si="40"/>
        <v>72475</v>
      </c>
      <c r="P524" s="11" t="s">
        <v>20</v>
      </c>
    </row>
    <row r="525" spans="1:16" x14ac:dyDescent="0.25">
      <c r="A525" s="9" t="str">
        <f t="shared" si="41"/>
        <v>2024 ALL D75</v>
      </c>
      <c r="B525" s="10">
        <f>'[1]2019 ALL D95'!B525</f>
        <v>46104</v>
      </c>
      <c r="C525" s="10">
        <f>'[1]2019 ALL D95'!C525</f>
        <v>46113</v>
      </c>
      <c r="D525" s="11">
        <v>3273</v>
      </c>
      <c r="E525" s="11">
        <v>336</v>
      </c>
      <c r="F525" s="11">
        <v>4</v>
      </c>
      <c r="G525" s="13">
        <v>8</v>
      </c>
      <c r="H525" s="13">
        <v>81588</v>
      </c>
      <c r="I525" s="11" t="s">
        <v>17</v>
      </c>
      <c r="J525" s="13">
        <v>15750306</v>
      </c>
      <c r="K525" s="13" t="s">
        <v>612</v>
      </c>
      <c r="L525" s="13" t="s">
        <v>616</v>
      </c>
      <c r="M525" s="17">
        <v>289900</v>
      </c>
      <c r="N525" s="15">
        <v>0.75</v>
      </c>
      <c r="O525" s="16">
        <f t="shared" si="40"/>
        <v>72475</v>
      </c>
      <c r="P525" s="11" t="s">
        <v>20</v>
      </c>
    </row>
    <row r="526" spans="1:16" x14ac:dyDescent="0.25">
      <c r="A526" s="9" t="str">
        <f t="shared" si="41"/>
        <v>2024 ALL D75</v>
      </c>
      <c r="B526" s="10">
        <f>'[1]2019 ALL D95'!B526</f>
        <v>46104</v>
      </c>
      <c r="C526" s="10">
        <f>'[1]2019 ALL D95'!C526</f>
        <v>46113</v>
      </c>
      <c r="D526" s="11">
        <v>3273</v>
      </c>
      <c r="E526" s="11">
        <v>336</v>
      </c>
      <c r="F526" s="11">
        <v>4</v>
      </c>
      <c r="G526" s="13">
        <v>8</v>
      </c>
      <c r="H526" s="13">
        <v>81588</v>
      </c>
      <c r="I526" s="11" t="s">
        <v>17</v>
      </c>
      <c r="J526" s="13">
        <v>15750315</v>
      </c>
      <c r="K526" s="13" t="s">
        <v>612</v>
      </c>
      <c r="L526" s="13" t="s">
        <v>617</v>
      </c>
      <c r="M526" s="17">
        <v>289900</v>
      </c>
      <c r="N526" s="15">
        <v>0.75</v>
      </c>
      <c r="O526" s="16">
        <f t="shared" si="40"/>
        <v>72475</v>
      </c>
      <c r="P526" s="11" t="s">
        <v>20</v>
      </c>
    </row>
    <row r="527" spans="1:16" x14ac:dyDescent="0.25">
      <c r="A527" s="9" t="str">
        <f t="shared" si="41"/>
        <v>2024 ALL D75</v>
      </c>
      <c r="B527" s="10">
        <f>'[1]2019 ALL D95'!B527</f>
        <v>46104</v>
      </c>
      <c r="C527" s="10">
        <f>'[1]2019 ALL D95'!C527</f>
        <v>46113</v>
      </c>
      <c r="D527" s="11">
        <v>3273</v>
      </c>
      <c r="E527" s="11">
        <v>336</v>
      </c>
      <c r="F527" s="11">
        <v>4</v>
      </c>
      <c r="G527" s="13">
        <v>8</v>
      </c>
      <c r="H527" s="13">
        <v>81588</v>
      </c>
      <c r="I527" s="11" t="s">
        <v>17</v>
      </c>
      <c r="J527" s="13">
        <v>15750324</v>
      </c>
      <c r="K527" s="13" t="s">
        <v>612</v>
      </c>
      <c r="L527" s="13" t="s">
        <v>618</v>
      </c>
      <c r="M527" s="17">
        <v>289900</v>
      </c>
      <c r="N527" s="15">
        <v>0.75</v>
      </c>
      <c r="O527" s="16">
        <f t="shared" si="40"/>
        <v>72475</v>
      </c>
      <c r="P527" s="11" t="s">
        <v>20</v>
      </c>
    </row>
    <row r="528" spans="1:16" x14ac:dyDescent="0.25">
      <c r="A528" s="9" t="str">
        <f t="shared" si="41"/>
        <v>2024 ALL D75</v>
      </c>
      <c r="B528" s="10">
        <f>'[1]2019 ALL D95'!B528</f>
        <v>46104</v>
      </c>
      <c r="C528" s="10">
        <f>'[1]2019 ALL D95'!C528</f>
        <v>46113</v>
      </c>
      <c r="D528" s="11">
        <v>3273</v>
      </c>
      <c r="E528" s="11">
        <v>336</v>
      </c>
      <c r="F528" s="11">
        <v>4</v>
      </c>
      <c r="G528" s="13">
        <v>8</v>
      </c>
      <c r="H528" s="13">
        <v>81588</v>
      </c>
      <c r="I528" s="11" t="s">
        <v>17</v>
      </c>
      <c r="J528" s="13">
        <v>15750333</v>
      </c>
      <c r="K528" s="13" t="s">
        <v>612</v>
      </c>
      <c r="L528" s="13" t="s">
        <v>619</v>
      </c>
      <c r="M528" s="17">
        <v>289900</v>
      </c>
      <c r="N528" s="15">
        <v>0.75</v>
      </c>
      <c r="O528" s="16">
        <f t="shared" si="40"/>
        <v>72475</v>
      </c>
      <c r="P528" s="11" t="s">
        <v>20</v>
      </c>
    </row>
    <row r="529" spans="1:16" x14ac:dyDescent="0.25">
      <c r="A529" s="9" t="str">
        <f t="shared" si="41"/>
        <v>2024 ALL D75</v>
      </c>
      <c r="B529" s="10">
        <f>'[1]2019 ALL D95'!B529</f>
        <v>46104</v>
      </c>
      <c r="C529" s="10">
        <f>'[1]2019 ALL D95'!C529</f>
        <v>46113</v>
      </c>
      <c r="D529" s="11">
        <v>3273</v>
      </c>
      <c r="E529" s="11">
        <v>336</v>
      </c>
      <c r="F529" s="11">
        <v>4</v>
      </c>
      <c r="G529" s="13">
        <v>8</v>
      </c>
      <c r="H529" s="13">
        <v>81588</v>
      </c>
      <c r="I529" s="11" t="s">
        <v>17</v>
      </c>
      <c r="J529" s="13">
        <v>15750342</v>
      </c>
      <c r="K529" s="13" t="s">
        <v>612</v>
      </c>
      <c r="L529" s="13" t="s">
        <v>620</v>
      </c>
      <c r="M529" s="17">
        <v>289900</v>
      </c>
      <c r="N529" s="15">
        <v>0.75</v>
      </c>
      <c r="O529" s="16">
        <f t="shared" si="40"/>
        <v>72475</v>
      </c>
      <c r="P529" s="11" t="s">
        <v>20</v>
      </c>
    </row>
    <row r="530" spans="1:16" x14ac:dyDescent="0.25">
      <c r="A530" s="9" t="str">
        <f t="shared" si="41"/>
        <v>2024 ALL D75</v>
      </c>
      <c r="B530" s="10">
        <f>'[1]2019 ALL D95'!B530</f>
        <v>46104</v>
      </c>
      <c r="C530" s="10">
        <f>'[1]2019 ALL D95'!C530</f>
        <v>46113</v>
      </c>
      <c r="D530" s="11">
        <v>3273</v>
      </c>
      <c r="E530" s="11">
        <v>336</v>
      </c>
      <c r="F530" s="11">
        <v>4</v>
      </c>
      <c r="G530" s="13">
        <v>13</v>
      </c>
      <c r="H530" s="13">
        <v>81588</v>
      </c>
      <c r="I530" s="11" t="s">
        <v>17</v>
      </c>
      <c r="J530" s="13">
        <v>15638134</v>
      </c>
      <c r="K530" s="13" t="s">
        <v>621</v>
      </c>
      <c r="L530" s="13" t="s">
        <v>622</v>
      </c>
      <c r="M530" s="17">
        <v>299900</v>
      </c>
      <c r="N530" s="15">
        <v>0.75</v>
      </c>
      <c r="O530" s="16">
        <f t="shared" si="40"/>
        <v>74975</v>
      </c>
      <c r="P530" s="11" t="s">
        <v>20</v>
      </c>
    </row>
    <row r="531" spans="1:16" x14ac:dyDescent="0.25">
      <c r="A531" s="9" t="str">
        <f t="shared" ref="A531:A546" si="42">A530</f>
        <v>2024 ALL D75</v>
      </c>
      <c r="B531" s="10">
        <f>'[1]2019 ALL D95'!B531</f>
        <v>46104</v>
      </c>
      <c r="C531" s="10">
        <f>'[1]2019 ALL D95'!C531</f>
        <v>46113</v>
      </c>
      <c r="D531" s="11">
        <v>3273</v>
      </c>
      <c r="E531" s="11">
        <v>336</v>
      </c>
      <c r="F531" s="11">
        <v>4</v>
      </c>
      <c r="G531" s="13">
        <v>13</v>
      </c>
      <c r="H531" s="13">
        <v>81588</v>
      </c>
      <c r="I531" s="11" t="s">
        <v>17</v>
      </c>
      <c r="J531" s="13">
        <v>15638143</v>
      </c>
      <c r="K531" s="13" t="s">
        <v>621</v>
      </c>
      <c r="L531" s="13" t="s">
        <v>623</v>
      </c>
      <c r="M531" s="17">
        <v>299900</v>
      </c>
      <c r="N531" s="15">
        <v>0.75</v>
      </c>
      <c r="O531" s="16">
        <f t="shared" si="40"/>
        <v>74975</v>
      </c>
      <c r="P531" s="11" t="s">
        <v>20</v>
      </c>
    </row>
    <row r="532" spans="1:16" x14ac:dyDescent="0.25">
      <c r="A532" s="9" t="str">
        <f t="shared" si="42"/>
        <v>2024 ALL D75</v>
      </c>
      <c r="B532" s="10">
        <f>'[1]2019 ALL D95'!B532</f>
        <v>46104</v>
      </c>
      <c r="C532" s="10">
        <f>'[1]2019 ALL D95'!C532</f>
        <v>46113</v>
      </c>
      <c r="D532" s="11">
        <v>3273</v>
      </c>
      <c r="E532" s="11">
        <v>336</v>
      </c>
      <c r="F532" s="11">
        <v>4</v>
      </c>
      <c r="G532" s="13">
        <v>13</v>
      </c>
      <c r="H532" s="13">
        <v>81588</v>
      </c>
      <c r="I532" s="11" t="s">
        <v>17</v>
      </c>
      <c r="J532" s="13">
        <v>15638152</v>
      </c>
      <c r="K532" s="13" t="s">
        <v>621</v>
      </c>
      <c r="L532" s="13" t="s">
        <v>624</v>
      </c>
      <c r="M532" s="17">
        <v>299900</v>
      </c>
      <c r="N532" s="15">
        <v>0.75</v>
      </c>
      <c r="O532" s="16">
        <f t="shared" si="40"/>
        <v>74975</v>
      </c>
      <c r="P532" s="11" t="s">
        <v>20</v>
      </c>
    </row>
    <row r="533" spans="1:16" x14ac:dyDescent="0.25">
      <c r="A533" s="9" t="str">
        <f t="shared" si="42"/>
        <v>2024 ALL D75</v>
      </c>
      <c r="B533" s="10">
        <f>'[1]2019 ALL D95'!B533</f>
        <v>46104</v>
      </c>
      <c r="C533" s="10">
        <f>'[1]2019 ALL D95'!C533</f>
        <v>46113</v>
      </c>
      <c r="D533" s="11">
        <v>3273</v>
      </c>
      <c r="E533" s="11">
        <v>336</v>
      </c>
      <c r="F533" s="11">
        <v>4</v>
      </c>
      <c r="G533" s="13">
        <v>13</v>
      </c>
      <c r="H533" s="13">
        <v>81588</v>
      </c>
      <c r="I533" s="11" t="s">
        <v>17</v>
      </c>
      <c r="J533" s="13">
        <v>15638161</v>
      </c>
      <c r="K533" s="13" t="s">
        <v>621</v>
      </c>
      <c r="L533" s="13" t="s">
        <v>625</v>
      </c>
      <c r="M533" s="17">
        <v>299900</v>
      </c>
      <c r="N533" s="15">
        <v>0.75</v>
      </c>
      <c r="O533" s="16">
        <f t="shared" si="40"/>
        <v>74975</v>
      </c>
      <c r="P533" s="11" t="s">
        <v>20</v>
      </c>
    </row>
    <row r="534" spans="1:16" x14ac:dyDescent="0.25">
      <c r="A534" s="9" t="str">
        <f t="shared" si="42"/>
        <v>2024 ALL D75</v>
      </c>
      <c r="B534" s="10">
        <f>'[1]2019 ALL D95'!B534</f>
        <v>46104</v>
      </c>
      <c r="C534" s="10">
        <f>'[1]2019 ALL D95'!C534</f>
        <v>46113</v>
      </c>
      <c r="D534" s="11">
        <v>3273</v>
      </c>
      <c r="E534" s="11">
        <v>336</v>
      </c>
      <c r="F534" s="11">
        <v>4</v>
      </c>
      <c r="G534" s="13">
        <v>13</v>
      </c>
      <c r="H534" s="13">
        <v>81588</v>
      </c>
      <c r="I534" s="11" t="s">
        <v>17</v>
      </c>
      <c r="J534" s="13">
        <v>15638170</v>
      </c>
      <c r="K534" s="13" t="s">
        <v>621</v>
      </c>
      <c r="L534" s="13" t="s">
        <v>626</v>
      </c>
      <c r="M534" s="17">
        <v>299900</v>
      </c>
      <c r="N534" s="15">
        <v>0.75</v>
      </c>
      <c r="O534" s="16">
        <f t="shared" si="40"/>
        <v>74975</v>
      </c>
      <c r="P534" s="11" t="s">
        <v>20</v>
      </c>
    </row>
    <row r="535" spans="1:16" x14ac:dyDescent="0.25">
      <c r="A535" s="9" t="str">
        <f t="shared" si="42"/>
        <v>2024 ALL D75</v>
      </c>
      <c r="B535" s="10">
        <f>'[1]2019 ALL D95'!B535</f>
        <v>46104</v>
      </c>
      <c r="C535" s="10">
        <f>'[1]2019 ALL D95'!C535</f>
        <v>46113</v>
      </c>
      <c r="D535" s="11">
        <v>3273</v>
      </c>
      <c r="E535" s="11">
        <v>336</v>
      </c>
      <c r="F535" s="11">
        <v>4</v>
      </c>
      <c r="G535" s="13">
        <v>13</v>
      </c>
      <c r="H535" s="13">
        <v>81588</v>
      </c>
      <c r="I535" s="11" t="s">
        <v>17</v>
      </c>
      <c r="J535" s="13">
        <v>15638189</v>
      </c>
      <c r="K535" s="13" t="s">
        <v>621</v>
      </c>
      <c r="L535" s="13" t="s">
        <v>627</v>
      </c>
      <c r="M535" s="17">
        <v>299900</v>
      </c>
      <c r="N535" s="15">
        <v>0.75</v>
      </c>
      <c r="O535" s="16">
        <f t="shared" si="40"/>
        <v>74975</v>
      </c>
      <c r="P535" s="11" t="s">
        <v>20</v>
      </c>
    </row>
    <row r="536" spans="1:16" x14ac:dyDescent="0.25">
      <c r="A536" s="9" t="str">
        <f t="shared" si="42"/>
        <v>2024 ALL D75</v>
      </c>
      <c r="B536" s="10">
        <f>'[1]2019 ALL D95'!B536</f>
        <v>46104</v>
      </c>
      <c r="C536" s="10">
        <f>'[1]2019 ALL D95'!C536</f>
        <v>46113</v>
      </c>
      <c r="D536" s="11">
        <v>3273</v>
      </c>
      <c r="E536" s="11">
        <v>336</v>
      </c>
      <c r="F536" s="11">
        <v>4</v>
      </c>
      <c r="G536" s="13">
        <v>15</v>
      </c>
      <c r="H536" s="13">
        <v>81574</v>
      </c>
      <c r="I536" s="11" t="s">
        <v>17</v>
      </c>
      <c r="J536" s="13">
        <v>15638312</v>
      </c>
      <c r="K536" s="13" t="s">
        <v>628</v>
      </c>
      <c r="L536" s="13" t="s">
        <v>629</v>
      </c>
      <c r="M536" s="17">
        <v>149900</v>
      </c>
      <c r="N536" s="15">
        <v>0.75</v>
      </c>
      <c r="O536" s="16">
        <f t="shared" si="40"/>
        <v>37475</v>
      </c>
      <c r="P536" s="11" t="s">
        <v>20</v>
      </c>
    </row>
    <row r="537" spans="1:16" x14ac:dyDescent="0.25">
      <c r="A537" s="9" t="str">
        <f t="shared" si="42"/>
        <v>2024 ALL D75</v>
      </c>
      <c r="B537" s="10">
        <f>'[1]2019 ALL D95'!B537</f>
        <v>46104</v>
      </c>
      <c r="C537" s="10">
        <f>'[1]2019 ALL D95'!C537</f>
        <v>46113</v>
      </c>
      <c r="D537" s="11">
        <v>3273</v>
      </c>
      <c r="E537" s="11">
        <v>336</v>
      </c>
      <c r="F537" s="11">
        <v>4</v>
      </c>
      <c r="G537" s="13">
        <v>14</v>
      </c>
      <c r="H537" s="13">
        <v>81574</v>
      </c>
      <c r="I537" s="11" t="s">
        <v>17</v>
      </c>
      <c r="J537" s="13">
        <v>15638250</v>
      </c>
      <c r="K537" s="13" t="s">
        <v>630</v>
      </c>
      <c r="L537" s="13" t="s">
        <v>631</v>
      </c>
      <c r="M537" s="17">
        <v>269900</v>
      </c>
      <c r="N537" s="15">
        <v>0.75</v>
      </c>
      <c r="O537" s="16">
        <f t="shared" si="40"/>
        <v>67475</v>
      </c>
      <c r="P537" s="11" t="s">
        <v>20</v>
      </c>
    </row>
    <row r="538" spans="1:16" x14ac:dyDescent="0.25">
      <c r="A538" s="9" t="str">
        <f t="shared" si="42"/>
        <v>2024 ALL D75</v>
      </c>
      <c r="B538" s="10">
        <f>'[1]2019 ALL D95'!B538</f>
        <v>46104</v>
      </c>
      <c r="C538" s="10">
        <f>'[1]2019 ALL D95'!C538</f>
        <v>46113</v>
      </c>
      <c r="D538" s="11">
        <v>3273</v>
      </c>
      <c r="E538" s="11">
        <v>336</v>
      </c>
      <c r="F538" s="11">
        <v>4</v>
      </c>
      <c r="G538" s="13">
        <v>14</v>
      </c>
      <c r="H538" s="13">
        <v>81574</v>
      </c>
      <c r="I538" s="11" t="s">
        <v>17</v>
      </c>
      <c r="J538" s="13">
        <v>15638269</v>
      </c>
      <c r="K538" s="13" t="s">
        <v>630</v>
      </c>
      <c r="L538" s="13" t="s">
        <v>632</v>
      </c>
      <c r="M538" s="17">
        <v>269900</v>
      </c>
      <c r="N538" s="15">
        <v>0.75</v>
      </c>
      <c r="O538" s="16">
        <f t="shared" si="40"/>
        <v>67475</v>
      </c>
      <c r="P538" s="11" t="s">
        <v>20</v>
      </c>
    </row>
    <row r="539" spans="1:16" x14ac:dyDescent="0.25">
      <c r="A539" s="9" t="str">
        <f t="shared" si="42"/>
        <v>2024 ALL D75</v>
      </c>
      <c r="B539" s="10">
        <f>'[1]2019 ALL D95'!B539</f>
        <v>46104</v>
      </c>
      <c r="C539" s="10">
        <f>'[1]2019 ALL D95'!C539</f>
        <v>46113</v>
      </c>
      <c r="D539" s="11">
        <v>3273</v>
      </c>
      <c r="E539" s="11">
        <v>336</v>
      </c>
      <c r="F539" s="11">
        <v>4</v>
      </c>
      <c r="G539" s="13">
        <v>14</v>
      </c>
      <c r="H539" s="13">
        <v>81574</v>
      </c>
      <c r="I539" s="11" t="s">
        <v>17</v>
      </c>
      <c r="J539" s="13">
        <v>15638278</v>
      </c>
      <c r="K539" s="13" t="s">
        <v>630</v>
      </c>
      <c r="L539" s="13" t="s">
        <v>633</v>
      </c>
      <c r="M539" s="17">
        <v>269900</v>
      </c>
      <c r="N539" s="15">
        <v>0.75</v>
      </c>
      <c r="O539" s="16">
        <f t="shared" si="40"/>
        <v>67475</v>
      </c>
      <c r="P539" s="11" t="s">
        <v>20</v>
      </c>
    </row>
    <row r="540" spans="1:16" x14ac:dyDescent="0.25">
      <c r="A540" s="9" t="str">
        <f t="shared" si="42"/>
        <v>2024 ALL D75</v>
      </c>
      <c r="B540" s="10">
        <f>'[1]2019 ALL D95'!B540</f>
        <v>46104</v>
      </c>
      <c r="C540" s="10">
        <f>'[1]2019 ALL D95'!C540</f>
        <v>46113</v>
      </c>
      <c r="D540" s="11">
        <v>3273</v>
      </c>
      <c r="E540" s="11">
        <v>336</v>
      </c>
      <c r="F540" s="11">
        <v>4</v>
      </c>
      <c r="G540" s="13">
        <v>14</v>
      </c>
      <c r="H540" s="13">
        <v>81574</v>
      </c>
      <c r="I540" s="11" t="s">
        <v>17</v>
      </c>
      <c r="J540" s="13">
        <v>15638287</v>
      </c>
      <c r="K540" s="13" t="s">
        <v>630</v>
      </c>
      <c r="L540" s="13" t="s">
        <v>634</v>
      </c>
      <c r="M540" s="17">
        <v>269900</v>
      </c>
      <c r="N540" s="15">
        <v>0.75</v>
      </c>
      <c r="O540" s="16">
        <f t="shared" si="40"/>
        <v>67475</v>
      </c>
      <c r="P540" s="11" t="s">
        <v>20</v>
      </c>
    </row>
    <row r="541" spans="1:16" x14ac:dyDescent="0.25">
      <c r="A541" s="9" t="str">
        <f t="shared" si="42"/>
        <v>2024 ALL D75</v>
      </c>
      <c r="B541" s="10">
        <f>'[1]2019 ALL D95'!B541</f>
        <v>46104</v>
      </c>
      <c r="C541" s="10">
        <f>'[1]2019 ALL D95'!C541</f>
        <v>46113</v>
      </c>
      <c r="D541" s="11">
        <v>3273</v>
      </c>
      <c r="E541" s="11">
        <v>336</v>
      </c>
      <c r="F541" s="11">
        <v>4</v>
      </c>
      <c r="G541" s="13">
        <v>14</v>
      </c>
      <c r="H541" s="13">
        <v>81574</v>
      </c>
      <c r="I541" s="11" t="s">
        <v>17</v>
      </c>
      <c r="J541" s="13">
        <v>15638296</v>
      </c>
      <c r="K541" s="13" t="s">
        <v>630</v>
      </c>
      <c r="L541" s="13" t="s">
        <v>635</v>
      </c>
      <c r="M541" s="17">
        <v>269900</v>
      </c>
      <c r="N541" s="15">
        <v>0.75</v>
      </c>
      <c r="O541" s="16">
        <f t="shared" si="40"/>
        <v>67475</v>
      </c>
      <c r="P541" s="11" t="s">
        <v>20</v>
      </c>
    </row>
    <row r="542" spans="1:16" x14ac:dyDescent="0.25">
      <c r="A542" s="9" t="str">
        <f t="shared" si="42"/>
        <v>2024 ALL D75</v>
      </c>
      <c r="B542" s="10">
        <f>'[1]2019 ALL D95'!B542</f>
        <v>46104</v>
      </c>
      <c r="C542" s="10">
        <f>'[1]2019 ALL D95'!C542</f>
        <v>46113</v>
      </c>
      <c r="D542" s="11">
        <v>3273</v>
      </c>
      <c r="E542" s="11">
        <v>336</v>
      </c>
      <c r="F542" s="11">
        <v>4</v>
      </c>
      <c r="G542" s="13">
        <v>14</v>
      </c>
      <c r="H542" s="13">
        <v>81574</v>
      </c>
      <c r="I542" s="11" t="s">
        <v>17</v>
      </c>
      <c r="J542" s="13">
        <v>15638303</v>
      </c>
      <c r="K542" s="13" t="s">
        <v>630</v>
      </c>
      <c r="L542" s="13" t="s">
        <v>636</v>
      </c>
      <c r="M542" s="17">
        <v>269900</v>
      </c>
      <c r="N542" s="15">
        <v>0.75</v>
      </c>
      <c r="O542" s="16">
        <f t="shared" si="40"/>
        <v>67475</v>
      </c>
      <c r="P542" s="11" t="s">
        <v>20</v>
      </c>
    </row>
    <row r="543" spans="1:16" x14ac:dyDescent="0.25">
      <c r="A543" s="9" t="str">
        <f t="shared" si="42"/>
        <v>2024 ALL D75</v>
      </c>
      <c r="B543" s="10">
        <f>'[1]2019 ALL D95'!B543</f>
        <v>46104</v>
      </c>
      <c r="C543" s="10">
        <f>'[1]2019 ALL D95'!C543</f>
        <v>46113</v>
      </c>
      <c r="D543" s="11">
        <v>3273</v>
      </c>
      <c r="E543" s="11">
        <v>336</v>
      </c>
      <c r="F543" s="11">
        <v>4</v>
      </c>
      <c r="G543" s="13">
        <v>14</v>
      </c>
      <c r="H543" s="13">
        <v>81588</v>
      </c>
      <c r="I543" s="11" t="s">
        <v>17</v>
      </c>
      <c r="J543" s="13">
        <v>15638198</v>
      </c>
      <c r="K543" s="13" t="s">
        <v>637</v>
      </c>
      <c r="L543" s="13" t="s">
        <v>638</v>
      </c>
      <c r="M543" s="17">
        <v>239900</v>
      </c>
      <c r="N543" s="15">
        <v>0.75</v>
      </c>
      <c r="O543" s="16">
        <f t="shared" si="40"/>
        <v>59975</v>
      </c>
      <c r="P543" s="11" t="s">
        <v>20</v>
      </c>
    </row>
    <row r="544" spans="1:16" x14ac:dyDescent="0.25">
      <c r="A544" s="9" t="str">
        <f t="shared" si="42"/>
        <v>2024 ALL D75</v>
      </c>
      <c r="B544" s="10">
        <f>'[1]2019 ALL D95'!B544</f>
        <v>46104</v>
      </c>
      <c r="C544" s="10">
        <f>'[1]2019 ALL D95'!C544</f>
        <v>46113</v>
      </c>
      <c r="D544" s="11">
        <v>3273</v>
      </c>
      <c r="E544" s="11">
        <v>336</v>
      </c>
      <c r="F544" s="11">
        <v>4</v>
      </c>
      <c r="G544" s="13">
        <v>14</v>
      </c>
      <c r="H544" s="13">
        <v>81588</v>
      </c>
      <c r="I544" s="11" t="s">
        <v>17</v>
      </c>
      <c r="J544" s="13">
        <v>15638205</v>
      </c>
      <c r="K544" s="13" t="s">
        <v>637</v>
      </c>
      <c r="L544" s="13" t="s">
        <v>639</v>
      </c>
      <c r="M544" s="17">
        <v>239900</v>
      </c>
      <c r="N544" s="15">
        <v>0.75</v>
      </c>
      <c r="O544" s="16">
        <f t="shared" si="40"/>
        <v>59975</v>
      </c>
      <c r="P544" s="11" t="s">
        <v>20</v>
      </c>
    </row>
    <row r="545" spans="1:16" x14ac:dyDescent="0.25">
      <c r="A545" s="9" t="str">
        <f t="shared" si="42"/>
        <v>2024 ALL D75</v>
      </c>
      <c r="B545" s="10">
        <f>'[1]2019 ALL D95'!B545</f>
        <v>46104</v>
      </c>
      <c r="C545" s="10">
        <f>'[1]2019 ALL D95'!C545</f>
        <v>46113</v>
      </c>
      <c r="D545" s="11">
        <v>3273</v>
      </c>
      <c r="E545" s="11">
        <v>336</v>
      </c>
      <c r="F545" s="11">
        <v>4</v>
      </c>
      <c r="G545" s="13">
        <v>14</v>
      </c>
      <c r="H545" s="13">
        <v>81588</v>
      </c>
      <c r="I545" s="11" t="s">
        <v>17</v>
      </c>
      <c r="J545" s="13">
        <v>15638214</v>
      </c>
      <c r="K545" s="13" t="s">
        <v>637</v>
      </c>
      <c r="L545" s="13" t="s">
        <v>640</v>
      </c>
      <c r="M545" s="17">
        <v>239900</v>
      </c>
      <c r="N545" s="15">
        <v>0.75</v>
      </c>
      <c r="O545" s="16">
        <f t="shared" si="40"/>
        <v>59975</v>
      </c>
      <c r="P545" s="11" t="s">
        <v>20</v>
      </c>
    </row>
    <row r="546" spans="1:16" x14ac:dyDescent="0.25">
      <c r="A546" s="9" t="str">
        <f t="shared" si="42"/>
        <v>2024 ALL D75</v>
      </c>
      <c r="B546" s="10">
        <f>'[1]2019 ALL D95'!B546</f>
        <v>46104</v>
      </c>
      <c r="C546" s="10">
        <f>'[1]2019 ALL D95'!C546</f>
        <v>46113</v>
      </c>
      <c r="D546" s="11">
        <v>3273</v>
      </c>
      <c r="E546" s="11">
        <v>336</v>
      </c>
      <c r="F546" s="11">
        <v>4</v>
      </c>
      <c r="G546" s="13">
        <v>14</v>
      </c>
      <c r="H546" s="13">
        <v>81588</v>
      </c>
      <c r="I546" s="11" t="s">
        <v>17</v>
      </c>
      <c r="J546" s="13">
        <v>15638223</v>
      </c>
      <c r="K546" s="13" t="s">
        <v>637</v>
      </c>
      <c r="L546" s="13" t="s">
        <v>641</v>
      </c>
      <c r="M546" s="17">
        <v>239900</v>
      </c>
      <c r="N546" s="15">
        <v>0.75</v>
      </c>
      <c r="O546" s="16">
        <f t="shared" si="40"/>
        <v>59975</v>
      </c>
      <c r="P546" s="11" t="s">
        <v>20</v>
      </c>
    </row>
    <row r="547" spans="1:16" x14ac:dyDescent="0.25">
      <c r="A547" s="9" t="str">
        <f t="shared" ref="A547:A562" si="43">A546</f>
        <v>2024 ALL D75</v>
      </c>
      <c r="B547" s="10">
        <f>'[1]2019 ALL D95'!B547</f>
        <v>46104</v>
      </c>
      <c r="C547" s="10">
        <f>'[1]2019 ALL D95'!C547</f>
        <v>46113</v>
      </c>
      <c r="D547" s="11">
        <v>3273</v>
      </c>
      <c r="E547" s="11">
        <v>336</v>
      </c>
      <c r="F547" s="11">
        <v>4</v>
      </c>
      <c r="G547" s="13">
        <v>14</v>
      </c>
      <c r="H547" s="13">
        <v>81588</v>
      </c>
      <c r="I547" s="11" t="s">
        <v>17</v>
      </c>
      <c r="J547" s="13">
        <v>15638232</v>
      </c>
      <c r="K547" s="13" t="s">
        <v>637</v>
      </c>
      <c r="L547" s="13" t="s">
        <v>642</v>
      </c>
      <c r="M547" s="17">
        <v>239900</v>
      </c>
      <c r="N547" s="15">
        <v>0.75</v>
      </c>
      <c r="O547" s="16">
        <f t="shared" si="40"/>
        <v>59975</v>
      </c>
      <c r="P547" s="11" t="s">
        <v>20</v>
      </c>
    </row>
    <row r="548" spans="1:16" x14ac:dyDescent="0.25">
      <c r="A548" s="9" t="str">
        <f t="shared" si="43"/>
        <v>2024 ALL D75</v>
      </c>
      <c r="B548" s="10">
        <f>'[1]2019 ALL D95'!B548</f>
        <v>46104</v>
      </c>
      <c r="C548" s="10">
        <f>'[1]2019 ALL D95'!C548</f>
        <v>46113</v>
      </c>
      <c r="D548" s="11">
        <v>3273</v>
      </c>
      <c r="E548" s="11">
        <v>336</v>
      </c>
      <c r="F548" s="11">
        <v>4</v>
      </c>
      <c r="G548" s="13">
        <v>14</v>
      </c>
      <c r="H548" s="13">
        <v>81588</v>
      </c>
      <c r="I548" s="11" t="s">
        <v>17</v>
      </c>
      <c r="J548" s="13">
        <v>15638241</v>
      </c>
      <c r="K548" s="13" t="s">
        <v>637</v>
      </c>
      <c r="L548" s="13" t="s">
        <v>643</v>
      </c>
      <c r="M548" s="17">
        <v>239900</v>
      </c>
      <c r="N548" s="15">
        <v>0.75</v>
      </c>
      <c r="O548" s="16">
        <f t="shared" si="40"/>
        <v>59975</v>
      </c>
      <c r="P548" s="11" t="s">
        <v>20</v>
      </c>
    </row>
    <row r="549" spans="1:16" x14ac:dyDescent="0.25">
      <c r="A549" s="9" t="str">
        <f t="shared" si="43"/>
        <v>2024 ALL D75</v>
      </c>
      <c r="B549" s="10">
        <f>'[1]2019 ALL D95'!B549</f>
        <v>46104</v>
      </c>
      <c r="C549" s="10">
        <f>'[1]2019 ALL D95'!C549</f>
        <v>46113</v>
      </c>
      <c r="D549" s="11">
        <v>3273</v>
      </c>
      <c r="E549" s="11">
        <v>336</v>
      </c>
      <c r="F549" s="11">
        <v>4</v>
      </c>
      <c r="G549" s="13">
        <v>12</v>
      </c>
      <c r="H549" s="13">
        <v>81574</v>
      </c>
      <c r="I549" s="11" t="s">
        <v>17</v>
      </c>
      <c r="J549" s="13">
        <v>87623809</v>
      </c>
      <c r="K549" s="13" t="s">
        <v>644</v>
      </c>
      <c r="L549" s="13" t="s">
        <v>645</v>
      </c>
      <c r="M549" s="17">
        <v>249900</v>
      </c>
      <c r="N549" s="15">
        <v>0.75</v>
      </c>
      <c r="O549" s="16">
        <f t="shared" si="40"/>
        <v>62475</v>
      </c>
      <c r="P549" s="11" t="s">
        <v>20</v>
      </c>
    </row>
    <row r="550" spans="1:16" x14ac:dyDescent="0.25">
      <c r="A550" s="9" t="str">
        <f t="shared" si="43"/>
        <v>2024 ALL D75</v>
      </c>
      <c r="B550" s="10">
        <f>'[1]2019 ALL D95'!B550</f>
        <v>46104</v>
      </c>
      <c r="C550" s="10">
        <f>'[1]2019 ALL D95'!C550</f>
        <v>46113</v>
      </c>
      <c r="D550" s="11">
        <v>3273</v>
      </c>
      <c r="E550" s="11">
        <v>336</v>
      </c>
      <c r="F550" s="11">
        <v>4</v>
      </c>
      <c r="G550" s="13">
        <v>12</v>
      </c>
      <c r="H550" s="13">
        <v>81574</v>
      </c>
      <c r="I550" s="11" t="s">
        <v>17</v>
      </c>
      <c r="J550" s="13">
        <v>87623818</v>
      </c>
      <c r="K550" s="13" t="s">
        <v>644</v>
      </c>
      <c r="L550" s="13" t="s">
        <v>646</v>
      </c>
      <c r="M550" s="17">
        <v>249900</v>
      </c>
      <c r="N550" s="15">
        <v>0.75</v>
      </c>
      <c r="O550" s="16">
        <f t="shared" si="40"/>
        <v>62475</v>
      </c>
      <c r="P550" s="11" t="s">
        <v>20</v>
      </c>
    </row>
    <row r="551" spans="1:16" x14ac:dyDescent="0.25">
      <c r="A551" s="9" t="str">
        <f t="shared" si="43"/>
        <v>2024 ALL D75</v>
      </c>
      <c r="B551" s="10">
        <f>'[1]2019 ALL D95'!B551</f>
        <v>46104</v>
      </c>
      <c r="C551" s="10">
        <f>'[1]2019 ALL D95'!C551</f>
        <v>46113</v>
      </c>
      <c r="D551" s="11">
        <v>3273</v>
      </c>
      <c r="E551" s="11">
        <v>336</v>
      </c>
      <c r="F551" s="11">
        <v>4</v>
      </c>
      <c r="G551" s="13">
        <v>12</v>
      </c>
      <c r="H551" s="13">
        <v>81574</v>
      </c>
      <c r="I551" s="11" t="s">
        <v>17</v>
      </c>
      <c r="J551" s="13">
        <v>87623827</v>
      </c>
      <c r="K551" s="13" t="s">
        <v>644</v>
      </c>
      <c r="L551" s="13" t="s">
        <v>647</v>
      </c>
      <c r="M551" s="17">
        <v>249900</v>
      </c>
      <c r="N551" s="15">
        <v>0.75</v>
      </c>
      <c r="O551" s="16">
        <f t="shared" si="40"/>
        <v>62475</v>
      </c>
      <c r="P551" s="11" t="s">
        <v>20</v>
      </c>
    </row>
    <row r="552" spans="1:16" x14ac:dyDescent="0.25">
      <c r="A552" s="9" t="str">
        <f t="shared" si="43"/>
        <v>2024 ALL D75</v>
      </c>
      <c r="B552" s="10">
        <f>'[1]2019 ALL D95'!B552</f>
        <v>46104</v>
      </c>
      <c r="C552" s="10">
        <f>'[1]2019 ALL D95'!C552</f>
        <v>46113</v>
      </c>
      <c r="D552" s="11">
        <v>3273</v>
      </c>
      <c r="E552" s="11">
        <v>336</v>
      </c>
      <c r="F552" s="11">
        <v>4</v>
      </c>
      <c r="G552" s="13">
        <v>12</v>
      </c>
      <c r="H552" s="13">
        <v>81574</v>
      </c>
      <c r="I552" s="11" t="s">
        <v>17</v>
      </c>
      <c r="J552" s="13">
        <v>87623836</v>
      </c>
      <c r="K552" s="13" t="s">
        <v>644</v>
      </c>
      <c r="L552" s="13" t="s">
        <v>648</v>
      </c>
      <c r="M552" s="17">
        <v>249900</v>
      </c>
      <c r="N552" s="15">
        <v>0.75</v>
      </c>
      <c r="O552" s="16">
        <f t="shared" si="40"/>
        <v>62475</v>
      </c>
      <c r="P552" s="11" t="s">
        <v>20</v>
      </c>
    </row>
    <row r="553" spans="1:16" x14ac:dyDescent="0.25">
      <c r="A553" s="9" t="str">
        <f t="shared" si="43"/>
        <v>2024 ALL D75</v>
      </c>
      <c r="B553" s="10">
        <f>'[1]2019 ALL D95'!B553</f>
        <v>46104</v>
      </c>
      <c r="C553" s="10">
        <f>'[1]2019 ALL D95'!C553</f>
        <v>46113</v>
      </c>
      <c r="D553" s="11">
        <v>3273</v>
      </c>
      <c r="E553" s="11">
        <v>336</v>
      </c>
      <c r="F553" s="11">
        <v>4</v>
      </c>
      <c r="G553" s="13">
        <v>12</v>
      </c>
      <c r="H553" s="13">
        <v>81574</v>
      </c>
      <c r="I553" s="11" t="s">
        <v>17</v>
      </c>
      <c r="J553" s="13">
        <v>87623845</v>
      </c>
      <c r="K553" s="13" t="s">
        <v>644</v>
      </c>
      <c r="L553" s="13" t="s">
        <v>649</v>
      </c>
      <c r="M553" s="17">
        <v>249900</v>
      </c>
      <c r="N553" s="15">
        <v>0.75</v>
      </c>
      <c r="O553" s="16">
        <f t="shared" si="40"/>
        <v>62475</v>
      </c>
      <c r="P553" s="11" t="s">
        <v>20</v>
      </c>
    </row>
    <row r="554" spans="1:16" x14ac:dyDescent="0.25">
      <c r="A554" s="9" t="str">
        <f t="shared" si="43"/>
        <v>2024 ALL D75</v>
      </c>
      <c r="B554" s="10">
        <f>'[1]2019 ALL D95'!B554</f>
        <v>46104</v>
      </c>
      <c r="C554" s="10">
        <f>'[1]2019 ALL D95'!C554</f>
        <v>46113</v>
      </c>
      <c r="D554" s="11">
        <v>3273</v>
      </c>
      <c r="E554" s="11">
        <v>336</v>
      </c>
      <c r="F554" s="11">
        <v>4</v>
      </c>
      <c r="G554" s="13">
        <v>12</v>
      </c>
      <c r="H554" s="13">
        <v>81574</v>
      </c>
      <c r="I554" s="11" t="s">
        <v>17</v>
      </c>
      <c r="J554" s="13">
        <v>87623854</v>
      </c>
      <c r="K554" s="13" t="s">
        <v>644</v>
      </c>
      <c r="L554" s="13" t="s">
        <v>650</v>
      </c>
      <c r="M554" s="17">
        <v>249900</v>
      </c>
      <c r="N554" s="15">
        <v>0.75</v>
      </c>
      <c r="O554" s="16">
        <f t="shared" si="40"/>
        <v>62475</v>
      </c>
      <c r="P554" s="11" t="s">
        <v>20</v>
      </c>
    </row>
    <row r="555" spans="1:16" x14ac:dyDescent="0.25">
      <c r="A555" s="9" t="str">
        <f t="shared" si="43"/>
        <v>2024 ALL D75</v>
      </c>
      <c r="B555" s="10">
        <f>'[1]2019 ALL D95'!B555</f>
        <v>46104</v>
      </c>
      <c r="C555" s="10">
        <f>'[1]2019 ALL D95'!C555</f>
        <v>46113</v>
      </c>
      <c r="D555" s="11">
        <v>3273</v>
      </c>
      <c r="E555" s="11">
        <v>336</v>
      </c>
      <c r="F555" s="11">
        <v>4</v>
      </c>
      <c r="G555" s="11">
        <v>11</v>
      </c>
      <c r="H555" s="13">
        <v>81588</v>
      </c>
      <c r="I555" s="11" t="s">
        <v>17</v>
      </c>
      <c r="J555" s="13">
        <v>16100300</v>
      </c>
      <c r="K555" s="18" t="s">
        <v>651</v>
      </c>
      <c r="L555" s="13" t="s">
        <v>652</v>
      </c>
      <c r="M555" s="17">
        <v>139900</v>
      </c>
      <c r="N555" s="15">
        <v>0.75</v>
      </c>
      <c r="O555" s="16">
        <f t="shared" si="40"/>
        <v>34975</v>
      </c>
      <c r="P555" s="11" t="s">
        <v>20</v>
      </c>
    </row>
    <row r="556" spans="1:16" x14ac:dyDescent="0.25">
      <c r="A556" s="9" t="str">
        <f t="shared" si="43"/>
        <v>2024 ALL D75</v>
      </c>
      <c r="B556" s="10">
        <f>'[1]2019 ALL D95'!B556</f>
        <v>46104</v>
      </c>
      <c r="C556" s="10">
        <f>'[1]2019 ALL D95'!C556</f>
        <v>46113</v>
      </c>
      <c r="D556" s="11">
        <v>3273</v>
      </c>
      <c r="E556" s="11">
        <v>336</v>
      </c>
      <c r="F556" s="11">
        <v>4</v>
      </c>
      <c r="G556" s="11">
        <v>11</v>
      </c>
      <c r="H556" s="13">
        <v>81588</v>
      </c>
      <c r="I556" s="11" t="s">
        <v>17</v>
      </c>
      <c r="J556" s="13">
        <v>16100319</v>
      </c>
      <c r="K556" s="18" t="s">
        <v>651</v>
      </c>
      <c r="L556" s="13" t="s">
        <v>653</v>
      </c>
      <c r="M556" s="17">
        <v>139900</v>
      </c>
      <c r="N556" s="15">
        <v>0.75</v>
      </c>
      <c r="O556" s="16">
        <f t="shared" si="40"/>
        <v>34975</v>
      </c>
      <c r="P556" s="11" t="s">
        <v>20</v>
      </c>
    </row>
    <row r="557" spans="1:16" x14ac:dyDescent="0.25">
      <c r="A557" s="9" t="str">
        <f t="shared" si="43"/>
        <v>2024 ALL D75</v>
      </c>
      <c r="B557" s="10">
        <f>'[1]2019 ALL D95'!B557</f>
        <v>46104</v>
      </c>
      <c r="C557" s="10">
        <f>'[1]2019 ALL D95'!C557</f>
        <v>46113</v>
      </c>
      <c r="D557" s="11">
        <v>3273</v>
      </c>
      <c r="E557" s="11">
        <v>336</v>
      </c>
      <c r="F557" s="11">
        <v>4</v>
      </c>
      <c r="G557" s="11">
        <v>11</v>
      </c>
      <c r="H557" s="13">
        <v>81588</v>
      </c>
      <c r="I557" s="11" t="s">
        <v>17</v>
      </c>
      <c r="J557" s="13">
        <v>16100328</v>
      </c>
      <c r="K557" s="18" t="s">
        <v>651</v>
      </c>
      <c r="L557" s="13" t="s">
        <v>654</v>
      </c>
      <c r="M557" s="17">
        <v>139900</v>
      </c>
      <c r="N557" s="15">
        <v>0.75</v>
      </c>
      <c r="O557" s="16">
        <f t="shared" si="40"/>
        <v>34975</v>
      </c>
      <c r="P557" s="11" t="s">
        <v>20</v>
      </c>
    </row>
    <row r="558" spans="1:16" x14ac:dyDescent="0.25">
      <c r="A558" s="9" t="str">
        <f t="shared" si="43"/>
        <v>2024 ALL D75</v>
      </c>
      <c r="B558" s="10">
        <f>'[1]2019 ALL D95'!B558</f>
        <v>46104</v>
      </c>
      <c r="C558" s="10">
        <f>'[1]2019 ALL D95'!C558</f>
        <v>46113</v>
      </c>
      <c r="D558" s="11">
        <v>3273</v>
      </c>
      <c r="E558" s="11">
        <v>336</v>
      </c>
      <c r="F558" s="11">
        <v>4</v>
      </c>
      <c r="G558" s="11">
        <v>11</v>
      </c>
      <c r="H558" s="13">
        <v>81588</v>
      </c>
      <c r="I558" s="11" t="s">
        <v>17</v>
      </c>
      <c r="J558" s="13">
        <v>16100337</v>
      </c>
      <c r="K558" s="18" t="s">
        <v>651</v>
      </c>
      <c r="L558" s="13" t="s">
        <v>655</v>
      </c>
      <c r="M558" s="17">
        <v>139900</v>
      </c>
      <c r="N558" s="15">
        <v>0.75</v>
      </c>
      <c r="O558" s="16">
        <f t="shared" si="40"/>
        <v>34975</v>
      </c>
      <c r="P558" s="11" t="s">
        <v>20</v>
      </c>
    </row>
    <row r="559" spans="1:16" x14ac:dyDescent="0.25">
      <c r="A559" s="9" t="str">
        <f t="shared" si="43"/>
        <v>2024 ALL D75</v>
      </c>
      <c r="B559" s="10">
        <f>'[1]2019 ALL D95'!B559</f>
        <v>46104</v>
      </c>
      <c r="C559" s="10">
        <f>'[1]2019 ALL D95'!C559</f>
        <v>46113</v>
      </c>
      <c r="D559" s="11">
        <v>3273</v>
      </c>
      <c r="E559" s="11">
        <v>336</v>
      </c>
      <c r="F559" s="11">
        <v>4</v>
      </c>
      <c r="G559" s="11">
        <v>11</v>
      </c>
      <c r="H559" s="13">
        <v>81588</v>
      </c>
      <c r="I559" s="11" t="s">
        <v>17</v>
      </c>
      <c r="J559" s="13">
        <v>16100346</v>
      </c>
      <c r="K559" s="18" t="s">
        <v>651</v>
      </c>
      <c r="L559" s="13" t="s">
        <v>656</v>
      </c>
      <c r="M559" s="17">
        <v>139900</v>
      </c>
      <c r="N559" s="15">
        <v>0.75</v>
      </c>
      <c r="O559" s="16">
        <f t="shared" si="40"/>
        <v>34975</v>
      </c>
      <c r="P559" s="11" t="s">
        <v>20</v>
      </c>
    </row>
    <row r="560" spans="1:16" x14ac:dyDescent="0.25">
      <c r="A560" s="9" t="str">
        <f t="shared" si="43"/>
        <v>2024 ALL D75</v>
      </c>
      <c r="B560" s="10">
        <f>'[1]2019 ALL D95'!B560</f>
        <v>46104</v>
      </c>
      <c r="C560" s="10">
        <f>'[1]2019 ALL D95'!C560</f>
        <v>46113</v>
      </c>
      <c r="D560" s="11">
        <v>3273</v>
      </c>
      <c r="E560" s="11">
        <v>336</v>
      </c>
      <c r="F560" s="11">
        <v>4</v>
      </c>
      <c r="G560" s="11">
        <v>11</v>
      </c>
      <c r="H560" s="13">
        <v>81588</v>
      </c>
      <c r="I560" s="11" t="s">
        <v>17</v>
      </c>
      <c r="J560" s="13">
        <v>16100355</v>
      </c>
      <c r="K560" s="18" t="s">
        <v>651</v>
      </c>
      <c r="L560" s="13" t="s">
        <v>657</v>
      </c>
      <c r="M560" s="17">
        <v>139900</v>
      </c>
      <c r="N560" s="15">
        <v>0.75</v>
      </c>
      <c r="O560" s="16">
        <f t="shared" si="40"/>
        <v>34975</v>
      </c>
      <c r="P560" s="11" t="s">
        <v>20</v>
      </c>
    </row>
    <row r="561" spans="1:16" x14ac:dyDescent="0.25">
      <c r="A561" s="9" t="str">
        <f t="shared" si="43"/>
        <v>2024 ALL D75</v>
      </c>
      <c r="B561" s="10">
        <f>'[1]2019 ALL D95'!B561</f>
        <v>46104</v>
      </c>
      <c r="C561" s="10">
        <f>'[1]2019 ALL D95'!C561</f>
        <v>46113</v>
      </c>
      <c r="D561" s="11">
        <v>3273</v>
      </c>
      <c r="E561" s="11">
        <v>336</v>
      </c>
      <c r="F561" s="11">
        <v>4</v>
      </c>
      <c r="G561" s="11">
        <v>11</v>
      </c>
      <c r="H561" s="13">
        <v>81588</v>
      </c>
      <c r="I561" s="11" t="s">
        <v>17</v>
      </c>
      <c r="J561" s="13">
        <v>16100364</v>
      </c>
      <c r="K561" s="18" t="s">
        <v>658</v>
      </c>
      <c r="L561" s="13" t="s">
        <v>659</v>
      </c>
      <c r="M561" s="17">
        <v>139900</v>
      </c>
      <c r="N561" s="15">
        <v>0.75</v>
      </c>
      <c r="O561" s="16">
        <f t="shared" si="40"/>
        <v>34975</v>
      </c>
      <c r="P561" s="11" t="s">
        <v>20</v>
      </c>
    </row>
    <row r="562" spans="1:16" x14ac:dyDescent="0.25">
      <c r="A562" s="9" t="str">
        <f t="shared" si="43"/>
        <v>2024 ALL D75</v>
      </c>
      <c r="B562" s="10">
        <f>'[1]2019 ALL D95'!B562</f>
        <v>46104</v>
      </c>
      <c r="C562" s="10">
        <f>'[1]2019 ALL D95'!C562</f>
        <v>46113</v>
      </c>
      <c r="D562" s="11">
        <v>3273</v>
      </c>
      <c r="E562" s="11">
        <v>336</v>
      </c>
      <c r="F562" s="11">
        <v>4</v>
      </c>
      <c r="G562" s="11">
        <v>11</v>
      </c>
      <c r="H562" s="13">
        <v>81588</v>
      </c>
      <c r="I562" s="11" t="s">
        <v>17</v>
      </c>
      <c r="J562" s="13">
        <v>16100373</v>
      </c>
      <c r="K562" s="18" t="s">
        <v>658</v>
      </c>
      <c r="L562" s="13" t="s">
        <v>660</v>
      </c>
      <c r="M562" s="17">
        <v>139900</v>
      </c>
      <c r="N562" s="15">
        <v>0.75</v>
      </c>
      <c r="O562" s="16">
        <f t="shared" si="40"/>
        <v>34975</v>
      </c>
      <c r="P562" s="11" t="s">
        <v>20</v>
      </c>
    </row>
    <row r="563" spans="1:16" x14ac:dyDescent="0.25">
      <c r="A563" s="9" t="str">
        <f t="shared" ref="A563:A578" si="44">A562</f>
        <v>2024 ALL D75</v>
      </c>
      <c r="B563" s="10">
        <f>'[1]2019 ALL D95'!B563</f>
        <v>46104</v>
      </c>
      <c r="C563" s="10">
        <f>'[1]2019 ALL D95'!C563</f>
        <v>46113</v>
      </c>
      <c r="D563" s="11">
        <v>3273</v>
      </c>
      <c r="E563" s="11">
        <v>336</v>
      </c>
      <c r="F563" s="11">
        <v>4</v>
      </c>
      <c r="G563" s="11">
        <v>11</v>
      </c>
      <c r="H563" s="13">
        <v>81588</v>
      </c>
      <c r="I563" s="11" t="s">
        <v>17</v>
      </c>
      <c r="J563" s="13">
        <v>16100382</v>
      </c>
      <c r="K563" s="18" t="s">
        <v>658</v>
      </c>
      <c r="L563" s="13" t="s">
        <v>661</v>
      </c>
      <c r="M563" s="17">
        <v>139900</v>
      </c>
      <c r="N563" s="15">
        <v>0.75</v>
      </c>
      <c r="O563" s="16">
        <f t="shared" si="40"/>
        <v>34975</v>
      </c>
      <c r="P563" s="11" t="s">
        <v>20</v>
      </c>
    </row>
    <row r="564" spans="1:16" x14ac:dyDescent="0.25">
      <c r="A564" s="9" t="str">
        <f t="shared" si="44"/>
        <v>2024 ALL D75</v>
      </c>
      <c r="B564" s="10">
        <f>'[1]2019 ALL D95'!B564</f>
        <v>46104</v>
      </c>
      <c r="C564" s="10">
        <f>'[1]2019 ALL D95'!C564</f>
        <v>46113</v>
      </c>
      <c r="D564" s="11">
        <v>3273</v>
      </c>
      <c r="E564" s="11">
        <v>336</v>
      </c>
      <c r="F564" s="11">
        <v>4</v>
      </c>
      <c r="G564" s="11">
        <v>11</v>
      </c>
      <c r="H564" s="13">
        <v>81588</v>
      </c>
      <c r="I564" s="11" t="s">
        <v>17</v>
      </c>
      <c r="J564" s="13">
        <v>16100391</v>
      </c>
      <c r="K564" s="18" t="s">
        <v>658</v>
      </c>
      <c r="L564" s="13" t="s">
        <v>662</v>
      </c>
      <c r="M564" s="17">
        <v>139900</v>
      </c>
      <c r="N564" s="15">
        <v>0.75</v>
      </c>
      <c r="O564" s="16">
        <f t="shared" si="40"/>
        <v>34975</v>
      </c>
      <c r="P564" s="11" t="s">
        <v>20</v>
      </c>
    </row>
    <row r="565" spans="1:16" x14ac:dyDescent="0.25">
      <c r="A565" s="9" t="str">
        <f t="shared" si="44"/>
        <v>2024 ALL D75</v>
      </c>
      <c r="B565" s="10">
        <f>'[1]2019 ALL D95'!B565</f>
        <v>46104</v>
      </c>
      <c r="C565" s="10">
        <f>'[1]2019 ALL D95'!C565</f>
        <v>46113</v>
      </c>
      <c r="D565" s="11">
        <v>3273</v>
      </c>
      <c r="E565" s="11">
        <v>336</v>
      </c>
      <c r="F565" s="11">
        <v>4</v>
      </c>
      <c r="G565" s="11">
        <v>11</v>
      </c>
      <c r="H565" s="13">
        <v>81588</v>
      </c>
      <c r="I565" s="11" t="s">
        <v>17</v>
      </c>
      <c r="J565" s="13">
        <v>16100408</v>
      </c>
      <c r="K565" s="18" t="s">
        <v>658</v>
      </c>
      <c r="L565" s="13" t="s">
        <v>663</v>
      </c>
      <c r="M565" s="17">
        <v>139900</v>
      </c>
      <c r="N565" s="15">
        <v>0.75</v>
      </c>
      <c r="O565" s="16">
        <f t="shared" si="40"/>
        <v>34975</v>
      </c>
      <c r="P565" s="11" t="s">
        <v>20</v>
      </c>
    </row>
    <row r="566" spans="1:16" x14ac:dyDescent="0.25">
      <c r="A566" s="9" t="str">
        <f t="shared" si="44"/>
        <v>2024 ALL D75</v>
      </c>
      <c r="B566" s="10">
        <f>'[1]2019 ALL D95'!B566</f>
        <v>46104</v>
      </c>
      <c r="C566" s="10">
        <f>'[1]2019 ALL D95'!C566</f>
        <v>46113</v>
      </c>
      <c r="D566" s="11">
        <v>3273</v>
      </c>
      <c r="E566" s="11">
        <v>336</v>
      </c>
      <c r="F566" s="11">
        <v>4</v>
      </c>
      <c r="G566" s="11">
        <v>11</v>
      </c>
      <c r="H566" s="13">
        <v>81588</v>
      </c>
      <c r="I566" s="11" t="s">
        <v>17</v>
      </c>
      <c r="J566" s="13">
        <v>16100417</v>
      </c>
      <c r="K566" s="18" t="s">
        <v>658</v>
      </c>
      <c r="L566" s="13" t="s">
        <v>664</v>
      </c>
      <c r="M566" s="17">
        <v>139900</v>
      </c>
      <c r="N566" s="15">
        <v>0.75</v>
      </c>
      <c r="O566" s="16">
        <f t="shared" si="40"/>
        <v>34975</v>
      </c>
      <c r="P566" s="11" t="s">
        <v>20</v>
      </c>
    </row>
    <row r="567" spans="1:16" x14ac:dyDescent="0.25">
      <c r="A567" s="9" t="str">
        <f t="shared" si="44"/>
        <v>2024 ALL D75</v>
      </c>
      <c r="B567" s="10">
        <f>'[1]2019 ALL D95'!B567</f>
        <v>46104</v>
      </c>
      <c r="C567" s="10">
        <f>'[1]2019 ALL D95'!C567</f>
        <v>46113</v>
      </c>
      <c r="D567" s="11">
        <v>3273</v>
      </c>
      <c r="E567" s="11">
        <v>336</v>
      </c>
      <c r="F567" s="11">
        <v>4</v>
      </c>
      <c r="G567" s="11">
        <v>11</v>
      </c>
      <c r="H567" s="13">
        <v>81588</v>
      </c>
      <c r="I567" s="11" t="s">
        <v>17</v>
      </c>
      <c r="J567" s="13">
        <v>16100426</v>
      </c>
      <c r="K567" s="18" t="s">
        <v>658</v>
      </c>
      <c r="L567" s="13" t="s">
        <v>665</v>
      </c>
      <c r="M567" s="17">
        <v>139900</v>
      </c>
      <c r="N567" s="15">
        <v>0.75</v>
      </c>
      <c r="O567" s="16">
        <f t="shared" si="40"/>
        <v>34975</v>
      </c>
      <c r="P567" s="11" t="s">
        <v>20</v>
      </c>
    </row>
    <row r="568" spans="1:16" x14ac:dyDescent="0.25">
      <c r="A568" s="9" t="str">
        <f t="shared" si="44"/>
        <v>2024 ALL D75</v>
      </c>
      <c r="B568" s="10">
        <f>'[1]2019 ALL D95'!B568</f>
        <v>46104</v>
      </c>
      <c r="C568" s="10">
        <f>'[1]2019 ALL D95'!C568</f>
        <v>46113</v>
      </c>
      <c r="D568" s="11">
        <v>3273</v>
      </c>
      <c r="E568" s="11">
        <v>336</v>
      </c>
      <c r="F568" s="11">
        <v>4</v>
      </c>
      <c r="G568" s="11">
        <v>11</v>
      </c>
      <c r="H568" s="13">
        <v>81588</v>
      </c>
      <c r="I568" s="11" t="s">
        <v>17</v>
      </c>
      <c r="J568" s="13">
        <v>16100435</v>
      </c>
      <c r="K568" s="18" t="s">
        <v>658</v>
      </c>
      <c r="L568" s="13" t="s">
        <v>666</v>
      </c>
      <c r="M568" s="17">
        <v>139900</v>
      </c>
      <c r="N568" s="15">
        <v>0.75</v>
      </c>
      <c r="O568" s="16">
        <f t="shared" si="40"/>
        <v>34975</v>
      </c>
      <c r="P568" s="11" t="s">
        <v>20</v>
      </c>
    </row>
    <row r="569" spans="1:16" x14ac:dyDescent="0.25">
      <c r="A569" s="9" t="str">
        <f t="shared" si="44"/>
        <v>2024 ALL D75</v>
      </c>
      <c r="B569" s="10">
        <f>'[1]2019 ALL D95'!B569</f>
        <v>46104</v>
      </c>
      <c r="C569" s="10">
        <f>'[1]2019 ALL D95'!C569</f>
        <v>46113</v>
      </c>
      <c r="D569" s="11">
        <v>3273</v>
      </c>
      <c r="E569" s="11">
        <v>336</v>
      </c>
      <c r="F569" s="11">
        <v>4</v>
      </c>
      <c r="G569" s="11">
        <v>11</v>
      </c>
      <c r="H569" s="13">
        <v>81588</v>
      </c>
      <c r="I569" s="11" t="s">
        <v>17</v>
      </c>
      <c r="J569" s="13">
        <v>16100444</v>
      </c>
      <c r="K569" s="18" t="s">
        <v>667</v>
      </c>
      <c r="L569" s="13" t="s">
        <v>668</v>
      </c>
      <c r="M569" s="17">
        <v>139900</v>
      </c>
      <c r="N569" s="15">
        <v>0.75</v>
      </c>
      <c r="O569" s="16">
        <f t="shared" si="40"/>
        <v>34975</v>
      </c>
      <c r="P569" s="11" t="s">
        <v>20</v>
      </c>
    </row>
    <row r="570" spans="1:16" x14ac:dyDescent="0.25">
      <c r="A570" s="9" t="str">
        <f t="shared" si="44"/>
        <v>2024 ALL D75</v>
      </c>
      <c r="B570" s="10">
        <f>'[1]2019 ALL D95'!B570</f>
        <v>46104</v>
      </c>
      <c r="C570" s="10">
        <f>'[1]2019 ALL D95'!C570</f>
        <v>46113</v>
      </c>
      <c r="D570" s="11">
        <v>3273</v>
      </c>
      <c r="E570" s="11">
        <v>336</v>
      </c>
      <c r="F570" s="11">
        <v>4</v>
      </c>
      <c r="G570" s="11">
        <v>11</v>
      </c>
      <c r="H570" s="13">
        <v>81588</v>
      </c>
      <c r="I570" s="11" t="s">
        <v>17</v>
      </c>
      <c r="J570" s="13">
        <v>16100453</v>
      </c>
      <c r="K570" s="18" t="s">
        <v>667</v>
      </c>
      <c r="L570" s="13" t="s">
        <v>669</v>
      </c>
      <c r="M570" s="17">
        <v>139900</v>
      </c>
      <c r="N570" s="15">
        <v>0.75</v>
      </c>
      <c r="O570" s="16">
        <f t="shared" si="40"/>
        <v>34975</v>
      </c>
      <c r="P570" s="11" t="s">
        <v>20</v>
      </c>
    </row>
    <row r="571" spans="1:16" x14ac:dyDescent="0.25">
      <c r="A571" s="9" t="str">
        <f t="shared" si="44"/>
        <v>2024 ALL D75</v>
      </c>
      <c r="B571" s="10">
        <f>'[1]2019 ALL D95'!B571</f>
        <v>46104</v>
      </c>
      <c r="C571" s="10">
        <f>'[1]2019 ALL D95'!C571</f>
        <v>46113</v>
      </c>
      <c r="D571" s="11">
        <v>3273</v>
      </c>
      <c r="E571" s="11">
        <v>336</v>
      </c>
      <c r="F571" s="11">
        <v>4</v>
      </c>
      <c r="G571" s="11">
        <v>11</v>
      </c>
      <c r="H571" s="13">
        <v>81574</v>
      </c>
      <c r="I571" s="11" t="s">
        <v>17</v>
      </c>
      <c r="J571" s="13">
        <v>16100462</v>
      </c>
      <c r="K571" s="18" t="s">
        <v>667</v>
      </c>
      <c r="L571" s="13" t="s">
        <v>670</v>
      </c>
      <c r="M571" s="17">
        <v>139900</v>
      </c>
      <c r="N571" s="15">
        <v>0.75</v>
      </c>
      <c r="O571" s="16">
        <f t="shared" si="40"/>
        <v>34975</v>
      </c>
      <c r="P571" s="11" t="s">
        <v>20</v>
      </c>
    </row>
    <row r="572" spans="1:16" x14ac:dyDescent="0.25">
      <c r="A572" s="9" t="str">
        <f t="shared" si="44"/>
        <v>2024 ALL D75</v>
      </c>
      <c r="B572" s="10">
        <f>'[1]2019 ALL D95'!B572</f>
        <v>46104</v>
      </c>
      <c r="C572" s="10">
        <f>'[1]2019 ALL D95'!C572</f>
        <v>46113</v>
      </c>
      <c r="D572" s="11">
        <v>3273</v>
      </c>
      <c r="E572" s="11">
        <v>336</v>
      </c>
      <c r="F572" s="11">
        <v>4</v>
      </c>
      <c r="G572" s="11">
        <v>11</v>
      </c>
      <c r="H572" s="13">
        <v>81574</v>
      </c>
      <c r="I572" s="11" t="s">
        <v>17</v>
      </c>
      <c r="J572" s="13">
        <v>16100471</v>
      </c>
      <c r="K572" s="18" t="s">
        <v>667</v>
      </c>
      <c r="L572" s="13" t="s">
        <v>671</v>
      </c>
      <c r="M572" s="17">
        <v>139900</v>
      </c>
      <c r="N572" s="15">
        <v>0.75</v>
      </c>
      <c r="O572" s="16">
        <f t="shared" si="40"/>
        <v>34975</v>
      </c>
      <c r="P572" s="11" t="s">
        <v>20</v>
      </c>
    </row>
    <row r="573" spans="1:16" x14ac:dyDescent="0.25">
      <c r="A573" s="9" t="str">
        <f t="shared" si="44"/>
        <v>2024 ALL D75</v>
      </c>
      <c r="B573" s="10">
        <f>'[1]2019 ALL D95'!B573</f>
        <v>46104</v>
      </c>
      <c r="C573" s="10">
        <f>'[1]2019 ALL D95'!C573</f>
        <v>46113</v>
      </c>
      <c r="D573" s="11">
        <v>3273</v>
      </c>
      <c r="E573" s="11">
        <v>336</v>
      </c>
      <c r="F573" s="11">
        <v>4</v>
      </c>
      <c r="G573" s="11">
        <v>11</v>
      </c>
      <c r="H573" s="13">
        <v>81574</v>
      </c>
      <c r="I573" s="11" t="s">
        <v>17</v>
      </c>
      <c r="J573" s="13">
        <v>16100480</v>
      </c>
      <c r="K573" s="18" t="s">
        <v>667</v>
      </c>
      <c r="L573" s="13" t="s">
        <v>672</v>
      </c>
      <c r="M573" s="17">
        <v>139900</v>
      </c>
      <c r="N573" s="15">
        <v>0.75</v>
      </c>
      <c r="O573" s="16">
        <f t="shared" si="40"/>
        <v>34975</v>
      </c>
      <c r="P573" s="11" t="s">
        <v>20</v>
      </c>
    </row>
    <row r="574" spans="1:16" x14ac:dyDescent="0.25">
      <c r="A574" s="9" t="str">
        <f t="shared" si="44"/>
        <v>2024 ALL D75</v>
      </c>
      <c r="B574" s="10">
        <f>'[1]2019 ALL D95'!B574</f>
        <v>46104</v>
      </c>
      <c r="C574" s="10">
        <f>'[1]2019 ALL D95'!C574</f>
        <v>46113</v>
      </c>
      <c r="D574" s="11">
        <v>3273</v>
      </c>
      <c r="E574" s="11">
        <v>336</v>
      </c>
      <c r="F574" s="11">
        <v>4</v>
      </c>
      <c r="G574" s="11">
        <v>11</v>
      </c>
      <c r="H574" s="13">
        <v>81574</v>
      </c>
      <c r="I574" s="11" t="s">
        <v>17</v>
      </c>
      <c r="J574" s="13">
        <v>16100499</v>
      </c>
      <c r="K574" s="18" t="s">
        <v>667</v>
      </c>
      <c r="L574" s="13" t="s">
        <v>673</v>
      </c>
      <c r="M574" s="17">
        <v>139900</v>
      </c>
      <c r="N574" s="15">
        <v>0.75</v>
      </c>
      <c r="O574" s="16">
        <f t="shared" si="40"/>
        <v>34975</v>
      </c>
      <c r="P574" s="11" t="s">
        <v>20</v>
      </c>
    </row>
    <row r="575" spans="1:16" x14ac:dyDescent="0.25">
      <c r="A575" s="9" t="str">
        <f t="shared" si="44"/>
        <v>2024 ALL D75</v>
      </c>
      <c r="B575" s="10">
        <f>'[1]2019 ALL D95'!B575</f>
        <v>46104</v>
      </c>
      <c r="C575" s="10">
        <f>'[1]2019 ALL D95'!C575</f>
        <v>46113</v>
      </c>
      <c r="D575" s="11">
        <v>3273</v>
      </c>
      <c r="E575" s="11">
        <v>336</v>
      </c>
      <c r="F575" s="11">
        <v>4</v>
      </c>
      <c r="G575" s="11">
        <v>11</v>
      </c>
      <c r="H575" s="13">
        <v>81574</v>
      </c>
      <c r="I575" s="11" t="s">
        <v>17</v>
      </c>
      <c r="J575" s="13">
        <v>16100506</v>
      </c>
      <c r="K575" s="18" t="s">
        <v>667</v>
      </c>
      <c r="L575" s="13" t="s">
        <v>674</v>
      </c>
      <c r="M575" s="17">
        <v>139900</v>
      </c>
      <c r="N575" s="15">
        <v>0.75</v>
      </c>
      <c r="O575" s="16">
        <f t="shared" si="40"/>
        <v>34975</v>
      </c>
      <c r="P575" s="11" t="s">
        <v>20</v>
      </c>
    </row>
    <row r="576" spans="1:16" x14ac:dyDescent="0.25">
      <c r="A576" s="9" t="str">
        <f t="shared" si="44"/>
        <v>2024 ALL D75</v>
      </c>
      <c r="B576" s="10">
        <f>'[1]2019 ALL D95'!B576</f>
        <v>46104</v>
      </c>
      <c r="C576" s="10">
        <f>'[1]2019 ALL D95'!C576</f>
        <v>46113</v>
      </c>
      <c r="D576" s="11">
        <v>3273</v>
      </c>
      <c r="E576" s="11">
        <v>336</v>
      </c>
      <c r="F576" s="11">
        <v>4</v>
      </c>
      <c r="G576" s="11">
        <v>11</v>
      </c>
      <c r="H576" s="13">
        <v>81574</v>
      </c>
      <c r="I576" s="11" t="s">
        <v>17</v>
      </c>
      <c r="J576" s="13">
        <v>16100515</v>
      </c>
      <c r="K576" s="18" t="s">
        <v>667</v>
      </c>
      <c r="L576" s="13" t="s">
        <v>675</v>
      </c>
      <c r="M576" s="17">
        <v>139900</v>
      </c>
      <c r="N576" s="15">
        <v>0.75</v>
      </c>
      <c r="O576" s="16">
        <f t="shared" si="40"/>
        <v>34975</v>
      </c>
      <c r="P576" s="11" t="s">
        <v>20</v>
      </c>
    </row>
    <row r="577" spans="1:16" x14ac:dyDescent="0.25">
      <c r="A577" s="9" t="str">
        <f t="shared" si="44"/>
        <v>2024 ALL D75</v>
      </c>
      <c r="B577" s="10">
        <f>'[1]2019 ALL D95'!B577</f>
        <v>46104</v>
      </c>
      <c r="C577" s="10">
        <f>'[1]2019 ALL D95'!C577</f>
        <v>46113</v>
      </c>
      <c r="D577" s="11">
        <v>3273</v>
      </c>
      <c r="E577" s="11">
        <v>336</v>
      </c>
      <c r="F577" s="11">
        <v>4</v>
      </c>
      <c r="G577" s="11">
        <v>11</v>
      </c>
      <c r="H577" s="13">
        <v>81574</v>
      </c>
      <c r="I577" s="11" t="s">
        <v>17</v>
      </c>
      <c r="J577" s="13">
        <v>16100248</v>
      </c>
      <c r="K577" s="18" t="s">
        <v>676</v>
      </c>
      <c r="L577" s="13" t="s">
        <v>677</v>
      </c>
      <c r="M577" s="17">
        <v>149900</v>
      </c>
      <c r="N577" s="15">
        <v>0.75</v>
      </c>
      <c r="O577" s="16">
        <f t="shared" si="40"/>
        <v>37475</v>
      </c>
      <c r="P577" s="11" t="s">
        <v>20</v>
      </c>
    </row>
    <row r="578" spans="1:16" x14ac:dyDescent="0.25">
      <c r="A578" s="9" t="str">
        <f t="shared" si="44"/>
        <v>2024 ALL D75</v>
      </c>
      <c r="B578" s="10">
        <f>'[1]2019 ALL D95'!B578</f>
        <v>46104</v>
      </c>
      <c r="C578" s="10">
        <f>'[1]2019 ALL D95'!C578</f>
        <v>46113</v>
      </c>
      <c r="D578" s="11">
        <v>3273</v>
      </c>
      <c r="E578" s="11">
        <v>336</v>
      </c>
      <c r="F578" s="11">
        <v>4</v>
      </c>
      <c r="G578" s="11">
        <v>11</v>
      </c>
      <c r="H578" s="13">
        <v>81574</v>
      </c>
      <c r="I578" s="11" t="s">
        <v>17</v>
      </c>
      <c r="J578" s="13">
        <v>16100257</v>
      </c>
      <c r="K578" s="18" t="s">
        <v>676</v>
      </c>
      <c r="L578" s="13" t="s">
        <v>678</v>
      </c>
      <c r="M578" s="17">
        <v>149900</v>
      </c>
      <c r="N578" s="15">
        <v>0.75</v>
      </c>
      <c r="O578" s="16">
        <f t="shared" ref="O578:O641" si="45">M578*(1-N578)</f>
        <v>37475</v>
      </c>
      <c r="P578" s="11" t="s">
        <v>20</v>
      </c>
    </row>
    <row r="579" spans="1:16" x14ac:dyDescent="0.25">
      <c r="A579" s="9" t="str">
        <f t="shared" ref="A579:A594" si="46">A578</f>
        <v>2024 ALL D75</v>
      </c>
      <c r="B579" s="10">
        <f>'[1]2019 ALL D95'!B579</f>
        <v>46104</v>
      </c>
      <c r="C579" s="10">
        <f>'[1]2019 ALL D95'!C579</f>
        <v>46113</v>
      </c>
      <c r="D579" s="11">
        <v>3273</v>
      </c>
      <c r="E579" s="11">
        <v>336</v>
      </c>
      <c r="F579" s="11">
        <v>4</v>
      </c>
      <c r="G579" s="11">
        <v>11</v>
      </c>
      <c r="H579" s="13">
        <v>81588</v>
      </c>
      <c r="I579" s="11" t="s">
        <v>17</v>
      </c>
      <c r="J579" s="13">
        <v>16100266</v>
      </c>
      <c r="K579" s="18" t="s">
        <v>676</v>
      </c>
      <c r="L579" s="13" t="s">
        <v>679</v>
      </c>
      <c r="M579" s="17">
        <v>149900</v>
      </c>
      <c r="N579" s="15">
        <v>0.75</v>
      </c>
      <c r="O579" s="16">
        <f t="shared" si="45"/>
        <v>37475</v>
      </c>
      <c r="P579" s="11" t="s">
        <v>20</v>
      </c>
    </row>
    <row r="580" spans="1:16" x14ac:dyDescent="0.25">
      <c r="A580" s="9" t="str">
        <f t="shared" si="46"/>
        <v>2024 ALL D75</v>
      </c>
      <c r="B580" s="10">
        <f>'[1]2019 ALL D95'!B580</f>
        <v>46104</v>
      </c>
      <c r="C580" s="10">
        <f>'[1]2019 ALL D95'!C580</f>
        <v>46113</v>
      </c>
      <c r="D580" s="11">
        <v>3273</v>
      </c>
      <c r="E580" s="11">
        <v>336</v>
      </c>
      <c r="F580" s="11">
        <v>4</v>
      </c>
      <c r="G580" s="11">
        <v>11</v>
      </c>
      <c r="H580" s="13">
        <v>81588</v>
      </c>
      <c r="I580" s="11" t="s">
        <v>17</v>
      </c>
      <c r="J580" s="13">
        <v>16100275</v>
      </c>
      <c r="K580" s="18" t="s">
        <v>676</v>
      </c>
      <c r="L580" s="13" t="s">
        <v>680</v>
      </c>
      <c r="M580" s="17">
        <v>149900</v>
      </c>
      <c r="N580" s="15">
        <v>0.75</v>
      </c>
      <c r="O580" s="16">
        <f t="shared" si="45"/>
        <v>37475</v>
      </c>
      <c r="P580" s="11" t="s">
        <v>20</v>
      </c>
    </row>
    <row r="581" spans="1:16" x14ac:dyDescent="0.25">
      <c r="A581" s="9" t="str">
        <f t="shared" si="46"/>
        <v>2024 ALL D75</v>
      </c>
      <c r="B581" s="10">
        <f>'[1]2019 ALL D95'!B581</f>
        <v>46104</v>
      </c>
      <c r="C581" s="10">
        <f>'[1]2019 ALL D95'!C581</f>
        <v>46113</v>
      </c>
      <c r="D581" s="11">
        <v>3273</v>
      </c>
      <c r="E581" s="11">
        <v>336</v>
      </c>
      <c r="F581" s="11">
        <v>4</v>
      </c>
      <c r="G581" s="11">
        <v>11</v>
      </c>
      <c r="H581" s="13">
        <v>81588</v>
      </c>
      <c r="I581" s="11" t="s">
        <v>17</v>
      </c>
      <c r="J581" s="13">
        <v>16100284</v>
      </c>
      <c r="K581" s="18" t="s">
        <v>676</v>
      </c>
      <c r="L581" s="13" t="s">
        <v>681</v>
      </c>
      <c r="M581" s="17">
        <v>149900</v>
      </c>
      <c r="N581" s="15">
        <v>0.75</v>
      </c>
      <c r="O581" s="16">
        <f t="shared" si="45"/>
        <v>37475</v>
      </c>
      <c r="P581" s="11" t="s">
        <v>20</v>
      </c>
    </row>
    <row r="582" spans="1:16" x14ac:dyDescent="0.25">
      <c r="A582" s="9" t="str">
        <f t="shared" si="46"/>
        <v>2024 ALL D75</v>
      </c>
      <c r="B582" s="10">
        <f>'[1]2019 ALL D95'!B582</f>
        <v>46104</v>
      </c>
      <c r="C582" s="10">
        <f>'[1]2019 ALL D95'!C582</f>
        <v>46113</v>
      </c>
      <c r="D582" s="11">
        <v>3273</v>
      </c>
      <c r="E582" s="11">
        <v>336</v>
      </c>
      <c r="F582" s="11">
        <v>4</v>
      </c>
      <c r="G582" s="11">
        <v>11</v>
      </c>
      <c r="H582" s="13">
        <v>81588</v>
      </c>
      <c r="I582" s="11" t="s">
        <v>17</v>
      </c>
      <c r="J582" s="13">
        <v>16100293</v>
      </c>
      <c r="K582" s="18" t="s">
        <v>676</v>
      </c>
      <c r="L582" s="13" t="s">
        <v>682</v>
      </c>
      <c r="M582" s="17">
        <v>149900</v>
      </c>
      <c r="N582" s="15">
        <v>0.75</v>
      </c>
      <c r="O582" s="16">
        <f t="shared" si="45"/>
        <v>37475</v>
      </c>
      <c r="P582" s="11" t="s">
        <v>20</v>
      </c>
    </row>
    <row r="583" spans="1:16" x14ac:dyDescent="0.25">
      <c r="A583" s="9" t="str">
        <f t="shared" si="46"/>
        <v>2024 ALL D75</v>
      </c>
      <c r="B583" s="10">
        <f>'[1]2019 ALL D95'!B583</f>
        <v>46104</v>
      </c>
      <c r="C583" s="10">
        <f>'[1]2019 ALL D95'!C583</f>
        <v>46113</v>
      </c>
      <c r="D583" s="11">
        <v>3273</v>
      </c>
      <c r="E583" s="11">
        <v>336</v>
      </c>
      <c r="F583" s="11">
        <v>4</v>
      </c>
      <c r="G583" s="11">
        <v>11</v>
      </c>
      <c r="H583" s="13">
        <v>81588</v>
      </c>
      <c r="I583" s="11" t="s">
        <v>17</v>
      </c>
      <c r="J583" s="13">
        <v>16100168</v>
      </c>
      <c r="K583" s="18" t="s">
        <v>683</v>
      </c>
      <c r="L583" s="13" t="s">
        <v>684</v>
      </c>
      <c r="M583" s="17">
        <v>149900</v>
      </c>
      <c r="N583" s="15">
        <v>0.75</v>
      </c>
      <c r="O583" s="16">
        <f t="shared" si="45"/>
        <v>37475</v>
      </c>
      <c r="P583" s="11" t="s">
        <v>20</v>
      </c>
    </row>
    <row r="584" spans="1:16" x14ac:dyDescent="0.25">
      <c r="A584" s="9" t="str">
        <f t="shared" si="46"/>
        <v>2024 ALL D75</v>
      </c>
      <c r="B584" s="10">
        <f>'[1]2019 ALL D95'!B584</f>
        <v>46104</v>
      </c>
      <c r="C584" s="10">
        <f>'[1]2019 ALL D95'!C584</f>
        <v>46113</v>
      </c>
      <c r="D584" s="11">
        <v>3273</v>
      </c>
      <c r="E584" s="11">
        <v>336</v>
      </c>
      <c r="F584" s="11">
        <v>4</v>
      </c>
      <c r="G584" s="11">
        <v>11</v>
      </c>
      <c r="H584" s="13">
        <v>81588</v>
      </c>
      <c r="I584" s="11" t="s">
        <v>17</v>
      </c>
      <c r="J584" s="13">
        <v>16100177</v>
      </c>
      <c r="K584" s="18" t="s">
        <v>683</v>
      </c>
      <c r="L584" s="13" t="s">
        <v>685</v>
      </c>
      <c r="M584" s="17">
        <v>149900</v>
      </c>
      <c r="N584" s="15">
        <v>0.75</v>
      </c>
      <c r="O584" s="16">
        <f t="shared" si="45"/>
        <v>37475</v>
      </c>
      <c r="P584" s="11" t="s">
        <v>20</v>
      </c>
    </row>
    <row r="585" spans="1:16" x14ac:dyDescent="0.25">
      <c r="A585" s="9" t="str">
        <f t="shared" si="46"/>
        <v>2024 ALL D75</v>
      </c>
      <c r="B585" s="10">
        <f>'[1]2019 ALL D95'!B585</f>
        <v>46104</v>
      </c>
      <c r="C585" s="10">
        <f>'[1]2019 ALL D95'!C585</f>
        <v>46113</v>
      </c>
      <c r="D585" s="11">
        <v>3273</v>
      </c>
      <c r="E585" s="11">
        <v>336</v>
      </c>
      <c r="F585" s="11">
        <v>4</v>
      </c>
      <c r="G585" s="11">
        <v>11</v>
      </c>
      <c r="H585" s="13">
        <v>81588</v>
      </c>
      <c r="I585" s="11" t="s">
        <v>17</v>
      </c>
      <c r="J585" s="13">
        <v>16100186</v>
      </c>
      <c r="K585" s="18" t="s">
        <v>683</v>
      </c>
      <c r="L585" s="13" t="s">
        <v>686</v>
      </c>
      <c r="M585" s="17">
        <v>149900</v>
      </c>
      <c r="N585" s="15">
        <v>0.75</v>
      </c>
      <c r="O585" s="16">
        <f t="shared" si="45"/>
        <v>37475</v>
      </c>
      <c r="P585" s="11" t="s">
        <v>20</v>
      </c>
    </row>
    <row r="586" spans="1:16" x14ac:dyDescent="0.25">
      <c r="A586" s="9" t="str">
        <f t="shared" si="46"/>
        <v>2024 ALL D75</v>
      </c>
      <c r="B586" s="10">
        <f>'[1]2019 ALL D95'!B586</f>
        <v>46104</v>
      </c>
      <c r="C586" s="10">
        <f>'[1]2019 ALL D95'!C586</f>
        <v>46113</v>
      </c>
      <c r="D586" s="11">
        <v>3273</v>
      </c>
      <c r="E586" s="11">
        <v>336</v>
      </c>
      <c r="F586" s="11">
        <v>4</v>
      </c>
      <c r="G586" s="11">
        <v>11</v>
      </c>
      <c r="H586" s="13">
        <v>81588</v>
      </c>
      <c r="I586" s="11" t="s">
        <v>17</v>
      </c>
      <c r="J586" s="13">
        <v>16100195</v>
      </c>
      <c r="K586" s="18" t="s">
        <v>683</v>
      </c>
      <c r="L586" s="13" t="s">
        <v>687</v>
      </c>
      <c r="M586" s="17">
        <v>149900</v>
      </c>
      <c r="N586" s="15">
        <v>0.75</v>
      </c>
      <c r="O586" s="16">
        <f t="shared" si="45"/>
        <v>37475</v>
      </c>
      <c r="P586" s="11" t="s">
        <v>20</v>
      </c>
    </row>
    <row r="587" spans="1:16" x14ac:dyDescent="0.25">
      <c r="A587" s="9" t="str">
        <f t="shared" si="46"/>
        <v>2024 ALL D75</v>
      </c>
      <c r="B587" s="10">
        <f>'[1]2019 ALL D95'!B587</f>
        <v>46104</v>
      </c>
      <c r="C587" s="10">
        <f>'[1]2019 ALL D95'!C587</f>
        <v>46113</v>
      </c>
      <c r="D587" s="11">
        <v>3273</v>
      </c>
      <c r="E587" s="11">
        <v>336</v>
      </c>
      <c r="F587" s="11">
        <v>4</v>
      </c>
      <c r="G587" s="11">
        <v>11</v>
      </c>
      <c r="H587" s="13">
        <v>81676</v>
      </c>
      <c r="I587" s="11" t="s">
        <v>17</v>
      </c>
      <c r="J587" s="13">
        <v>16100202</v>
      </c>
      <c r="K587" s="18" t="s">
        <v>683</v>
      </c>
      <c r="L587" s="13" t="s">
        <v>688</v>
      </c>
      <c r="M587" s="17">
        <v>149900</v>
      </c>
      <c r="N587" s="15">
        <v>0.75</v>
      </c>
      <c r="O587" s="16">
        <f t="shared" si="45"/>
        <v>37475</v>
      </c>
      <c r="P587" s="11" t="s">
        <v>20</v>
      </c>
    </row>
    <row r="588" spans="1:16" x14ac:dyDescent="0.25">
      <c r="A588" s="9" t="str">
        <f t="shared" si="46"/>
        <v>2024 ALL D75</v>
      </c>
      <c r="B588" s="10">
        <f>'[1]2019 ALL D95'!B588</f>
        <v>46104</v>
      </c>
      <c r="C588" s="10">
        <f>'[1]2019 ALL D95'!C588</f>
        <v>46113</v>
      </c>
      <c r="D588" s="11">
        <v>3273</v>
      </c>
      <c r="E588" s="11">
        <v>336</v>
      </c>
      <c r="F588" s="11">
        <v>4</v>
      </c>
      <c r="G588" s="11">
        <v>11</v>
      </c>
      <c r="H588" s="13">
        <v>81676</v>
      </c>
      <c r="I588" s="11" t="s">
        <v>17</v>
      </c>
      <c r="J588" s="13">
        <v>16100211</v>
      </c>
      <c r="K588" s="18" t="s">
        <v>683</v>
      </c>
      <c r="L588" s="13" t="s">
        <v>689</v>
      </c>
      <c r="M588" s="17">
        <v>149900</v>
      </c>
      <c r="N588" s="15">
        <v>0.75</v>
      </c>
      <c r="O588" s="16">
        <f t="shared" si="45"/>
        <v>37475</v>
      </c>
      <c r="P588" s="11" t="s">
        <v>20</v>
      </c>
    </row>
    <row r="589" spans="1:16" x14ac:dyDescent="0.25">
      <c r="A589" s="9" t="str">
        <f t="shared" si="46"/>
        <v>2024 ALL D75</v>
      </c>
      <c r="B589" s="10">
        <f>'[1]2019 ALL D95'!B589</f>
        <v>46104</v>
      </c>
      <c r="C589" s="10">
        <f>'[1]2019 ALL D95'!C589</f>
        <v>46113</v>
      </c>
      <c r="D589" s="11">
        <v>3273</v>
      </c>
      <c r="E589" s="11">
        <v>336</v>
      </c>
      <c r="F589" s="11">
        <v>4</v>
      </c>
      <c r="G589" s="11">
        <v>11</v>
      </c>
      <c r="H589" s="13">
        <v>81676</v>
      </c>
      <c r="I589" s="11" t="s">
        <v>17</v>
      </c>
      <c r="J589" s="13">
        <v>16100220</v>
      </c>
      <c r="K589" s="18" t="s">
        <v>683</v>
      </c>
      <c r="L589" s="13" t="s">
        <v>690</v>
      </c>
      <c r="M589" s="17">
        <v>149900</v>
      </c>
      <c r="N589" s="15">
        <v>0.75</v>
      </c>
      <c r="O589" s="16">
        <f t="shared" si="45"/>
        <v>37475</v>
      </c>
      <c r="P589" s="11" t="s">
        <v>20</v>
      </c>
    </row>
    <row r="590" spans="1:16" x14ac:dyDescent="0.25">
      <c r="A590" s="9" t="str">
        <f t="shared" si="46"/>
        <v>2024 ALL D75</v>
      </c>
      <c r="B590" s="10">
        <f>'[1]2019 ALL D95'!B590</f>
        <v>46104</v>
      </c>
      <c r="C590" s="10">
        <f>'[1]2019 ALL D95'!C590</f>
        <v>46113</v>
      </c>
      <c r="D590" s="11">
        <v>3273</v>
      </c>
      <c r="E590" s="11">
        <v>336</v>
      </c>
      <c r="F590" s="11">
        <v>4</v>
      </c>
      <c r="G590" s="11">
        <v>11</v>
      </c>
      <c r="H590" s="13">
        <v>81676</v>
      </c>
      <c r="I590" s="11" t="s">
        <v>17</v>
      </c>
      <c r="J590" s="13">
        <v>16100239</v>
      </c>
      <c r="K590" s="18" t="s">
        <v>683</v>
      </c>
      <c r="L590" s="13" t="s">
        <v>691</v>
      </c>
      <c r="M590" s="17">
        <v>149900</v>
      </c>
      <c r="N590" s="15">
        <v>0.75</v>
      </c>
      <c r="O590" s="16">
        <f t="shared" si="45"/>
        <v>37475</v>
      </c>
      <c r="P590" s="11" t="s">
        <v>20</v>
      </c>
    </row>
    <row r="591" spans="1:16" x14ac:dyDescent="0.25">
      <c r="A591" s="9" t="str">
        <f t="shared" si="46"/>
        <v>2024 ALL D75</v>
      </c>
      <c r="B591" s="10">
        <f>'[1]2019 ALL D95'!B591</f>
        <v>46104</v>
      </c>
      <c r="C591" s="10">
        <f>'[1]2019 ALL D95'!C591</f>
        <v>46113</v>
      </c>
      <c r="D591" s="11">
        <v>3273</v>
      </c>
      <c r="E591" s="11">
        <v>336</v>
      </c>
      <c r="F591" s="11">
        <v>4</v>
      </c>
      <c r="G591" s="11">
        <v>6</v>
      </c>
      <c r="H591" s="13">
        <v>81676</v>
      </c>
      <c r="I591" s="11" t="s">
        <v>17</v>
      </c>
      <c r="J591" s="13">
        <v>12056661</v>
      </c>
      <c r="K591" s="18" t="s">
        <v>692</v>
      </c>
      <c r="L591" s="13" t="s">
        <v>693</v>
      </c>
      <c r="M591" s="17">
        <v>149900</v>
      </c>
      <c r="N591" s="15">
        <v>0.75</v>
      </c>
      <c r="O591" s="16">
        <f t="shared" si="45"/>
        <v>37475</v>
      </c>
      <c r="P591" s="11" t="s">
        <v>20</v>
      </c>
    </row>
    <row r="592" spans="1:16" x14ac:dyDescent="0.25">
      <c r="A592" s="9" t="str">
        <f t="shared" si="46"/>
        <v>2024 ALL D75</v>
      </c>
      <c r="B592" s="10">
        <f>'[1]2019 ALL D95'!B592</f>
        <v>46104</v>
      </c>
      <c r="C592" s="10">
        <f>'[1]2019 ALL D95'!C592</f>
        <v>46113</v>
      </c>
      <c r="D592" s="11">
        <v>3273</v>
      </c>
      <c r="E592" s="11">
        <v>336</v>
      </c>
      <c r="F592" s="11">
        <v>4</v>
      </c>
      <c r="G592" s="11">
        <v>6</v>
      </c>
      <c r="H592" s="13">
        <v>81676</v>
      </c>
      <c r="I592" s="11" t="s">
        <v>17</v>
      </c>
      <c r="J592" s="13">
        <v>12056670</v>
      </c>
      <c r="K592" s="18" t="s">
        <v>692</v>
      </c>
      <c r="L592" s="13" t="s">
        <v>694</v>
      </c>
      <c r="M592" s="17">
        <v>149900</v>
      </c>
      <c r="N592" s="15">
        <v>0.75</v>
      </c>
      <c r="O592" s="16">
        <f t="shared" si="45"/>
        <v>37475</v>
      </c>
      <c r="P592" s="11" t="s">
        <v>20</v>
      </c>
    </row>
    <row r="593" spans="1:16" x14ac:dyDescent="0.25">
      <c r="A593" s="9" t="str">
        <f t="shared" si="46"/>
        <v>2024 ALL D75</v>
      </c>
      <c r="B593" s="10">
        <f>'[1]2019 ALL D95'!B593</f>
        <v>46104</v>
      </c>
      <c r="C593" s="10">
        <f>'[1]2019 ALL D95'!C593</f>
        <v>46113</v>
      </c>
      <c r="D593" s="11">
        <v>3273</v>
      </c>
      <c r="E593" s="11">
        <v>336</v>
      </c>
      <c r="F593" s="11">
        <v>4</v>
      </c>
      <c r="G593" s="11">
        <v>6</v>
      </c>
      <c r="H593" s="13">
        <v>81676</v>
      </c>
      <c r="I593" s="11" t="s">
        <v>17</v>
      </c>
      <c r="J593" s="13">
        <v>12056689</v>
      </c>
      <c r="K593" s="18" t="s">
        <v>692</v>
      </c>
      <c r="L593" s="13" t="s">
        <v>695</v>
      </c>
      <c r="M593" s="17">
        <v>149900</v>
      </c>
      <c r="N593" s="15">
        <v>0.75</v>
      </c>
      <c r="O593" s="16">
        <f t="shared" si="45"/>
        <v>37475</v>
      </c>
      <c r="P593" s="11" t="s">
        <v>20</v>
      </c>
    </row>
    <row r="594" spans="1:16" x14ac:dyDescent="0.25">
      <c r="A594" s="9" t="str">
        <f t="shared" si="46"/>
        <v>2024 ALL D75</v>
      </c>
      <c r="B594" s="10">
        <f>'[1]2019 ALL D95'!B594</f>
        <v>46104</v>
      </c>
      <c r="C594" s="10">
        <f>'[1]2019 ALL D95'!C594</f>
        <v>46113</v>
      </c>
      <c r="D594" s="11">
        <v>3273</v>
      </c>
      <c r="E594" s="11">
        <v>336</v>
      </c>
      <c r="F594" s="11">
        <v>4</v>
      </c>
      <c r="G594" s="11">
        <v>6</v>
      </c>
      <c r="H594" s="13">
        <v>81676</v>
      </c>
      <c r="I594" s="11" t="s">
        <v>17</v>
      </c>
      <c r="J594" s="13">
        <v>12056698</v>
      </c>
      <c r="K594" s="18" t="s">
        <v>692</v>
      </c>
      <c r="L594" s="13" t="s">
        <v>696</v>
      </c>
      <c r="M594" s="17">
        <v>149900</v>
      </c>
      <c r="N594" s="15">
        <v>0.75</v>
      </c>
      <c r="O594" s="16">
        <f t="shared" si="45"/>
        <v>37475</v>
      </c>
      <c r="P594" s="11" t="s">
        <v>20</v>
      </c>
    </row>
    <row r="595" spans="1:16" x14ac:dyDescent="0.25">
      <c r="A595" s="9" t="str">
        <f t="shared" ref="A595:A610" si="47">A594</f>
        <v>2024 ALL D75</v>
      </c>
      <c r="B595" s="10">
        <f>'[1]2019 ALL D95'!B595</f>
        <v>46104</v>
      </c>
      <c r="C595" s="10">
        <f>'[1]2019 ALL D95'!C595</f>
        <v>46113</v>
      </c>
      <c r="D595" s="11">
        <v>3273</v>
      </c>
      <c r="E595" s="11">
        <v>336</v>
      </c>
      <c r="F595" s="11">
        <v>4</v>
      </c>
      <c r="G595" s="11">
        <v>6</v>
      </c>
      <c r="H595" s="13">
        <v>81588</v>
      </c>
      <c r="I595" s="11" t="s">
        <v>17</v>
      </c>
      <c r="J595" s="13">
        <v>12056705</v>
      </c>
      <c r="K595" s="18" t="s">
        <v>692</v>
      </c>
      <c r="L595" s="13" t="s">
        <v>697</v>
      </c>
      <c r="M595" s="17">
        <v>149900</v>
      </c>
      <c r="N595" s="15">
        <v>0.75</v>
      </c>
      <c r="O595" s="16">
        <f t="shared" si="45"/>
        <v>37475</v>
      </c>
      <c r="P595" s="11" t="s">
        <v>20</v>
      </c>
    </row>
    <row r="596" spans="1:16" x14ac:dyDescent="0.25">
      <c r="A596" s="9" t="str">
        <f t="shared" si="47"/>
        <v>2024 ALL D75</v>
      </c>
      <c r="B596" s="10">
        <f>'[1]2019 ALL D95'!B596</f>
        <v>46104</v>
      </c>
      <c r="C596" s="10">
        <f>'[1]2019 ALL D95'!C596</f>
        <v>46113</v>
      </c>
      <c r="D596" s="11">
        <v>3273</v>
      </c>
      <c r="E596" s="11">
        <v>336</v>
      </c>
      <c r="F596" s="11">
        <v>4</v>
      </c>
      <c r="G596" s="11">
        <v>6</v>
      </c>
      <c r="H596" s="13">
        <v>81588</v>
      </c>
      <c r="I596" s="11" t="s">
        <v>17</v>
      </c>
      <c r="J596" s="13">
        <v>12056714</v>
      </c>
      <c r="K596" s="18" t="s">
        <v>692</v>
      </c>
      <c r="L596" s="13" t="s">
        <v>698</v>
      </c>
      <c r="M596" s="17">
        <v>149900</v>
      </c>
      <c r="N596" s="15">
        <v>0.75</v>
      </c>
      <c r="O596" s="16">
        <f t="shared" si="45"/>
        <v>37475</v>
      </c>
      <c r="P596" s="11" t="s">
        <v>20</v>
      </c>
    </row>
    <row r="597" spans="1:16" x14ac:dyDescent="0.25">
      <c r="A597" s="9" t="str">
        <f t="shared" si="47"/>
        <v>2024 ALL D75</v>
      </c>
      <c r="B597" s="10">
        <f>'[1]2019 ALL D95'!B597</f>
        <v>46104</v>
      </c>
      <c r="C597" s="10">
        <f>'[1]2019 ALL D95'!C597</f>
        <v>46113</v>
      </c>
      <c r="D597" s="11">
        <v>3273</v>
      </c>
      <c r="E597" s="11">
        <v>336</v>
      </c>
      <c r="F597" s="11">
        <v>4</v>
      </c>
      <c r="G597" s="11">
        <v>6</v>
      </c>
      <c r="H597" s="13">
        <v>81588</v>
      </c>
      <c r="I597" s="11" t="s">
        <v>17</v>
      </c>
      <c r="J597" s="13">
        <v>12056723</v>
      </c>
      <c r="K597" s="18" t="s">
        <v>692</v>
      </c>
      <c r="L597" s="13" t="s">
        <v>699</v>
      </c>
      <c r="M597" s="17">
        <v>149900</v>
      </c>
      <c r="N597" s="15">
        <v>0.75</v>
      </c>
      <c r="O597" s="16">
        <f t="shared" si="45"/>
        <v>37475</v>
      </c>
      <c r="P597" s="11" t="s">
        <v>20</v>
      </c>
    </row>
    <row r="598" spans="1:16" x14ac:dyDescent="0.25">
      <c r="A598" s="9" t="str">
        <f t="shared" si="47"/>
        <v>2024 ALL D75</v>
      </c>
      <c r="B598" s="10">
        <f>'[1]2019 ALL D95'!B598</f>
        <v>46104</v>
      </c>
      <c r="C598" s="10">
        <f>'[1]2019 ALL D95'!C598</f>
        <v>46113</v>
      </c>
      <c r="D598" s="11">
        <v>3273</v>
      </c>
      <c r="E598" s="11">
        <v>336</v>
      </c>
      <c r="F598" s="11">
        <v>4</v>
      </c>
      <c r="G598" s="11">
        <v>6</v>
      </c>
      <c r="H598" s="13">
        <v>81588</v>
      </c>
      <c r="I598" s="11" t="s">
        <v>17</v>
      </c>
      <c r="J598" s="13">
        <v>12056732</v>
      </c>
      <c r="K598" s="18" t="s">
        <v>692</v>
      </c>
      <c r="L598" s="13" t="s">
        <v>700</v>
      </c>
      <c r="M598" s="17">
        <v>149900</v>
      </c>
      <c r="N598" s="15">
        <v>0.75</v>
      </c>
      <c r="O598" s="16">
        <f t="shared" si="45"/>
        <v>37475</v>
      </c>
      <c r="P598" s="11" t="s">
        <v>20</v>
      </c>
    </row>
    <row r="599" spans="1:16" x14ac:dyDescent="0.25">
      <c r="A599" s="9" t="str">
        <f t="shared" si="47"/>
        <v>2024 ALL D75</v>
      </c>
      <c r="B599" s="10">
        <f>'[1]2019 ALL D95'!B599</f>
        <v>46104</v>
      </c>
      <c r="C599" s="10">
        <f>'[1]2019 ALL D95'!C599</f>
        <v>46113</v>
      </c>
      <c r="D599" s="11">
        <v>3273</v>
      </c>
      <c r="E599" s="11">
        <v>336</v>
      </c>
      <c r="F599" s="11">
        <v>4</v>
      </c>
      <c r="G599" s="11">
        <v>6</v>
      </c>
      <c r="H599" s="13">
        <v>81588</v>
      </c>
      <c r="I599" s="11" t="s">
        <v>17</v>
      </c>
      <c r="J599" s="13">
        <v>12056821</v>
      </c>
      <c r="K599" s="18" t="s">
        <v>701</v>
      </c>
      <c r="L599" s="13" t="s">
        <v>702</v>
      </c>
      <c r="M599" s="17">
        <v>149900</v>
      </c>
      <c r="N599" s="15">
        <v>0.75</v>
      </c>
      <c r="O599" s="16">
        <f t="shared" si="45"/>
        <v>37475</v>
      </c>
      <c r="P599" s="11" t="s">
        <v>20</v>
      </c>
    </row>
    <row r="600" spans="1:16" x14ac:dyDescent="0.25">
      <c r="A600" s="9" t="str">
        <f t="shared" si="47"/>
        <v>2024 ALL D75</v>
      </c>
      <c r="B600" s="10">
        <f>'[1]2019 ALL D95'!B600</f>
        <v>46104</v>
      </c>
      <c r="C600" s="10">
        <f>'[1]2019 ALL D95'!C600</f>
        <v>46113</v>
      </c>
      <c r="D600" s="11">
        <v>3273</v>
      </c>
      <c r="E600" s="11">
        <v>336</v>
      </c>
      <c r="F600" s="11">
        <v>4</v>
      </c>
      <c r="G600" s="11">
        <v>6</v>
      </c>
      <c r="H600" s="13">
        <v>81588</v>
      </c>
      <c r="I600" s="11" t="s">
        <v>17</v>
      </c>
      <c r="J600" s="13">
        <v>12056830</v>
      </c>
      <c r="K600" s="18" t="s">
        <v>701</v>
      </c>
      <c r="L600" s="13" t="s">
        <v>703</v>
      </c>
      <c r="M600" s="17">
        <v>149900</v>
      </c>
      <c r="N600" s="15">
        <v>0.75</v>
      </c>
      <c r="O600" s="16">
        <f t="shared" si="45"/>
        <v>37475</v>
      </c>
      <c r="P600" s="11" t="s">
        <v>20</v>
      </c>
    </row>
    <row r="601" spans="1:16" x14ac:dyDescent="0.25">
      <c r="A601" s="9" t="str">
        <f t="shared" si="47"/>
        <v>2024 ALL D75</v>
      </c>
      <c r="B601" s="10">
        <f>'[1]2019 ALL D95'!B601</f>
        <v>46104</v>
      </c>
      <c r="C601" s="10">
        <f>'[1]2019 ALL D95'!C601</f>
        <v>46113</v>
      </c>
      <c r="D601" s="11">
        <v>3273</v>
      </c>
      <c r="E601" s="11">
        <v>336</v>
      </c>
      <c r="F601" s="11">
        <v>4</v>
      </c>
      <c r="G601" s="11">
        <v>6</v>
      </c>
      <c r="H601" s="13">
        <v>81588</v>
      </c>
      <c r="I601" s="11" t="s">
        <v>17</v>
      </c>
      <c r="J601" s="13">
        <v>12056849</v>
      </c>
      <c r="K601" s="18" t="s">
        <v>701</v>
      </c>
      <c r="L601" s="13" t="s">
        <v>704</v>
      </c>
      <c r="M601" s="17">
        <v>149900</v>
      </c>
      <c r="N601" s="15">
        <v>0.75</v>
      </c>
      <c r="O601" s="16">
        <f t="shared" si="45"/>
        <v>37475</v>
      </c>
      <c r="P601" s="11" t="s">
        <v>20</v>
      </c>
    </row>
    <row r="602" spans="1:16" x14ac:dyDescent="0.25">
      <c r="A602" s="9" t="str">
        <f t="shared" si="47"/>
        <v>2024 ALL D75</v>
      </c>
      <c r="B602" s="10">
        <f>'[1]2019 ALL D95'!B602</f>
        <v>46104</v>
      </c>
      <c r="C602" s="10">
        <f>'[1]2019 ALL D95'!C602</f>
        <v>46113</v>
      </c>
      <c r="D602" s="11">
        <v>3273</v>
      </c>
      <c r="E602" s="11">
        <v>336</v>
      </c>
      <c r="F602" s="11">
        <v>4</v>
      </c>
      <c r="G602" s="11">
        <v>6</v>
      </c>
      <c r="H602" s="13">
        <v>81588</v>
      </c>
      <c r="I602" s="11" t="s">
        <v>17</v>
      </c>
      <c r="J602" s="13">
        <v>12056858</v>
      </c>
      <c r="K602" s="18" t="s">
        <v>701</v>
      </c>
      <c r="L602" s="13" t="s">
        <v>705</v>
      </c>
      <c r="M602" s="17">
        <v>149900</v>
      </c>
      <c r="N602" s="15">
        <v>0.75</v>
      </c>
      <c r="O602" s="16">
        <f t="shared" si="45"/>
        <v>37475</v>
      </c>
      <c r="P602" s="11" t="s">
        <v>20</v>
      </c>
    </row>
    <row r="603" spans="1:16" x14ac:dyDescent="0.25">
      <c r="A603" s="9" t="str">
        <f t="shared" si="47"/>
        <v>2024 ALL D75</v>
      </c>
      <c r="B603" s="10">
        <f>'[1]2019 ALL D95'!B603</f>
        <v>46104</v>
      </c>
      <c r="C603" s="10">
        <f>'[1]2019 ALL D95'!C603</f>
        <v>46113</v>
      </c>
      <c r="D603" s="11">
        <v>3273</v>
      </c>
      <c r="E603" s="11">
        <v>336</v>
      </c>
      <c r="F603" s="11">
        <v>4</v>
      </c>
      <c r="G603" s="11">
        <v>6</v>
      </c>
      <c r="H603" s="13">
        <v>81588</v>
      </c>
      <c r="I603" s="11" t="s">
        <v>17</v>
      </c>
      <c r="J603" s="13">
        <v>12056867</v>
      </c>
      <c r="K603" s="18" t="s">
        <v>701</v>
      </c>
      <c r="L603" s="13" t="s">
        <v>706</v>
      </c>
      <c r="M603" s="17">
        <v>149900</v>
      </c>
      <c r="N603" s="15">
        <v>0.75</v>
      </c>
      <c r="O603" s="16">
        <f t="shared" si="45"/>
        <v>37475</v>
      </c>
      <c r="P603" s="11" t="s">
        <v>20</v>
      </c>
    </row>
    <row r="604" spans="1:16" x14ac:dyDescent="0.25">
      <c r="A604" s="9" t="str">
        <f t="shared" si="47"/>
        <v>2024 ALL D75</v>
      </c>
      <c r="B604" s="10">
        <f>'[1]2019 ALL D95'!B604</f>
        <v>46104</v>
      </c>
      <c r="C604" s="10">
        <f>'[1]2019 ALL D95'!C604</f>
        <v>46113</v>
      </c>
      <c r="D604" s="11">
        <v>3273</v>
      </c>
      <c r="E604" s="11">
        <v>336</v>
      </c>
      <c r="F604" s="11">
        <v>4</v>
      </c>
      <c r="G604" s="11">
        <v>6</v>
      </c>
      <c r="H604" s="13">
        <v>81588</v>
      </c>
      <c r="I604" s="11" t="s">
        <v>17</v>
      </c>
      <c r="J604" s="13">
        <v>12056876</v>
      </c>
      <c r="K604" s="18" t="s">
        <v>701</v>
      </c>
      <c r="L604" s="13" t="s">
        <v>707</v>
      </c>
      <c r="M604" s="17">
        <v>149900</v>
      </c>
      <c r="N604" s="15">
        <v>0.75</v>
      </c>
      <c r="O604" s="16">
        <f t="shared" si="45"/>
        <v>37475</v>
      </c>
      <c r="P604" s="11" t="s">
        <v>20</v>
      </c>
    </row>
    <row r="605" spans="1:16" x14ac:dyDescent="0.25">
      <c r="A605" s="9" t="str">
        <f t="shared" si="47"/>
        <v>2024 ALL D75</v>
      </c>
      <c r="B605" s="10">
        <f>'[1]2019 ALL D95'!B605</f>
        <v>46104</v>
      </c>
      <c r="C605" s="10">
        <f>'[1]2019 ALL D95'!C605</f>
        <v>46113</v>
      </c>
      <c r="D605" s="11">
        <v>3273</v>
      </c>
      <c r="E605" s="11">
        <v>336</v>
      </c>
      <c r="F605" s="11">
        <v>4</v>
      </c>
      <c r="G605" s="11">
        <v>6</v>
      </c>
      <c r="H605" s="13">
        <v>81588</v>
      </c>
      <c r="I605" s="11" t="s">
        <v>17</v>
      </c>
      <c r="J605" s="13">
        <v>12056885</v>
      </c>
      <c r="K605" s="18" t="s">
        <v>701</v>
      </c>
      <c r="L605" s="13" t="s">
        <v>708</v>
      </c>
      <c r="M605" s="17">
        <v>149900</v>
      </c>
      <c r="N605" s="15">
        <v>0.75</v>
      </c>
      <c r="O605" s="16">
        <f t="shared" si="45"/>
        <v>37475</v>
      </c>
      <c r="P605" s="11" t="s">
        <v>20</v>
      </c>
    </row>
    <row r="606" spans="1:16" x14ac:dyDescent="0.25">
      <c r="A606" s="9" t="str">
        <f t="shared" si="47"/>
        <v>2024 ALL D75</v>
      </c>
      <c r="B606" s="10">
        <f>'[1]2019 ALL D95'!B606</f>
        <v>46104</v>
      </c>
      <c r="C606" s="10">
        <f>'[1]2019 ALL D95'!C606</f>
        <v>46113</v>
      </c>
      <c r="D606" s="11">
        <v>3273</v>
      </c>
      <c r="E606" s="11">
        <v>336</v>
      </c>
      <c r="F606" s="11">
        <v>4</v>
      </c>
      <c r="G606" s="11">
        <v>6</v>
      </c>
      <c r="H606" s="13">
        <v>81588</v>
      </c>
      <c r="I606" s="11" t="s">
        <v>17</v>
      </c>
      <c r="J606" s="13">
        <v>12056894</v>
      </c>
      <c r="K606" s="18" t="s">
        <v>701</v>
      </c>
      <c r="L606" s="13" t="s">
        <v>709</v>
      </c>
      <c r="M606" s="17">
        <v>149900</v>
      </c>
      <c r="N606" s="15">
        <v>0.75</v>
      </c>
      <c r="O606" s="16">
        <f t="shared" si="45"/>
        <v>37475</v>
      </c>
      <c r="P606" s="11" t="s">
        <v>20</v>
      </c>
    </row>
    <row r="607" spans="1:16" x14ac:dyDescent="0.25">
      <c r="A607" s="9" t="str">
        <f t="shared" si="47"/>
        <v>2024 ALL D75</v>
      </c>
      <c r="B607" s="10">
        <f>'[1]2019 ALL D95'!B607</f>
        <v>46104</v>
      </c>
      <c r="C607" s="10">
        <f>'[1]2019 ALL D95'!C607</f>
        <v>46113</v>
      </c>
      <c r="D607" s="11">
        <v>3273</v>
      </c>
      <c r="E607" s="11">
        <v>336</v>
      </c>
      <c r="F607" s="11">
        <v>4</v>
      </c>
      <c r="G607" s="11">
        <v>6</v>
      </c>
      <c r="H607" s="13">
        <v>81588</v>
      </c>
      <c r="I607" s="11" t="s">
        <v>17</v>
      </c>
      <c r="J607" s="13">
        <v>15749425</v>
      </c>
      <c r="K607" s="18" t="s">
        <v>710</v>
      </c>
      <c r="L607" s="13" t="s">
        <v>711</v>
      </c>
      <c r="M607" s="17">
        <v>149900</v>
      </c>
      <c r="N607" s="15">
        <v>0.75</v>
      </c>
      <c r="O607" s="16">
        <f t="shared" si="45"/>
        <v>37475</v>
      </c>
      <c r="P607" s="11" t="s">
        <v>20</v>
      </c>
    </row>
    <row r="608" spans="1:16" x14ac:dyDescent="0.25">
      <c r="A608" s="9" t="str">
        <f t="shared" si="47"/>
        <v>2024 ALL D75</v>
      </c>
      <c r="B608" s="10">
        <f>'[1]2019 ALL D95'!B608</f>
        <v>46104</v>
      </c>
      <c r="C608" s="10">
        <f>'[1]2019 ALL D95'!C608</f>
        <v>46113</v>
      </c>
      <c r="D608" s="11">
        <v>3273</v>
      </c>
      <c r="E608" s="11">
        <v>336</v>
      </c>
      <c r="F608" s="11">
        <v>4</v>
      </c>
      <c r="G608" s="11">
        <v>6</v>
      </c>
      <c r="H608" s="13">
        <v>81588</v>
      </c>
      <c r="I608" s="11" t="s">
        <v>17</v>
      </c>
      <c r="J608" s="13">
        <v>15749434</v>
      </c>
      <c r="K608" s="18" t="s">
        <v>710</v>
      </c>
      <c r="L608" s="13" t="s">
        <v>712</v>
      </c>
      <c r="M608" s="17">
        <v>149900</v>
      </c>
      <c r="N608" s="15">
        <v>0.75</v>
      </c>
      <c r="O608" s="16">
        <f t="shared" si="45"/>
        <v>37475</v>
      </c>
      <c r="P608" s="11" t="s">
        <v>20</v>
      </c>
    </row>
    <row r="609" spans="1:16" x14ac:dyDescent="0.25">
      <c r="A609" s="9" t="str">
        <f t="shared" si="47"/>
        <v>2024 ALL D75</v>
      </c>
      <c r="B609" s="10">
        <f>'[1]2019 ALL D95'!B609</f>
        <v>46104</v>
      </c>
      <c r="C609" s="10">
        <f>'[1]2019 ALL D95'!C609</f>
        <v>46113</v>
      </c>
      <c r="D609" s="11">
        <v>3273</v>
      </c>
      <c r="E609" s="11">
        <v>336</v>
      </c>
      <c r="F609" s="11">
        <v>4</v>
      </c>
      <c r="G609" s="11">
        <v>6</v>
      </c>
      <c r="H609" s="13">
        <v>81588</v>
      </c>
      <c r="I609" s="11" t="s">
        <v>17</v>
      </c>
      <c r="J609" s="13">
        <v>15749443</v>
      </c>
      <c r="K609" s="18" t="s">
        <v>710</v>
      </c>
      <c r="L609" s="13" t="s">
        <v>713</v>
      </c>
      <c r="M609" s="17">
        <v>149900</v>
      </c>
      <c r="N609" s="15">
        <v>0.75</v>
      </c>
      <c r="O609" s="16">
        <f t="shared" si="45"/>
        <v>37475</v>
      </c>
      <c r="P609" s="11" t="s">
        <v>20</v>
      </c>
    </row>
    <row r="610" spans="1:16" x14ac:dyDescent="0.25">
      <c r="A610" s="9" t="str">
        <f t="shared" si="47"/>
        <v>2024 ALL D75</v>
      </c>
      <c r="B610" s="10">
        <f>'[1]2019 ALL D95'!B610</f>
        <v>46104</v>
      </c>
      <c r="C610" s="10">
        <f>'[1]2019 ALL D95'!C610</f>
        <v>46113</v>
      </c>
      <c r="D610" s="11">
        <v>3273</v>
      </c>
      <c r="E610" s="11">
        <v>336</v>
      </c>
      <c r="F610" s="11">
        <v>4</v>
      </c>
      <c r="G610" s="11">
        <v>6</v>
      </c>
      <c r="H610" s="13">
        <v>81588</v>
      </c>
      <c r="I610" s="11" t="s">
        <v>17</v>
      </c>
      <c r="J610" s="13">
        <v>15749452</v>
      </c>
      <c r="K610" s="18" t="s">
        <v>710</v>
      </c>
      <c r="L610" s="13" t="s">
        <v>714</v>
      </c>
      <c r="M610" s="17">
        <v>149900</v>
      </c>
      <c r="N610" s="15">
        <v>0.75</v>
      </c>
      <c r="O610" s="16">
        <f t="shared" si="45"/>
        <v>37475</v>
      </c>
      <c r="P610" s="11" t="s">
        <v>20</v>
      </c>
    </row>
    <row r="611" spans="1:16" x14ac:dyDescent="0.25">
      <c r="A611" s="9" t="str">
        <f t="shared" ref="A611:A626" si="48">A610</f>
        <v>2024 ALL D75</v>
      </c>
      <c r="B611" s="10">
        <f>'[1]2019 ALL D95'!B611</f>
        <v>46104</v>
      </c>
      <c r="C611" s="10">
        <f>'[1]2019 ALL D95'!C611</f>
        <v>46113</v>
      </c>
      <c r="D611" s="11">
        <v>3273</v>
      </c>
      <c r="E611" s="11">
        <v>336</v>
      </c>
      <c r="F611" s="11">
        <v>4</v>
      </c>
      <c r="G611" s="11">
        <v>6</v>
      </c>
      <c r="H611" s="13">
        <v>81588</v>
      </c>
      <c r="I611" s="11" t="s">
        <v>17</v>
      </c>
      <c r="J611" s="13">
        <v>15749461</v>
      </c>
      <c r="K611" s="18" t="s">
        <v>710</v>
      </c>
      <c r="L611" s="13" t="s">
        <v>715</v>
      </c>
      <c r="M611" s="17">
        <v>149900</v>
      </c>
      <c r="N611" s="15">
        <v>0.75</v>
      </c>
      <c r="O611" s="16">
        <f t="shared" si="45"/>
        <v>37475</v>
      </c>
      <c r="P611" s="11" t="s">
        <v>20</v>
      </c>
    </row>
    <row r="612" spans="1:16" x14ac:dyDescent="0.25">
      <c r="A612" s="9" t="str">
        <f t="shared" si="48"/>
        <v>2024 ALL D75</v>
      </c>
      <c r="B612" s="10">
        <f>'[1]2019 ALL D95'!B612</f>
        <v>46104</v>
      </c>
      <c r="C612" s="10">
        <f>'[1]2019 ALL D95'!C612</f>
        <v>46113</v>
      </c>
      <c r="D612" s="11">
        <v>3273</v>
      </c>
      <c r="E612" s="11">
        <v>336</v>
      </c>
      <c r="F612" s="11">
        <v>4</v>
      </c>
      <c r="G612" s="11">
        <v>6</v>
      </c>
      <c r="H612" s="13">
        <v>81588</v>
      </c>
      <c r="I612" s="11" t="s">
        <v>17</v>
      </c>
      <c r="J612" s="13">
        <v>15749470</v>
      </c>
      <c r="K612" s="18" t="s">
        <v>710</v>
      </c>
      <c r="L612" s="13" t="s">
        <v>716</v>
      </c>
      <c r="M612" s="17">
        <v>149900</v>
      </c>
      <c r="N612" s="15">
        <v>0.75</v>
      </c>
      <c r="O612" s="16">
        <f t="shared" si="45"/>
        <v>37475</v>
      </c>
      <c r="P612" s="11" t="s">
        <v>20</v>
      </c>
    </row>
    <row r="613" spans="1:16" x14ac:dyDescent="0.25">
      <c r="A613" s="9" t="str">
        <f t="shared" si="48"/>
        <v>2024 ALL D75</v>
      </c>
      <c r="B613" s="10">
        <f>'[1]2019 ALL D95'!B613</f>
        <v>46104</v>
      </c>
      <c r="C613" s="10">
        <f>'[1]2019 ALL D95'!C613</f>
        <v>46113</v>
      </c>
      <c r="D613" s="11">
        <v>3273</v>
      </c>
      <c r="E613" s="11">
        <v>336</v>
      </c>
      <c r="F613" s="11">
        <v>4</v>
      </c>
      <c r="G613" s="11">
        <v>6</v>
      </c>
      <c r="H613" s="13">
        <v>81588</v>
      </c>
      <c r="I613" s="11" t="s">
        <v>17</v>
      </c>
      <c r="J613" s="13">
        <v>15749489</v>
      </c>
      <c r="K613" s="18" t="s">
        <v>710</v>
      </c>
      <c r="L613" s="13" t="s">
        <v>717</v>
      </c>
      <c r="M613" s="17">
        <v>149900</v>
      </c>
      <c r="N613" s="15">
        <v>0.75</v>
      </c>
      <c r="O613" s="16">
        <f t="shared" si="45"/>
        <v>37475</v>
      </c>
      <c r="P613" s="11" t="s">
        <v>20</v>
      </c>
    </row>
    <row r="614" spans="1:16" x14ac:dyDescent="0.25">
      <c r="A614" s="9" t="str">
        <f t="shared" si="48"/>
        <v>2024 ALL D75</v>
      </c>
      <c r="B614" s="10">
        <f>'[1]2019 ALL D95'!B614</f>
        <v>46104</v>
      </c>
      <c r="C614" s="10">
        <f>'[1]2019 ALL D95'!C614</f>
        <v>46113</v>
      </c>
      <c r="D614" s="11">
        <v>3273</v>
      </c>
      <c r="E614" s="11">
        <v>336</v>
      </c>
      <c r="F614" s="11">
        <v>4</v>
      </c>
      <c r="G614" s="11">
        <v>6</v>
      </c>
      <c r="H614" s="13">
        <v>81588</v>
      </c>
      <c r="I614" s="11" t="s">
        <v>17</v>
      </c>
      <c r="J614" s="13">
        <v>15749498</v>
      </c>
      <c r="K614" s="18" t="s">
        <v>710</v>
      </c>
      <c r="L614" s="13" t="s">
        <v>718</v>
      </c>
      <c r="M614" s="17">
        <v>149900</v>
      </c>
      <c r="N614" s="15">
        <v>0.75</v>
      </c>
      <c r="O614" s="16">
        <f t="shared" si="45"/>
        <v>37475</v>
      </c>
      <c r="P614" s="11" t="s">
        <v>20</v>
      </c>
    </row>
    <row r="615" spans="1:16" x14ac:dyDescent="0.25">
      <c r="A615" s="9" t="str">
        <f t="shared" si="48"/>
        <v>2024 ALL D75</v>
      </c>
      <c r="B615" s="10">
        <f>'[1]2019 ALL D95'!B615</f>
        <v>46104</v>
      </c>
      <c r="C615" s="10">
        <f>'[1]2019 ALL D95'!C615</f>
        <v>46113</v>
      </c>
      <c r="D615" s="11">
        <v>3273</v>
      </c>
      <c r="E615" s="11">
        <v>336</v>
      </c>
      <c r="F615" s="11">
        <v>4</v>
      </c>
      <c r="G615" s="11">
        <v>6</v>
      </c>
      <c r="H615" s="13">
        <v>81588</v>
      </c>
      <c r="I615" s="11" t="s">
        <v>17</v>
      </c>
      <c r="J615" s="13">
        <v>16100686</v>
      </c>
      <c r="K615" s="18" t="s">
        <v>719</v>
      </c>
      <c r="L615" s="13" t="s">
        <v>720</v>
      </c>
      <c r="M615" s="17">
        <v>149900</v>
      </c>
      <c r="N615" s="15">
        <v>0.75</v>
      </c>
      <c r="O615" s="16">
        <f t="shared" si="45"/>
        <v>37475</v>
      </c>
      <c r="P615" s="11" t="s">
        <v>20</v>
      </c>
    </row>
    <row r="616" spans="1:16" x14ac:dyDescent="0.25">
      <c r="A616" s="9" t="str">
        <f t="shared" si="48"/>
        <v>2024 ALL D75</v>
      </c>
      <c r="B616" s="10">
        <f>'[1]2019 ALL D95'!B616</f>
        <v>46104</v>
      </c>
      <c r="C616" s="10">
        <f>'[1]2019 ALL D95'!C616</f>
        <v>46113</v>
      </c>
      <c r="D616" s="11">
        <v>3273</v>
      </c>
      <c r="E616" s="11">
        <v>336</v>
      </c>
      <c r="F616" s="11">
        <v>4</v>
      </c>
      <c r="G616" s="11">
        <v>6</v>
      </c>
      <c r="H616" s="13">
        <v>81588</v>
      </c>
      <c r="I616" s="11" t="s">
        <v>17</v>
      </c>
      <c r="J616" s="13">
        <v>16100695</v>
      </c>
      <c r="K616" s="18" t="s">
        <v>719</v>
      </c>
      <c r="L616" s="13" t="s">
        <v>721</v>
      </c>
      <c r="M616" s="17">
        <v>149900</v>
      </c>
      <c r="N616" s="15">
        <v>0.75</v>
      </c>
      <c r="O616" s="16">
        <f t="shared" si="45"/>
        <v>37475</v>
      </c>
      <c r="P616" s="11" t="s">
        <v>20</v>
      </c>
    </row>
    <row r="617" spans="1:16" x14ac:dyDescent="0.25">
      <c r="A617" s="9" t="str">
        <f t="shared" si="48"/>
        <v>2024 ALL D75</v>
      </c>
      <c r="B617" s="10">
        <f>'[1]2019 ALL D95'!B617</f>
        <v>46104</v>
      </c>
      <c r="C617" s="10">
        <f>'[1]2019 ALL D95'!C617</f>
        <v>46113</v>
      </c>
      <c r="D617" s="11">
        <v>3273</v>
      </c>
      <c r="E617" s="11">
        <v>336</v>
      </c>
      <c r="F617" s="11">
        <v>4</v>
      </c>
      <c r="G617" s="11">
        <v>6</v>
      </c>
      <c r="H617" s="13">
        <v>81588</v>
      </c>
      <c r="I617" s="11" t="s">
        <v>17</v>
      </c>
      <c r="J617" s="13">
        <v>16100702</v>
      </c>
      <c r="K617" s="18" t="s">
        <v>719</v>
      </c>
      <c r="L617" s="13" t="s">
        <v>722</v>
      </c>
      <c r="M617" s="17">
        <v>149900</v>
      </c>
      <c r="N617" s="15">
        <v>0.75</v>
      </c>
      <c r="O617" s="16">
        <f t="shared" si="45"/>
        <v>37475</v>
      </c>
      <c r="P617" s="11" t="s">
        <v>20</v>
      </c>
    </row>
    <row r="618" spans="1:16" x14ac:dyDescent="0.25">
      <c r="A618" s="9" t="str">
        <f t="shared" si="48"/>
        <v>2024 ALL D75</v>
      </c>
      <c r="B618" s="10">
        <f>'[1]2019 ALL D95'!B618</f>
        <v>46104</v>
      </c>
      <c r="C618" s="10">
        <f>'[1]2019 ALL D95'!C618</f>
        <v>46113</v>
      </c>
      <c r="D618" s="11">
        <v>3273</v>
      </c>
      <c r="E618" s="11">
        <v>336</v>
      </c>
      <c r="F618" s="11">
        <v>4</v>
      </c>
      <c r="G618" s="11">
        <v>6</v>
      </c>
      <c r="H618" s="13">
        <v>81588</v>
      </c>
      <c r="I618" s="11" t="s">
        <v>17</v>
      </c>
      <c r="J618" s="13">
        <v>16100711</v>
      </c>
      <c r="K618" s="18" t="s">
        <v>719</v>
      </c>
      <c r="L618" s="13" t="s">
        <v>723</v>
      </c>
      <c r="M618" s="17">
        <v>149900</v>
      </c>
      <c r="N618" s="15">
        <v>0.75</v>
      </c>
      <c r="O618" s="16">
        <f t="shared" si="45"/>
        <v>37475</v>
      </c>
      <c r="P618" s="11" t="s">
        <v>20</v>
      </c>
    </row>
    <row r="619" spans="1:16" x14ac:dyDescent="0.25">
      <c r="A619" s="9" t="str">
        <f t="shared" si="48"/>
        <v>2024 ALL D75</v>
      </c>
      <c r="B619" s="10">
        <f>'[1]2019 ALL D95'!B619</f>
        <v>46104</v>
      </c>
      <c r="C619" s="10">
        <f>'[1]2019 ALL D95'!C619</f>
        <v>46113</v>
      </c>
      <c r="D619" s="11">
        <v>3273</v>
      </c>
      <c r="E619" s="11">
        <v>336</v>
      </c>
      <c r="F619" s="11">
        <v>4</v>
      </c>
      <c r="G619" s="11">
        <v>6</v>
      </c>
      <c r="H619" s="13">
        <v>81588</v>
      </c>
      <c r="I619" s="11" t="s">
        <v>17</v>
      </c>
      <c r="J619" s="13">
        <v>16100720</v>
      </c>
      <c r="K619" s="18" t="s">
        <v>719</v>
      </c>
      <c r="L619" s="13" t="s">
        <v>724</v>
      </c>
      <c r="M619" s="17">
        <v>149900</v>
      </c>
      <c r="N619" s="15">
        <v>0.75</v>
      </c>
      <c r="O619" s="16">
        <f t="shared" si="45"/>
        <v>37475</v>
      </c>
      <c r="P619" s="11" t="s">
        <v>20</v>
      </c>
    </row>
    <row r="620" spans="1:16" x14ac:dyDescent="0.25">
      <c r="A620" s="9" t="str">
        <f t="shared" si="48"/>
        <v>2024 ALL D75</v>
      </c>
      <c r="B620" s="10">
        <f>'[1]2019 ALL D95'!B620</f>
        <v>46104</v>
      </c>
      <c r="C620" s="10">
        <f>'[1]2019 ALL D95'!C620</f>
        <v>46113</v>
      </c>
      <c r="D620" s="11">
        <v>3273</v>
      </c>
      <c r="E620" s="11">
        <v>336</v>
      </c>
      <c r="F620" s="11">
        <v>4</v>
      </c>
      <c r="G620" s="11">
        <v>6</v>
      </c>
      <c r="H620" s="13">
        <v>81588</v>
      </c>
      <c r="I620" s="11" t="s">
        <v>17</v>
      </c>
      <c r="J620" s="13">
        <v>16100739</v>
      </c>
      <c r="K620" s="18" t="s">
        <v>719</v>
      </c>
      <c r="L620" s="13" t="s">
        <v>725</v>
      </c>
      <c r="M620" s="17">
        <v>149900</v>
      </c>
      <c r="N620" s="15">
        <v>0.75</v>
      </c>
      <c r="O620" s="16">
        <f t="shared" si="45"/>
        <v>37475</v>
      </c>
      <c r="P620" s="11" t="s">
        <v>20</v>
      </c>
    </row>
    <row r="621" spans="1:16" x14ac:dyDescent="0.25">
      <c r="A621" s="9" t="str">
        <f t="shared" si="48"/>
        <v>2024 ALL D75</v>
      </c>
      <c r="B621" s="10">
        <f>'[1]2019 ALL D95'!B621</f>
        <v>46104</v>
      </c>
      <c r="C621" s="10">
        <f>'[1]2019 ALL D95'!C621</f>
        <v>46113</v>
      </c>
      <c r="D621" s="11">
        <v>3273</v>
      </c>
      <c r="E621" s="11">
        <v>336</v>
      </c>
      <c r="F621" s="11">
        <v>4</v>
      </c>
      <c r="G621" s="11">
        <v>6</v>
      </c>
      <c r="H621" s="13">
        <v>81588</v>
      </c>
      <c r="I621" s="11" t="s">
        <v>17</v>
      </c>
      <c r="J621" s="13">
        <v>16100748</v>
      </c>
      <c r="K621" s="18" t="s">
        <v>719</v>
      </c>
      <c r="L621" s="13" t="s">
        <v>726</v>
      </c>
      <c r="M621" s="17">
        <v>149900</v>
      </c>
      <c r="N621" s="15">
        <v>0.75</v>
      </c>
      <c r="O621" s="16">
        <f t="shared" si="45"/>
        <v>37475</v>
      </c>
      <c r="P621" s="11" t="s">
        <v>20</v>
      </c>
    </row>
    <row r="622" spans="1:16" x14ac:dyDescent="0.25">
      <c r="A622" s="9" t="str">
        <f t="shared" si="48"/>
        <v>2024 ALL D75</v>
      </c>
      <c r="B622" s="10">
        <f>'[1]2019 ALL D95'!B622</f>
        <v>46104</v>
      </c>
      <c r="C622" s="10">
        <f>'[1]2019 ALL D95'!C622</f>
        <v>46113</v>
      </c>
      <c r="D622" s="11">
        <v>3273</v>
      </c>
      <c r="E622" s="11">
        <v>336</v>
      </c>
      <c r="F622" s="11">
        <v>4</v>
      </c>
      <c r="G622" s="11">
        <v>6</v>
      </c>
      <c r="H622" s="13">
        <v>81588</v>
      </c>
      <c r="I622" s="11" t="s">
        <v>17</v>
      </c>
      <c r="J622" s="13">
        <v>16100757</v>
      </c>
      <c r="K622" s="18" t="s">
        <v>719</v>
      </c>
      <c r="L622" s="13" t="s">
        <v>727</v>
      </c>
      <c r="M622" s="17">
        <v>149900</v>
      </c>
      <c r="N622" s="15">
        <v>0.75</v>
      </c>
      <c r="O622" s="16">
        <f t="shared" si="45"/>
        <v>37475</v>
      </c>
      <c r="P622" s="11" t="s">
        <v>20</v>
      </c>
    </row>
    <row r="623" spans="1:16" x14ac:dyDescent="0.25">
      <c r="A623" s="9" t="str">
        <f t="shared" si="48"/>
        <v>2024 ALL D75</v>
      </c>
      <c r="B623" s="10">
        <f>'[1]2019 ALL D95'!B623</f>
        <v>46104</v>
      </c>
      <c r="C623" s="10">
        <f>'[1]2019 ALL D95'!C623</f>
        <v>46113</v>
      </c>
      <c r="D623" s="11">
        <v>3273</v>
      </c>
      <c r="E623" s="11">
        <v>336</v>
      </c>
      <c r="F623" s="11">
        <v>4</v>
      </c>
      <c r="G623" s="11">
        <v>6</v>
      </c>
      <c r="H623" s="13">
        <v>81588</v>
      </c>
      <c r="I623" s="11" t="s">
        <v>17</v>
      </c>
      <c r="J623" s="13">
        <v>16101210</v>
      </c>
      <c r="K623" s="18" t="s">
        <v>728</v>
      </c>
      <c r="L623" s="13" t="s">
        <v>729</v>
      </c>
      <c r="M623" s="17">
        <v>129900</v>
      </c>
      <c r="N623" s="15">
        <v>0.75</v>
      </c>
      <c r="O623" s="16">
        <f t="shared" si="45"/>
        <v>32475</v>
      </c>
      <c r="P623" s="11" t="s">
        <v>20</v>
      </c>
    </row>
    <row r="624" spans="1:16" x14ac:dyDescent="0.25">
      <c r="A624" s="9" t="str">
        <f t="shared" si="48"/>
        <v>2024 ALL D75</v>
      </c>
      <c r="B624" s="10">
        <f>'[1]2019 ALL D95'!B624</f>
        <v>46104</v>
      </c>
      <c r="C624" s="10">
        <f>'[1]2019 ALL D95'!C624</f>
        <v>46113</v>
      </c>
      <c r="D624" s="11">
        <v>3273</v>
      </c>
      <c r="E624" s="11">
        <v>336</v>
      </c>
      <c r="F624" s="11">
        <v>4</v>
      </c>
      <c r="G624" s="11">
        <v>6</v>
      </c>
      <c r="H624" s="13">
        <v>81588</v>
      </c>
      <c r="I624" s="11" t="s">
        <v>17</v>
      </c>
      <c r="J624" s="13">
        <v>16101229</v>
      </c>
      <c r="K624" s="18" t="s">
        <v>728</v>
      </c>
      <c r="L624" s="13" t="s">
        <v>730</v>
      </c>
      <c r="M624" s="17">
        <v>129900</v>
      </c>
      <c r="N624" s="15">
        <v>0.75</v>
      </c>
      <c r="O624" s="16">
        <f t="shared" si="45"/>
        <v>32475</v>
      </c>
      <c r="P624" s="11" t="s">
        <v>20</v>
      </c>
    </row>
    <row r="625" spans="1:16" x14ac:dyDescent="0.25">
      <c r="A625" s="9" t="str">
        <f t="shared" si="48"/>
        <v>2024 ALL D75</v>
      </c>
      <c r="B625" s="10">
        <f>'[1]2019 ALL D95'!B625</f>
        <v>46104</v>
      </c>
      <c r="C625" s="10">
        <f>'[1]2019 ALL D95'!C625</f>
        <v>46113</v>
      </c>
      <c r="D625" s="11">
        <v>3273</v>
      </c>
      <c r="E625" s="11">
        <v>336</v>
      </c>
      <c r="F625" s="11">
        <v>4</v>
      </c>
      <c r="G625" s="11">
        <v>6</v>
      </c>
      <c r="H625" s="13">
        <v>81588</v>
      </c>
      <c r="I625" s="11" t="s">
        <v>17</v>
      </c>
      <c r="J625" s="13">
        <v>16101238</v>
      </c>
      <c r="K625" s="18" t="s">
        <v>728</v>
      </c>
      <c r="L625" s="13" t="s">
        <v>731</v>
      </c>
      <c r="M625" s="17">
        <v>129900</v>
      </c>
      <c r="N625" s="15">
        <v>0.75</v>
      </c>
      <c r="O625" s="16">
        <f t="shared" si="45"/>
        <v>32475</v>
      </c>
      <c r="P625" s="11" t="s">
        <v>20</v>
      </c>
    </row>
    <row r="626" spans="1:16" x14ac:dyDescent="0.25">
      <c r="A626" s="9" t="str">
        <f t="shared" si="48"/>
        <v>2024 ALL D75</v>
      </c>
      <c r="B626" s="10">
        <f>'[1]2019 ALL D95'!B626</f>
        <v>46104</v>
      </c>
      <c r="C626" s="10">
        <f>'[1]2019 ALL D95'!C626</f>
        <v>46113</v>
      </c>
      <c r="D626" s="11">
        <v>3273</v>
      </c>
      <c r="E626" s="11">
        <v>336</v>
      </c>
      <c r="F626" s="11">
        <v>4</v>
      </c>
      <c r="G626" s="11">
        <v>6</v>
      </c>
      <c r="H626" s="13">
        <v>81588</v>
      </c>
      <c r="I626" s="11" t="s">
        <v>17</v>
      </c>
      <c r="J626" s="13">
        <v>16101247</v>
      </c>
      <c r="K626" s="18" t="s">
        <v>728</v>
      </c>
      <c r="L626" s="13" t="s">
        <v>732</v>
      </c>
      <c r="M626" s="17">
        <v>129900</v>
      </c>
      <c r="N626" s="15">
        <v>0.75</v>
      </c>
      <c r="O626" s="16">
        <f t="shared" si="45"/>
        <v>32475</v>
      </c>
      <c r="P626" s="11" t="s">
        <v>20</v>
      </c>
    </row>
    <row r="627" spans="1:16" x14ac:dyDescent="0.25">
      <c r="A627" s="9" t="str">
        <f t="shared" ref="A627:A642" si="49">A626</f>
        <v>2024 ALL D75</v>
      </c>
      <c r="B627" s="10">
        <f>'[1]2019 ALL D95'!B627</f>
        <v>46104</v>
      </c>
      <c r="C627" s="10">
        <f>'[1]2019 ALL D95'!C627</f>
        <v>46113</v>
      </c>
      <c r="D627" s="11">
        <v>3273</v>
      </c>
      <c r="E627" s="11">
        <v>336</v>
      </c>
      <c r="F627" s="11">
        <v>4</v>
      </c>
      <c r="G627" s="11">
        <v>6</v>
      </c>
      <c r="H627" s="13">
        <v>81588</v>
      </c>
      <c r="I627" s="11" t="s">
        <v>17</v>
      </c>
      <c r="J627" s="13">
        <v>16101256</v>
      </c>
      <c r="K627" s="18" t="s">
        <v>728</v>
      </c>
      <c r="L627" s="13" t="s">
        <v>733</v>
      </c>
      <c r="M627" s="17">
        <v>129900</v>
      </c>
      <c r="N627" s="15">
        <v>0.75</v>
      </c>
      <c r="O627" s="16">
        <f t="shared" si="45"/>
        <v>32475</v>
      </c>
      <c r="P627" s="11" t="s">
        <v>20</v>
      </c>
    </row>
    <row r="628" spans="1:16" x14ac:dyDescent="0.25">
      <c r="A628" s="9" t="str">
        <f t="shared" si="49"/>
        <v>2024 ALL D75</v>
      </c>
      <c r="B628" s="10">
        <f>'[1]2019 ALL D95'!B628</f>
        <v>46104</v>
      </c>
      <c r="C628" s="10">
        <f>'[1]2019 ALL D95'!C628</f>
        <v>46113</v>
      </c>
      <c r="D628" s="11">
        <v>3273</v>
      </c>
      <c r="E628" s="11">
        <v>336</v>
      </c>
      <c r="F628" s="11">
        <v>4</v>
      </c>
      <c r="G628" s="11">
        <v>6</v>
      </c>
      <c r="H628" s="13">
        <v>81588</v>
      </c>
      <c r="I628" s="11" t="s">
        <v>17</v>
      </c>
      <c r="J628" s="13">
        <v>16101265</v>
      </c>
      <c r="K628" s="18" t="s">
        <v>728</v>
      </c>
      <c r="L628" s="13" t="s">
        <v>734</v>
      </c>
      <c r="M628" s="17">
        <v>129900</v>
      </c>
      <c r="N628" s="15">
        <v>0.75</v>
      </c>
      <c r="O628" s="16">
        <f t="shared" si="45"/>
        <v>32475</v>
      </c>
      <c r="P628" s="11" t="s">
        <v>20</v>
      </c>
    </row>
    <row r="629" spans="1:16" x14ac:dyDescent="0.25">
      <c r="A629" s="9" t="str">
        <f t="shared" si="49"/>
        <v>2024 ALL D75</v>
      </c>
      <c r="B629" s="10">
        <f>'[1]2019 ALL D95'!B629</f>
        <v>46104</v>
      </c>
      <c r="C629" s="10">
        <f>'[1]2019 ALL D95'!C629</f>
        <v>46113</v>
      </c>
      <c r="D629" s="11">
        <v>3273</v>
      </c>
      <c r="E629" s="11">
        <v>336</v>
      </c>
      <c r="F629" s="11">
        <v>4</v>
      </c>
      <c r="G629" s="11">
        <v>6</v>
      </c>
      <c r="H629" s="13">
        <v>81588</v>
      </c>
      <c r="I629" s="11" t="s">
        <v>17</v>
      </c>
      <c r="J629" s="13">
        <v>16101274</v>
      </c>
      <c r="K629" s="18" t="s">
        <v>728</v>
      </c>
      <c r="L629" s="13" t="s">
        <v>735</v>
      </c>
      <c r="M629" s="17">
        <v>129900</v>
      </c>
      <c r="N629" s="15">
        <v>0.75</v>
      </c>
      <c r="O629" s="16">
        <f t="shared" si="45"/>
        <v>32475</v>
      </c>
      <c r="P629" s="11" t="s">
        <v>20</v>
      </c>
    </row>
    <row r="630" spans="1:16" x14ac:dyDescent="0.25">
      <c r="A630" s="9" t="str">
        <f t="shared" si="49"/>
        <v>2024 ALL D75</v>
      </c>
      <c r="B630" s="10">
        <f>'[1]2019 ALL D95'!B630</f>
        <v>46104</v>
      </c>
      <c r="C630" s="10">
        <f>'[1]2019 ALL D95'!C630</f>
        <v>46113</v>
      </c>
      <c r="D630" s="11">
        <v>3273</v>
      </c>
      <c r="E630" s="11">
        <v>336</v>
      </c>
      <c r="F630" s="11">
        <v>4</v>
      </c>
      <c r="G630" s="11">
        <v>6</v>
      </c>
      <c r="H630" s="13">
        <v>81588</v>
      </c>
      <c r="I630" s="11" t="s">
        <v>17</v>
      </c>
      <c r="J630" s="13">
        <v>16101283</v>
      </c>
      <c r="K630" s="18" t="s">
        <v>728</v>
      </c>
      <c r="L630" s="13" t="s">
        <v>736</v>
      </c>
      <c r="M630" s="17">
        <v>129900</v>
      </c>
      <c r="N630" s="15">
        <v>0.75</v>
      </c>
      <c r="O630" s="16">
        <f t="shared" si="45"/>
        <v>32475</v>
      </c>
      <c r="P630" s="11" t="s">
        <v>20</v>
      </c>
    </row>
    <row r="631" spans="1:16" x14ac:dyDescent="0.25">
      <c r="A631" s="9" t="str">
        <f t="shared" si="49"/>
        <v>2024 ALL D75</v>
      </c>
      <c r="B631" s="10">
        <f>'[1]2019 ALL D95'!B631</f>
        <v>46104</v>
      </c>
      <c r="C631" s="10">
        <f>'[1]2019 ALL D95'!C631</f>
        <v>46113</v>
      </c>
      <c r="D631" s="11">
        <v>3273</v>
      </c>
      <c r="E631" s="11">
        <v>336</v>
      </c>
      <c r="F631" s="11">
        <v>4</v>
      </c>
      <c r="G631" s="11">
        <v>6</v>
      </c>
      <c r="H631" s="13">
        <v>81588</v>
      </c>
      <c r="I631" s="11" t="s">
        <v>17</v>
      </c>
      <c r="J631" s="13">
        <v>16101827</v>
      </c>
      <c r="K631" s="18" t="s">
        <v>737</v>
      </c>
      <c r="L631" s="13" t="s">
        <v>738</v>
      </c>
      <c r="M631" s="17">
        <v>149900</v>
      </c>
      <c r="N631" s="15">
        <v>0.75</v>
      </c>
      <c r="O631" s="16">
        <f t="shared" si="45"/>
        <v>37475</v>
      </c>
      <c r="P631" s="11" t="s">
        <v>20</v>
      </c>
    </row>
    <row r="632" spans="1:16" x14ac:dyDescent="0.25">
      <c r="A632" s="9" t="str">
        <f t="shared" si="49"/>
        <v>2024 ALL D75</v>
      </c>
      <c r="B632" s="10">
        <f>'[1]2019 ALL D95'!B632</f>
        <v>46104</v>
      </c>
      <c r="C632" s="10">
        <f>'[1]2019 ALL D95'!C632</f>
        <v>46113</v>
      </c>
      <c r="D632" s="11">
        <v>3273</v>
      </c>
      <c r="E632" s="11">
        <v>336</v>
      </c>
      <c r="F632" s="11">
        <v>4</v>
      </c>
      <c r="G632" s="11">
        <v>6</v>
      </c>
      <c r="H632" s="13">
        <v>81588</v>
      </c>
      <c r="I632" s="11" t="s">
        <v>17</v>
      </c>
      <c r="J632" s="13">
        <v>16101836</v>
      </c>
      <c r="K632" s="18" t="s">
        <v>737</v>
      </c>
      <c r="L632" s="13" t="s">
        <v>739</v>
      </c>
      <c r="M632" s="17">
        <v>149900</v>
      </c>
      <c r="N632" s="15">
        <v>0.75</v>
      </c>
      <c r="O632" s="16">
        <f t="shared" si="45"/>
        <v>37475</v>
      </c>
      <c r="P632" s="11" t="s">
        <v>20</v>
      </c>
    </row>
    <row r="633" spans="1:16" x14ac:dyDescent="0.25">
      <c r="A633" s="9" t="str">
        <f t="shared" si="49"/>
        <v>2024 ALL D75</v>
      </c>
      <c r="B633" s="10">
        <f>'[1]2019 ALL D95'!B633</f>
        <v>46104</v>
      </c>
      <c r="C633" s="10">
        <f>'[1]2019 ALL D95'!C633</f>
        <v>46113</v>
      </c>
      <c r="D633" s="11">
        <v>3273</v>
      </c>
      <c r="E633" s="11">
        <v>336</v>
      </c>
      <c r="F633" s="11">
        <v>4</v>
      </c>
      <c r="G633" s="11">
        <v>6</v>
      </c>
      <c r="H633" s="13">
        <v>81588</v>
      </c>
      <c r="I633" s="11" t="s">
        <v>17</v>
      </c>
      <c r="J633" s="13">
        <v>16101845</v>
      </c>
      <c r="K633" s="18" t="s">
        <v>737</v>
      </c>
      <c r="L633" s="13" t="s">
        <v>740</v>
      </c>
      <c r="M633" s="17">
        <v>149900</v>
      </c>
      <c r="N633" s="15">
        <v>0.75</v>
      </c>
      <c r="O633" s="16">
        <f t="shared" si="45"/>
        <v>37475</v>
      </c>
      <c r="P633" s="11" t="s">
        <v>20</v>
      </c>
    </row>
    <row r="634" spans="1:16" x14ac:dyDescent="0.25">
      <c r="A634" s="9" t="str">
        <f t="shared" si="49"/>
        <v>2024 ALL D75</v>
      </c>
      <c r="B634" s="10">
        <f>'[1]2019 ALL D95'!B634</f>
        <v>46104</v>
      </c>
      <c r="C634" s="10">
        <f>'[1]2019 ALL D95'!C634</f>
        <v>46113</v>
      </c>
      <c r="D634" s="11">
        <v>3273</v>
      </c>
      <c r="E634" s="11">
        <v>336</v>
      </c>
      <c r="F634" s="11">
        <v>4</v>
      </c>
      <c r="G634" s="11">
        <v>6</v>
      </c>
      <c r="H634" s="13">
        <v>81588</v>
      </c>
      <c r="I634" s="11" t="s">
        <v>17</v>
      </c>
      <c r="J634" s="13">
        <v>16101854</v>
      </c>
      <c r="K634" s="18" t="s">
        <v>737</v>
      </c>
      <c r="L634" s="13" t="s">
        <v>741</v>
      </c>
      <c r="M634" s="17">
        <v>149900</v>
      </c>
      <c r="N634" s="15">
        <v>0.75</v>
      </c>
      <c r="O634" s="16">
        <f t="shared" si="45"/>
        <v>37475</v>
      </c>
      <c r="P634" s="11" t="s">
        <v>20</v>
      </c>
    </row>
    <row r="635" spans="1:16" x14ac:dyDescent="0.25">
      <c r="A635" s="9" t="str">
        <f t="shared" si="49"/>
        <v>2024 ALL D75</v>
      </c>
      <c r="B635" s="10">
        <f>'[1]2019 ALL D95'!B635</f>
        <v>46104</v>
      </c>
      <c r="C635" s="10">
        <f>'[1]2019 ALL D95'!C635</f>
        <v>46113</v>
      </c>
      <c r="D635" s="11">
        <v>3273</v>
      </c>
      <c r="E635" s="11">
        <v>336</v>
      </c>
      <c r="F635" s="11">
        <v>4</v>
      </c>
      <c r="G635" s="11">
        <v>6</v>
      </c>
      <c r="H635" s="13">
        <v>81574</v>
      </c>
      <c r="I635" s="11" t="s">
        <v>17</v>
      </c>
      <c r="J635" s="13">
        <v>16101863</v>
      </c>
      <c r="K635" s="18" t="s">
        <v>737</v>
      </c>
      <c r="L635" s="13" t="s">
        <v>742</v>
      </c>
      <c r="M635" s="17">
        <v>149900</v>
      </c>
      <c r="N635" s="15">
        <v>0.75</v>
      </c>
      <c r="O635" s="16">
        <f t="shared" si="45"/>
        <v>37475</v>
      </c>
      <c r="P635" s="11" t="s">
        <v>20</v>
      </c>
    </row>
    <row r="636" spans="1:16" x14ac:dyDescent="0.25">
      <c r="A636" s="9" t="str">
        <f t="shared" si="49"/>
        <v>2024 ALL D75</v>
      </c>
      <c r="B636" s="10">
        <f>'[1]2019 ALL D95'!B636</f>
        <v>46104</v>
      </c>
      <c r="C636" s="10">
        <f>'[1]2019 ALL D95'!C636</f>
        <v>46113</v>
      </c>
      <c r="D636" s="11">
        <v>3273</v>
      </c>
      <c r="E636" s="11">
        <v>336</v>
      </c>
      <c r="F636" s="11">
        <v>4</v>
      </c>
      <c r="G636" s="11">
        <v>6</v>
      </c>
      <c r="H636" s="13">
        <v>81574</v>
      </c>
      <c r="I636" s="11" t="s">
        <v>17</v>
      </c>
      <c r="J636" s="13">
        <v>16101872</v>
      </c>
      <c r="K636" s="18" t="s">
        <v>737</v>
      </c>
      <c r="L636" s="13" t="s">
        <v>743</v>
      </c>
      <c r="M636" s="17">
        <v>149900</v>
      </c>
      <c r="N636" s="15">
        <v>0.75</v>
      </c>
      <c r="O636" s="16">
        <f t="shared" si="45"/>
        <v>37475</v>
      </c>
      <c r="P636" s="11" t="s">
        <v>20</v>
      </c>
    </row>
    <row r="637" spans="1:16" x14ac:dyDescent="0.25">
      <c r="A637" s="9" t="str">
        <f t="shared" si="49"/>
        <v>2024 ALL D75</v>
      </c>
      <c r="B637" s="10">
        <f>'[1]2019 ALL D95'!B637</f>
        <v>46104</v>
      </c>
      <c r="C637" s="10">
        <f>'[1]2019 ALL D95'!C637</f>
        <v>46113</v>
      </c>
      <c r="D637" s="11">
        <v>3273</v>
      </c>
      <c r="E637" s="11">
        <v>336</v>
      </c>
      <c r="F637" s="11">
        <v>4</v>
      </c>
      <c r="G637" s="11">
        <v>6</v>
      </c>
      <c r="H637" s="13">
        <v>81574</v>
      </c>
      <c r="I637" s="11" t="s">
        <v>17</v>
      </c>
      <c r="J637" s="13">
        <v>16101881</v>
      </c>
      <c r="K637" s="18" t="s">
        <v>737</v>
      </c>
      <c r="L637" s="13" t="s">
        <v>744</v>
      </c>
      <c r="M637" s="17">
        <v>149900</v>
      </c>
      <c r="N637" s="15">
        <v>0.75</v>
      </c>
      <c r="O637" s="16">
        <f t="shared" si="45"/>
        <v>37475</v>
      </c>
      <c r="P637" s="11" t="s">
        <v>20</v>
      </c>
    </row>
    <row r="638" spans="1:16" x14ac:dyDescent="0.25">
      <c r="A638" s="9" t="str">
        <f t="shared" si="49"/>
        <v>2024 ALL D75</v>
      </c>
      <c r="B638" s="10">
        <f>'[1]2019 ALL D95'!B638</f>
        <v>46104</v>
      </c>
      <c r="C638" s="10">
        <f>'[1]2019 ALL D95'!C638</f>
        <v>46113</v>
      </c>
      <c r="D638" s="11">
        <v>3273</v>
      </c>
      <c r="E638" s="11">
        <v>336</v>
      </c>
      <c r="F638" s="11">
        <v>4</v>
      </c>
      <c r="G638" s="11">
        <v>6</v>
      </c>
      <c r="H638" s="13">
        <v>81574</v>
      </c>
      <c r="I638" s="11" t="s">
        <v>17</v>
      </c>
      <c r="J638" s="13">
        <v>16101890</v>
      </c>
      <c r="K638" s="18" t="s">
        <v>737</v>
      </c>
      <c r="L638" s="13" t="s">
        <v>745</v>
      </c>
      <c r="M638" s="17">
        <v>149900</v>
      </c>
      <c r="N638" s="15">
        <v>0.75</v>
      </c>
      <c r="O638" s="16">
        <f t="shared" si="45"/>
        <v>37475</v>
      </c>
      <c r="P638" s="11" t="s">
        <v>20</v>
      </c>
    </row>
    <row r="639" spans="1:16" x14ac:dyDescent="0.25">
      <c r="A639" s="9" t="str">
        <f t="shared" si="49"/>
        <v>2024 ALL D75</v>
      </c>
      <c r="B639" s="10">
        <f>'[1]2019 ALL D95'!B639</f>
        <v>46104</v>
      </c>
      <c r="C639" s="10">
        <f>'[1]2019 ALL D95'!C639</f>
        <v>46113</v>
      </c>
      <c r="D639" s="11">
        <v>3273</v>
      </c>
      <c r="E639" s="11">
        <v>336</v>
      </c>
      <c r="F639" s="11">
        <v>4</v>
      </c>
      <c r="G639" s="11">
        <v>6</v>
      </c>
      <c r="H639" s="13">
        <v>81574</v>
      </c>
      <c r="I639" s="11" t="s">
        <v>17</v>
      </c>
      <c r="J639" s="13">
        <v>16259622</v>
      </c>
      <c r="K639" s="18" t="s">
        <v>746</v>
      </c>
      <c r="L639" s="13" t="s">
        <v>747</v>
      </c>
      <c r="M639" s="17">
        <v>149900</v>
      </c>
      <c r="N639" s="15">
        <v>0.75</v>
      </c>
      <c r="O639" s="16">
        <f t="shared" si="45"/>
        <v>37475</v>
      </c>
      <c r="P639" s="11" t="s">
        <v>20</v>
      </c>
    </row>
    <row r="640" spans="1:16" x14ac:dyDescent="0.25">
      <c r="A640" s="9" t="str">
        <f t="shared" si="49"/>
        <v>2024 ALL D75</v>
      </c>
      <c r="B640" s="10">
        <f>'[1]2019 ALL D95'!B640</f>
        <v>46104</v>
      </c>
      <c r="C640" s="10">
        <f>'[1]2019 ALL D95'!C640</f>
        <v>46113</v>
      </c>
      <c r="D640" s="11">
        <v>3273</v>
      </c>
      <c r="E640" s="11">
        <v>336</v>
      </c>
      <c r="F640" s="11">
        <v>4</v>
      </c>
      <c r="G640" s="11">
        <v>6</v>
      </c>
      <c r="H640" s="13">
        <v>81574</v>
      </c>
      <c r="I640" s="11" t="s">
        <v>17</v>
      </c>
      <c r="J640" s="13">
        <v>16259631</v>
      </c>
      <c r="K640" s="18" t="s">
        <v>746</v>
      </c>
      <c r="L640" s="13" t="s">
        <v>748</v>
      </c>
      <c r="M640" s="17">
        <v>149900</v>
      </c>
      <c r="N640" s="15">
        <v>0.75</v>
      </c>
      <c r="O640" s="16">
        <f t="shared" si="45"/>
        <v>37475</v>
      </c>
      <c r="P640" s="11" t="s">
        <v>20</v>
      </c>
    </row>
    <row r="641" spans="1:16" x14ac:dyDescent="0.25">
      <c r="A641" s="9" t="str">
        <f t="shared" si="49"/>
        <v>2024 ALL D75</v>
      </c>
      <c r="B641" s="10">
        <f>'[1]2019 ALL D95'!B641</f>
        <v>46104</v>
      </c>
      <c r="C641" s="10">
        <f>'[1]2019 ALL D95'!C641</f>
        <v>46113</v>
      </c>
      <c r="D641" s="11">
        <v>3273</v>
      </c>
      <c r="E641" s="11">
        <v>336</v>
      </c>
      <c r="F641" s="11">
        <v>4</v>
      </c>
      <c r="G641" s="11">
        <v>6</v>
      </c>
      <c r="H641" s="13">
        <v>81574</v>
      </c>
      <c r="I641" s="11" t="s">
        <v>17</v>
      </c>
      <c r="J641" s="13">
        <v>16259640</v>
      </c>
      <c r="K641" s="18" t="s">
        <v>746</v>
      </c>
      <c r="L641" s="13" t="s">
        <v>749</v>
      </c>
      <c r="M641" s="17">
        <v>149900</v>
      </c>
      <c r="N641" s="15">
        <v>0.75</v>
      </c>
      <c r="O641" s="16">
        <f t="shared" si="45"/>
        <v>37475</v>
      </c>
      <c r="P641" s="11" t="s">
        <v>20</v>
      </c>
    </row>
    <row r="642" spans="1:16" x14ac:dyDescent="0.25">
      <c r="A642" s="9" t="str">
        <f t="shared" si="49"/>
        <v>2024 ALL D75</v>
      </c>
      <c r="B642" s="10">
        <f>'[1]2019 ALL D95'!B642</f>
        <v>46104</v>
      </c>
      <c r="C642" s="10">
        <f>'[1]2019 ALL D95'!C642</f>
        <v>46113</v>
      </c>
      <c r="D642" s="11">
        <v>3273</v>
      </c>
      <c r="E642" s="11">
        <v>336</v>
      </c>
      <c r="F642" s="11">
        <v>4</v>
      </c>
      <c r="G642" s="11">
        <v>6</v>
      </c>
      <c r="H642" s="13">
        <v>81574</v>
      </c>
      <c r="I642" s="11" t="s">
        <v>17</v>
      </c>
      <c r="J642" s="13">
        <v>16259659</v>
      </c>
      <c r="K642" s="18" t="s">
        <v>746</v>
      </c>
      <c r="L642" s="13" t="s">
        <v>750</v>
      </c>
      <c r="M642" s="17">
        <v>149900</v>
      </c>
      <c r="N642" s="15">
        <v>0.75</v>
      </c>
      <c r="O642" s="16">
        <f t="shared" ref="O642:O705" si="50">M642*(1-N642)</f>
        <v>37475</v>
      </c>
      <c r="P642" s="11" t="s">
        <v>20</v>
      </c>
    </row>
    <row r="643" spans="1:16" x14ac:dyDescent="0.25">
      <c r="A643" s="9" t="str">
        <f t="shared" ref="A643:A658" si="51">A642</f>
        <v>2024 ALL D75</v>
      </c>
      <c r="B643" s="10">
        <f>'[1]2019 ALL D95'!B643</f>
        <v>46104</v>
      </c>
      <c r="C643" s="10">
        <f>'[1]2019 ALL D95'!C643</f>
        <v>46113</v>
      </c>
      <c r="D643" s="11">
        <v>3273</v>
      </c>
      <c r="E643" s="11">
        <v>336</v>
      </c>
      <c r="F643" s="11">
        <v>4</v>
      </c>
      <c r="G643" s="11">
        <v>6</v>
      </c>
      <c r="H643" s="13">
        <v>81588</v>
      </c>
      <c r="I643" s="11" t="s">
        <v>17</v>
      </c>
      <c r="J643" s="13">
        <v>16259668</v>
      </c>
      <c r="K643" s="18" t="s">
        <v>746</v>
      </c>
      <c r="L643" s="13" t="s">
        <v>751</v>
      </c>
      <c r="M643" s="17">
        <v>149900</v>
      </c>
      <c r="N643" s="15">
        <v>0.75</v>
      </c>
      <c r="O643" s="16">
        <f t="shared" si="50"/>
        <v>37475</v>
      </c>
      <c r="P643" s="11" t="s">
        <v>20</v>
      </c>
    </row>
    <row r="644" spans="1:16" x14ac:dyDescent="0.25">
      <c r="A644" s="9" t="str">
        <f t="shared" si="51"/>
        <v>2024 ALL D75</v>
      </c>
      <c r="B644" s="10">
        <f>'[1]2019 ALL D95'!B644</f>
        <v>46104</v>
      </c>
      <c r="C644" s="10">
        <f>'[1]2019 ALL D95'!C644</f>
        <v>46113</v>
      </c>
      <c r="D644" s="11">
        <v>3273</v>
      </c>
      <c r="E644" s="11">
        <v>336</v>
      </c>
      <c r="F644" s="11">
        <v>4</v>
      </c>
      <c r="G644" s="11">
        <v>6</v>
      </c>
      <c r="H644" s="13">
        <v>81588</v>
      </c>
      <c r="I644" s="11" t="s">
        <v>17</v>
      </c>
      <c r="J644" s="13">
        <v>16259677</v>
      </c>
      <c r="K644" s="18" t="s">
        <v>746</v>
      </c>
      <c r="L644" s="13" t="s">
        <v>752</v>
      </c>
      <c r="M644" s="17">
        <v>149900</v>
      </c>
      <c r="N644" s="15">
        <v>0.75</v>
      </c>
      <c r="O644" s="16">
        <f t="shared" si="50"/>
        <v>37475</v>
      </c>
      <c r="P644" s="11" t="s">
        <v>20</v>
      </c>
    </row>
    <row r="645" spans="1:16" x14ac:dyDescent="0.25">
      <c r="A645" s="9" t="str">
        <f t="shared" si="51"/>
        <v>2024 ALL D75</v>
      </c>
      <c r="B645" s="10">
        <f>'[1]2019 ALL D95'!B645</f>
        <v>46104</v>
      </c>
      <c r="C645" s="10">
        <f>'[1]2019 ALL D95'!C645</f>
        <v>46113</v>
      </c>
      <c r="D645" s="11">
        <v>3273</v>
      </c>
      <c r="E645" s="11">
        <v>336</v>
      </c>
      <c r="F645" s="11">
        <v>4</v>
      </c>
      <c r="G645" s="11">
        <v>6</v>
      </c>
      <c r="H645" s="13">
        <v>81588</v>
      </c>
      <c r="I645" s="11" t="s">
        <v>17</v>
      </c>
      <c r="J645" s="13">
        <v>16259686</v>
      </c>
      <c r="K645" s="18" t="s">
        <v>746</v>
      </c>
      <c r="L645" s="13" t="s">
        <v>753</v>
      </c>
      <c r="M645" s="17">
        <v>149900</v>
      </c>
      <c r="N645" s="15">
        <v>0.75</v>
      </c>
      <c r="O645" s="16">
        <f t="shared" si="50"/>
        <v>37475</v>
      </c>
      <c r="P645" s="11" t="s">
        <v>20</v>
      </c>
    </row>
    <row r="646" spans="1:16" x14ac:dyDescent="0.25">
      <c r="A646" s="9" t="str">
        <f t="shared" si="51"/>
        <v>2024 ALL D75</v>
      </c>
      <c r="B646" s="10">
        <f>'[1]2019 ALL D95'!B646</f>
        <v>46104</v>
      </c>
      <c r="C646" s="10">
        <f>'[1]2019 ALL D95'!C646</f>
        <v>46113</v>
      </c>
      <c r="D646" s="11">
        <v>3273</v>
      </c>
      <c r="E646" s="11">
        <v>336</v>
      </c>
      <c r="F646" s="11">
        <v>4</v>
      </c>
      <c r="G646" s="11">
        <v>6</v>
      </c>
      <c r="H646" s="13">
        <v>81588</v>
      </c>
      <c r="I646" s="11" t="s">
        <v>17</v>
      </c>
      <c r="J646" s="13">
        <v>16259695</v>
      </c>
      <c r="K646" s="18" t="s">
        <v>746</v>
      </c>
      <c r="L646" s="13" t="s">
        <v>754</v>
      </c>
      <c r="M646" s="17">
        <v>149900</v>
      </c>
      <c r="N646" s="15">
        <v>0.75</v>
      </c>
      <c r="O646" s="16">
        <f t="shared" si="50"/>
        <v>37475</v>
      </c>
      <c r="P646" s="11" t="s">
        <v>20</v>
      </c>
    </row>
    <row r="647" spans="1:16" x14ac:dyDescent="0.25">
      <c r="A647" s="9" t="str">
        <f t="shared" si="51"/>
        <v>2024 ALL D75</v>
      </c>
      <c r="B647" s="10">
        <f>'[1]2019 ALL D95'!B647</f>
        <v>46104</v>
      </c>
      <c r="C647" s="10">
        <f>'[1]2019 ALL D95'!C647</f>
        <v>46113</v>
      </c>
      <c r="D647" s="11">
        <v>3273</v>
      </c>
      <c r="E647" s="11">
        <v>336</v>
      </c>
      <c r="F647" s="11">
        <v>4</v>
      </c>
      <c r="G647" s="11">
        <v>6</v>
      </c>
      <c r="H647" s="13">
        <v>81588</v>
      </c>
      <c r="I647" s="11" t="s">
        <v>17</v>
      </c>
      <c r="J647" s="13">
        <v>86003605</v>
      </c>
      <c r="K647" s="18" t="s">
        <v>755</v>
      </c>
      <c r="L647" s="13" t="s">
        <v>756</v>
      </c>
      <c r="M647" s="17">
        <v>149900</v>
      </c>
      <c r="N647" s="15">
        <v>0.75</v>
      </c>
      <c r="O647" s="16">
        <f t="shared" si="50"/>
        <v>37475</v>
      </c>
      <c r="P647" s="11" t="s">
        <v>20</v>
      </c>
    </row>
    <row r="648" spans="1:16" x14ac:dyDescent="0.25">
      <c r="A648" s="9" t="str">
        <f t="shared" si="51"/>
        <v>2024 ALL D75</v>
      </c>
      <c r="B648" s="10">
        <f>'[1]2019 ALL D95'!B648</f>
        <v>46104</v>
      </c>
      <c r="C648" s="10">
        <f>'[1]2019 ALL D95'!C648</f>
        <v>46113</v>
      </c>
      <c r="D648" s="11">
        <v>3273</v>
      </c>
      <c r="E648" s="11">
        <v>336</v>
      </c>
      <c r="F648" s="11">
        <v>4</v>
      </c>
      <c r="G648" s="11">
        <v>6</v>
      </c>
      <c r="H648" s="13">
        <v>81588</v>
      </c>
      <c r="I648" s="11" t="s">
        <v>17</v>
      </c>
      <c r="J648" s="13">
        <v>86003614</v>
      </c>
      <c r="K648" s="18" t="s">
        <v>755</v>
      </c>
      <c r="L648" s="13" t="s">
        <v>757</v>
      </c>
      <c r="M648" s="17">
        <v>149900</v>
      </c>
      <c r="N648" s="15">
        <v>0.75</v>
      </c>
      <c r="O648" s="16">
        <f t="shared" si="50"/>
        <v>37475</v>
      </c>
      <c r="P648" s="11" t="s">
        <v>20</v>
      </c>
    </row>
    <row r="649" spans="1:16" x14ac:dyDescent="0.25">
      <c r="A649" s="9" t="str">
        <f t="shared" si="51"/>
        <v>2024 ALL D75</v>
      </c>
      <c r="B649" s="10">
        <f>'[1]2019 ALL D95'!B649</f>
        <v>46104</v>
      </c>
      <c r="C649" s="10">
        <f>'[1]2019 ALL D95'!C649</f>
        <v>46113</v>
      </c>
      <c r="D649" s="11">
        <v>3273</v>
      </c>
      <c r="E649" s="11">
        <v>336</v>
      </c>
      <c r="F649" s="11">
        <v>4</v>
      </c>
      <c r="G649" s="11">
        <v>6</v>
      </c>
      <c r="H649" s="13">
        <v>81588</v>
      </c>
      <c r="I649" s="11" t="s">
        <v>17</v>
      </c>
      <c r="J649" s="13">
        <v>86003623</v>
      </c>
      <c r="K649" s="18" t="s">
        <v>755</v>
      </c>
      <c r="L649" s="13" t="s">
        <v>758</v>
      </c>
      <c r="M649" s="17">
        <v>149900</v>
      </c>
      <c r="N649" s="15">
        <v>0.75</v>
      </c>
      <c r="O649" s="16">
        <f t="shared" si="50"/>
        <v>37475</v>
      </c>
      <c r="P649" s="11" t="s">
        <v>20</v>
      </c>
    </row>
    <row r="650" spans="1:16" x14ac:dyDescent="0.25">
      <c r="A650" s="9" t="str">
        <f t="shared" si="51"/>
        <v>2024 ALL D75</v>
      </c>
      <c r="B650" s="10">
        <f>'[1]2019 ALL D95'!B650</f>
        <v>46104</v>
      </c>
      <c r="C650" s="10">
        <f>'[1]2019 ALL D95'!C650</f>
        <v>46113</v>
      </c>
      <c r="D650" s="11">
        <v>3273</v>
      </c>
      <c r="E650" s="11">
        <v>336</v>
      </c>
      <c r="F650" s="11">
        <v>4</v>
      </c>
      <c r="G650" s="11">
        <v>6</v>
      </c>
      <c r="H650" s="13">
        <v>81588</v>
      </c>
      <c r="I650" s="11" t="s">
        <v>17</v>
      </c>
      <c r="J650" s="13">
        <v>86003632</v>
      </c>
      <c r="K650" s="18" t="s">
        <v>755</v>
      </c>
      <c r="L650" s="13" t="s">
        <v>759</v>
      </c>
      <c r="M650" s="17">
        <v>149900</v>
      </c>
      <c r="N650" s="15">
        <v>0.75</v>
      </c>
      <c r="O650" s="16">
        <f t="shared" si="50"/>
        <v>37475</v>
      </c>
      <c r="P650" s="11" t="s">
        <v>20</v>
      </c>
    </row>
    <row r="651" spans="1:16" x14ac:dyDescent="0.25">
      <c r="A651" s="9" t="str">
        <f t="shared" si="51"/>
        <v>2024 ALL D75</v>
      </c>
      <c r="B651" s="10">
        <f>'[1]2019 ALL D95'!B651</f>
        <v>46104</v>
      </c>
      <c r="C651" s="10">
        <f>'[1]2019 ALL D95'!C651</f>
        <v>46113</v>
      </c>
      <c r="D651" s="11">
        <v>3273</v>
      </c>
      <c r="E651" s="11">
        <v>336</v>
      </c>
      <c r="F651" s="11">
        <v>4</v>
      </c>
      <c r="G651" s="11">
        <v>6</v>
      </c>
      <c r="H651" s="13">
        <v>81588</v>
      </c>
      <c r="I651" s="11" t="s">
        <v>17</v>
      </c>
      <c r="J651" s="13">
        <v>86003641</v>
      </c>
      <c r="K651" s="18" t="s">
        <v>755</v>
      </c>
      <c r="L651" s="13" t="s">
        <v>760</v>
      </c>
      <c r="M651" s="17">
        <v>149900</v>
      </c>
      <c r="N651" s="15">
        <v>0.75</v>
      </c>
      <c r="O651" s="16">
        <f t="shared" si="50"/>
        <v>37475</v>
      </c>
      <c r="P651" s="11" t="s">
        <v>20</v>
      </c>
    </row>
    <row r="652" spans="1:16" x14ac:dyDescent="0.25">
      <c r="A652" s="9" t="str">
        <f t="shared" si="51"/>
        <v>2024 ALL D75</v>
      </c>
      <c r="B652" s="10">
        <f>'[1]2019 ALL D95'!B652</f>
        <v>46104</v>
      </c>
      <c r="C652" s="10">
        <f>'[1]2019 ALL D95'!C652</f>
        <v>46113</v>
      </c>
      <c r="D652" s="11">
        <v>3273</v>
      </c>
      <c r="E652" s="11">
        <v>336</v>
      </c>
      <c r="F652" s="11">
        <v>4</v>
      </c>
      <c r="G652" s="11">
        <v>6</v>
      </c>
      <c r="H652" s="13">
        <v>81588</v>
      </c>
      <c r="I652" s="11" t="s">
        <v>17</v>
      </c>
      <c r="J652" s="13">
        <v>86003650</v>
      </c>
      <c r="K652" s="18" t="s">
        <v>755</v>
      </c>
      <c r="L652" s="13" t="s">
        <v>761</v>
      </c>
      <c r="M652" s="17">
        <v>149900</v>
      </c>
      <c r="N652" s="15">
        <v>0.75</v>
      </c>
      <c r="O652" s="16">
        <f t="shared" si="50"/>
        <v>37475</v>
      </c>
      <c r="P652" s="11" t="s">
        <v>20</v>
      </c>
    </row>
    <row r="653" spans="1:16" x14ac:dyDescent="0.25">
      <c r="A653" s="9" t="str">
        <f t="shared" si="51"/>
        <v>2024 ALL D75</v>
      </c>
      <c r="B653" s="10">
        <f>'[1]2019 ALL D95'!B653</f>
        <v>46104</v>
      </c>
      <c r="C653" s="10">
        <f>'[1]2019 ALL D95'!C653</f>
        <v>46113</v>
      </c>
      <c r="D653" s="11">
        <v>3273</v>
      </c>
      <c r="E653" s="11">
        <v>336</v>
      </c>
      <c r="F653" s="11">
        <v>4</v>
      </c>
      <c r="G653" s="11">
        <v>6</v>
      </c>
      <c r="H653" s="13">
        <v>81588</v>
      </c>
      <c r="I653" s="11" t="s">
        <v>17</v>
      </c>
      <c r="J653" s="13">
        <v>86003669</v>
      </c>
      <c r="K653" s="18" t="s">
        <v>755</v>
      </c>
      <c r="L653" s="13" t="s">
        <v>762</v>
      </c>
      <c r="M653" s="17">
        <v>149900</v>
      </c>
      <c r="N653" s="15">
        <v>0.75</v>
      </c>
      <c r="O653" s="16">
        <f t="shared" si="50"/>
        <v>37475</v>
      </c>
      <c r="P653" s="11" t="s">
        <v>20</v>
      </c>
    </row>
    <row r="654" spans="1:16" x14ac:dyDescent="0.25">
      <c r="A654" s="9" t="str">
        <f t="shared" si="51"/>
        <v>2024 ALL D75</v>
      </c>
      <c r="B654" s="10">
        <f>'[1]2019 ALL D95'!B654</f>
        <v>46104</v>
      </c>
      <c r="C654" s="10">
        <f>'[1]2019 ALL D95'!C654</f>
        <v>46113</v>
      </c>
      <c r="D654" s="11">
        <v>3273</v>
      </c>
      <c r="E654" s="11">
        <v>336</v>
      </c>
      <c r="F654" s="11">
        <v>4</v>
      </c>
      <c r="G654" s="11">
        <v>6</v>
      </c>
      <c r="H654" s="13">
        <v>81588</v>
      </c>
      <c r="I654" s="11" t="s">
        <v>17</v>
      </c>
      <c r="J654" s="13">
        <v>86003678</v>
      </c>
      <c r="K654" s="18" t="s">
        <v>755</v>
      </c>
      <c r="L654" s="13" t="s">
        <v>763</v>
      </c>
      <c r="M654" s="17">
        <v>149900</v>
      </c>
      <c r="N654" s="15">
        <v>0.75</v>
      </c>
      <c r="O654" s="16">
        <f t="shared" si="50"/>
        <v>37475</v>
      </c>
      <c r="P654" s="11" t="s">
        <v>20</v>
      </c>
    </row>
    <row r="655" spans="1:16" x14ac:dyDescent="0.25">
      <c r="A655" s="9" t="str">
        <f t="shared" si="51"/>
        <v>2024 ALL D75</v>
      </c>
      <c r="B655" s="10">
        <f>'[1]2019 ALL D95'!B655</f>
        <v>46104</v>
      </c>
      <c r="C655" s="10">
        <f>'[1]2019 ALL D95'!C655</f>
        <v>46113</v>
      </c>
      <c r="D655" s="11">
        <v>3273</v>
      </c>
      <c r="E655" s="11">
        <v>336</v>
      </c>
      <c r="F655" s="11">
        <v>4</v>
      </c>
      <c r="G655" s="11">
        <v>6</v>
      </c>
      <c r="H655" s="13">
        <v>81588</v>
      </c>
      <c r="I655" s="11" t="s">
        <v>17</v>
      </c>
      <c r="J655" s="13">
        <v>86003687</v>
      </c>
      <c r="K655" s="18" t="s">
        <v>764</v>
      </c>
      <c r="L655" s="13" t="s">
        <v>765</v>
      </c>
      <c r="M655" s="17">
        <v>149900</v>
      </c>
      <c r="N655" s="15">
        <v>0.75</v>
      </c>
      <c r="O655" s="16">
        <f t="shared" si="50"/>
        <v>37475</v>
      </c>
      <c r="P655" s="11" t="s">
        <v>20</v>
      </c>
    </row>
    <row r="656" spans="1:16" x14ac:dyDescent="0.25">
      <c r="A656" s="9" t="str">
        <f t="shared" si="51"/>
        <v>2024 ALL D75</v>
      </c>
      <c r="B656" s="10">
        <f>'[1]2019 ALL D95'!B656</f>
        <v>46104</v>
      </c>
      <c r="C656" s="10">
        <f>'[1]2019 ALL D95'!C656</f>
        <v>46113</v>
      </c>
      <c r="D656" s="11">
        <v>3273</v>
      </c>
      <c r="E656" s="11">
        <v>336</v>
      </c>
      <c r="F656" s="11">
        <v>4</v>
      </c>
      <c r="G656" s="11">
        <v>6</v>
      </c>
      <c r="H656" s="13">
        <v>81588</v>
      </c>
      <c r="I656" s="11" t="s">
        <v>17</v>
      </c>
      <c r="J656" s="13">
        <v>86003696</v>
      </c>
      <c r="K656" s="18" t="s">
        <v>764</v>
      </c>
      <c r="L656" s="13" t="s">
        <v>766</v>
      </c>
      <c r="M656" s="17">
        <v>149900</v>
      </c>
      <c r="N656" s="15">
        <v>0.75</v>
      </c>
      <c r="O656" s="16">
        <f t="shared" si="50"/>
        <v>37475</v>
      </c>
      <c r="P656" s="11" t="s">
        <v>20</v>
      </c>
    </row>
    <row r="657" spans="1:16" x14ac:dyDescent="0.25">
      <c r="A657" s="9" t="str">
        <f t="shared" si="51"/>
        <v>2024 ALL D75</v>
      </c>
      <c r="B657" s="10">
        <f>'[1]2019 ALL D95'!B657</f>
        <v>46104</v>
      </c>
      <c r="C657" s="10">
        <f>'[1]2019 ALL D95'!C657</f>
        <v>46113</v>
      </c>
      <c r="D657" s="11">
        <v>3273</v>
      </c>
      <c r="E657" s="11">
        <v>336</v>
      </c>
      <c r="F657" s="11">
        <v>4</v>
      </c>
      <c r="G657" s="11">
        <v>6</v>
      </c>
      <c r="H657" s="13">
        <v>81588</v>
      </c>
      <c r="I657" s="11" t="s">
        <v>17</v>
      </c>
      <c r="J657" s="13">
        <v>86003703</v>
      </c>
      <c r="K657" s="18" t="s">
        <v>764</v>
      </c>
      <c r="L657" s="13" t="s">
        <v>767</v>
      </c>
      <c r="M657" s="17">
        <v>149900</v>
      </c>
      <c r="N657" s="15">
        <v>0.75</v>
      </c>
      <c r="O657" s="16">
        <f t="shared" si="50"/>
        <v>37475</v>
      </c>
      <c r="P657" s="11" t="s">
        <v>20</v>
      </c>
    </row>
    <row r="658" spans="1:16" x14ac:dyDescent="0.25">
      <c r="A658" s="9" t="str">
        <f t="shared" si="51"/>
        <v>2024 ALL D75</v>
      </c>
      <c r="B658" s="10">
        <f>'[1]2019 ALL D95'!B658</f>
        <v>46104</v>
      </c>
      <c r="C658" s="10">
        <f>'[1]2019 ALL D95'!C658</f>
        <v>46113</v>
      </c>
      <c r="D658" s="11">
        <v>3273</v>
      </c>
      <c r="E658" s="11">
        <v>336</v>
      </c>
      <c r="F658" s="11">
        <v>4</v>
      </c>
      <c r="G658" s="11">
        <v>6</v>
      </c>
      <c r="H658" s="13">
        <v>81588</v>
      </c>
      <c r="I658" s="11" t="s">
        <v>17</v>
      </c>
      <c r="J658" s="13">
        <v>86003712</v>
      </c>
      <c r="K658" s="18" t="s">
        <v>764</v>
      </c>
      <c r="L658" s="13" t="s">
        <v>768</v>
      </c>
      <c r="M658" s="17">
        <v>149900</v>
      </c>
      <c r="N658" s="15">
        <v>0.75</v>
      </c>
      <c r="O658" s="16">
        <f t="shared" si="50"/>
        <v>37475</v>
      </c>
      <c r="P658" s="11" t="s">
        <v>20</v>
      </c>
    </row>
    <row r="659" spans="1:16" x14ac:dyDescent="0.25">
      <c r="A659" s="9" t="str">
        <f t="shared" ref="A659:A674" si="52">A658</f>
        <v>2024 ALL D75</v>
      </c>
      <c r="B659" s="10">
        <f>'[1]2019 ALL D95'!B659</f>
        <v>46104</v>
      </c>
      <c r="C659" s="10">
        <f>'[1]2019 ALL D95'!C659</f>
        <v>46113</v>
      </c>
      <c r="D659" s="11">
        <v>3273</v>
      </c>
      <c r="E659" s="11">
        <v>336</v>
      </c>
      <c r="F659" s="11">
        <v>4</v>
      </c>
      <c r="G659" s="11">
        <v>6</v>
      </c>
      <c r="H659" s="13">
        <v>81588</v>
      </c>
      <c r="I659" s="11" t="s">
        <v>17</v>
      </c>
      <c r="J659" s="13">
        <v>86003721</v>
      </c>
      <c r="K659" s="18" t="s">
        <v>764</v>
      </c>
      <c r="L659" s="13" t="s">
        <v>769</v>
      </c>
      <c r="M659" s="17">
        <v>149900</v>
      </c>
      <c r="N659" s="15">
        <v>0.75</v>
      </c>
      <c r="O659" s="16">
        <f t="shared" si="50"/>
        <v>37475</v>
      </c>
      <c r="P659" s="11" t="s">
        <v>20</v>
      </c>
    </row>
    <row r="660" spans="1:16" x14ac:dyDescent="0.25">
      <c r="A660" s="9" t="str">
        <f t="shared" si="52"/>
        <v>2024 ALL D75</v>
      </c>
      <c r="B660" s="10">
        <f>'[1]2019 ALL D95'!B660</f>
        <v>46104</v>
      </c>
      <c r="C660" s="10">
        <f>'[1]2019 ALL D95'!C660</f>
        <v>46113</v>
      </c>
      <c r="D660" s="11">
        <v>3273</v>
      </c>
      <c r="E660" s="11">
        <v>336</v>
      </c>
      <c r="F660" s="11">
        <v>4</v>
      </c>
      <c r="G660" s="11">
        <v>6</v>
      </c>
      <c r="H660" s="13">
        <v>81588</v>
      </c>
      <c r="I660" s="11" t="s">
        <v>17</v>
      </c>
      <c r="J660" s="13">
        <v>86003730</v>
      </c>
      <c r="K660" s="18" t="s">
        <v>764</v>
      </c>
      <c r="L660" s="13" t="s">
        <v>770</v>
      </c>
      <c r="M660" s="17">
        <v>149900</v>
      </c>
      <c r="N660" s="15">
        <v>0.75</v>
      </c>
      <c r="O660" s="16">
        <f t="shared" si="50"/>
        <v>37475</v>
      </c>
      <c r="P660" s="11" t="s">
        <v>20</v>
      </c>
    </row>
    <row r="661" spans="1:16" x14ac:dyDescent="0.25">
      <c r="A661" s="9" t="str">
        <f t="shared" si="52"/>
        <v>2024 ALL D75</v>
      </c>
      <c r="B661" s="10">
        <f>'[1]2019 ALL D95'!B661</f>
        <v>46104</v>
      </c>
      <c r="C661" s="10">
        <f>'[1]2019 ALL D95'!C661</f>
        <v>46113</v>
      </c>
      <c r="D661" s="11">
        <v>3273</v>
      </c>
      <c r="E661" s="11">
        <v>336</v>
      </c>
      <c r="F661" s="11">
        <v>4</v>
      </c>
      <c r="G661" s="11">
        <v>6</v>
      </c>
      <c r="H661" s="13">
        <v>81588</v>
      </c>
      <c r="I661" s="11" t="s">
        <v>17</v>
      </c>
      <c r="J661" s="13">
        <v>86003749</v>
      </c>
      <c r="K661" s="18" t="s">
        <v>764</v>
      </c>
      <c r="L661" s="13" t="s">
        <v>771</v>
      </c>
      <c r="M661" s="17">
        <v>149900</v>
      </c>
      <c r="N661" s="15">
        <v>0.75</v>
      </c>
      <c r="O661" s="16">
        <f t="shared" si="50"/>
        <v>37475</v>
      </c>
      <c r="P661" s="11" t="s">
        <v>20</v>
      </c>
    </row>
    <row r="662" spans="1:16" x14ac:dyDescent="0.25">
      <c r="A662" s="9" t="str">
        <f t="shared" si="52"/>
        <v>2024 ALL D75</v>
      </c>
      <c r="B662" s="10">
        <f>'[1]2019 ALL D95'!B662</f>
        <v>46104</v>
      </c>
      <c r="C662" s="10">
        <f>'[1]2019 ALL D95'!C662</f>
        <v>46113</v>
      </c>
      <c r="D662" s="11">
        <v>3273</v>
      </c>
      <c r="E662" s="11">
        <v>336</v>
      </c>
      <c r="F662" s="11">
        <v>4</v>
      </c>
      <c r="G662" s="11">
        <v>6</v>
      </c>
      <c r="H662" s="13">
        <v>81588</v>
      </c>
      <c r="I662" s="11" t="s">
        <v>17</v>
      </c>
      <c r="J662" s="13">
        <v>86003758</v>
      </c>
      <c r="K662" s="18" t="s">
        <v>764</v>
      </c>
      <c r="L662" s="13" t="s">
        <v>772</v>
      </c>
      <c r="M662" s="17">
        <v>149900</v>
      </c>
      <c r="N662" s="15">
        <v>0.75</v>
      </c>
      <c r="O662" s="16">
        <f t="shared" si="50"/>
        <v>37475</v>
      </c>
      <c r="P662" s="11" t="s">
        <v>20</v>
      </c>
    </row>
    <row r="663" spans="1:16" x14ac:dyDescent="0.25">
      <c r="A663" s="9" t="str">
        <f t="shared" si="52"/>
        <v>2024 ALL D75</v>
      </c>
      <c r="B663" s="10">
        <f>'[1]2019 ALL D95'!B663</f>
        <v>46104</v>
      </c>
      <c r="C663" s="10">
        <f>'[1]2019 ALL D95'!C663</f>
        <v>46113</v>
      </c>
      <c r="D663" s="11">
        <v>3273</v>
      </c>
      <c r="E663" s="11">
        <v>336</v>
      </c>
      <c r="F663" s="11">
        <v>4</v>
      </c>
      <c r="G663" s="11">
        <v>6</v>
      </c>
      <c r="H663" s="13">
        <v>81588</v>
      </c>
      <c r="I663" s="11" t="s">
        <v>17</v>
      </c>
      <c r="J663" s="13">
        <v>16101907</v>
      </c>
      <c r="K663" s="18" t="s">
        <v>773</v>
      </c>
      <c r="L663" s="13" t="s">
        <v>774</v>
      </c>
      <c r="M663" s="17">
        <v>179900</v>
      </c>
      <c r="N663" s="15">
        <v>0.75</v>
      </c>
      <c r="O663" s="16">
        <f t="shared" si="50"/>
        <v>44975</v>
      </c>
      <c r="P663" s="11" t="s">
        <v>20</v>
      </c>
    </row>
    <row r="664" spans="1:16" x14ac:dyDescent="0.25">
      <c r="A664" s="9" t="str">
        <f t="shared" si="52"/>
        <v>2024 ALL D75</v>
      </c>
      <c r="B664" s="10">
        <f>'[1]2019 ALL D95'!B664</f>
        <v>46104</v>
      </c>
      <c r="C664" s="10">
        <f>'[1]2019 ALL D95'!C664</f>
        <v>46113</v>
      </c>
      <c r="D664" s="11">
        <v>3273</v>
      </c>
      <c r="E664" s="11">
        <v>336</v>
      </c>
      <c r="F664" s="11">
        <v>4</v>
      </c>
      <c r="G664" s="11">
        <v>6</v>
      </c>
      <c r="H664" s="13">
        <v>81588</v>
      </c>
      <c r="I664" s="11" t="s">
        <v>17</v>
      </c>
      <c r="J664" s="13">
        <v>16101916</v>
      </c>
      <c r="K664" s="18" t="s">
        <v>773</v>
      </c>
      <c r="L664" s="13" t="s">
        <v>775</v>
      </c>
      <c r="M664" s="17">
        <v>179900</v>
      </c>
      <c r="N664" s="15">
        <v>0.75</v>
      </c>
      <c r="O664" s="16">
        <f t="shared" si="50"/>
        <v>44975</v>
      </c>
      <c r="P664" s="11" t="s">
        <v>20</v>
      </c>
    </row>
    <row r="665" spans="1:16" x14ac:dyDescent="0.25">
      <c r="A665" s="9" t="str">
        <f t="shared" si="52"/>
        <v>2024 ALL D75</v>
      </c>
      <c r="B665" s="10">
        <f>'[1]2019 ALL D95'!B665</f>
        <v>46104</v>
      </c>
      <c r="C665" s="10">
        <f>'[1]2019 ALL D95'!C665</f>
        <v>46113</v>
      </c>
      <c r="D665" s="11">
        <v>3273</v>
      </c>
      <c r="E665" s="11">
        <v>336</v>
      </c>
      <c r="F665" s="11">
        <v>4</v>
      </c>
      <c r="G665" s="11">
        <v>6</v>
      </c>
      <c r="H665" s="13">
        <v>81588</v>
      </c>
      <c r="I665" s="11" t="s">
        <v>17</v>
      </c>
      <c r="J665" s="13">
        <v>16101925</v>
      </c>
      <c r="K665" s="18" t="s">
        <v>773</v>
      </c>
      <c r="L665" s="13" t="s">
        <v>776</v>
      </c>
      <c r="M665" s="17">
        <v>179900</v>
      </c>
      <c r="N665" s="15">
        <v>0.75</v>
      </c>
      <c r="O665" s="16">
        <f t="shared" si="50"/>
        <v>44975</v>
      </c>
      <c r="P665" s="11" t="s">
        <v>20</v>
      </c>
    </row>
    <row r="666" spans="1:16" x14ac:dyDescent="0.25">
      <c r="A666" s="9" t="str">
        <f t="shared" si="52"/>
        <v>2024 ALL D75</v>
      </c>
      <c r="B666" s="10">
        <f>'[1]2019 ALL D95'!B666</f>
        <v>46104</v>
      </c>
      <c r="C666" s="10">
        <f>'[1]2019 ALL D95'!C666</f>
        <v>46113</v>
      </c>
      <c r="D666" s="11">
        <v>3273</v>
      </c>
      <c r="E666" s="11">
        <v>336</v>
      </c>
      <c r="F666" s="11">
        <v>4</v>
      </c>
      <c r="G666" s="11">
        <v>6</v>
      </c>
      <c r="H666" s="13">
        <v>81588</v>
      </c>
      <c r="I666" s="11" t="s">
        <v>17</v>
      </c>
      <c r="J666" s="13">
        <v>16101934</v>
      </c>
      <c r="K666" s="18" t="s">
        <v>773</v>
      </c>
      <c r="L666" s="13" t="s">
        <v>777</v>
      </c>
      <c r="M666" s="17">
        <v>179900</v>
      </c>
      <c r="N666" s="15">
        <v>0.75</v>
      </c>
      <c r="O666" s="16">
        <f t="shared" si="50"/>
        <v>44975</v>
      </c>
      <c r="P666" s="11" t="s">
        <v>20</v>
      </c>
    </row>
    <row r="667" spans="1:16" x14ac:dyDescent="0.25">
      <c r="A667" s="9" t="str">
        <f t="shared" si="52"/>
        <v>2024 ALL D75</v>
      </c>
      <c r="B667" s="10">
        <f>'[1]2019 ALL D95'!B667</f>
        <v>46104</v>
      </c>
      <c r="C667" s="10">
        <f>'[1]2019 ALL D95'!C667</f>
        <v>46113</v>
      </c>
      <c r="D667" s="11">
        <v>3273</v>
      </c>
      <c r="E667" s="11">
        <v>336</v>
      </c>
      <c r="F667" s="11">
        <v>4</v>
      </c>
      <c r="G667" s="11">
        <v>6</v>
      </c>
      <c r="H667" s="13">
        <v>81588</v>
      </c>
      <c r="I667" s="11" t="s">
        <v>17</v>
      </c>
      <c r="J667" s="13">
        <v>16101943</v>
      </c>
      <c r="K667" s="18" t="s">
        <v>773</v>
      </c>
      <c r="L667" s="13" t="s">
        <v>778</v>
      </c>
      <c r="M667" s="17">
        <v>179900</v>
      </c>
      <c r="N667" s="15">
        <v>0.75</v>
      </c>
      <c r="O667" s="16">
        <f t="shared" si="50"/>
        <v>44975</v>
      </c>
      <c r="P667" s="11" t="s">
        <v>20</v>
      </c>
    </row>
    <row r="668" spans="1:16" x14ac:dyDescent="0.25">
      <c r="A668" s="9" t="str">
        <f t="shared" si="52"/>
        <v>2024 ALL D75</v>
      </c>
      <c r="B668" s="10">
        <f>'[1]2019 ALL D95'!B668</f>
        <v>46104</v>
      </c>
      <c r="C668" s="10">
        <f>'[1]2019 ALL D95'!C668</f>
        <v>46113</v>
      </c>
      <c r="D668" s="11">
        <v>3273</v>
      </c>
      <c r="E668" s="11">
        <v>336</v>
      </c>
      <c r="F668" s="11">
        <v>4</v>
      </c>
      <c r="G668" s="11">
        <v>6</v>
      </c>
      <c r="H668" s="13">
        <v>81588</v>
      </c>
      <c r="I668" s="11" t="s">
        <v>17</v>
      </c>
      <c r="J668" s="13">
        <v>16101952</v>
      </c>
      <c r="K668" s="18" t="s">
        <v>773</v>
      </c>
      <c r="L668" s="13" t="s">
        <v>779</v>
      </c>
      <c r="M668" s="17">
        <v>179900</v>
      </c>
      <c r="N668" s="15">
        <v>0.75</v>
      </c>
      <c r="O668" s="16">
        <f t="shared" si="50"/>
        <v>44975</v>
      </c>
      <c r="P668" s="11" t="s">
        <v>20</v>
      </c>
    </row>
    <row r="669" spans="1:16" x14ac:dyDescent="0.25">
      <c r="A669" s="9" t="str">
        <f t="shared" si="52"/>
        <v>2024 ALL D75</v>
      </c>
      <c r="B669" s="10">
        <f>'[1]2019 ALL D95'!B669</f>
        <v>46104</v>
      </c>
      <c r="C669" s="10">
        <f>'[1]2019 ALL D95'!C669</f>
        <v>46113</v>
      </c>
      <c r="D669" s="11">
        <v>3273</v>
      </c>
      <c r="E669" s="11">
        <v>336</v>
      </c>
      <c r="F669" s="11">
        <v>4</v>
      </c>
      <c r="G669" s="11">
        <v>6</v>
      </c>
      <c r="H669" s="13">
        <v>81588</v>
      </c>
      <c r="I669" s="11" t="s">
        <v>17</v>
      </c>
      <c r="J669" s="13">
        <v>16101961</v>
      </c>
      <c r="K669" s="18" t="s">
        <v>773</v>
      </c>
      <c r="L669" s="13" t="s">
        <v>780</v>
      </c>
      <c r="M669" s="17">
        <v>179900</v>
      </c>
      <c r="N669" s="15">
        <v>0.75</v>
      </c>
      <c r="O669" s="16">
        <f t="shared" si="50"/>
        <v>44975</v>
      </c>
      <c r="P669" s="11" t="s">
        <v>20</v>
      </c>
    </row>
    <row r="670" spans="1:16" x14ac:dyDescent="0.25">
      <c r="A670" s="9" t="str">
        <f t="shared" si="52"/>
        <v>2024 ALL D75</v>
      </c>
      <c r="B670" s="10">
        <f>'[1]2019 ALL D95'!B670</f>
        <v>46104</v>
      </c>
      <c r="C670" s="10">
        <f>'[1]2019 ALL D95'!C670</f>
        <v>46113</v>
      </c>
      <c r="D670" s="11">
        <v>3273</v>
      </c>
      <c r="E670" s="11">
        <v>336</v>
      </c>
      <c r="F670" s="11">
        <v>4</v>
      </c>
      <c r="G670" s="11">
        <v>6</v>
      </c>
      <c r="H670" s="13">
        <v>81588</v>
      </c>
      <c r="I670" s="11" t="s">
        <v>17</v>
      </c>
      <c r="J670" s="13">
        <v>16101970</v>
      </c>
      <c r="K670" s="18" t="s">
        <v>773</v>
      </c>
      <c r="L670" s="13" t="s">
        <v>781</v>
      </c>
      <c r="M670" s="17">
        <v>179900</v>
      </c>
      <c r="N670" s="15">
        <v>0.75</v>
      </c>
      <c r="O670" s="16">
        <f t="shared" si="50"/>
        <v>44975</v>
      </c>
      <c r="P670" s="11" t="s">
        <v>20</v>
      </c>
    </row>
    <row r="671" spans="1:16" x14ac:dyDescent="0.25">
      <c r="A671" s="9" t="str">
        <f t="shared" si="52"/>
        <v>2024 ALL D75</v>
      </c>
      <c r="B671" s="10">
        <f>'[1]2019 ALL D95'!B671</f>
        <v>46104</v>
      </c>
      <c r="C671" s="10">
        <f>'[1]2019 ALL D95'!C671</f>
        <v>46113</v>
      </c>
      <c r="D671" s="11">
        <v>3273</v>
      </c>
      <c r="E671" s="11">
        <v>336</v>
      </c>
      <c r="F671" s="11">
        <v>4</v>
      </c>
      <c r="G671" s="11">
        <v>6</v>
      </c>
      <c r="H671" s="13">
        <v>81588</v>
      </c>
      <c r="I671" s="11" t="s">
        <v>17</v>
      </c>
      <c r="J671" s="13">
        <v>16102068</v>
      </c>
      <c r="K671" s="18" t="s">
        <v>782</v>
      </c>
      <c r="L671" s="13" t="s">
        <v>783</v>
      </c>
      <c r="M671" s="17">
        <v>149900</v>
      </c>
      <c r="N671" s="15">
        <v>0.75</v>
      </c>
      <c r="O671" s="16">
        <f t="shared" si="50"/>
        <v>37475</v>
      </c>
      <c r="P671" s="11" t="s">
        <v>20</v>
      </c>
    </row>
    <row r="672" spans="1:16" x14ac:dyDescent="0.25">
      <c r="A672" s="9" t="str">
        <f t="shared" si="52"/>
        <v>2024 ALL D75</v>
      </c>
      <c r="B672" s="10">
        <f>'[1]2019 ALL D95'!B672</f>
        <v>46104</v>
      </c>
      <c r="C672" s="10">
        <f>'[1]2019 ALL D95'!C672</f>
        <v>46113</v>
      </c>
      <c r="D672" s="11">
        <v>3273</v>
      </c>
      <c r="E672" s="11">
        <v>336</v>
      </c>
      <c r="F672" s="11">
        <v>4</v>
      </c>
      <c r="G672" s="11">
        <v>6</v>
      </c>
      <c r="H672" s="13">
        <v>81588</v>
      </c>
      <c r="I672" s="11" t="s">
        <v>17</v>
      </c>
      <c r="J672" s="13">
        <v>16102077</v>
      </c>
      <c r="K672" s="18" t="s">
        <v>782</v>
      </c>
      <c r="L672" s="13" t="s">
        <v>784</v>
      </c>
      <c r="M672" s="17">
        <v>149900</v>
      </c>
      <c r="N672" s="15">
        <v>0.75</v>
      </c>
      <c r="O672" s="16">
        <f t="shared" si="50"/>
        <v>37475</v>
      </c>
      <c r="P672" s="11" t="s">
        <v>20</v>
      </c>
    </row>
    <row r="673" spans="1:16" x14ac:dyDescent="0.25">
      <c r="A673" s="9" t="str">
        <f t="shared" si="52"/>
        <v>2024 ALL D75</v>
      </c>
      <c r="B673" s="10">
        <f>'[1]2019 ALL D95'!B673</f>
        <v>46104</v>
      </c>
      <c r="C673" s="10">
        <f>'[1]2019 ALL D95'!C673</f>
        <v>46113</v>
      </c>
      <c r="D673" s="11">
        <v>3273</v>
      </c>
      <c r="E673" s="11">
        <v>336</v>
      </c>
      <c r="F673" s="11">
        <v>4</v>
      </c>
      <c r="G673" s="11">
        <v>6</v>
      </c>
      <c r="H673" s="13">
        <v>81588</v>
      </c>
      <c r="I673" s="11" t="s">
        <v>17</v>
      </c>
      <c r="J673" s="13">
        <v>16102086</v>
      </c>
      <c r="K673" s="18" t="s">
        <v>782</v>
      </c>
      <c r="L673" s="13" t="s">
        <v>785</v>
      </c>
      <c r="M673" s="17">
        <v>149900</v>
      </c>
      <c r="N673" s="15">
        <v>0.75</v>
      </c>
      <c r="O673" s="16">
        <f t="shared" si="50"/>
        <v>37475</v>
      </c>
      <c r="P673" s="11" t="s">
        <v>20</v>
      </c>
    </row>
    <row r="674" spans="1:16" x14ac:dyDescent="0.25">
      <c r="A674" s="9" t="str">
        <f t="shared" si="52"/>
        <v>2024 ALL D75</v>
      </c>
      <c r="B674" s="10">
        <f>'[1]2019 ALL D95'!B674</f>
        <v>46104</v>
      </c>
      <c r="C674" s="10">
        <f>'[1]2019 ALL D95'!C674</f>
        <v>46113</v>
      </c>
      <c r="D674" s="11">
        <v>3273</v>
      </c>
      <c r="E674" s="11">
        <v>336</v>
      </c>
      <c r="F674" s="11">
        <v>4</v>
      </c>
      <c r="G674" s="11">
        <v>6</v>
      </c>
      <c r="H674" s="13">
        <v>81588</v>
      </c>
      <c r="I674" s="11" t="s">
        <v>17</v>
      </c>
      <c r="J674" s="13">
        <v>16102095</v>
      </c>
      <c r="K674" s="18" t="s">
        <v>782</v>
      </c>
      <c r="L674" s="13" t="s">
        <v>786</v>
      </c>
      <c r="M674" s="17">
        <v>149900</v>
      </c>
      <c r="N674" s="15">
        <v>0.75</v>
      </c>
      <c r="O674" s="16">
        <f t="shared" si="50"/>
        <v>37475</v>
      </c>
      <c r="P674" s="11" t="s">
        <v>20</v>
      </c>
    </row>
    <row r="675" spans="1:16" x14ac:dyDescent="0.25">
      <c r="A675" s="9" t="str">
        <f t="shared" ref="A675:A690" si="53">A674</f>
        <v>2024 ALL D75</v>
      </c>
      <c r="B675" s="10">
        <f>'[1]2019 ALL D95'!B675</f>
        <v>46104</v>
      </c>
      <c r="C675" s="10">
        <f>'[1]2019 ALL D95'!C675</f>
        <v>46113</v>
      </c>
      <c r="D675" s="11">
        <v>3273</v>
      </c>
      <c r="E675" s="11">
        <v>336</v>
      </c>
      <c r="F675" s="11">
        <v>4</v>
      </c>
      <c r="G675" s="11">
        <v>6</v>
      </c>
      <c r="H675" s="13">
        <v>81588</v>
      </c>
      <c r="I675" s="11" t="s">
        <v>17</v>
      </c>
      <c r="J675" s="13">
        <v>16102102</v>
      </c>
      <c r="K675" s="18" t="s">
        <v>782</v>
      </c>
      <c r="L675" s="13" t="s">
        <v>787</v>
      </c>
      <c r="M675" s="17">
        <v>149900</v>
      </c>
      <c r="N675" s="15">
        <v>0.75</v>
      </c>
      <c r="O675" s="16">
        <f t="shared" si="50"/>
        <v>37475</v>
      </c>
      <c r="P675" s="11" t="s">
        <v>20</v>
      </c>
    </row>
    <row r="676" spans="1:16" x14ac:dyDescent="0.25">
      <c r="A676" s="9" t="str">
        <f t="shared" si="53"/>
        <v>2024 ALL D75</v>
      </c>
      <c r="B676" s="10">
        <f>'[1]2019 ALL D95'!B676</f>
        <v>46104</v>
      </c>
      <c r="C676" s="10">
        <f>'[1]2019 ALL D95'!C676</f>
        <v>46113</v>
      </c>
      <c r="D676" s="11">
        <v>3273</v>
      </c>
      <c r="E676" s="11">
        <v>336</v>
      </c>
      <c r="F676" s="11">
        <v>4</v>
      </c>
      <c r="G676" s="11">
        <v>6</v>
      </c>
      <c r="H676" s="13">
        <v>81588</v>
      </c>
      <c r="I676" s="11" t="s">
        <v>17</v>
      </c>
      <c r="J676" s="13">
        <v>16102111</v>
      </c>
      <c r="K676" s="18" t="s">
        <v>782</v>
      </c>
      <c r="L676" s="13" t="s">
        <v>788</v>
      </c>
      <c r="M676" s="17">
        <v>149900</v>
      </c>
      <c r="N676" s="15">
        <v>0.75</v>
      </c>
      <c r="O676" s="16">
        <f t="shared" si="50"/>
        <v>37475</v>
      </c>
      <c r="P676" s="11" t="s">
        <v>20</v>
      </c>
    </row>
    <row r="677" spans="1:16" x14ac:dyDescent="0.25">
      <c r="A677" s="9" t="str">
        <f t="shared" si="53"/>
        <v>2024 ALL D75</v>
      </c>
      <c r="B677" s="10">
        <f>'[1]2019 ALL D95'!B677</f>
        <v>46104</v>
      </c>
      <c r="C677" s="10">
        <f>'[1]2019 ALL D95'!C677</f>
        <v>46113</v>
      </c>
      <c r="D677" s="11">
        <v>3273</v>
      </c>
      <c r="E677" s="11">
        <v>336</v>
      </c>
      <c r="F677" s="11">
        <v>4</v>
      </c>
      <c r="G677" s="11">
        <v>6</v>
      </c>
      <c r="H677" s="13">
        <v>81588</v>
      </c>
      <c r="I677" s="11" t="s">
        <v>17</v>
      </c>
      <c r="J677" s="13">
        <v>16102120</v>
      </c>
      <c r="K677" s="18" t="s">
        <v>782</v>
      </c>
      <c r="L677" s="13" t="s">
        <v>789</v>
      </c>
      <c r="M677" s="17">
        <v>149900</v>
      </c>
      <c r="N677" s="15">
        <v>0.75</v>
      </c>
      <c r="O677" s="16">
        <f t="shared" si="50"/>
        <v>37475</v>
      </c>
      <c r="P677" s="11" t="s">
        <v>20</v>
      </c>
    </row>
    <row r="678" spans="1:16" x14ac:dyDescent="0.25">
      <c r="A678" s="9" t="str">
        <f t="shared" si="53"/>
        <v>2024 ALL D75</v>
      </c>
      <c r="B678" s="10">
        <f>'[1]2019 ALL D95'!B678</f>
        <v>46104</v>
      </c>
      <c r="C678" s="10">
        <f>'[1]2019 ALL D95'!C678</f>
        <v>46113</v>
      </c>
      <c r="D678" s="11">
        <v>3273</v>
      </c>
      <c r="E678" s="11">
        <v>336</v>
      </c>
      <c r="F678" s="11">
        <v>4</v>
      </c>
      <c r="G678" s="11">
        <v>6</v>
      </c>
      <c r="H678" s="13">
        <v>81588</v>
      </c>
      <c r="I678" s="11" t="s">
        <v>17</v>
      </c>
      <c r="J678" s="13">
        <v>16603295</v>
      </c>
      <c r="K678" s="18" t="s">
        <v>782</v>
      </c>
      <c r="L678" s="13" t="s">
        <v>790</v>
      </c>
      <c r="M678" s="17">
        <v>149900</v>
      </c>
      <c r="N678" s="15">
        <v>0.75</v>
      </c>
      <c r="O678" s="16">
        <f t="shared" si="50"/>
        <v>37475</v>
      </c>
      <c r="P678" s="11" t="s">
        <v>20</v>
      </c>
    </row>
    <row r="679" spans="1:16" x14ac:dyDescent="0.25">
      <c r="A679" s="9" t="str">
        <f t="shared" si="53"/>
        <v>2024 ALL D75</v>
      </c>
      <c r="B679" s="10">
        <f>'[1]2019 ALL D95'!B679</f>
        <v>46104</v>
      </c>
      <c r="C679" s="10">
        <f>'[1]2019 ALL D95'!C679</f>
        <v>46113</v>
      </c>
      <c r="D679" s="11">
        <v>3273</v>
      </c>
      <c r="E679" s="11">
        <v>336</v>
      </c>
      <c r="F679" s="11">
        <v>4</v>
      </c>
      <c r="G679" s="11">
        <v>6</v>
      </c>
      <c r="H679" s="13">
        <v>81588</v>
      </c>
      <c r="I679" s="11" t="s">
        <v>17</v>
      </c>
      <c r="J679" s="13">
        <v>16260003</v>
      </c>
      <c r="K679" s="18" t="s">
        <v>791</v>
      </c>
      <c r="L679" s="13" t="s">
        <v>792</v>
      </c>
      <c r="M679" s="17">
        <v>149900</v>
      </c>
      <c r="N679" s="15">
        <v>0.75</v>
      </c>
      <c r="O679" s="16">
        <f t="shared" si="50"/>
        <v>37475</v>
      </c>
      <c r="P679" s="11" t="s">
        <v>20</v>
      </c>
    </row>
    <row r="680" spans="1:16" x14ac:dyDescent="0.25">
      <c r="A680" s="9" t="str">
        <f t="shared" si="53"/>
        <v>2024 ALL D75</v>
      </c>
      <c r="B680" s="10">
        <f>'[1]2019 ALL D95'!B680</f>
        <v>46104</v>
      </c>
      <c r="C680" s="10">
        <f>'[1]2019 ALL D95'!C680</f>
        <v>46113</v>
      </c>
      <c r="D680" s="11">
        <v>3273</v>
      </c>
      <c r="E680" s="11">
        <v>336</v>
      </c>
      <c r="F680" s="11">
        <v>4</v>
      </c>
      <c r="G680" s="11">
        <v>6</v>
      </c>
      <c r="H680" s="13">
        <v>81588</v>
      </c>
      <c r="I680" s="11" t="s">
        <v>17</v>
      </c>
      <c r="J680" s="13">
        <v>16260012</v>
      </c>
      <c r="K680" s="18" t="s">
        <v>791</v>
      </c>
      <c r="L680" s="13" t="s">
        <v>793</v>
      </c>
      <c r="M680" s="17">
        <v>149900</v>
      </c>
      <c r="N680" s="15">
        <v>0.75</v>
      </c>
      <c r="O680" s="16">
        <f t="shared" si="50"/>
        <v>37475</v>
      </c>
      <c r="P680" s="11" t="s">
        <v>20</v>
      </c>
    </row>
    <row r="681" spans="1:16" x14ac:dyDescent="0.25">
      <c r="A681" s="9" t="str">
        <f t="shared" si="53"/>
        <v>2024 ALL D75</v>
      </c>
      <c r="B681" s="10">
        <f>'[1]2019 ALL D95'!B681</f>
        <v>46104</v>
      </c>
      <c r="C681" s="10">
        <f>'[1]2019 ALL D95'!C681</f>
        <v>46113</v>
      </c>
      <c r="D681" s="11">
        <v>3273</v>
      </c>
      <c r="E681" s="11">
        <v>336</v>
      </c>
      <c r="F681" s="11">
        <v>4</v>
      </c>
      <c r="G681" s="11">
        <v>6</v>
      </c>
      <c r="H681" s="13">
        <v>81588</v>
      </c>
      <c r="I681" s="11" t="s">
        <v>17</v>
      </c>
      <c r="J681" s="13">
        <v>16260021</v>
      </c>
      <c r="K681" s="18" t="s">
        <v>791</v>
      </c>
      <c r="L681" s="13" t="s">
        <v>794</v>
      </c>
      <c r="M681" s="17">
        <v>149900</v>
      </c>
      <c r="N681" s="15">
        <v>0.75</v>
      </c>
      <c r="O681" s="16">
        <f t="shared" si="50"/>
        <v>37475</v>
      </c>
      <c r="P681" s="11" t="s">
        <v>20</v>
      </c>
    </row>
    <row r="682" spans="1:16" x14ac:dyDescent="0.25">
      <c r="A682" s="9" t="str">
        <f t="shared" si="53"/>
        <v>2024 ALL D75</v>
      </c>
      <c r="B682" s="10">
        <f>'[1]2019 ALL D95'!B682</f>
        <v>46104</v>
      </c>
      <c r="C682" s="10">
        <f>'[1]2019 ALL D95'!C682</f>
        <v>46113</v>
      </c>
      <c r="D682" s="11">
        <v>3273</v>
      </c>
      <c r="E682" s="11">
        <v>336</v>
      </c>
      <c r="F682" s="11">
        <v>4</v>
      </c>
      <c r="G682" s="11">
        <v>6</v>
      </c>
      <c r="H682" s="13">
        <v>81588</v>
      </c>
      <c r="I682" s="11" t="s">
        <v>17</v>
      </c>
      <c r="J682" s="13">
        <v>16260030</v>
      </c>
      <c r="K682" s="18" t="s">
        <v>791</v>
      </c>
      <c r="L682" s="13" t="s">
        <v>795</v>
      </c>
      <c r="M682" s="17">
        <v>149900</v>
      </c>
      <c r="N682" s="15">
        <v>0.75</v>
      </c>
      <c r="O682" s="16">
        <f t="shared" si="50"/>
        <v>37475</v>
      </c>
      <c r="P682" s="11" t="s">
        <v>20</v>
      </c>
    </row>
    <row r="683" spans="1:16" x14ac:dyDescent="0.25">
      <c r="A683" s="9" t="str">
        <f t="shared" si="53"/>
        <v>2024 ALL D75</v>
      </c>
      <c r="B683" s="10">
        <f>'[1]2019 ALL D95'!B683</f>
        <v>46104</v>
      </c>
      <c r="C683" s="10">
        <f>'[1]2019 ALL D95'!C683</f>
        <v>46113</v>
      </c>
      <c r="D683" s="11">
        <v>3273</v>
      </c>
      <c r="E683" s="11">
        <v>336</v>
      </c>
      <c r="F683" s="11">
        <v>4</v>
      </c>
      <c r="G683" s="11">
        <v>6</v>
      </c>
      <c r="H683" s="13">
        <v>81588</v>
      </c>
      <c r="I683" s="11" t="s">
        <v>17</v>
      </c>
      <c r="J683" s="13">
        <v>16260049</v>
      </c>
      <c r="K683" s="18" t="s">
        <v>791</v>
      </c>
      <c r="L683" s="13" t="s">
        <v>796</v>
      </c>
      <c r="M683" s="17">
        <v>149900</v>
      </c>
      <c r="N683" s="15">
        <v>0.75</v>
      </c>
      <c r="O683" s="16">
        <f t="shared" si="50"/>
        <v>37475</v>
      </c>
      <c r="P683" s="11" t="s">
        <v>20</v>
      </c>
    </row>
    <row r="684" spans="1:16" x14ac:dyDescent="0.25">
      <c r="A684" s="9" t="str">
        <f t="shared" si="53"/>
        <v>2024 ALL D75</v>
      </c>
      <c r="B684" s="10">
        <f>'[1]2019 ALL D95'!B684</f>
        <v>46104</v>
      </c>
      <c r="C684" s="10">
        <f>'[1]2019 ALL D95'!C684</f>
        <v>46113</v>
      </c>
      <c r="D684" s="11">
        <v>3273</v>
      </c>
      <c r="E684" s="11">
        <v>336</v>
      </c>
      <c r="F684" s="11">
        <v>4</v>
      </c>
      <c r="G684" s="11">
        <v>6</v>
      </c>
      <c r="H684" s="13">
        <v>81588</v>
      </c>
      <c r="I684" s="11" t="s">
        <v>17</v>
      </c>
      <c r="J684" s="13">
        <v>16260058</v>
      </c>
      <c r="K684" s="18" t="s">
        <v>791</v>
      </c>
      <c r="L684" s="13" t="s">
        <v>797</v>
      </c>
      <c r="M684" s="17">
        <v>149900</v>
      </c>
      <c r="N684" s="15">
        <v>0.75</v>
      </c>
      <c r="O684" s="16">
        <f t="shared" si="50"/>
        <v>37475</v>
      </c>
      <c r="P684" s="11" t="s">
        <v>20</v>
      </c>
    </row>
    <row r="685" spans="1:16" x14ac:dyDescent="0.25">
      <c r="A685" s="9" t="str">
        <f t="shared" si="53"/>
        <v>2024 ALL D75</v>
      </c>
      <c r="B685" s="10">
        <f>'[1]2019 ALL D95'!B685</f>
        <v>46104</v>
      </c>
      <c r="C685" s="10">
        <f>'[1]2019 ALL D95'!C685</f>
        <v>46113</v>
      </c>
      <c r="D685" s="11">
        <v>3273</v>
      </c>
      <c r="E685" s="11">
        <v>336</v>
      </c>
      <c r="F685" s="11">
        <v>4</v>
      </c>
      <c r="G685" s="11">
        <v>6</v>
      </c>
      <c r="H685" s="13">
        <v>81588</v>
      </c>
      <c r="I685" s="11" t="s">
        <v>17</v>
      </c>
      <c r="J685" s="13">
        <v>16260067</v>
      </c>
      <c r="K685" s="18" t="s">
        <v>791</v>
      </c>
      <c r="L685" s="13" t="s">
        <v>798</v>
      </c>
      <c r="M685" s="17">
        <v>149900</v>
      </c>
      <c r="N685" s="15">
        <v>0.75</v>
      </c>
      <c r="O685" s="16">
        <f t="shared" si="50"/>
        <v>37475</v>
      </c>
      <c r="P685" s="11" t="s">
        <v>20</v>
      </c>
    </row>
    <row r="686" spans="1:16" x14ac:dyDescent="0.25">
      <c r="A686" s="9" t="str">
        <f t="shared" si="53"/>
        <v>2024 ALL D75</v>
      </c>
      <c r="B686" s="10">
        <f>'[1]2019 ALL D95'!B686</f>
        <v>46104</v>
      </c>
      <c r="C686" s="10">
        <f>'[1]2019 ALL D95'!C686</f>
        <v>46113</v>
      </c>
      <c r="D686" s="11">
        <v>3273</v>
      </c>
      <c r="E686" s="11">
        <v>336</v>
      </c>
      <c r="F686" s="11">
        <v>4</v>
      </c>
      <c r="G686" s="11">
        <v>6</v>
      </c>
      <c r="H686" s="13">
        <v>81588</v>
      </c>
      <c r="I686" s="11" t="s">
        <v>17</v>
      </c>
      <c r="J686" s="13">
        <v>16260076</v>
      </c>
      <c r="K686" s="18" t="s">
        <v>791</v>
      </c>
      <c r="L686" s="13" t="s">
        <v>799</v>
      </c>
      <c r="M686" s="17">
        <v>149900</v>
      </c>
      <c r="N686" s="15">
        <v>0.75</v>
      </c>
      <c r="O686" s="16">
        <f t="shared" si="50"/>
        <v>37475</v>
      </c>
      <c r="P686" s="11" t="s">
        <v>20</v>
      </c>
    </row>
    <row r="687" spans="1:16" x14ac:dyDescent="0.25">
      <c r="A687" s="9" t="str">
        <f t="shared" si="53"/>
        <v>2024 ALL D75</v>
      </c>
      <c r="B687" s="10">
        <f>'[1]2019 ALL D95'!B687</f>
        <v>46104</v>
      </c>
      <c r="C687" s="10">
        <f>'[1]2019 ALL D95'!C687</f>
        <v>46113</v>
      </c>
      <c r="D687" s="11">
        <v>3273</v>
      </c>
      <c r="E687" s="11">
        <v>336</v>
      </c>
      <c r="F687" s="11">
        <v>4</v>
      </c>
      <c r="G687" s="11">
        <v>6</v>
      </c>
      <c r="H687" s="13">
        <v>81588</v>
      </c>
      <c r="I687" s="11" t="s">
        <v>17</v>
      </c>
      <c r="J687" s="13">
        <v>16281731</v>
      </c>
      <c r="K687" s="18" t="s">
        <v>800</v>
      </c>
      <c r="L687" s="13" t="s">
        <v>801</v>
      </c>
      <c r="M687" s="17">
        <v>149900</v>
      </c>
      <c r="N687" s="15">
        <v>0.75</v>
      </c>
      <c r="O687" s="16">
        <f t="shared" si="50"/>
        <v>37475</v>
      </c>
      <c r="P687" s="11" t="s">
        <v>20</v>
      </c>
    </row>
    <row r="688" spans="1:16" x14ac:dyDescent="0.25">
      <c r="A688" s="9" t="str">
        <f t="shared" si="53"/>
        <v>2024 ALL D75</v>
      </c>
      <c r="B688" s="10">
        <f>'[1]2019 ALL D95'!B688</f>
        <v>46104</v>
      </c>
      <c r="C688" s="10">
        <f>'[1]2019 ALL D95'!C688</f>
        <v>46113</v>
      </c>
      <c r="D688" s="11">
        <v>3273</v>
      </c>
      <c r="E688" s="11">
        <v>336</v>
      </c>
      <c r="F688" s="11">
        <v>4</v>
      </c>
      <c r="G688" s="11">
        <v>6</v>
      </c>
      <c r="H688" s="13">
        <v>81588</v>
      </c>
      <c r="I688" s="11" t="s">
        <v>17</v>
      </c>
      <c r="J688" s="13">
        <v>16281740</v>
      </c>
      <c r="K688" s="18" t="s">
        <v>800</v>
      </c>
      <c r="L688" s="13" t="s">
        <v>802</v>
      </c>
      <c r="M688" s="17">
        <v>149900</v>
      </c>
      <c r="N688" s="15">
        <v>0.75</v>
      </c>
      <c r="O688" s="16">
        <f t="shared" si="50"/>
        <v>37475</v>
      </c>
      <c r="P688" s="11" t="s">
        <v>20</v>
      </c>
    </row>
    <row r="689" spans="1:16" x14ac:dyDescent="0.25">
      <c r="A689" s="9" t="str">
        <f t="shared" si="53"/>
        <v>2024 ALL D75</v>
      </c>
      <c r="B689" s="10">
        <f>'[1]2019 ALL D95'!B689</f>
        <v>46104</v>
      </c>
      <c r="C689" s="10">
        <f>'[1]2019 ALL D95'!C689</f>
        <v>46113</v>
      </c>
      <c r="D689" s="11">
        <v>3273</v>
      </c>
      <c r="E689" s="11">
        <v>336</v>
      </c>
      <c r="F689" s="11">
        <v>4</v>
      </c>
      <c r="G689" s="11">
        <v>6</v>
      </c>
      <c r="H689" s="13">
        <v>81588</v>
      </c>
      <c r="I689" s="11" t="s">
        <v>17</v>
      </c>
      <c r="J689" s="13">
        <v>16281759</v>
      </c>
      <c r="K689" s="18" t="s">
        <v>800</v>
      </c>
      <c r="L689" s="13" t="s">
        <v>803</v>
      </c>
      <c r="M689" s="17">
        <v>149900</v>
      </c>
      <c r="N689" s="15">
        <v>0.75</v>
      </c>
      <c r="O689" s="16">
        <f t="shared" si="50"/>
        <v>37475</v>
      </c>
      <c r="P689" s="11" t="s">
        <v>20</v>
      </c>
    </row>
    <row r="690" spans="1:16" x14ac:dyDescent="0.25">
      <c r="A690" s="9" t="str">
        <f t="shared" si="53"/>
        <v>2024 ALL D75</v>
      </c>
      <c r="B690" s="10">
        <f>'[1]2019 ALL D95'!B690</f>
        <v>46104</v>
      </c>
      <c r="C690" s="10">
        <f>'[1]2019 ALL D95'!C690</f>
        <v>46113</v>
      </c>
      <c r="D690" s="11">
        <v>3273</v>
      </c>
      <c r="E690" s="11">
        <v>336</v>
      </c>
      <c r="F690" s="11">
        <v>4</v>
      </c>
      <c r="G690" s="11">
        <v>6</v>
      </c>
      <c r="H690" s="13">
        <v>81588</v>
      </c>
      <c r="I690" s="11" t="s">
        <v>17</v>
      </c>
      <c r="J690" s="13">
        <v>16281768</v>
      </c>
      <c r="K690" s="18" t="s">
        <v>800</v>
      </c>
      <c r="L690" s="13" t="s">
        <v>804</v>
      </c>
      <c r="M690" s="17">
        <v>149900</v>
      </c>
      <c r="N690" s="15">
        <v>0.75</v>
      </c>
      <c r="O690" s="16">
        <f t="shared" si="50"/>
        <v>37475</v>
      </c>
      <c r="P690" s="11" t="s">
        <v>20</v>
      </c>
    </row>
    <row r="691" spans="1:16" x14ac:dyDescent="0.25">
      <c r="A691" s="9" t="str">
        <f t="shared" ref="A691:A706" si="54">A690</f>
        <v>2024 ALL D75</v>
      </c>
      <c r="B691" s="10">
        <f>'[1]2019 ALL D95'!B691</f>
        <v>46104</v>
      </c>
      <c r="C691" s="10">
        <f>'[1]2019 ALL D95'!C691</f>
        <v>46113</v>
      </c>
      <c r="D691" s="11">
        <v>3273</v>
      </c>
      <c r="E691" s="11">
        <v>336</v>
      </c>
      <c r="F691" s="11">
        <v>4</v>
      </c>
      <c r="G691" s="11">
        <v>6</v>
      </c>
      <c r="H691" s="13">
        <v>81588</v>
      </c>
      <c r="I691" s="11" t="s">
        <v>17</v>
      </c>
      <c r="J691" s="13">
        <v>16281777</v>
      </c>
      <c r="K691" s="18" t="s">
        <v>800</v>
      </c>
      <c r="L691" s="13" t="s">
        <v>805</v>
      </c>
      <c r="M691" s="17">
        <v>149900</v>
      </c>
      <c r="N691" s="15">
        <v>0.75</v>
      </c>
      <c r="O691" s="16">
        <f t="shared" si="50"/>
        <v>37475</v>
      </c>
      <c r="P691" s="11" t="s">
        <v>20</v>
      </c>
    </row>
    <row r="692" spans="1:16" x14ac:dyDescent="0.25">
      <c r="A692" s="9" t="str">
        <f t="shared" si="54"/>
        <v>2024 ALL D75</v>
      </c>
      <c r="B692" s="10">
        <f>'[1]2019 ALL D95'!B692</f>
        <v>46104</v>
      </c>
      <c r="C692" s="10">
        <f>'[1]2019 ALL D95'!C692</f>
        <v>46113</v>
      </c>
      <c r="D692" s="11">
        <v>3273</v>
      </c>
      <c r="E692" s="11">
        <v>336</v>
      </c>
      <c r="F692" s="11">
        <v>4</v>
      </c>
      <c r="G692" s="11">
        <v>6</v>
      </c>
      <c r="H692" s="13">
        <v>81588</v>
      </c>
      <c r="I692" s="11" t="s">
        <v>17</v>
      </c>
      <c r="J692" s="13">
        <v>12056741</v>
      </c>
      <c r="K692" s="18" t="s">
        <v>806</v>
      </c>
      <c r="L692" s="13" t="s">
        <v>807</v>
      </c>
      <c r="M692" s="17">
        <v>149900</v>
      </c>
      <c r="N692" s="15">
        <v>0.75</v>
      </c>
      <c r="O692" s="16">
        <f t="shared" si="50"/>
        <v>37475</v>
      </c>
      <c r="P692" s="11" t="s">
        <v>20</v>
      </c>
    </row>
    <row r="693" spans="1:16" x14ac:dyDescent="0.25">
      <c r="A693" s="9" t="str">
        <f t="shared" si="54"/>
        <v>2024 ALL D75</v>
      </c>
      <c r="B693" s="10">
        <f>'[1]2019 ALL D95'!B693</f>
        <v>46104</v>
      </c>
      <c r="C693" s="10">
        <f>'[1]2019 ALL D95'!C693</f>
        <v>46113</v>
      </c>
      <c r="D693" s="11">
        <v>3273</v>
      </c>
      <c r="E693" s="11">
        <v>336</v>
      </c>
      <c r="F693" s="11">
        <v>4</v>
      </c>
      <c r="G693" s="11">
        <v>6</v>
      </c>
      <c r="H693" s="13">
        <v>81588</v>
      </c>
      <c r="I693" s="11" t="s">
        <v>17</v>
      </c>
      <c r="J693" s="13">
        <v>12056750</v>
      </c>
      <c r="K693" s="18" t="s">
        <v>806</v>
      </c>
      <c r="L693" s="13" t="s">
        <v>808</v>
      </c>
      <c r="M693" s="17">
        <v>149900</v>
      </c>
      <c r="N693" s="15">
        <v>0.75</v>
      </c>
      <c r="O693" s="16">
        <f t="shared" si="50"/>
        <v>37475</v>
      </c>
      <c r="P693" s="11" t="s">
        <v>20</v>
      </c>
    </row>
    <row r="694" spans="1:16" x14ac:dyDescent="0.25">
      <c r="A694" s="9" t="str">
        <f t="shared" si="54"/>
        <v>2024 ALL D75</v>
      </c>
      <c r="B694" s="10">
        <f>'[1]2019 ALL D95'!B694</f>
        <v>46104</v>
      </c>
      <c r="C694" s="10">
        <f>'[1]2019 ALL D95'!C694</f>
        <v>46113</v>
      </c>
      <c r="D694" s="11">
        <v>3273</v>
      </c>
      <c r="E694" s="11">
        <v>336</v>
      </c>
      <c r="F694" s="11">
        <v>4</v>
      </c>
      <c r="G694" s="11">
        <v>6</v>
      </c>
      <c r="H694" s="13">
        <v>81588</v>
      </c>
      <c r="I694" s="11" t="s">
        <v>17</v>
      </c>
      <c r="J694" s="13">
        <v>12056769</v>
      </c>
      <c r="K694" s="18" t="s">
        <v>806</v>
      </c>
      <c r="L694" s="13" t="s">
        <v>809</v>
      </c>
      <c r="M694" s="17">
        <v>149900</v>
      </c>
      <c r="N694" s="15">
        <v>0.75</v>
      </c>
      <c r="O694" s="16">
        <f t="shared" si="50"/>
        <v>37475</v>
      </c>
      <c r="P694" s="11" t="s">
        <v>20</v>
      </c>
    </row>
    <row r="695" spans="1:16" x14ac:dyDescent="0.25">
      <c r="A695" s="9" t="str">
        <f t="shared" si="54"/>
        <v>2024 ALL D75</v>
      </c>
      <c r="B695" s="10">
        <f>'[1]2019 ALL D95'!B695</f>
        <v>46104</v>
      </c>
      <c r="C695" s="10">
        <f>'[1]2019 ALL D95'!C695</f>
        <v>46113</v>
      </c>
      <c r="D695" s="11">
        <v>3273</v>
      </c>
      <c r="E695" s="11">
        <v>336</v>
      </c>
      <c r="F695" s="11">
        <v>4</v>
      </c>
      <c r="G695" s="11">
        <v>6</v>
      </c>
      <c r="H695" s="13">
        <v>81588</v>
      </c>
      <c r="I695" s="11" t="s">
        <v>17</v>
      </c>
      <c r="J695" s="13">
        <v>12056778</v>
      </c>
      <c r="K695" s="18" t="s">
        <v>806</v>
      </c>
      <c r="L695" s="13" t="s">
        <v>810</v>
      </c>
      <c r="M695" s="17">
        <v>149900</v>
      </c>
      <c r="N695" s="15">
        <v>0.75</v>
      </c>
      <c r="O695" s="16">
        <f t="shared" si="50"/>
        <v>37475</v>
      </c>
      <c r="P695" s="11" t="s">
        <v>20</v>
      </c>
    </row>
    <row r="696" spans="1:16" x14ac:dyDescent="0.25">
      <c r="A696" s="9" t="str">
        <f t="shared" si="54"/>
        <v>2024 ALL D75</v>
      </c>
      <c r="B696" s="10">
        <f>'[1]2019 ALL D95'!B696</f>
        <v>46104</v>
      </c>
      <c r="C696" s="10">
        <f>'[1]2019 ALL D95'!C696</f>
        <v>46113</v>
      </c>
      <c r="D696" s="11">
        <v>3273</v>
      </c>
      <c r="E696" s="11">
        <v>336</v>
      </c>
      <c r="F696" s="11">
        <v>4</v>
      </c>
      <c r="G696" s="11">
        <v>6</v>
      </c>
      <c r="H696" s="13">
        <v>81588</v>
      </c>
      <c r="I696" s="11" t="s">
        <v>17</v>
      </c>
      <c r="J696" s="13">
        <v>12056787</v>
      </c>
      <c r="K696" s="18" t="s">
        <v>806</v>
      </c>
      <c r="L696" s="13" t="s">
        <v>811</v>
      </c>
      <c r="M696" s="17">
        <v>149900</v>
      </c>
      <c r="N696" s="15">
        <v>0.75</v>
      </c>
      <c r="O696" s="16">
        <f t="shared" si="50"/>
        <v>37475</v>
      </c>
      <c r="P696" s="11" t="s">
        <v>20</v>
      </c>
    </row>
    <row r="697" spans="1:16" x14ac:dyDescent="0.25">
      <c r="A697" s="9" t="str">
        <f t="shared" si="54"/>
        <v>2024 ALL D75</v>
      </c>
      <c r="B697" s="10">
        <f>'[1]2019 ALL D95'!B697</f>
        <v>46104</v>
      </c>
      <c r="C697" s="10">
        <f>'[1]2019 ALL D95'!C697</f>
        <v>46113</v>
      </c>
      <c r="D697" s="11">
        <v>3273</v>
      </c>
      <c r="E697" s="11">
        <v>336</v>
      </c>
      <c r="F697" s="11">
        <v>4</v>
      </c>
      <c r="G697" s="11">
        <v>6</v>
      </c>
      <c r="H697" s="13">
        <v>81588</v>
      </c>
      <c r="I697" s="11" t="s">
        <v>17</v>
      </c>
      <c r="J697" s="13">
        <v>12056796</v>
      </c>
      <c r="K697" s="18" t="s">
        <v>806</v>
      </c>
      <c r="L697" s="13" t="s">
        <v>812</v>
      </c>
      <c r="M697" s="17">
        <v>149900</v>
      </c>
      <c r="N697" s="15">
        <v>0.75</v>
      </c>
      <c r="O697" s="16">
        <f t="shared" si="50"/>
        <v>37475</v>
      </c>
      <c r="P697" s="11" t="s">
        <v>20</v>
      </c>
    </row>
    <row r="698" spans="1:16" x14ac:dyDescent="0.25">
      <c r="A698" s="9" t="str">
        <f t="shared" si="54"/>
        <v>2024 ALL D75</v>
      </c>
      <c r="B698" s="10">
        <f>'[1]2019 ALL D95'!B698</f>
        <v>46104</v>
      </c>
      <c r="C698" s="10">
        <f>'[1]2019 ALL D95'!C698</f>
        <v>46113</v>
      </c>
      <c r="D698" s="11">
        <v>3273</v>
      </c>
      <c r="E698" s="11">
        <v>336</v>
      </c>
      <c r="F698" s="11">
        <v>4</v>
      </c>
      <c r="G698" s="11">
        <v>6</v>
      </c>
      <c r="H698" s="13">
        <v>81588</v>
      </c>
      <c r="I698" s="11" t="s">
        <v>17</v>
      </c>
      <c r="J698" s="13">
        <v>12056803</v>
      </c>
      <c r="K698" s="18" t="s">
        <v>806</v>
      </c>
      <c r="L698" s="13" t="s">
        <v>813</v>
      </c>
      <c r="M698" s="17">
        <v>149900</v>
      </c>
      <c r="N698" s="15">
        <v>0.75</v>
      </c>
      <c r="O698" s="16">
        <f t="shared" si="50"/>
        <v>37475</v>
      </c>
      <c r="P698" s="11" t="s">
        <v>20</v>
      </c>
    </row>
    <row r="699" spans="1:16" x14ac:dyDescent="0.25">
      <c r="A699" s="9" t="str">
        <f t="shared" si="54"/>
        <v>2024 ALL D75</v>
      </c>
      <c r="B699" s="10">
        <f>'[1]2019 ALL D95'!B699</f>
        <v>46104</v>
      </c>
      <c r="C699" s="10">
        <f>'[1]2019 ALL D95'!C699</f>
        <v>46113</v>
      </c>
      <c r="D699" s="11">
        <v>3273</v>
      </c>
      <c r="E699" s="11">
        <v>336</v>
      </c>
      <c r="F699" s="11">
        <v>4</v>
      </c>
      <c r="G699" s="11">
        <v>6</v>
      </c>
      <c r="H699" s="13">
        <v>81588</v>
      </c>
      <c r="I699" s="11" t="s">
        <v>17</v>
      </c>
      <c r="J699" s="13">
        <v>12056812</v>
      </c>
      <c r="K699" s="18" t="s">
        <v>806</v>
      </c>
      <c r="L699" s="13" t="s">
        <v>814</v>
      </c>
      <c r="M699" s="17">
        <v>149900</v>
      </c>
      <c r="N699" s="15">
        <v>0.75</v>
      </c>
      <c r="O699" s="16">
        <f t="shared" si="50"/>
        <v>37475</v>
      </c>
      <c r="P699" s="11" t="s">
        <v>20</v>
      </c>
    </row>
    <row r="700" spans="1:16" x14ac:dyDescent="0.25">
      <c r="A700" s="9" t="str">
        <f t="shared" si="54"/>
        <v>2024 ALL D75</v>
      </c>
      <c r="B700" s="10">
        <f>'[1]2019 ALL D95'!B700</f>
        <v>46104</v>
      </c>
      <c r="C700" s="10">
        <f>'[1]2019 ALL D95'!C700</f>
        <v>46113</v>
      </c>
      <c r="D700" s="11">
        <v>3273</v>
      </c>
      <c r="E700" s="11">
        <v>336</v>
      </c>
      <c r="F700" s="11">
        <v>4</v>
      </c>
      <c r="G700" s="11">
        <v>6</v>
      </c>
      <c r="H700" s="13">
        <v>81588</v>
      </c>
      <c r="I700" s="11" t="s">
        <v>17</v>
      </c>
      <c r="J700" s="13">
        <v>16101130</v>
      </c>
      <c r="K700" s="18" t="s">
        <v>815</v>
      </c>
      <c r="L700" s="13" t="s">
        <v>816</v>
      </c>
      <c r="M700" s="17">
        <v>179900</v>
      </c>
      <c r="N700" s="15">
        <v>0.75</v>
      </c>
      <c r="O700" s="16">
        <f t="shared" si="50"/>
        <v>44975</v>
      </c>
      <c r="P700" s="11" t="s">
        <v>20</v>
      </c>
    </row>
    <row r="701" spans="1:16" x14ac:dyDescent="0.25">
      <c r="A701" s="9" t="str">
        <f t="shared" si="54"/>
        <v>2024 ALL D75</v>
      </c>
      <c r="B701" s="10">
        <f>'[1]2019 ALL D95'!B701</f>
        <v>46104</v>
      </c>
      <c r="C701" s="10">
        <f>'[1]2019 ALL D95'!C701</f>
        <v>46113</v>
      </c>
      <c r="D701" s="11">
        <v>3273</v>
      </c>
      <c r="E701" s="11">
        <v>336</v>
      </c>
      <c r="F701" s="11">
        <v>4</v>
      </c>
      <c r="G701" s="11">
        <v>6</v>
      </c>
      <c r="H701" s="13">
        <v>81588</v>
      </c>
      <c r="I701" s="11" t="s">
        <v>17</v>
      </c>
      <c r="J701" s="13">
        <v>16101149</v>
      </c>
      <c r="K701" s="18" t="s">
        <v>815</v>
      </c>
      <c r="L701" s="13" t="s">
        <v>817</v>
      </c>
      <c r="M701" s="17">
        <v>179900</v>
      </c>
      <c r="N701" s="15">
        <v>0.75</v>
      </c>
      <c r="O701" s="16">
        <f t="shared" si="50"/>
        <v>44975</v>
      </c>
      <c r="P701" s="11" t="s">
        <v>20</v>
      </c>
    </row>
    <row r="702" spans="1:16" x14ac:dyDescent="0.25">
      <c r="A702" s="9" t="str">
        <f t="shared" si="54"/>
        <v>2024 ALL D75</v>
      </c>
      <c r="B702" s="10">
        <f>'[1]2019 ALL D95'!B702</f>
        <v>46104</v>
      </c>
      <c r="C702" s="10">
        <f>'[1]2019 ALL D95'!C702</f>
        <v>46113</v>
      </c>
      <c r="D702" s="11">
        <v>3273</v>
      </c>
      <c r="E702" s="11">
        <v>336</v>
      </c>
      <c r="F702" s="11">
        <v>4</v>
      </c>
      <c r="G702" s="11">
        <v>6</v>
      </c>
      <c r="H702" s="13">
        <v>81588</v>
      </c>
      <c r="I702" s="11" t="s">
        <v>17</v>
      </c>
      <c r="J702" s="13">
        <v>16101158</v>
      </c>
      <c r="K702" s="18" t="s">
        <v>815</v>
      </c>
      <c r="L702" s="13" t="s">
        <v>818</v>
      </c>
      <c r="M702" s="17">
        <v>179900</v>
      </c>
      <c r="N702" s="15">
        <v>0.75</v>
      </c>
      <c r="O702" s="16">
        <f t="shared" si="50"/>
        <v>44975</v>
      </c>
      <c r="P702" s="11" t="s">
        <v>20</v>
      </c>
    </row>
    <row r="703" spans="1:16" x14ac:dyDescent="0.25">
      <c r="A703" s="9" t="str">
        <f t="shared" si="54"/>
        <v>2024 ALL D75</v>
      </c>
      <c r="B703" s="10">
        <f>'[1]2019 ALL D95'!B703</f>
        <v>46104</v>
      </c>
      <c r="C703" s="10">
        <f>'[1]2019 ALL D95'!C703</f>
        <v>46113</v>
      </c>
      <c r="D703" s="11">
        <v>3273</v>
      </c>
      <c r="E703" s="11">
        <v>336</v>
      </c>
      <c r="F703" s="11">
        <v>4</v>
      </c>
      <c r="G703" s="11">
        <v>6</v>
      </c>
      <c r="H703" s="13">
        <v>81588</v>
      </c>
      <c r="I703" s="11" t="s">
        <v>17</v>
      </c>
      <c r="J703" s="13">
        <v>16101167</v>
      </c>
      <c r="K703" s="18" t="s">
        <v>815</v>
      </c>
      <c r="L703" s="13" t="s">
        <v>819</v>
      </c>
      <c r="M703" s="17">
        <v>179900</v>
      </c>
      <c r="N703" s="15">
        <v>0.75</v>
      </c>
      <c r="O703" s="16">
        <f t="shared" si="50"/>
        <v>44975</v>
      </c>
      <c r="P703" s="11" t="s">
        <v>20</v>
      </c>
    </row>
    <row r="704" spans="1:16" x14ac:dyDescent="0.25">
      <c r="A704" s="9" t="str">
        <f t="shared" si="54"/>
        <v>2024 ALL D75</v>
      </c>
      <c r="B704" s="10">
        <f>'[1]2019 ALL D95'!B704</f>
        <v>46104</v>
      </c>
      <c r="C704" s="10">
        <f>'[1]2019 ALL D95'!C704</f>
        <v>46113</v>
      </c>
      <c r="D704" s="11">
        <v>3273</v>
      </c>
      <c r="E704" s="11">
        <v>336</v>
      </c>
      <c r="F704" s="11">
        <v>4</v>
      </c>
      <c r="G704" s="11">
        <v>6</v>
      </c>
      <c r="H704" s="13">
        <v>81588</v>
      </c>
      <c r="I704" s="11" t="s">
        <v>17</v>
      </c>
      <c r="J704" s="13">
        <v>16101176</v>
      </c>
      <c r="K704" s="18" t="s">
        <v>815</v>
      </c>
      <c r="L704" s="13" t="s">
        <v>820</v>
      </c>
      <c r="M704" s="17">
        <v>179900</v>
      </c>
      <c r="N704" s="15">
        <v>0.75</v>
      </c>
      <c r="O704" s="16">
        <f t="shared" si="50"/>
        <v>44975</v>
      </c>
      <c r="P704" s="11" t="s">
        <v>20</v>
      </c>
    </row>
    <row r="705" spans="1:16" x14ac:dyDescent="0.25">
      <c r="A705" s="9" t="str">
        <f t="shared" si="54"/>
        <v>2024 ALL D75</v>
      </c>
      <c r="B705" s="10">
        <f>'[1]2019 ALL D95'!B705</f>
        <v>46104</v>
      </c>
      <c r="C705" s="10">
        <f>'[1]2019 ALL D95'!C705</f>
        <v>46113</v>
      </c>
      <c r="D705" s="11">
        <v>3273</v>
      </c>
      <c r="E705" s="11">
        <v>336</v>
      </c>
      <c r="F705" s="11">
        <v>4</v>
      </c>
      <c r="G705" s="11">
        <v>6</v>
      </c>
      <c r="H705" s="13">
        <v>81588</v>
      </c>
      <c r="I705" s="11" t="s">
        <v>17</v>
      </c>
      <c r="J705" s="13">
        <v>16101185</v>
      </c>
      <c r="K705" s="18" t="s">
        <v>815</v>
      </c>
      <c r="L705" s="13" t="s">
        <v>821</v>
      </c>
      <c r="M705" s="17">
        <v>179900</v>
      </c>
      <c r="N705" s="15">
        <v>0.75</v>
      </c>
      <c r="O705" s="16">
        <f t="shared" si="50"/>
        <v>44975</v>
      </c>
      <c r="P705" s="11" t="s">
        <v>20</v>
      </c>
    </row>
    <row r="706" spans="1:16" x14ac:dyDescent="0.25">
      <c r="A706" s="9" t="str">
        <f t="shared" si="54"/>
        <v>2024 ALL D75</v>
      </c>
      <c r="B706" s="10">
        <f>'[1]2019 ALL D95'!B706</f>
        <v>46104</v>
      </c>
      <c r="C706" s="10">
        <f>'[1]2019 ALL D95'!C706</f>
        <v>46113</v>
      </c>
      <c r="D706" s="11">
        <v>3273</v>
      </c>
      <c r="E706" s="11">
        <v>336</v>
      </c>
      <c r="F706" s="11">
        <v>4</v>
      </c>
      <c r="G706" s="11">
        <v>6</v>
      </c>
      <c r="H706" s="13">
        <v>81588</v>
      </c>
      <c r="I706" s="11" t="s">
        <v>17</v>
      </c>
      <c r="J706" s="13">
        <v>16101194</v>
      </c>
      <c r="K706" s="18" t="s">
        <v>815</v>
      </c>
      <c r="L706" s="13" t="s">
        <v>822</v>
      </c>
      <c r="M706" s="17">
        <v>179900</v>
      </c>
      <c r="N706" s="15">
        <v>0.75</v>
      </c>
      <c r="O706" s="16">
        <f t="shared" ref="O706:O769" si="55">M706*(1-N706)</f>
        <v>44975</v>
      </c>
      <c r="P706" s="11" t="s">
        <v>20</v>
      </c>
    </row>
    <row r="707" spans="1:16" x14ac:dyDescent="0.25">
      <c r="A707" s="9" t="str">
        <f t="shared" ref="A707:A722" si="56">A706</f>
        <v>2024 ALL D75</v>
      </c>
      <c r="B707" s="10">
        <f>'[1]2019 ALL D95'!B707</f>
        <v>46104</v>
      </c>
      <c r="C707" s="10">
        <f>'[1]2019 ALL D95'!C707</f>
        <v>46113</v>
      </c>
      <c r="D707" s="11">
        <v>3273</v>
      </c>
      <c r="E707" s="11">
        <v>336</v>
      </c>
      <c r="F707" s="11">
        <v>4</v>
      </c>
      <c r="G707" s="11">
        <v>6</v>
      </c>
      <c r="H707" s="13">
        <v>81588</v>
      </c>
      <c r="I707" s="11" t="s">
        <v>17</v>
      </c>
      <c r="J707" s="13">
        <v>16101201</v>
      </c>
      <c r="K707" s="18" t="s">
        <v>815</v>
      </c>
      <c r="L707" s="13" t="s">
        <v>823</v>
      </c>
      <c r="M707" s="17">
        <v>179900</v>
      </c>
      <c r="N707" s="15">
        <v>0.75</v>
      </c>
      <c r="O707" s="16">
        <f t="shared" si="55"/>
        <v>44975</v>
      </c>
      <c r="P707" s="11" t="s">
        <v>20</v>
      </c>
    </row>
    <row r="708" spans="1:16" x14ac:dyDescent="0.25">
      <c r="A708" s="9" t="str">
        <f t="shared" si="56"/>
        <v>2024 ALL D75</v>
      </c>
      <c r="B708" s="10">
        <f>'[1]2019 ALL D95'!B708</f>
        <v>46104</v>
      </c>
      <c r="C708" s="10">
        <f>'[1]2019 ALL D95'!C708</f>
        <v>46113</v>
      </c>
      <c r="D708" s="11">
        <v>3273</v>
      </c>
      <c r="E708" s="11">
        <v>336</v>
      </c>
      <c r="F708" s="11">
        <v>4</v>
      </c>
      <c r="G708" s="11">
        <v>6</v>
      </c>
      <c r="H708" s="13">
        <v>81588</v>
      </c>
      <c r="I708" s="11" t="s">
        <v>17</v>
      </c>
      <c r="J708" s="13">
        <v>16101541</v>
      </c>
      <c r="K708" s="18" t="s">
        <v>824</v>
      </c>
      <c r="L708" s="13" t="s">
        <v>825</v>
      </c>
      <c r="M708" s="17">
        <v>149900</v>
      </c>
      <c r="N708" s="15">
        <v>0.75</v>
      </c>
      <c r="O708" s="16">
        <f t="shared" si="55"/>
        <v>37475</v>
      </c>
      <c r="P708" s="11" t="s">
        <v>20</v>
      </c>
    </row>
    <row r="709" spans="1:16" x14ac:dyDescent="0.25">
      <c r="A709" s="9" t="str">
        <f t="shared" si="56"/>
        <v>2024 ALL D75</v>
      </c>
      <c r="B709" s="10">
        <f>'[1]2019 ALL D95'!B709</f>
        <v>46104</v>
      </c>
      <c r="C709" s="10">
        <f>'[1]2019 ALL D95'!C709</f>
        <v>46113</v>
      </c>
      <c r="D709" s="11">
        <v>3273</v>
      </c>
      <c r="E709" s="11">
        <v>336</v>
      </c>
      <c r="F709" s="11">
        <v>4</v>
      </c>
      <c r="G709" s="11">
        <v>6</v>
      </c>
      <c r="H709" s="13">
        <v>81588</v>
      </c>
      <c r="I709" s="11" t="s">
        <v>17</v>
      </c>
      <c r="J709" s="13">
        <v>16101550</v>
      </c>
      <c r="K709" s="18" t="s">
        <v>824</v>
      </c>
      <c r="L709" s="13" t="s">
        <v>826</v>
      </c>
      <c r="M709" s="17">
        <v>149900</v>
      </c>
      <c r="N709" s="15">
        <v>0.75</v>
      </c>
      <c r="O709" s="16">
        <f t="shared" si="55"/>
        <v>37475</v>
      </c>
      <c r="P709" s="11" t="s">
        <v>20</v>
      </c>
    </row>
    <row r="710" spans="1:16" x14ac:dyDescent="0.25">
      <c r="A710" s="9" t="str">
        <f t="shared" si="56"/>
        <v>2024 ALL D75</v>
      </c>
      <c r="B710" s="10">
        <f>'[1]2019 ALL D95'!B710</f>
        <v>46104</v>
      </c>
      <c r="C710" s="10">
        <f>'[1]2019 ALL D95'!C710</f>
        <v>46113</v>
      </c>
      <c r="D710" s="11">
        <v>3273</v>
      </c>
      <c r="E710" s="11">
        <v>336</v>
      </c>
      <c r="F710" s="11">
        <v>4</v>
      </c>
      <c r="G710" s="11">
        <v>6</v>
      </c>
      <c r="H710" s="13">
        <v>81588</v>
      </c>
      <c r="I710" s="11" t="s">
        <v>17</v>
      </c>
      <c r="J710" s="13">
        <v>16101569</v>
      </c>
      <c r="K710" s="18" t="s">
        <v>824</v>
      </c>
      <c r="L710" s="13" t="s">
        <v>827</v>
      </c>
      <c r="M710" s="17">
        <v>149900</v>
      </c>
      <c r="N710" s="15">
        <v>0.75</v>
      </c>
      <c r="O710" s="16">
        <f t="shared" si="55"/>
        <v>37475</v>
      </c>
      <c r="P710" s="11" t="s">
        <v>20</v>
      </c>
    </row>
    <row r="711" spans="1:16" x14ac:dyDescent="0.25">
      <c r="A711" s="9" t="str">
        <f t="shared" si="56"/>
        <v>2024 ALL D75</v>
      </c>
      <c r="B711" s="10">
        <f>'[1]2019 ALL D95'!B711</f>
        <v>46104</v>
      </c>
      <c r="C711" s="10">
        <f>'[1]2019 ALL D95'!C711</f>
        <v>46113</v>
      </c>
      <c r="D711" s="11">
        <v>3273</v>
      </c>
      <c r="E711" s="11">
        <v>336</v>
      </c>
      <c r="F711" s="11">
        <v>4</v>
      </c>
      <c r="G711" s="11">
        <v>6</v>
      </c>
      <c r="H711" s="13">
        <v>81588</v>
      </c>
      <c r="I711" s="11" t="s">
        <v>17</v>
      </c>
      <c r="J711" s="13">
        <v>16101578</v>
      </c>
      <c r="K711" s="18" t="s">
        <v>824</v>
      </c>
      <c r="L711" s="13" t="s">
        <v>828</v>
      </c>
      <c r="M711" s="17">
        <v>149900</v>
      </c>
      <c r="N711" s="15">
        <v>0.75</v>
      </c>
      <c r="O711" s="16">
        <f t="shared" si="55"/>
        <v>37475</v>
      </c>
      <c r="P711" s="11" t="s">
        <v>20</v>
      </c>
    </row>
    <row r="712" spans="1:16" x14ac:dyDescent="0.25">
      <c r="A712" s="9" t="str">
        <f t="shared" si="56"/>
        <v>2024 ALL D75</v>
      </c>
      <c r="B712" s="10">
        <f>'[1]2019 ALL D95'!B712</f>
        <v>46104</v>
      </c>
      <c r="C712" s="10">
        <f>'[1]2019 ALL D95'!C712</f>
        <v>46113</v>
      </c>
      <c r="D712" s="11">
        <v>3273</v>
      </c>
      <c r="E712" s="11">
        <v>336</v>
      </c>
      <c r="F712" s="11">
        <v>4</v>
      </c>
      <c r="G712" s="11">
        <v>6</v>
      </c>
      <c r="H712" s="13">
        <v>81588</v>
      </c>
      <c r="I712" s="11" t="s">
        <v>17</v>
      </c>
      <c r="J712" s="13">
        <v>16101587</v>
      </c>
      <c r="K712" s="18" t="s">
        <v>824</v>
      </c>
      <c r="L712" s="13" t="s">
        <v>829</v>
      </c>
      <c r="M712" s="17">
        <v>149900</v>
      </c>
      <c r="N712" s="15">
        <v>0.75</v>
      </c>
      <c r="O712" s="16">
        <f t="shared" si="55"/>
        <v>37475</v>
      </c>
      <c r="P712" s="11" t="s">
        <v>20</v>
      </c>
    </row>
    <row r="713" spans="1:16" x14ac:dyDescent="0.25">
      <c r="A713" s="9" t="str">
        <f t="shared" si="56"/>
        <v>2024 ALL D75</v>
      </c>
      <c r="B713" s="10">
        <f>'[1]2019 ALL D95'!B713</f>
        <v>46104</v>
      </c>
      <c r="C713" s="10">
        <f>'[1]2019 ALL D95'!C713</f>
        <v>46113</v>
      </c>
      <c r="D713" s="11">
        <v>3273</v>
      </c>
      <c r="E713" s="11">
        <v>336</v>
      </c>
      <c r="F713" s="11">
        <v>4</v>
      </c>
      <c r="G713" s="11">
        <v>6</v>
      </c>
      <c r="H713" s="13">
        <v>81588</v>
      </c>
      <c r="I713" s="11" t="s">
        <v>17</v>
      </c>
      <c r="J713" s="13">
        <v>15748622</v>
      </c>
      <c r="K713" s="18" t="s">
        <v>830</v>
      </c>
      <c r="L713" s="13" t="s">
        <v>831</v>
      </c>
      <c r="M713" s="17">
        <v>149900</v>
      </c>
      <c r="N713" s="15">
        <v>0.75</v>
      </c>
      <c r="O713" s="16">
        <f t="shared" si="55"/>
        <v>37475</v>
      </c>
      <c r="P713" s="11" t="s">
        <v>20</v>
      </c>
    </row>
    <row r="714" spans="1:16" x14ac:dyDescent="0.25">
      <c r="A714" s="9" t="str">
        <f t="shared" si="56"/>
        <v>2024 ALL D75</v>
      </c>
      <c r="B714" s="10">
        <f>'[1]2019 ALL D95'!B714</f>
        <v>46104</v>
      </c>
      <c r="C714" s="10">
        <f>'[1]2019 ALL D95'!C714</f>
        <v>46113</v>
      </c>
      <c r="D714" s="11">
        <v>3273</v>
      </c>
      <c r="E714" s="11">
        <v>336</v>
      </c>
      <c r="F714" s="11">
        <v>4</v>
      </c>
      <c r="G714" s="11">
        <v>6</v>
      </c>
      <c r="H714" s="13">
        <v>81588</v>
      </c>
      <c r="I714" s="11" t="s">
        <v>17</v>
      </c>
      <c r="J714" s="13">
        <v>15748631</v>
      </c>
      <c r="K714" s="18" t="s">
        <v>830</v>
      </c>
      <c r="L714" s="13" t="s">
        <v>832</v>
      </c>
      <c r="M714" s="17">
        <v>149900</v>
      </c>
      <c r="N714" s="15">
        <v>0.75</v>
      </c>
      <c r="O714" s="16">
        <f t="shared" si="55"/>
        <v>37475</v>
      </c>
      <c r="P714" s="11" t="s">
        <v>20</v>
      </c>
    </row>
    <row r="715" spans="1:16" x14ac:dyDescent="0.25">
      <c r="A715" s="9" t="str">
        <f t="shared" si="56"/>
        <v>2024 ALL D75</v>
      </c>
      <c r="B715" s="10">
        <f>'[1]2019 ALL D95'!B715</f>
        <v>46104</v>
      </c>
      <c r="C715" s="10">
        <f>'[1]2019 ALL D95'!C715</f>
        <v>46113</v>
      </c>
      <c r="D715" s="11">
        <v>3273</v>
      </c>
      <c r="E715" s="11">
        <v>336</v>
      </c>
      <c r="F715" s="11">
        <v>4</v>
      </c>
      <c r="G715" s="11">
        <v>6</v>
      </c>
      <c r="H715" s="13">
        <v>81588</v>
      </c>
      <c r="I715" s="11" t="s">
        <v>17</v>
      </c>
      <c r="J715" s="13">
        <v>15748640</v>
      </c>
      <c r="K715" s="18" t="s">
        <v>830</v>
      </c>
      <c r="L715" s="13" t="s">
        <v>833</v>
      </c>
      <c r="M715" s="17">
        <v>149900</v>
      </c>
      <c r="N715" s="15">
        <v>0.75</v>
      </c>
      <c r="O715" s="16">
        <f t="shared" si="55"/>
        <v>37475</v>
      </c>
      <c r="P715" s="11" t="s">
        <v>20</v>
      </c>
    </row>
    <row r="716" spans="1:16" x14ac:dyDescent="0.25">
      <c r="A716" s="9" t="str">
        <f t="shared" si="56"/>
        <v>2024 ALL D75</v>
      </c>
      <c r="B716" s="10">
        <f>'[1]2019 ALL D95'!B716</f>
        <v>46104</v>
      </c>
      <c r="C716" s="10">
        <f>'[1]2019 ALL D95'!C716</f>
        <v>46113</v>
      </c>
      <c r="D716" s="11">
        <v>3273</v>
      </c>
      <c r="E716" s="11">
        <v>336</v>
      </c>
      <c r="F716" s="11">
        <v>4</v>
      </c>
      <c r="G716" s="11">
        <v>6</v>
      </c>
      <c r="H716" s="13">
        <v>81588</v>
      </c>
      <c r="I716" s="11" t="s">
        <v>17</v>
      </c>
      <c r="J716" s="13">
        <v>15748659</v>
      </c>
      <c r="K716" s="18" t="s">
        <v>830</v>
      </c>
      <c r="L716" s="13" t="s">
        <v>834</v>
      </c>
      <c r="M716" s="17">
        <v>149900</v>
      </c>
      <c r="N716" s="15">
        <v>0.75</v>
      </c>
      <c r="O716" s="16">
        <f t="shared" si="55"/>
        <v>37475</v>
      </c>
      <c r="P716" s="11" t="s">
        <v>20</v>
      </c>
    </row>
    <row r="717" spans="1:16" x14ac:dyDescent="0.25">
      <c r="A717" s="9" t="str">
        <f t="shared" si="56"/>
        <v>2024 ALL D75</v>
      </c>
      <c r="B717" s="10">
        <f>'[1]2019 ALL D95'!B717</f>
        <v>46104</v>
      </c>
      <c r="C717" s="10">
        <f>'[1]2019 ALL D95'!C717</f>
        <v>46113</v>
      </c>
      <c r="D717" s="11">
        <v>3273</v>
      </c>
      <c r="E717" s="11">
        <v>336</v>
      </c>
      <c r="F717" s="11">
        <v>4</v>
      </c>
      <c r="G717" s="11">
        <v>6</v>
      </c>
      <c r="H717" s="13">
        <v>81588</v>
      </c>
      <c r="I717" s="11" t="s">
        <v>17</v>
      </c>
      <c r="J717" s="13">
        <v>15748668</v>
      </c>
      <c r="K717" s="18" t="s">
        <v>830</v>
      </c>
      <c r="L717" s="13" t="s">
        <v>835</v>
      </c>
      <c r="M717" s="17">
        <v>149900</v>
      </c>
      <c r="N717" s="15">
        <v>0.75</v>
      </c>
      <c r="O717" s="16">
        <f t="shared" si="55"/>
        <v>37475</v>
      </c>
      <c r="P717" s="11" t="s">
        <v>20</v>
      </c>
    </row>
    <row r="718" spans="1:16" x14ac:dyDescent="0.25">
      <c r="A718" s="9" t="str">
        <f t="shared" si="56"/>
        <v>2024 ALL D75</v>
      </c>
      <c r="B718" s="10">
        <f>'[1]2019 ALL D95'!B718</f>
        <v>46104</v>
      </c>
      <c r="C718" s="10">
        <f>'[1]2019 ALL D95'!C718</f>
        <v>46113</v>
      </c>
      <c r="D718" s="11">
        <v>3273</v>
      </c>
      <c r="E718" s="11">
        <v>336</v>
      </c>
      <c r="F718" s="11">
        <v>4</v>
      </c>
      <c r="G718" s="11">
        <v>6</v>
      </c>
      <c r="H718" s="13">
        <v>81588</v>
      </c>
      <c r="I718" s="11" t="s">
        <v>17</v>
      </c>
      <c r="J718" s="13">
        <v>15748677</v>
      </c>
      <c r="K718" s="18" t="s">
        <v>830</v>
      </c>
      <c r="L718" s="13" t="s">
        <v>836</v>
      </c>
      <c r="M718" s="17">
        <v>149900</v>
      </c>
      <c r="N718" s="15">
        <v>0.75</v>
      </c>
      <c r="O718" s="16">
        <f t="shared" si="55"/>
        <v>37475</v>
      </c>
      <c r="P718" s="11" t="s">
        <v>20</v>
      </c>
    </row>
    <row r="719" spans="1:16" x14ac:dyDescent="0.25">
      <c r="A719" s="9" t="str">
        <f t="shared" si="56"/>
        <v>2024 ALL D75</v>
      </c>
      <c r="B719" s="10">
        <f>'[1]2019 ALL D95'!B719</f>
        <v>46104</v>
      </c>
      <c r="C719" s="10">
        <f>'[1]2019 ALL D95'!C719</f>
        <v>46113</v>
      </c>
      <c r="D719" s="11">
        <v>3273</v>
      </c>
      <c r="E719" s="11">
        <v>336</v>
      </c>
      <c r="F719" s="11">
        <v>4</v>
      </c>
      <c r="G719" s="11">
        <v>6</v>
      </c>
      <c r="H719" s="13">
        <v>81588</v>
      </c>
      <c r="I719" s="11" t="s">
        <v>17</v>
      </c>
      <c r="J719" s="13">
        <v>16100766</v>
      </c>
      <c r="K719" s="18" t="s">
        <v>837</v>
      </c>
      <c r="L719" s="13" t="s">
        <v>838</v>
      </c>
      <c r="M719" s="17">
        <v>149900</v>
      </c>
      <c r="N719" s="15">
        <v>0.75</v>
      </c>
      <c r="O719" s="16">
        <f t="shared" si="55"/>
        <v>37475</v>
      </c>
      <c r="P719" s="11" t="s">
        <v>20</v>
      </c>
    </row>
    <row r="720" spans="1:16" x14ac:dyDescent="0.25">
      <c r="A720" s="9" t="str">
        <f t="shared" si="56"/>
        <v>2024 ALL D75</v>
      </c>
      <c r="B720" s="10">
        <f>'[1]2019 ALL D95'!B720</f>
        <v>46104</v>
      </c>
      <c r="C720" s="10">
        <f>'[1]2019 ALL D95'!C720</f>
        <v>46113</v>
      </c>
      <c r="D720" s="11">
        <v>3273</v>
      </c>
      <c r="E720" s="11">
        <v>336</v>
      </c>
      <c r="F720" s="11">
        <v>4</v>
      </c>
      <c r="G720" s="11">
        <v>6</v>
      </c>
      <c r="H720" s="13">
        <v>81588</v>
      </c>
      <c r="I720" s="11" t="s">
        <v>17</v>
      </c>
      <c r="J720" s="13">
        <v>16100775</v>
      </c>
      <c r="K720" s="18" t="s">
        <v>837</v>
      </c>
      <c r="L720" s="13" t="s">
        <v>839</v>
      </c>
      <c r="M720" s="17">
        <v>149900</v>
      </c>
      <c r="N720" s="15">
        <v>0.75</v>
      </c>
      <c r="O720" s="16">
        <f t="shared" si="55"/>
        <v>37475</v>
      </c>
      <c r="P720" s="11" t="s">
        <v>20</v>
      </c>
    </row>
    <row r="721" spans="1:16" x14ac:dyDescent="0.25">
      <c r="A721" s="9" t="str">
        <f t="shared" si="56"/>
        <v>2024 ALL D75</v>
      </c>
      <c r="B721" s="10">
        <f>'[1]2019 ALL D95'!B721</f>
        <v>46104</v>
      </c>
      <c r="C721" s="10">
        <f>'[1]2019 ALL D95'!C721</f>
        <v>46113</v>
      </c>
      <c r="D721" s="11">
        <v>3273</v>
      </c>
      <c r="E721" s="11">
        <v>336</v>
      </c>
      <c r="F721" s="11">
        <v>4</v>
      </c>
      <c r="G721" s="11">
        <v>6</v>
      </c>
      <c r="H721" s="13">
        <v>81588</v>
      </c>
      <c r="I721" s="11" t="s">
        <v>17</v>
      </c>
      <c r="J721" s="13">
        <v>16100784</v>
      </c>
      <c r="K721" s="18" t="s">
        <v>837</v>
      </c>
      <c r="L721" s="13" t="s">
        <v>840</v>
      </c>
      <c r="M721" s="17">
        <v>149900</v>
      </c>
      <c r="N721" s="15">
        <v>0.75</v>
      </c>
      <c r="O721" s="16">
        <f t="shared" si="55"/>
        <v>37475</v>
      </c>
      <c r="P721" s="11" t="s">
        <v>20</v>
      </c>
    </row>
    <row r="722" spans="1:16" x14ac:dyDescent="0.25">
      <c r="A722" s="9" t="str">
        <f t="shared" si="56"/>
        <v>2024 ALL D75</v>
      </c>
      <c r="B722" s="10">
        <f>'[1]2019 ALL D95'!B722</f>
        <v>46104</v>
      </c>
      <c r="C722" s="10">
        <f>'[1]2019 ALL D95'!C722</f>
        <v>46113</v>
      </c>
      <c r="D722" s="11">
        <v>3273</v>
      </c>
      <c r="E722" s="11">
        <v>336</v>
      </c>
      <c r="F722" s="11">
        <v>4</v>
      </c>
      <c r="G722" s="11">
        <v>6</v>
      </c>
      <c r="H722" s="13">
        <v>81588</v>
      </c>
      <c r="I722" s="11" t="s">
        <v>17</v>
      </c>
      <c r="J722" s="13">
        <v>16100793</v>
      </c>
      <c r="K722" s="18" t="s">
        <v>837</v>
      </c>
      <c r="L722" s="13" t="s">
        <v>841</v>
      </c>
      <c r="M722" s="17">
        <v>149900</v>
      </c>
      <c r="N722" s="15">
        <v>0.75</v>
      </c>
      <c r="O722" s="16">
        <f t="shared" si="55"/>
        <v>37475</v>
      </c>
      <c r="P722" s="11" t="s">
        <v>20</v>
      </c>
    </row>
    <row r="723" spans="1:16" x14ac:dyDescent="0.25">
      <c r="A723" s="9" t="str">
        <f t="shared" ref="A723:A738" si="57">A722</f>
        <v>2024 ALL D75</v>
      </c>
      <c r="B723" s="10">
        <f>'[1]2019 ALL D95'!B723</f>
        <v>46104</v>
      </c>
      <c r="C723" s="10">
        <f>'[1]2019 ALL D95'!C723</f>
        <v>46113</v>
      </c>
      <c r="D723" s="11">
        <v>3273</v>
      </c>
      <c r="E723" s="11">
        <v>336</v>
      </c>
      <c r="F723" s="11">
        <v>4</v>
      </c>
      <c r="G723" s="11">
        <v>6</v>
      </c>
      <c r="H723" s="13">
        <v>81588</v>
      </c>
      <c r="I723" s="11" t="s">
        <v>17</v>
      </c>
      <c r="J723" s="13">
        <v>16100800</v>
      </c>
      <c r="K723" s="18" t="s">
        <v>837</v>
      </c>
      <c r="L723" s="13" t="s">
        <v>842</v>
      </c>
      <c r="M723" s="17">
        <v>149900</v>
      </c>
      <c r="N723" s="15">
        <v>0.75</v>
      </c>
      <c r="O723" s="16">
        <f t="shared" si="55"/>
        <v>37475</v>
      </c>
      <c r="P723" s="11" t="s">
        <v>20</v>
      </c>
    </row>
    <row r="724" spans="1:16" x14ac:dyDescent="0.25">
      <c r="A724" s="9" t="str">
        <f t="shared" si="57"/>
        <v>2024 ALL D75</v>
      </c>
      <c r="B724" s="10">
        <f>'[1]2019 ALL D95'!B724</f>
        <v>46104</v>
      </c>
      <c r="C724" s="10">
        <f>'[1]2019 ALL D95'!C724</f>
        <v>46113</v>
      </c>
      <c r="D724" s="11">
        <v>3273</v>
      </c>
      <c r="E724" s="11">
        <v>336</v>
      </c>
      <c r="F724" s="11">
        <v>4</v>
      </c>
      <c r="G724" s="11">
        <v>6</v>
      </c>
      <c r="H724" s="13">
        <v>81588</v>
      </c>
      <c r="I724" s="11" t="s">
        <v>17</v>
      </c>
      <c r="J724" s="13">
        <v>16100819</v>
      </c>
      <c r="K724" s="18" t="s">
        <v>837</v>
      </c>
      <c r="L724" s="13" t="s">
        <v>843</v>
      </c>
      <c r="M724" s="17">
        <v>149900</v>
      </c>
      <c r="N724" s="15">
        <v>0.75</v>
      </c>
      <c r="O724" s="16">
        <f t="shared" si="55"/>
        <v>37475</v>
      </c>
      <c r="P724" s="11" t="s">
        <v>20</v>
      </c>
    </row>
    <row r="725" spans="1:16" x14ac:dyDescent="0.25">
      <c r="A725" s="9" t="str">
        <f t="shared" si="57"/>
        <v>2024 ALL D75</v>
      </c>
      <c r="B725" s="10">
        <f>'[1]2019 ALL D95'!B725</f>
        <v>46104</v>
      </c>
      <c r="C725" s="10">
        <f>'[1]2019 ALL D95'!C725</f>
        <v>46113</v>
      </c>
      <c r="D725" s="11">
        <v>3273</v>
      </c>
      <c r="E725" s="11">
        <v>336</v>
      </c>
      <c r="F725" s="11">
        <v>4</v>
      </c>
      <c r="G725" s="11">
        <v>6</v>
      </c>
      <c r="H725" s="13">
        <v>81588</v>
      </c>
      <c r="I725" s="11" t="s">
        <v>17</v>
      </c>
      <c r="J725" s="13">
        <v>16100828</v>
      </c>
      <c r="K725" s="18" t="s">
        <v>837</v>
      </c>
      <c r="L725" s="13" t="s">
        <v>844</v>
      </c>
      <c r="M725" s="17">
        <v>149900</v>
      </c>
      <c r="N725" s="15">
        <v>0.75</v>
      </c>
      <c r="O725" s="16">
        <f t="shared" si="55"/>
        <v>37475</v>
      </c>
      <c r="P725" s="11" t="s">
        <v>20</v>
      </c>
    </row>
    <row r="726" spans="1:16" x14ac:dyDescent="0.25">
      <c r="A726" s="9" t="str">
        <f t="shared" si="57"/>
        <v>2024 ALL D75</v>
      </c>
      <c r="B726" s="10">
        <f>'[1]2019 ALL D95'!B726</f>
        <v>46104</v>
      </c>
      <c r="C726" s="10">
        <f>'[1]2019 ALL D95'!C726</f>
        <v>46113</v>
      </c>
      <c r="D726" s="11">
        <v>3273</v>
      </c>
      <c r="E726" s="11">
        <v>336</v>
      </c>
      <c r="F726" s="11">
        <v>4</v>
      </c>
      <c r="G726" s="11">
        <v>6</v>
      </c>
      <c r="H726" s="13">
        <v>81588</v>
      </c>
      <c r="I726" s="11" t="s">
        <v>17</v>
      </c>
      <c r="J726" s="13">
        <v>16100837</v>
      </c>
      <c r="K726" s="18" t="s">
        <v>837</v>
      </c>
      <c r="L726" s="13" t="s">
        <v>845</v>
      </c>
      <c r="M726" s="17">
        <v>149900</v>
      </c>
      <c r="N726" s="15">
        <v>0.75</v>
      </c>
      <c r="O726" s="16">
        <f t="shared" si="55"/>
        <v>37475</v>
      </c>
      <c r="P726" s="11" t="s">
        <v>20</v>
      </c>
    </row>
    <row r="727" spans="1:16" x14ac:dyDescent="0.25">
      <c r="A727" s="9" t="str">
        <f t="shared" si="57"/>
        <v>2024 ALL D75</v>
      </c>
      <c r="B727" s="10">
        <f>'[1]2019 ALL D95'!B727</f>
        <v>46104</v>
      </c>
      <c r="C727" s="10">
        <f>'[1]2019 ALL D95'!C727</f>
        <v>46113</v>
      </c>
      <c r="D727" s="11">
        <v>3273</v>
      </c>
      <c r="E727" s="11">
        <v>336</v>
      </c>
      <c r="F727" s="11">
        <v>4</v>
      </c>
      <c r="G727" s="11">
        <v>6</v>
      </c>
      <c r="H727" s="13">
        <v>81588</v>
      </c>
      <c r="I727" s="11" t="s">
        <v>17</v>
      </c>
      <c r="J727" s="13">
        <v>16101005</v>
      </c>
      <c r="K727" s="18" t="s">
        <v>846</v>
      </c>
      <c r="L727" s="13" t="s">
        <v>847</v>
      </c>
      <c r="M727" s="17">
        <v>149900</v>
      </c>
      <c r="N727" s="15">
        <v>0.75</v>
      </c>
      <c r="O727" s="16">
        <f t="shared" si="55"/>
        <v>37475</v>
      </c>
      <c r="P727" s="11" t="s">
        <v>20</v>
      </c>
    </row>
    <row r="728" spans="1:16" x14ac:dyDescent="0.25">
      <c r="A728" s="9" t="str">
        <f t="shared" si="57"/>
        <v>2024 ALL D75</v>
      </c>
      <c r="B728" s="10">
        <f>'[1]2019 ALL D95'!B728</f>
        <v>46104</v>
      </c>
      <c r="C728" s="10">
        <f>'[1]2019 ALL D95'!C728</f>
        <v>46113</v>
      </c>
      <c r="D728" s="11">
        <v>3273</v>
      </c>
      <c r="E728" s="11">
        <v>336</v>
      </c>
      <c r="F728" s="11">
        <v>4</v>
      </c>
      <c r="G728" s="11">
        <v>6</v>
      </c>
      <c r="H728" s="13">
        <v>81588</v>
      </c>
      <c r="I728" s="11" t="s">
        <v>17</v>
      </c>
      <c r="J728" s="13">
        <v>16101014</v>
      </c>
      <c r="K728" s="18" t="s">
        <v>846</v>
      </c>
      <c r="L728" s="13" t="s">
        <v>848</v>
      </c>
      <c r="M728" s="17">
        <v>149900</v>
      </c>
      <c r="N728" s="15">
        <v>0.75</v>
      </c>
      <c r="O728" s="16">
        <f t="shared" si="55"/>
        <v>37475</v>
      </c>
      <c r="P728" s="11" t="s">
        <v>20</v>
      </c>
    </row>
    <row r="729" spans="1:16" x14ac:dyDescent="0.25">
      <c r="A729" s="9" t="str">
        <f t="shared" si="57"/>
        <v>2024 ALL D75</v>
      </c>
      <c r="B729" s="10">
        <f>'[1]2019 ALL D95'!B729</f>
        <v>46104</v>
      </c>
      <c r="C729" s="10">
        <f>'[1]2019 ALL D95'!C729</f>
        <v>46113</v>
      </c>
      <c r="D729" s="11">
        <v>3273</v>
      </c>
      <c r="E729" s="11">
        <v>336</v>
      </c>
      <c r="F729" s="11">
        <v>4</v>
      </c>
      <c r="G729" s="11">
        <v>6</v>
      </c>
      <c r="H729" s="13">
        <v>81588</v>
      </c>
      <c r="I729" s="11" t="s">
        <v>17</v>
      </c>
      <c r="J729" s="13">
        <v>16101023</v>
      </c>
      <c r="K729" s="18" t="s">
        <v>846</v>
      </c>
      <c r="L729" s="13" t="s">
        <v>849</v>
      </c>
      <c r="M729" s="17">
        <v>149900</v>
      </c>
      <c r="N729" s="15">
        <v>0.75</v>
      </c>
      <c r="O729" s="16">
        <f t="shared" si="55"/>
        <v>37475</v>
      </c>
      <c r="P729" s="11" t="s">
        <v>20</v>
      </c>
    </row>
    <row r="730" spans="1:16" x14ac:dyDescent="0.25">
      <c r="A730" s="9" t="str">
        <f t="shared" si="57"/>
        <v>2024 ALL D75</v>
      </c>
      <c r="B730" s="10">
        <f>'[1]2019 ALL D95'!B730</f>
        <v>46104</v>
      </c>
      <c r="C730" s="10">
        <f>'[1]2019 ALL D95'!C730</f>
        <v>46113</v>
      </c>
      <c r="D730" s="11">
        <v>3273</v>
      </c>
      <c r="E730" s="11">
        <v>336</v>
      </c>
      <c r="F730" s="11">
        <v>4</v>
      </c>
      <c r="G730" s="11">
        <v>6</v>
      </c>
      <c r="H730" s="13">
        <v>81676</v>
      </c>
      <c r="I730" s="11" t="s">
        <v>17</v>
      </c>
      <c r="J730" s="13">
        <v>16101032</v>
      </c>
      <c r="K730" s="18" t="s">
        <v>846</v>
      </c>
      <c r="L730" s="13" t="s">
        <v>850</v>
      </c>
      <c r="M730" s="17">
        <v>149900</v>
      </c>
      <c r="N730" s="15">
        <v>0.75</v>
      </c>
      <c r="O730" s="16">
        <f t="shared" si="55"/>
        <v>37475</v>
      </c>
      <c r="P730" s="11" t="s">
        <v>20</v>
      </c>
    </row>
    <row r="731" spans="1:16" x14ac:dyDescent="0.25">
      <c r="A731" s="9" t="str">
        <f t="shared" si="57"/>
        <v>2024 ALL D75</v>
      </c>
      <c r="B731" s="10">
        <f>'[1]2019 ALL D95'!B731</f>
        <v>46104</v>
      </c>
      <c r="C731" s="10">
        <f>'[1]2019 ALL D95'!C731</f>
        <v>46113</v>
      </c>
      <c r="D731" s="11">
        <v>3273</v>
      </c>
      <c r="E731" s="11">
        <v>336</v>
      </c>
      <c r="F731" s="11">
        <v>4</v>
      </c>
      <c r="G731" s="11">
        <v>6</v>
      </c>
      <c r="H731" s="13">
        <v>81676</v>
      </c>
      <c r="I731" s="11" t="s">
        <v>17</v>
      </c>
      <c r="J731" s="13">
        <v>16101041</v>
      </c>
      <c r="K731" s="18" t="s">
        <v>846</v>
      </c>
      <c r="L731" s="13" t="s">
        <v>851</v>
      </c>
      <c r="M731" s="17">
        <v>149900</v>
      </c>
      <c r="N731" s="15">
        <v>0.75</v>
      </c>
      <c r="O731" s="16">
        <f t="shared" si="55"/>
        <v>37475</v>
      </c>
      <c r="P731" s="11" t="s">
        <v>20</v>
      </c>
    </row>
    <row r="732" spans="1:16" x14ac:dyDescent="0.25">
      <c r="A732" s="9" t="str">
        <f t="shared" si="57"/>
        <v>2024 ALL D75</v>
      </c>
      <c r="B732" s="10">
        <f>'[1]2019 ALL D95'!B732</f>
        <v>46104</v>
      </c>
      <c r="C732" s="10">
        <f>'[1]2019 ALL D95'!C732</f>
        <v>46113</v>
      </c>
      <c r="D732" s="11">
        <v>3273</v>
      </c>
      <c r="E732" s="11">
        <v>336</v>
      </c>
      <c r="F732" s="11">
        <v>4</v>
      </c>
      <c r="G732" s="11">
        <v>6</v>
      </c>
      <c r="H732" s="13">
        <v>81676</v>
      </c>
      <c r="I732" s="11" t="s">
        <v>17</v>
      </c>
      <c r="J732" s="13">
        <v>16101050</v>
      </c>
      <c r="K732" s="18" t="s">
        <v>852</v>
      </c>
      <c r="L732" s="13" t="s">
        <v>853</v>
      </c>
      <c r="M732" s="17">
        <v>149900</v>
      </c>
      <c r="N732" s="15">
        <v>0.75</v>
      </c>
      <c r="O732" s="16">
        <f t="shared" si="55"/>
        <v>37475</v>
      </c>
      <c r="P732" s="11" t="s">
        <v>20</v>
      </c>
    </row>
    <row r="733" spans="1:16" x14ac:dyDescent="0.25">
      <c r="A733" s="9" t="str">
        <f t="shared" si="57"/>
        <v>2024 ALL D75</v>
      </c>
      <c r="B733" s="10">
        <f>'[1]2019 ALL D95'!B733</f>
        <v>46104</v>
      </c>
      <c r="C733" s="10">
        <f>'[1]2019 ALL D95'!C733</f>
        <v>46113</v>
      </c>
      <c r="D733" s="11">
        <v>3273</v>
      </c>
      <c r="E733" s="11">
        <v>336</v>
      </c>
      <c r="F733" s="11">
        <v>4</v>
      </c>
      <c r="G733" s="11">
        <v>6</v>
      </c>
      <c r="H733" s="13">
        <v>81676</v>
      </c>
      <c r="I733" s="11" t="s">
        <v>17</v>
      </c>
      <c r="J733" s="13">
        <v>16101069</v>
      </c>
      <c r="K733" s="18" t="s">
        <v>852</v>
      </c>
      <c r="L733" s="13" t="s">
        <v>854</v>
      </c>
      <c r="M733" s="17">
        <v>149900</v>
      </c>
      <c r="N733" s="15">
        <v>0.75</v>
      </c>
      <c r="O733" s="16">
        <f t="shared" si="55"/>
        <v>37475</v>
      </c>
      <c r="P733" s="11" t="s">
        <v>20</v>
      </c>
    </row>
    <row r="734" spans="1:16" x14ac:dyDescent="0.25">
      <c r="A734" s="9" t="str">
        <f t="shared" si="57"/>
        <v>2024 ALL D75</v>
      </c>
      <c r="B734" s="10">
        <f>'[1]2019 ALL D95'!B734</f>
        <v>46104</v>
      </c>
      <c r="C734" s="10">
        <f>'[1]2019 ALL D95'!C734</f>
        <v>46113</v>
      </c>
      <c r="D734" s="11">
        <v>3273</v>
      </c>
      <c r="E734" s="11">
        <v>336</v>
      </c>
      <c r="F734" s="11">
        <v>4</v>
      </c>
      <c r="G734" s="11">
        <v>6</v>
      </c>
      <c r="H734" s="13">
        <v>81676</v>
      </c>
      <c r="I734" s="11" t="s">
        <v>17</v>
      </c>
      <c r="J734" s="13">
        <v>16101078</v>
      </c>
      <c r="K734" s="18" t="s">
        <v>852</v>
      </c>
      <c r="L734" s="13" t="s">
        <v>855</v>
      </c>
      <c r="M734" s="17">
        <v>149900</v>
      </c>
      <c r="N734" s="15">
        <v>0.75</v>
      </c>
      <c r="O734" s="16">
        <f t="shared" si="55"/>
        <v>37475</v>
      </c>
      <c r="P734" s="11" t="s">
        <v>20</v>
      </c>
    </row>
    <row r="735" spans="1:16" x14ac:dyDescent="0.25">
      <c r="A735" s="9" t="str">
        <f t="shared" si="57"/>
        <v>2024 ALL D75</v>
      </c>
      <c r="B735" s="10">
        <f>'[1]2019 ALL D95'!B735</f>
        <v>46104</v>
      </c>
      <c r="C735" s="10">
        <f>'[1]2019 ALL D95'!C735</f>
        <v>46113</v>
      </c>
      <c r="D735" s="11">
        <v>3273</v>
      </c>
      <c r="E735" s="11">
        <v>336</v>
      </c>
      <c r="F735" s="11">
        <v>4</v>
      </c>
      <c r="G735" s="11">
        <v>6</v>
      </c>
      <c r="H735" s="13">
        <v>81676</v>
      </c>
      <c r="I735" s="11" t="s">
        <v>17</v>
      </c>
      <c r="J735" s="13">
        <v>16101087</v>
      </c>
      <c r="K735" s="18" t="s">
        <v>852</v>
      </c>
      <c r="L735" s="13" t="s">
        <v>856</v>
      </c>
      <c r="M735" s="17">
        <v>149900</v>
      </c>
      <c r="N735" s="15">
        <v>0.75</v>
      </c>
      <c r="O735" s="16">
        <f t="shared" si="55"/>
        <v>37475</v>
      </c>
      <c r="P735" s="11" t="s">
        <v>20</v>
      </c>
    </row>
    <row r="736" spans="1:16" x14ac:dyDescent="0.25">
      <c r="A736" s="9" t="str">
        <f t="shared" si="57"/>
        <v>2024 ALL D75</v>
      </c>
      <c r="B736" s="10">
        <f>'[1]2019 ALL D95'!B736</f>
        <v>46104</v>
      </c>
      <c r="C736" s="10">
        <f>'[1]2019 ALL D95'!C736</f>
        <v>46113</v>
      </c>
      <c r="D736" s="11">
        <v>3273</v>
      </c>
      <c r="E736" s="11">
        <v>336</v>
      </c>
      <c r="F736" s="11">
        <v>4</v>
      </c>
      <c r="G736" s="11">
        <v>6</v>
      </c>
      <c r="H736" s="13">
        <v>81676</v>
      </c>
      <c r="I736" s="11" t="s">
        <v>17</v>
      </c>
      <c r="J736" s="13">
        <v>16101096</v>
      </c>
      <c r="K736" s="18" t="s">
        <v>852</v>
      </c>
      <c r="L736" s="13" t="s">
        <v>857</v>
      </c>
      <c r="M736" s="17">
        <v>149900</v>
      </c>
      <c r="N736" s="15">
        <v>0.75</v>
      </c>
      <c r="O736" s="16">
        <f t="shared" si="55"/>
        <v>37475</v>
      </c>
      <c r="P736" s="11" t="s">
        <v>20</v>
      </c>
    </row>
    <row r="737" spans="1:16" x14ac:dyDescent="0.25">
      <c r="A737" s="9" t="str">
        <f t="shared" si="57"/>
        <v>2024 ALL D75</v>
      </c>
      <c r="B737" s="10">
        <f>'[1]2019 ALL D95'!B737</f>
        <v>46104</v>
      </c>
      <c r="C737" s="10">
        <f>'[1]2019 ALL D95'!C737</f>
        <v>46113</v>
      </c>
      <c r="D737" s="11">
        <v>3273</v>
      </c>
      <c r="E737" s="11">
        <v>336</v>
      </c>
      <c r="F737" s="11">
        <v>4</v>
      </c>
      <c r="G737" s="11">
        <v>6</v>
      </c>
      <c r="H737" s="13">
        <v>81676</v>
      </c>
      <c r="I737" s="11" t="s">
        <v>17</v>
      </c>
      <c r="J737" s="13">
        <v>16101103</v>
      </c>
      <c r="K737" s="18" t="s">
        <v>852</v>
      </c>
      <c r="L737" s="13" t="s">
        <v>858</v>
      </c>
      <c r="M737" s="17">
        <v>149900</v>
      </c>
      <c r="N737" s="15">
        <v>0.75</v>
      </c>
      <c r="O737" s="16">
        <f t="shared" si="55"/>
        <v>37475</v>
      </c>
      <c r="P737" s="11" t="s">
        <v>20</v>
      </c>
    </row>
    <row r="738" spans="1:16" x14ac:dyDescent="0.25">
      <c r="A738" s="9" t="str">
        <f t="shared" si="57"/>
        <v>2024 ALL D75</v>
      </c>
      <c r="B738" s="10">
        <f>'[1]2019 ALL D95'!B738</f>
        <v>46104</v>
      </c>
      <c r="C738" s="10">
        <f>'[1]2019 ALL D95'!C738</f>
        <v>46113</v>
      </c>
      <c r="D738" s="11">
        <v>3273</v>
      </c>
      <c r="E738" s="11">
        <v>336</v>
      </c>
      <c r="F738" s="11">
        <v>4</v>
      </c>
      <c r="G738" s="11">
        <v>6</v>
      </c>
      <c r="H738" s="13">
        <v>81676</v>
      </c>
      <c r="I738" s="11" t="s">
        <v>17</v>
      </c>
      <c r="J738" s="13">
        <v>16101112</v>
      </c>
      <c r="K738" s="18" t="s">
        <v>852</v>
      </c>
      <c r="L738" s="13" t="s">
        <v>859</v>
      </c>
      <c r="M738" s="17">
        <v>149900</v>
      </c>
      <c r="N738" s="15">
        <v>0.75</v>
      </c>
      <c r="O738" s="16">
        <f t="shared" si="55"/>
        <v>37475</v>
      </c>
      <c r="P738" s="11" t="s">
        <v>20</v>
      </c>
    </row>
    <row r="739" spans="1:16" x14ac:dyDescent="0.25">
      <c r="A739" s="9" t="str">
        <f t="shared" ref="A739:A754" si="58">A738</f>
        <v>2024 ALL D75</v>
      </c>
      <c r="B739" s="10">
        <f>'[1]2019 ALL D95'!B739</f>
        <v>46104</v>
      </c>
      <c r="C739" s="10">
        <f>'[1]2019 ALL D95'!C739</f>
        <v>46113</v>
      </c>
      <c r="D739" s="11">
        <v>3273</v>
      </c>
      <c r="E739" s="11">
        <v>336</v>
      </c>
      <c r="F739" s="11">
        <v>4</v>
      </c>
      <c r="G739" s="11">
        <v>6</v>
      </c>
      <c r="H739" s="13">
        <v>81676</v>
      </c>
      <c r="I739" s="11" t="s">
        <v>17</v>
      </c>
      <c r="J739" s="13">
        <v>16101121</v>
      </c>
      <c r="K739" s="18" t="s">
        <v>852</v>
      </c>
      <c r="L739" s="13" t="s">
        <v>860</v>
      </c>
      <c r="M739" s="17">
        <v>149900</v>
      </c>
      <c r="N739" s="15">
        <v>0.75</v>
      </c>
      <c r="O739" s="16">
        <f t="shared" si="55"/>
        <v>37475</v>
      </c>
      <c r="P739" s="11" t="s">
        <v>20</v>
      </c>
    </row>
    <row r="740" spans="1:16" x14ac:dyDescent="0.25">
      <c r="A740" s="9" t="str">
        <f t="shared" si="58"/>
        <v>2024 ALL D75</v>
      </c>
      <c r="B740" s="10">
        <f>'[1]2019 ALL D95'!B740</f>
        <v>46104</v>
      </c>
      <c r="C740" s="10">
        <f>'[1]2019 ALL D95'!C740</f>
        <v>46113</v>
      </c>
      <c r="D740" s="11">
        <v>3273</v>
      </c>
      <c r="E740" s="11">
        <v>336</v>
      </c>
      <c r="F740" s="11">
        <v>4</v>
      </c>
      <c r="G740" s="11">
        <v>6</v>
      </c>
      <c r="H740" s="13">
        <v>81676</v>
      </c>
      <c r="I740" s="11" t="s">
        <v>17</v>
      </c>
      <c r="J740" s="13">
        <v>16101596</v>
      </c>
      <c r="K740" s="18" t="s">
        <v>861</v>
      </c>
      <c r="L740" s="13" t="s">
        <v>862</v>
      </c>
      <c r="M740" s="17">
        <v>149900</v>
      </c>
      <c r="N740" s="15">
        <v>0.75</v>
      </c>
      <c r="O740" s="16">
        <f t="shared" si="55"/>
        <v>37475</v>
      </c>
      <c r="P740" s="11" t="s">
        <v>20</v>
      </c>
    </row>
    <row r="741" spans="1:16" x14ac:dyDescent="0.25">
      <c r="A741" s="9" t="str">
        <f t="shared" si="58"/>
        <v>2024 ALL D75</v>
      </c>
      <c r="B741" s="10">
        <f>'[1]2019 ALL D95'!B741</f>
        <v>46104</v>
      </c>
      <c r="C741" s="10">
        <f>'[1]2019 ALL D95'!C741</f>
        <v>46113</v>
      </c>
      <c r="D741" s="11">
        <v>3273</v>
      </c>
      <c r="E741" s="11">
        <v>336</v>
      </c>
      <c r="F741" s="11">
        <v>4</v>
      </c>
      <c r="G741" s="11">
        <v>6</v>
      </c>
      <c r="H741" s="13">
        <v>81676</v>
      </c>
      <c r="I741" s="11" t="s">
        <v>17</v>
      </c>
      <c r="J741" s="13">
        <v>16101603</v>
      </c>
      <c r="K741" s="18" t="s">
        <v>861</v>
      </c>
      <c r="L741" s="13" t="s">
        <v>863</v>
      </c>
      <c r="M741" s="17">
        <v>149900</v>
      </c>
      <c r="N741" s="15">
        <v>0.75</v>
      </c>
      <c r="O741" s="16">
        <f t="shared" si="55"/>
        <v>37475</v>
      </c>
      <c r="P741" s="11" t="s">
        <v>20</v>
      </c>
    </row>
    <row r="742" spans="1:16" x14ac:dyDescent="0.25">
      <c r="A742" s="9" t="str">
        <f t="shared" si="58"/>
        <v>2024 ALL D75</v>
      </c>
      <c r="B742" s="10">
        <f>'[1]2019 ALL D95'!B742</f>
        <v>46104</v>
      </c>
      <c r="C742" s="10">
        <f>'[1]2019 ALL D95'!C742</f>
        <v>46113</v>
      </c>
      <c r="D742" s="11">
        <v>3273</v>
      </c>
      <c r="E742" s="11">
        <v>336</v>
      </c>
      <c r="F742" s="11">
        <v>4</v>
      </c>
      <c r="G742" s="11">
        <v>6</v>
      </c>
      <c r="H742" s="13">
        <v>81676</v>
      </c>
      <c r="I742" s="11" t="s">
        <v>17</v>
      </c>
      <c r="J742" s="13">
        <v>16101612</v>
      </c>
      <c r="K742" s="18" t="s">
        <v>861</v>
      </c>
      <c r="L742" s="13" t="s">
        <v>864</v>
      </c>
      <c r="M742" s="17">
        <v>149900</v>
      </c>
      <c r="N742" s="15">
        <v>0.75</v>
      </c>
      <c r="O742" s="16">
        <f t="shared" si="55"/>
        <v>37475</v>
      </c>
      <c r="P742" s="11" t="s">
        <v>20</v>
      </c>
    </row>
    <row r="743" spans="1:16" x14ac:dyDescent="0.25">
      <c r="A743" s="9" t="str">
        <f t="shared" si="58"/>
        <v>2024 ALL D75</v>
      </c>
      <c r="B743" s="10">
        <f>'[1]2019 ALL D95'!B743</f>
        <v>46104</v>
      </c>
      <c r="C743" s="10">
        <f>'[1]2019 ALL D95'!C743</f>
        <v>46113</v>
      </c>
      <c r="D743" s="11">
        <v>3273</v>
      </c>
      <c r="E743" s="11">
        <v>336</v>
      </c>
      <c r="F743" s="11">
        <v>4</v>
      </c>
      <c r="G743" s="11">
        <v>6</v>
      </c>
      <c r="H743" s="13">
        <v>81676</v>
      </c>
      <c r="I743" s="11" t="s">
        <v>17</v>
      </c>
      <c r="J743" s="13">
        <v>16101621</v>
      </c>
      <c r="K743" s="18" t="s">
        <v>861</v>
      </c>
      <c r="L743" s="13" t="s">
        <v>865</v>
      </c>
      <c r="M743" s="17">
        <v>149900</v>
      </c>
      <c r="N743" s="15">
        <v>0.75</v>
      </c>
      <c r="O743" s="16">
        <f t="shared" si="55"/>
        <v>37475</v>
      </c>
      <c r="P743" s="11" t="s">
        <v>20</v>
      </c>
    </row>
    <row r="744" spans="1:16" x14ac:dyDescent="0.25">
      <c r="A744" s="9" t="str">
        <f t="shared" si="58"/>
        <v>2024 ALL D75</v>
      </c>
      <c r="B744" s="10">
        <f>'[1]2019 ALL D95'!B744</f>
        <v>46104</v>
      </c>
      <c r="C744" s="10">
        <f>'[1]2019 ALL D95'!C744</f>
        <v>46113</v>
      </c>
      <c r="D744" s="11">
        <v>3273</v>
      </c>
      <c r="E744" s="11">
        <v>336</v>
      </c>
      <c r="F744" s="11">
        <v>4</v>
      </c>
      <c r="G744" s="11">
        <v>6</v>
      </c>
      <c r="H744" s="13">
        <v>81676</v>
      </c>
      <c r="I744" s="11" t="s">
        <v>17</v>
      </c>
      <c r="J744" s="13">
        <v>16101630</v>
      </c>
      <c r="K744" s="18" t="s">
        <v>861</v>
      </c>
      <c r="L744" s="13" t="s">
        <v>866</v>
      </c>
      <c r="M744" s="17">
        <v>149900</v>
      </c>
      <c r="N744" s="15">
        <v>0.75</v>
      </c>
      <c r="O744" s="16">
        <f t="shared" si="55"/>
        <v>37475</v>
      </c>
      <c r="P744" s="11" t="s">
        <v>20</v>
      </c>
    </row>
    <row r="745" spans="1:16" x14ac:dyDescent="0.25">
      <c r="A745" s="9" t="str">
        <f t="shared" si="58"/>
        <v>2024 ALL D75</v>
      </c>
      <c r="B745" s="10">
        <f>'[1]2019 ALL D95'!B745</f>
        <v>46104</v>
      </c>
      <c r="C745" s="10">
        <f>'[1]2019 ALL D95'!C745</f>
        <v>46113</v>
      </c>
      <c r="D745" s="11">
        <v>3273</v>
      </c>
      <c r="E745" s="11">
        <v>336</v>
      </c>
      <c r="F745" s="11">
        <v>4</v>
      </c>
      <c r="G745" s="11">
        <v>6</v>
      </c>
      <c r="H745" s="13">
        <v>81676</v>
      </c>
      <c r="I745" s="11" t="s">
        <v>17</v>
      </c>
      <c r="J745" s="13">
        <v>16101649</v>
      </c>
      <c r="K745" s="18" t="s">
        <v>867</v>
      </c>
      <c r="L745" s="13" t="s">
        <v>868</v>
      </c>
      <c r="M745" s="17">
        <v>139900</v>
      </c>
      <c r="N745" s="15">
        <v>0.75</v>
      </c>
      <c r="O745" s="16">
        <f t="shared" si="55"/>
        <v>34975</v>
      </c>
      <c r="P745" s="11" t="s">
        <v>20</v>
      </c>
    </row>
    <row r="746" spans="1:16" x14ac:dyDescent="0.25">
      <c r="A746" s="9" t="str">
        <f t="shared" si="58"/>
        <v>2024 ALL D75</v>
      </c>
      <c r="B746" s="10">
        <f>'[1]2019 ALL D95'!B746</f>
        <v>46104</v>
      </c>
      <c r="C746" s="10">
        <f>'[1]2019 ALL D95'!C746</f>
        <v>46113</v>
      </c>
      <c r="D746" s="11">
        <v>3273</v>
      </c>
      <c r="E746" s="11">
        <v>336</v>
      </c>
      <c r="F746" s="11">
        <v>4</v>
      </c>
      <c r="G746" s="11">
        <v>6</v>
      </c>
      <c r="H746" s="13">
        <v>81588</v>
      </c>
      <c r="I746" s="11" t="s">
        <v>17</v>
      </c>
      <c r="J746" s="13">
        <v>16101658</v>
      </c>
      <c r="K746" s="18" t="s">
        <v>867</v>
      </c>
      <c r="L746" s="13" t="s">
        <v>869</v>
      </c>
      <c r="M746" s="17">
        <v>139900</v>
      </c>
      <c r="N746" s="15">
        <v>0.75</v>
      </c>
      <c r="O746" s="16">
        <f t="shared" si="55"/>
        <v>34975</v>
      </c>
      <c r="P746" s="11" t="s">
        <v>20</v>
      </c>
    </row>
    <row r="747" spans="1:16" x14ac:dyDescent="0.25">
      <c r="A747" s="9" t="str">
        <f t="shared" si="58"/>
        <v>2024 ALL D75</v>
      </c>
      <c r="B747" s="10">
        <f>'[1]2019 ALL D95'!B747</f>
        <v>46104</v>
      </c>
      <c r="C747" s="10">
        <f>'[1]2019 ALL D95'!C747</f>
        <v>46113</v>
      </c>
      <c r="D747" s="11">
        <v>3273</v>
      </c>
      <c r="E747" s="11">
        <v>336</v>
      </c>
      <c r="F747" s="11">
        <v>4</v>
      </c>
      <c r="G747" s="11">
        <v>6</v>
      </c>
      <c r="H747" s="13">
        <v>81588</v>
      </c>
      <c r="I747" s="11" t="s">
        <v>17</v>
      </c>
      <c r="J747" s="13">
        <v>16101667</v>
      </c>
      <c r="K747" s="18" t="s">
        <v>867</v>
      </c>
      <c r="L747" s="13" t="s">
        <v>870</v>
      </c>
      <c r="M747" s="17">
        <v>139900</v>
      </c>
      <c r="N747" s="15">
        <v>0.75</v>
      </c>
      <c r="O747" s="16">
        <f t="shared" si="55"/>
        <v>34975</v>
      </c>
      <c r="P747" s="11" t="s">
        <v>20</v>
      </c>
    </row>
    <row r="748" spans="1:16" x14ac:dyDescent="0.25">
      <c r="A748" s="9" t="str">
        <f t="shared" si="58"/>
        <v>2024 ALL D75</v>
      </c>
      <c r="B748" s="10">
        <f>'[1]2019 ALL D95'!B748</f>
        <v>46104</v>
      </c>
      <c r="C748" s="10">
        <f>'[1]2019 ALL D95'!C748</f>
        <v>46113</v>
      </c>
      <c r="D748" s="11">
        <v>3273</v>
      </c>
      <c r="E748" s="11">
        <v>336</v>
      </c>
      <c r="F748" s="11">
        <v>4</v>
      </c>
      <c r="G748" s="11">
        <v>6</v>
      </c>
      <c r="H748" s="13">
        <v>81588</v>
      </c>
      <c r="I748" s="11" t="s">
        <v>17</v>
      </c>
      <c r="J748" s="13">
        <v>16101676</v>
      </c>
      <c r="K748" s="18" t="s">
        <v>867</v>
      </c>
      <c r="L748" s="13" t="s">
        <v>871</v>
      </c>
      <c r="M748" s="17">
        <v>139900</v>
      </c>
      <c r="N748" s="15">
        <v>0.75</v>
      </c>
      <c r="O748" s="16">
        <f t="shared" si="55"/>
        <v>34975</v>
      </c>
      <c r="P748" s="11" t="s">
        <v>20</v>
      </c>
    </row>
    <row r="749" spans="1:16" x14ac:dyDescent="0.25">
      <c r="A749" s="9" t="str">
        <f t="shared" si="58"/>
        <v>2024 ALL D75</v>
      </c>
      <c r="B749" s="10">
        <f>'[1]2019 ALL D95'!B749</f>
        <v>46104</v>
      </c>
      <c r="C749" s="10">
        <f>'[1]2019 ALL D95'!C749</f>
        <v>46113</v>
      </c>
      <c r="D749" s="11">
        <v>3273</v>
      </c>
      <c r="E749" s="11">
        <v>336</v>
      </c>
      <c r="F749" s="11">
        <v>4</v>
      </c>
      <c r="G749" s="11">
        <v>6</v>
      </c>
      <c r="H749" s="13">
        <v>81588</v>
      </c>
      <c r="I749" s="11" t="s">
        <v>17</v>
      </c>
      <c r="J749" s="13">
        <v>16101685</v>
      </c>
      <c r="K749" s="18" t="s">
        <v>867</v>
      </c>
      <c r="L749" s="13" t="s">
        <v>872</v>
      </c>
      <c r="M749" s="17">
        <v>139900</v>
      </c>
      <c r="N749" s="15">
        <v>0.75</v>
      </c>
      <c r="O749" s="16">
        <f t="shared" si="55"/>
        <v>34975</v>
      </c>
      <c r="P749" s="11" t="s">
        <v>20</v>
      </c>
    </row>
    <row r="750" spans="1:16" x14ac:dyDescent="0.25">
      <c r="A750" s="9" t="str">
        <f t="shared" si="58"/>
        <v>2024 ALL D75</v>
      </c>
      <c r="B750" s="10">
        <f>'[1]2019 ALL D95'!B750</f>
        <v>46104</v>
      </c>
      <c r="C750" s="10">
        <f>'[1]2019 ALL D95'!C750</f>
        <v>46113</v>
      </c>
      <c r="D750" s="11">
        <v>3273</v>
      </c>
      <c r="E750" s="11">
        <v>336</v>
      </c>
      <c r="F750" s="11">
        <v>4</v>
      </c>
      <c r="G750" s="11">
        <v>6</v>
      </c>
      <c r="H750" s="13">
        <v>81588</v>
      </c>
      <c r="I750" s="11" t="s">
        <v>17</v>
      </c>
      <c r="J750" s="13">
        <v>16281786</v>
      </c>
      <c r="K750" s="18" t="s">
        <v>873</v>
      </c>
      <c r="L750" s="13" t="s">
        <v>874</v>
      </c>
      <c r="M750" s="17">
        <v>139900</v>
      </c>
      <c r="N750" s="15">
        <v>0.75</v>
      </c>
      <c r="O750" s="16">
        <f t="shared" si="55"/>
        <v>34975</v>
      </c>
      <c r="P750" s="11" t="s">
        <v>20</v>
      </c>
    </row>
    <row r="751" spans="1:16" x14ac:dyDescent="0.25">
      <c r="A751" s="9" t="str">
        <f t="shared" si="58"/>
        <v>2024 ALL D75</v>
      </c>
      <c r="B751" s="10">
        <f>'[1]2019 ALL D95'!B751</f>
        <v>46104</v>
      </c>
      <c r="C751" s="10">
        <f>'[1]2019 ALL D95'!C751</f>
        <v>46113</v>
      </c>
      <c r="D751" s="11">
        <v>3273</v>
      </c>
      <c r="E751" s="11">
        <v>336</v>
      </c>
      <c r="F751" s="11">
        <v>4</v>
      </c>
      <c r="G751" s="11">
        <v>6</v>
      </c>
      <c r="H751" s="13">
        <v>81588</v>
      </c>
      <c r="I751" s="11" t="s">
        <v>17</v>
      </c>
      <c r="J751" s="13">
        <v>16281795</v>
      </c>
      <c r="K751" s="18" t="s">
        <v>873</v>
      </c>
      <c r="L751" s="13" t="s">
        <v>875</v>
      </c>
      <c r="M751" s="17">
        <v>139900</v>
      </c>
      <c r="N751" s="15">
        <v>0.75</v>
      </c>
      <c r="O751" s="16">
        <f t="shared" si="55"/>
        <v>34975</v>
      </c>
      <c r="P751" s="11" t="s">
        <v>20</v>
      </c>
    </row>
    <row r="752" spans="1:16" x14ac:dyDescent="0.25">
      <c r="A752" s="9" t="str">
        <f t="shared" si="58"/>
        <v>2024 ALL D75</v>
      </c>
      <c r="B752" s="10">
        <f>'[1]2019 ALL D95'!B752</f>
        <v>46104</v>
      </c>
      <c r="C752" s="10">
        <f>'[1]2019 ALL D95'!C752</f>
        <v>46113</v>
      </c>
      <c r="D752" s="11">
        <v>3273</v>
      </c>
      <c r="E752" s="11">
        <v>336</v>
      </c>
      <c r="F752" s="11">
        <v>4</v>
      </c>
      <c r="G752" s="11">
        <v>6</v>
      </c>
      <c r="H752" s="13">
        <v>81588</v>
      </c>
      <c r="I752" s="11" t="s">
        <v>17</v>
      </c>
      <c r="J752" s="13">
        <v>16281802</v>
      </c>
      <c r="K752" s="18" t="s">
        <v>873</v>
      </c>
      <c r="L752" s="13" t="s">
        <v>876</v>
      </c>
      <c r="M752" s="17">
        <v>139900</v>
      </c>
      <c r="N752" s="15">
        <v>0.75</v>
      </c>
      <c r="O752" s="16">
        <f t="shared" si="55"/>
        <v>34975</v>
      </c>
      <c r="P752" s="11" t="s">
        <v>20</v>
      </c>
    </row>
    <row r="753" spans="1:16" x14ac:dyDescent="0.25">
      <c r="A753" s="9" t="str">
        <f t="shared" si="58"/>
        <v>2024 ALL D75</v>
      </c>
      <c r="B753" s="10">
        <f>'[1]2019 ALL D95'!B753</f>
        <v>46104</v>
      </c>
      <c r="C753" s="10">
        <f>'[1]2019 ALL D95'!C753</f>
        <v>46113</v>
      </c>
      <c r="D753" s="11">
        <v>3273</v>
      </c>
      <c r="E753" s="11">
        <v>336</v>
      </c>
      <c r="F753" s="11">
        <v>4</v>
      </c>
      <c r="G753" s="11">
        <v>6</v>
      </c>
      <c r="H753" s="13">
        <v>81588</v>
      </c>
      <c r="I753" s="11" t="s">
        <v>17</v>
      </c>
      <c r="J753" s="13">
        <v>16281811</v>
      </c>
      <c r="K753" s="18" t="s">
        <v>873</v>
      </c>
      <c r="L753" s="13" t="s">
        <v>877</v>
      </c>
      <c r="M753" s="17">
        <v>139900</v>
      </c>
      <c r="N753" s="15">
        <v>0.75</v>
      </c>
      <c r="O753" s="16">
        <f t="shared" si="55"/>
        <v>34975</v>
      </c>
      <c r="P753" s="11" t="s">
        <v>20</v>
      </c>
    </row>
    <row r="754" spans="1:16" x14ac:dyDescent="0.25">
      <c r="A754" s="9" t="str">
        <f t="shared" si="58"/>
        <v>2024 ALL D75</v>
      </c>
      <c r="B754" s="10">
        <f>'[1]2019 ALL D95'!B754</f>
        <v>46104</v>
      </c>
      <c r="C754" s="10">
        <f>'[1]2019 ALL D95'!C754</f>
        <v>46113</v>
      </c>
      <c r="D754" s="11">
        <v>3273</v>
      </c>
      <c r="E754" s="11">
        <v>336</v>
      </c>
      <c r="F754" s="11">
        <v>4</v>
      </c>
      <c r="G754" s="11">
        <v>6</v>
      </c>
      <c r="H754" s="13">
        <v>81588</v>
      </c>
      <c r="I754" s="11" t="s">
        <v>17</v>
      </c>
      <c r="J754" s="13">
        <v>16281820</v>
      </c>
      <c r="K754" s="18" t="s">
        <v>873</v>
      </c>
      <c r="L754" s="13" t="s">
        <v>878</v>
      </c>
      <c r="M754" s="17">
        <v>139900</v>
      </c>
      <c r="N754" s="15">
        <v>0.75</v>
      </c>
      <c r="O754" s="16">
        <f t="shared" si="55"/>
        <v>34975</v>
      </c>
      <c r="P754" s="11" t="s">
        <v>20</v>
      </c>
    </row>
    <row r="755" spans="1:16" x14ac:dyDescent="0.25">
      <c r="A755" s="9" t="str">
        <f t="shared" ref="A755:A770" si="59">A754</f>
        <v>2024 ALL D75</v>
      </c>
      <c r="B755" s="10">
        <f>'[1]2019 ALL D95'!B755</f>
        <v>46104</v>
      </c>
      <c r="C755" s="10">
        <f>'[1]2019 ALL D95'!C755</f>
        <v>46113</v>
      </c>
      <c r="D755" s="11">
        <v>3273</v>
      </c>
      <c r="E755" s="11">
        <v>336</v>
      </c>
      <c r="F755" s="11">
        <v>4</v>
      </c>
      <c r="G755" s="11">
        <v>6</v>
      </c>
      <c r="H755" s="13">
        <v>81588</v>
      </c>
      <c r="I755" s="11" t="s">
        <v>17</v>
      </c>
      <c r="J755" s="13">
        <v>16281839</v>
      </c>
      <c r="K755" s="18" t="s">
        <v>873</v>
      </c>
      <c r="L755" s="13" t="s">
        <v>879</v>
      </c>
      <c r="M755" s="17">
        <v>139900</v>
      </c>
      <c r="N755" s="15">
        <v>0.75</v>
      </c>
      <c r="O755" s="16">
        <f t="shared" si="55"/>
        <v>34975</v>
      </c>
      <c r="P755" s="11" t="s">
        <v>20</v>
      </c>
    </row>
    <row r="756" spans="1:16" x14ac:dyDescent="0.25">
      <c r="A756" s="9" t="str">
        <f t="shared" si="59"/>
        <v>2024 ALL D75</v>
      </c>
      <c r="B756" s="10">
        <f>'[1]2019 ALL D95'!B756</f>
        <v>46104</v>
      </c>
      <c r="C756" s="10">
        <f>'[1]2019 ALL D95'!C756</f>
        <v>46113</v>
      </c>
      <c r="D756" s="11">
        <v>3273</v>
      </c>
      <c r="E756" s="11">
        <v>336</v>
      </c>
      <c r="F756" s="11">
        <v>4</v>
      </c>
      <c r="G756" s="11">
        <v>6</v>
      </c>
      <c r="H756" s="13">
        <v>81588</v>
      </c>
      <c r="I756" s="11" t="s">
        <v>17</v>
      </c>
      <c r="J756" s="13">
        <v>16281848</v>
      </c>
      <c r="K756" s="18" t="s">
        <v>873</v>
      </c>
      <c r="L756" s="13" t="s">
        <v>880</v>
      </c>
      <c r="M756" s="17">
        <v>139900</v>
      </c>
      <c r="N756" s="15">
        <v>0.75</v>
      </c>
      <c r="O756" s="16">
        <f t="shared" si="55"/>
        <v>34975</v>
      </c>
      <c r="P756" s="11" t="s">
        <v>20</v>
      </c>
    </row>
    <row r="757" spans="1:16" x14ac:dyDescent="0.25">
      <c r="A757" s="9" t="str">
        <f t="shared" si="59"/>
        <v>2024 ALL D75</v>
      </c>
      <c r="B757" s="10">
        <f>'[1]2019 ALL D95'!B757</f>
        <v>46104</v>
      </c>
      <c r="C757" s="10">
        <f>'[1]2019 ALL D95'!C757</f>
        <v>46113</v>
      </c>
      <c r="D757" s="11">
        <v>3273</v>
      </c>
      <c r="E757" s="11">
        <v>336</v>
      </c>
      <c r="F757" s="11">
        <v>4</v>
      </c>
      <c r="G757" s="11">
        <v>6</v>
      </c>
      <c r="H757" s="13">
        <v>81588</v>
      </c>
      <c r="I757" s="11" t="s">
        <v>17</v>
      </c>
      <c r="J757" s="13">
        <v>16281857</v>
      </c>
      <c r="K757" s="18" t="s">
        <v>873</v>
      </c>
      <c r="L757" s="13" t="s">
        <v>881</v>
      </c>
      <c r="M757" s="17">
        <v>139900</v>
      </c>
      <c r="N757" s="15">
        <v>0.75</v>
      </c>
      <c r="O757" s="16">
        <f t="shared" si="55"/>
        <v>34975</v>
      </c>
      <c r="P757" s="11" t="s">
        <v>20</v>
      </c>
    </row>
    <row r="758" spans="1:16" x14ac:dyDescent="0.25">
      <c r="A758" s="9" t="str">
        <f t="shared" si="59"/>
        <v>2024 ALL D75</v>
      </c>
      <c r="B758" s="10">
        <f>'[1]2019 ALL D95'!B758</f>
        <v>46104</v>
      </c>
      <c r="C758" s="10">
        <f>'[1]2019 ALL D95'!C758</f>
        <v>46113</v>
      </c>
      <c r="D758" s="11">
        <v>3273</v>
      </c>
      <c r="E758" s="11">
        <v>336</v>
      </c>
      <c r="F758" s="11">
        <v>4</v>
      </c>
      <c r="G758" s="11">
        <v>6</v>
      </c>
      <c r="H758" s="13">
        <v>81588</v>
      </c>
      <c r="I758" s="11" t="s">
        <v>17</v>
      </c>
      <c r="J758" s="13">
        <v>16100533</v>
      </c>
      <c r="K758" s="18" t="s">
        <v>882</v>
      </c>
      <c r="L758" s="13" t="s">
        <v>883</v>
      </c>
      <c r="M758" s="17">
        <v>149900</v>
      </c>
      <c r="N758" s="15">
        <v>0.75</v>
      </c>
      <c r="O758" s="16">
        <f t="shared" si="55"/>
        <v>37475</v>
      </c>
      <c r="P758" s="11" t="s">
        <v>20</v>
      </c>
    </row>
    <row r="759" spans="1:16" x14ac:dyDescent="0.25">
      <c r="A759" s="9" t="str">
        <f t="shared" si="59"/>
        <v>2024 ALL D75</v>
      </c>
      <c r="B759" s="10">
        <f>'[1]2019 ALL D95'!B759</f>
        <v>46104</v>
      </c>
      <c r="C759" s="10">
        <f>'[1]2019 ALL D95'!C759</f>
        <v>46113</v>
      </c>
      <c r="D759" s="11">
        <v>3273</v>
      </c>
      <c r="E759" s="11">
        <v>336</v>
      </c>
      <c r="F759" s="11">
        <v>4</v>
      </c>
      <c r="G759" s="11">
        <v>6</v>
      </c>
      <c r="H759" s="13">
        <v>81588</v>
      </c>
      <c r="I759" s="11" t="s">
        <v>17</v>
      </c>
      <c r="J759" s="13">
        <v>16100542</v>
      </c>
      <c r="K759" s="18" t="s">
        <v>882</v>
      </c>
      <c r="L759" s="13" t="s">
        <v>884</v>
      </c>
      <c r="M759" s="17">
        <v>149900</v>
      </c>
      <c r="N759" s="15">
        <v>0.75</v>
      </c>
      <c r="O759" s="16">
        <f t="shared" si="55"/>
        <v>37475</v>
      </c>
      <c r="P759" s="11" t="s">
        <v>20</v>
      </c>
    </row>
    <row r="760" spans="1:16" x14ac:dyDescent="0.25">
      <c r="A760" s="9" t="str">
        <f t="shared" si="59"/>
        <v>2024 ALL D75</v>
      </c>
      <c r="B760" s="10">
        <f>'[1]2019 ALL D95'!B760</f>
        <v>46104</v>
      </c>
      <c r="C760" s="10">
        <f>'[1]2019 ALL D95'!C760</f>
        <v>46113</v>
      </c>
      <c r="D760" s="11">
        <v>3273</v>
      </c>
      <c r="E760" s="11">
        <v>336</v>
      </c>
      <c r="F760" s="11">
        <v>4</v>
      </c>
      <c r="G760" s="11">
        <v>6</v>
      </c>
      <c r="H760" s="13">
        <v>81588</v>
      </c>
      <c r="I760" s="11" t="s">
        <v>17</v>
      </c>
      <c r="J760" s="13">
        <v>16100551</v>
      </c>
      <c r="K760" s="18" t="s">
        <v>882</v>
      </c>
      <c r="L760" s="13" t="s">
        <v>885</v>
      </c>
      <c r="M760" s="17">
        <v>149900</v>
      </c>
      <c r="N760" s="15">
        <v>0.75</v>
      </c>
      <c r="O760" s="16">
        <f t="shared" si="55"/>
        <v>37475</v>
      </c>
      <c r="P760" s="11" t="s">
        <v>20</v>
      </c>
    </row>
    <row r="761" spans="1:16" x14ac:dyDescent="0.25">
      <c r="A761" s="9" t="str">
        <f t="shared" si="59"/>
        <v>2024 ALL D75</v>
      </c>
      <c r="B761" s="10">
        <f>'[1]2019 ALL D95'!B761</f>
        <v>46104</v>
      </c>
      <c r="C761" s="10">
        <f>'[1]2019 ALL D95'!C761</f>
        <v>46113</v>
      </c>
      <c r="D761" s="11">
        <v>3273</v>
      </c>
      <c r="E761" s="11">
        <v>336</v>
      </c>
      <c r="F761" s="11">
        <v>4</v>
      </c>
      <c r="G761" s="11">
        <v>6</v>
      </c>
      <c r="H761" s="13">
        <v>81676</v>
      </c>
      <c r="I761" s="11" t="s">
        <v>17</v>
      </c>
      <c r="J761" s="13">
        <v>16100560</v>
      </c>
      <c r="K761" s="18" t="s">
        <v>882</v>
      </c>
      <c r="L761" s="13" t="s">
        <v>886</v>
      </c>
      <c r="M761" s="17">
        <v>149900</v>
      </c>
      <c r="N761" s="15">
        <v>0.75</v>
      </c>
      <c r="O761" s="16">
        <f t="shared" si="55"/>
        <v>37475</v>
      </c>
      <c r="P761" s="11" t="s">
        <v>20</v>
      </c>
    </row>
    <row r="762" spans="1:16" x14ac:dyDescent="0.25">
      <c r="A762" s="9" t="str">
        <f t="shared" si="59"/>
        <v>2024 ALL D75</v>
      </c>
      <c r="B762" s="10">
        <f>'[1]2019 ALL D95'!B762</f>
        <v>46104</v>
      </c>
      <c r="C762" s="10">
        <f>'[1]2019 ALL D95'!C762</f>
        <v>46113</v>
      </c>
      <c r="D762" s="11">
        <v>3273</v>
      </c>
      <c r="E762" s="11">
        <v>336</v>
      </c>
      <c r="F762" s="11">
        <v>4</v>
      </c>
      <c r="G762" s="11">
        <v>6</v>
      </c>
      <c r="H762" s="13">
        <v>81676</v>
      </c>
      <c r="I762" s="11" t="s">
        <v>17</v>
      </c>
      <c r="J762" s="13">
        <v>16100579</v>
      </c>
      <c r="K762" s="18" t="s">
        <v>882</v>
      </c>
      <c r="L762" s="13" t="s">
        <v>887</v>
      </c>
      <c r="M762" s="17">
        <v>149900</v>
      </c>
      <c r="N762" s="15">
        <v>0.75</v>
      </c>
      <c r="O762" s="16">
        <f t="shared" si="55"/>
        <v>37475</v>
      </c>
      <c r="P762" s="11" t="s">
        <v>20</v>
      </c>
    </row>
    <row r="763" spans="1:16" x14ac:dyDescent="0.25">
      <c r="A763" s="9" t="str">
        <f t="shared" si="59"/>
        <v>2024 ALL D75</v>
      </c>
      <c r="B763" s="10">
        <f>'[1]2019 ALL D95'!B763</f>
        <v>46104</v>
      </c>
      <c r="C763" s="10">
        <f>'[1]2019 ALL D95'!C763</f>
        <v>46113</v>
      </c>
      <c r="D763" s="11">
        <v>3273</v>
      </c>
      <c r="E763" s="11">
        <v>336</v>
      </c>
      <c r="F763" s="11">
        <v>4</v>
      </c>
      <c r="G763" s="11">
        <v>6</v>
      </c>
      <c r="H763" s="13">
        <v>81676</v>
      </c>
      <c r="I763" s="11" t="s">
        <v>17</v>
      </c>
      <c r="J763" s="13">
        <v>16100588</v>
      </c>
      <c r="K763" s="18" t="s">
        <v>882</v>
      </c>
      <c r="L763" s="13" t="s">
        <v>888</v>
      </c>
      <c r="M763" s="17">
        <v>149900</v>
      </c>
      <c r="N763" s="15">
        <v>0.75</v>
      </c>
      <c r="O763" s="16">
        <f t="shared" si="55"/>
        <v>37475</v>
      </c>
      <c r="P763" s="11" t="s">
        <v>20</v>
      </c>
    </row>
    <row r="764" spans="1:16" x14ac:dyDescent="0.25">
      <c r="A764" s="9" t="str">
        <f t="shared" si="59"/>
        <v>2024 ALL D75</v>
      </c>
      <c r="B764" s="10">
        <f>'[1]2019 ALL D95'!B764</f>
        <v>46104</v>
      </c>
      <c r="C764" s="10">
        <f>'[1]2019 ALL D95'!C764</f>
        <v>46113</v>
      </c>
      <c r="D764" s="11">
        <v>3273</v>
      </c>
      <c r="E764" s="11">
        <v>336</v>
      </c>
      <c r="F764" s="11">
        <v>4</v>
      </c>
      <c r="G764" s="11">
        <v>6</v>
      </c>
      <c r="H764" s="13">
        <v>81676</v>
      </c>
      <c r="I764" s="11" t="s">
        <v>17</v>
      </c>
      <c r="J764" s="13">
        <v>16100597</v>
      </c>
      <c r="K764" s="18" t="s">
        <v>882</v>
      </c>
      <c r="L764" s="13" t="s">
        <v>889</v>
      </c>
      <c r="M764" s="17">
        <v>149900</v>
      </c>
      <c r="N764" s="15">
        <v>0.75</v>
      </c>
      <c r="O764" s="16">
        <f t="shared" si="55"/>
        <v>37475</v>
      </c>
      <c r="P764" s="11" t="s">
        <v>20</v>
      </c>
    </row>
    <row r="765" spans="1:16" x14ac:dyDescent="0.25">
      <c r="A765" s="9" t="str">
        <f t="shared" si="59"/>
        <v>2024 ALL D75</v>
      </c>
      <c r="B765" s="10">
        <f>'[1]2019 ALL D95'!B765</f>
        <v>46104</v>
      </c>
      <c r="C765" s="10">
        <f>'[1]2019 ALL D95'!C765</f>
        <v>46113</v>
      </c>
      <c r="D765" s="11">
        <v>3273</v>
      </c>
      <c r="E765" s="11">
        <v>336</v>
      </c>
      <c r="F765" s="11">
        <v>4</v>
      </c>
      <c r="G765" s="11">
        <v>6</v>
      </c>
      <c r="H765" s="13">
        <v>81676</v>
      </c>
      <c r="I765" s="11" t="s">
        <v>17</v>
      </c>
      <c r="J765" s="13">
        <v>16100604</v>
      </c>
      <c r="K765" s="18" t="s">
        <v>882</v>
      </c>
      <c r="L765" s="13" t="s">
        <v>890</v>
      </c>
      <c r="M765" s="17">
        <v>149900</v>
      </c>
      <c r="N765" s="15">
        <v>0.75</v>
      </c>
      <c r="O765" s="16">
        <f t="shared" si="55"/>
        <v>37475</v>
      </c>
      <c r="P765" s="11" t="s">
        <v>20</v>
      </c>
    </row>
    <row r="766" spans="1:16" x14ac:dyDescent="0.25">
      <c r="A766" s="9" t="str">
        <f t="shared" si="59"/>
        <v>2024 ALL D75</v>
      </c>
      <c r="B766" s="10">
        <f>'[1]2019 ALL D95'!B766</f>
        <v>46104</v>
      </c>
      <c r="C766" s="10">
        <f>'[1]2019 ALL D95'!C766</f>
        <v>46113</v>
      </c>
      <c r="D766" s="11">
        <v>3273</v>
      </c>
      <c r="E766" s="11">
        <v>336</v>
      </c>
      <c r="F766" s="11">
        <v>4</v>
      </c>
      <c r="G766" s="11">
        <v>6</v>
      </c>
      <c r="H766" s="13">
        <v>81676</v>
      </c>
      <c r="I766" s="11" t="s">
        <v>17</v>
      </c>
      <c r="J766" s="13">
        <v>16101292</v>
      </c>
      <c r="K766" s="18" t="s">
        <v>891</v>
      </c>
      <c r="L766" s="13" t="s">
        <v>892</v>
      </c>
      <c r="M766" s="17">
        <v>149900</v>
      </c>
      <c r="N766" s="15">
        <v>0.75</v>
      </c>
      <c r="O766" s="16">
        <f t="shared" si="55"/>
        <v>37475</v>
      </c>
      <c r="P766" s="11" t="s">
        <v>20</v>
      </c>
    </row>
    <row r="767" spans="1:16" x14ac:dyDescent="0.25">
      <c r="A767" s="9" t="str">
        <f t="shared" si="59"/>
        <v>2024 ALL D75</v>
      </c>
      <c r="B767" s="10">
        <f>'[1]2019 ALL D95'!B767</f>
        <v>46104</v>
      </c>
      <c r="C767" s="10">
        <f>'[1]2019 ALL D95'!C767</f>
        <v>46113</v>
      </c>
      <c r="D767" s="11">
        <v>3273</v>
      </c>
      <c r="E767" s="11">
        <v>336</v>
      </c>
      <c r="F767" s="11">
        <v>4</v>
      </c>
      <c r="G767" s="11">
        <v>6</v>
      </c>
      <c r="H767" s="13">
        <v>81676</v>
      </c>
      <c r="I767" s="11" t="s">
        <v>17</v>
      </c>
      <c r="J767" s="13">
        <v>16101309</v>
      </c>
      <c r="K767" s="18" t="s">
        <v>891</v>
      </c>
      <c r="L767" s="13" t="s">
        <v>893</v>
      </c>
      <c r="M767" s="17">
        <v>149900</v>
      </c>
      <c r="N767" s="15">
        <v>0.75</v>
      </c>
      <c r="O767" s="16">
        <f t="shared" si="55"/>
        <v>37475</v>
      </c>
      <c r="P767" s="11" t="s">
        <v>20</v>
      </c>
    </row>
    <row r="768" spans="1:16" x14ac:dyDescent="0.25">
      <c r="A768" s="9" t="str">
        <f t="shared" si="59"/>
        <v>2024 ALL D75</v>
      </c>
      <c r="B768" s="10">
        <f>'[1]2019 ALL D95'!B768</f>
        <v>46104</v>
      </c>
      <c r="C768" s="10">
        <f>'[1]2019 ALL D95'!C768</f>
        <v>46113</v>
      </c>
      <c r="D768" s="11">
        <v>3273</v>
      </c>
      <c r="E768" s="11">
        <v>336</v>
      </c>
      <c r="F768" s="11">
        <v>4</v>
      </c>
      <c r="G768" s="11">
        <v>6</v>
      </c>
      <c r="H768" s="13">
        <v>81676</v>
      </c>
      <c r="I768" s="11" t="s">
        <v>17</v>
      </c>
      <c r="J768" s="13">
        <v>16101318</v>
      </c>
      <c r="K768" s="18" t="s">
        <v>891</v>
      </c>
      <c r="L768" s="13" t="s">
        <v>894</v>
      </c>
      <c r="M768" s="17">
        <v>149900</v>
      </c>
      <c r="N768" s="15">
        <v>0.75</v>
      </c>
      <c r="O768" s="16">
        <f t="shared" si="55"/>
        <v>37475</v>
      </c>
      <c r="P768" s="11" t="s">
        <v>20</v>
      </c>
    </row>
    <row r="769" spans="1:16" x14ac:dyDescent="0.25">
      <c r="A769" s="9" t="str">
        <f t="shared" si="59"/>
        <v>2024 ALL D75</v>
      </c>
      <c r="B769" s="10">
        <f>'[1]2019 ALL D95'!B769</f>
        <v>46104</v>
      </c>
      <c r="C769" s="10">
        <f>'[1]2019 ALL D95'!C769</f>
        <v>46113</v>
      </c>
      <c r="D769" s="11">
        <v>3273</v>
      </c>
      <c r="E769" s="11">
        <v>336</v>
      </c>
      <c r="F769" s="11">
        <v>4</v>
      </c>
      <c r="G769" s="11">
        <v>6</v>
      </c>
      <c r="H769" s="13">
        <v>81588</v>
      </c>
      <c r="I769" s="11" t="s">
        <v>17</v>
      </c>
      <c r="J769" s="13">
        <v>16101327</v>
      </c>
      <c r="K769" s="18" t="s">
        <v>891</v>
      </c>
      <c r="L769" s="13" t="s">
        <v>895</v>
      </c>
      <c r="M769" s="17">
        <v>149900</v>
      </c>
      <c r="N769" s="15">
        <v>0.75</v>
      </c>
      <c r="O769" s="16">
        <f t="shared" si="55"/>
        <v>37475</v>
      </c>
      <c r="P769" s="11" t="s">
        <v>20</v>
      </c>
    </row>
    <row r="770" spans="1:16" x14ac:dyDescent="0.25">
      <c r="A770" s="9" t="str">
        <f t="shared" si="59"/>
        <v>2024 ALL D75</v>
      </c>
      <c r="B770" s="10">
        <f>'[1]2019 ALL D95'!B770</f>
        <v>46104</v>
      </c>
      <c r="C770" s="10">
        <f>'[1]2019 ALL D95'!C770</f>
        <v>46113</v>
      </c>
      <c r="D770" s="11">
        <v>3273</v>
      </c>
      <c r="E770" s="11">
        <v>336</v>
      </c>
      <c r="F770" s="11">
        <v>4</v>
      </c>
      <c r="G770" s="11">
        <v>6</v>
      </c>
      <c r="H770" s="13">
        <v>81588</v>
      </c>
      <c r="I770" s="11" t="s">
        <v>17</v>
      </c>
      <c r="J770" s="13">
        <v>16101336</v>
      </c>
      <c r="K770" s="18" t="s">
        <v>891</v>
      </c>
      <c r="L770" s="13" t="s">
        <v>896</v>
      </c>
      <c r="M770" s="17">
        <v>149900</v>
      </c>
      <c r="N770" s="15">
        <v>0.75</v>
      </c>
      <c r="O770" s="16">
        <f t="shared" ref="O770:O833" si="60">M770*(1-N770)</f>
        <v>37475</v>
      </c>
      <c r="P770" s="11" t="s">
        <v>20</v>
      </c>
    </row>
    <row r="771" spans="1:16" x14ac:dyDescent="0.25">
      <c r="A771" s="9" t="str">
        <f t="shared" ref="A771:A786" si="61">A770</f>
        <v>2024 ALL D75</v>
      </c>
      <c r="B771" s="10">
        <f>'[1]2019 ALL D95'!B771</f>
        <v>46104</v>
      </c>
      <c r="C771" s="10">
        <f>'[1]2019 ALL D95'!C771</f>
        <v>46113</v>
      </c>
      <c r="D771" s="11">
        <v>3273</v>
      </c>
      <c r="E771" s="11">
        <v>336</v>
      </c>
      <c r="F771" s="11">
        <v>4</v>
      </c>
      <c r="G771" s="11">
        <v>6</v>
      </c>
      <c r="H771" s="13">
        <v>81588</v>
      </c>
      <c r="I771" s="11" t="s">
        <v>17</v>
      </c>
      <c r="J771" s="13">
        <v>16101345</v>
      </c>
      <c r="K771" s="18" t="s">
        <v>891</v>
      </c>
      <c r="L771" s="13" t="s">
        <v>897</v>
      </c>
      <c r="M771" s="17">
        <v>149900</v>
      </c>
      <c r="N771" s="15">
        <v>0.75</v>
      </c>
      <c r="O771" s="16">
        <f t="shared" si="60"/>
        <v>37475</v>
      </c>
      <c r="P771" s="11" t="s">
        <v>20</v>
      </c>
    </row>
    <row r="772" spans="1:16" x14ac:dyDescent="0.25">
      <c r="A772" s="9" t="str">
        <f t="shared" si="61"/>
        <v>2024 ALL D75</v>
      </c>
      <c r="B772" s="10">
        <f>'[1]2019 ALL D95'!B772</f>
        <v>46104</v>
      </c>
      <c r="C772" s="10">
        <f>'[1]2019 ALL D95'!C772</f>
        <v>46113</v>
      </c>
      <c r="D772" s="11">
        <v>3273</v>
      </c>
      <c r="E772" s="11">
        <v>336</v>
      </c>
      <c r="F772" s="11">
        <v>4</v>
      </c>
      <c r="G772" s="11">
        <v>6</v>
      </c>
      <c r="H772" s="13">
        <v>81588</v>
      </c>
      <c r="I772" s="11" t="s">
        <v>17</v>
      </c>
      <c r="J772" s="13">
        <v>16101354</v>
      </c>
      <c r="K772" s="18" t="s">
        <v>891</v>
      </c>
      <c r="L772" s="13" t="s">
        <v>898</v>
      </c>
      <c r="M772" s="17">
        <v>149900</v>
      </c>
      <c r="N772" s="15">
        <v>0.75</v>
      </c>
      <c r="O772" s="16">
        <f t="shared" si="60"/>
        <v>37475</v>
      </c>
      <c r="P772" s="11" t="s">
        <v>20</v>
      </c>
    </row>
    <row r="773" spans="1:16" x14ac:dyDescent="0.25">
      <c r="A773" s="9" t="str">
        <f t="shared" si="61"/>
        <v>2024 ALL D75</v>
      </c>
      <c r="B773" s="10">
        <f>'[1]2019 ALL D95'!B773</f>
        <v>46104</v>
      </c>
      <c r="C773" s="10">
        <f>'[1]2019 ALL D95'!C773</f>
        <v>46113</v>
      </c>
      <c r="D773" s="11">
        <v>3273</v>
      </c>
      <c r="E773" s="11">
        <v>336</v>
      </c>
      <c r="F773" s="11">
        <v>4</v>
      </c>
      <c r="G773" s="11">
        <v>6</v>
      </c>
      <c r="H773" s="13">
        <v>81588</v>
      </c>
      <c r="I773" s="11" t="s">
        <v>17</v>
      </c>
      <c r="J773" s="13">
        <v>16101363</v>
      </c>
      <c r="K773" s="18" t="s">
        <v>891</v>
      </c>
      <c r="L773" s="13" t="s">
        <v>899</v>
      </c>
      <c r="M773" s="17">
        <v>149900</v>
      </c>
      <c r="N773" s="15">
        <v>0.75</v>
      </c>
      <c r="O773" s="16">
        <f t="shared" si="60"/>
        <v>37475</v>
      </c>
      <c r="P773" s="11" t="s">
        <v>20</v>
      </c>
    </row>
    <row r="774" spans="1:16" x14ac:dyDescent="0.25">
      <c r="A774" s="9" t="str">
        <f t="shared" si="61"/>
        <v>2024 ALL D75</v>
      </c>
      <c r="B774" s="10">
        <f>'[1]2019 ALL D95'!B774</f>
        <v>46104</v>
      </c>
      <c r="C774" s="10">
        <f>'[1]2019 ALL D95'!C774</f>
        <v>46113</v>
      </c>
      <c r="D774" s="11">
        <v>3273</v>
      </c>
      <c r="E774" s="11">
        <v>336</v>
      </c>
      <c r="F774" s="11">
        <v>4</v>
      </c>
      <c r="G774" s="11">
        <v>6</v>
      </c>
      <c r="H774" s="13">
        <v>81588</v>
      </c>
      <c r="I774" s="11" t="s">
        <v>17</v>
      </c>
      <c r="J774" s="13">
        <v>16101372</v>
      </c>
      <c r="K774" s="18" t="s">
        <v>900</v>
      </c>
      <c r="L774" s="13" t="s">
        <v>901</v>
      </c>
      <c r="M774" s="17">
        <v>189900</v>
      </c>
      <c r="N774" s="15">
        <v>0.75</v>
      </c>
      <c r="O774" s="16">
        <f t="shared" si="60"/>
        <v>47475</v>
      </c>
      <c r="P774" s="11" t="s">
        <v>20</v>
      </c>
    </row>
    <row r="775" spans="1:16" x14ac:dyDescent="0.25">
      <c r="A775" s="9" t="str">
        <f t="shared" si="61"/>
        <v>2024 ALL D75</v>
      </c>
      <c r="B775" s="10">
        <f>'[1]2019 ALL D95'!B775</f>
        <v>46104</v>
      </c>
      <c r="C775" s="10">
        <f>'[1]2019 ALL D95'!C775</f>
        <v>46113</v>
      </c>
      <c r="D775" s="11">
        <v>3273</v>
      </c>
      <c r="E775" s="11">
        <v>336</v>
      </c>
      <c r="F775" s="11">
        <v>4</v>
      </c>
      <c r="G775" s="11">
        <v>6</v>
      </c>
      <c r="H775" s="13">
        <v>81588</v>
      </c>
      <c r="I775" s="11" t="s">
        <v>17</v>
      </c>
      <c r="J775" s="13">
        <v>16101381</v>
      </c>
      <c r="K775" s="18" t="s">
        <v>900</v>
      </c>
      <c r="L775" s="13" t="s">
        <v>902</v>
      </c>
      <c r="M775" s="17">
        <v>189900</v>
      </c>
      <c r="N775" s="15">
        <v>0.75</v>
      </c>
      <c r="O775" s="16">
        <f t="shared" si="60"/>
        <v>47475</v>
      </c>
      <c r="P775" s="11" t="s">
        <v>20</v>
      </c>
    </row>
    <row r="776" spans="1:16" x14ac:dyDescent="0.25">
      <c r="A776" s="9" t="str">
        <f t="shared" si="61"/>
        <v>2024 ALL D75</v>
      </c>
      <c r="B776" s="10">
        <f>'[1]2019 ALL D95'!B776</f>
        <v>46104</v>
      </c>
      <c r="C776" s="10">
        <f>'[1]2019 ALL D95'!C776</f>
        <v>46113</v>
      </c>
      <c r="D776" s="11">
        <v>3273</v>
      </c>
      <c r="E776" s="11">
        <v>336</v>
      </c>
      <c r="F776" s="11">
        <v>4</v>
      </c>
      <c r="G776" s="11">
        <v>6</v>
      </c>
      <c r="H776" s="13">
        <v>81588</v>
      </c>
      <c r="I776" s="11" t="s">
        <v>17</v>
      </c>
      <c r="J776" s="13">
        <v>16101390</v>
      </c>
      <c r="K776" s="18" t="s">
        <v>900</v>
      </c>
      <c r="L776" s="13" t="s">
        <v>903</v>
      </c>
      <c r="M776" s="17">
        <v>189900</v>
      </c>
      <c r="N776" s="15">
        <v>0.75</v>
      </c>
      <c r="O776" s="16">
        <f t="shared" si="60"/>
        <v>47475</v>
      </c>
      <c r="P776" s="11" t="s">
        <v>20</v>
      </c>
    </row>
    <row r="777" spans="1:16" x14ac:dyDescent="0.25">
      <c r="A777" s="9" t="str">
        <f t="shared" si="61"/>
        <v>2024 ALL D75</v>
      </c>
      <c r="B777" s="10">
        <f>'[1]2019 ALL D95'!B777</f>
        <v>46104</v>
      </c>
      <c r="C777" s="10">
        <f>'[1]2019 ALL D95'!C777</f>
        <v>46113</v>
      </c>
      <c r="D777" s="11">
        <v>3273</v>
      </c>
      <c r="E777" s="11">
        <v>336</v>
      </c>
      <c r="F777" s="11">
        <v>4</v>
      </c>
      <c r="G777" s="11">
        <v>6</v>
      </c>
      <c r="H777" s="13">
        <v>81588</v>
      </c>
      <c r="I777" s="11" t="s">
        <v>17</v>
      </c>
      <c r="J777" s="13">
        <v>16101407</v>
      </c>
      <c r="K777" s="18" t="s">
        <v>900</v>
      </c>
      <c r="L777" s="13" t="s">
        <v>904</v>
      </c>
      <c r="M777" s="17">
        <v>189900</v>
      </c>
      <c r="N777" s="15">
        <v>0.75</v>
      </c>
      <c r="O777" s="16">
        <f t="shared" si="60"/>
        <v>47475</v>
      </c>
      <c r="P777" s="11" t="s">
        <v>20</v>
      </c>
    </row>
    <row r="778" spans="1:16" x14ac:dyDescent="0.25">
      <c r="A778" s="9" t="str">
        <f t="shared" si="61"/>
        <v>2024 ALL D75</v>
      </c>
      <c r="B778" s="10">
        <f>'[1]2019 ALL D95'!B778</f>
        <v>46104</v>
      </c>
      <c r="C778" s="10">
        <f>'[1]2019 ALL D95'!C778</f>
        <v>46113</v>
      </c>
      <c r="D778" s="11">
        <v>3273</v>
      </c>
      <c r="E778" s="11">
        <v>336</v>
      </c>
      <c r="F778" s="11">
        <v>4</v>
      </c>
      <c r="G778" s="11">
        <v>6</v>
      </c>
      <c r="H778" s="13">
        <v>81588</v>
      </c>
      <c r="I778" s="11" t="s">
        <v>17</v>
      </c>
      <c r="J778" s="13">
        <v>16101416</v>
      </c>
      <c r="K778" s="18" t="s">
        <v>900</v>
      </c>
      <c r="L778" s="13" t="s">
        <v>905</v>
      </c>
      <c r="M778" s="17">
        <v>189900</v>
      </c>
      <c r="N778" s="15">
        <v>0.75</v>
      </c>
      <c r="O778" s="16">
        <f t="shared" si="60"/>
        <v>47475</v>
      </c>
      <c r="P778" s="11" t="s">
        <v>20</v>
      </c>
    </row>
    <row r="779" spans="1:16" x14ac:dyDescent="0.25">
      <c r="A779" s="9" t="str">
        <f t="shared" si="61"/>
        <v>2024 ALL D75</v>
      </c>
      <c r="B779" s="10">
        <f>'[1]2019 ALL D95'!B779</f>
        <v>46104</v>
      </c>
      <c r="C779" s="10">
        <f>'[1]2019 ALL D95'!C779</f>
        <v>46113</v>
      </c>
      <c r="D779" s="11">
        <v>3273</v>
      </c>
      <c r="E779" s="11">
        <v>336</v>
      </c>
      <c r="F779" s="11">
        <v>4</v>
      </c>
      <c r="G779" s="11">
        <v>6</v>
      </c>
      <c r="H779" s="13">
        <v>81588</v>
      </c>
      <c r="I779" s="11" t="s">
        <v>17</v>
      </c>
      <c r="J779" s="13">
        <v>16101425</v>
      </c>
      <c r="K779" s="18" t="s">
        <v>900</v>
      </c>
      <c r="L779" s="13" t="s">
        <v>906</v>
      </c>
      <c r="M779" s="17">
        <v>189900</v>
      </c>
      <c r="N779" s="15">
        <v>0.75</v>
      </c>
      <c r="O779" s="16">
        <f t="shared" si="60"/>
        <v>47475</v>
      </c>
      <c r="P779" s="11" t="s">
        <v>20</v>
      </c>
    </row>
    <row r="780" spans="1:16" x14ac:dyDescent="0.25">
      <c r="A780" s="9" t="str">
        <f t="shared" si="61"/>
        <v>2024 ALL D75</v>
      </c>
      <c r="B780" s="10">
        <f>'[1]2019 ALL D95'!B780</f>
        <v>46104</v>
      </c>
      <c r="C780" s="10">
        <f>'[1]2019 ALL D95'!C780</f>
        <v>46113</v>
      </c>
      <c r="D780" s="11">
        <v>3273</v>
      </c>
      <c r="E780" s="11">
        <v>336</v>
      </c>
      <c r="F780" s="11">
        <v>4</v>
      </c>
      <c r="G780" s="11">
        <v>6</v>
      </c>
      <c r="H780" s="13">
        <v>81588</v>
      </c>
      <c r="I780" s="11" t="s">
        <v>17</v>
      </c>
      <c r="J780" s="13">
        <v>16101434</v>
      </c>
      <c r="K780" s="18" t="s">
        <v>900</v>
      </c>
      <c r="L780" s="13" t="s">
        <v>907</v>
      </c>
      <c r="M780" s="17">
        <v>189900</v>
      </c>
      <c r="N780" s="15">
        <v>0.75</v>
      </c>
      <c r="O780" s="16">
        <f t="shared" si="60"/>
        <v>47475</v>
      </c>
      <c r="P780" s="11" t="s">
        <v>20</v>
      </c>
    </row>
    <row r="781" spans="1:16" x14ac:dyDescent="0.25">
      <c r="A781" s="9" t="str">
        <f t="shared" si="61"/>
        <v>2024 ALL D75</v>
      </c>
      <c r="B781" s="10">
        <f>'[1]2019 ALL D95'!B781</f>
        <v>46104</v>
      </c>
      <c r="C781" s="10">
        <f>'[1]2019 ALL D95'!C781</f>
        <v>46113</v>
      </c>
      <c r="D781" s="11">
        <v>3273</v>
      </c>
      <c r="E781" s="11">
        <v>336</v>
      </c>
      <c r="F781" s="11">
        <v>4</v>
      </c>
      <c r="G781" s="11">
        <v>6</v>
      </c>
      <c r="H781" s="13">
        <v>81588</v>
      </c>
      <c r="I781" s="11" t="s">
        <v>17</v>
      </c>
      <c r="J781" s="13">
        <v>16101443</v>
      </c>
      <c r="K781" s="18" t="s">
        <v>900</v>
      </c>
      <c r="L781" s="13" t="s">
        <v>908</v>
      </c>
      <c r="M781" s="17">
        <v>189900</v>
      </c>
      <c r="N781" s="15">
        <v>0.75</v>
      </c>
      <c r="O781" s="16">
        <f t="shared" si="60"/>
        <v>47475</v>
      </c>
      <c r="P781" s="11" t="s">
        <v>20</v>
      </c>
    </row>
    <row r="782" spans="1:16" x14ac:dyDescent="0.25">
      <c r="A782" s="9" t="str">
        <f t="shared" si="61"/>
        <v>2024 ALL D75</v>
      </c>
      <c r="B782" s="10">
        <f>'[1]2019 ALL D95'!B782</f>
        <v>46104</v>
      </c>
      <c r="C782" s="10">
        <f>'[1]2019 ALL D95'!C782</f>
        <v>46113</v>
      </c>
      <c r="D782" s="11">
        <v>3273</v>
      </c>
      <c r="E782" s="11">
        <v>336</v>
      </c>
      <c r="F782" s="11">
        <v>4</v>
      </c>
      <c r="G782" s="11">
        <v>6</v>
      </c>
      <c r="H782" s="13">
        <v>81588</v>
      </c>
      <c r="I782" s="11" t="s">
        <v>17</v>
      </c>
      <c r="J782" s="13">
        <v>16101694</v>
      </c>
      <c r="K782" s="18" t="s">
        <v>909</v>
      </c>
      <c r="L782" s="13" t="s">
        <v>910</v>
      </c>
      <c r="M782" s="17">
        <v>149900</v>
      </c>
      <c r="N782" s="15">
        <v>0.75</v>
      </c>
      <c r="O782" s="16">
        <f t="shared" si="60"/>
        <v>37475</v>
      </c>
      <c r="P782" s="11" t="s">
        <v>20</v>
      </c>
    </row>
    <row r="783" spans="1:16" x14ac:dyDescent="0.25">
      <c r="A783" s="9" t="str">
        <f t="shared" si="61"/>
        <v>2024 ALL D75</v>
      </c>
      <c r="B783" s="10">
        <f>'[1]2019 ALL D95'!B783</f>
        <v>46104</v>
      </c>
      <c r="C783" s="10">
        <f>'[1]2019 ALL D95'!C783</f>
        <v>46113</v>
      </c>
      <c r="D783" s="11">
        <v>3273</v>
      </c>
      <c r="E783" s="11">
        <v>336</v>
      </c>
      <c r="F783" s="11">
        <v>4</v>
      </c>
      <c r="G783" s="11">
        <v>6</v>
      </c>
      <c r="H783" s="13">
        <v>81588</v>
      </c>
      <c r="I783" s="11" t="s">
        <v>17</v>
      </c>
      <c r="J783" s="13">
        <v>16101701</v>
      </c>
      <c r="K783" s="18" t="s">
        <v>909</v>
      </c>
      <c r="L783" s="13" t="s">
        <v>911</v>
      </c>
      <c r="M783" s="17">
        <v>149900</v>
      </c>
      <c r="N783" s="15">
        <v>0.75</v>
      </c>
      <c r="O783" s="16">
        <f t="shared" si="60"/>
        <v>37475</v>
      </c>
      <c r="P783" s="11" t="s">
        <v>20</v>
      </c>
    </row>
    <row r="784" spans="1:16" x14ac:dyDescent="0.25">
      <c r="A784" s="9" t="str">
        <f t="shared" si="61"/>
        <v>2024 ALL D75</v>
      </c>
      <c r="B784" s="10">
        <f>'[1]2019 ALL D95'!B784</f>
        <v>46104</v>
      </c>
      <c r="C784" s="10">
        <f>'[1]2019 ALL D95'!C784</f>
        <v>46113</v>
      </c>
      <c r="D784" s="11">
        <v>3273</v>
      </c>
      <c r="E784" s="11">
        <v>336</v>
      </c>
      <c r="F784" s="11">
        <v>4</v>
      </c>
      <c r="G784" s="11">
        <v>6</v>
      </c>
      <c r="H784" s="13">
        <v>81588</v>
      </c>
      <c r="I784" s="11" t="s">
        <v>17</v>
      </c>
      <c r="J784" s="13">
        <v>16101710</v>
      </c>
      <c r="K784" s="18" t="s">
        <v>909</v>
      </c>
      <c r="L784" s="13" t="s">
        <v>912</v>
      </c>
      <c r="M784" s="17">
        <v>149900</v>
      </c>
      <c r="N784" s="15">
        <v>0.75</v>
      </c>
      <c r="O784" s="16">
        <f t="shared" si="60"/>
        <v>37475</v>
      </c>
      <c r="P784" s="11" t="s">
        <v>20</v>
      </c>
    </row>
    <row r="785" spans="1:16" x14ac:dyDescent="0.25">
      <c r="A785" s="9" t="str">
        <f t="shared" si="61"/>
        <v>2024 ALL D75</v>
      </c>
      <c r="B785" s="10">
        <f>'[1]2019 ALL D95'!B785</f>
        <v>46104</v>
      </c>
      <c r="C785" s="10">
        <f>'[1]2019 ALL D95'!C785</f>
        <v>46113</v>
      </c>
      <c r="D785" s="11">
        <v>3273</v>
      </c>
      <c r="E785" s="11">
        <v>336</v>
      </c>
      <c r="F785" s="11">
        <v>4</v>
      </c>
      <c r="G785" s="19">
        <v>6</v>
      </c>
      <c r="H785" s="13">
        <v>81588</v>
      </c>
      <c r="I785" s="11" t="s">
        <v>17</v>
      </c>
      <c r="J785" s="13">
        <v>16101729</v>
      </c>
      <c r="K785" s="13" t="s">
        <v>909</v>
      </c>
      <c r="L785" s="13" t="s">
        <v>913</v>
      </c>
      <c r="M785" s="17">
        <v>149900</v>
      </c>
      <c r="N785" s="15">
        <v>0.75</v>
      </c>
      <c r="O785" s="16">
        <f t="shared" si="60"/>
        <v>37475</v>
      </c>
      <c r="P785" s="11" t="s">
        <v>20</v>
      </c>
    </row>
    <row r="786" spans="1:16" x14ac:dyDescent="0.25">
      <c r="A786" s="9" t="str">
        <f t="shared" si="61"/>
        <v>2024 ALL D75</v>
      </c>
      <c r="B786" s="10">
        <f>'[1]2019 ALL D95'!B786</f>
        <v>46104</v>
      </c>
      <c r="C786" s="10">
        <f>'[1]2019 ALL D95'!C786</f>
        <v>46113</v>
      </c>
      <c r="D786" s="11">
        <v>3273</v>
      </c>
      <c r="E786" s="11">
        <v>336</v>
      </c>
      <c r="F786" s="11">
        <v>4</v>
      </c>
      <c r="G786" s="19">
        <v>6</v>
      </c>
      <c r="H786" s="13">
        <v>81588</v>
      </c>
      <c r="I786" s="11" t="s">
        <v>17</v>
      </c>
      <c r="J786" s="13">
        <v>16101738</v>
      </c>
      <c r="K786" s="13" t="s">
        <v>909</v>
      </c>
      <c r="L786" s="13" t="s">
        <v>914</v>
      </c>
      <c r="M786" s="17">
        <v>149900</v>
      </c>
      <c r="N786" s="15">
        <v>0.75</v>
      </c>
      <c r="O786" s="16">
        <f t="shared" si="60"/>
        <v>37475</v>
      </c>
      <c r="P786" s="11" t="s">
        <v>20</v>
      </c>
    </row>
    <row r="787" spans="1:16" x14ac:dyDescent="0.25">
      <c r="A787" s="9" t="str">
        <f t="shared" ref="A787:A802" si="62">A786</f>
        <v>2024 ALL D75</v>
      </c>
      <c r="B787" s="10">
        <f>'[1]2019 ALL D95'!B787</f>
        <v>46104</v>
      </c>
      <c r="C787" s="10">
        <f>'[1]2019 ALL D95'!C787</f>
        <v>46113</v>
      </c>
      <c r="D787" s="11">
        <v>3273</v>
      </c>
      <c r="E787" s="11">
        <v>336</v>
      </c>
      <c r="F787" s="11">
        <v>4</v>
      </c>
      <c r="G787" s="19">
        <v>6</v>
      </c>
      <c r="H787" s="13">
        <v>81588</v>
      </c>
      <c r="I787" s="11" t="s">
        <v>17</v>
      </c>
      <c r="J787" s="13">
        <v>16259766</v>
      </c>
      <c r="K787" s="13" t="s">
        <v>915</v>
      </c>
      <c r="L787" s="13" t="s">
        <v>916</v>
      </c>
      <c r="M787" s="17">
        <v>149900</v>
      </c>
      <c r="N787" s="15">
        <v>0.75</v>
      </c>
      <c r="O787" s="16">
        <f t="shared" si="60"/>
        <v>37475</v>
      </c>
      <c r="P787" s="11" t="s">
        <v>20</v>
      </c>
    </row>
    <row r="788" spans="1:16" x14ac:dyDescent="0.25">
      <c r="A788" s="9" t="str">
        <f t="shared" si="62"/>
        <v>2024 ALL D75</v>
      </c>
      <c r="B788" s="10">
        <f>'[1]2019 ALL D95'!B788</f>
        <v>46104</v>
      </c>
      <c r="C788" s="10">
        <f>'[1]2019 ALL D95'!C788</f>
        <v>46113</v>
      </c>
      <c r="D788" s="11">
        <v>3273</v>
      </c>
      <c r="E788" s="11">
        <v>336</v>
      </c>
      <c r="F788" s="11">
        <v>4</v>
      </c>
      <c r="G788" s="19">
        <v>6</v>
      </c>
      <c r="H788" s="13">
        <v>81588</v>
      </c>
      <c r="I788" s="11" t="s">
        <v>17</v>
      </c>
      <c r="J788" s="13">
        <v>16259775</v>
      </c>
      <c r="K788" s="13" t="s">
        <v>915</v>
      </c>
      <c r="L788" s="13" t="s">
        <v>917</v>
      </c>
      <c r="M788" s="17">
        <v>149900</v>
      </c>
      <c r="N788" s="15">
        <v>0.75</v>
      </c>
      <c r="O788" s="16">
        <f t="shared" si="60"/>
        <v>37475</v>
      </c>
      <c r="P788" s="11" t="s">
        <v>20</v>
      </c>
    </row>
    <row r="789" spans="1:16" x14ac:dyDescent="0.25">
      <c r="A789" s="9" t="str">
        <f t="shared" si="62"/>
        <v>2024 ALL D75</v>
      </c>
      <c r="B789" s="10">
        <f>'[1]2019 ALL D95'!B789</f>
        <v>46104</v>
      </c>
      <c r="C789" s="10">
        <f>'[1]2019 ALL D95'!C789</f>
        <v>46113</v>
      </c>
      <c r="D789" s="11">
        <v>3273</v>
      </c>
      <c r="E789" s="11">
        <v>336</v>
      </c>
      <c r="F789" s="11">
        <v>4</v>
      </c>
      <c r="G789" s="19">
        <v>6</v>
      </c>
      <c r="H789" s="13">
        <v>81588</v>
      </c>
      <c r="I789" s="11" t="s">
        <v>17</v>
      </c>
      <c r="J789" s="13">
        <v>16259784</v>
      </c>
      <c r="K789" s="13" t="s">
        <v>915</v>
      </c>
      <c r="L789" s="13" t="s">
        <v>918</v>
      </c>
      <c r="M789" s="17">
        <v>149900</v>
      </c>
      <c r="N789" s="15">
        <v>0.75</v>
      </c>
      <c r="O789" s="16">
        <f t="shared" si="60"/>
        <v>37475</v>
      </c>
      <c r="P789" s="11" t="s">
        <v>20</v>
      </c>
    </row>
    <row r="790" spans="1:16" x14ac:dyDescent="0.25">
      <c r="A790" s="9" t="str">
        <f t="shared" si="62"/>
        <v>2024 ALL D75</v>
      </c>
      <c r="B790" s="10">
        <f>'[1]2019 ALL D95'!B790</f>
        <v>46104</v>
      </c>
      <c r="C790" s="10">
        <f>'[1]2019 ALL D95'!C790</f>
        <v>46113</v>
      </c>
      <c r="D790" s="11">
        <v>3273</v>
      </c>
      <c r="E790" s="11">
        <v>336</v>
      </c>
      <c r="F790" s="11">
        <v>4</v>
      </c>
      <c r="G790" s="19">
        <v>6</v>
      </c>
      <c r="H790" s="13">
        <v>81588</v>
      </c>
      <c r="I790" s="11" t="s">
        <v>17</v>
      </c>
      <c r="J790" s="13">
        <v>16259793</v>
      </c>
      <c r="K790" s="13" t="s">
        <v>915</v>
      </c>
      <c r="L790" s="13" t="s">
        <v>919</v>
      </c>
      <c r="M790" s="17">
        <v>149900</v>
      </c>
      <c r="N790" s="15">
        <v>0.75</v>
      </c>
      <c r="O790" s="16">
        <f t="shared" si="60"/>
        <v>37475</v>
      </c>
      <c r="P790" s="11" t="s">
        <v>20</v>
      </c>
    </row>
    <row r="791" spans="1:16" x14ac:dyDescent="0.25">
      <c r="A791" s="9" t="str">
        <f t="shared" si="62"/>
        <v>2024 ALL D75</v>
      </c>
      <c r="B791" s="10">
        <f>'[1]2019 ALL D95'!B791</f>
        <v>46104</v>
      </c>
      <c r="C791" s="10">
        <f>'[1]2019 ALL D95'!C791</f>
        <v>46113</v>
      </c>
      <c r="D791" s="11">
        <v>3273</v>
      </c>
      <c r="E791" s="11">
        <v>336</v>
      </c>
      <c r="F791" s="11">
        <v>4</v>
      </c>
      <c r="G791" s="19">
        <v>6</v>
      </c>
      <c r="H791" s="13">
        <v>81588</v>
      </c>
      <c r="I791" s="11" t="s">
        <v>17</v>
      </c>
      <c r="J791" s="13">
        <v>16259819</v>
      </c>
      <c r="K791" s="13" t="s">
        <v>915</v>
      </c>
      <c r="L791" s="13" t="s">
        <v>920</v>
      </c>
      <c r="M791" s="17">
        <v>149900</v>
      </c>
      <c r="N791" s="15">
        <v>0.75</v>
      </c>
      <c r="O791" s="16">
        <f t="shared" si="60"/>
        <v>37475</v>
      </c>
      <c r="P791" s="11" t="s">
        <v>20</v>
      </c>
    </row>
    <row r="792" spans="1:16" x14ac:dyDescent="0.25">
      <c r="A792" s="9" t="str">
        <f t="shared" si="62"/>
        <v>2024 ALL D75</v>
      </c>
      <c r="B792" s="10">
        <f>'[1]2019 ALL D95'!B792</f>
        <v>46104</v>
      </c>
      <c r="C792" s="10">
        <f>'[1]2019 ALL D95'!C792</f>
        <v>46113</v>
      </c>
      <c r="D792" s="11">
        <v>3273</v>
      </c>
      <c r="E792" s="11">
        <v>336</v>
      </c>
      <c r="F792" s="11">
        <v>4</v>
      </c>
      <c r="G792" s="19">
        <v>6</v>
      </c>
      <c r="H792" s="13">
        <v>81588</v>
      </c>
      <c r="I792" s="11" t="s">
        <v>17</v>
      </c>
      <c r="J792" s="13">
        <v>16259873</v>
      </c>
      <c r="K792" s="13" t="s">
        <v>921</v>
      </c>
      <c r="L792" s="13" t="s">
        <v>922</v>
      </c>
      <c r="M792" s="17">
        <v>149900</v>
      </c>
      <c r="N792" s="15">
        <v>0.75</v>
      </c>
      <c r="O792" s="16">
        <f t="shared" si="60"/>
        <v>37475</v>
      </c>
      <c r="P792" s="11" t="s">
        <v>20</v>
      </c>
    </row>
    <row r="793" spans="1:16" x14ac:dyDescent="0.25">
      <c r="A793" s="9" t="str">
        <f t="shared" si="62"/>
        <v>2024 ALL D75</v>
      </c>
      <c r="B793" s="10">
        <f>'[1]2019 ALL D95'!B793</f>
        <v>46104</v>
      </c>
      <c r="C793" s="10">
        <f>'[1]2019 ALL D95'!C793</f>
        <v>46113</v>
      </c>
      <c r="D793" s="11">
        <v>3273</v>
      </c>
      <c r="E793" s="11">
        <v>336</v>
      </c>
      <c r="F793" s="11">
        <v>4</v>
      </c>
      <c r="G793" s="19">
        <v>6</v>
      </c>
      <c r="H793" s="13">
        <v>81588</v>
      </c>
      <c r="I793" s="11" t="s">
        <v>17</v>
      </c>
      <c r="J793" s="13">
        <v>16259882</v>
      </c>
      <c r="K793" s="13" t="s">
        <v>921</v>
      </c>
      <c r="L793" s="13" t="s">
        <v>923</v>
      </c>
      <c r="M793" s="17">
        <v>149900</v>
      </c>
      <c r="N793" s="15">
        <v>0.75</v>
      </c>
      <c r="O793" s="16">
        <f t="shared" si="60"/>
        <v>37475</v>
      </c>
      <c r="P793" s="11" t="s">
        <v>20</v>
      </c>
    </row>
    <row r="794" spans="1:16" x14ac:dyDescent="0.25">
      <c r="A794" s="9" t="str">
        <f t="shared" si="62"/>
        <v>2024 ALL D75</v>
      </c>
      <c r="B794" s="10">
        <f>'[1]2019 ALL D95'!B794</f>
        <v>46104</v>
      </c>
      <c r="C794" s="10">
        <f>'[1]2019 ALL D95'!C794</f>
        <v>46113</v>
      </c>
      <c r="D794" s="11">
        <v>3273</v>
      </c>
      <c r="E794" s="11">
        <v>336</v>
      </c>
      <c r="F794" s="11">
        <v>4</v>
      </c>
      <c r="G794" s="19">
        <v>6</v>
      </c>
      <c r="H794" s="13">
        <v>81588</v>
      </c>
      <c r="I794" s="11" t="s">
        <v>17</v>
      </c>
      <c r="J794" s="13">
        <v>16259891</v>
      </c>
      <c r="K794" s="13" t="s">
        <v>921</v>
      </c>
      <c r="L794" s="13" t="s">
        <v>924</v>
      </c>
      <c r="M794" s="17">
        <v>149900</v>
      </c>
      <c r="N794" s="15">
        <v>0.75</v>
      </c>
      <c r="O794" s="16">
        <f t="shared" si="60"/>
        <v>37475</v>
      </c>
      <c r="P794" s="11" t="s">
        <v>20</v>
      </c>
    </row>
    <row r="795" spans="1:16" x14ac:dyDescent="0.25">
      <c r="A795" s="9" t="str">
        <f t="shared" si="62"/>
        <v>2024 ALL D75</v>
      </c>
      <c r="B795" s="10">
        <f>'[1]2019 ALL D95'!B795</f>
        <v>46104</v>
      </c>
      <c r="C795" s="10">
        <f>'[1]2019 ALL D95'!C795</f>
        <v>46113</v>
      </c>
      <c r="D795" s="11">
        <v>3273</v>
      </c>
      <c r="E795" s="11">
        <v>336</v>
      </c>
      <c r="F795" s="11">
        <v>4</v>
      </c>
      <c r="G795" s="19">
        <v>6</v>
      </c>
      <c r="H795" s="13">
        <v>81588</v>
      </c>
      <c r="I795" s="11" t="s">
        <v>17</v>
      </c>
      <c r="J795" s="13">
        <v>16259908</v>
      </c>
      <c r="K795" s="13" t="s">
        <v>921</v>
      </c>
      <c r="L795" s="13" t="s">
        <v>925</v>
      </c>
      <c r="M795" s="17">
        <v>149900</v>
      </c>
      <c r="N795" s="15">
        <v>0.75</v>
      </c>
      <c r="O795" s="16">
        <f t="shared" si="60"/>
        <v>37475</v>
      </c>
      <c r="P795" s="11" t="s">
        <v>20</v>
      </c>
    </row>
    <row r="796" spans="1:16" x14ac:dyDescent="0.25">
      <c r="A796" s="9" t="str">
        <f t="shared" si="62"/>
        <v>2024 ALL D75</v>
      </c>
      <c r="B796" s="10">
        <f>'[1]2019 ALL D95'!B796</f>
        <v>46104</v>
      </c>
      <c r="C796" s="10">
        <f>'[1]2019 ALL D95'!C796</f>
        <v>46113</v>
      </c>
      <c r="D796" s="11">
        <v>3273</v>
      </c>
      <c r="E796" s="11">
        <v>336</v>
      </c>
      <c r="F796" s="11">
        <v>4</v>
      </c>
      <c r="G796" s="19">
        <v>6</v>
      </c>
      <c r="H796" s="13">
        <v>81588</v>
      </c>
      <c r="I796" s="11" t="s">
        <v>17</v>
      </c>
      <c r="J796" s="13">
        <v>16259917</v>
      </c>
      <c r="K796" s="13" t="s">
        <v>921</v>
      </c>
      <c r="L796" s="13" t="s">
        <v>926</v>
      </c>
      <c r="M796" s="17">
        <v>149900</v>
      </c>
      <c r="N796" s="15">
        <v>0.75</v>
      </c>
      <c r="O796" s="16">
        <f t="shared" si="60"/>
        <v>37475</v>
      </c>
      <c r="P796" s="11" t="s">
        <v>20</v>
      </c>
    </row>
    <row r="797" spans="1:16" x14ac:dyDescent="0.25">
      <c r="A797" s="9" t="str">
        <f t="shared" si="62"/>
        <v>2024 ALL D75</v>
      </c>
      <c r="B797" s="10">
        <f>'[1]2019 ALL D95'!B797</f>
        <v>46104</v>
      </c>
      <c r="C797" s="10">
        <f>'[1]2019 ALL D95'!C797</f>
        <v>46113</v>
      </c>
      <c r="D797" s="11">
        <v>3273</v>
      </c>
      <c r="E797" s="11">
        <v>336</v>
      </c>
      <c r="F797" s="11">
        <v>4</v>
      </c>
      <c r="G797" s="19">
        <v>6</v>
      </c>
      <c r="H797" s="13">
        <v>81588</v>
      </c>
      <c r="I797" s="11" t="s">
        <v>17</v>
      </c>
      <c r="J797" s="13">
        <v>16859911</v>
      </c>
      <c r="K797" s="13" t="s">
        <v>927</v>
      </c>
      <c r="L797" s="13" t="s">
        <v>928</v>
      </c>
      <c r="M797" s="17">
        <v>119900</v>
      </c>
      <c r="N797" s="15">
        <v>0.75</v>
      </c>
      <c r="O797" s="16">
        <f t="shared" si="60"/>
        <v>29975</v>
      </c>
      <c r="P797" s="11" t="s">
        <v>20</v>
      </c>
    </row>
    <row r="798" spans="1:16" x14ac:dyDescent="0.25">
      <c r="A798" s="9" t="str">
        <f t="shared" si="62"/>
        <v>2024 ALL D75</v>
      </c>
      <c r="B798" s="10">
        <f>'[1]2019 ALL D95'!B798</f>
        <v>46104</v>
      </c>
      <c r="C798" s="10">
        <f>'[1]2019 ALL D95'!C798</f>
        <v>46113</v>
      </c>
      <c r="D798" s="11">
        <v>3273</v>
      </c>
      <c r="E798" s="11">
        <v>336</v>
      </c>
      <c r="F798" s="11">
        <v>4</v>
      </c>
      <c r="G798" s="19">
        <v>6</v>
      </c>
      <c r="H798" s="13">
        <v>81588</v>
      </c>
      <c r="I798" s="11" t="s">
        <v>17</v>
      </c>
      <c r="J798" s="13">
        <v>16859920</v>
      </c>
      <c r="K798" s="13" t="s">
        <v>927</v>
      </c>
      <c r="L798" s="13" t="s">
        <v>929</v>
      </c>
      <c r="M798" s="17">
        <v>119900</v>
      </c>
      <c r="N798" s="15">
        <v>0.75</v>
      </c>
      <c r="O798" s="16">
        <f t="shared" si="60"/>
        <v>29975</v>
      </c>
      <c r="P798" s="11" t="s">
        <v>20</v>
      </c>
    </row>
    <row r="799" spans="1:16" x14ac:dyDescent="0.25">
      <c r="A799" s="9" t="str">
        <f t="shared" si="62"/>
        <v>2024 ALL D75</v>
      </c>
      <c r="B799" s="10">
        <f>'[1]2019 ALL D95'!B799</f>
        <v>46104</v>
      </c>
      <c r="C799" s="10">
        <f>'[1]2019 ALL D95'!C799</f>
        <v>46113</v>
      </c>
      <c r="D799" s="11">
        <v>3273</v>
      </c>
      <c r="E799" s="11">
        <v>336</v>
      </c>
      <c r="F799" s="11">
        <v>4</v>
      </c>
      <c r="G799" s="19">
        <v>6</v>
      </c>
      <c r="H799" s="13">
        <v>81588</v>
      </c>
      <c r="I799" s="11" t="s">
        <v>17</v>
      </c>
      <c r="J799" s="13">
        <v>16859939</v>
      </c>
      <c r="K799" s="13" t="s">
        <v>927</v>
      </c>
      <c r="L799" s="13" t="s">
        <v>930</v>
      </c>
      <c r="M799" s="17">
        <v>119900</v>
      </c>
      <c r="N799" s="15">
        <v>0.75</v>
      </c>
      <c r="O799" s="16">
        <f t="shared" si="60"/>
        <v>29975</v>
      </c>
      <c r="P799" s="11" t="s">
        <v>20</v>
      </c>
    </row>
    <row r="800" spans="1:16" x14ac:dyDescent="0.25">
      <c r="A800" s="9" t="str">
        <f t="shared" si="62"/>
        <v>2024 ALL D75</v>
      </c>
      <c r="B800" s="10">
        <f>'[1]2019 ALL D95'!B800</f>
        <v>46104</v>
      </c>
      <c r="C800" s="10">
        <f>'[1]2019 ALL D95'!C800</f>
        <v>46113</v>
      </c>
      <c r="D800" s="11">
        <v>3273</v>
      </c>
      <c r="E800" s="11">
        <v>336</v>
      </c>
      <c r="F800" s="11">
        <v>4</v>
      </c>
      <c r="G800" s="19">
        <v>6</v>
      </c>
      <c r="H800" s="13">
        <v>81588</v>
      </c>
      <c r="I800" s="11" t="s">
        <v>17</v>
      </c>
      <c r="J800" s="13">
        <v>16859948</v>
      </c>
      <c r="K800" s="13" t="s">
        <v>927</v>
      </c>
      <c r="L800" s="13" t="s">
        <v>931</v>
      </c>
      <c r="M800" s="17">
        <v>119900</v>
      </c>
      <c r="N800" s="15">
        <v>0.75</v>
      </c>
      <c r="O800" s="16">
        <f t="shared" si="60"/>
        <v>29975</v>
      </c>
      <c r="P800" s="11" t="s">
        <v>20</v>
      </c>
    </row>
    <row r="801" spans="1:16" x14ac:dyDescent="0.25">
      <c r="A801" s="9" t="str">
        <f t="shared" si="62"/>
        <v>2024 ALL D75</v>
      </c>
      <c r="B801" s="10">
        <f>'[1]2019 ALL D95'!B801</f>
        <v>46104</v>
      </c>
      <c r="C801" s="10">
        <f>'[1]2019 ALL D95'!C801</f>
        <v>46113</v>
      </c>
      <c r="D801" s="11">
        <v>3273</v>
      </c>
      <c r="E801" s="11">
        <v>336</v>
      </c>
      <c r="F801" s="11">
        <v>4</v>
      </c>
      <c r="G801" s="19">
        <v>6</v>
      </c>
      <c r="H801" s="13">
        <v>81588</v>
      </c>
      <c r="I801" s="11" t="s">
        <v>17</v>
      </c>
      <c r="J801" s="13">
        <v>16859957</v>
      </c>
      <c r="K801" s="13" t="s">
        <v>927</v>
      </c>
      <c r="L801" s="13" t="s">
        <v>932</v>
      </c>
      <c r="M801" s="17">
        <v>119900</v>
      </c>
      <c r="N801" s="15">
        <v>0.75</v>
      </c>
      <c r="O801" s="16">
        <f t="shared" si="60"/>
        <v>29975</v>
      </c>
      <c r="P801" s="11" t="s">
        <v>20</v>
      </c>
    </row>
    <row r="802" spans="1:16" x14ac:dyDescent="0.25">
      <c r="A802" s="9" t="str">
        <f t="shared" si="62"/>
        <v>2024 ALL D75</v>
      </c>
      <c r="B802" s="10">
        <f>'[1]2019 ALL D95'!B802</f>
        <v>46104</v>
      </c>
      <c r="C802" s="10">
        <f>'[1]2019 ALL D95'!C802</f>
        <v>46113</v>
      </c>
      <c r="D802" s="11">
        <v>3273</v>
      </c>
      <c r="E802" s="11">
        <v>336</v>
      </c>
      <c r="F802" s="11">
        <v>4</v>
      </c>
      <c r="G802" s="19">
        <v>6</v>
      </c>
      <c r="H802" s="13">
        <v>81588</v>
      </c>
      <c r="I802" s="11" t="s">
        <v>17</v>
      </c>
      <c r="J802" s="13">
        <v>16859966</v>
      </c>
      <c r="K802" s="13" t="s">
        <v>927</v>
      </c>
      <c r="L802" s="13" t="s">
        <v>933</v>
      </c>
      <c r="M802" s="17">
        <v>119900</v>
      </c>
      <c r="N802" s="15">
        <v>0.75</v>
      </c>
      <c r="O802" s="16">
        <f t="shared" si="60"/>
        <v>29975</v>
      </c>
      <c r="P802" s="11" t="s">
        <v>20</v>
      </c>
    </row>
    <row r="803" spans="1:16" x14ac:dyDescent="0.25">
      <c r="A803" s="9" t="str">
        <f t="shared" ref="A803:A818" si="63">A802</f>
        <v>2024 ALL D75</v>
      </c>
      <c r="B803" s="10">
        <f>'[1]2019 ALL D95'!B803</f>
        <v>46104</v>
      </c>
      <c r="C803" s="10">
        <f>'[1]2019 ALL D95'!C803</f>
        <v>46113</v>
      </c>
      <c r="D803" s="11">
        <v>3273</v>
      </c>
      <c r="E803" s="11">
        <v>336</v>
      </c>
      <c r="F803" s="11">
        <v>4</v>
      </c>
      <c r="G803" s="19">
        <v>6</v>
      </c>
      <c r="H803" s="13">
        <v>81588</v>
      </c>
      <c r="I803" s="11" t="s">
        <v>17</v>
      </c>
      <c r="J803" s="13">
        <v>16859975</v>
      </c>
      <c r="K803" s="13" t="s">
        <v>927</v>
      </c>
      <c r="L803" s="13" t="s">
        <v>934</v>
      </c>
      <c r="M803" s="17">
        <v>119900</v>
      </c>
      <c r="N803" s="15">
        <v>0.75</v>
      </c>
      <c r="O803" s="16">
        <f t="shared" si="60"/>
        <v>29975</v>
      </c>
      <c r="P803" s="11" t="s">
        <v>20</v>
      </c>
    </row>
    <row r="804" spans="1:16" x14ac:dyDescent="0.25">
      <c r="A804" s="9" t="str">
        <f t="shared" si="63"/>
        <v>2024 ALL D75</v>
      </c>
      <c r="B804" s="10">
        <f>'[1]2019 ALL D95'!B804</f>
        <v>46104</v>
      </c>
      <c r="C804" s="10">
        <f>'[1]2019 ALL D95'!C804</f>
        <v>46113</v>
      </c>
      <c r="D804" s="11">
        <v>3273</v>
      </c>
      <c r="E804" s="11">
        <v>336</v>
      </c>
      <c r="F804" s="11">
        <v>4</v>
      </c>
      <c r="G804" s="19">
        <v>6</v>
      </c>
      <c r="H804" s="13">
        <v>81588</v>
      </c>
      <c r="I804" s="11" t="s">
        <v>17</v>
      </c>
      <c r="J804" s="13">
        <v>16859984</v>
      </c>
      <c r="K804" s="13" t="s">
        <v>927</v>
      </c>
      <c r="L804" s="13" t="s">
        <v>935</v>
      </c>
      <c r="M804" s="17">
        <v>119900</v>
      </c>
      <c r="N804" s="15">
        <v>0.75</v>
      </c>
      <c r="O804" s="16">
        <f t="shared" si="60"/>
        <v>29975</v>
      </c>
      <c r="P804" s="11" t="s">
        <v>20</v>
      </c>
    </row>
    <row r="805" spans="1:16" x14ac:dyDescent="0.25">
      <c r="A805" s="9" t="str">
        <f t="shared" si="63"/>
        <v>2024 ALL D75</v>
      </c>
      <c r="B805" s="10">
        <f>'[1]2019 ALL D95'!B805</f>
        <v>46104</v>
      </c>
      <c r="C805" s="10">
        <f>'[1]2019 ALL D95'!C805</f>
        <v>46113</v>
      </c>
      <c r="D805" s="11">
        <v>3273</v>
      </c>
      <c r="E805" s="11">
        <v>336</v>
      </c>
      <c r="F805" s="11">
        <v>4</v>
      </c>
      <c r="G805" s="19">
        <v>6</v>
      </c>
      <c r="H805" s="13">
        <v>81588</v>
      </c>
      <c r="I805" s="11" t="s">
        <v>17</v>
      </c>
      <c r="J805" s="13">
        <v>16859993</v>
      </c>
      <c r="K805" s="13" t="s">
        <v>936</v>
      </c>
      <c r="L805" s="13" t="s">
        <v>937</v>
      </c>
      <c r="M805" s="17">
        <v>139900</v>
      </c>
      <c r="N805" s="15">
        <v>0.75</v>
      </c>
      <c r="O805" s="16">
        <f t="shared" si="60"/>
        <v>34975</v>
      </c>
      <c r="P805" s="11" t="s">
        <v>20</v>
      </c>
    </row>
    <row r="806" spans="1:16" x14ac:dyDescent="0.25">
      <c r="A806" s="9" t="str">
        <f t="shared" si="63"/>
        <v>2024 ALL D75</v>
      </c>
      <c r="B806" s="10">
        <f>'[1]2019 ALL D95'!B806</f>
        <v>46104</v>
      </c>
      <c r="C806" s="10">
        <f>'[1]2019 ALL D95'!C806</f>
        <v>46113</v>
      </c>
      <c r="D806" s="11">
        <v>3273</v>
      </c>
      <c r="E806" s="11">
        <v>336</v>
      </c>
      <c r="F806" s="11">
        <v>4</v>
      </c>
      <c r="G806" s="19">
        <v>6</v>
      </c>
      <c r="H806" s="13">
        <v>81588</v>
      </c>
      <c r="I806" s="11" t="s">
        <v>17</v>
      </c>
      <c r="J806" s="13">
        <v>16860007</v>
      </c>
      <c r="K806" s="13" t="s">
        <v>936</v>
      </c>
      <c r="L806" s="13" t="s">
        <v>938</v>
      </c>
      <c r="M806" s="17">
        <v>139900</v>
      </c>
      <c r="N806" s="15">
        <v>0.75</v>
      </c>
      <c r="O806" s="16">
        <f t="shared" si="60"/>
        <v>34975</v>
      </c>
      <c r="P806" s="11" t="s">
        <v>20</v>
      </c>
    </row>
    <row r="807" spans="1:16" x14ac:dyDescent="0.25">
      <c r="A807" s="9" t="str">
        <f t="shared" si="63"/>
        <v>2024 ALL D75</v>
      </c>
      <c r="B807" s="10">
        <f>'[1]2019 ALL D95'!B807</f>
        <v>46104</v>
      </c>
      <c r="C807" s="10">
        <f>'[1]2019 ALL D95'!C807</f>
        <v>46113</v>
      </c>
      <c r="D807" s="11">
        <v>3273</v>
      </c>
      <c r="E807" s="11">
        <v>336</v>
      </c>
      <c r="F807" s="11">
        <v>4</v>
      </c>
      <c r="G807" s="19">
        <v>6</v>
      </c>
      <c r="H807" s="13">
        <v>81588</v>
      </c>
      <c r="I807" s="11" t="s">
        <v>17</v>
      </c>
      <c r="J807" s="13">
        <v>16860016</v>
      </c>
      <c r="K807" s="13" t="s">
        <v>936</v>
      </c>
      <c r="L807" s="13" t="s">
        <v>939</v>
      </c>
      <c r="M807" s="17">
        <v>139900</v>
      </c>
      <c r="N807" s="15">
        <v>0.75</v>
      </c>
      <c r="O807" s="16">
        <f t="shared" si="60"/>
        <v>34975</v>
      </c>
      <c r="P807" s="11" t="s">
        <v>20</v>
      </c>
    </row>
    <row r="808" spans="1:16" x14ac:dyDescent="0.25">
      <c r="A808" s="9" t="str">
        <f t="shared" si="63"/>
        <v>2024 ALL D75</v>
      </c>
      <c r="B808" s="10">
        <f>'[1]2019 ALL D95'!B808</f>
        <v>46104</v>
      </c>
      <c r="C808" s="10">
        <f>'[1]2019 ALL D95'!C808</f>
        <v>46113</v>
      </c>
      <c r="D808" s="11">
        <v>3273</v>
      </c>
      <c r="E808" s="11">
        <v>336</v>
      </c>
      <c r="F808" s="11">
        <v>4</v>
      </c>
      <c r="G808" s="19">
        <v>6</v>
      </c>
      <c r="H808" s="13">
        <v>81588</v>
      </c>
      <c r="I808" s="11" t="s">
        <v>17</v>
      </c>
      <c r="J808" s="13">
        <v>16860025</v>
      </c>
      <c r="K808" s="13" t="s">
        <v>936</v>
      </c>
      <c r="L808" s="13" t="s">
        <v>940</v>
      </c>
      <c r="M808" s="17">
        <v>139900</v>
      </c>
      <c r="N808" s="15">
        <v>0.75</v>
      </c>
      <c r="O808" s="16">
        <f t="shared" si="60"/>
        <v>34975</v>
      </c>
      <c r="P808" s="11" t="s">
        <v>20</v>
      </c>
    </row>
    <row r="809" spans="1:16" x14ac:dyDescent="0.25">
      <c r="A809" s="9" t="str">
        <f t="shared" si="63"/>
        <v>2024 ALL D75</v>
      </c>
      <c r="B809" s="10">
        <f>'[1]2019 ALL D95'!B809</f>
        <v>46104</v>
      </c>
      <c r="C809" s="10">
        <f>'[1]2019 ALL D95'!C809</f>
        <v>46113</v>
      </c>
      <c r="D809" s="11">
        <v>3273</v>
      </c>
      <c r="E809" s="11">
        <v>336</v>
      </c>
      <c r="F809" s="11">
        <v>4</v>
      </c>
      <c r="G809" s="19">
        <v>6</v>
      </c>
      <c r="H809" s="13">
        <v>81588</v>
      </c>
      <c r="I809" s="11" t="s">
        <v>17</v>
      </c>
      <c r="J809" s="13">
        <v>16860034</v>
      </c>
      <c r="K809" s="13" t="s">
        <v>936</v>
      </c>
      <c r="L809" s="13" t="s">
        <v>941</v>
      </c>
      <c r="M809" s="17">
        <v>139900</v>
      </c>
      <c r="N809" s="15">
        <v>0.75</v>
      </c>
      <c r="O809" s="16">
        <f t="shared" si="60"/>
        <v>34975</v>
      </c>
      <c r="P809" s="11" t="s">
        <v>20</v>
      </c>
    </row>
    <row r="810" spans="1:16" x14ac:dyDescent="0.25">
      <c r="A810" s="9" t="str">
        <f t="shared" si="63"/>
        <v>2024 ALL D75</v>
      </c>
      <c r="B810" s="10">
        <f>'[1]2019 ALL D95'!B810</f>
        <v>46104</v>
      </c>
      <c r="C810" s="10">
        <f>'[1]2019 ALL D95'!C810</f>
        <v>46113</v>
      </c>
      <c r="D810" s="11">
        <v>3273</v>
      </c>
      <c r="E810" s="11">
        <v>336</v>
      </c>
      <c r="F810" s="11">
        <v>4</v>
      </c>
      <c r="G810" s="19">
        <v>6</v>
      </c>
      <c r="H810" s="13">
        <v>81588</v>
      </c>
      <c r="I810" s="11" t="s">
        <v>17</v>
      </c>
      <c r="J810" s="13">
        <v>16860043</v>
      </c>
      <c r="K810" s="13" t="s">
        <v>936</v>
      </c>
      <c r="L810" s="13" t="s">
        <v>942</v>
      </c>
      <c r="M810" s="17">
        <v>139900</v>
      </c>
      <c r="N810" s="15">
        <v>0.75</v>
      </c>
      <c r="O810" s="16">
        <f t="shared" si="60"/>
        <v>34975</v>
      </c>
      <c r="P810" s="11" t="s">
        <v>20</v>
      </c>
    </row>
    <row r="811" spans="1:16" x14ac:dyDescent="0.25">
      <c r="A811" s="9" t="str">
        <f t="shared" si="63"/>
        <v>2024 ALL D75</v>
      </c>
      <c r="B811" s="10">
        <f>'[1]2019 ALL D95'!B811</f>
        <v>46104</v>
      </c>
      <c r="C811" s="10">
        <f>'[1]2019 ALL D95'!C811</f>
        <v>46113</v>
      </c>
      <c r="D811" s="11">
        <v>3273</v>
      </c>
      <c r="E811" s="11">
        <v>336</v>
      </c>
      <c r="F811" s="11">
        <v>4</v>
      </c>
      <c r="G811" s="19">
        <v>6</v>
      </c>
      <c r="H811" s="13">
        <v>81588</v>
      </c>
      <c r="I811" s="11" t="s">
        <v>17</v>
      </c>
      <c r="J811" s="13">
        <v>16860052</v>
      </c>
      <c r="K811" s="13" t="s">
        <v>936</v>
      </c>
      <c r="L811" s="13" t="s">
        <v>943</v>
      </c>
      <c r="M811" s="17">
        <v>139900</v>
      </c>
      <c r="N811" s="15">
        <v>0.75</v>
      </c>
      <c r="O811" s="16">
        <f t="shared" si="60"/>
        <v>34975</v>
      </c>
      <c r="P811" s="11" t="s">
        <v>20</v>
      </c>
    </row>
    <row r="812" spans="1:16" x14ac:dyDescent="0.25">
      <c r="A812" s="9" t="str">
        <f t="shared" si="63"/>
        <v>2024 ALL D75</v>
      </c>
      <c r="B812" s="10">
        <f>'[1]2019 ALL D95'!B812</f>
        <v>46104</v>
      </c>
      <c r="C812" s="10">
        <f>'[1]2019 ALL D95'!C812</f>
        <v>46113</v>
      </c>
      <c r="D812" s="11">
        <v>3273</v>
      </c>
      <c r="E812" s="11">
        <v>336</v>
      </c>
      <c r="F812" s="11">
        <v>4</v>
      </c>
      <c r="G812" s="19">
        <v>6</v>
      </c>
      <c r="H812" s="13">
        <v>81588</v>
      </c>
      <c r="I812" s="11" t="s">
        <v>17</v>
      </c>
      <c r="J812" s="13">
        <v>16860061</v>
      </c>
      <c r="K812" s="13" t="s">
        <v>936</v>
      </c>
      <c r="L812" s="13" t="s">
        <v>944</v>
      </c>
      <c r="M812" s="17">
        <v>139900</v>
      </c>
      <c r="N812" s="15">
        <v>0.75</v>
      </c>
      <c r="O812" s="16">
        <f t="shared" si="60"/>
        <v>34975</v>
      </c>
      <c r="P812" s="11" t="s">
        <v>20</v>
      </c>
    </row>
    <row r="813" spans="1:16" x14ac:dyDescent="0.25">
      <c r="A813" s="9" t="str">
        <f t="shared" si="63"/>
        <v>2024 ALL D75</v>
      </c>
      <c r="B813" s="10">
        <f>'[1]2019 ALL D95'!B813</f>
        <v>46104</v>
      </c>
      <c r="C813" s="10">
        <f>'[1]2019 ALL D95'!C813</f>
        <v>46113</v>
      </c>
      <c r="D813" s="11">
        <v>3273</v>
      </c>
      <c r="E813" s="11">
        <v>336</v>
      </c>
      <c r="F813" s="11">
        <v>4</v>
      </c>
      <c r="G813" s="19">
        <v>6</v>
      </c>
      <c r="H813" s="13">
        <v>81588</v>
      </c>
      <c r="I813" s="11" t="s">
        <v>17</v>
      </c>
      <c r="J813" s="13">
        <v>16860070</v>
      </c>
      <c r="K813" s="13" t="s">
        <v>945</v>
      </c>
      <c r="L813" s="13" t="s">
        <v>946</v>
      </c>
      <c r="M813" s="17">
        <v>149900</v>
      </c>
      <c r="N813" s="15">
        <v>0.75</v>
      </c>
      <c r="O813" s="16">
        <f t="shared" si="60"/>
        <v>37475</v>
      </c>
      <c r="P813" s="11" t="s">
        <v>20</v>
      </c>
    </row>
    <row r="814" spans="1:16" x14ac:dyDescent="0.25">
      <c r="A814" s="9" t="str">
        <f t="shared" si="63"/>
        <v>2024 ALL D75</v>
      </c>
      <c r="B814" s="10">
        <f>'[1]2019 ALL D95'!B814</f>
        <v>46104</v>
      </c>
      <c r="C814" s="10">
        <f>'[1]2019 ALL D95'!C814</f>
        <v>46113</v>
      </c>
      <c r="D814" s="11">
        <v>3273</v>
      </c>
      <c r="E814" s="11">
        <v>336</v>
      </c>
      <c r="F814" s="11">
        <v>4</v>
      </c>
      <c r="G814" s="19">
        <v>6</v>
      </c>
      <c r="H814" s="13">
        <v>81588</v>
      </c>
      <c r="I814" s="11" t="s">
        <v>17</v>
      </c>
      <c r="J814" s="13">
        <v>16860089</v>
      </c>
      <c r="K814" s="13" t="s">
        <v>945</v>
      </c>
      <c r="L814" s="13" t="s">
        <v>947</v>
      </c>
      <c r="M814" s="17">
        <v>149900</v>
      </c>
      <c r="N814" s="15">
        <v>0.75</v>
      </c>
      <c r="O814" s="16">
        <f t="shared" si="60"/>
        <v>37475</v>
      </c>
      <c r="P814" s="11" t="s">
        <v>20</v>
      </c>
    </row>
    <row r="815" spans="1:16" x14ac:dyDescent="0.25">
      <c r="A815" s="9" t="str">
        <f t="shared" si="63"/>
        <v>2024 ALL D75</v>
      </c>
      <c r="B815" s="10">
        <f>'[1]2019 ALL D95'!B815</f>
        <v>46104</v>
      </c>
      <c r="C815" s="10">
        <f>'[1]2019 ALL D95'!C815</f>
        <v>46113</v>
      </c>
      <c r="D815" s="11">
        <v>3273</v>
      </c>
      <c r="E815" s="11">
        <v>336</v>
      </c>
      <c r="F815" s="11">
        <v>4</v>
      </c>
      <c r="G815" s="19">
        <v>6</v>
      </c>
      <c r="H815" s="13">
        <v>81588</v>
      </c>
      <c r="I815" s="11" t="s">
        <v>17</v>
      </c>
      <c r="J815" s="13">
        <v>16860098</v>
      </c>
      <c r="K815" s="13" t="s">
        <v>945</v>
      </c>
      <c r="L815" s="13" t="s">
        <v>948</v>
      </c>
      <c r="M815" s="17">
        <v>149900</v>
      </c>
      <c r="N815" s="15">
        <v>0.75</v>
      </c>
      <c r="O815" s="16">
        <f t="shared" si="60"/>
        <v>37475</v>
      </c>
      <c r="P815" s="11" t="s">
        <v>20</v>
      </c>
    </row>
    <row r="816" spans="1:16" x14ac:dyDescent="0.25">
      <c r="A816" s="9" t="str">
        <f t="shared" si="63"/>
        <v>2024 ALL D75</v>
      </c>
      <c r="B816" s="10">
        <f>'[1]2019 ALL D95'!B816</f>
        <v>46104</v>
      </c>
      <c r="C816" s="10">
        <f>'[1]2019 ALL D95'!C816</f>
        <v>46113</v>
      </c>
      <c r="D816" s="11">
        <v>3273</v>
      </c>
      <c r="E816" s="11">
        <v>336</v>
      </c>
      <c r="F816" s="11">
        <v>4</v>
      </c>
      <c r="G816" s="19">
        <v>6</v>
      </c>
      <c r="H816" s="13">
        <v>81588</v>
      </c>
      <c r="I816" s="11" t="s">
        <v>17</v>
      </c>
      <c r="J816" s="13">
        <v>16860105</v>
      </c>
      <c r="K816" s="13" t="s">
        <v>945</v>
      </c>
      <c r="L816" s="13" t="s">
        <v>949</v>
      </c>
      <c r="M816" s="17">
        <v>149900</v>
      </c>
      <c r="N816" s="15">
        <v>0.75</v>
      </c>
      <c r="O816" s="16">
        <f t="shared" si="60"/>
        <v>37475</v>
      </c>
      <c r="P816" s="11" t="s">
        <v>20</v>
      </c>
    </row>
    <row r="817" spans="1:16" x14ac:dyDescent="0.25">
      <c r="A817" s="9" t="str">
        <f t="shared" si="63"/>
        <v>2024 ALL D75</v>
      </c>
      <c r="B817" s="10">
        <f>'[1]2019 ALL D95'!B817</f>
        <v>46104</v>
      </c>
      <c r="C817" s="10">
        <f>'[1]2019 ALL D95'!C817</f>
        <v>46113</v>
      </c>
      <c r="D817" s="11">
        <v>3273</v>
      </c>
      <c r="E817" s="11">
        <v>336</v>
      </c>
      <c r="F817" s="11">
        <v>4</v>
      </c>
      <c r="G817" s="19">
        <v>6</v>
      </c>
      <c r="H817" s="13">
        <v>81588</v>
      </c>
      <c r="I817" s="11" t="s">
        <v>17</v>
      </c>
      <c r="J817" s="13">
        <v>16860114</v>
      </c>
      <c r="K817" s="13" t="s">
        <v>945</v>
      </c>
      <c r="L817" s="13" t="s">
        <v>950</v>
      </c>
      <c r="M817" s="17">
        <v>149900</v>
      </c>
      <c r="N817" s="15">
        <v>0.75</v>
      </c>
      <c r="O817" s="16">
        <f t="shared" si="60"/>
        <v>37475</v>
      </c>
      <c r="P817" s="11" t="s">
        <v>20</v>
      </c>
    </row>
    <row r="818" spans="1:16" x14ac:dyDescent="0.25">
      <c r="A818" s="9" t="str">
        <f t="shared" si="63"/>
        <v>2024 ALL D75</v>
      </c>
      <c r="B818" s="10">
        <f>'[1]2019 ALL D95'!B818</f>
        <v>46104</v>
      </c>
      <c r="C818" s="10">
        <f>'[1]2019 ALL D95'!C818</f>
        <v>46113</v>
      </c>
      <c r="D818" s="11">
        <v>3273</v>
      </c>
      <c r="E818" s="11">
        <v>336</v>
      </c>
      <c r="F818" s="11">
        <v>4</v>
      </c>
      <c r="G818" s="19">
        <v>6</v>
      </c>
      <c r="H818" s="13">
        <v>81588</v>
      </c>
      <c r="I818" s="11" t="s">
        <v>17</v>
      </c>
      <c r="J818" s="13">
        <v>16860123</v>
      </c>
      <c r="K818" s="13" t="s">
        <v>945</v>
      </c>
      <c r="L818" s="13" t="s">
        <v>951</v>
      </c>
      <c r="M818" s="17">
        <v>149900</v>
      </c>
      <c r="N818" s="15">
        <v>0.75</v>
      </c>
      <c r="O818" s="16">
        <f t="shared" si="60"/>
        <v>37475</v>
      </c>
      <c r="P818" s="11" t="s">
        <v>20</v>
      </c>
    </row>
    <row r="819" spans="1:16" x14ac:dyDescent="0.25">
      <c r="A819" s="9" t="str">
        <f t="shared" ref="A819:A834" si="64">A818</f>
        <v>2024 ALL D75</v>
      </c>
      <c r="B819" s="10">
        <f>'[1]2019 ALL D95'!B819</f>
        <v>46104</v>
      </c>
      <c r="C819" s="10">
        <f>'[1]2019 ALL D95'!C819</f>
        <v>46113</v>
      </c>
      <c r="D819" s="11">
        <v>3273</v>
      </c>
      <c r="E819" s="11">
        <v>336</v>
      </c>
      <c r="F819" s="11">
        <v>4</v>
      </c>
      <c r="G819" s="19">
        <v>6</v>
      </c>
      <c r="H819" s="13">
        <v>81588</v>
      </c>
      <c r="I819" s="11" t="s">
        <v>17</v>
      </c>
      <c r="J819" s="13">
        <v>16860132</v>
      </c>
      <c r="K819" s="13" t="s">
        <v>945</v>
      </c>
      <c r="L819" s="13" t="s">
        <v>952</v>
      </c>
      <c r="M819" s="17">
        <v>149900</v>
      </c>
      <c r="N819" s="15">
        <v>0.75</v>
      </c>
      <c r="O819" s="16">
        <f t="shared" si="60"/>
        <v>37475</v>
      </c>
      <c r="P819" s="11" t="s">
        <v>20</v>
      </c>
    </row>
    <row r="820" spans="1:16" x14ac:dyDescent="0.25">
      <c r="A820" s="9" t="str">
        <f t="shared" si="64"/>
        <v>2024 ALL D75</v>
      </c>
      <c r="B820" s="10">
        <f>'[1]2019 ALL D95'!B820</f>
        <v>46104</v>
      </c>
      <c r="C820" s="10">
        <f>'[1]2019 ALL D95'!C820</f>
        <v>46113</v>
      </c>
      <c r="D820" s="11">
        <v>3273</v>
      </c>
      <c r="E820" s="11">
        <v>336</v>
      </c>
      <c r="F820" s="11">
        <v>4</v>
      </c>
      <c r="G820" s="19">
        <v>6</v>
      </c>
      <c r="H820" s="13">
        <v>81588</v>
      </c>
      <c r="I820" s="11" t="s">
        <v>17</v>
      </c>
      <c r="J820" s="13">
        <v>16860141</v>
      </c>
      <c r="K820" s="13" t="s">
        <v>945</v>
      </c>
      <c r="L820" s="13" t="s">
        <v>953</v>
      </c>
      <c r="M820" s="17">
        <v>149900</v>
      </c>
      <c r="N820" s="15">
        <v>0.75</v>
      </c>
      <c r="O820" s="16">
        <f t="shared" si="60"/>
        <v>37475</v>
      </c>
      <c r="P820" s="11" t="s">
        <v>20</v>
      </c>
    </row>
    <row r="821" spans="1:16" x14ac:dyDescent="0.25">
      <c r="A821" s="9" t="str">
        <f t="shared" si="64"/>
        <v>2024 ALL D75</v>
      </c>
      <c r="B821" s="10">
        <f>'[1]2019 ALL D95'!B821</f>
        <v>46104</v>
      </c>
      <c r="C821" s="10">
        <f>'[1]2019 ALL D95'!C821</f>
        <v>46113</v>
      </c>
      <c r="D821" s="11">
        <v>3273</v>
      </c>
      <c r="E821" s="11">
        <v>336</v>
      </c>
      <c r="F821" s="11">
        <v>4</v>
      </c>
      <c r="G821" s="19">
        <v>10</v>
      </c>
      <c r="H821" s="13">
        <v>81588</v>
      </c>
      <c r="I821" s="11" t="s">
        <v>17</v>
      </c>
      <c r="J821" s="13">
        <v>16101532</v>
      </c>
      <c r="K821" s="13" t="s">
        <v>954</v>
      </c>
      <c r="L821" s="13" t="s">
        <v>955</v>
      </c>
      <c r="M821" s="17">
        <v>149900</v>
      </c>
      <c r="N821" s="15">
        <v>0.75</v>
      </c>
      <c r="O821" s="16">
        <f t="shared" si="60"/>
        <v>37475</v>
      </c>
      <c r="P821" s="11" t="s">
        <v>20</v>
      </c>
    </row>
    <row r="822" spans="1:16" x14ac:dyDescent="0.25">
      <c r="A822" s="9" t="str">
        <f t="shared" si="64"/>
        <v>2024 ALL D75</v>
      </c>
      <c r="B822" s="10">
        <f>'[1]2019 ALL D95'!B822</f>
        <v>46104</v>
      </c>
      <c r="C822" s="10">
        <f>'[1]2019 ALL D95'!C822</f>
        <v>46113</v>
      </c>
      <c r="D822" s="11">
        <v>3273</v>
      </c>
      <c r="E822" s="11">
        <v>336</v>
      </c>
      <c r="F822" s="11">
        <v>4</v>
      </c>
      <c r="G822" s="19">
        <v>10</v>
      </c>
      <c r="H822" s="13">
        <v>81588</v>
      </c>
      <c r="I822" s="11" t="s">
        <v>17</v>
      </c>
      <c r="J822" s="13">
        <v>16102139</v>
      </c>
      <c r="K822" s="13" t="s">
        <v>956</v>
      </c>
      <c r="L822" s="13" t="s">
        <v>957</v>
      </c>
      <c r="M822" s="17">
        <v>149900</v>
      </c>
      <c r="N822" s="15">
        <v>0.75</v>
      </c>
      <c r="O822" s="16">
        <f t="shared" si="60"/>
        <v>37475</v>
      </c>
      <c r="P822" s="11" t="s">
        <v>20</v>
      </c>
    </row>
    <row r="823" spans="1:16" x14ac:dyDescent="0.25">
      <c r="A823" s="9" t="str">
        <f t="shared" si="64"/>
        <v>2024 ALL D75</v>
      </c>
      <c r="B823" s="10">
        <f>'[1]2019 ALL D95'!B823</f>
        <v>46104</v>
      </c>
      <c r="C823" s="10">
        <f>'[1]2019 ALL D95'!C823</f>
        <v>46113</v>
      </c>
      <c r="D823" s="11">
        <v>3273</v>
      </c>
      <c r="E823" s="11">
        <v>336</v>
      </c>
      <c r="F823" s="11">
        <v>4</v>
      </c>
      <c r="G823" s="19">
        <v>10</v>
      </c>
      <c r="H823" s="13">
        <v>81588</v>
      </c>
      <c r="I823" s="11" t="s">
        <v>17</v>
      </c>
      <c r="J823" s="13">
        <v>16102148</v>
      </c>
      <c r="K823" s="13" t="s">
        <v>958</v>
      </c>
      <c r="L823" s="13" t="s">
        <v>959</v>
      </c>
      <c r="M823" s="17">
        <v>149900</v>
      </c>
      <c r="N823" s="15">
        <v>0.75</v>
      </c>
      <c r="O823" s="16">
        <f t="shared" si="60"/>
        <v>37475</v>
      </c>
      <c r="P823" s="11" t="s">
        <v>20</v>
      </c>
    </row>
    <row r="824" spans="1:16" x14ac:dyDescent="0.25">
      <c r="A824" s="9" t="str">
        <f t="shared" si="64"/>
        <v>2024 ALL D75</v>
      </c>
      <c r="B824" s="10">
        <f>'[1]2019 ALL D95'!B824</f>
        <v>46104</v>
      </c>
      <c r="C824" s="10">
        <f>'[1]2019 ALL D95'!C824</f>
        <v>46113</v>
      </c>
      <c r="D824" s="11">
        <v>3273</v>
      </c>
      <c r="E824" s="11">
        <v>336</v>
      </c>
      <c r="F824" s="11">
        <v>4</v>
      </c>
      <c r="G824" s="19">
        <v>10</v>
      </c>
      <c r="H824" s="13">
        <v>81588</v>
      </c>
      <c r="I824" s="11" t="s">
        <v>17</v>
      </c>
      <c r="J824" s="13">
        <v>16860150</v>
      </c>
      <c r="K824" s="13" t="s">
        <v>960</v>
      </c>
      <c r="L824" s="13" t="s">
        <v>961</v>
      </c>
      <c r="M824" s="17">
        <v>149900</v>
      </c>
      <c r="N824" s="15">
        <v>0.75</v>
      </c>
      <c r="O824" s="16">
        <f t="shared" si="60"/>
        <v>37475</v>
      </c>
      <c r="P824" s="11" t="s">
        <v>20</v>
      </c>
    </row>
    <row r="825" spans="1:16" x14ac:dyDescent="0.25">
      <c r="A825" s="9" t="str">
        <f t="shared" si="64"/>
        <v>2024 ALL D75</v>
      </c>
      <c r="B825" s="10">
        <f>'[1]2019 ALL D95'!B825</f>
        <v>46104</v>
      </c>
      <c r="C825" s="10">
        <f>'[1]2019 ALL D95'!C825</f>
        <v>46113</v>
      </c>
      <c r="D825" s="11">
        <v>3273</v>
      </c>
      <c r="E825" s="11">
        <v>336</v>
      </c>
      <c r="F825" s="11">
        <v>4</v>
      </c>
      <c r="G825" s="19">
        <v>9</v>
      </c>
      <c r="H825" s="13">
        <v>81588</v>
      </c>
      <c r="I825" s="11" t="s">
        <v>17</v>
      </c>
      <c r="J825" s="13">
        <v>16281688</v>
      </c>
      <c r="K825" s="13" t="s">
        <v>962</v>
      </c>
      <c r="L825" s="13" t="s">
        <v>963</v>
      </c>
      <c r="M825" s="17">
        <v>239900</v>
      </c>
      <c r="N825" s="15">
        <v>0.75</v>
      </c>
      <c r="O825" s="16">
        <f t="shared" si="60"/>
        <v>59975</v>
      </c>
      <c r="P825" s="11" t="s">
        <v>20</v>
      </c>
    </row>
    <row r="826" spans="1:16" x14ac:dyDescent="0.25">
      <c r="A826" s="9" t="str">
        <f t="shared" si="64"/>
        <v>2024 ALL D75</v>
      </c>
      <c r="B826" s="10">
        <f>'[1]2019 ALL D95'!B826</f>
        <v>46104</v>
      </c>
      <c r="C826" s="10">
        <f>'[1]2019 ALL D95'!C826</f>
        <v>46113</v>
      </c>
      <c r="D826" s="11">
        <v>3273</v>
      </c>
      <c r="E826" s="11">
        <v>336</v>
      </c>
      <c r="F826" s="11">
        <v>4</v>
      </c>
      <c r="G826" s="19">
        <v>9</v>
      </c>
      <c r="H826" s="13">
        <v>81588</v>
      </c>
      <c r="I826" s="11" t="s">
        <v>17</v>
      </c>
      <c r="J826" s="13">
        <v>16281697</v>
      </c>
      <c r="K826" s="13" t="s">
        <v>962</v>
      </c>
      <c r="L826" s="13" t="s">
        <v>964</v>
      </c>
      <c r="M826" s="17">
        <v>239900</v>
      </c>
      <c r="N826" s="15">
        <v>0.75</v>
      </c>
      <c r="O826" s="16">
        <f t="shared" si="60"/>
        <v>59975</v>
      </c>
      <c r="P826" s="11" t="s">
        <v>20</v>
      </c>
    </row>
    <row r="827" spans="1:16" x14ac:dyDescent="0.25">
      <c r="A827" s="9" t="str">
        <f t="shared" si="64"/>
        <v>2024 ALL D75</v>
      </c>
      <c r="B827" s="10">
        <f>'[1]2019 ALL D95'!B827</f>
        <v>46104</v>
      </c>
      <c r="C827" s="10">
        <f>'[1]2019 ALL D95'!C827</f>
        <v>46113</v>
      </c>
      <c r="D827" s="11">
        <v>3273</v>
      </c>
      <c r="E827" s="11">
        <v>336</v>
      </c>
      <c r="F827" s="11">
        <v>4</v>
      </c>
      <c r="G827" s="19">
        <v>9</v>
      </c>
      <c r="H827" s="13">
        <v>81588</v>
      </c>
      <c r="I827" s="11" t="s">
        <v>17</v>
      </c>
      <c r="J827" s="13">
        <v>16281704</v>
      </c>
      <c r="K827" s="13" t="s">
        <v>962</v>
      </c>
      <c r="L827" s="13" t="s">
        <v>965</v>
      </c>
      <c r="M827" s="17">
        <v>239900</v>
      </c>
      <c r="N827" s="15">
        <v>0.75</v>
      </c>
      <c r="O827" s="16">
        <f t="shared" si="60"/>
        <v>59975</v>
      </c>
      <c r="P827" s="11" t="s">
        <v>20</v>
      </c>
    </row>
    <row r="828" spans="1:16" x14ac:dyDescent="0.25">
      <c r="A828" s="9" t="str">
        <f t="shared" si="64"/>
        <v>2024 ALL D75</v>
      </c>
      <c r="B828" s="10">
        <f>'[1]2019 ALL D95'!B828</f>
        <v>46104</v>
      </c>
      <c r="C828" s="10">
        <f>'[1]2019 ALL D95'!C828</f>
        <v>46113</v>
      </c>
      <c r="D828" s="11">
        <v>3273</v>
      </c>
      <c r="E828" s="11">
        <v>336</v>
      </c>
      <c r="F828" s="11">
        <v>4</v>
      </c>
      <c r="G828" s="19">
        <v>9</v>
      </c>
      <c r="H828" s="13">
        <v>81588</v>
      </c>
      <c r="I828" s="11" t="s">
        <v>17</v>
      </c>
      <c r="J828" s="13">
        <v>16281713</v>
      </c>
      <c r="K828" s="13" t="s">
        <v>962</v>
      </c>
      <c r="L828" s="13" t="s">
        <v>966</v>
      </c>
      <c r="M828" s="17">
        <v>239900</v>
      </c>
      <c r="N828" s="15">
        <v>0.75</v>
      </c>
      <c r="O828" s="16">
        <f t="shared" si="60"/>
        <v>59975</v>
      </c>
      <c r="P828" s="11" t="s">
        <v>20</v>
      </c>
    </row>
    <row r="829" spans="1:16" x14ac:dyDescent="0.25">
      <c r="A829" s="9" t="str">
        <f t="shared" si="64"/>
        <v>2024 ALL D75</v>
      </c>
      <c r="B829" s="10">
        <f>'[1]2019 ALL D95'!B829</f>
        <v>46104</v>
      </c>
      <c r="C829" s="10">
        <f>'[1]2019 ALL D95'!C829</f>
        <v>46113</v>
      </c>
      <c r="D829" s="11">
        <v>3273</v>
      </c>
      <c r="E829" s="11">
        <v>336</v>
      </c>
      <c r="F829" s="11">
        <v>4</v>
      </c>
      <c r="G829" s="19">
        <v>9</v>
      </c>
      <c r="H829" s="13">
        <v>81588</v>
      </c>
      <c r="I829" s="11" t="s">
        <v>17</v>
      </c>
      <c r="J829" s="13">
        <v>16281722</v>
      </c>
      <c r="K829" s="13" t="s">
        <v>962</v>
      </c>
      <c r="L829" s="13" t="s">
        <v>967</v>
      </c>
      <c r="M829" s="17">
        <v>239900</v>
      </c>
      <c r="N829" s="15">
        <v>0.75</v>
      </c>
      <c r="O829" s="16">
        <f t="shared" si="60"/>
        <v>59975</v>
      </c>
      <c r="P829" s="11" t="s">
        <v>20</v>
      </c>
    </row>
    <row r="830" spans="1:16" x14ac:dyDescent="0.25">
      <c r="A830" s="9" t="str">
        <f t="shared" si="64"/>
        <v>2024 ALL D75</v>
      </c>
      <c r="B830" s="10">
        <f>'[1]2019 ALL D95'!B830</f>
        <v>46104</v>
      </c>
      <c r="C830" s="10">
        <f>'[1]2019 ALL D95'!C830</f>
        <v>46113</v>
      </c>
      <c r="D830" s="11">
        <v>3273</v>
      </c>
      <c r="E830" s="11">
        <v>336</v>
      </c>
      <c r="F830" s="11">
        <v>4</v>
      </c>
      <c r="G830" s="19">
        <v>9</v>
      </c>
      <c r="H830" s="13">
        <v>81588</v>
      </c>
      <c r="I830" s="11" t="s">
        <v>17</v>
      </c>
      <c r="J830" s="13">
        <v>12056983</v>
      </c>
      <c r="K830" s="13" t="s">
        <v>968</v>
      </c>
      <c r="L830" s="13" t="s">
        <v>969</v>
      </c>
      <c r="M830" s="17">
        <v>239900</v>
      </c>
      <c r="N830" s="15">
        <v>0.75</v>
      </c>
      <c r="O830" s="16">
        <f t="shared" si="60"/>
        <v>59975</v>
      </c>
      <c r="P830" s="11" t="s">
        <v>20</v>
      </c>
    </row>
    <row r="831" spans="1:16" x14ac:dyDescent="0.25">
      <c r="A831" s="9" t="str">
        <f t="shared" si="64"/>
        <v>2024 ALL D75</v>
      </c>
      <c r="B831" s="10">
        <f>'[1]2019 ALL D95'!B831</f>
        <v>46104</v>
      </c>
      <c r="C831" s="10">
        <f>'[1]2019 ALL D95'!C831</f>
        <v>46113</v>
      </c>
      <c r="D831" s="11">
        <v>3273</v>
      </c>
      <c r="E831" s="11">
        <v>336</v>
      </c>
      <c r="F831" s="11">
        <v>4</v>
      </c>
      <c r="G831" s="19">
        <v>9</v>
      </c>
      <c r="H831" s="13">
        <v>81588</v>
      </c>
      <c r="I831" s="11" t="s">
        <v>17</v>
      </c>
      <c r="J831" s="13">
        <v>12056992</v>
      </c>
      <c r="K831" s="13" t="s">
        <v>968</v>
      </c>
      <c r="L831" s="13" t="s">
        <v>970</v>
      </c>
      <c r="M831" s="17">
        <v>239900</v>
      </c>
      <c r="N831" s="15">
        <v>0.75</v>
      </c>
      <c r="O831" s="16">
        <f t="shared" si="60"/>
        <v>59975</v>
      </c>
      <c r="P831" s="11" t="s">
        <v>20</v>
      </c>
    </row>
    <row r="832" spans="1:16" x14ac:dyDescent="0.25">
      <c r="A832" s="9" t="str">
        <f t="shared" si="64"/>
        <v>2024 ALL D75</v>
      </c>
      <c r="B832" s="10">
        <f>'[1]2019 ALL D95'!B832</f>
        <v>46104</v>
      </c>
      <c r="C832" s="10">
        <f>'[1]2019 ALL D95'!C832</f>
        <v>46113</v>
      </c>
      <c r="D832" s="11">
        <v>3273</v>
      </c>
      <c r="E832" s="11">
        <v>336</v>
      </c>
      <c r="F832" s="11">
        <v>4</v>
      </c>
      <c r="G832" s="19">
        <v>9</v>
      </c>
      <c r="H832" s="13">
        <v>81588</v>
      </c>
      <c r="I832" s="11" t="s">
        <v>17</v>
      </c>
      <c r="J832" s="13">
        <v>12057008</v>
      </c>
      <c r="K832" s="13" t="s">
        <v>968</v>
      </c>
      <c r="L832" s="13" t="s">
        <v>971</v>
      </c>
      <c r="M832" s="17">
        <v>239900</v>
      </c>
      <c r="N832" s="15">
        <v>0.75</v>
      </c>
      <c r="O832" s="16">
        <f t="shared" si="60"/>
        <v>59975</v>
      </c>
      <c r="P832" s="11" t="s">
        <v>20</v>
      </c>
    </row>
    <row r="833" spans="1:16" x14ac:dyDescent="0.25">
      <c r="A833" s="9" t="str">
        <f t="shared" si="64"/>
        <v>2024 ALL D75</v>
      </c>
      <c r="B833" s="10">
        <f>'[1]2019 ALL D95'!B833</f>
        <v>46104</v>
      </c>
      <c r="C833" s="10">
        <f>'[1]2019 ALL D95'!C833</f>
        <v>46113</v>
      </c>
      <c r="D833" s="11">
        <v>3273</v>
      </c>
      <c r="E833" s="11">
        <v>336</v>
      </c>
      <c r="F833" s="11">
        <v>4</v>
      </c>
      <c r="G833" s="19">
        <v>9</v>
      </c>
      <c r="H833" s="13">
        <v>81588</v>
      </c>
      <c r="I833" s="11" t="s">
        <v>17</v>
      </c>
      <c r="J833" s="13">
        <v>12057017</v>
      </c>
      <c r="K833" s="13" t="s">
        <v>968</v>
      </c>
      <c r="L833" s="13" t="s">
        <v>972</v>
      </c>
      <c r="M833" s="17">
        <v>239900</v>
      </c>
      <c r="N833" s="15">
        <v>0.75</v>
      </c>
      <c r="O833" s="16">
        <f t="shared" si="60"/>
        <v>59975</v>
      </c>
      <c r="P833" s="11" t="s">
        <v>20</v>
      </c>
    </row>
    <row r="834" spans="1:16" x14ac:dyDescent="0.25">
      <c r="A834" s="9" t="str">
        <f t="shared" si="64"/>
        <v>2024 ALL D75</v>
      </c>
      <c r="B834" s="10">
        <f>'[1]2019 ALL D95'!B834</f>
        <v>46104</v>
      </c>
      <c r="C834" s="10">
        <f>'[1]2019 ALL D95'!C834</f>
        <v>46113</v>
      </c>
      <c r="D834" s="11">
        <v>3273</v>
      </c>
      <c r="E834" s="11">
        <v>336</v>
      </c>
      <c r="F834" s="11">
        <v>4</v>
      </c>
      <c r="G834" s="19">
        <v>9</v>
      </c>
      <c r="H834" s="13">
        <v>81588</v>
      </c>
      <c r="I834" s="11" t="s">
        <v>17</v>
      </c>
      <c r="J834" s="13">
        <v>12057026</v>
      </c>
      <c r="K834" s="13" t="s">
        <v>968</v>
      </c>
      <c r="L834" s="13" t="s">
        <v>973</v>
      </c>
      <c r="M834" s="17">
        <v>239900</v>
      </c>
      <c r="N834" s="15">
        <v>0.75</v>
      </c>
      <c r="O834" s="16">
        <f t="shared" ref="O834:O897" si="65">M834*(1-N834)</f>
        <v>59975</v>
      </c>
      <c r="P834" s="11" t="s">
        <v>20</v>
      </c>
    </row>
    <row r="835" spans="1:16" x14ac:dyDescent="0.25">
      <c r="A835" s="9" t="str">
        <f t="shared" ref="A835:A850" si="66">A834</f>
        <v>2024 ALL D75</v>
      </c>
      <c r="B835" s="10">
        <f>'[1]2019 ALL D95'!B835</f>
        <v>46104</v>
      </c>
      <c r="C835" s="10">
        <f>'[1]2019 ALL D95'!C835</f>
        <v>46113</v>
      </c>
      <c r="D835" s="11">
        <v>3273</v>
      </c>
      <c r="E835" s="11">
        <v>336</v>
      </c>
      <c r="F835" s="11">
        <v>4</v>
      </c>
      <c r="G835" s="19">
        <v>9</v>
      </c>
      <c r="H835" s="13">
        <v>81588</v>
      </c>
      <c r="I835" s="11" t="s">
        <v>17</v>
      </c>
      <c r="J835" s="13">
        <v>12057035</v>
      </c>
      <c r="K835" s="13" t="s">
        <v>968</v>
      </c>
      <c r="L835" s="13" t="s">
        <v>974</v>
      </c>
      <c r="M835" s="17">
        <v>239900</v>
      </c>
      <c r="N835" s="15">
        <v>0.75</v>
      </c>
      <c r="O835" s="16">
        <f t="shared" si="65"/>
        <v>59975</v>
      </c>
      <c r="P835" s="11" t="s">
        <v>20</v>
      </c>
    </row>
    <row r="836" spans="1:16" x14ac:dyDescent="0.25">
      <c r="A836" s="9" t="str">
        <f t="shared" si="66"/>
        <v>2024 ALL D75</v>
      </c>
      <c r="B836" s="10">
        <f>'[1]2019 ALL D95'!B836</f>
        <v>46104</v>
      </c>
      <c r="C836" s="10">
        <f>'[1]2019 ALL D95'!C836</f>
        <v>46113</v>
      </c>
      <c r="D836" s="11">
        <v>3273</v>
      </c>
      <c r="E836" s="11">
        <v>336</v>
      </c>
      <c r="F836" s="11">
        <v>4</v>
      </c>
      <c r="G836" s="19">
        <v>9</v>
      </c>
      <c r="H836" s="13">
        <v>81588</v>
      </c>
      <c r="I836" s="11" t="s">
        <v>17</v>
      </c>
      <c r="J836" s="13">
        <v>12057044</v>
      </c>
      <c r="K836" s="13" t="s">
        <v>968</v>
      </c>
      <c r="L836" s="13" t="s">
        <v>975</v>
      </c>
      <c r="M836" s="17">
        <v>239900</v>
      </c>
      <c r="N836" s="15">
        <v>0.75</v>
      </c>
      <c r="O836" s="16">
        <f t="shared" si="65"/>
        <v>59975</v>
      </c>
      <c r="P836" s="11" t="s">
        <v>20</v>
      </c>
    </row>
    <row r="837" spans="1:16" x14ac:dyDescent="0.25">
      <c r="A837" s="9" t="str">
        <f t="shared" si="66"/>
        <v>2024 ALL D75</v>
      </c>
      <c r="B837" s="10">
        <f>'[1]2019 ALL D95'!B837</f>
        <v>46104</v>
      </c>
      <c r="C837" s="10">
        <f>'[1]2019 ALL D95'!C837</f>
        <v>46113</v>
      </c>
      <c r="D837" s="11">
        <v>3273</v>
      </c>
      <c r="E837" s="11">
        <v>336</v>
      </c>
      <c r="F837" s="11">
        <v>4</v>
      </c>
      <c r="G837" s="19">
        <v>9</v>
      </c>
      <c r="H837" s="13">
        <v>81588</v>
      </c>
      <c r="I837" s="11" t="s">
        <v>17</v>
      </c>
      <c r="J837" s="13">
        <v>12057053</v>
      </c>
      <c r="K837" s="13" t="s">
        <v>968</v>
      </c>
      <c r="L837" s="13" t="s">
        <v>976</v>
      </c>
      <c r="M837" s="17">
        <v>239900</v>
      </c>
      <c r="N837" s="15">
        <v>0.75</v>
      </c>
      <c r="O837" s="16">
        <f t="shared" si="65"/>
        <v>59975</v>
      </c>
      <c r="P837" s="11" t="s">
        <v>20</v>
      </c>
    </row>
    <row r="838" spans="1:16" x14ac:dyDescent="0.25">
      <c r="A838" s="9" t="str">
        <f t="shared" si="66"/>
        <v>2024 ALL D75</v>
      </c>
      <c r="B838" s="10">
        <f>'[1]2019 ALL D95'!B838</f>
        <v>46104</v>
      </c>
      <c r="C838" s="10">
        <f>'[1]2019 ALL D95'!C838</f>
        <v>46113</v>
      </c>
      <c r="D838" s="11">
        <v>3273</v>
      </c>
      <c r="E838" s="11">
        <v>336</v>
      </c>
      <c r="F838" s="11">
        <v>4</v>
      </c>
      <c r="G838" s="19">
        <v>9</v>
      </c>
      <c r="H838" s="13">
        <v>81588</v>
      </c>
      <c r="I838" s="11" t="s">
        <v>17</v>
      </c>
      <c r="J838" s="13">
        <v>12056901</v>
      </c>
      <c r="K838" s="13" t="s">
        <v>977</v>
      </c>
      <c r="L838" s="13" t="s">
        <v>978</v>
      </c>
      <c r="M838" s="17">
        <v>159900</v>
      </c>
      <c r="N838" s="15">
        <v>0.75</v>
      </c>
      <c r="O838" s="16">
        <f t="shared" si="65"/>
        <v>39975</v>
      </c>
      <c r="P838" s="11" t="s">
        <v>20</v>
      </c>
    </row>
    <row r="839" spans="1:16" x14ac:dyDescent="0.25">
      <c r="A839" s="9" t="str">
        <f t="shared" si="66"/>
        <v>2024 ALL D75</v>
      </c>
      <c r="B839" s="10">
        <f>'[1]2019 ALL D95'!B839</f>
        <v>46104</v>
      </c>
      <c r="C839" s="10">
        <f>'[1]2019 ALL D95'!C839</f>
        <v>46113</v>
      </c>
      <c r="D839" s="11">
        <v>3273</v>
      </c>
      <c r="E839" s="11">
        <v>336</v>
      </c>
      <c r="F839" s="11">
        <v>4</v>
      </c>
      <c r="G839" s="19">
        <v>9</v>
      </c>
      <c r="H839" s="13">
        <v>81588</v>
      </c>
      <c r="I839" s="11" t="s">
        <v>17</v>
      </c>
      <c r="J839" s="13">
        <v>12056910</v>
      </c>
      <c r="K839" s="13" t="s">
        <v>977</v>
      </c>
      <c r="L839" s="13" t="s">
        <v>979</v>
      </c>
      <c r="M839" s="17">
        <v>159900</v>
      </c>
      <c r="N839" s="15">
        <v>0.75</v>
      </c>
      <c r="O839" s="16">
        <f t="shared" si="65"/>
        <v>39975</v>
      </c>
      <c r="P839" s="11" t="s">
        <v>20</v>
      </c>
    </row>
    <row r="840" spans="1:16" x14ac:dyDescent="0.25">
      <c r="A840" s="9" t="str">
        <f t="shared" si="66"/>
        <v>2024 ALL D75</v>
      </c>
      <c r="B840" s="10">
        <f>'[1]2019 ALL D95'!B840</f>
        <v>46104</v>
      </c>
      <c r="C840" s="10">
        <f>'[1]2019 ALL D95'!C840</f>
        <v>46113</v>
      </c>
      <c r="D840" s="11">
        <v>3273</v>
      </c>
      <c r="E840" s="11">
        <v>336</v>
      </c>
      <c r="F840" s="11">
        <v>4</v>
      </c>
      <c r="G840" s="19">
        <v>9</v>
      </c>
      <c r="H840" s="13">
        <v>81588</v>
      </c>
      <c r="I840" s="11" t="s">
        <v>17</v>
      </c>
      <c r="J840" s="13">
        <v>12056929</v>
      </c>
      <c r="K840" s="13" t="s">
        <v>977</v>
      </c>
      <c r="L840" s="13" t="s">
        <v>980</v>
      </c>
      <c r="M840" s="17">
        <v>159900</v>
      </c>
      <c r="N840" s="15">
        <v>0.75</v>
      </c>
      <c r="O840" s="16">
        <f t="shared" si="65"/>
        <v>39975</v>
      </c>
      <c r="P840" s="11" t="s">
        <v>20</v>
      </c>
    </row>
    <row r="841" spans="1:16" x14ac:dyDescent="0.25">
      <c r="A841" s="9" t="str">
        <f t="shared" si="66"/>
        <v>2024 ALL D75</v>
      </c>
      <c r="B841" s="10">
        <f>'[1]2019 ALL D95'!B841</f>
        <v>46104</v>
      </c>
      <c r="C841" s="10">
        <f>'[1]2019 ALL D95'!C841</f>
        <v>46113</v>
      </c>
      <c r="D841" s="11">
        <v>3273</v>
      </c>
      <c r="E841" s="11">
        <v>336</v>
      </c>
      <c r="F841" s="11">
        <v>4</v>
      </c>
      <c r="G841" s="19">
        <v>9</v>
      </c>
      <c r="H841" s="13">
        <v>81588</v>
      </c>
      <c r="I841" s="11" t="s">
        <v>17</v>
      </c>
      <c r="J841" s="13">
        <v>12056938</v>
      </c>
      <c r="K841" s="13" t="s">
        <v>977</v>
      </c>
      <c r="L841" s="13" t="s">
        <v>981</v>
      </c>
      <c r="M841" s="17">
        <v>159900</v>
      </c>
      <c r="N841" s="15">
        <v>0.75</v>
      </c>
      <c r="O841" s="16">
        <f t="shared" si="65"/>
        <v>39975</v>
      </c>
      <c r="P841" s="11" t="s">
        <v>20</v>
      </c>
    </row>
    <row r="842" spans="1:16" x14ac:dyDescent="0.25">
      <c r="A842" s="9" t="str">
        <f t="shared" si="66"/>
        <v>2024 ALL D75</v>
      </c>
      <c r="B842" s="10">
        <f>'[1]2019 ALL D95'!B842</f>
        <v>46104</v>
      </c>
      <c r="C842" s="10">
        <f>'[1]2019 ALL D95'!C842</f>
        <v>46113</v>
      </c>
      <c r="D842" s="11">
        <v>3273</v>
      </c>
      <c r="E842" s="11">
        <v>336</v>
      </c>
      <c r="F842" s="11">
        <v>4</v>
      </c>
      <c r="G842" s="19">
        <v>9</v>
      </c>
      <c r="H842" s="13">
        <v>81588</v>
      </c>
      <c r="I842" s="11" t="s">
        <v>17</v>
      </c>
      <c r="J842" s="13">
        <v>12056947</v>
      </c>
      <c r="K842" s="13" t="s">
        <v>977</v>
      </c>
      <c r="L842" s="13" t="s">
        <v>982</v>
      </c>
      <c r="M842" s="17">
        <v>159900</v>
      </c>
      <c r="N842" s="15">
        <v>0.75</v>
      </c>
      <c r="O842" s="16">
        <f t="shared" si="65"/>
        <v>39975</v>
      </c>
      <c r="P842" s="11" t="s">
        <v>20</v>
      </c>
    </row>
    <row r="843" spans="1:16" x14ac:dyDescent="0.25">
      <c r="A843" s="9" t="str">
        <f t="shared" si="66"/>
        <v>2024 ALL D75</v>
      </c>
      <c r="B843" s="10">
        <f>'[1]2019 ALL D95'!B843</f>
        <v>46104</v>
      </c>
      <c r="C843" s="10">
        <f>'[1]2019 ALL D95'!C843</f>
        <v>46113</v>
      </c>
      <c r="D843" s="11">
        <v>3273</v>
      </c>
      <c r="E843" s="11">
        <v>336</v>
      </c>
      <c r="F843" s="11">
        <v>4</v>
      </c>
      <c r="G843" s="19">
        <v>9</v>
      </c>
      <c r="H843" s="13">
        <v>81588</v>
      </c>
      <c r="I843" s="11" t="s">
        <v>17</v>
      </c>
      <c r="J843" s="13">
        <v>12056956</v>
      </c>
      <c r="K843" s="13" t="s">
        <v>977</v>
      </c>
      <c r="L843" s="13" t="s">
        <v>983</v>
      </c>
      <c r="M843" s="17">
        <v>159900</v>
      </c>
      <c r="N843" s="15">
        <v>0.75</v>
      </c>
      <c r="O843" s="16">
        <f t="shared" si="65"/>
        <v>39975</v>
      </c>
      <c r="P843" s="11" t="s">
        <v>20</v>
      </c>
    </row>
    <row r="844" spans="1:16" x14ac:dyDescent="0.25">
      <c r="A844" s="9" t="str">
        <f t="shared" si="66"/>
        <v>2024 ALL D75</v>
      </c>
      <c r="B844" s="10">
        <f>'[1]2019 ALL D95'!B844</f>
        <v>46104</v>
      </c>
      <c r="C844" s="10">
        <f>'[1]2019 ALL D95'!C844</f>
        <v>46113</v>
      </c>
      <c r="D844" s="11">
        <v>3273</v>
      </c>
      <c r="E844" s="11">
        <v>336</v>
      </c>
      <c r="F844" s="11">
        <v>4</v>
      </c>
      <c r="G844" s="19">
        <v>9</v>
      </c>
      <c r="H844" s="13">
        <v>81588</v>
      </c>
      <c r="I844" s="11" t="s">
        <v>17</v>
      </c>
      <c r="J844" s="13">
        <v>12056965</v>
      </c>
      <c r="K844" s="13" t="s">
        <v>977</v>
      </c>
      <c r="L844" s="13" t="s">
        <v>984</v>
      </c>
      <c r="M844" s="17">
        <v>159900</v>
      </c>
      <c r="N844" s="15">
        <v>0.75</v>
      </c>
      <c r="O844" s="16">
        <f t="shared" si="65"/>
        <v>39975</v>
      </c>
      <c r="P844" s="11" t="s">
        <v>20</v>
      </c>
    </row>
    <row r="845" spans="1:16" x14ac:dyDescent="0.25">
      <c r="A845" s="9" t="str">
        <f t="shared" si="66"/>
        <v>2024 ALL D75</v>
      </c>
      <c r="B845" s="10">
        <f>'[1]2019 ALL D95'!B845</f>
        <v>46104</v>
      </c>
      <c r="C845" s="10">
        <f>'[1]2019 ALL D95'!C845</f>
        <v>46113</v>
      </c>
      <c r="D845" s="11">
        <v>3273</v>
      </c>
      <c r="E845" s="11">
        <v>336</v>
      </c>
      <c r="F845" s="11">
        <v>4</v>
      </c>
      <c r="G845" s="19">
        <v>9</v>
      </c>
      <c r="H845" s="13">
        <v>81588</v>
      </c>
      <c r="I845" s="11" t="s">
        <v>17</v>
      </c>
      <c r="J845" s="13">
        <v>12056974</v>
      </c>
      <c r="K845" s="13" t="s">
        <v>977</v>
      </c>
      <c r="L845" s="13" t="s">
        <v>985</v>
      </c>
      <c r="M845" s="17">
        <v>159900</v>
      </c>
      <c r="N845" s="15">
        <v>0.75</v>
      </c>
      <c r="O845" s="16">
        <f t="shared" si="65"/>
        <v>39975</v>
      </c>
      <c r="P845" s="11" t="s">
        <v>20</v>
      </c>
    </row>
    <row r="846" spans="1:16" x14ac:dyDescent="0.25">
      <c r="A846" s="9" t="str">
        <f t="shared" si="66"/>
        <v>2024 ALL D75</v>
      </c>
      <c r="B846" s="10">
        <f>'[1]2019 ALL D95'!B846</f>
        <v>46104</v>
      </c>
      <c r="C846" s="10">
        <f>'[1]2019 ALL D95'!C846</f>
        <v>46113</v>
      </c>
      <c r="D846" s="11">
        <v>3273</v>
      </c>
      <c r="E846" s="11">
        <v>336</v>
      </c>
      <c r="F846" s="11">
        <v>4</v>
      </c>
      <c r="G846" s="19">
        <v>9</v>
      </c>
      <c r="H846" s="13">
        <v>81588</v>
      </c>
      <c r="I846" s="11" t="s">
        <v>17</v>
      </c>
      <c r="J846" s="13">
        <v>16101747</v>
      </c>
      <c r="K846" s="13" t="s">
        <v>986</v>
      </c>
      <c r="L846" s="13" t="s">
        <v>987</v>
      </c>
      <c r="M846" s="17">
        <v>159900</v>
      </c>
      <c r="N846" s="15">
        <v>0.75</v>
      </c>
      <c r="O846" s="16">
        <f t="shared" si="65"/>
        <v>39975</v>
      </c>
      <c r="P846" s="11" t="s">
        <v>20</v>
      </c>
    </row>
    <row r="847" spans="1:16" x14ac:dyDescent="0.25">
      <c r="A847" s="9" t="str">
        <f t="shared" si="66"/>
        <v>2024 ALL D75</v>
      </c>
      <c r="B847" s="10">
        <f>'[1]2019 ALL D95'!B847</f>
        <v>46104</v>
      </c>
      <c r="C847" s="10">
        <f>'[1]2019 ALL D95'!C847</f>
        <v>46113</v>
      </c>
      <c r="D847" s="11">
        <v>3273</v>
      </c>
      <c r="E847" s="11">
        <v>336</v>
      </c>
      <c r="F847" s="11">
        <v>4</v>
      </c>
      <c r="G847" s="19">
        <v>9</v>
      </c>
      <c r="H847" s="13">
        <v>81588</v>
      </c>
      <c r="I847" s="11" t="s">
        <v>17</v>
      </c>
      <c r="J847" s="13">
        <v>16101756</v>
      </c>
      <c r="K847" s="13" t="s">
        <v>986</v>
      </c>
      <c r="L847" s="13" t="s">
        <v>988</v>
      </c>
      <c r="M847" s="17">
        <v>159900</v>
      </c>
      <c r="N847" s="15">
        <v>0.75</v>
      </c>
      <c r="O847" s="16">
        <f t="shared" si="65"/>
        <v>39975</v>
      </c>
      <c r="P847" s="11" t="s">
        <v>20</v>
      </c>
    </row>
    <row r="848" spans="1:16" x14ac:dyDescent="0.25">
      <c r="A848" s="9" t="str">
        <f t="shared" si="66"/>
        <v>2024 ALL D75</v>
      </c>
      <c r="B848" s="10">
        <f>'[1]2019 ALL D95'!B848</f>
        <v>46104</v>
      </c>
      <c r="C848" s="10">
        <f>'[1]2019 ALL D95'!C848</f>
        <v>46113</v>
      </c>
      <c r="D848" s="11">
        <v>3273</v>
      </c>
      <c r="E848" s="11">
        <v>336</v>
      </c>
      <c r="F848" s="11">
        <v>4</v>
      </c>
      <c r="G848" s="19">
        <v>9</v>
      </c>
      <c r="H848" s="13">
        <v>81588</v>
      </c>
      <c r="I848" s="11" t="s">
        <v>17</v>
      </c>
      <c r="J848" s="13">
        <v>16101765</v>
      </c>
      <c r="K848" s="13" t="s">
        <v>986</v>
      </c>
      <c r="L848" s="13" t="s">
        <v>989</v>
      </c>
      <c r="M848" s="17">
        <v>159900</v>
      </c>
      <c r="N848" s="15">
        <v>0.75</v>
      </c>
      <c r="O848" s="16">
        <f t="shared" si="65"/>
        <v>39975</v>
      </c>
      <c r="P848" s="11" t="s">
        <v>20</v>
      </c>
    </row>
    <row r="849" spans="1:16" x14ac:dyDescent="0.25">
      <c r="A849" s="9" t="str">
        <f t="shared" si="66"/>
        <v>2024 ALL D75</v>
      </c>
      <c r="B849" s="10">
        <f>'[1]2019 ALL D95'!B849</f>
        <v>46104</v>
      </c>
      <c r="C849" s="10">
        <f>'[1]2019 ALL D95'!C849</f>
        <v>46113</v>
      </c>
      <c r="D849" s="11">
        <v>3273</v>
      </c>
      <c r="E849" s="11">
        <v>336</v>
      </c>
      <c r="F849" s="11">
        <v>4</v>
      </c>
      <c r="G849" s="19">
        <v>9</v>
      </c>
      <c r="H849" s="13">
        <v>81588</v>
      </c>
      <c r="I849" s="11" t="s">
        <v>17</v>
      </c>
      <c r="J849" s="13">
        <v>16101774</v>
      </c>
      <c r="K849" s="13" t="s">
        <v>986</v>
      </c>
      <c r="L849" s="13" t="s">
        <v>990</v>
      </c>
      <c r="M849" s="17">
        <v>159900</v>
      </c>
      <c r="N849" s="15">
        <v>0.75</v>
      </c>
      <c r="O849" s="16">
        <f t="shared" si="65"/>
        <v>39975</v>
      </c>
      <c r="P849" s="11" t="s">
        <v>20</v>
      </c>
    </row>
    <row r="850" spans="1:16" x14ac:dyDescent="0.25">
      <c r="A850" s="9" t="str">
        <f t="shared" si="66"/>
        <v>2024 ALL D75</v>
      </c>
      <c r="B850" s="10">
        <f>'[1]2019 ALL D95'!B850</f>
        <v>46104</v>
      </c>
      <c r="C850" s="10">
        <f>'[1]2019 ALL D95'!C850</f>
        <v>46113</v>
      </c>
      <c r="D850" s="11">
        <v>3273</v>
      </c>
      <c r="E850" s="11">
        <v>336</v>
      </c>
      <c r="F850" s="11">
        <v>4</v>
      </c>
      <c r="G850" s="19">
        <v>9</v>
      </c>
      <c r="H850" s="13">
        <v>81588</v>
      </c>
      <c r="I850" s="11" t="s">
        <v>17</v>
      </c>
      <c r="J850" s="13">
        <v>16101783</v>
      </c>
      <c r="K850" s="13" t="s">
        <v>986</v>
      </c>
      <c r="L850" s="13" t="s">
        <v>991</v>
      </c>
      <c r="M850" s="17">
        <v>159900</v>
      </c>
      <c r="N850" s="15">
        <v>0.75</v>
      </c>
      <c r="O850" s="16">
        <f t="shared" si="65"/>
        <v>39975</v>
      </c>
      <c r="P850" s="11" t="s">
        <v>20</v>
      </c>
    </row>
    <row r="851" spans="1:16" x14ac:dyDescent="0.25">
      <c r="A851" s="9" t="str">
        <f t="shared" ref="A851:A866" si="67">A850</f>
        <v>2024 ALL D75</v>
      </c>
      <c r="B851" s="10">
        <f>'[1]2019 ALL D95'!B851</f>
        <v>46104</v>
      </c>
      <c r="C851" s="10">
        <f>'[1]2019 ALL D95'!C851</f>
        <v>46113</v>
      </c>
      <c r="D851" s="11">
        <v>3273</v>
      </c>
      <c r="E851" s="11">
        <v>336</v>
      </c>
      <c r="F851" s="11">
        <v>4</v>
      </c>
      <c r="G851" s="11">
        <v>7</v>
      </c>
      <c r="H851" s="11">
        <v>81574</v>
      </c>
      <c r="I851" s="11" t="s">
        <v>17</v>
      </c>
      <c r="J851" s="13">
        <v>15639277</v>
      </c>
      <c r="K851" s="13" t="s">
        <v>992</v>
      </c>
      <c r="L851" s="18" t="s">
        <v>993</v>
      </c>
      <c r="M851" s="17">
        <v>269900</v>
      </c>
      <c r="N851" s="15">
        <v>0.75</v>
      </c>
      <c r="O851" s="16">
        <f t="shared" si="65"/>
        <v>67475</v>
      </c>
      <c r="P851" s="11" t="s">
        <v>20</v>
      </c>
    </row>
    <row r="852" spans="1:16" x14ac:dyDescent="0.25">
      <c r="A852" s="9" t="str">
        <f t="shared" si="67"/>
        <v>2024 ALL D75</v>
      </c>
      <c r="B852" s="10">
        <f>'[1]2019 ALL D95'!B852</f>
        <v>46104</v>
      </c>
      <c r="C852" s="10">
        <f>'[1]2019 ALL D95'!C852</f>
        <v>46113</v>
      </c>
      <c r="D852" s="11">
        <v>3273</v>
      </c>
      <c r="E852" s="11">
        <v>336</v>
      </c>
      <c r="F852" s="11">
        <v>4</v>
      </c>
      <c r="G852" s="11">
        <v>7</v>
      </c>
      <c r="H852" s="11">
        <v>81574</v>
      </c>
      <c r="I852" s="11" t="s">
        <v>17</v>
      </c>
      <c r="J852" s="13">
        <v>15639286</v>
      </c>
      <c r="K852" s="13" t="s">
        <v>992</v>
      </c>
      <c r="L852" s="18" t="s">
        <v>994</v>
      </c>
      <c r="M852" s="17">
        <v>269900</v>
      </c>
      <c r="N852" s="15">
        <v>0.75</v>
      </c>
      <c r="O852" s="16">
        <f t="shared" si="65"/>
        <v>67475</v>
      </c>
      <c r="P852" s="11" t="s">
        <v>20</v>
      </c>
    </row>
    <row r="853" spans="1:16" x14ac:dyDescent="0.25">
      <c r="A853" s="9" t="str">
        <f t="shared" si="67"/>
        <v>2024 ALL D75</v>
      </c>
      <c r="B853" s="10">
        <f>'[1]2019 ALL D95'!B853</f>
        <v>46104</v>
      </c>
      <c r="C853" s="10">
        <f>'[1]2019 ALL D95'!C853</f>
        <v>46113</v>
      </c>
      <c r="D853" s="11">
        <v>3273</v>
      </c>
      <c r="E853" s="11">
        <v>336</v>
      </c>
      <c r="F853" s="11">
        <v>4</v>
      </c>
      <c r="G853" s="11">
        <v>7</v>
      </c>
      <c r="H853" s="11">
        <v>81574</v>
      </c>
      <c r="I853" s="11" t="s">
        <v>17</v>
      </c>
      <c r="J853" s="13">
        <v>15639295</v>
      </c>
      <c r="K853" s="13" t="s">
        <v>992</v>
      </c>
      <c r="L853" s="18" t="s">
        <v>995</v>
      </c>
      <c r="M853" s="17">
        <v>269900</v>
      </c>
      <c r="N853" s="15">
        <v>0.75</v>
      </c>
      <c r="O853" s="16">
        <f t="shared" si="65"/>
        <v>67475</v>
      </c>
      <c r="P853" s="11" t="s">
        <v>20</v>
      </c>
    </row>
    <row r="854" spans="1:16" x14ac:dyDescent="0.25">
      <c r="A854" s="9" t="str">
        <f t="shared" si="67"/>
        <v>2024 ALL D75</v>
      </c>
      <c r="B854" s="10">
        <f>'[1]2019 ALL D95'!B854</f>
        <v>46104</v>
      </c>
      <c r="C854" s="10">
        <f>'[1]2019 ALL D95'!C854</f>
        <v>46113</v>
      </c>
      <c r="D854" s="11">
        <v>3273</v>
      </c>
      <c r="E854" s="11">
        <v>336</v>
      </c>
      <c r="F854" s="11">
        <v>4</v>
      </c>
      <c r="G854" s="11">
        <v>7</v>
      </c>
      <c r="H854" s="11">
        <v>81574</v>
      </c>
      <c r="I854" s="11" t="s">
        <v>17</v>
      </c>
      <c r="J854" s="13">
        <v>15639302</v>
      </c>
      <c r="K854" s="13" t="s">
        <v>992</v>
      </c>
      <c r="L854" s="18" t="s">
        <v>996</v>
      </c>
      <c r="M854" s="17">
        <v>269900</v>
      </c>
      <c r="N854" s="15">
        <v>0.75</v>
      </c>
      <c r="O854" s="16">
        <f t="shared" si="65"/>
        <v>67475</v>
      </c>
      <c r="P854" s="11" t="s">
        <v>20</v>
      </c>
    </row>
    <row r="855" spans="1:16" x14ac:dyDescent="0.25">
      <c r="A855" s="9" t="str">
        <f t="shared" si="67"/>
        <v>2024 ALL D75</v>
      </c>
      <c r="B855" s="10">
        <f>'[1]2019 ALL D95'!B855</f>
        <v>46104</v>
      </c>
      <c r="C855" s="10">
        <f>'[1]2019 ALL D95'!C855</f>
        <v>46113</v>
      </c>
      <c r="D855" s="11">
        <v>3273</v>
      </c>
      <c r="E855" s="11">
        <v>336</v>
      </c>
      <c r="F855" s="11">
        <v>4</v>
      </c>
      <c r="G855" s="11">
        <v>7</v>
      </c>
      <c r="H855" s="11">
        <v>81574</v>
      </c>
      <c r="I855" s="11" t="s">
        <v>17</v>
      </c>
      <c r="J855" s="13">
        <v>15639311</v>
      </c>
      <c r="K855" s="13" t="s">
        <v>992</v>
      </c>
      <c r="L855" s="18" t="s">
        <v>997</v>
      </c>
      <c r="M855" s="17">
        <v>269900</v>
      </c>
      <c r="N855" s="15">
        <v>0.75</v>
      </c>
      <c r="O855" s="16">
        <f t="shared" si="65"/>
        <v>67475</v>
      </c>
      <c r="P855" s="11" t="s">
        <v>20</v>
      </c>
    </row>
    <row r="856" spans="1:16" x14ac:dyDescent="0.25">
      <c r="A856" s="9" t="str">
        <f t="shared" si="67"/>
        <v>2024 ALL D75</v>
      </c>
      <c r="B856" s="10">
        <f>'[1]2019 ALL D95'!B856</f>
        <v>46104</v>
      </c>
      <c r="C856" s="10">
        <f>'[1]2019 ALL D95'!C856</f>
        <v>46113</v>
      </c>
      <c r="D856" s="11">
        <v>3273</v>
      </c>
      <c r="E856" s="11">
        <v>336</v>
      </c>
      <c r="F856" s="11">
        <v>4</v>
      </c>
      <c r="G856" s="11">
        <v>7</v>
      </c>
      <c r="H856" s="11">
        <v>81574</v>
      </c>
      <c r="I856" s="11" t="s">
        <v>17</v>
      </c>
      <c r="J856" s="13">
        <v>15639320</v>
      </c>
      <c r="K856" s="13" t="s">
        <v>992</v>
      </c>
      <c r="L856" s="18" t="s">
        <v>998</v>
      </c>
      <c r="M856" s="17">
        <v>269900</v>
      </c>
      <c r="N856" s="15">
        <v>0.75</v>
      </c>
      <c r="O856" s="16">
        <f t="shared" si="65"/>
        <v>67475</v>
      </c>
      <c r="P856" s="11" t="s">
        <v>20</v>
      </c>
    </row>
    <row r="857" spans="1:16" x14ac:dyDescent="0.25">
      <c r="A857" s="9" t="str">
        <f t="shared" si="67"/>
        <v>2024 ALL D75</v>
      </c>
      <c r="B857" s="10">
        <f>'[1]2019 ALL D95'!B857</f>
        <v>46104</v>
      </c>
      <c r="C857" s="10">
        <f>'[1]2019 ALL D95'!C857</f>
        <v>46113</v>
      </c>
      <c r="D857" s="11">
        <v>3273</v>
      </c>
      <c r="E857" s="11">
        <v>336</v>
      </c>
      <c r="F857" s="11">
        <v>4</v>
      </c>
      <c r="G857" s="11">
        <v>7</v>
      </c>
      <c r="H857" s="11">
        <v>81574</v>
      </c>
      <c r="I857" s="11" t="s">
        <v>17</v>
      </c>
      <c r="J857" s="13">
        <v>84318421</v>
      </c>
      <c r="K857" s="13" t="s">
        <v>999</v>
      </c>
      <c r="L857" s="18" t="s">
        <v>1000</v>
      </c>
      <c r="M857" s="17">
        <v>269900</v>
      </c>
      <c r="N857" s="15">
        <v>0.75</v>
      </c>
      <c r="O857" s="16">
        <f t="shared" si="65"/>
        <v>67475</v>
      </c>
      <c r="P857" s="11" t="s">
        <v>20</v>
      </c>
    </row>
    <row r="858" spans="1:16" x14ac:dyDescent="0.25">
      <c r="A858" s="9" t="str">
        <f t="shared" si="67"/>
        <v>2024 ALL D75</v>
      </c>
      <c r="B858" s="10">
        <f>'[1]2019 ALL D95'!B858</f>
        <v>46104</v>
      </c>
      <c r="C858" s="10">
        <f>'[1]2019 ALL D95'!C858</f>
        <v>46113</v>
      </c>
      <c r="D858" s="11">
        <v>3273</v>
      </c>
      <c r="E858" s="11">
        <v>336</v>
      </c>
      <c r="F858" s="11">
        <v>4</v>
      </c>
      <c r="G858" s="11">
        <v>7</v>
      </c>
      <c r="H858" s="11">
        <v>81574</v>
      </c>
      <c r="I858" s="11" t="s">
        <v>17</v>
      </c>
      <c r="J858" s="13">
        <v>84318430</v>
      </c>
      <c r="K858" s="13" t="s">
        <v>999</v>
      </c>
      <c r="L858" s="18" t="s">
        <v>1001</v>
      </c>
      <c r="M858" s="17">
        <v>269900</v>
      </c>
      <c r="N858" s="15">
        <v>0.75</v>
      </c>
      <c r="O858" s="16">
        <f t="shared" si="65"/>
        <v>67475</v>
      </c>
      <c r="P858" s="11" t="s">
        <v>20</v>
      </c>
    </row>
    <row r="859" spans="1:16" x14ac:dyDescent="0.25">
      <c r="A859" s="9" t="str">
        <f t="shared" si="67"/>
        <v>2024 ALL D75</v>
      </c>
      <c r="B859" s="10">
        <f>'[1]2019 ALL D95'!B859</f>
        <v>46104</v>
      </c>
      <c r="C859" s="10">
        <f>'[1]2019 ALL D95'!C859</f>
        <v>46113</v>
      </c>
      <c r="D859" s="11">
        <v>3273</v>
      </c>
      <c r="E859" s="11">
        <v>336</v>
      </c>
      <c r="F859" s="11">
        <v>4</v>
      </c>
      <c r="G859" s="11">
        <v>7</v>
      </c>
      <c r="H859" s="11">
        <v>81574</v>
      </c>
      <c r="I859" s="11" t="s">
        <v>17</v>
      </c>
      <c r="J859" s="13">
        <v>84318449</v>
      </c>
      <c r="K859" s="13" t="s">
        <v>999</v>
      </c>
      <c r="L859" s="18" t="s">
        <v>1002</v>
      </c>
      <c r="M859" s="17">
        <v>269900</v>
      </c>
      <c r="N859" s="15">
        <v>0.75</v>
      </c>
      <c r="O859" s="16">
        <f t="shared" si="65"/>
        <v>67475</v>
      </c>
      <c r="P859" s="11" t="s">
        <v>20</v>
      </c>
    </row>
    <row r="860" spans="1:16" x14ac:dyDescent="0.25">
      <c r="A860" s="9" t="str">
        <f t="shared" si="67"/>
        <v>2024 ALL D75</v>
      </c>
      <c r="B860" s="10">
        <f>'[1]2019 ALL D95'!B860</f>
        <v>46104</v>
      </c>
      <c r="C860" s="10">
        <f>'[1]2019 ALL D95'!C860</f>
        <v>46113</v>
      </c>
      <c r="D860" s="11">
        <v>3273</v>
      </c>
      <c r="E860" s="11">
        <v>336</v>
      </c>
      <c r="F860" s="11">
        <v>4</v>
      </c>
      <c r="G860" s="11">
        <v>7</v>
      </c>
      <c r="H860" s="11">
        <v>81574</v>
      </c>
      <c r="I860" s="11" t="s">
        <v>17</v>
      </c>
      <c r="J860" s="13">
        <v>84318458</v>
      </c>
      <c r="K860" s="13" t="s">
        <v>999</v>
      </c>
      <c r="L860" s="18" t="s">
        <v>1003</v>
      </c>
      <c r="M860" s="17">
        <v>269900</v>
      </c>
      <c r="N860" s="15">
        <v>0.75</v>
      </c>
      <c r="O860" s="16">
        <f t="shared" si="65"/>
        <v>67475</v>
      </c>
      <c r="P860" s="11" t="s">
        <v>20</v>
      </c>
    </row>
    <row r="861" spans="1:16" x14ac:dyDescent="0.25">
      <c r="A861" s="9" t="str">
        <f t="shared" si="67"/>
        <v>2024 ALL D75</v>
      </c>
      <c r="B861" s="10">
        <f>'[1]2019 ALL D95'!B861</f>
        <v>46104</v>
      </c>
      <c r="C861" s="10">
        <f>'[1]2019 ALL D95'!C861</f>
        <v>46113</v>
      </c>
      <c r="D861" s="11">
        <v>3273</v>
      </c>
      <c r="E861" s="11">
        <v>336</v>
      </c>
      <c r="F861" s="11">
        <v>4</v>
      </c>
      <c r="G861" s="11">
        <v>7</v>
      </c>
      <c r="H861" s="11">
        <v>81574</v>
      </c>
      <c r="I861" s="11" t="s">
        <v>17</v>
      </c>
      <c r="J861" s="13">
        <v>84318467</v>
      </c>
      <c r="K861" s="13" t="s">
        <v>999</v>
      </c>
      <c r="L861" s="18" t="s">
        <v>1004</v>
      </c>
      <c r="M861" s="17">
        <v>269900</v>
      </c>
      <c r="N861" s="15">
        <v>0.75</v>
      </c>
      <c r="O861" s="16">
        <f t="shared" si="65"/>
        <v>67475</v>
      </c>
      <c r="P861" s="11" t="s">
        <v>20</v>
      </c>
    </row>
    <row r="862" spans="1:16" x14ac:dyDescent="0.25">
      <c r="A862" s="9" t="str">
        <f t="shared" si="67"/>
        <v>2024 ALL D75</v>
      </c>
      <c r="B862" s="10">
        <f>'[1]2019 ALL D95'!B862</f>
        <v>46104</v>
      </c>
      <c r="C862" s="10">
        <f>'[1]2019 ALL D95'!C862</f>
        <v>46113</v>
      </c>
      <c r="D862" s="11">
        <v>3273</v>
      </c>
      <c r="E862" s="11">
        <v>336</v>
      </c>
      <c r="F862" s="11">
        <v>4</v>
      </c>
      <c r="G862" s="11">
        <v>7</v>
      </c>
      <c r="H862" s="11">
        <v>81574</v>
      </c>
      <c r="I862" s="11" t="s">
        <v>17</v>
      </c>
      <c r="J862" s="13">
        <v>84318476</v>
      </c>
      <c r="K862" s="13" t="s">
        <v>999</v>
      </c>
      <c r="L862" s="18" t="s">
        <v>1005</v>
      </c>
      <c r="M862" s="17">
        <v>269900</v>
      </c>
      <c r="N862" s="15">
        <v>0.75</v>
      </c>
      <c r="O862" s="16">
        <f t="shared" si="65"/>
        <v>67475</v>
      </c>
      <c r="P862" s="11" t="s">
        <v>20</v>
      </c>
    </row>
    <row r="863" spans="1:16" x14ac:dyDescent="0.25">
      <c r="A863" s="9" t="str">
        <f t="shared" si="67"/>
        <v>2024 ALL D75</v>
      </c>
      <c r="B863" s="10">
        <f>'[1]2019 ALL D95'!B863</f>
        <v>46104</v>
      </c>
      <c r="C863" s="10">
        <f>'[1]2019 ALL D95'!C863</f>
        <v>46113</v>
      </c>
      <c r="D863" s="11">
        <v>3273</v>
      </c>
      <c r="E863" s="11">
        <v>336</v>
      </c>
      <c r="F863" s="11">
        <v>4</v>
      </c>
      <c r="G863" s="11">
        <v>7</v>
      </c>
      <c r="H863" s="11">
        <v>81574</v>
      </c>
      <c r="I863" s="11" t="s">
        <v>17</v>
      </c>
      <c r="J863" s="13">
        <v>15639197</v>
      </c>
      <c r="K863" s="13" t="s">
        <v>1006</v>
      </c>
      <c r="L863" s="18" t="s">
        <v>1007</v>
      </c>
      <c r="M863" s="17">
        <v>249900</v>
      </c>
      <c r="N863" s="15">
        <v>0.75</v>
      </c>
      <c r="O863" s="16">
        <f t="shared" si="65"/>
        <v>62475</v>
      </c>
      <c r="P863" s="11" t="s">
        <v>20</v>
      </c>
    </row>
    <row r="864" spans="1:16" x14ac:dyDescent="0.25">
      <c r="A864" s="9" t="str">
        <f t="shared" si="67"/>
        <v>2024 ALL D75</v>
      </c>
      <c r="B864" s="10">
        <f>'[1]2019 ALL D95'!B864</f>
        <v>46104</v>
      </c>
      <c r="C864" s="10">
        <f>'[1]2019 ALL D95'!C864</f>
        <v>46113</v>
      </c>
      <c r="D864" s="11">
        <v>3273</v>
      </c>
      <c r="E864" s="11">
        <v>336</v>
      </c>
      <c r="F864" s="11">
        <v>4</v>
      </c>
      <c r="G864" s="11">
        <v>7</v>
      </c>
      <c r="H864" s="11">
        <v>81574</v>
      </c>
      <c r="I864" s="11" t="s">
        <v>17</v>
      </c>
      <c r="J864" s="13">
        <v>15639204</v>
      </c>
      <c r="K864" s="13" t="s">
        <v>1006</v>
      </c>
      <c r="L864" s="18" t="s">
        <v>1008</v>
      </c>
      <c r="M864" s="17">
        <v>249900</v>
      </c>
      <c r="N864" s="15">
        <v>0.75</v>
      </c>
      <c r="O864" s="16">
        <f t="shared" si="65"/>
        <v>62475</v>
      </c>
      <c r="P864" s="11" t="s">
        <v>20</v>
      </c>
    </row>
    <row r="865" spans="1:16" x14ac:dyDescent="0.25">
      <c r="A865" s="9" t="str">
        <f t="shared" si="67"/>
        <v>2024 ALL D75</v>
      </c>
      <c r="B865" s="10">
        <f>'[1]2019 ALL D95'!B865</f>
        <v>46104</v>
      </c>
      <c r="C865" s="10">
        <f>'[1]2019 ALL D95'!C865</f>
        <v>46113</v>
      </c>
      <c r="D865" s="11">
        <v>3273</v>
      </c>
      <c r="E865" s="11">
        <v>336</v>
      </c>
      <c r="F865" s="11">
        <v>4</v>
      </c>
      <c r="G865" s="11">
        <v>7</v>
      </c>
      <c r="H865" s="11">
        <v>81574</v>
      </c>
      <c r="I865" s="11" t="s">
        <v>17</v>
      </c>
      <c r="J865" s="13">
        <v>15639213</v>
      </c>
      <c r="K865" s="13" t="s">
        <v>1006</v>
      </c>
      <c r="L865" s="18" t="s">
        <v>1009</v>
      </c>
      <c r="M865" s="17">
        <v>249900</v>
      </c>
      <c r="N865" s="15">
        <v>0.75</v>
      </c>
      <c r="O865" s="16">
        <f t="shared" si="65"/>
        <v>62475</v>
      </c>
      <c r="P865" s="11" t="s">
        <v>20</v>
      </c>
    </row>
    <row r="866" spans="1:16" x14ac:dyDescent="0.25">
      <c r="A866" s="9" t="str">
        <f t="shared" si="67"/>
        <v>2024 ALL D75</v>
      </c>
      <c r="B866" s="10">
        <f>'[1]2019 ALL D95'!B866</f>
        <v>46104</v>
      </c>
      <c r="C866" s="10">
        <f>'[1]2019 ALL D95'!C866</f>
        <v>46113</v>
      </c>
      <c r="D866" s="11">
        <v>3273</v>
      </c>
      <c r="E866" s="11">
        <v>336</v>
      </c>
      <c r="F866" s="11">
        <v>4</v>
      </c>
      <c r="G866" s="11">
        <v>7</v>
      </c>
      <c r="H866" s="11">
        <v>81574</v>
      </c>
      <c r="I866" s="11" t="s">
        <v>17</v>
      </c>
      <c r="J866" s="13">
        <v>15639222</v>
      </c>
      <c r="K866" s="13" t="s">
        <v>1006</v>
      </c>
      <c r="L866" s="18" t="s">
        <v>1010</v>
      </c>
      <c r="M866" s="17">
        <v>249900</v>
      </c>
      <c r="N866" s="15">
        <v>0.75</v>
      </c>
      <c r="O866" s="16">
        <f t="shared" si="65"/>
        <v>62475</v>
      </c>
      <c r="P866" s="11" t="s">
        <v>20</v>
      </c>
    </row>
    <row r="867" spans="1:16" x14ac:dyDescent="0.25">
      <c r="A867" s="9" t="str">
        <f t="shared" ref="A867:A882" si="68">A866</f>
        <v>2024 ALL D75</v>
      </c>
      <c r="B867" s="10">
        <f>'[1]2019 ALL D95'!B867</f>
        <v>46104</v>
      </c>
      <c r="C867" s="10">
        <f>'[1]2019 ALL D95'!C867</f>
        <v>46113</v>
      </c>
      <c r="D867" s="11">
        <v>3273</v>
      </c>
      <c r="E867" s="11">
        <v>336</v>
      </c>
      <c r="F867" s="11">
        <v>4</v>
      </c>
      <c r="G867" s="11">
        <v>7</v>
      </c>
      <c r="H867" s="11">
        <v>81574</v>
      </c>
      <c r="I867" s="11" t="s">
        <v>17</v>
      </c>
      <c r="J867" s="13">
        <v>15639231</v>
      </c>
      <c r="K867" s="13" t="s">
        <v>1006</v>
      </c>
      <c r="L867" s="18" t="s">
        <v>1011</v>
      </c>
      <c r="M867" s="17">
        <v>249900</v>
      </c>
      <c r="N867" s="15">
        <v>0.75</v>
      </c>
      <c r="O867" s="16">
        <f t="shared" si="65"/>
        <v>62475</v>
      </c>
      <c r="P867" s="11" t="s">
        <v>20</v>
      </c>
    </row>
    <row r="868" spans="1:16" x14ac:dyDescent="0.25">
      <c r="A868" s="9" t="str">
        <f t="shared" si="68"/>
        <v>2024 ALL D75</v>
      </c>
      <c r="B868" s="10">
        <f>'[1]2019 ALL D95'!B868</f>
        <v>46104</v>
      </c>
      <c r="C868" s="10">
        <f>'[1]2019 ALL D95'!C868</f>
        <v>46113</v>
      </c>
      <c r="D868" s="11">
        <v>3273</v>
      </c>
      <c r="E868" s="11">
        <v>336</v>
      </c>
      <c r="F868" s="11">
        <v>4</v>
      </c>
      <c r="G868" s="11">
        <v>7</v>
      </c>
      <c r="H868" s="11">
        <v>81574</v>
      </c>
      <c r="I868" s="11" t="s">
        <v>17</v>
      </c>
      <c r="J868" s="13">
        <v>15639240</v>
      </c>
      <c r="K868" s="13" t="s">
        <v>1006</v>
      </c>
      <c r="L868" s="18" t="s">
        <v>1012</v>
      </c>
      <c r="M868" s="17">
        <v>249900</v>
      </c>
      <c r="N868" s="15">
        <v>0.75</v>
      </c>
      <c r="O868" s="16">
        <f t="shared" si="65"/>
        <v>62475</v>
      </c>
      <c r="P868" s="11" t="s">
        <v>20</v>
      </c>
    </row>
    <row r="869" spans="1:16" x14ac:dyDescent="0.25">
      <c r="A869" s="9" t="str">
        <f t="shared" si="68"/>
        <v>2024 ALL D75</v>
      </c>
      <c r="B869" s="10">
        <f>'[1]2019 ALL D95'!B869</f>
        <v>46104</v>
      </c>
      <c r="C869" s="10">
        <f>'[1]2019 ALL D95'!C869</f>
        <v>46113</v>
      </c>
      <c r="D869" s="11">
        <v>3273</v>
      </c>
      <c r="E869" s="11">
        <v>336</v>
      </c>
      <c r="F869" s="11">
        <v>4</v>
      </c>
      <c r="G869" s="11">
        <v>7</v>
      </c>
      <c r="H869" s="11">
        <v>81574</v>
      </c>
      <c r="I869" s="11" t="s">
        <v>17</v>
      </c>
      <c r="J869" s="13">
        <v>15639259</v>
      </c>
      <c r="K869" s="13" t="s">
        <v>1006</v>
      </c>
      <c r="L869" s="18" t="s">
        <v>1013</v>
      </c>
      <c r="M869" s="17">
        <v>249900</v>
      </c>
      <c r="N869" s="15">
        <v>0.75</v>
      </c>
      <c r="O869" s="16">
        <f t="shared" si="65"/>
        <v>62475</v>
      </c>
      <c r="P869" s="11" t="s">
        <v>20</v>
      </c>
    </row>
    <row r="870" spans="1:16" x14ac:dyDescent="0.25">
      <c r="A870" s="9" t="str">
        <f t="shared" si="68"/>
        <v>2024 ALL D75</v>
      </c>
      <c r="B870" s="10">
        <f>'[1]2019 ALL D95'!B870</f>
        <v>46104</v>
      </c>
      <c r="C870" s="10">
        <f>'[1]2019 ALL D95'!C870</f>
        <v>46113</v>
      </c>
      <c r="D870" s="11">
        <v>3273</v>
      </c>
      <c r="E870" s="11">
        <v>336</v>
      </c>
      <c r="F870" s="11">
        <v>4</v>
      </c>
      <c r="G870" s="11">
        <v>7</v>
      </c>
      <c r="H870" s="11">
        <v>81574</v>
      </c>
      <c r="I870" s="11" t="s">
        <v>17</v>
      </c>
      <c r="J870" s="13">
        <v>15639268</v>
      </c>
      <c r="K870" s="13" t="s">
        <v>1006</v>
      </c>
      <c r="L870" s="18" t="s">
        <v>1014</v>
      </c>
      <c r="M870" s="17">
        <v>249900</v>
      </c>
      <c r="N870" s="15">
        <v>0.75</v>
      </c>
      <c r="O870" s="16">
        <f t="shared" si="65"/>
        <v>62475</v>
      </c>
      <c r="P870" s="11" t="s">
        <v>20</v>
      </c>
    </row>
    <row r="871" spans="1:16" x14ac:dyDescent="0.25">
      <c r="A871" s="9" t="str">
        <f t="shared" si="68"/>
        <v>2024 ALL D75</v>
      </c>
      <c r="B871" s="10">
        <f>'[1]2019 ALL D95'!B871</f>
        <v>46104</v>
      </c>
      <c r="C871" s="10">
        <f>'[1]2019 ALL D95'!C871</f>
        <v>46113</v>
      </c>
      <c r="D871" s="11">
        <v>3273</v>
      </c>
      <c r="E871" s="11">
        <v>336</v>
      </c>
      <c r="F871" s="11">
        <v>4</v>
      </c>
      <c r="G871" s="12">
        <v>1</v>
      </c>
      <c r="H871" s="13">
        <v>81588</v>
      </c>
      <c r="I871" s="11" t="s">
        <v>17</v>
      </c>
      <c r="J871" s="13">
        <v>17697326</v>
      </c>
      <c r="K871" s="18" t="s">
        <v>1015</v>
      </c>
      <c r="L871" s="13" t="s">
        <v>1016</v>
      </c>
      <c r="M871" s="17">
        <v>139900</v>
      </c>
      <c r="N871" s="15">
        <v>0.75</v>
      </c>
      <c r="O871" s="16">
        <f t="shared" si="65"/>
        <v>34975</v>
      </c>
      <c r="P871" s="11" t="s">
        <v>20</v>
      </c>
    </row>
    <row r="872" spans="1:16" x14ac:dyDescent="0.25">
      <c r="A872" s="9" t="str">
        <f t="shared" si="68"/>
        <v>2024 ALL D75</v>
      </c>
      <c r="B872" s="10">
        <f>'[1]2019 ALL D95'!B872</f>
        <v>46104</v>
      </c>
      <c r="C872" s="10">
        <f>'[1]2019 ALL D95'!C872</f>
        <v>46113</v>
      </c>
      <c r="D872" s="11">
        <v>3273</v>
      </c>
      <c r="E872" s="11">
        <v>336</v>
      </c>
      <c r="F872" s="11">
        <v>4</v>
      </c>
      <c r="G872" s="20">
        <v>1</v>
      </c>
      <c r="H872" s="13">
        <v>81588</v>
      </c>
      <c r="I872" s="11" t="s">
        <v>17</v>
      </c>
      <c r="J872" s="13">
        <v>17697335</v>
      </c>
      <c r="K872" s="13" t="s">
        <v>1015</v>
      </c>
      <c r="L872" s="13" t="s">
        <v>1017</v>
      </c>
      <c r="M872" s="17">
        <v>139900</v>
      </c>
      <c r="N872" s="15">
        <v>0.75</v>
      </c>
      <c r="O872" s="16">
        <f t="shared" si="65"/>
        <v>34975</v>
      </c>
      <c r="P872" s="11" t="s">
        <v>20</v>
      </c>
    </row>
    <row r="873" spans="1:16" x14ac:dyDescent="0.25">
      <c r="A873" s="9" t="str">
        <f t="shared" si="68"/>
        <v>2024 ALL D75</v>
      </c>
      <c r="B873" s="10">
        <f>'[1]2019 ALL D95'!B873</f>
        <v>46104</v>
      </c>
      <c r="C873" s="10">
        <f>'[1]2019 ALL D95'!C873</f>
        <v>46113</v>
      </c>
      <c r="D873" s="11">
        <v>3273</v>
      </c>
      <c r="E873" s="11">
        <v>336</v>
      </c>
      <c r="F873" s="11">
        <v>4</v>
      </c>
      <c r="G873" s="20">
        <v>1</v>
      </c>
      <c r="H873" s="13">
        <v>81588</v>
      </c>
      <c r="I873" s="11" t="s">
        <v>17</v>
      </c>
      <c r="J873" s="13">
        <v>17697344</v>
      </c>
      <c r="K873" s="13" t="s">
        <v>1015</v>
      </c>
      <c r="L873" s="13" t="s">
        <v>1018</v>
      </c>
      <c r="M873" s="17">
        <v>139900</v>
      </c>
      <c r="N873" s="15">
        <v>0.75</v>
      </c>
      <c r="O873" s="16">
        <f t="shared" si="65"/>
        <v>34975</v>
      </c>
      <c r="P873" s="11" t="s">
        <v>20</v>
      </c>
    </row>
    <row r="874" spans="1:16" x14ac:dyDescent="0.25">
      <c r="A874" s="9" t="str">
        <f t="shared" si="68"/>
        <v>2024 ALL D75</v>
      </c>
      <c r="B874" s="10">
        <f>'[1]2019 ALL D95'!B874</f>
        <v>46104</v>
      </c>
      <c r="C874" s="10">
        <f>'[1]2019 ALL D95'!C874</f>
        <v>46113</v>
      </c>
      <c r="D874" s="11">
        <v>3273</v>
      </c>
      <c r="E874" s="11">
        <v>336</v>
      </c>
      <c r="F874" s="11">
        <v>4</v>
      </c>
      <c r="G874" s="20">
        <v>1</v>
      </c>
      <c r="H874" s="13">
        <v>81588</v>
      </c>
      <c r="I874" s="11" t="s">
        <v>17</v>
      </c>
      <c r="J874" s="13">
        <v>17697353</v>
      </c>
      <c r="K874" s="13" t="s">
        <v>1015</v>
      </c>
      <c r="L874" s="13" t="s">
        <v>1019</v>
      </c>
      <c r="M874" s="17">
        <v>139900</v>
      </c>
      <c r="N874" s="15">
        <v>0.75</v>
      </c>
      <c r="O874" s="16">
        <f t="shared" si="65"/>
        <v>34975</v>
      </c>
      <c r="P874" s="11" t="s">
        <v>20</v>
      </c>
    </row>
    <row r="875" spans="1:16" x14ac:dyDescent="0.25">
      <c r="A875" s="9" t="str">
        <f t="shared" si="68"/>
        <v>2024 ALL D75</v>
      </c>
      <c r="B875" s="10">
        <f>'[1]2019 ALL D95'!B875</f>
        <v>46104</v>
      </c>
      <c r="C875" s="10">
        <f>'[1]2019 ALL D95'!C875</f>
        <v>46113</v>
      </c>
      <c r="D875" s="11">
        <v>3273</v>
      </c>
      <c r="E875" s="11">
        <v>336</v>
      </c>
      <c r="F875" s="11">
        <v>4</v>
      </c>
      <c r="G875" s="20">
        <v>1</v>
      </c>
      <c r="H875" s="13">
        <v>81588</v>
      </c>
      <c r="I875" s="11" t="s">
        <v>17</v>
      </c>
      <c r="J875" s="13">
        <v>17697362</v>
      </c>
      <c r="K875" s="13" t="s">
        <v>1015</v>
      </c>
      <c r="L875" s="13" t="s">
        <v>1020</v>
      </c>
      <c r="M875" s="17">
        <v>139900</v>
      </c>
      <c r="N875" s="15">
        <v>0.75</v>
      </c>
      <c r="O875" s="16">
        <f t="shared" si="65"/>
        <v>34975</v>
      </c>
      <c r="P875" s="11" t="s">
        <v>20</v>
      </c>
    </row>
    <row r="876" spans="1:16" x14ac:dyDescent="0.25">
      <c r="A876" s="9" t="str">
        <f t="shared" si="68"/>
        <v>2024 ALL D75</v>
      </c>
      <c r="B876" s="10">
        <f>'[1]2019 ALL D95'!B876</f>
        <v>46104</v>
      </c>
      <c r="C876" s="10">
        <f>'[1]2019 ALL D95'!C876</f>
        <v>46113</v>
      </c>
      <c r="D876" s="11">
        <v>3273</v>
      </c>
      <c r="E876" s="11">
        <v>336</v>
      </c>
      <c r="F876" s="11">
        <v>4</v>
      </c>
      <c r="G876" s="20">
        <v>1</v>
      </c>
      <c r="H876" s="13">
        <v>81588</v>
      </c>
      <c r="I876" s="11" t="s">
        <v>17</v>
      </c>
      <c r="J876" s="13">
        <v>17697371</v>
      </c>
      <c r="K876" s="13" t="s">
        <v>1021</v>
      </c>
      <c r="L876" s="13" t="s">
        <v>1022</v>
      </c>
      <c r="M876" s="17">
        <v>129900</v>
      </c>
      <c r="N876" s="15">
        <v>0.75</v>
      </c>
      <c r="O876" s="16">
        <f t="shared" si="65"/>
        <v>32475</v>
      </c>
      <c r="P876" s="11" t="s">
        <v>20</v>
      </c>
    </row>
    <row r="877" spans="1:16" x14ac:dyDescent="0.25">
      <c r="A877" s="9" t="str">
        <f t="shared" si="68"/>
        <v>2024 ALL D75</v>
      </c>
      <c r="B877" s="10">
        <f>'[1]2019 ALL D95'!B877</f>
        <v>46104</v>
      </c>
      <c r="C877" s="10">
        <f>'[1]2019 ALL D95'!C877</f>
        <v>46113</v>
      </c>
      <c r="D877" s="11">
        <v>3273</v>
      </c>
      <c r="E877" s="11">
        <v>336</v>
      </c>
      <c r="F877" s="11">
        <v>4</v>
      </c>
      <c r="G877" s="20">
        <v>1</v>
      </c>
      <c r="H877" s="13">
        <v>81588</v>
      </c>
      <c r="I877" s="11" t="s">
        <v>17</v>
      </c>
      <c r="J877" s="13">
        <v>17697380</v>
      </c>
      <c r="K877" s="13" t="s">
        <v>1021</v>
      </c>
      <c r="L877" s="13" t="s">
        <v>1023</v>
      </c>
      <c r="M877" s="17">
        <v>129900</v>
      </c>
      <c r="N877" s="15">
        <v>0.75</v>
      </c>
      <c r="O877" s="16">
        <f t="shared" si="65"/>
        <v>32475</v>
      </c>
      <c r="P877" s="11" t="s">
        <v>20</v>
      </c>
    </row>
    <row r="878" spans="1:16" x14ac:dyDescent="0.25">
      <c r="A878" s="9" t="str">
        <f t="shared" si="68"/>
        <v>2024 ALL D75</v>
      </c>
      <c r="B878" s="10">
        <f>'[1]2019 ALL D95'!B878</f>
        <v>46104</v>
      </c>
      <c r="C878" s="10">
        <f>'[1]2019 ALL D95'!C878</f>
        <v>46113</v>
      </c>
      <c r="D878" s="11">
        <v>3273</v>
      </c>
      <c r="E878" s="11">
        <v>336</v>
      </c>
      <c r="F878" s="11">
        <v>4</v>
      </c>
      <c r="G878" s="20">
        <v>1</v>
      </c>
      <c r="H878" s="13">
        <v>81588</v>
      </c>
      <c r="I878" s="11" t="s">
        <v>17</v>
      </c>
      <c r="J878" s="13">
        <v>17697399</v>
      </c>
      <c r="K878" s="13" t="s">
        <v>1021</v>
      </c>
      <c r="L878" s="13" t="s">
        <v>1024</v>
      </c>
      <c r="M878" s="17">
        <v>129900</v>
      </c>
      <c r="N878" s="15">
        <v>0.75</v>
      </c>
      <c r="O878" s="16">
        <f t="shared" si="65"/>
        <v>32475</v>
      </c>
      <c r="P878" s="11" t="s">
        <v>20</v>
      </c>
    </row>
    <row r="879" spans="1:16" x14ac:dyDescent="0.25">
      <c r="A879" s="9" t="str">
        <f t="shared" si="68"/>
        <v>2024 ALL D75</v>
      </c>
      <c r="B879" s="10">
        <f>'[1]2019 ALL D95'!B879</f>
        <v>46104</v>
      </c>
      <c r="C879" s="10">
        <f>'[1]2019 ALL D95'!C879</f>
        <v>46113</v>
      </c>
      <c r="D879" s="11">
        <v>3273</v>
      </c>
      <c r="E879" s="11">
        <v>336</v>
      </c>
      <c r="F879" s="11">
        <v>4</v>
      </c>
      <c r="G879" s="20">
        <v>1</v>
      </c>
      <c r="H879" s="13">
        <v>81588</v>
      </c>
      <c r="I879" s="11" t="s">
        <v>17</v>
      </c>
      <c r="J879" s="13">
        <v>17697406</v>
      </c>
      <c r="K879" s="13" t="s">
        <v>1021</v>
      </c>
      <c r="L879" s="13" t="s">
        <v>1025</v>
      </c>
      <c r="M879" s="17">
        <v>129900</v>
      </c>
      <c r="N879" s="15">
        <v>0.75</v>
      </c>
      <c r="O879" s="16">
        <f t="shared" si="65"/>
        <v>32475</v>
      </c>
      <c r="P879" s="11" t="s">
        <v>20</v>
      </c>
    </row>
    <row r="880" spans="1:16" x14ac:dyDescent="0.25">
      <c r="A880" s="9" t="str">
        <f t="shared" si="68"/>
        <v>2024 ALL D75</v>
      </c>
      <c r="B880" s="10">
        <f>'[1]2019 ALL D95'!B880</f>
        <v>46104</v>
      </c>
      <c r="C880" s="10">
        <f>'[1]2019 ALL D95'!C880</f>
        <v>46113</v>
      </c>
      <c r="D880" s="11">
        <v>3273</v>
      </c>
      <c r="E880" s="11">
        <v>336</v>
      </c>
      <c r="F880" s="11">
        <v>4</v>
      </c>
      <c r="G880" s="20">
        <v>1</v>
      </c>
      <c r="H880" s="13">
        <v>81588</v>
      </c>
      <c r="I880" s="11" t="s">
        <v>17</v>
      </c>
      <c r="J880" s="13">
        <v>17697415</v>
      </c>
      <c r="K880" s="13" t="s">
        <v>1021</v>
      </c>
      <c r="L880" s="13" t="s">
        <v>1026</v>
      </c>
      <c r="M880" s="17">
        <v>129900</v>
      </c>
      <c r="N880" s="15">
        <v>0.75</v>
      </c>
      <c r="O880" s="16">
        <f t="shared" si="65"/>
        <v>32475</v>
      </c>
      <c r="P880" s="11" t="s">
        <v>20</v>
      </c>
    </row>
    <row r="881" spans="1:16" x14ac:dyDescent="0.25">
      <c r="A881" s="9" t="str">
        <f t="shared" si="68"/>
        <v>2024 ALL D75</v>
      </c>
      <c r="B881" s="10">
        <f>'[1]2019 ALL D95'!B881</f>
        <v>46104</v>
      </c>
      <c r="C881" s="10">
        <f>'[1]2019 ALL D95'!C881</f>
        <v>46113</v>
      </c>
      <c r="D881" s="11">
        <v>3273</v>
      </c>
      <c r="E881" s="11">
        <v>336</v>
      </c>
      <c r="F881" s="11">
        <v>4</v>
      </c>
      <c r="G881" s="20">
        <v>1</v>
      </c>
      <c r="H881" s="13">
        <v>81588</v>
      </c>
      <c r="I881" s="11" t="s">
        <v>17</v>
      </c>
      <c r="J881" s="13">
        <v>17697424</v>
      </c>
      <c r="K881" s="13" t="s">
        <v>1021</v>
      </c>
      <c r="L881" s="13" t="s">
        <v>1027</v>
      </c>
      <c r="M881" s="17">
        <v>129900</v>
      </c>
      <c r="N881" s="15">
        <v>0.75</v>
      </c>
      <c r="O881" s="16">
        <f t="shared" si="65"/>
        <v>32475</v>
      </c>
      <c r="P881" s="11" t="s">
        <v>20</v>
      </c>
    </row>
    <row r="882" spans="1:16" x14ac:dyDescent="0.25">
      <c r="A882" s="9" t="str">
        <f t="shared" si="68"/>
        <v>2024 ALL D75</v>
      </c>
      <c r="B882" s="10">
        <v>46104</v>
      </c>
      <c r="C882" s="10">
        <v>46113</v>
      </c>
      <c r="D882" s="11">
        <v>3273</v>
      </c>
      <c r="E882" s="11">
        <v>336</v>
      </c>
      <c r="F882" s="11">
        <v>4</v>
      </c>
      <c r="G882" s="20">
        <v>11</v>
      </c>
      <c r="H882" s="13">
        <v>81676</v>
      </c>
      <c r="I882" s="11" t="s">
        <v>17</v>
      </c>
      <c r="J882" s="13">
        <v>17697246</v>
      </c>
      <c r="K882" s="13" t="s">
        <v>1028</v>
      </c>
      <c r="L882" s="13" t="s">
        <v>1029</v>
      </c>
      <c r="M882" s="17">
        <v>139900</v>
      </c>
      <c r="N882" s="15">
        <v>0.75</v>
      </c>
      <c r="O882" s="16">
        <f t="shared" si="65"/>
        <v>34975</v>
      </c>
      <c r="P882" s="11" t="s">
        <v>20</v>
      </c>
    </row>
    <row r="883" spans="1:16" x14ac:dyDescent="0.25">
      <c r="A883" s="9" t="str">
        <f t="shared" ref="A883:B898" si="69">A882</f>
        <v>2024 ALL D75</v>
      </c>
      <c r="B883" s="10">
        <f>B882</f>
        <v>46104</v>
      </c>
      <c r="C883" s="10">
        <v>46113</v>
      </c>
      <c r="D883" s="11">
        <v>3273</v>
      </c>
      <c r="E883" s="11">
        <v>336</v>
      </c>
      <c r="F883" s="11">
        <v>4</v>
      </c>
      <c r="G883" s="20">
        <v>11</v>
      </c>
      <c r="H883" s="13">
        <v>81676</v>
      </c>
      <c r="I883" s="11" t="s">
        <v>17</v>
      </c>
      <c r="J883" s="13">
        <v>17697255</v>
      </c>
      <c r="K883" s="13" t="s">
        <v>1028</v>
      </c>
      <c r="L883" s="13" t="s">
        <v>1030</v>
      </c>
      <c r="M883" s="17">
        <v>139900</v>
      </c>
      <c r="N883" s="15">
        <v>0.75</v>
      </c>
      <c r="O883" s="16">
        <f t="shared" si="65"/>
        <v>34975</v>
      </c>
      <c r="P883" s="11" t="s">
        <v>20</v>
      </c>
    </row>
    <row r="884" spans="1:16" x14ac:dyDescent="0.25">
      <c r="A884" s="9" t="str">
        <f t="shared" si="69"/>
        <v>2024 ALL D75</v>
      </c>
      <c r="B884" s="10">
        <f t="shared" si="69"/>
        <v>46104</v>
      </c>
      <c r="C884" s="10">
        <v>46113</v>
      </c>
      <c r="D884" s="11">
        <v>3273</v>
      </c>
      <c r="E884" s="11">
        <v>336</v>
      </c>
      <c r="F884" s="11">
        <v>4</v>
      </c>
      <c r="G884" s="20">
        <v>11</v>
      </c>
      <c r="H884" s="13">
        <v>81676</v>
      </c>
      <c r="I884" s="11" t="s">
        <v>17</v>
      </c>
      <c r="J884" s="13">
        <v>17697264</v>
      </c>
      <c r="K884" s="13" t="s">
        <v>1028</v>
      </c>
      <c r="L884" s="13" t="s">
        <v>1031</v>
      </c>
      <c r="M884" s="17">
        <v>139900</v>
      </c>
      <c r="N884" s="15">
        <v>0.75</v>
      </c>
      <c r="O884" s="16">
        <f t="shared" si="65"/>
        <v>34975</v>
      </c>
      <c r="P884" s="11" t="s">
        <v>20</v>
      </c>
    </row>
    <row r="885" spans="1:16" x14ac:dyDescent="0.25">
      <c r="A885" s="9" t="str">
        <f t="shared" si="69"/>
        <v>2024 ALL D75</v>
      </c>
      <c r="B885" s="10">
        <f t="shared" si="69"/>
        <v>46104</v>
      </c>
      <c r="C885" s="10">
        <v>46113</v>
      </c>
      <c r="D885" s="11">
        <v>3273</v>
      </c>
      <c r="E885" s="11">
        <v>336</v>
      </c>
      <c r="F885" s="11">
        <v>4</v>
      </c>
      <c r="G885" s="20">
        <v>11</v>
      </c>
      <c r="H885" s="13">
        <v>81676</v>
      </c>
      <c r="I885" s="11" t="s">
        <v>17</v>
      </c>
      <c r="J885" s="13">
        <v>17697273</v>
      </c>
      <c r="K885" s="13" t="s">
        <v>1028</v>
      </c>
      <c r="L885" s="13" t="s">
        <v>1032</v>
      </c>
      <c r="M885" s="17">
        <v>139900</v>
      </c>
      <c r="N885" s="15">
        <v>0.75</v>
      </c>
      <c r="O885" s="16">
        <f t="shared" si="65"/>
        <v>34975</v>
      </c>
      <c r="P885" s="11" t="s">
        <v>20</v>
      </c>
    </row>
    <row r="886" spans="1:16" x14ac:dyDescent="0.25">
      <c r="A886" s="9" t="str">
        <f t="shared" si="69"/>
        <v>2024 ALL D75</v>
      </c>
      <c r="B886" s="10">
        <f t="shared" si="69"/>
        <v>46104</v>
      </c>
      <c r="C886" s="10">
        <v>46113</v>
      </c>
      <c r="D886" s="11">
        <v>3273</v>
      </c>
      <c r="E886" s="11">
        <v>336</v>
      </c>
      <c r="F886" s="11">
        <v>4</v>
      </c>
      <c r="G886" s="20">
        <v>11</v>
      </c>
      <c r="H886" s="13">
        <v>81676</v>
      </c>
      <c r="I886" s="11" t="s">
        <v>17</v>
      </c>
      <c r="J886" s="13">
        <v>17697282</v>
      </c>
      <c r="K886" s="13" t="s">
        <v>1028</v>
      </c>
      <c r="L886" s="13" t="s">
        <v>1033</v>
      </c>
      <c r="M886" s="17">
        <v>139900</v>
      </c>
      <c r="N886" s="15">
        <v>0.75</v>
      </c>
      <c r="O886" s="16">
        <f t="shared" si="65"/>
        <v>34975</v>
      </c>
      <c r="P886" s="11" t="s">
        <v>20</v>
      </c>
    </row>
    <row r="887" spans="1:16" x14ac:dyDescent="0.25">
      <c r="A887" s="9" t="str">
        <f t="shared" si="69"/>
        <v>2024 ALL D75</v>
      </c>
      <c r="B887" s="10">
        <f t="shared" si="69"/>
        <v>46104</v>
      </c>
      <c r="C887" s="10">
        <v>46113</v>
      </c>
      <c r="D887" s="11">
        <v>3273</v>
      </c>
      <c r="E887" s="11">
        <v>336</v>
      </c>
      <c r="F887" s="11">
        <v>4</v>
      </c>
      <c r="G887" s="20">
        <v>11</v>
      </c>
      <c r="H887" s="13">
        <v>81676</v>
      </c>
      <c r="I887" s="11" t="s">
        <v>17</v>
      </c>
      <c r="J887" s="13">
        <v>17697291</v>
      </c>
      <c r="K887" s="13" t="s">
        <v>1028</v>
      </c>
      <c r="L887" s="13" t="s">
        <v>1034</v>
      </c>
      <c r="M887" s="17">
        <v>139900</v>
      </c>
      <c r="N887" s="15">
        <v>0.75</v>
      </c>
      <c r="O887" s="16">
        <f t="shared" si="65"/>
        <v>34975</v>
      </c>
      <c r="P887" s="11" t="s">
        <v>20</v>
      </c>
    </row>
    <row r="888" spans="1:16" x14ac:dyDescent="0.25">
      <c r="A888" s="9" t="str">
        <f t="shared" si="69"/>
        <v>2024 ALL D75</v>
      </c>
      <c r="B888" s="10">
        <f t="shared" si="69"/>
        <v>46104</v>
      </c>
      <c r="C888" s="10">
        <v>46113</v>
      </c>
      <c r="D888" s="11">
        <v>3273</v>
      </c>
      <c r="E888" s="11">
        <v>336</v>
      </c>
      <c r="F888" s="11">
        <v>4</v>
      </c>
      <c r="G888" s="20">
        <v>11</v>
      </c>
      <c r="H888" s="13">
        <v>81676</v>
      </c>
      <c r="I888" s="11" t="s">
        <v>17</v>
      </c>
      <c r="J888" s="13">
        <v>17697308</v>
      </c>
      <c r="K888" s="13" t="s">
        <v>1028</v>
      </c>
      <c r="L888" s="13" t="s">
        <v>1035</v>
      </c>
      <c r="M888" s="17">
        <v>139900</v>
      </c>
      <c r="N888" s="15">
        <v>0.75</v>
      </c>
      <c r="O888" s="16">
        <f t="shared" si="65"/>
        <v>34975</v>
      </c>
      <c r="P888" s="11" t="s">
        <v>20</v>
      </c>
    </row>
    <row r="889" spans="1:16" x14ac:dyDescent="0.25">
      <c r="A889" s="9" t="str">
        <f t="shared" si="69"/>
        <v>2024 ALL D75</v>
      </c>
      <c r="B889" s="10">
        <f t="shared" si="69"/>
        <v>46104</v>
      </c>
      <c r="C889" s="10">
        <v>46113</v>
      </c>
      <c r="D889" s="11">
        <v>3273</v>
      </c>
      <c r="E889" s="11">
        <v>336</v>
      </c>
      <c r="F889" s="11">
        <v>4</v>
      </c>
      <c r="G889" s="20">
        <v>11</v>
      </c>
      <c r="H889" s="13">
        <v>81676</v>
      </c>
      <c r="I889" s="11" t="s">
        <v>17</v>
      </c>
      <c r="J889" s="13">
        <v>17697317</v>
      </c>
      <c r="K889" s="13" t="s">
        <v>1028</v>
      </c>
      <c r="L889" s="13" t="s">
        <v>1036</v>
      </c>
      <c r="M889" s="17">
        <v>139900</v>
      </c>
      <c r="N889" s="15">
        <v>0.75</v>
      </c>
      <c r="O889" s="16">
        <f t="shared" si="65"/>
        <v>34975</v>
      </c>
      <c r="P889" s="11" t="s">
        <v>20</v>
      </c>
    </row>
    <row r="890" spans="1:16" x14ac:dyDescent="0.25">
      <c r="A890" s="9" t="str">
        <f t="shared" si="69"/>
        <v>2024 ALL D75</v>
      </c>
      <c r="B890" s="10">
        <f t="shared" si="69"/>
        <v>46104</v>
      </c>
      <c r="C890" s="10">
        <v>46113</v>
      </c>
      <c r="D890" s="11">
        <v>3273</v>
      </c>
      <c r="E890" s="11">
        <v>336</v>
      </c>
      <c r="F890" s="11">
        <v>4</v>
      </c>
      <c r="G890" s="20">
        <v>15</v>
      </c>
      <c r="H890" s="13">
        <v>81574</v>
      </c>
      <c r="I890" s="11" t="s">
        <v>17</v>
      </c>
      <c r="J890" s="13">
        <v>16100524</v>
      </c>
      <c r="K890" s="13" t="s">
        <v>1037</v>
      </c>
      <c r="L890" s="13" t="s">
        <v>1038</v>
      </c>
      <c r="M890" s="17">
        <v>139900</v>
      </c>
      <c r="N890" s="15">
        <v>0.75</v>
      </c>
      <c r="O890" s="16">
        <f t="shared" si="65"/>
        <v>34975</v>
      </c>
      <c r="P890" s="11" t="s">
        <v>20</v>
      </c>
    </row>
    <row r="891" spans="1:16" x14ac:dyDescent="0.25">
      <c r="A891" s="9" t="str">
        <f t="shared" si="69"/>
        <v>2024 ALL D75</v>
      </c>
      <c r="B891" s="10">
        <f t="shared" si="69"/>
        <v>46104</v>
      </c>
      <c r="C891" s="10">
        <v>46113</v>
      </c>
      <c r="D891" s="11">
        <v>3273</v>
      </c>
      <c r="E891" s="11">
        <v>336</v>
      </c>
      <c r="F891" s="11">
        <v>4</v>
      </c>
      <c r="G891" s="20">
        <v>1</v>
      </c>
      <c r="H891" s="13">
        <v>81588</v>
      </c>
      <c r="I891" s="11" t="s">
        <v>17</v>
      </c>
      <c r="J891" s="13">
        <v>18547521</v>
      </c>
      <c r="K891" s="13" t="s">
        <v>1039</v>
      </c>
      <c r="L891" s="13" t="s">
        <v>1040</v>
      </c>
      <c r="M891" s="17">
        <v>149900</v>
      </c>
      <c r="N891" s="15">
        <v>0.75</v>
      </c>
      <c r="O891" s="16">
        <f t="shared" si="65"/>
        <v>37475</v>
      </c>
      <c r="P891" s="11" t="s">
        <v>20</v>
      </c>
    </row>
    <row r="892" spans="1:16" x14ac:dyDescent="0.25">
      <c r="A892" s="9" t="str">
        <f t="shared" si="69"/>
        <v>2024 ALL D75</v>
      </c>
      <c r="B892" s="10">
        <f t="shared" si="69"/>
        <v>46104</v>
      </c>
      <c r="C892" s="10">
        <v>46113</v>
      </c>
      <c r="D892" s="11">
        <v>3273</v>
      </c>
      <c r="E892" s="11">
        <v>336</v>
      </c>
      <c r="F892" s="11">
        <v>4</v>
      </c>
      <c r="G892" s="20">
        <v>1</v>
      </c>
      <c r="H892" s="13">
        <v>81588</v>
      </c>
      <c r="I892" s="11" t="s">
        <v>17</v>
      </c>
      <c r="J892" s="13">
        <v>18547549</v>
      </c>
      <c r="K892" s="13" t="s">
        <v>1039</v>
      </c>
      <c r="L892" s="13" t="s">
        <v>1041</v>
      </c>
      <c r="M892" s="17">
        <v>149900</v>
      </c>
      <c r="N892" s="15">
        <v>0.75</v>
      </c>
      <c r="O892" s="16">
        <f t="shared" si="65"/>
        <v>37475</v>
      </c>
      <c r="P892" s="11" t="s">
        <v>20</v>
      </c>
    </row>
    <row r="893" spans="1:16" x14ac:dyDescent="0.25">
      <c r="A893" s="9" t="str">
        <f t="shared" si="69"/>
        <v>2024 ALL D75</v>
      </c>
      <c r="B893" s="10">
        <f t="shared" si="69"/>
        <v>46104</v>
      </c>
      <c r="C893" s="10">
        <v>46113</v>
      </c>
      <c r="D893" s="11">
        <v>3273</v>
      </c>
      <c r="E893" s="11">
        <v>336</v>
      </c>
      <c r="F893" s="11">
        <v>4</v>
      </c>
      <c r="G893" s="20">
        <v>1</v>
      </c>
      <c r="H893" s="13">
        <v>81588</v>
      </c>
      <c r="I893" s="11" t="s">
        <v>17</v>
      </c>
      <c r="J893" s="13">
        <v>18547558</v>
      </c>
      <c r="K893" s="13" t="s">
        <v>1039</v>
      </c>
      <c r="L893" s="13" t="s">
        <v>1042</v>
      </c>
      <c r="M893" s="17">
        <v>149900</v>
      </c>
      <c r="N893" s="15">
        <v>0.75</v>
      </c>
      <c r="O893" s="16">
        <f t="shared" si="65"/>
        <v>37475</v>
      </c>
      <c r="P893" s="11" t="s">
        <v>20</v>
      </c>
    </row>
    <row r="894" spans="1:16" x14ac:dyDescent="0.25">
      <c r="A894" s="9" t="str">
        <f t="shared" si="69"/>
        <v>2024 ALL D75</v>
      </c>
      <c r="B894" s="10">
        <f t="shared" si="69"/>
        <v>46104</v>
      </c>
      <c r="C894" s="10">
        <v>46113</v>
      </c>
      <c r="D894" s="11">
        <v>3273</v>
      </c>
      <c r="E894" s="11">
        <v>336</v>
      </c>
      <c r="F894" s="11">
        <v>4</v>
      </c>
      <c r="G894" s="20">
        <v>1</v>
      </c>
      <c r="H894" s="13">
        <v>81588</v>
      </c>
      <c r="I894" s="11" t="s">
        <v>17</v>
      </c>
      <c r="J894" s="13">
        <v>18547567</v>
      </c>
      <c r="K894" s="13" t="s">
        <v>1039</v>
      </c>
      <c r="L894" s="13" t="s">
        <v>1043</v>
      </c>
      <c r="M894" s="17">
        <v>149900</v>
      </c>
      <c r="N894" s="15">
        <v>0.75</v>
      </c>
      <c r="O894" s="16">
        <f t="shared" si="65"/>
        <v>37475</v>
      </c>
      <c r="P894" s="11" t="s">
        <v>20</v>
      </c>
    </row>
    <row r="895" spans="1:16" x14ac:dyDescent="0.25">
      <c r="A895" s="9" t="str">
        <f t="shared" si="69"/>
        <v>2024 ALL D75</v>
      </c>
      <c r="B895" s="10">
        <f t="shared" si="69"/>
        <v>46104</v>
      </c>
      <c r="C895" s="10">
        <v>46113</v>
      </c>
      <c r="D895" s="11">
        <v>3273</v>
      </c>
      <c r="E895" s="11">
        <v>336</v>
      </c>
      <c r="F895" s="11">
        <v>4</v>
      </c>
      <c r="G895" s="20">
        <v>1</v>
      </c>
      <c r="H895" s="13">
        <v>81588</v>
      </c>
      <c r="I895" s="11" t="s">
        <v>17</v>
      </c>
      <c r="J895" s="13">
        <v>18547576</v>
      </c>
      <c r="K895" s="13" t="s">
        <v>1039</v>
      </c>
      <c r="L895" s="13" t="s">
        <v>1044</v>
      </c>
      <c r="M895" s="17">
        <v>149900</v>
      </c>
      <c r="N895" s="15">
        <v>0.75</v>
      </c>
      <c r="O895" s="16">
        <f t="shared" si="65"/>
        <v>37475</v>
      </c>
      <c r="P895" s="11" t="s">
        <v>20</v>
      </c>
    </row>
    <row r="896" spans="1:16" x14ac:dyDescent="0.25">
      <c r="A896" s="9" t="str">
        <f t="shared" si="69"/>
        <v>2024 ALL D75</v>
      </c>
      <c r="B896" s="10">
        <f t="shared" si="69"/>
        <v>46104</v>
      </c>
      <c r="C896" s="10">
        <v>46113</v>
      </c>
      <c r="D896" s="11">
        <v>3273</v>
      </c>
      <c r="E896" s="11">
        <v>336</v>
      </c>
      <c r="F896" s="11">
        <v>4</v>
      </c>
      <c r="G896" s="20">
        <v>1</v>
      </c>
      <c r="H896" s="13">
        <v>81588</v>
      </c>
      <c r="I896" s="11" t="s">
        <v>17</v>
      </c>
      <c r="J896" s="13">
        <v>18547585</v>
      </c>
      <c r="K896" s="13" t="s">
        <v>1039</v>
      </c>
      <c r="L896" s="13" t="s">
        <v>1045</v>
      </c>
      <c r="M896" s="17">
        <v>149900</v>
      </c>
      <c r="N896" s="15">
        <v>0.75</v>
      </c>
      <c r="O896" s="16">
        <f t="shared" si="65"/>
        <v>37475</v>
      </c>
      <c r="P896" s="11" t="s">
        <v>20</v>
      </c>
    </row>
    <row r="897" spans="1:16" x14ac:dyDescent="0.25">
      <c r="A897" s="9" t="str">
        <f t="shared" si="69"/>
        <v>2024 ALL D75</v>
      </c>
      <c r="B897" s="10">
        <f t="shared" si="69"/>
        <v>46104</v>
      </c>
      <c r="C897" s="10">
        <v>46113</v>
      </c>
      <c r="D897" s="11">
        <v>3273</v>
      </c>
      <c r="E897" s="11">
        <v>336</v>
      </c>
      <c r="F897" s="11">
        <v>4</v>
      </c>
      <c r="G897" s="20">
        <v>1</v>
      </c>
      <c r="H897" s="13">
        <v>81588</v>
      </c>
      <c r="I897" s="11" t="s">
        <v>17</v>
      </c>
      <c r="J897" s="13">
        <v>18547594</v>
      </c>
      <c r="K897" s="13" t="s">
        <v>1039</v>
      </c>
      <c r="L897" s="13" t="s">
        <v>1046</v>
      </c>
      <c r="M897" s="17">
        <v>149900</v>
      </c>
      <c r="N897" s="15">
        <v>0.75</v>
      </c>
      <c r="O897" s="16">
        <f t="shared" si="65"/>
        <v>37475</v>
      </c>
      <c r="P897" s="11" t="s">
        <v>20</v>
      </c>
    </row>
    <row r="898" spans="1:16" x14ac:dyDescent="0.25">
      <c r="A898" s="9" t="str">
        <f t="shared" si="69"/>
        <v>2024 ALL D75</v>
      </c>
      <c r="B898" s="10">
        <f t="shared" si="69"/>
        <v>46104</v>
      </c>
      <c r="C898" s="10">
        <v>46113</v>
      </c>
      <c r="D898" s="11">
        <v>3273</v>
      </c>
      <c r="E898" s="11">
        <v>336</v>
      </c>
      <c r="F898" s="11">
        <v>4</v>
      </c>
      <c r="G898" s="20">
        <v>1</v>
      </c>
      <c r="H898" s="13">
        <v>81588</v>
      </c>
      <c r="I898" s="11" t="s">
        <v>17</v>
      </c>
      <c r="J898" s="13">
        <v>18547601</v>
      </c>
      <c r="K898" s="13" t="s">
        <v>1039</v>
      </c>
      <c r="L898" s="13" t="s">
        <v>1047</v>
      </c>
      <c r="M898" s="17">
        <v>149900</v>
      </c>
      <c r="N898" s="15">
        <v>0.75</v>
      </c>
      <c r="O898" s="16">
        <f t="shared" ref="O898:O961" si="70">M898*(1-N898)</f>
        <v>37475</v>
      </c>
      <c r="P898" s="11" t="s">
        <v>20</v>
      </c>
    </row>
    <row r="899" spans="1:16" x14ac:dyDescent="0.25">
      <c r="A899" s="9" t="str">
        <f t="shared" ref="A899:B914" si="71">A898</f>
        <v>2024 ALL D75</v>
      </c>
      <c r="B899" s="10">
        <f t="shared" si="71"/>
        <v>46104</v>
      </c>
      <c r="C899" s="10">
        <v>46113</v>
      </c>
      <c r="D899" s="11">
        <v>3273</v>
      </c>
      <c r="E899" s="11">
        <v>336</v>
      </c>
      <c r="F899" s="11">
        <v>4</v>
      </c>
      <c r="G899" s="20">
        <v>1</v>
      </c>
      <c r="H899" s="13">
        <v>81588</v>
      </c>
      <c r="I899" s="11" t="s">
        <v>17</v>
      </c>
      <c r="J899" s="13">
        <v>18547610</v>
      </c>
      <c r="K899" s="13" t="s">
        <v>1048</v>
      </c>
      <c r="L899" s="13" t="s">
        <v>1049</v>
      </c>
      <c r="M899" s="17">
        <v>139900</v>
      </c>
      <c r="N899" s="15">
        <v>0.75</v>
      </c>
      <c r="O899" s="16">
        <f t="shared" si="70"/>
        <v>34975</v>
      </c>
      <c r="P899" s="11" t="s">
        <v>20</v>
      </c>
    </row>
    <row r="900" spans="1:16" x14ac:dyDescent="0.25">
      <c r="A900" s="9" t="str">
        <f t="shared" si="71"/>
        <v>2024 ALL D75</v>
      </c>
      <c r="B900" s="10">
        <f t="shared" si="71"/>
        <v>46104</v>
      </c>
      <c r="C900" s="10">
        <v>46113</v>
      </c>
      <c r="D900" s="11">
        <v>3273</v>
      </c>
      <c r="E900" s="11">
        <v>336</v>
      </c>
      <c r="F900" s="11">
        <v>4</v>
      </c>
      <c r="G900" s="20">
        <v>1</v>
      </c>
      <c r="H900" s="13">
        <v>81588</v>
      </c>
      <c r="I900" s="11" t="s">
        <v>17</v>
      </c>
      <c r="J900" s="13">
        <v>18547629</v>
      </c>
      <c r="K900" s="13" t="s">
        <v>1048</v>
      </c>
      <c r="L900" s="13" t="s">
        <v>1050</v>
      </c>
      <c r="M900" s="17">
        <v>139900</v>
      </c>
      <c r="N900" s="15">
        <v>0.75</v>
      </c>
      <c r="O900" s="16">
        <f t="shared" si="70"/>
        <v>34975</v>
      </c>
      <c r="P900" s="11" t="s">
        <v>20</v>
      </c>
    </row>
    <row r="901" spans="1:16" x14ac:dyDescent="0.25">
      <c r="A901" s="9" t="str">
        <f t="shared" si="71"/>
        <v>2024 ALL D75</v>
      </c>
      <c r="B901" s="10">
        <f t="shared" si="71"/>
        <v>46104</v>
      </c>
      <c r="C901" s="10">
        <v>46113</v>
      </c>
      <c r="D901" s="11">
        <v>3273</v>
      </c>
      <c r="E901" s="11">
        <v>336</v>
      </c>
      <c r="F901" s="11">
        <v>4</v>
      </c>
      <c r="G901" s="20">
        <v>1</v>
      </c>
      <c r="H901" s="13">
        <v>81588</v>
      </c>
      <c r="I901" s="11" t="s">
        <v>17</v>
      </c>
      <c r="J901" s="13">
        <v>18547638</v>
      </c>
      <c r="K901" s="13" t="s">
        <v>1048</v>
      </c>
      <c r="L901" s="13" t="s">
        <v>1051</v>
      </c>
      <c r="M901" s="17">
        <v>139900</v>
      </c>
      <c r="N901" s="15">
        <v>0.75</v>
      </c>
      <c r="O901" s="16">
        <f t="shared" si="70"/>
        <v>34975</v>
      </c>
      <c r="P901" s="11" t="s">
        <v>20</v>
      </c>
    </row>
    <row r="902" spans="1:16" x14ac:dyDescent="0.25">
      <c r="A902" s="9" t="str">
        <f t="shared" si="71"/>
        <v>2024 ALL D75</v>
      </c>
      <c r="B902" s="10">
        <f t="shared" si="71"/>
        <v>46104</v>
      </c>
      <c r="C902" s="10">
        <v>46113</v>
      </c>
      <c r="D902" s="11">
        <v>3273</v>
      </c>
      <c r="E902" s="11">
        <v>336</v>
      </c>
      <c r="F902" s="11">
        <v>4</v>
      </c>
      <c r="G902" s="20">
        <v>1</v>
      </c>
      <c r="H902" s="13">
        <v>81588</v>
      </c>
      <c r="I902" s="11" t="s">
        <v>17</v>
      </c>
      <c r="J902" s="13">
        <v>18547656</v>
      </c>
      <c r="K902" s="13" t="s">
        <v>1048</v>
      </c>
      <c r="L902" s="13" t="s">
        <v>1052</v>
      </c>
      <c r="M902" s="17">
        <v>139900</v>
      </c>
      <c r="N902" s="15">
        <v>0.75</v>
      </c>
      <c r="O902" s="16">
        <f t="shared" si="70"/>
        <v>34975</v>
      </c>
      <c r="P902" s="11" t="s">
        <v>20</v>
      </c>
    </row>
    <row r="903" spans="1:16" x14ac:dyDescent="0.25">
      <c r="A903" s="9" t="str">
        <f t="shared" si="71"/>
        <v>2024 ALL D75</v>
      </c>
      <c r="B903" s="10">
        <f t="shared" si="71"/>
        <v>46104</v>
      </c>
      <c r="C903" s="10">
        <v>46113</v>
      </c>
      <c r="D903" s="11">
        <v>3273</v>
      </c>
      <c r="E903" s="11">
        <v>336</v>
      </c>
      <c r="F903" s="11">
        <v>4</v>
      </c>
      <c r="G903" s="20">
        <v>1</v>
      </c>
      <c r="H903" s="13">
        <v>81588</v>
      </c>
      <c r="I903" s="11" t="s">
        <v>17</v>
      </c>
      <c r="J903" s="13">
        <v>18547665</v>
      </c>
      <c r="K903" s="13" t="s">
        <v>1048</v>
      </c>
      <c r="L903" s="13" t="s">
        <v>1053</v>
      </c>
      <c r="M903" s="17">
        <v>139900</v>
      </c>
      <c r="N903" s="15">
        <v>0.75</v>
      </c>
      <c r="O903" s="16">
        <f t="shared" si="70"/>
        <v>34975</v>
      </c>
      <c r="P903" s="11" t="s">
        <v>20</v>
      </c>
    </row>
    <row r="904" spans="1:16" x14ac:dyDescent="0.25">
      <c r="A904" s="9" t="str">
        <f t="shared" si="71"/>
        <v>2024 ALL D75</v>
      </c>
      <c r="B904" s="10">
        <f t="shared" si="71"/>
        <v>46104</v>
      </c>
      <c r="C904" s="10">
        <v>46113</v>
      </c>
      <c r="D904" s="11">
        <v>3273</v>
      </c>
      <c r="E904" s="11">
        <v>336</v>
      </c>
      <c r="F904" s="11">
        <v>4</v>
      </c>
      <c r="G904" s="20">
        <v>1</v>
      </c>
      <c r="H904" s="13">
        <v>81588</v>
      </c>
      <c r="I904" s="11" t="s">
        <v>17</v>
      </c>
      <c r="J904" s="13">
        <v>18547674</v>
      </c>
      <c r="K904" s="13" t="s">
        <v>1048</v>
      </c>
      <c r="L904" s="13" t="s">
        <v>1054</v>
      </c>
      <c r="M904" s="17">
        <v>139900</v>
      </c>
      <c r="N904" s="15">
        <v>0.75</v>
      </c>
      <c r="O904" s="16">
        <f t="shared" si="70"/>
        <v>34975</v>
      </c>
      <c r="P904" s="11" t="s">
        <v>20</v>
      </c>
    </row>
    <row r="905" spans="1:16" x14ac:dyDescent="0.25">
      <c r="A905" s="9" t="str">
        <f t="shared" si="71"/>
        <v>2024 ALL D75</v>
      </c>
      <c r="B905" s="10">
        <f t="shared" si="71"/>
        <v>46104</v>
      </c>
      <c r="C905" s="10">
        <v>46113</v>
      </c>
      <c r="D905" s="11">
        <v>3273</v>
      </c>
      <c r="E905" s="11">
        <v>336</v>
      </c>
      <c r="F905" s="11">
        <v>4</v>
      </c>
      <c r="G905" s="20">
        <v>1</v>
      </c>
      <c r="H905" s="13">
        <v>81588</v>
      </c>
      <c r="I905" s="11" t="s">
        <v>17</v>
      </c>
      <c r="J905" s="13">
        <v>18547683</v>
      </c>
      <c r="K905" s="13" t="s">
        <v>1055</v>
      </c>
      <c r="L905" s="13" t="s">
        <v>1056</v>
      </c>
      <c r="M905" s="17">
        <v>139900</v>
      </c>
      <c r="N905" s="15">
        <v>0.75</v>
      </c>
      <c r="O905" s="16">
        <f t="shared" si="70"/>
        <v>34975</v>
      </c>
      <c r="P905" s="11" t="s">
        <v>20</v>
      </c>
    </row>
    <row r="906" spans="1:16" x14ac:dyDescent="0.25">
      <c r="A906" s="9" t="str">
        <f t="shared" si="71"/>
        <v>2024 ALL D75</v>
      </c>
      <c r="B906" s="10">
        <f t="shared" si="71"/>
        <v>46104</v>
      </c>
      <c r="C906" s="10">
        <v>46113</v>
      </c>
      <c r="D906" s="11">
        <v>3273</v>
      </c>
      <c r="E906" s="11">
        <v>336</v>
      </c>
      <c r="F906" s="11">
        <v>4</v>
      </c>
      <c r="G906" s="20">
        <v>1</v>
      </c>
      <c r="H906" s="13">
        <v>81588</v>
      </c>
      <c r="I906" s="11" t="s">
        <v>17</v>
      </c>
      <c r="J906" s="13">
        <v>18547727</v>
      </c>
      <c r="K906" s="13" t="s">
        <v>1055</v>
      </c>
      <c r="L906" s="13" t="s">
        <v>1057</v>
      </c>
      <c r="M906" s="17">
        <v>139900</v>
      </c>
      <c r="N906" s="15">
        <v>0.75</v>
      </c>
      <c r="O906" s="16">
        <f t="shared" si="70"/>
        <v>34975</v>
      </c>
      <c r="P906" s="11" t="s">
        <v>20</v>
      </c>
    </row>
    <row r="907" spans="1:16" x14ac:dyDescent="0.25">
      <c r="A907" s="9" t="str">
        <f t="shared" si="71"/>
        <v>2024 ALL D75</v>
      </c>
      <c r="B907" s="10">
        <f t="shared" si="71"/>
        <v>46104</v>
      </c>
      <c r="C907" s="10">
        <v>46113</v>
      </c>
      <c r="D907" s="11">
        <v>3273</v>
      </c>
      <c r="E907" s="11">
        <v>336</v>
      </c>
      <c r="F907" s="11">
        <v>4</v>
      </c>
      <c r="G907" s="20">
        <v>1</v>
      </c>
      <c r="H907" s="13">
        <v>81588</v>
      </c>
      <c r="I907" s="11" t="s">
        <v>17</v>
      </c>
      <c r="J907" s="13">
        <v>18547781</v>
      </c>
      <c r="K907" s="13" t="s">
        <v>1055</v>
      </c>
      <c r="L907" s="13" t="s">
        <v>1058</v>
      </c>
      <c r="M907" s="17">
        <v>139900</v>
      </c>
      <c r="N907" s="15">
        <v>0.75</v>
      </c>
      <c r="O907" s="16">
        <f t="shared" si="70"/>
        <v>34975</v>
      </c>
      <c r="P907" s="11" t="s">
        <v>20</v>
      </c>
    </row>
    <row r="908" spans="1:16" x14ac:dyDescent="0.25">
      <c r="A908" s="9" t="str">
        <f t="shared" si="71"/>
        <v>2024 ALL D75</v>
      </c>
      <c r="B908" s="10">
        <f t="shared" si="71"/>
        <v>46104</v>
      </c>
      <c r="C908" s="10">
        <v>46113</v>
      </c>
      <c r="D908" s="11">
        <v>3273</v>
      </c>
      <c r="E908" s="11">
        <v>336</v>
      </c>
      <c r="F908" s="11">
        <v>4</v>
      </c>
      <c r="G908" s="20">
        <v>1</v>
      </c>
      <c r="H908" s="13">
        <v>81588</v>
      </c>
      <c r="I908" s="11" t="s">
        <v>17</v>
      </c>
      <c r="J908" s="13">
        <v>18547816</v>
      </c>
      <c r="K908" s="13" t="s">
        <v>1055</v>
      </c>
      <c r="L908" s="13" t="s">
        <v>1059</v>
      </c>
      <c r="M908" s="17">
        <v>139900</v>
      </c>
      <c r="N908" s="15">
        <v>0.75</v>
      </c>
      <c r="O908" s="16">
        <f t="shared" si="70"/>
        <v>34975</v>
      </c>
      <c r="P908" s="11" t="s">
        <v>20</v>
      </c>
    </row>
    <row r="909" spans="1:16" x14ac:dyDescent="0.25">
      <c r="A909" s="9" t="str">
        <f t="shared" si="71"/>
        <v>2024 ALL D75</v>
      </c>
      <c r="B909" s="10">
        <f t="shared" si="71"/>
        <v>46104</v>
      </c>
      <c r="C909" s="10">
        <v>46113</v>
      </c>
      <c r="D909" s="11">
        <v>3273</v>
      </c>
      <c r="E909" s="11">
        <v>336</v>
      </c>
      <c r="F909" s="11">
        <v>4</v>
      </c>
      <c r="G909" s="20">
        <v>1</v>
      </c>
      <c r="H909" s="13">
        <v>81588</v>
      </c>
      <c r="I909" s="11" t="s">
        <v>17</v>
      </c>
      <c r="J909" s="13">
        <v>18547825</v>
      </c>
      <c r="K909" s="13" t="s">
        <v>1055</v>
      </c>
      <c r="L909" s="13" t="s">
        <v>1060</v>
      </c>
      <c r="M909" s="17">
        <v>139900</v>
      </c>
      <c r="N909" s="15">
        <v>0.75</v>
      </c>
      <c r="O909" s="16">
        <f t="shared" si="70"/>
        <v>34975</v>
      </c>
      <c r="P909" s="11" t="s">
        <v>20</v>
      </c>
    </row>
    <row r="910" spans="1:16" x14ac:dyDescent="0.25">
      <c r="A910" s="9" t="str">
        <f t="shared" si="71"/>
        <v>2024 ALL D75</v>
      </c>
      <c r="B910" s="10">
        <f t="shared" si="71"/>
        <v>46104</v>
      </c>
      <c r="C910" s="10">
        <v>46113</v>
      </c>
      <c r="D910" s="11">
        <v>3273</v>
      </c>
      <c r="E910" s="11">
        <v>336</v>
      </c>
      <c r="F910" s="11">
        <v>4</v>
      </c>
      <c r="G910" s="20">
        <v>1</v>
      </c>
      <c r="H910" s="13">
        <v>81588</v>
      </c>
      <c r="I910" s="11" t="s">
        <v>17</v>
      </c>
      <c r="J910" s="13">
        <v>18547834</v>
      </c>
      <c r="K910" s="13" t="s">
        <v>1055</v>
      </c>
      <c r="L910" s="13" t="s">
        <v>1061</v>
      </c>
      <c r="M910" s="17">
        <v>139900</v>
      </c>
      <c r="N910" s="15">
        <v>0.75</v>
      </c>
      <c r="O910" s="16">
        <f t="shared" si="70"/>
        <v>34975</v>
      </c>
      <c r="P910" s="11" t="s">
        <v>20</v>
      </c>
    </row>
    <row r="911" spans="1:16" x14ac:dyDescent="0.25">
      <c r="A911" s="9" t="str">
        <f t="shared" si="71"/>
        <v>2024 ALL D75</v>
      </c>
      <c r="B911" s="10">
        <f t="shared" si="71"/>
        <v>46104</v>
      </c>
      <c r="C911" s="10">
        <v>46113</v>
      </c>
      <c r="D911" s="11">
        <v>3273</v>
      </c>
      <c r="E911" s="11">
        <v>336</v>
      </c>
      <c r="F911" s="11">
        <v>4</v>
      </c>
      <c r="G911" s="20">
        <v>1</v>
      </c>
      <c r="H911" s="13">
        <v>81588</v>
      </c>
      <c r="I911" s="11" t="s">
        <v>17</v>
      </c>
      <c r="J911" s="13">
        <v>18550142</v>
      </c>
      <c r="K911" s="13" t="s">
        <v>1062</v>
      </c>
      <c r="L911" s="13" t="s">
        <v>1063</v>
      </c>
      <c r="M911" s="17">
        <v>179900</v>
      </c>
      <c r="N911" s="15">
        <v>0.75</v>
      </c>
      <c r="O911" s="16">
        <f t="shared" si="70"/>
        <v>44975</v>
      </c>
      <c r="P911" s="11" t="s">
        <v>20</v>
      </c>
    </row>
    <row r="912" spans="1:16" x14ac:dyDescent="0.25">
      <c r="A912" s="9" t="str">
        <f t="shared" si="71"/>
        <v>2024 ALL D75</v>
      </c>
      <c r="B912" s="10">
        <f t="shared" si="71"/>
        <v>46104</v>
      </c>
      <c r="C912" s="10">
        <v>46113</v>
      </c>
      <c r="D912" s="11">
        <v>3273</v>
      </c>
      <c r="E912" s="11">
        <v>336</v>
      </c>
      <c r="F912" s="11">
        <v>4</v>
      </c>
      <c r="G912" s="20">
        <v>1</v>
      </c>
      <c r="H912" s="13">
        <v>81588</v>
      </c>
      <c r="I912" s="11" t="s">
        <v>17</v>
      </c>
      <c r="J912" s="13">
        <v>18550151</v>
      </c>
      <c r="K912" s="13" t="s">
        <v>1062</v>
      </c>
      <c r="L912" s="13" t="s">
        <v>1064</v>
      </c>
      <c r="M912" s="17">
        <v>179900</v>
      </c>
      <c r="N912" s="15">
        <v>0.75</v>
      </c>
      <c r="O912" s="16">
        <f t="shared" si="70"/>
        <v>44975</v>
      </c>
      <c r="P912" s="11" t="s">
        <v>20</v>
      </c>
    </row>
    <row r="913" spans="1:16" x14ac:dyDescent="0.25">
      <c r="A913" s="9" t="str">
        <f t="shared" si="71"/>
        <v>2024 ALL D75</v>
      </c>
      <c r="B913" s="10">
        <f t="shared" si="71"/>
        <v>46104</v>
      </c>
      <c r="C913" s="10">
        <v>46113</v>
      </c>
      <c r="D913" s="11">
        <v>3273</v>
      </c>
      <c r="E913" s="11">
        <v>336</v>
      </c>
      <c r="F913" s="11">
        <v>4</v>
      </c>
      <c r="G913" s="20">
        <v>1</v>
      </c>
      <c r="H913" s="13">
        <v>81588</v>
      </c>
      <c r="I913" s="11" t="s">
        <v>17</v>
      </c>
      <c r="J913" s="13">
        <v>18550160</v>
      </c>
      <c r="K913" s="13" t="s">
        <v>1062</v>
      </c>
      <c r="L913" s="13" t="s">
        <v>1065</v>
      </c>
      <c r="M913" s="17">
        <v>179900</v>
      </c>
      <c r="N913" s="15">
        <v>0.75</v>
      </c>
      <c r="O913" s="16">
        <f t="shared" si="70"/>
        <v>44975</v>
      </c>
      <c r="P913" s="11" t="s">
        <v>20</v>
      </c>
    </row>
    <row r="914" spans="1:16" x14ac:dyDescent="0.25">
      <c r="A914" s="9" t="str">
        <f t="shared" si="71"/>
        <v>2024 ALL D75</v>
      </c>
      <c r="B914" s="10">
        <f t="shared" si="71"/>
        <v>46104</v>
      </c>
      <c r="C914" s="10">
        <v>46113</v>
      </c>
      <c r="D914" s="11">
        <v>3273</v>
      </c>
      <c r="E914" s="11">
        <v>336</v>
      </c>
      <c r="F914" s="11">
        <v>4</v>
      </c>
      <c r="G914" s="20">
        <v>1</v>
      </c>
      <c r="H914" s="13">
        <v>81588</v>
      </c>
      <c r="I914" s="11" t="s">
        <v>17</v>
      </c>
      <c r="J914" s="13">
        <v>18550179</v>
      </c>
      <c r="K914" s="13" t="s">
        <v>1062</v>
      </c>
      <c r="L914" s="13" t="s">
        <v>1066</v>
      </c>
      <c r="M914" s="17">
        <v>179900</v>
      </c>
      <c r="N914" s="15">
        <v>0.75</v>
      </c>
      <c r="O914" s="16">
        <f t="shared" si="70"/>
        <v>44975</v>
      </c>
      <c r="P914" s="11" t="s">
        <v>20</v>
      </c>
    </row>
    <row r="915" spans="1:16" x14ac:dyDescent="0.25">
      <c r="A915" s="9" t="str">
        <f t="shared" ref="A915:B930" si="72">A914</f>
        <v>2024 ALL D75</v>
      </c>
      <c r="B915" s="10">
        <f t="shared" si="72"/>
        <v>46104</v>
      </c>
      <c r="C915" s="10">
        <v>46113</v>
      </c>
      <c r="D915" s="11">
        <v>3273</v>
      </c>
      <c r="E915" s="11">
        <v>336</v>
      </c>
      <c r="F915" s="11">
        <v>4</v>
      </c>
      <c r="G915" s="20">
        <v>1</v>
      </c>
      <c r="H915" s="13">
        <v>81588</v>
      </c>
      <c r="I915" s="11" t="s">
        <v>17</v>
      </c>
      <c r="J915" s="13">
        <v>18550188</v>
      </c>
      <c r="K915" s="13" t="s">
        <v>1062</v>
      </c>
      <c r="L915" s="13" t="s">
        <v>1067</v>
      </c>
      <c r="M915" s="17">
        <v>179900</v>
      </c>
      <c r="N915" s="15">
        <v>0.75</v>
      </c>
      <c r="O915" s="16">
        <f t="shared" si="70"/>
        <v>44975</v>
      </c>
      <c r="P915" s="11" t="s">
        <v>20</v>
      </c>
    </row>
    <row r="916" spans="1:16" x14ac:dyDescent="0.25">
      <c r="A916" s="9" t="str">
        <f t="shared" si="72"/>
        <v>2024 ALL D75</v>
      </c>
      <c r="B916" s="10">
        <f t="shared" si="72"/>
        <v>46104</v>
      </c>
      <c r="C916" s="10">
        <v>46113</v>
      </c>
      <c r="D916" s="11">
        <v>3273</v>
      </c>
      <c r="E916" s="11">
        <v>336</v>
      </c>
      <c r="F916" s="11">
        <v>4</v>
      </c>
      <c r="G916" s="20">
        <v>1</v>
      </c>
      <c r="H916" s="13">
        <v>81588</v>
      </c>
      <c r="I916" s="11" t="s">
        <v>17</v>
      </c>
      <c r="J916" s="13">
        <v>18550197</v>
      </c>
      <c r="K916" s="13" t="s">
        <v>1062</v>
      </c>
      <c r="L916" s="13" t="s">
        <v>1068</v>
      </c>
      <c r="M916" s="17">
        <v>179900</v>
      </c>
      <c r="N916" s="15">
        <v>0.75</v>
      </c>
      <c r="O916" s="16">
        <f t="shared" si="70"/>
        <v>44975</v>
      </c>
      <c r="P916" s="11" t="s">
        <v>20</v>
      </c>
    </row>
    <row r="917" spans="1:16" x14ac:dyDescent="0.25">
      <c r="A917" s="9" t="str">
        <f t="shared" si="72"/>
        <v>2024 ALL D75</v>
      </c>
      <c r="B917" s="10">
        <f t="shared" si="72"/>
        <v>46104</v>
      </c>
      <c r="C917" s="10">
        <v>46113</v>
      </c>
      <c r="D917" s="11">
        <v>3273</v>
      </c>
      <c r="E917" s="11">
        <v>336</v>
      </c>
      <c r="F917" s="11">
        <v>4</v>
      </c>
      <c r="G917" s="20">
        <v>1</v>
      </c>
      <c r="H917" s="13">
        <v>81588</v>
      </c>
      <c r="I917" s="11" t="s">
        <v>17</v>
      </c>
      <c r="J917" s="13">
        <v>18547272</v>
      </c>
      <c r="K917" s="13" t="s">
        <v>1069</v>
      </c>
      <c r="L917" s="13" t="s">
        <v>1070</v>
      </c>
      <c r="M917" s="17">
        <v>149900</v>
      </c>
      <c r="N917" s="15">
        <v>0.75</v>
      </c>
      <c r="O917" s="16">
        <f t="shared" si="70"/>
        <v>37475</v>
      </c>
      <c r="P917" s="11" t="s">
        <v>20</v>
      </c>
    </row>
    <row r="918" spans="1:16" x14ac:dyDescent="0.25">
      <c r="A918" s="9" t="str">
        <f t="shared" si="72"/>
        <v>2024 ALL D75</v>
      </c>
      <c r="B918" s="10">
        <f t="shared" si="72"/>
        <v>46104</v>
      </c>
      <c r="C918" s="10">
        <v>46113</v>
      </c>
      <c r="D918" s="11">
        <v>3273</v>
      </c>
      <c r="E918" s="11">
        <v>336</v>
      </c>
      <c r="F918" s="11">
        <v>4</v>
      </c>
      <c r="G918" s="20">
        <v>1</v>
      </c>
      <c r="H918" s="13">
        <v>81588</v>
      </c>
      <c r="I918" s="11" t="s">
        <v>17</v>
      </c>
      <c r="J918" s="13">
        <v>18547281</v>
      </c>
      <c r="K918" s="13" t="s">
        <v>1069</v>
      </c>
      <c r="L918" s="13" t="s">
        <v>1071</v>
      </c>
      <c r="M918" s="17">
        <v>149900</v>
      </c>
      <c r="N918" s="15">
        <v>0.75</v>
      </c>
      <c r="O918" s="16">
        <f t="shared" si="70"/>
        <v>37475</v>
      </c>
      <c r="P918" s="11" t="s">
        <v>20</v>
      </c>
    </row>
    <row r="919" spans="1:16" x14ac:dyDescent="0.25">
      <c r="A919" s="9" t="str">
        <f t="shared" si="72"/>
        <v>2024 ALL D75</v>
      </c>
      <c r="B919" s="10">
        <f t="shared" si="72"/>
        <v>46104</v>
      </c>
      <c r="C919" s="10">
        <v>46113</v>
      </c>
      <c r="D919" s="11">
        <v>3273</v>
      </c>
      <c r="E919" s="11">
        <v>336</v>
      </c>
      <c r="F919" s="11">
        <v>4</v>
      </c>
      <c r="G919" s="20">
        <v>1</v>
      </c>
      <c r="H919" s="13">
        <v>81588</v>
      </c>
      <c r="I919" s="11" t="s">
        <v>17</v>
      </c>
      <c r="J919" s="13">
        <v>18547290</v>
      </c>
      <c r="K919" s="13" t="s">
        <v>1069</v>
      </c>
      <c r="L919" s="13" t="s">
        <v>1072</v>
      </c>
      <c r="M919" s="17">
        <v>149900</v>
      </c>
      <c r="N919" s="15">
        <v>0.75</v>
      </c>
      <c r="O919" s="16">
        <f t="shared" si="70"/>
        <v>37475</v>
      </c>
      <c r="P919" s="11" t="s">
        <v>20</v>
      </c>
    </row>
    <row r="920" spans="1:16" x14ac:dyDescent="0.25">
      <c r="A920" s="9" t="str">
        <f t="shared" si="72"/>
        <v>2024 ALL D75</v>
      </c>
      <c r="B920" s="10">
        <f t="shared" si="72"/>
        <v>46104</v>
      </c>
      <c r="C920" s="10">
        <v>46113</v>
      </c>
      <c r="D920" s="11">
        <v>3273</v>
      </c>
      <c r="E920" s="11">
        <v>336</v>
      </c>
      <c r="F920" s="11">
        <v>4</v>
      </c>
      <c r="G920" s="20">
        <v>1</v>
      </c>
      <c r="H920" s="13">
        <v>81588</v>
      </c>
      <c r="I920" s="11" t="s">
        <v>17</v>
      </c>
      <c r="J920" s="13">
        <v>18547307</v>
      </c>
      <c r="K920" s="13" t="s">
        <v>1069</v>
      </c>
      <c r="L920" s="13" t="s">
        <v>1073</v>
      </c>
      <c r="M920" s="17">
        <v>149900</v>
      </c>
      <c r="N920" s="15">
        <v>0.75</v>
      </c>
      <c r="O920" s="16">
        <f t="shared" si="70"/>
        <v>37475</v>
      </c>
      <c r="P920" s="11" t="s">
        <v>20</v>
      </c>
    </row>
    <row r="921" spans="1:16" x14ac:dyDescent="0.25">
      <c r="A921" s="9" t="str">
        <f t="shared" si="72"/>
        <v>2024 ALL D75</v>
      </c>
      <c r="B921" s="10">
        <f t="shared" si="72"/>
        <v>46104</v>
      </c>
      <c r="C921" s="10">
        <v>46113</v>
      </c>
      <c r="D921" s="11">
        <v>3273</v>
      </c>
      <c r="E921" s="11">
        <v>336</v>
      </c>
      <c r="F921" s="11">
        <v>4</v>
      </c>
      <c r="G921" s="20">
        <v>1</v>
      </c>
      <c r="H921" s="13">
        <v>81588</v>
      </c>
      <c r="I921" s="11" t="s">
        <v>17</v>
      </c>
      <c r="J921" s="13">
        <v>18547316</v>
      </c>
      <c r="K921" s="13" t="s">
        <v>1069</v>
      </c>
      <c r="L921" s="13" t="s">
        <v>1074</v>
      </c>
      <c r="M921" s="17">
        <v>149900</v>
      </c>
      <c r="N921" s="15">
        <v>0.75</v>
      </c>
      <c r="O921" s="16">
        <f t="shared" si="70"/>
        <v>37475</v>
      </c>
      <c r="P921" s="11" t="s">
        <v>20</v>
      </c>
    </row>
    <row r="922" spans="1:16" x14ac:dyDescent="0.25">
      <c r="A922" s="9" t="str">
        <f t="shared" si="72"/>
        <v>2024 ALL D75</v>
      </c>
      <c r="B922" s="10">
        <f t="shared" si="72"/>
        <v>46104</v>
      </c>
      <c r="C922" s="10">
        <v>46113</v>
      </c>
      <c r="D922" s="11">
        <v>3273</v>
      </c>
      <c r="E922" s="11">
        <v>336</v>
      </c>
      <c r="F922" s="11">
        <v>4</v>
      </c>
      <c r="G922" s="20">
        <v>1</v>
      </c>
      <c r="H922" s="13">
        <v>81588</v>
      </c>
      <c r="I922" s="11" t="s">
        <v>17</v>
      </c>
      <c r="J922" s="13">
        <v>18547334</v>
      </c>
      <c r="K922" s="13" t="s">
        <v>1069</v>
      </c>
      <c r="L922" s="13" t="s">
        <v>1075</v>
      </c>
      <c r="M922" s="17">
        <v>149900</v>
      </c>
      <c r="N922" s="15">
        <v>0.75</v>
      </c>
      <c r="O922" s="16">
        <f t="shared" si="70"/>
        <v>37475</v>
      </c>
      <c r="P922" s="11" t="s">
        <v>20</v>
      </c>
    </row>
    <row r="923" spans="1:16" x14ac:dyDescent="0.25">
      <c r="A923" s="9" t="str">
        <f t="shared" si="72"/>
        <v>2024 ALL D75</v>
      </c>
      <c r="B923" s="10">
        <f t="shared" si="72"/>
        <v>46104</v>
      </c>
      <c r="C923" s="10">
        <v>46113</v>
      </c>
      <c r="D923" s="11">
        <v>3273</v>
      </c>
      <c r="E923" s="11">
        <v>336</v>
      </c>
      <c r="F923" s="11">
        <v>4</v>
      </c>
      <c r="G923" s="20">
        <v>1</v>
      </c>
      <c r="H923" s="13">
        <v>81588</v>
      </c>
      <c r="I923" s="11" t="s">
        <v>17</v>
      </c>
      <c r="J923" s="13">
        <v>18547343</v>
      </c>
      <c r="K923" s="13" t="s">
        <v>1069</v>
      </c>
      <c r="L923" s="13" t="s">
        <v>1076</v>
      </c>
      <c r="M923" s="17">
        <v>149900</v>
      </c>
      <c r="N923" s="15">
        <v>0.75</v>
      </c>
      <c r="O923" s="16">
        <f t="shared" si="70"/>
        <v>37475</v>
      </c>
      <c r="P923" s="11" t="s">
        <v>20</v>
      </c>
    </row>
    <row r="924" spans="1:16" x14ac:dyDescent="0.25">
      <c r="A924" s="9" t="str">
        <f t="shared" si="72"/>
        <v>2024 ALL D75</v>
      </c>
      <c r="B924" s="10">
        <f t="shared" si="72"/>
        <v>46104</v>
      </c>
      <c r="C924" s="10">
        <v>46113</v>
      </c>
      <c r="D924" s="11">
        <v>3273</v>
      </c>
      <c r="E924" s="11">
        <v>336</v>
      </c>
      <c r="F924" s="11">
        <v>4</v>
      </c>
      <c r="G924" s="20">
        <v>1</v>
      </c>
      <c r="H924" s="13">
        <v>81588</v>
      </c>
      <c r="I924" s="11" t="s">
        <v>17</v>
      </c>
      <c r="J924" s="13">
        <v>18547352</v>
      </c>
      <c r="K924" s="13" t="s">
        <v>1069</v>
      </c>
      <c r="L924" s="13" t="s">
        <v>1077</v>
      </c>
      <c r="M924" s="17">
        <v>149900</v>
      </c>
      <c r="N924" s="15">
        <v>0.75</v>
      </c>
      <c r="O924" s="16">
        <f t="shared" si="70"/>
        <v>37475</v>
      </c>
      <c r="P924" s="11" t="s">
        <v>20</v>
      </c>
    </row>
    <row r="925" spans="1:16" x14ac:dyDescent="0.25">
      <c r="A925" s="9" t="str">
        <f t="shared" si="72"/>
        <v>2024 ALL D75</v>
      </c>
      <c r="B925" s="10">
        <f t="shared" si="72"/>
        <v>46104</v>
      </c>
      <c r="C925" s="10">
        <v>46113</v>
      </c>
      <c r="D925" s="11">
        <v>3273</v>
      </c>
      <c r="E925" s="11">
        <v>336</v>
      </c>
      <c r="F925" s="11">
        <v>4</v>
      </c>
      <c r="G925" s="20">
        <v>1</v>
      </c>
      <c r="H925" s="13">
        <v>81588</v>
      </c>
      <c r="I925" s="11" t="s">
        <v>17</v>
      </c>
      <c r="J925" s="13">
        <v>18547370</v>
      </c>
      <c r="K925" s="13" t="s">
        <v>1078</v>
      </c>
      <c r="L925" s="13" t="s">
        <v>1079</v>
      </c>
      <c r="M925" s="17">
        <v>149900</v>
      </c>
      <c r="N925" s="15">
        <v>0.75</v>
      </c>
      <c r="O925" s="16">
        <f t="shared" si="70"/>
        <v>37475</v>
      </c>
      <c r="P925" s="11" t="s">
        <v>20</v>
      </c>
    </row>
    <row r="926" spans="1:16" x14ac:dyDescent="0.25">
      <c r="A926" s="9" t="str">
        <f t="shared" si="72"/>
        <v>2024 ALL D75</v>
      </c>
      <c r="B926" s="10">
        <f t="shared" si="72"/>
        <v>46104</v>
      </c>
      <c r="C926" s="10">
        <v>46113</v>
      </c>
      <c r="D926" s="11">
        <v>3273</v>
      </c>
      <c r="E926" s="11">
        <v>336</v>
      </c>
      <c r="F926" s="11">
        <v>4</v>
      </c>
      <c r="G926" s="20">
        <v>1</v>
      </c>
      <c r="H926" s="13">
        <v>81588</v>
      </c>
      <c r="I926" s="11" t="s">
        <v>17</v>
      </c>
      <c r="J926" s="13">
        <v>18547389</v>
      </c>
      <c r="K926" s="13" t="s">
        <v>1078</v>
      </c>
      <c r="L926" s="13" t="s">
        <v>1080</v>
      </c>
      <c r="M926" s="17">
        <v>149900</v>
      </c>
      <c r="N926" s="15">
        <v>0.75</v>
      </c>
      <c r="O926" s="16">
        <f t="shared" si="70"/>
        <v>37475</v>
      </c>
      <c r="P926" s="11" t="s">
        <v>20</v>
      </c>
    </row>
    <row r="927" spans="1:16" x14ac:dyDescent="0.25">
      <c r="A927" s="9" t="str">
        <f t="shared" si="72"/>
        <v>2024 ALL D75</v>
      </c>
      <c r="B927" s="10">
        <f t="shared" si="72"/>
        <v>46104</v>
      </c>
      <c r="C927" s="10">
        <v>46113</v>
      </c>
      <c r="D927" s="11">
        <v>3273</v>
      </c>
      <c r="E927" s="11">
        <v>336</v>
      </c>
      <c r="F927" s="11">
        <v>4</v>
      </c>
      <c r="G927" s="20">
        <v>1</v>
      </c>
      <c r="H927" s="13">
        <v>81588</v>
      </c>
      <c r="I927" s="11" t="s">
        <v>17</v>
      </c>
      <c r="J927" s="13">
        <v>18547398</v>
      </c>
      <c r="K927" s="13" t="s">
        <v>1078</v>
      </c>
      <c r="L927" s="13" t="s">
        <v>1081</v>
      </c>
      <c r="M927" s="17">
        <v>149900</v>
      </c>
      <c r="N927" s="15">
        <v>0.75</v>
      </c>
      <c r="O927" s="16">
        <f t="shared" si="70"/>
        <v>37475</v>
      </c>
      <c r="P927" s="11" t="s">
        <v>20</v>
      </c>
    </row>
    <row r="928" spans="1:16" x14ac:dyDescent="0.25">
      <c r="A928" s="9" t="str">
        <f t="shared" si="72"/>
        <v>2024 ALL D75</v>
      </c>
      <c r="B928" s="10">
        <f t="shared" si="72"/>
        <v>46104</v>
      </c>
      <c r="C928" s="10">
        <v>46113</v>
      </c>
      <c r="D928" s="11">
        <v>3273</v>
      </c>
      <c r="E928" s="11">
        <v>336</v>
      </c>
      <c r="F928" s="11">
        <v>4</v>
      </c>
      <c r="G928" s="20">
        <v>1</v>
      </c>
      <c r="H928" s="13">
        <v>81588</v>
      </c>
      <c r="I928" s="11" t="s">
        <v>17</v>
      </c>
      <c r="J928" s="13">
        <v>18547405</v>
      </c>
      <c r="K928" s="13" t="s">
        <v>1078</v>
      </c>
      <c r="L928" s="13" t="s">
        <v>1082</v>
      </c>
      <c r="M928" s="17">
        <v>149900</v>
      </c>
      <c r="N928" s="15">
        <v>0.75</v>
      </c>
      <c r="O928" s="16">
        <f t="shared" si="70"/>
        <v>37475</v>
      </c>
      <c r="P928" s="11" t="s">
        <v>20</v>
      </c>
    </row>
    <row r="929" spans="1:16" x14ac:dyDescent="0.25">
      <c r="A929" s="9" t="str">
        <f t="shared" si="72"/>
        <v>2024 ALL D75</v>
      </c>
      <c r="B929" s="10">
        <f t="shared" si="72"/>
        <v>46104</v>
      </c>
      <c r="C929" s="10">
        <v>46113</v>
      </c>
      <c r="D929" s="11">
        <v>3273</v>
      </c>
      <c r="E929" s="11">
        <v>336</v>
      </c>
      <c r="F929" s="11">
        <v>4</v>
      </c>
      <c r="G929" s="20">
        <v>1</v>
      </c>
      <c r="H929" s="13">
        <v>81588</v>
      </c>
      <c r="I929" s="11" t="s">
        <v>17</v>
      </c>
      <c r="J929" s="13">
        <v>18547414</v>
      </c>
      <c r="K929" s="13" t="s">
        <v>1078</v>
      </c>
      <c r="L929" s="13" t="s">
        <v>1083</v>
      </c>
      <c r="M929" s="17">
        <v>149900</v>
      </c>
      <c r="N929" s="15">
        <v>0.75</v>
      </c>
      <c r="O929" s="16">
        <f t="shared" si="70"/>
        <v>37475</v>
      </c>
      <c r="P929" s="11" t="s">
        <v>20</v>
      </c>
    </row>
    <row r="930" spans="1:16" x14ac:dyDescent="0.25">
      <c r="A930" s="9" t="str">
        <f t="shared" si="72"/>
        <v>2024 ALL D75</v>
      </c>
      <c r="B930" s="10">
        <f t="shared" si="72"/>
        <v>46104</v>
      </c>
      <c r="C930" s="10">
        <v>46113</v>
      </c>
      <c r="D930" s="11">
        <v>3273</v>
      </c>
      <c r="E930" s="11">
        <v>336</v>
      </c>
      <c r="F930" s="11">
        <v>4</v>
      </c>
      <c r="G930" s="20">
        <v>1</v>
      </c>
      <c r="H930" s="13">
        <v>81588</v>
      </c>
      <c r="I930" s="11" t="s">
        <v>17</v>
      </c>
      <c r="J930" s="13">
        <v>18547423</v>
      </c>
      <c r="K930" s="13" t="s">
        <v>1078</v>
      </c>
      <c r="L930" s="13" t="s">
        <v>1084</v>
      </c>
      <c r="M930" s="17">
        <v>149900</v>
      </c>
      <c r="N930" s="15">
        <v>0.75</v>
      </c>
      <c r="O930" s="16">
        <f t="shared" si="70"/>
        <v>37475</v>
      </c>
      <c r="P930" s="11" t="s">
        <v>20</v>
      </c>
    </row>
    <row r="931" spans="1:16" x14ac:dyDescent="0.25">
      <c r="A931" s="9" t="str">
        <f t="shared" ref="A931:B946" si="73">A930</f>
        <v>2024 ALL D75</v>
      </c>
      <c r="B931" s="10">
        <f t="shared" si="73"/>
        <v>46104</v>
      </c>
      <c r="C931" s="10">
        <v>46113</v>
      </c>
      <c r="D931" s="11">
        <v>3273</v>
      </c>
      <c r="E931" s="11">
        <v>336</v>
      </c>
      <c r="F931" s="11">
        <v>4</v>
      </c>
      <c r="G931" s="20">
        <v>1</v>
      </c>
      <c r="H931" s="13">
        <v>81588</v>
      </c>
      <c r="I931" s="11" t="s">
        <v>17</v>
      </c>
      <c r="J931" s="13">
        <v>18547432</v>
      </c>
      <c r="K931" s="13" t="s">
        <v>1085</v>
      </c>
      <c r="L931" s="13" t="s">
        <v>1086</v>
      </c>
      <c r="M931" s="17">
        <v>139900</v>
      </c>
      <c r="N931" s="15">
        <v>0.75</v>
      </c>
      <c r="O931" s="16">
        <f t="shared" si="70"/>
        <v>34975</v>
      </c>
      <c r="P931" s="11" t="s">
        <v>20</v>
      </c>
    </row>
    <row r="932" spans="1:16" x14ac:dyDescent="0.25">
      <c r="A932" s="9" t="str">
        <f t="shared" si="73"/>
        <v>2024 ALL D75</v>
      </c>
      <c r="B932" s="10">
        <f t="shared" si="73"/>
        <v>46104</v>
      </c>
      <c r="C932" s="10">
        <v>46113</v>
      </c>
      <c r="D932" s="11">
        <v>3273</v>
      </c>
      <c r="E932" s="11">
        <v>336</v>
      </c>
      <c r="F932" s="11">
        <v>4</v>
      </c>
      <c r="G932" s="20">
        <v>1</v>
      </c>
      <c r="H932" s="13">
        <v>81588</v>
      </c>
      <c r="I932" s="11" t="s">
        <v>17</v>
      </c>
      <c r="J932" s="13">
        <v>18547441</v>
      </c>
      <c r="K932" s="13" t="s">
        <v>1085</v>
      </c>
      <c r="L932" s="13" t="s">
        <v>1087</v>
      </c>
      <c r="M932" s="17">
        <v>139900</v>
      </c>
      <c r="N932" s="15">
        <v>0.75</v>
      </c>
      <c r="O932" s="16">
        <f t="shared" si="70"/>
        <v>34975</v>
      </c>
      <c r="P932" s="11" t="s">
        <v>20</v>
      </c>
    </row>
    <row r="933" spans="1:16" x14ac:dyDescent="0.25">
      <c r="A933" s="9" t="str">
        <f t="shared" si="73"/>
        <v>2024 ALL D75</v>
      </c>
      <c r="B933" s="10">
        <f t="shared" si="73"/>
        <v>46104</v>
      </c>
      <c r="C933" s="10">
        <v>46113</v>
      </c>
      <c r="D933" s="11">
        <v>3273</v>
      </c>
      <c r="E933" s="11">
        <v>336</v>
      </c>
      <c r="F933" s="11">
        <v>4</v>
      </c>
      <c r="G933" s="20">
        <v>1</v>
      </c>
      <c r="H933" s="13">
        <v>81588</v>
      </c>
      <c r="I933" s="11" t="s">
        <v>17</v>
      </c>
      <c r="J933" s="13">
        <v>18547469</v>
      </c>
      <c r="K933" s="13" t="s">
        <v>1085</v>
      </c>
      <c r="L933" s="13" t="s">
        <v>1088</v>
      </c>
      <c r="M933" s="17">
        <v>139900</v>
      </c>
      <c r="N933" s="15">
        <v>0.75</v>
      </c>
      <c r="O933" s="16">
        <f t="shared" si="70"/>
        <v>34975</v>
      </c>
      <c r="P933" s="11" t="s">
        <v>20</v>
      </c>
    </row>
    <row r="934" spans="1:16" x14ac:dyDescent="0.25">
      <c r="A934" s="9" t="str">
        <f t="shared" si="73"/>
        <v>2024 ALL D75</v>
      </c>
      <c r="B934" s="10">
        <f t="shared" si="73"/>
        <v>46104</v>
      </c>
      <c r="C934" s="10">
        <v>46113</v>
      </c>
      <c r="D934" s="11">
        <v>3273</v>
      </c>
      <c r="E934" s="11">
        <v>336</v>
      </c>
      <c r="F934" s="11">
        <v>4</v>
      </c>
      <c r="G934" s="20">
        <v>1</v>
      </c>
      <c r="H934" s="13">
        <v>81588</v>
      </c>
      <c r="I934" s="11" t="s">
        <v>17</v>
      </c>
      <c r="J934" s="13">
        <v>18547478</v>
      </c>
      <c r="K934" s="13" t="s">
        <v>1085</v>
      </c>
      <c r="L934" s="13" t="s">
        <v>1089</v>
      </c>
      <c r="M934" s="17">
        <v>139900</v>
      </c>
      <c r="N934" s="15">
        <v>0.75</v>
      </c>
      <c r="O934" s="16">
        <f t="shared" si="70"/>
        <v>34975</v>
      </c>
      <c r="P934" s="11" t="s">
        <v>20</v>
      </c>
    </row>
    <row r="935" spans="1:16" x14ac:dyDescent="0.25">
      <c r="A935" s="9" t="str">
        <f t="shared" si="73"/>
        <v>2024 ALL D75</v>
      </c>
      <c r="B935" s="10">
        <f t="shared" si="73"/>
        <v>46104</v>
      </c>
      <c r="C935" s="10">
        <v>46113</v>
      </c>
      <c r="D935" s="11">
        <v>3273</v>
      </c>
      <c r="E935" s="11">
        <v>336</v>
      </c>
      <c r="F935" s="11">
        <v>4</v>
      </c>
      <c r="G935" s="20">
        <v>1</v>
      </c>
      <c r="H935" s="13">
        <v>81588</v>
      </c>
      <c r="I935" s="11" t="s">
        <v>17</v>
      </c>
      <c r="J935" s="13">
        <v>18547487</v>
      </c>
      <c r="K935" s="13" t="s">
        <v>1085</v>
      </c>
      <c r="L935" s="13" t="s">
        <v>1090</v>
      </c>
      <c r="M935" s="17">
        <v>139900</v>
      </c>
      <c r="N935" s="15">
        <v>0.75</v>
      </c>
      <c r="O935" s="16">
        <f t="shared" si="70"/>
        <v>34975</v>
      </c>
      <c r="P935" s="11" t="s">
        <v>20</v>
      </c>
    </row>
    <row r="936" spans="1:16" x14ac:dyDescent="0.25">
      <c r="A936" s="9" t="str">
        <f t="shared" si="73"/>
        <v>2024 ALL D75</v>
      </c>
      <c r="B936" s="10">
        <f t="shared" si="73"/>
        <v>46104</v>
      </c>
      <c r="C936" s="10">
        <v>46113</v>
      </c>
      <c r="D936" s="11">
        <v>3273</v>
      </c>
      <c r="E936" s="11">
        <v>336</v>
      </c>
      <c r="F936" s="11">
        <v>4</v>
      </c>
      <c r="G936" s="20">
        <v>1</v>
      </c>
      <c r="H936" s="13">
        <v>81588</v>
      </c>
      <c r="I936" s="11" t="s">
        <v>17</v>
      </c>
      <c r="J936" s="13">
        <v>18547496</v>
      </c>
      <c r="K936" s="13" t="s">
        <v>1085</v>
      </c>
      <c r="L936" s="13" t="s">
        <v>1091</v>
      </c>
      <c r="M936" s="17">
        <v>139900</v>
      </c>
      <c r="N936" s="15">
        <v>0.75</v>
      </c>
      <c r="O936" s="16">
        <f t="shared" si="70"/>
        <v>34975</v>
      </c>
      <c r="P936" s="11" t="s">
        <v>20</v>
      </c>
    </row>
    <row r="937" spans="1:16" x14ac:dyDescent="0.25">
      <c r="A937" s="9" t="str">
        <f t="shared" si="73"/>
        <v>2024 ALL D75</v>
      </c>
      <c r="B937" s="10">
        <f t="shared" si="73"/>
        <v>46104</v>
      </c>
      <c r="C937" s="10">
        <v>46113</v>
      </c>
      <c r="D937" s="11">
        <v>3273</v>
      </c>
      <c r="E937" s="11">
        <v>336</v>
      </c>
      <c r="F937" s="11">
        <v>4</v>
      </c>
      <c r="G937" s="20">
        <v>1</v>
      </c>
      <c r="H937" s="13">
        <v>81588</v>
      </c>
      <c r="I937" s="11" t="s">
        <v>17</v>
      </c>
      <c r="J937" s="13">
        <v>18547503</v>
      </c>
      <c r="K937" s="13" t="s">
        <v>1085</v>
      </c>
      <c r="L937" s="13" t="s">
        <v>1092</v>
      </c>
      <c r="M937" s="17">
        <v>139900</v>
      </c>
      <c r="N937" s="15">
        <v>0.75</v>
      </c>
      <c r="O937" s="16">
        <f t="shared" si="70"/>
        <v>34975</v>
      </c>
      <c r="P937" s="11" t="s">
        <v>20</v>
      </c>
    </row>
    <row r="938" spans="1:16" x14ac:dyDescent="0.25">
      <c r="A938" s="9" t="str">
        <f t="shared" si="73"/>
        <v>2024 ALL D75</v>
      </c>
      <c r="B938" s="10">
        <f t="shared" si="73"/>
        <v>46104</v>
      </c>
      <c r="C938" s="10">
        <v>46113</v>
      </c>
      <c r="D938" s="11">
        <v>3273</v>
      </c>
      <c r="E938" s="11">
        <v>336</v>
      </c>
      <c r="F938" s="11">
        <v>4</v>
      </c>
      <c r="G938" s="20">
        <v>1</v>
      </c>
      <c r="H938" s="13">
        <v>81588</v>
      </c>
      <c r="I938" s="11" t="s">
        <v>17</v>
      </c>
      <c r="J938" s="13">
        <v>18547512</v>
      </c>
      <c r="K938" s="13" t="s">
        <v>1085</v>
      </c>
      <c r="L938" s="13" t="s">
        <v>1093</v>
      </c>
      <c r="M938" s="17">
        <v>139900</v>
      </c>
      <c r="N938" s="15">
        <v>0.75</v>
      </c>
      <c r="O938" s="16">
        <f t="shared" si="70"/>
        <v>34975</v>
      </c>
      <c r="P938" s="11" t="s">
        <v>20</v>
      </c>
    </row>
    <row r="939" spans="1:16" x14ac:dyDescent="0.25">
      <c r="A939" s="9" t="str">
        <f t="shared" si="73"/>
        <v>2024 ALL D75</v>
      </c>
      <c r="B939" s="10">
        <f t="shared" si="73"/>
        <v>46104</v>
      </c>
      <c r="C939" s="10">
        <v>46113</v>
      </c>
      <c r="D939" s="11">
        <v>3273</v>
      </c>
      <c r="E939" s="11">
        <v>336</v>
      </c>
      <c r="F939" s="11">
        <v>4</v>
      </c>
      <c r="G939" s="20">
        <v>1</v>
      </c>
      <c r="H939" s="13">
        <v>81588</v>
      </c>
      <c r="I939" s="11" t="s">
        <v>17</v>
      </c>
      <c r="J939" s="13">
        <v>18547843</v>
      </c>
      <c r="K939" s="13" t="s">
        <v>1094</v>
      </c>
      <c r="L939" s="13" t="s">
        <v>1095</v>
      </c>
      <c r="M939" s="17">
        <v>139900</v>
      </c>
      <c r="N939" s="15">
        <v>0.75</v>
      </c>
      <c r="O939" s="16">
        <f t="shared" si="70"/>
        <v>34975</v>
      </c>
      <c r="P939" s="11" t="s">
        <v>20</v>
      </c>
    </row>
    <row r="940" spans="1:16" x14ac:dyDescent="0.25">
      <c r="A940" s="9" t="str">
        <f t="shared" si="73"/>
        <v>2024 ALL D75</v>
      </c>
      <c r="B940" s="10">
        <f t="shared" si="73"/>
        <v>46104</v>
      </c>
      <c r="C940" s="10">
        <v>46113</v>
      </c>
      <c r="D940" s="11">
        <v>3273</v>
      </c>
      <c r="E940" s="11">
        <v>336</v>
      </c>
      <c r="F940" s="11">
        <v>4</v>
      </c>
      <c r="G940" s="20">
        <v>1</v>
      </c>
      <c r="H940" s="13">
        <v>81588</v>
      </c>
      <c r="I940" s="11" t="s">
        <v>17</v>
      </c>
      <c r="J940" s="13">
        <v>18547852</v>
      </c>
      <c r="K940" s="13" t="s">
        <v>1094</v>
      </c>
      <c r="L940" s="13" t="s">
        <v>1096</v>
      </c>
      <c r="M940" s="17">
        <v>139900</v>
      </c>
      <c r="N940" s="15">
        <v>0.75</v>
      </c>
      <c r="O940" s="16">
        <f t="shared" si="70"/>
        <v>34975</v>
      </c>
      <c r="P940" s="11" t="s">
        <v>20</v>
      </c>
    </row>
    <row r="941" spans="1:16" x14ac:dyDescent="0.25">
      <c r="A941" s="9" t="str">
        <f t="shared" si="73"/>
        <v>2024 ALL D75</v>
      </c>
      <c r="B941" s="10">
        <f t="shared" si="73"/>
        <v>46104</v>
      </c>
      <c r="C941" s="10">
        <v>46113</v>
      </c>
      <c r="D941" s="11">
        <v>3273</v>
      </c>
      <c r="E941" s="11">
        <v>336</v>
      </c>
      <c r="F941" s="11">
        <v>4</v>
      </c>
      <c r="G941" s="20">
        <v>1</v>
      </c>
      <c r="H941" s="13">
        <v>81588</v>
      </c>
      <c r="I941" s="11" t="s">
        <v>17</v>
      </c>
      <c r="J941" s="13">
        <v>18547889</v>
      </c>
      <c r="K941" s="13" t="s">
        <v>1094</v>
      </c>
      <c r="L941" s="13" t="s">
        <v>1097</v>
      </c>
      <c r="M941" s="17">
        <v>139900</v>
      </c>
      <c r="N941" s="15">
        <v>0.75</v>
      </c>
      <c r="O941" s="16">
        <f t="shared" si="70"/>
        <v>34975</v>
      </c>
      <c r="P941" s="11" t="s">
        <v>20</v>
      </c>
    </row>
    <row r="942" spans="1:16" x14ac:dyDescent="0.25">
      <c r="A942" s="9" t="str">
        <f t="shared" si="73"/>
        <v>2024 ALL D75</v>
      </c>
      <c r="B942" s="10">
        <f t="shared" si="73"/>
        <v>46104</v>
      </c>
      <c r="C942" s="10">
        <v>46113</v>
      </c>
      <c r="D942" s="11">
        <v>3273</v>
      </c>
      <c r="E942" s="11">
        <v>336</v>
      </c>
      <c r="F942" s="11">
        <v>4</v>
      </c>
      <c r="G942" s="20">
        <v>1</v>
      </c>
      <c r="H942" s="13">
        <v>81588</v>
      </c>
      <c r="I942" s="11" t="s">
        <v>17</v>
      </c>
      <c r="J942" s="13">
        <v>18547898</v>
      </c>
      <c r="K942" s="13" t="s">
        <v>1094</v>
      </c>
      <c r="L942" s="13" t="s">
        <v>1098</v>
      </c>
      <c r="M942" s="17">
        <v>139900</v>
      </c>
      <c r="N942" s="15">
        <v>0.75</v>
      </c>
      <c r="O942" s="16">
        <f t="shared" si="70"/>
        <v>34975</v>
      </c>
      <c r="P942" s="11" t="s">
        <v>20</v>
      </c>
    </row>
    <row r="943" spans="1:16" x14ac:dyDescent="0.25">
      <c r="A943" s="9" t="str">
        <f t="shared" si="73"/>
        <v>2024 ALL D75</v>
      </c>
      <c r="B943" s="10">
        <f t="shared" si="73"/>
        <v>46104</v>
      </c>
      <c r="C943" s="10">
        <v>46113</v>
      </c>
      <c r="D943" s="11">
        <v>3273</v>
      </c>
      <c r="E943" s="11">
        <v>336</v>
      </c>
      <c r="F943" s="11">
        <v>4</v>
      </c>
      <c r="G943" s="20">
        <v>1</v>
      </c>
      <c r="H943" s="13">
        <v>81588</v>
      </c>
      <c r="I943" s="11" t="s">
        <v>17</v>
      </c>
      <c r="J943" s="13">
        <v>18547905</v>
      </c>
      <c r="K943" s="13" t="s">
        <v>1094</v>
      </c>
      <c r="L943" s="13" t="s">
        <v>1099</v>
      </c>
      <c r="M943" s="17">
        <v>139900</v>
      </c>
      <c r="N943" s="15">
        <v>0.75</v>
      </c>
      <c r="O943" s="16">
        <f t="shared" si="70"/>
        <v>34975</v>
      </c>
      <c r="P943" s="11" t="s">
        <v>20</v>
      </c>
    </row>
    <row r="944" spans="1:16" x14ac:dyDescent="0.25">
      <c r="A944" s="9" t="str">
        <f t="shared" si="73"/>
        <v>2024 ALL D75</v>
      </c>
      <c r="B944" s="10">
        <f t="shared" si="73"/>
        <v>46104</v>
      </c>
      <c r="C944" s="10">
        <v>46113</v>
      </c>
      <c r="D944" s="11">
        <v>3273</v>
      </c>
      <c r="E944" s="11">
        <v>336</v>
      </c>
      <c r="F944" s="11">
        <v>4</v>
      </c>
      <c r="G944" s="20">
        <v>1</v>
      </c>
      <c r="H944" s="13">
        <v>81588</v>
      </c>
      <c r="I944" s="11" t="s">
        <v>17</v>
      </c>
      <c r="J944" s="13">
        <v>18547914</v>
      </c>
      <c r="K944" s="13" t="s">
        <v>1094</v>
      </c>
      <c r="L944" s="13" t="s">
        <v>1100</v>
      </c>
      <c r="M944" s="17">
        <v>139900</v>
      </c>
      <c r="N944" s="15">
        <v>0.75</v>
      </c>
      <c r="O944" s="16">
        <f t="shared" si="70"/>
        <v>34975</v>
      </c>
      <c r="P944" s="11" t="s">
        <v>20</v>
      </c>
    </row>
    <row r="945" spans="1:16" x14ac:dyDescent="0.25">
      <c r="A945" s="9" t="str">
        <f t="shared" si="73"/>
        <v>2024 ALL D75</v>
      </c>
      <c r="B945" s="10">
        <f t="shared" si="73"/>
        <v>46104</v>
      </c>
      <c r="C945" s="10">
        <v>46113</v>
      </c>
      <c r="D945" s="11">
        <v>3273</v>
      </c>
      <c r="E945" s="11">
        <v>336</v>
      </c>
      <c r="F945" s="11">
        <v>4</v>
      </c>
      <c r="G945" s="20">
        <v>1</v>
      </c>
      <c r="H945" s="13">
        <v>81588</v>
      </c>
      <c r="I945" s="11" t="s">
        <v>17</v>
      </c>
      <c r="J945" s="13">
        <v>18548520</v>
      </c>
      <c r="K945" s="13" t="s">
        <v>1101</v>
      </c>
      <c r="L945" s="13" t="s">
        <v>1102</v>
      </c>
      <c r="M945" s="17">
        <v>139900</v>
      </c>
      <c r="N945" s="15">
        <v>0.75</v>
      </c>
      <c r="O945" s="16">
        <f t="shared" si="70"/>
        <v>34975</v>
      </c>
      <c r="P945" s="11" t="s">
        <v>20</v>
      </c>
    </row>
    <row r="946" spans="1:16" x14ac:dyDescent="0.25">
      <c r="A946" s="9" t="str">
        <f t="shared" si="73"/>
        <v>2024 ALL D75</v>
      </c>
      <c r="B946" s="10">
        <f t="shared" si="73"/>
        <v>46104</v>
      </c>
      <c r="C946" s="10">
        <v>46113</v>
      </c>
      <c r="D946" s="11">
        <v>3273</v>
      </c>
      <c r="E946" s="11">
        <v>336</v>
      </c>
      <c r="F946" s="11">
        <v>4</v>
      </c>
      <c r="G946" s="20">
        <v>1</v>
      </c>
      <c r="H946" s="13">
        <v>81588</v>
      </c>
      <c r="I946" s="11" t="s">
        <v>17</v>
      </c>
      <c r="J946" s="13">
        <v>18548539</v>
      </c>
      <c r="K946" s="13" t="s">
        <v>1101</v>
      </c>
      <c r="L946" s="13" t="s">
        <v>1103</v>
      </c>
      <c r="M946" s="17">
        <v>139900</v>
      </c>
      <c r="N946" s="15">
        <v>0.75</v>
      </c>
      <c r="O946" s="16">
        <f t="shared" si="70"/>
        <v>34975</v>
      </c>
      <c r="P946" s="11" t="s">
        <v>20</v>
      </c>
    </row>
    <row r="947" spans="1:16" x14ac:dyDescent="0.25">
      <c r="A947" s="9" t="str">
        <f t="shared" ref="A947:B962" si="74">A946</f>
        <v>2024 ALL D75</v>
      </c>
      <c r="B947" s="10">
        <f t="shared" si="74"/>
        <v>46104</v>
      </c>
      <c r="C947" s="10">
        <v>46113</v>
      </c>
      <c r="D947" s="11">
        <v>3273</v>
      </c>
      <c r="E947" s="11">
        <v>336</v>
      </c>
      <c r="F947" s="11">
        <v>4</v>
      </c>
      <c r="G947" s="20">
        <v>1</v>
      </c>
      <c r="H947" s="13">
        <v>81588</v>
      </c>
      <c r="I947" s="11" t="s">
        <v>17</v>
      </c>
      <c r="J947" s="13">
        <v>18548548</v>
      </c>
      <c r="K947" s="13" t="s">
        <v>1101</v>
      </c>
      <c r="L947" s="13" t="s">
        <v>1104</v>
      </c>
      <c r="M947" s="17">
        <v>139900</v>
      </c>
      <c r="N947" s="15">
        <v>0.75</v>
      </c>
      <c r="O947" s="16">
        <f t="shared" si="70"/>
        <v>34975</v>
      </c>
      <c r="P947" s="11" t="s">
        <v>20</v>
      </c>
    </row>
    <row r="948" spans="1:16" x14ac:dyDescent="0.25">
      <c r="A948" s="9" t="str">
        <f t="shared" si="74"/>
        <v>2024 ALL D75</v>
      </c>
      <c r="B948" s="10">
        <f t="shared" si="74"/>
        <v>46104</v>
      </c>
      <c r="C948" s="10">
        <v>46113</v>
      </c>
      <c r="D948" s="11">
        <v>3273</v>
      </c>
      <c r="E948" s="11">
        <v>336</v>
      </c>
      <c r="F948" s="11">
        <v>4</v>
      </c>
      <c r="G948" s="20">
        <v>1</v>
      </c>
      <c r="H948" s="13">
        <v>81588</v>
      </c>
      <c r="I948" s="11" t="s">
        <v>17</v>
      </c>
      <c r="J948" s="13">
        <v>18548566</v>
      </c>
      <c r="K948" s="13" t="s">
        <v>1101</v>
      </c>
      <c r="L948" s="13" t="s">
        <v>1105</v>
      </c>
      <c r="M948" s="17">
        <v>139900</v>
      </c>
      <c r="N948" s="15">
        <v>0.75</v>
      </c>
      <c r="O948" s="16">
        <f t="shared" si="70"/>
        <v>34975</v>
      </c>
      <c r="P948" s="11" t="s">
        <v>20</v>
      </c>
    </row>
    <row r="949" spans="1:16" x14ac:dyDescent="0.25">
      <c r="A949" s="9" t="str">
        <f t="shared" si="74"/>
        <v>2024 ALL D75</v>
      </c>
      <c r="B949" s="10">
        <f t="shared" si="74"/>
        <v>46104</v>
      </c>
      <c r="C949" s="10">
        <v>46113</v>
      </c>
      <c r="D949" s="11">
        <v>3273</v>
      </c>
      <c r="E949" s="11">
        <v>336</v>
      </c>
      <c r="F949" s="11">
        <v>4</v>
      </c>
      <c r="G949" s="20">
        <v>1</v>
      </c>
      <c r="H949" s="13">
        <v>81588</v>
      </c>
      <c r="I949" s="11" t="s">
        <v>17</v>
      </c>
      <c r="J949" s="13">
        <v>18548575</v>
      </c>
      <c r="K949" s="13" t="s">
        <v>1101</v>
      </c>
      <c r="L949" s="13" t="s">
        <v>1106</v>
      </c>
      <c r="M949" s="17">
        <v>139900</v>
      </c>
      <c r="N949" s="15">
        <v>0.75</v>
      </c>
      <c r="O949" s="16">
        <f t="shared" si="70"/>
        <v>34975</v>
      </c>
      <c r="P949" s="11" t="s">
        <v>20</v>
      </c>
    </row>
    <row r="950" spans="1:16" x14ac:dyDescent="0.25">
      <c r="A950" s="9" t="str">
        <f t="shared" si="74"/>
        <v>2024 ALL D75</v>
      </c>
      <c r="B950" s="10">
        <f t="shared" si="74"/>
        <v>46104</v>
      </c>
      <c r="C950" s="10">
        <v>46113</v>
      </c>
      <c r="D950" s="11">
        <v>3273</v>
      </c>
      <c r="E950" s="11">
        <v>336</v>
      </c>
      <c r="F950" s="11">
        <v>4</v>
      </c>
      <c r="G950" s="20">
        <v>1</v>
      </c>
      <c r="H950" s="13">
        <v>81588</v>
      </c>
      <c r="I950" s="11" t="s">
        <v>17</v>
      </c>
      <c r="J950" s="13">
        <v>18548584</v>
      </c>
      <c r="K950" s="13" t="s">
        <v>1101</v>
      </c>
      <c r="L950" s="13" t="s">
        <v>1107</v>
      </c>
      <c r="M950" s="17">
        <v>139900</v>
      </c>
      <c r="N950" s="15">
        <v>0.75</v>
      </c>
      <c r="O950" s="16">
        <f t="shared" si="70"/>
        <v>34975</v>
      </c>
      <c r="P950" s="11" t="s">
        <v>20</v>
      </c>
    </row>
    <row r="951" spans="1:16" x14ac:dyDescent="0.25">
      <c r="A951" s="9" t="str">
        <f t="shared" si="74"/>
        <v>2024 ALL D75</v>
      </c>
      <c r="B951" s="10">
        <f t="shared" si="74"/>
        <v>46104</v>
      </c>
      <c r="C951" s="10">
        <v>46113</v>
      </c>
      <c r="D951" s="11">
        <v>3273</v>
      </c>
      <c r="E951" s="11">
        <v>336</v>
      </c>
      <c r="F951" s="11">
        <v>4</v>
      </c>
      <c r="G951" s="20">
        <v>1</v>
      </c>
      <c r="H951" s="13">
        <v>81588</v>
      </c>
      <c r="I951" s="11" t="s">
        <v>17</v>
      </c>
      <c r="J951" s="13">
        <v>18548619</v>
      </c>
      <c r="K951" s="13" t="s">
        <v>1108</v>
      </c>
      <c r="L951" s="13" t="s">
        <v>1109</v>
      </c>
      <c r="M951" s="17">
        <v>139900</v>
      </c>
      <c r="N951" s="15">
        <v>0.75</v>
      </c>
      <c r="O951" s="16">
        <f t="shared" si="70"/>
        <v>34975</v>
      </c>
      <c r="P951" s="11" t="s">
        <v>20</v>
      </c>
    </row>
    <row r="952" spans="1:16" x14ac:dyDescent="0.25">
      <c r="A952" s="9" t="str">
        <f t="shared" si="74"/>
        <v>2024 ALL D75</v>
      </c>
      <c r="B952" s="10">
        <f t="shared" si="74"/>
        <v>46104</v>
      </c>
      <c r="C952" s="10">
        <v>46113</v>
      </c>
      <c r="D952" s="11">
        <v>3273</v>
      </c>
      <c r="E952" s="11">
        <v>336</v>
      </c>
      <c r="F952" s="11">
        <v>4</v>
      </c>
      <c r="G952" s="20">
        <v>1</v>
      </c>
      <c r="H952" s="13">
        <v>81588</v>
      </c>
      <c r="I952" s="11" t="s">
        <v>17</v>
      </c>
      <c r="J952" s="13">
        <v>18548655</v>
      </c>
      <c r="K952" s="13" t="s">
        <v>1108</v>
      </c>
      <c r="L952" s="13" t="s">
        <v>1110</v>
      </c>
      <c r="M952" s="17">
        <v>139900</v>
      </c>
      <c r="N952" s="15">
        <v>0.75</v>
      </c>
      <c r="O952" s="16">
        <f t="shared" si="70"/>
        <v>34975</v>
      </c>
      <c r="P952" s="11" t="s">
        <v>20</v>
      </c>
    </row>
    <row r="953" spans="1:16" x14ac:dyDescent="0.25">
      <c r="A953" s="9" t="str">
        <f t="shared" si="74"/>
        <v>2024 ALL D75</v>
      </c>
      <c r="B953" s="10">
        <f t="shared" si="74"/>
        <v>46104</v>
      </c>
      <c r="C953" s="10">
        <v>46113</v>
      </c>
      <c r="D953" s="11">
        <v>3273</v>
      </c>
      <c r="E953" s="11">
        <v>336</v>
      </c>
      <c r="F953" s="11">
        <v>4</v>
      </c>
      <c r="G953" s="20">
        <v>1</v>
      </c>
      <c r="H953" s="13">
        <v>81588</v>
      </c>
      <c r="I953" s="11" t="s">
        <v>17</v>
      </c>
      <c r="J953" s="13">
        <v>18548664</v>
      </c>
      <c r="K953" s="13" t="s">
        <v>1108</v>
      </c>
      <c r="L953" s="13" t="s">
        <v>1111</v>
      </c>
      <c r="M953" s="17">
        <v>139900</v>
      </c>
      <c r="N953" s="15">
        <v>0.75</v>
      </c>
      <c r="O953" s="16">
        <f t="shared" si="70"/>
        <v>34975</v>
      </c>
      <c r="P953" s="11" t="s">
        <v>20</v>
      </c>
    </row>
    <row r="954" spans="1:16" x14ac:dyDescent="0.25">
      <c r="A954" s="9" t="str">
        <f t="shared" si="74"/>
        <v>2024 ALL D75</v>
      </c>
      <c r="B954" s="10">
        <f t="shared" si="74"/>
        <v>46104</v>
      </c>
      <c r="C954" s="10">
        <v>46113</v>
      </c>
      <c r="D954" s="11">
        <v>3273</v>
      </c>
      <c r="E954" s="11">
        <v>336</v>
      </c>
      <c r="F954" s="11">
        <v>4</v>
      </c>
      <c r="G954" s="20">
        <v>1</v>
      </c>
      <c r="H954" s="13">
        <v>81588</v>
      </c>
      <c r="I954" s="11" t="s">
        <v>17</v>
      </c>
      <c r="J954" s="13">
        <v>18548682</v>
      </c>
      <c r="K954" s="13" t="s">
        <v>1108</v>
      </c>
      <c r="L954" s="13" t="s">
        <v>1112</v>
      </c>
      <c r="M954" s="17">
        <v>139900</v>
      </c>
      <c r="N954" s="15">
        <v>0.75</v>
      </c>
      <c r="O954" s="16">
        <f t="shared" si="70"/>
        <v>34975</v>
      </c>
      <c r="P954" s="11" t="s">
        <v>20</v>
      </c>
    </row>
    <row r="955" spans="1:16" x14ac:dyDescent="0.25">
      <c r="A955" s="9" t="str">
        <f t="shared" si="74"/>
        <v>2024 ALL D75</v>
      </c>
      <c r="B955" s="10">
        <f t="shared" si="74"/>
        <v>46104</v>
      </c>
      <c r="C955" s="10">
        <v>46113</v>
      </c>
      <c r="D955" s="11">
        <v>3273</v>
      </c>
      <c r="E955" s="11">
        <v>336</v>
      </c>
      <c r="F955" s="11">
        <v>4</v>
      </c>
      <c r="G955" s="20">
        <v>1</v>
      </c>
      <c r="H955" s="13">
        <v>81588</v>
      </c>
      <c r="I955" s="11" t="s">
        <v>17</v>
      </c>
      <c r="J955" s="13">
        <v>18548691</v>
      </c>
      <c r="K955" s="13" t="s">
        <v>1108</v>
      </c>
      <c r="L955" s="13" t="s">
        <v>1113</v>
      </c>
      <c r="M955" s="17">
        <v>139900</v>
      </c>
      <c r="N955" s="15">
        <v>0.75</v>
      </c>
      <c r="O955" s="16">
        <f t="shared" si="70"/>
        <v>34975</v>
      </c>
      <c r="P955" s="11" t="s">
        <v>20</v>
      </c>
    </row>
    <row r="956" spans="1:16" x14ac:dyDescent="0.25">
      <c r="A956" s="9" t="str">
        <f t="shared" si="74"/>
        <v>2024 ALL D75</v>
      </c>
      <c r="B956" s="10">
        <f t="shared" si="74"/>
        <v>46104</v>
      </c>
      <c r="C956" s="10">
        <v>46113</v>
      </c>
      <c r="D956" s="11">
        <v>3273</v>
      </c>
      <c r="E956" s="11">
        <v>336</v>
      </c>
      <c r="F956" s="11">
        <v>4</v>
      </c>
      <c r="G956" s="20">
        <v>1</v>
      </c>
      <c r="H956" s="13">
        <v>81588</v>
      </c>
      <c r="I956" s="11" t="s">
        <v>17</v>
      </c>
      <c r="J956" s="13">
        <v>18548717</v>
      </c>
      <c r="K956" s="13" t="s">
        <v>1108</v>
      </c>
      <c r="L956" s="13" t="s">
        <v>1114</v>
      </c>
      <c r="M956" s="17">
        <v>139900</v>
      </c>
      <c r="N956" s="15">
        <v>0.75</v>
      </c>
      <c r="O956" s="16">
        <f t="shared" si="70"/>
        <v>34975</v>
      </c>
      <c r="P956" s="11" t="s">
        <v>20</v>
      </c>
    </row>
    <row r="957" spans="1:16" x14ac:dyDescent="0.25">
      <c r="A957" s="9" t="str">
        <f t="shared" si="74"/>
        <v>2024 ALL D75</v>
      </c>
      <c r="B957" s="10">
        <f t="shared" si="74"/>
        <v>46104</v>
      </c>
      <c r="C957" s="10">
        <v>46113</v>
      </c>
      <c r="D957" s="11">
        <v>3273</v>
      </c>
      <c r="E957" s="11">
        <v>336</v>
      </c>
      <c r="F957" s="11">
        <v>4</v>
      </c>
      <c r="G957" s="20">
        <v>1</v>
      </c>
      <c r="H957" s="13">
        <v>81588</v>
      </c>
      <c r="I957" s="11" t="s">
        <v>17</v>
      </c>
      <c r="J957" s="13">
        <v>18548726</v>
      </c>
      <c r="K957" s="13" t="s">
        <v>1115</v>
      </c>
      <c r="L957" s="13" t="s">
        <v>1116</v>
      </c>
      <c r="M957" s="17">
        <v>139900</v>
      </c>
      <c r="N957" s="15">
        <v>0.75</v>
      </c>
      <c r="O957" s="16">
        <f t="shared" si="70"/>
        <v>34975</v>
      </c>
      <c r="P957" s="11" t="s">
        <v>20</v>
      </c>
    </row>
    <row r="958" spans="1:16" x14ac:dyDescent="0.25">
      <c r="A958" s="9" t="str">
        <f t="shared" si="74"/>
        <v>2024 ALL D75</v>
      </c>
      <c r="B958" s="10">
        <f t="shared" si="74"/>
        <v>46104</v>
      </c>
      <c r="C958" s="10">
        <v>46113</v>
      </c>
      <c r="D958" s="11">
        <v>3273</v>
      </c>
      <c r="E958" s="11">
        <v>336</v>
      </c>
      <c r="F958" s="11">
        <v>4</v>
      </c>
      <c r="G958" s="20">
        <v>1</v>
      </c>
      <c r="H958" s="13">
        <v>81588</v>
      </c>
      <c r="I958" s="11" t="s">
        <v>17</v>
      </c>
      <c r="J958" s="13">
        <v>18548735</v>
      </c>
      <c r="K958" s="13" t="s">
        <v>1115</v>
      </c>
      <c r="L958" s="13" t="s">
        <v>1117</v>
      </c>
      <c r="M958" s="17">
        <v>139900</v>
      </c>
      <c r="N958" s="15">
        <v>0.75</v>
      </c>
      <c r="O958" s="16">
        <f t="shared" si="70"/>
        <v>34975</v>
      </c>
      <c r="P958" s="11" t="s">
        <v>20</v>
      </c>
    </row>
    <row r="959" spans="1:16" x14ac:dyDescent="0.25">
      <c r="A959" s="9" t="str">
        <f t="shared" si="74"/>
        <v>2024 ALL D75</v>
      </c>
      <c r="B959" s="10">
        <f t="shared" si="74"/>
        <v>46104</v>
      </c>
      <c r="C959" s="10">
        <v>46113</v>
      </c>
      <c r="D959" s="11">
        <v>3273</v>
      </c>
      <c r="E959" s="11">
        <v>336</v>
      </c>
      <c r="F959" s="11">
        <v>4</v>
      </c>
      <c r="G959" s="20">
        <v>1</v>
      </c>
      <c r="H959" s="13">
        <v>81588</v>
      </c>
      <c r="I959" s="11" t="s">
        <v>17</v>
      </c>
      <c r="J959" s="13">
        <v>18548744</v>
      </c>
      <c r="K959" s="13" t="s">
        <v>1115</v>
      </c>
      <c r="L959" s="13" t="s">
        <v>1118</v>
      </c>
      <c r="M959" s="17">
        <v>139900</v>
      </c>
      <c r="N959" s="15">
        <v>0.75</v>
      </c>
      <c r="O959" s="16">
        <f t="shared" si="70"/>
        <v>34975</v>
      </c>
      <c r="P959" s="11" t="s">
        <v>20</v>
      </c>
    </row>
    <row r="960" spans="1:16" x14ac:dyDescent="0.25">
      <c r="A960" s="9" t="str">
        <f t="shared" si="74"/>
        <v>2024 ALL D75</v>
      </c>
      <c r="B960" s="10">
        <f t="shared" si="74"/>
        <v>46104</v>
      </c>
      <c r="C960" s="10">
        <v>46113</v>
      </c>
      <c r="D960" s="11">
        <v>3273</v>
      </c>
      <c r="E960" s="11">
        <v>336</v>
      </c>
      <c r="F960" s="11">
        <v>4</v>
      </c>
      <c r="G960" s="20">
        <v>1</v>
      </c>
      <c r="H960" s="13">
        <v>81588</v>
      </c>
      <c r="I960" s="11" t="s">
        <v>17</v>
      </c>
      <c r="J960" s="13">
        <v>18548753</v>
      </c>
      <c r="K960" s="13" t="s">
        <v>1115</v>
      </c>
      <c r="L960" s="13" t="s">
        <v>1119</v>
      </c>
      <c r="M960" s="17">
        <v>139900</v>
      </c>
      <c r="N960" s="15">
        <v>0.75</v>
      </c>
      <c r="O960" s="16">
        <f t="shared" si="70"/>
        <v>34975</v>
      </c>
      <c r="P960" s="11" t="s">
        <v>20</v>
      </c>
    </row>
    <row r="961" spans="1:16" x14ac:dyDescent="0.25">
      <c r="A961" s="9" t="str">
        <f t="shared" si="74"/>
        <v>2024 ALL D75</v>
      </c>
      <c r="B961" s="10">
        <f t="shared" si="74"/>
        <v>46104</v>
      </c>
      <c r="C961" s="10">
        <v>46113</v>
      </c>
      <c r="D961" s="11">
        <v>3273</v>
      </c>
      <c r="E961" s="11">
        <v>336</v>
      </c>
      <c r="F961" s="11">
        <v>4</v>
      </c>
      <c r="G961" s="20">
        <v>1</v>
      </c>
      <c r="H961" s="13">
        <v>81588</v>
      </c>
      <c r="I961" s="11" t="s">
        <v>17</v>
      </c>
      <c r="J961" s="13">
        <v>18548762</v>
      </c>
      <c r="K961" s="13" t="s">
        <v>1115</v>
      </c>
      <c r="L961" s="13" t="s">
        <v>1120</v>
      </c>
      <c r="M961" s="17">
        <v>139900</v>
      </c>
      <c r="N961" s="15">
        <v>0.75</v>
      </c>
      <c r="O961" s="16">
        <f t="shared" si="70"/>
        <v>34975</v>
      </c>
      <c r="P961" s="11" t="s">
        <v>20</v>
      </c>
    </row>
    <row r="962" spans="1:16" x14ac:dyDescent="0.25">
      <c r="A962" s="9" t="str">
        <f t="shared" si="74"/>
        <v>2024 ALL D75</v>
      </c>
      <c r="B962" s="10">
        <f t="shared" si="74"/>
        <v>46104</v>
      </c>
      <c r="C962" s="10">
        <v>46113</v>
      </c>
      <c r="D962" s="11">
        <v>3273</v>
      </c>
      <c r="E962" s="11">
        <v>336</v>
      </c>
      <c r="F962" s="11">
        <v>4</v>
      </c>
      <c r="G962" s="20">
        <v>1</v>
      </c>
      <c r="H962" s="13">
        <v>81588</v>
      </c>
      <c r="I962" s="11" t="s">
        <v>17</v>
      </c>
      <c r="J962" s="13">
        <v>18548771</v>
      </c>
      <c r="K962" s="13" t="s">
        <v>1115</v>
      </c>
      <c r="L962" s="13" t="s">
        <v>1121</v>
      </c>
      <c r="M962" s="17">
        <v>139900</v>
      </c>
      <c r="N962" s="15">
        <v>0.75</v>
      </c>
      <c r="O962" s="16">
        <f t="shared" ref="O962:O1025" si="75">M962*(1-N962)</f>
        <v>34975</v>
      </c>
      <c r="P962" s="11" t="s">
        <v>20</v>
      </c>
    </row>
    <row r="963" spans="1:16" x14ac:dyDescent="0.25">
      <c r="A963" s="9" t="str">
        <f t="shared" ref="A963:B978" si="76">A962</f>
        <v>2024 ALL D75</v>
      </c>
      <c r="B963" s="10">
        <f t="shared" si="76"/>
        <v>46104</v>
      </c>
      <c r="C963" s="10">
        <v>46113</v>
      </c>
      <c r="D963" s="11">
        <v>3273</v>
      </c>
      <c r="E963" s="11">
        <v>336</v>
      </c>
      <c r="F963" s="11">
        <v>4</v>
      </c>
      <c r="G963" s="20">
        <v>1</v>
      </c>
      <c r="H963" s="13">
        <v>81588</v>
      </c>
      <c r="I963" s="11" t="s">
        <v>17</v>
      </c>
      <c r="J963" s="13">
        <v>18548780</v>
      </c>
      <c r="K963" s="13" t="s">
        <v>1122</v>
      </c>
      <c r="L963" s="13" t="s">
        <v>1123</v>
      </c>
      <c r="M963" s="17">
        <v>139900</v>
      </c>
      <c r="N963" s="15">
        <v>0.75</v>
      </c>
      <c r="O963" s="16">
        <f t="shared" si="75"/>
        <v>34975</v>
      </c>
      <c r="P963" s="11" t="s">
        <v>20</v>
      </c>
    </row>
    <row r="964" spans="1:16" x14ac:dyDescent="0.25">
      <c r="A964" s="9" t="str">
        <f t="shared" si="76"/>
        <v>2024 ALL D75</v>
      </c>
      <c r="B964" s="10">
        <f t="shared" si="76"/>
        <v>46104</v>
      </c>
      <c r="C964" s="10">
        <v>46113</v>
      </c>
      <c r="D964" s="11">
        <v>3273</v>
      </c>
      <c r="E964" s="11">
        <v>336</v>
      </c>
      <c r="F964" s="11">
        <v>4</v>
      </c>
      <c r="G964" s="20">
        <v>1</v>
      </c>
      <c r="H964" s="13">
        <v>81588</v>
      </c>
      <c r="I964" s="11" t="s">
        <v>17</v>
      </c>
      <c r="J964" s="13">
        <v>18548799</v>
      </c>
      <c r="K964" s="13" t="s">
        <v>1122</v>
      </c>
      <c r="L964" s="13" t="s">
        <v>1124</v>
      </c>
      <c r="M964" s="17">
        <v>139900</v>
      </c>
      <c r="N964" s="15">
        <v>0.75</v>
      </c>
      <c r="O964" s="16">
        <f t="shared" si="75"/>
        <v>34975</v>
      </c>
      <c r="P964" s="11" t="s">
        <v>20</v>
      </c>
    </row>
    <row r="965" spans="1:16" x14ac:dyDescent="0.25">
      <c r="A965" s="9" t="str">
        <f t="shared" si="76"/>
        <v>2024 ALL D75</v>
      </c>
      <c r="B965" s="10">
        <f t="shared" si="76"/>
        <v>46104</v>
      </c>
      <c r="C965" s="10">
        <v>46113</v>
      </c>
      <c r="D965" s="11">
        <v>3273</v>
      </c>
      <c r="E965" s="11">
        <v>336</v>
      </c>
      <c r="F965" s="11">
        <v>4</v>
      </c>
      <c r="G965" s="20">
        <v>1</v>
      </c>
      <c r="H965" s="13">
        <v>81588</v>
      </c>
      <c r="I965" s="11" t="s">
        <v>17</v>
      </c>
      <c r="J965" s="13">
        <v>18548806</v>
      </c>
      <c r="K965" s="13" t="s">
        <v>1122</v>
      </c>
      <c r="L965" s="13" t="s">
        <v>1125</v>
      </c>
      <c r="M965" s="17">
        <v>139900</v>
      </c>
      <c r="N965" s="15">
        <v>0.75</v>
      </c>
      <c r="O965" s="16">
        <f t="shared" si="75"/>
        <v>34975</v>
      </c>
      <c r="P965" s="11" t="s">
        <v>20</v>
      </c>
    </row>
    <row r="966" spans="1:16" x14ac:dyDescent="0.25">
      <c r="A966" s="9" t="str">
        <f t="shared" si="76"/>
        <v>2024 ALL D75</v>
      </c>
      <c r="B966" s="10">
        <f t="shared" si="76"/>
        <v>46104</v>
      </c>
      <c r="C966" s="10">
        <v>46113</v>
      </c>
      <c r="D966" s="11">
        <v>3273</v>
      </c>
      <c r="E966" s="11">
        <v>336</v>
      </c>
      <c r="F966" s="11">
        <v>4</v>
      </c>
      <c r="G966" s="20">
        <v>1</v>
      </c>
      <c r="H966" s="13">
        <v>81588</v>
      </c>
      <c r="I966" s="11" t="s">
        <v>17</v>
      </c>
      <c r="J966" s="13">
        <v>18548815</v>
      </c>
      <c r="K966" s="13" t="s">
        <v>1122</v>
      </c>
      <c r="L966" s="13" t="s">
        <v>1126</v>
      </c>
      <c r="M966" s="17">
        <v>139900</v>
      </c>
      <c r="N966" s="15">
        <v>0.75</v>
      </c>
      <c r="O966" s="16">
        <f t="shared" si="75"/>
        <v>34975</v>
      </c>
      <c r="P966" s="11" t="s">
        <v>20</v>
      </c>
    </row>
    <row r="967" spans="1:16" x14ac:dyDescent="0.25">
      <c r="A967" s="9" t="str">
        <f t="shared" si="76"/>
        <v>2024 ALL D75</v>
      </c>
      <c r="B967" s="10">
        <f t="shared" si="76"/>
        <v>46104</v>
      </c>
      <c r="C967" s="10">
        <v>46113</v>
      </c>
      <c r="D967" s="11">
        <v>3273</v>
      </c>
      <c r="E967" s="11">
        <v>336</v>
      </c>
      <c r="F967" s="11">
        <v>4</v>
      </c>
      <c r="G967" s="20">
        <v>1</v>
      </c>
      <c r="H967" s="13">
        <v>81588</v>
      </c>
      <c r="I967" s="11" t="s">
        <v>17</v>
      </c>
      <c r="J967" s="13">
        <v>18548833</v>
      </c>
      <c r="K967" s="13" t="s">
        <v>1122</v>
      </c>
      <c r="L967" s="13" t="s">
        <v>1127</v>
      </c>
      <c r="M967" s="17">
        <v>139900</v>
      </c>
      <c r="N967" s="15">
        <v>0.75</v>
      </c>
      <c r="O967" s="16">
        <f t="shared" si="75"/>
        <v>34975</v>
      </c>
      <c r="P967" s="11" t="s">
        <v>20</v>
      </c>
    </row>
    <row r="968" spans="1:16" x14ac:dyDescent="0.25">
      <c r="A968" s="9" t="str">
        <f t="shared" si="76"/>
        <v>2024 ALL D75</v>
      </c>
      <c r="B968" s="10">
        <f t="shared" si="76"/>
        <v>46104</v>
      </c>
      <c r="C968" s="10">
        <v>46113</v>
      </c>
      <c r="D968" s="11">
        <v>3273</v>
      </c>
      <c r="E968" s="11">
        <v>336</v>
      </c>
      <c r="F968" s="11">
        <v>4</v>
      </c>
      <c r="G968" s="20">
        <v>1</v>
      </c>
      <c r="H968" s="13">
        <v>81588</v>
      </c>
      <c r="I968" s="11" t="s">
        <v>17</v>
      </c>
      <c r="J968" s="13">
        <v>18548842</v>
      </c>
      <c r="K968" s="13" t="s">
        <v>1122</v>
      </c>
      <c r="L968" s="13" t="s">
        <v>1128</v>
      </c>
      <c r="M968" s="17">
        <v>139900</v>
      </c>
      <c r="N968" s="15">
        <v>0.75</v>
      </c>
      <c r="O968" s="16">
        <f t="shared" si="75"/>
        <v>34975</v>
      </c>
      <c r="P968" s="11" t="s">
        <v>20</v>
      </c>
    </row>
    <row r="969" spans="1:16" x14ac:dyDescent="0.25">
      <c r="A969" s="9" t="str">
        <f t="shared" si="76"/>
        <v>2024 ALL D75</v>
      </c>
      <c r="B969" s="10">
        <f t="shared" si="76"/>
        <v>46104</v>
      </c>
      <c r="C969" s="10">
        <v>46113</v>
      </c>
      <c r="D969" s="11">
        <v>3273</v>
      </c>
      <c r="E969" s="11">
        <v>336</v>
      </c>
      <c r="F969" s="11">
        <v>4</v>
      </c>
      <c r="G969" s="20">
        <v>1</v>
      </c>
      <c r="H969" s="13">
        <v>81588</v>
      </c>
      <c r="I969" s="11" t="s">
        <v>17</v>
      </c>
      <c r="J969" s="13">
        <v>18548977</v>
      </c>
      <c r="K969" s="13" t="s">
        <v>1129</v>
      </c>
      <c r="L969" s="13" t="s">
        <v>1130</v>
      </c>
      <c r="M969" s="17">
        <v>129900</v>
      </c>
      <c r="N969" s="15">
        <v>0.75</v>
      </c>
      <c r="O969" s="16">
        <f t="shared" si="75"/>
        <v>32475</v>
      </c>
      <c r="P969" s="11" t="s">
        <v>20</v>
      </c>
    </row>
    <row r="970" spans="1:16" x14ac:dyDescent="0.25">
      <c r="A970" s="9" t="str">
        <f t="shared" si="76"/>
        <v>2024 ALL D75</v>
      </c>
      <c r="B970" s="10">
        <f t="shared" si="76"/>
        <v>46104</v>
      </c>
      <c r="C970" s="10">
        <v>46113</v>
      </c>
      <c r="D970" s="11">
        <v>3273</v>
      </c>
      <c r="E970" s="11">
        <v>336</v>
      </c>
      <c r="F970" s="11">
        <v>4</v>
      </c>
      <c r="G970" s="20">
        <v>1</v>
      </c>
      <c r="H970" s="13">
        <v>81588</v>
      </c>
      <c r="I970" s="11" t="s">
        <v>17</v>
      </c>
      <c r="J970" s="13">
        <v>18548986</v>
      </c>
      <c r="K970" s="13" t="s">
        <v>1129</v>
      </c>
      <c r="L970" s="13" t="s">
        <v>1131</v>
      </c>
      <c r="M970" s="17">
        <v>129900</v>
      </c>
      <c r="N970" s="15">
        <v>0.75</v>
      </c>
      <c r="O970" s="16">
        <f t="shared" si="75"/>
        <v>32475</v>
      </c>
      <c r="P970" s="11" t="s">
        <v>20</v>
      </c>
    </row>
    <row r="971" spans="1:16" x14ac:dyDescent="0.25">
      <c r="A971" s="9" t="str">
        <f t="shared" si="76"/>
        <v>2024 ALL D75</v>
      </c>
      <c r="B971" s="10">
        <f t="shared" si="76"/>
        <v>46104</v>
      </c>
      <c r="C971" s="10">
        <v>46113</v>
      </c>
      <c r="D971" s="11">
        <v>3273</v>
      </c>
      <c r="E971" s="11">
        <v>336</v>
      </c>
      <c r="F971" s="11">
        <v>4</v>
      </c>
      <c r="G971" s="20">
        <v>1</v>
      </c>
      <c r="H971" s="13">
        <v>81588</v>
      </c>
      <c r="I971" s="11" t="s">
        <v>17</v>
      </c>
      <c r="J971" s="13">
        <v>18548995</v>
      </c>
      <c r="K971" s="13" t="s">
        <v>1129</v>
      </c>
      <c r="L971" s="13" t="s">
        <v>1132</v>
      </c>
      <c r="M971" s="17">
        <v>129900</v>
      </c>
      <c r="N971" s="15">
        <v>0.75</v>
      </c>
      <c r="O971" s="16">
        <f t="shared" si="75"/>
        <v>32475</v>
      </c>
      <c r="P971" s="11" t="s">
        <v>20</v>
      </c>
    </row>
    <row r="972" spans="1:16" x14ac:dyDescent="0.25">
      <c r="A972" s="9" t="str">
        <f t="shared" si="76"/>
        <v>2024 ALL D75</v>
      </c>
      <c r="B972" s="10">
        <f t="shared" si="76"/>
        <v>46104</v>
      </c>
      <c r="C972" s="10">
        <v>46113</v>
      </c>
      <c r="D972" s="11">
        <v>3273</v>
      </c>
      <c r="E972" s="11">
        <v>336</v>
      </c>
      <c r="F972" s="11">
        <v>4</v>
      </c>
      <c r="G972" s="20">
        <v>1</v>
      </c>
      <c r="H972" s="13">
        <v>81588</v>
      </c>
      <c r="I972" s="11" t="s">
        <v>17</v>
      </c>
      <c r="J972" s="13">
        <v>18549001</v>
      </c>
      <c r="K972" s="13" t="s">
        <v>1129</v>
      </c>
      <c r="L972" s="13" t="s">
        <v>1133</v>
      </c>
      <c r="M972" s="17">
        <v>129900</v>
      </c>
      <c r="N972" s="15">
        <v>0.75</v>
      </c>
      <c r="O972" s="16">
        <f t="shared" si="75"/>
        <v>32475</v>
      </c>
      <c r="P972" s="11" t="s">
        <v>20</v>
      </c>
    </row>
    <row r="973" spans="1:16" x14ac:dyDescent="0.25">
      <c r="A973" s="9" t="str">
        <f t="shared" si="76"/>
        <v>2024 ALL D75</v>
      </c>
      <c r="B973" s="10">
        <f t="shared" si="76"/>
        <v>46104</v>
      </c>
      <c r="C973" s="10">
        <v>46113</v>
      </c>
      <c r="D973" s="11">
        <v>3273</v>
      </c>
      <c r="E973" s="11">
        <v>336</v>
      </c>
      <c r="F973" s="11">
        <v>4</v>
      </c>
      <c r="G973" s="20">
        <v>1</v>
      </c>
      <c r="H973" s="13">
        <v>81588</v>
      </c>
      <c r="I973" s="11" t="s">
        <v>17</v>
      </c>
      <c r="J973" s="13">
        <v>18549010</v>
      </c>
      <c r="K973" s="13" t="s">
        <v>1129</v>
      </c>
      <c r="L973" s="13" t="s">
        <v>1134</v>
      </c>
      <c r="M973" s="17">
        <v>129900</v>
      </c>
      <c r="N973" s="15">
        <v>0.75</v>
      </c>
      <c r="O973" s="16">
        <f t="shared" si="75"/>
        <v>32475</v>
      </c>
      <c r="P973" s="11" t="s">
        <v>20</v>
      </c>
    </row>
    <row r="974" spans="1:16" x14ac:dyDescent="0.25">
      <c r="A974" s="9" t="str">
        <f t="shared" si="76"/>
        <v>2024 ALL D75</v>
      </c>
      <c r="B974" s="10">
        <f t="shared" si="76"/>
        <v>46104</v>
      </c>
      <c r="C974" s="10">
        <v>46113</v>
      </c>
      <c r="D974" s="11">
        <v>3273</v>
      </c>
      <c r="E974" s="11">
        <v>336</v>
      </c>
      <c r="F974" s="11">
        <v>4</v>
      </c>
      <c r="G974" s="20">
        <v>1</v>
      </c>
      <c r="H974" s="13">
        <v>81588</v>
      </c>
      <c r="I974" s="11" t="s">
        <v>17</v>
      </c>
      <c r="J974" s="13">
        <v>18549029</v>
      </c>
      <c r="K974" s="13" t="s">
        <v>1129</v>
      </c>
      <c r="L974" s="13" t="s">
        <v>1135</v>
      </c>
      <c r="M974" s="17">
        <v>129900</v>
      </c>
      <c r="N974" s="15">
        <v>0.75</v>
      </c>
      <c r="O974" s="16">
        <f t="shared" si="75"/>
        <v>32475</v>
      </c>
      <c r="P974" s="11" t="s">
        <v>20</v>
      </c>
    </row>
    <row r="975" spans="1:16" x14ac:dyDescent="0.25">
      <c r="A975" s="9" t="str">
        <f t="shared" si="76"/>
        <v>2024 ALL D75</v>
      </c>
      <c r="B975" s="10">
        <f t="shared" si="76"/>
        <v>46104</v>
      </c>
      <c r="C975" s="10">
        <v>46113</v>
      </c>
      <c r="D975" s="11">
        <v>3273</v>
      </c>
      <c r="E975" s="11">
        <v>336</v>
      </c>
      <c r="F975" s="11">
        <v>4</v>
      </c>
      <c r="G975" s="20">
        <v>1</v>
      </c>
      <c r="H975" s="13">
        <v>81588</v>
      </c>
      <c r="I975" s="11" t="s">
        <v>17</v>
      </c>
      <c r="J975" s="13">
        <v>18549056</v>
      </c>
      <c r="K975" s="13" t="s">
        <v>1136</v>
      </c>
      <c r="L975" s="13" t="s">
        <v>1137</v>
      </c>
      <c r="M975" s="17">
        <v>129900</v>
      </c>
      <c r="N975" s="15">
        <v>0.75</v>
      </c>
      <c r="O975" s="16">
        <f t="shared" si="75"/>
        <v>32475</v>
      </c>
      <c r="P975" s="11" t="s">
        <v>20</v>
      </c>
    </row>
    <row r="976" spans="1:16" x14ac:dyDescent="0.25">
      <c r="A976" s="9" t="str">
        <f t="shared" si="76"/>
        <v>2024 ALL D75</v>
      </c>
      <c r="B976" s="10">
        <f t="shared" si="76"/>
        <v>46104</v>
      </c>
      <c r="C976" s="10">
        <v>46113</v>
      </c>
      <c r="D976" s="11">
        <v>3273</v>
      </c>
      <c r="E976" s="11">
        <v>336</v>
      </c>
      <c r="F976" s="11">
        <v>4</v>
      </c>
      <c r="G976" s="20">
        <v>1</v>
      </c>
      <c r="H976" s="13">
        <v>81588</v>
      </c>
      <c r="I976" s="11" t="s">
        <v>17</v>
      </c>
      <c r="J976" s="13">
        <v>18549065</v>
      </c>
      <c r="K976" s="13" t="s">
        <v>1136</v>
      </c>
      <c r="L976" s="13" t="s">
        <v>1138</v>
      </c>
      <c r="M976" s="17">
        <v>129900</v>
      </c>
      <c r="N976" s="15">
        <v>0.75</v>
      </c>
      <c r="O976" s="16">
        <f t="shared" si="75"/>
        <v>32475</v>
      </c>
      <c r="P976" s="11" t="s">
        <v>20</v>
      </c>
    </row>
    <row r="977" spans="1:16" x14ac:dyDescent="0.25">
      <c r="A977" s="9" t="str">
        <f t="shared" si="76"/>
        <v>2024 ALL D75</v>
      </c>
      <c r="B977" s="10">
        <f t="shared" si="76"/>
        <v>46104</v>
      </c>
      <c r="C977" s="10">
        <v>46113</v>
      </c>
      <c r="D977" s="11">
        <v>3273</v>
      </c>
      <c r="E977" s="11">
        <v>336</v>
      </c>
      <c r="F977" s="11">
        <v>4</v>
      </c>
      <c r="G977" s="20">
        <v>1</v>
      </c>
      <c r="H977" s="13">
        <v>81588</v>
      </c>
      <c r="I977" s="11" t="s">
        <v>17</v>
      </c>
      <c r="J977" s="13">
        <v>18549074</v>
      </c>
      <c r="K977" s="13" t="s">
        <v>1136</v>
      </c>
      <c r="L977" s="13" t="s">
        <v>1139</v>
      </c>
      <c r="M977" s="17">
        <v>129900</v>
      </c>
      <c r="N977" s="15">
        <v>0.75</v>
      </c>
      <c r="O977" s="16">
        <f t="shared" si="75"/>
        <v>32475</v>
      </c>
      <c r="P977" s="11" t="s">
        <v>20</v>
      </c>
    </row>
    <row r="978" spans="1:16" x14ac:dyDescent="0.25">
      <c r="A978" s="9" t="str">
        <f t="shared" si="76"/>
        <v>2024 ALL D75</v>
      </c>
      <c r="B978" s="10">
        <f t="shared" si="76"/>
        <v>46104</v>
      </c>
      <c r="C978" s="10">
        <v>46113</v>
      </c>
      <c r="D978" s="11">
        <v>3273</v>
      </c>
      <c r="E978" s="11">
        <v>336</v>
      </c>
      <c r="F978" s="11">
        <v>4</v>
      </c>
      <c r="G978" s="20">
        <v>1</v>
      </c>
      <c r="H978" s="13">
        <v>81588</v>
      </c>
      <c r="I978" s="11" t="s">
        <v>17</v>
      </c>
      <c r="J978" s="13">
        <v>18549083</v>
      </c>
      <c r="K978" s="13" t="s">
        <v>1136</v>
      </c>
      <c r="L978" s="13" t="s">
        <v>1140</v>
      </c>
      <c r="M978" s="17">
        <v>129900</v>
      </c>
      <c r="N978" s="15">
        <v>0.75</v>
      </c>
      <c r="O978" s="16">
        <f t="shared" si="75"/>
        <v>32475</v>
      </c>
      <c r="P978" s="11" t="s">
        <v>20</v>
      </c>
    </row>
    <row r="979" spans="1:16" x14ac:dyDescent="0.25">
      <c r="A979" s="9" t="str">
        <f t="shared" ref="A979:B994" si="77">A978</f>
        <v>2024 ALL D75</v>
      </c>
      <c r="B979" s="10">
        <f t="shared" si="77"/>
        <v>46104</v>
      </c>
      <c r="C979" s="10">
        <v>46113</v>
      </c>
      <c r="D979" s="11">
        <v>3273</v>
      </c>
      <c r="E979" s="11">
        <v>336</v>
      </c>
      <c r="F979" s="11">
        <v>4</v>
      </c>
      <c r="G979" s="20">
        <v>1</v>
      </c>
      <c r="H979" s="13">
        <v>81588</v>
      </c>
      <c r="I979" s="11" t="s">
        <v>17</v>
      </c>
      <c r="J979" s="13">
        <v>18549118</v>
      </c>
      <c r="K979" s="13" t="s">
        <v>1136</v>
      </c>
      <c r="L979" s="13" t="s">
        <v>1141</v>
      </c>
      <c r="M979" s="17">
        <v>129900</v>
      </c>
      <c r="N979" s="15">
        <v>0.75</v>
      </c>
      <c r="O979" s="16">
        <f t="shared" si="75"/>
        <v>32475</v>
      </c>
      <c r="P979" s="11" t="s">
        <v>20</v>
      </c>
    </row>
    <row r="980" spans="1:16" x14ac:dyDescent="0.25">
      <c r="A980" s="9" t="str">
        <f t="shared" si="77"/>
        <v>2024 ALL D75</v>
      </c>
      <c r="B980" s="10">
        <f t="shared" si="77"/>
        <v>46104</v>
      </c>
      <c r="C980" s="10">
        <v>46113</v>
      </c>
      <c r="D980" s="11">
        <v>3273</v>
      </c>
      <c r="E980" s="11">
        <v>336</v>
      </c>
      <c r="F980" s="11">
        <v>4</v>
      </c>
      <c r="G980" s="20">
        <v>1</v>
      </c>
      <c r="H980" s="13">
        <v>81588</v>
      </c>
      <c r="I980" s="11" t="s">
        <v>17</v>
      </c>
      <c r="J980" s="13">
        <v>18549127</v>
      </c>
      <c r="K980" s="13" t="s">
        <v>1136</v>
      </c>
      <c r="L980" s="13" t="s">
        <v>1142</v>
      </c>
      <c r="M980" s="17">
        <v>129900</v>
      </c>
      <c r="N980" s="15">
        <v>0.75</v>
      </c>
      <c r="O980" s="16">
        <f t="shared" si="75"/>
        <v>32475</v>
      </c>
      <c r="P980" s="11" t="s">
        <v>20</v>
      </c>
    </row>
    <row r="981" spans="1:16" x14ac:dyDescent="0.25">
      <c r="A981" s="9" t="str">
        <f t="shared" si="77"/>
        <v>2024 ALL D75</v>
      </c>
      <c r="B981" s="10">
        <f t="shared" si="77"/>
        <v>46104</v>
      </c>
      <c r="C981" s="10">
        <v>46113</v>
      </c>
      <c r="D981" s="11">
        <v>3273</v>
      </c>
      <c r="E981" s="11">
        <v>336</v>
      </c>
      <c r="F981" s="11">
        <v>4</v>
      </c>
      <c r="G981" s="20">
        <v>3</v>
      </c>
      <c r="H981" s="13">
        <v>81588</v>
      </c>
      <c r="I981" s="11" t="s">
        <v>17</v>
      </c>
      <c r="J981" s="13">
        <v>18547932</v>
      </c>
      <c r="K981" s="13" t="s">
        <v>1143</v>
      </c>
      <c r="L981" s="13" t="s">
        <v>1144</v>
      </c>
      <c r="M981" s="17">
        <v>239900</v>
      </c>
      <c r="N981" s="15">
        <v>0.75</v>
      </c>
      <c r="O981" s="16">
        <f t="shared" si="75"/>
        <v>59975</v>
      </c>
      <c r="P981" s="11" t="s">
        <v>20</v>
      </c>
    </row>
    <row r="982" spans="1:16" x14ac:dyDescent="0.25">
      <c r="A982" s="9" t="str">
        <f t="shared" si="77"/>
        <v>2024 ALL D75</v>
      </c>
      <c r="B982" s="10">
        <f t="shared" si="77"/>
        <v>46104</v>
      </c>
      <c r="C982" s="10">
        <v>46113</v>
      </c>
      <c r="D982" s="11">
        <v>3273</v>
      </c>
      <c r="E982" s="11">
        <v>336</v>
      </c>
      <c r="F982" s="11">
        <v>4</v>
      </c>
      <c r="G982" s="20">
        <v>3</v>
      </c>
      <c r="H982" s="13">
        <v>81588</v>
      </c>
      <c r="I982" s="11" t="s">
        <v>17</v>
      </c>
      <c r="J982" s="13">
        <v>18547941</v>
      </c>
      <c r="K982" s="13" t="s">
        <v>1143</v>
      </c>
      <c r="L982" s="13" t="s">
        <v>1145</v>
      </c>
      <c r="M982" s="17">
        <v>239900</v>
      </c>
      <c r="N982" s="15">
        <v>0.75</v>
      </c>
      <c r="O982" s="16">
        <f t="shared" si="75"/>
        <v>59975</v>
      </c>
      <c r="P982" s="11" t="s">
        <v>20</v>
      </c>
    </row>
    <row r="983" spans="1:16" x14ac:dyDescent="0.25">
      <c r="A983" s="9" t="str">
        <f t="shared" si="77"/>
        <v>2024 ALL D75</v>
      </c>
      <c r="B983" s="10">
        <f t="shared" si="77"/>
        <v>46104</v>
      </c>
      <c r="C983" s="10">
        <v>46113</v>
      </c>
      <c r="D983" s="11">
        <v>3273</v>
      </c>
      <c r="E983" s="11">
        <v>336</v>
      </c>
      <c r="F983" s="11">
        <v>4</v>
      </c>
      <c r="G983" s="20">
        <v>3</v>
      </c>
      <c r="H983" s="13">
        <v>81588</v>
      </c>
      <c r="I983" s="11" t="s">
        <v>17</v>
      </c>
      <c r="J983" s="13">
        <v>18547950</v>
      </c>
      <c r="K983" s="13" t="s">
        <v>1143</v>
      </c>
      <c r="L983" s="13" t="s">
        <v>1146</v>
      </c>
      <c r="M983" s="17">
        <v>239900</v>
      </c>
      <c r="N983" s="15">
        <v>0.75</v>
      </c>
      <c r="O983" s="16">
        <f t="shared" si="75"/>
        <v>59975</v>
      </c>
      <c r="P983" s="11" t="s">
        <v>20</v>
      </c>
    </row>
    <row r="984" spans="1:16" x14ac:dyDescent="0.25">
      <c r="A984" s="9" t="str">
        <f t="shared" si="77"/>
        <v>2024 ALL D75</v>
      </c>
      <c r="B984" s="10">
        <f t="shared" si="77"/>
        <v>46104</v>
      </c>
      <c r="C984" s="10">
        <v>46113</v>
      </c>
      <c r="D984" s="11">
        <v>3273</v>
      </c>
      <c r="E984" s="11">
        <v>336</v>
      </c>
      <c r="F984" s="11">
        <v>4</v>
      </c>
      <c r="G984" s="20">
        <v>3</v>
      </c>
      <c r="H984" s="13">
        <v>81588</v>
      </c>
      <c r="I984" s="11" t="s">
        <v>17</v>
      </c>
      <c r="J984" s="13">
        <v>18547987</v>
      </c>
      <c r="K984" s="13" t="s">
        <v>1143</v>
      </c>
      <c r="L984" s="13" t="s">
        <v>1147</v>
      </c>
      <c r="M984" s="17">
        <v>239900</v>
      </c>
      <c r="N984" s="15">
        <v>0.75</v>
      </c>
      <c r="O984" s="16">
        <f t="shared" si="75"/>
        <v>59975</v>
      </c>
      <c r="P984" s="11" t="s">
        <v>20</v>
      </c>
    </row>
    <row r="985" spans="1:16" x14ac:dyDescent="0.25">
      <c r="A985" s="9" t="str">
        <f t="shared" si="77"/>
        <v>2024 ALL D75</v>
      </c>
      <c r="B985" s="10">
        <f t="shared" si="77"/>
        <v>46104</v>
      </c>
      <c r="C985" s="10">
        <v>46113</v>
      </c>
      <c r="D985" s="11">
        <v>3273</v>
      </c>
      <c r="E985" s="11">
        <v>336</v>
      </c>
      <c r="F985" s="11">
        <v>4</v>
      </c>
      <c r="G985" s="20">
        <v>3</v>
      </c>
      <c r="H985" s="13">
        <v>81588</v>
      </c>
      <c r="I985" s="11" t="s">
        <v>17</v>
      </c>
      <c r="J985" s="13">
        <v>18548020</v>
      </c>
      <c r="K985" s="13" t="s">
        <v>1143</v>
      </c>
      <c r="L985" s="13" t="s">
        <v>1148</v>
      </c>
      <c r="M985" s="17">
        <v>239900</v>
      </c>
      <c r="N985" s="15">
        <v>0.75</v>
      </c>
      <c r="O985" s="16">
        <f t="shared" si="75"/>
        <v>59975</v>
      </c>
      <c r="P985" s="11" t="s">
        <v>20</v>
      </c>
    </row>
    <row r="986" spans="1:16" x14ac:dyDescent="0.25">
      <c r="A986" s="9" t="str">
        <f t="shared" si="77"/>
        <v>2024 ALL D75</v>
      </c>
      <c r="B986" s="10">
        <f t="shared" si="77"/>
        <v>46104</v>
      </c>
      <c r="C986" s="10">
        <v>46113</v>
      </c>
      <c r="D986" s="11">
        <v>3273</v>
      </c>
      <c r="E986" s="11">
        <v>336</v>
      </c>
      <c r="F986" s="11">
        <v>4</v>
      </c>
      <c r="G986" s="20">
        <v>3</v>
      </c>
      <c r="H986" s="13">
        <v>81588</v>
      </c>
      <c r="I986" s="11" t="s">
        <v>17</v>
      </c>
      <c r="J986" s="13">
        <v>18548039</v>
      </c>
      <c r="K986" s="13" t="s">
        <v>1143</v>
      </c>
      <c r="L986" s="13" t="s">
        <v>1149</v>
      </c>
      <c r="M986" s="17">
        <v>239900</v>
      </c>
      <c r="N986" s="15">
        <v>0.75</v>
      </c>
      <c r="O986" s="16">
        <f t="shared" si="75"/>
        <v>59975</v>
      </c>
      <c r="P986" s="11" t="s">
        <v>20</v>
      </c>
    </row>
    <row r="987" spans="1:16" x14ac:dyDescent="0.25">
      <c r="A987" s="9" t="str">
        <f t="shared" si="77"/>
        <v>2024 ALL D75</v>
      </c>
      <c r="B987" s="10">
        <f t="shared" si="77"/>
        <v>46104</v>
      </c>
      <c r="C987" s="10">
        <v>46113</v>
      </c>
      <c r="D987" s="11">
        <v>3273</v>
      </c>
      <c r="E987" s="11">
        <v>336</v>
      </c>
      <c r="F987" s="11">
        <v>4</v>
      </c>
      <c r="G987" s="20">
        <v>6</v>
      </c>
      <c r="H987" s="13">
        <v>81588</v>
      </c>
      <c r="I987" s="11" t="s">
        <v>17</v>
      </c>
      <c r="J987" s="13">
        <v>18549136</v>
      </c>
      <c r="K987" s="13" t="s">
        <v>1150</v>
      </c>
      <c r="L987" s="13" t="s">
        <v>1151</v>
      </c>
      <c r="M987" s="17">
        <v>139900</v>
      </c>
      <c r="N987" s="15">
        <v>0.75</v>
      </c>
      <c r="O987" s="16">
        <f t="shared" si="75"/>
        <v>34975</v>
      </c>
      <c r="P987" s="11" t="s">
        <v>20</v>
      </c>
    </row>
    <row r="988" spans="1:16" x14ac:dyDescent="0.25">
      <c r="A988" s="9" t="str">
        <f t="shared" si="77"/>
        <v>2024 ALL D75</v>
      </c>
      <c r="B988" s="10">
        <f t="shared" si="77"/>
        <v>46104</v>
      </c>
      <c r="C988" s="10">
        <v>46113</v>
      </c>
      <c r="D988" s="11">
        <v>3273</v>
      </c>
      <c r="E988" s="11">
        <v>336</v>
      </c>
      <c r="F988" s="11">
        <v>4</v>
      </c>
      <c r="G988" s="20">
        <v>6</v>
      </c>
      <c r="H988" s="13">
        <v>81588</v>
      </c>
      <c r="I988" s="11" t="s">
        <v>17</v>
      </c>
      <c r="J988" s="13">
        <v>18549154</v>
      </c>
      <c r="K988" s="13" t="s">
        <v>1150</v>
      </c>
      <c r="L988" s="13" t="s">
        <v>1152</v>
      </c>
      <c r="M988" s="17">
        <v>139900</v>
      </c>
      <c r="N988" s="15">
        <v>0.75</v>
      </c>
      <c r="O988" s="16">
        <f t="shared" si="75"/>
        <v>34975</v>
      </c>
      <c r="P988" s="11" t="s">
        <v>20</v>
      </c>
    </row>
    <row r="989" spans="1:16" x14ac:dyDescent="0.25">
      <c r="A989" s="9" t="str">
        <f t="shared" si="77"/>
        <v>2024 ALL D75</v>
      </c>
      <c r="B989" s="10">
        <f t="shared" si="77"/>
        <v>46104</v>
      </c>
      <c r="C989" s="10">
        <v>46113</v>
      </c>
      <c r="D989" s="11">
        <v>3273</v>
      </c>
      <c r="E989" s="11">
        <v>336</v>
      </c>
      <c r="F989" s="11">
        <v>4</v>
      </c>
      <c r="G989" s="20">
        <v>6</v>
      </c>
      <c r="H989" s="13">
        <v>81588</v>
      </c>
      <c r="I989" s="11" t="s">
        <v>17</v>
      </c>
      <c r="J989" s="13">
        <v>18549172</v>
      </c>
      <c r="K989" s="13" t="s">
        <v>1150</v>
      </c>
      <c r="L989" s="13" t="s">
        <v>1153</v>
      </c>
      <c r="M989" s="17">
        <v>139900</v>
      </c>
      <c r="N989" s="15">
        <v>0.75</v>
      </c>
      <c r="O989" s="16">
        <f t="shared" si="75"/>
        <v>34975</v>
      </c>
      <c r="P989" s="11" t="s">
        <v>20</v>
      </c>
    </row>
    <row r="990" spans="1:16" x14ac:dyDescent="0.25">
      <c r="A990" s="9" t="str">
        <f t="shared" si="77"/>
        <v>2024 ALL D75</v>
      </c>
      <c r="B990" s="10">
        <f t="shared" si="77"/>
        <v>46104</v>
      </c>
      <c r="C990" s="10">
        <v>46113</v>
      </c>
      <c r="D990" s="11">
        <v>3273</v>
      </c>
      <c r="E990" s="11">
        <v>336</v>
      </c>
      <c r="F990" s="11">
        <v>4</v>
      </c>
      <c r="G990" s="20">
        <v>6</v>
      </c>
      <c r="H990" s="13">
        <v>81588</v>
      </c>
      <c r="I990" s="11" t="s">
        <v>17</v>
      </c>
      <c r="J990" s="13">
        <v>18549181</v>
      </c>
      <c r="K990" s="13" t="s">
        <v>1150</v>
      </c>
      <c r="L990" s="13" t="s">
        <v>1154</v>
      </c>
      <c r="M990" s="17">
        <v>139900</v>
      </c>
      <c r="N990" s="15">
        <v>0.75</v>
      </c>
      <c r="O990" s="16">
        <f t="shared" si="75"/>
        <v>34975</v>
      </c>
      <c r="P990" s="11" t="s">
        <v>20</v>
      </c>
    </row>
    <row r="991" spans="1:16" x14ac:dyDescent="0.25">
      <c r="A991" s="9" t="str">
        <f t="shared" si="77"/>
        <v>2024 ALL D75</v>
      </c>
      <c r="B991" s="10">
        <f t="shared" si="77"/>
        <v>46104</v>
      </c>
      <c r="C991" s="10">
        <v>46113</v>
      </c>
      <c r="D991" s="11">
        <v>3273</v>
      </c>
      <c r="E991" s="11">
        <v>336</v>
      </c>
      <c r="F991" s="11">
        <v>4</v>
      </c>
      <c r="G991" s="20">
        <v>6</v>
      </c>
      <c r="H991" s="13">
        <v>81588</v>
      </c>
      <c r="I991" s="11" t="s">
        <v>17</v>
      </c>
      <c r="J991" s="13">
        <v>18549190</v>
      </c>
      <c r="K991" s="13" t="s">
        <v>1150</v>
      </c>
      <c r="L991" s="13" t="s">
        <v>1155</v>
      </c>
      <c r="M991" s="17">
        <v>139900</v>
      </c>
      <c r="N991" s="15">
        <v>0.75</v>
      </c>
      <c r="O991" s="16">
        <f t="shared" si="75"/>
        <v>34975</v>
      </c>
      <c r="P991" s="11" t="s">
        <v>20</v>
      </c>
    </row>
    <row r="992" spans="1:16" x14ac:dyDescent="0.25">
      <c r="A992" s="9" t="str">
        <f t="shared" si="77"/>
        <v>2024 ALL D75</v>
      </c>
      <c r="B992" s="10">
        <f t="shared" si="77"/>
        <v>46104</v>
      </c>
      <c r="C992" s="10">
        <v>46113</v>
      </c>
      <c r="D992" s="11">
        <v>3273</v>
      </c>
      <c r="E992" s="11">
        <v>336</v>
      </c>
      <c r="F992" s="11">
        <v>4</v>
      </c>
      <c r="G992" s="20">
        <v>6</v>
      </c>
      <c r="H992" s="13">
        <v>81588</v>
      </c>
      <c r="I992" s="11" t="s">
        <v>17</v>
      </c>
      <c r="J992" s="13">
        <v>18549207</v>
      </c>
      <c r="K992" s="13" t="s">
        <v>1156</v>
      </c>
      <c r="L992" s="13" t="s">
        <v>1157</v>
      </c>
      <c r="M992" s="17">
        <v>139900</v>
      </c>
      <c r="N992" s="15">
        <v>0.75</v>
      </c>
      <c r="O992" s="16">
        <f t="shared" si="75"/>
        <v>34975</v>
      </c>
      <c r="P992" s="11" t="s">
        <v>20</v>
      </c>
    </row>
    <row r="993" spans="1:16" x14ac:dyDescent="0.25">
      <c r="A993" s="9" t="str">
        <f t="shared" si="77"/>
        <v>2024 ALL D75</v>
      </c>
      <c r="B993" s="10">
        <f t="shared" si="77"/>
        <v>46104</v>
      </c>
      <c r="C993" s="10">
        <v>46113</v>
      </c>
      <c r="D993" s="11">
        <v>3273</v>
      </c>
      <c r="E993" s="11">
        <v>336</v>
      </c>
      <c r="F993" s="11">
        <v>4</v>
      </c>
      <c r="G993" s="20">
        <v>6</v>
      </c>
      <c r="H993" s="13">
        <v>81588</v>
      </c>
      <c r="I993" s="11" t="s">
        <v>17</v>
      </c>
      <c r="J993" s="13">
        <v>18549216</v>
      </c>
      <c r="K993" s="13" t="s">
        <v>1156</v>
      </c>
      <c r="L993" s="13" t="s">
        <v>1158</v>
      </c>
      <c r="M993" s="17">
        <v>139900</v>
      </c>
      <c r="N993" s="15">
        <v>0.75</v>
      </c>
      <c r="O993" s="16">
        <f t="shared" si="75"/>
        <v>34975</v>
      </c>
      <c r="P993" s="11" t="s">
        <v>20</v>
      </c>
    </row>
    <row r="994" spans="1:16" x14ac:dyDescent="0.25">
      <c r="A994" s="9" t="str">
        <f t="shared" si="77"/>
        <v>2024 ALL D75</v>
      </c>
      <c r="B994" s="10">
        <f t="shared" si="77"/>
        <v>46104</v>
      </c>
      <c r="C994" s="10">
        <v>46113</v>
      </c>
      <c r="D994" s="11">
        <v>3273</v>
      </c>
      <c r="E994" s="11">
        <v>336</v>
      </c>
      <c r="F994" s="11">
        <v>4</v>
      </c>
      <c r="G994" s="20">
        <v>6</v>
      </c>
      <c r="H994" s="13">
        <v>81588</v>
      </c>
      <c r="I994" s="11" t="s">
        <v>17</v>
      </c>
      <c r="J994" s="13">
        <v>18549225</v>
      </c>
      <c r="K994" s="13" t="s">
        <v>1156</v>
      </c>
      <c r="L994" s="13" t="s">
        <v>1159</v>
      </c>
      <c r="M994" s="17">
        <v>139900</v>
      </c>
      <c r="N994" s="15">
        <v>0.75</v>
      </c>
      <c r="O994" s="16">
        <f t="shared" si="75"/>
        <v>34975</v>
      </c>
      <c r="P994" s="11" t="s">
        <v>20</v>
      </c>
    </row>
    <row r="995" spans="1:16" x14ac:dyDescent="0.25">
      <c r="A995" s="9" t="str">
        <f t="shared" ref="A995:B1010" si="78">A994</f>
        <v>2024 ALL D75</v>
      </c>
      <c r="B995" s="10">
        <f t="shared" si="78"/>
        <v>46104</v>
      </c>
      <c r="C995" s="10">
        <v>46113</v>
      </c>
      <c r="D995" s="11">
        <v>3273</v>
      </c>
      <c r="E995" s="11">
        <v>336</v>
      </c>
      <c r="F995" s="11">
        <v>4</v>
      </c>
      <c r="G995" s="20">
        <v>6</v>
      </c>
      <c r="H995" s="13">
        <v>81588</v>
      </c>
      <c r="I995" s="11" t="s">
        <v>17</v>
      </c>
      <c r="J995" s="13">
        <v>18549234</v>
      </c>
      <c r="K995" s="13" t="s">
        <v>1156</v>
      </c>
      <c r="L995" s="13" t="s">
        <v>1160</v>
      </c>
      <c r="M995" s="17">
        <v>139900</v>
      </c>
      <c r="N995" s="15">
        <v>0.75</v>
      </c>
      <c r="O995" s="16">
        <f t="shared" si="75"/>
        <v>34975</v>
      </c>
      <c r="P995" s="11" t="s">
        <v>20</v>
      </c>
    </row>
    <row r="996" spans="1:16" x14ac:dyDescent="0.25">
      <c r="A996" s="9" t="str">
        <f t="shared" si="78"/>
        <v>2024 ALL D75</v>
      </c>
      <c r="B996" s="10">
        <f t="shared" si="78"/>
        <v>46104</v>
      </c>
      <c r="C996" s="10">
        <v>46113</v>
      </c>
      <c r="D996" s="11">
        <v>3273</v>
      </c>
      <c r="E996" s="11">
        <v>336</v>
      </c>
      <c r="F996" s="11">
        <v>4</v>
      </c>
      <c r="G996" s="20">
        <v>6</v>
      </c>
      <c r="H996" s="13">
        <v>81588</v>
      </c>
      <c r="I996" s="11" t="s">
        <v>17</v>
      </c>
      <c r="J996" s="13">
        <v>18549243</v>
      </c>
      <c r="K996" s="13" t="s">
        <v>1156</v>
      </c>
      <c r="L996" s="13" t="s">
        <v>1161</v>
      </c>
      <c r="M996" s="17">
        <v>139900</v>
      </c>
      <c r="N996" s="15">
        <v>0.75</v>
      </c>
      <c r="O996" s="16">
        <f t="shared" si="75"/>
        <v>34975</v>
      </c>
      <c r="P996" s="11" t="s">
        <v>20</v>
      </c>
    </row>
    <row r="997" spans="1:16" x14ac:dyDescent="0.25">
      <c r="A997" s="9" t="str">
        <f t="shared" si="78"/>
        <v>2024 ALL D75</v>
      </c>
      <c r="B997" s="10">
        <f t="shared" si="78"/>
        <v>46104</v>
      </c>
      <c r="C997" s="10">
        <v>46113</v>
      </c>
      <c r="D997" s="11">
        <v>3273</v>
      </c>
      <c r="E997" s="11">
        <v>336</v>
      </c>
      <c r="F997" s="11">
        <v>4</v>
      </c>
      <c r="G997" s="20">
        <v>10</v>
      </c>
      <c r="H997" s="13">
        <v>81574</v>
      </c>
      <c r="I997" s="11" t="s">
        <v>17</v>
      </c>
      <c r="J997" s="13">
        <v>18633544</v>
      </c>
      <c r="K997" s="13" t="s">
        <v>1162</v>
      </c>
      <c r="L997" s="13" t="s">
        <v>1163</v>
      </c>
      <c r="M997" s="17">
        <v>149900</v>
      </c>
      <c r="N997" s="15">
        <v>0.75</v>
      </c>
      <c r="O997" s="16">
        <f t="shared" si="75"/>
        <v>37475</v>
      </c>
      <c r="P997" s="11" t="s">
        <v>20</v>
      </c>
    </row>
    <row r="998" spans="1:16" x14ac:dyDescent="0.25">
      <c r="A998" s="9" t="str">
        <f t="shared" si="78"/>
        <v>2024 ALL D75</v>
      </c>
      <c r="B998" s="10">
        <f t="shared" si="78"/>
        <v>46104</v>
      </c>
      <c r="C998" s="10">
        <v>46113</v>
      </c>
      <c r="D998" s="11">
        <v>3273</v>
      </c>
      <c r="E998" s="11">
        <v>336</v>
      </c>
      <c r="F998" s="11">
        <v>4</v>
      </c>
      <c r="G998" s="20">
        <v>10</v>
      </c>
      <c r="H998" s="13">
        <v>81574</v>
      </c>
      <c r="I998" s="11" t="s">
        <v>17</v>
      </c>
      <c r="J998" s="13">
        <v>18633455</v>
      </c>
      <c r="K998" s="13" t="s">
        <v>1164</v>
      </c>
      <c r="L998" s="13" t="s">
        <v>1165</v>
      </c>
      <c r="M998" s="17">
        <v>149900</v>
      </c>
      <c r="N998" s="15">
        <v>0.75</v>
      </c>
      <c r="O998" s="16">
        <f t="shared" si="75"/>
        <v>37475</v>
      </c>
      <c r="P998" s="11" t="s">
        <v>20</v>
      </c>
    </row>
    <row r="999" spans="1:16" x14ac:dyDescent="0.25">
      <c r="A999" s="9" t="str">
        <f t="shared" si="78"/>
        <v>2024 ALL D75</v>
      </c>
      <c r="B999" s="10">
        <f t="shared" si="78"/>
        <v>46104</v>
      </c>
      <c r="C999" s="10">
        <v>46113</v>
      </c>
      <c r="D999" s="11">
        <v>3273</v>
      </c>
      <c r="E999" s="11">
        <v>336</v>
      </c>
      <c r="F999" s="11">
        <v>4</v>
      </c>
      <c r="G999" s="20">
        <v>4</v>
      </c>
      <c r="H999" s="13">
        <v>81588</v>
      </c>
      <c r="I999" s="11" t="s">
        <v>17</v>
      </c>
      <c r="J999" s="13">
        <v>18548404</v>
      </c>
      <c r="K999" s="13" t="s">
        <v>1166</v>
      </c>
      <c r="L999" s="13" t="s">
        <v>1167</v>
      </c>
      <c r="M999" s="17">
        <v>239900</v>
      </c>
      <c r="N999" s="15">
        <v>0.75</v>
      </c>
      <c r="O999" s="16">
        <f t="shared" si="75"/>
        <v>59975</v>
      </c>
      <c r="P999" s="11" t="s">
        <v>20</v>
      </c>
    </row>
    <row r="1000" spans="1:16" x14ac:dyDescent="0.25">
      <c r="A1000" s="9" t="str">
        <f t="shared" si="78"/>
        <v>2024 ALL D75</v>
      </c>
      <c r="B1000" s="10">
        <f t="shared" si="78"/>
        <v>46104</v>
      </c>
      <c r="C1000" s="10">
        <v>46113</v>
      </c>
      <c r="D1000" s="11">
        <v>3273</v>
      </c>
      <c r="E1000" s="11">
        <v>336</v>
      </c>
      <c r="F1000" s="11">
        <v>4</v>
      </c>
      <c r="G1000" s="20">
        <v>4</v>
      </c>
      <c r="H1000" s="13">
        <v>81588</v>
      </c>
      <c r="I1000" s="11" t="s">
        <v>17</v>
      </c>
      <c r="J1000" s="13">
        <v>18548468</v>
      </c>
      <c r="K1000" s="13" t="s">
        <v>1166</v>
      </c>
      <c r="L1000" s="13" t="s">
        <v>1168</v>
      </c>
      <c r="M1000" s="17">
        <v>239900</v>
      </c>
      <c r="N1000" s="15">
        <v>0.75</v>
      </c>
      <c r="O1000" s="16">
        <f t="shared" si="75"/>
        <v>59975</v>
      </c>
      <c r="P1000" s="11" t="s">
        <v>20</v>
      </c>
    </row>
    <row r="1001" spans="1:16" x14ac:dyDescent="0.25">
      <c r="A1001" s="9" t="str">
        <f t="shared" si="78"/>
        <v>2024 ALL D75</v>
      </c>
      <c r="B1001" s="10">
        <f t="shared" si="78"/>
        <v>46104</v>
      </c>
      <c r="C1001" s="10">
        <v>46113</v>
      </c>
      <c r="D1001" s="11">
        <v>3273</v>
      </c>
      <c r="E1001" s="11">
        <v>336</v>
      </c>
      <c r="F1001" s="11">
        <v>4</v>
      </c>
      <c r="G1001" s="20">
        <v>4</v>
      </c>
      <c r="H1001" s="13">
        <v>81588</v>
      </c>
      <c r="I1001" s="11" t="s">
        <v>17</v>
      </c>
      <c r="J1001" s="13">
        <v>18548486</v>
      </c>
      <c r="K1001" s="13" t="s">
        <v>1166</v>
      </c>
      <c r="L1001" s="13" t="s">
        <v>1169</v>
      </c>
      <c r="M1001" s="17">
        <v>239900</v>
      </c>
      <c r="N1001" s="15">
        <v>0.75</v>
      </c>
      <c r="O1001" s="16">
        <f t="shared" si="75"/>
        <v>59975</v>
      </c>
      <c r="P1001" s="11" t="s">
        <v>20</v>
      </c>
    </row>
    <row r="1002" spans="1:16" x14ac:dyDescent="0.25">
      <c r="A1002" s="9" t="str">
        <f t="shared" si="78"/>
        <v>2024 ALL D75</v>
      </c>
      <c r="B1002" s="10">
        <f t="shared" si="78"/>
        <v>46104</v>
      </c>
      <c r="C1002" s="10">
        <v>46113</v>
      </c>
      <c r="D1002" s="11">
        <v>3273</v>
      </c>
      <c r="E1002" s="11">
        <v>336</v>
      </c>
      <c r="F1002" s="11">
        <v>4</v>
      </c>
      <c r="G1002" s="20">
        <v>4</v>
      </c>
      <c r="H1002" s="13">
        <v>81588</v>
      </c>
      <c r="I1002" s="11" t="s">
        <v>17</v>
      </c>
      <c r="J1002" s="13">
        <v>18548495</v>
      </c>
      <c r="K1002" s="13" t="s">
        <v>1166</v>
      </c>
      <c r="L1002" s="13" t="s">
        <v>1170</v>
      </c>
      <c r="M1002" s="17">
        <v>239900</v>
      </c>
      <c r="N1002" s="15">
        <v>0.75</v>
      </c>
      <c r="O1002" s="16">
        <f t="shared" si="75"/>
        <v>59975</v>
      </c>
      <c r="P1002" s="11" t="s">
        <v>20</v>
      </c>
    </row>
    <row r="1003" spans="1:16" x14ac:dyDescent="0.25">
      <c r="A1003" s="9" t="str">
        <f t="shared" si="78"/>
        <v>2024 ALL D75</v>
      </c>
      <c r="B1003" s="10">
        <f t="shared" si="78"/>
        <v>46104</v>
      </c>
      <c r="C1003" s="10">
        <v>46113</v>
      </c>
      <c r="D1003" s="11">
        <v>3273</v>
      </c>
      <c r="E1003" s="11">
        <v>336</v>
      </c>
      <c r="F1003" s="11">
        <v>4</v>
      </c>
      <c r="G1003" s="20">
        <v>4</v>
      </c>
      <c r="H1003" s="13">
        <v>81588</v>
      </c>
      <c r="I1003" s="11" t="s">
        <v>17</v>
      </c>
      <c r="J1003" s="13">
        <v>18548502</v>
      </c>
      <c r="K1003" s="13" t="s">
        <v>1166</v>
      </c>
      <c r="L1003" s="13" t="s">
        <v>1171</v>
      </c>
      <c r="M1003" s="17">
        <v>239900</v>
      </c>
      <c r="N1003" s="15">
        <v>0.75</v>
      </c>
      <c r="O1003" s="16">
        <f t="shared" si="75"/>
        <v>59975</v>
      </c>
      <c r="P1003" s="11" t="s">
        <v>20</v>
      </c>
    </row>
    <row r="1004" spans="1:16" x14ac:dyDescent="0.25">
      <c r="A1004" s="9" t="str">
        <f t="shared" si="78"/>
        <v>2024 ALL D75</v>
      </c>
      <c r="B1004" s="10">
        <f t="shared" si="78"/>
        <v>46104</v>
      </c>
      <c r="C1004" s="10">
        <v>46113</v>
      </c>
      <c r="D1004" s="11">
        <v>3273</v>
      </c>
      <c r="E1004" s="11">
        <v>336</v>
      </c>
      <c r="F1004" s="11">
        <v>4</v>
      </c>
      <c r="G1004" s="20">
        <v>4</v>
      </c>
      <c r="H1004" s="13">
        <v>81588</v>
      </c>
      <c r="I1004" s="11" t="s">
        <v>17</v>
      </c>
      <c r="J1004" s="13">
        <v>18548511</v>
      </c>
      <c r="K1004" s="13" t="s">
        <v>1166</v>
      </c>
      <c r="L1004" s="13" t="s">
        <v>1172</v>
      </c>
      <c r="M1004" s="17">
        <v>239900</v>
      </c>
      <c r="N1004" s="15">
        <v>0.75</v>
      </c>
      <c r="O1004" s="16">
        <f t="shared" si="75"/>
        <v>59975</v>
      </c>
      <c r="P1004" s="11" t="s">
        <v>20</v>
      </c>
    </row>
    <row r="1005" spans="1:16" x14ac:dyDescent="0.25">
      <c r="A1005" s="9" t="str">
        <f t="shared" si="78"/>
        <v>2024 ALL D75</v>
      </c>
      <c r="B1005" s="10">
        <f t="shared" si="78"/>
        <v>46104</v>
      </c>
      <c r="C1005" s="10">
        <v>46113</v>
      </c>
      <c r="D1005" s="11">
        <v>3273</v>
      </c>
      <c r="E1005" s="11">
        <v>336</v>
      </c>
      <c r="F1005" s="11">
        <v>4</v>
      </c>
      <c r="G1005" s="20">
        <v>4</v>
      </c>
      <c r="H1005" s="13">
        <v>81588</v>
      </c>
      <c r="I1005" s="11" t="s">
        <v>17</v>
      </c>
      <c r="J1005" s="13">
        <v>18548913</v>
      </c>
      <c r="K1005" s="13" t="s">
        <v>1173</v>
      </c>
      <c r="L1005" s="13" t="s">
        <v>1174</v>
      </c>
      <c r="M1005" s="17">
        <v>239900</v>
      </c>
      <c r="N1005" s="15">
        <v>0.75</v>
      </c>
      <c r="O1005" s="16">
        <f t="shared" si="75"/>
        <v>59975</v>
      </c>
      <c r="P1005" s="11" t="s">
        <v>20</v>
      </c>
    </row>
    <row r="1006" spans="1:16" x14ac:dyDescent="0.25">
      <c r="A1006" s="9" t="str">
        <f t="shared" si="78"/>
        <v>2024 ALL D75</v>
      </c>
      <c r="B1006" s="10">
        <f t="shared" si="78"/>
        <v>46104</v>
      </c>
      <c r="C1006" s="10">
        <v>46113</v>
      </c>
      <c r="D1006" s="11">
        <v>3273</v>
      </c>
      <c r="E1006" s="11">
        <v>336</v>
      </c>
      <c r="F1006" s="11">
        <v>4</v>
      </c>
      <c r="G1006" s="20">
        <v>4</v>
      </c>
      <c r="H1006" s="13">
        <v>81588</v>
      </c>
      <c r="I1006" s="11" t="s">
        <v>17</v>
      </c>
      <c r="J1006" s="13">
        <v>18548922</v>
      </c>
      <c r="K1006" s="13" t="s">
        <v>1173</v>
      </c>
      <c r="L1006" s="13" t="s">
        <v>1175</v>
      </c>
      <c r="M1006" s="17">
        <v>239900</v>
      </c>
      <c r="N1006" s="15">
        <v>0.75</v>
      </c>
      <c r="O1006" s="16">
        <f t="shared" si="75"/>
        <v>59975</v>
      </c>
      <c r="P1006" s="11" t="s">
        <v>20</v>
      </c>
    </row>
    <row r="1007" spans="1:16" x14ac:dyDescent="0.25">
      <c r="A1007" s="9" t="str">
        <f t="shared" si="78"/>
        <v>2024 ALL D75</v>
      </c>
      <c r="B1007" s="10">
        <f t="shared" si="78"/>
        <v>46104</v>
      </c>
      <c r="C1007" s="10">
        <v>46113</v>
      </c>
      <c r="D1007" s="11">
        <v>3273</v>
      </c>
      <c r="E1007" s="11">
        <v>336</v>
      </c>
      <c r="F1007" s="11">
        <v>4</v>
      </c>
      <c r="G1007" s="20">
        <v>4</v>
      </c>
      <c r="H1007" s="13">
        <v>81588</v>
      </c>
      <c r="I1007" s="11" t="s">
        <v>17</v>
      </c>
      <c r="J1007" s="13">
        <v>18548931</v>
      </c>
      <c r="K1007" s="13" t="s">
        <v>1173</v>
      </c>
      <c r="L1007" s="13" t="s">
        <v>1176</v>
      </c>
      <c r="M1007" s="17">
        <v>239900</v>
      </c>
      <c r="N1007" s="15">
        <v>0.75</v>
      </c>
      <c r="O1007" s="16">
        <f t="shared" si="75"/>
        <v>59975</v>
      </c>
      <c r="P1007" s="11" t="s">
        <v>20</v>
      </c>
    </row>
    <row r="1008" spans="1:16" x14ac:dyDescent="0.25">
      <c r="A1008" s="9" t="str">
        <f t="shared" si="78"/>
        <v>2024 ALL D75</v>
      </c>
      <c r="B1008" s="10">
        <f t="shared" si="78"/>
        <v>46104</v>
      </c>
      <c r="C1008" s="10">
        <v>46113</v>
      </c>
      <c r="D1008" s="11">
        <v>3273</v>
      </c>
      <c r="E1008" s="11">
        <v>336</v>
      </c>
      <c r="F1008" s="11">
        <v>4</v>
      </c>
      <c r="G1008" s="20">
        <v>4</v>
      </c>
      <c r="H1008" s="13">
        <v>81588</v>
      </c>
      <c r="I1008" s="11" t="s">
        <v>17</v>
      </c>
      <c r="J1008" s="13">
        <v>18548940</v>
      </c>
      <c r="K1008" s="13" t="s">
        <v>1173</v>
      </c>
      <c r="L1008" s="13" t="s">
        <v>1177</v>
      </c>
      <c r="M1008" s="17">
        <v>239900</v>
      </c>
      <c r="N1008" s="15">
        <v>0.75</v>
      </c>
      <c r="O1008" s="16">
        <f t="shared" si="75"/>
        <v>59975</v>
      </c>
      <c r="P1008" s="11" t="s">
        <v>20</v>
      </c>
    </row>
    <row r="1009" spans="1:16" x14ac:dyDescent="0.25">
      <c r="A1009" s="9" t="str">
        <f t="shared" si="78"/>
        <v>2024 ALL D75</v>
      </c>
      <c r="B1009" s="10">
        <f t="shared" si="78"/>
        <v>46104</v>
      </c>
      <c r="C1009" s="10">
        <v>46113</v>
      </c>
      <c r="D1009" s="11">
        <v>3273</v>
      </c>
      <c r="E1009" s="11">
        <v>336</v>
      </c>
      <c r="F1009" s="11">
        <v>4</v>
      </c>
      <c r="G1009" s="20">
        <v>4</v>
      </c>
      <c r="H1009" s="13">
        <v>81588</v>
      </c>
      <c r="I1009" s="11" t="s">
        <v>17</v>
      </c>
      <c r="J1009" s="13">
        <v>18548959</v>
      </c>
      <c r="K1009" s="13" t="s">
        <v>1173</v>
      </c>
      <c r="L1009" s="13" t="s">
        <v>1178</v>
      </c>
      <c r="M1009" s="17">
        <v>239900</v>
      </c>
      <c r="N1009" s="15">
        <v>0.75</v>
      </c>
      <c r="O1009" s="16">
        <f t="shared" si="75"/>
        <v>59975</v>
      </c>
      <c r="P1009" s="11" t="s">
        <v>20</v>
      </c>
    </row>
    <row r="1010" spans="1:16" x14ac:dyDescent="0.25">
      <c r="A1010" s="9" t="str">
        <f t="shared" si="78"/>
        <v>2024 ALL D75</v>
      </c>
      <c r="B1010" s="10">
        <f t="shared" si="78"/>
        <v>46104</v>
      </c>
      <c r="C1010" s="10">
        <v>46113</v>
      </c>
      <c r="D1010" s="11">
        <v>3273</v>
      </c>
      <c r="E1010" s="11">
        <v>336</v>
      </c>
      <c r="F1010" s="11">
        <v>4</v>
      </c>
      <c r="G1010" s="20">
        <v>4</v>
      </c>
      <c r="H1010" s="13">
        <v>81588</v>
      </c>
      <c r="I1010" s="11" t="s">
        <v>17</v>
      </c>
      <c r="J1010" s="13">
        <v>18548968</v>
      </c>
      <c r="K1010" s="13" t="s">
        <v>1173</v>
      </c>
      <c r="L1010" s="13" t="s">
        <v>1179</v>
      </c>
      <c r="M1010" s="17">
        <v>239900</v>
      </c>
      <c r="N1010" s="15">
        <v>0.75</v>
      </c>
      <c r="O1010" s="16">
        <f t="shared" si="75"/>
        <v>59975</v>
      </c>
      <c r="P1010" s="11" t="s">
        <v>20</v>
      </c>
    </row>
    <row r="1011" spans="1:16" x14ac:dyDescent="0.25">
      <c r="A1011" s="9" t="str">
        <f t="shared" ref="A1011:B1026" si="79">A1010</f>
        <v>2024 ALL D75</v>
      </c>
      <c r="B1011" s="10">
        <f t="shared" si="79"/>
        <v>46104</v>
      </c>
      <c r="C1011" s="10">
        <v>46113</v>
      </c>
      <c r="D1011" s="11">
        <v>3273</v>
      </c>
      <c r="E1011" s="11">
        <v>336</v>
      </c>
      <c r="F1011" s="11">
        <v>4</v>
      </c>
      <c r="G1011" s="20">
        <v>4</v>
      </c>
      <c r="H1011" s="13">
        <v>81588</v>
      </c>
      <c r="I1011" s="11" t="s">
        <v>17</v>
      </c>
      <c r="J1011" s="13">
        <v>18548271</v>
      </c>
      <c r="K1011" s="13" t="s">
        <v>1180</v>
      </c>
      <c r="L1011" s="13" t="s">
        <v>1181</v>
      </c>
      <c r="M1011" s="17">
        <v>159900</v>
      </c>
      <c r="N1011" s="15">
        <v>0.75</v>
      </c>
      <c r="O1011" s="16">
        <f t="shared" si="75"/>
        <v>39975</v>
      </c>
      <c r="P1011" s="11" t="s">
        <v>20</v>
      </c>
    </row>
    <row r="1012" spans="1:16" x14ac:dyDescent="0.25">
      <c r="A1012" s="9" t="str">
        <f t="shared" si="79"/>
        <v>2024 ALL D75</v>
      </c>
      <c r="B1012" s="10">
        <f t="shared" si="79"/>
        <v>46104</v>
      </c>
      <c r="C1012" s="10">
        <v>46113</v>
      </c>
      <c r="D1012" s="11">
        <v>3273</v>
      </c>
      <c r="E1012" s="11">
        <v>336</v>
      </c>
      <c r="F1012" s="11">
        <v>4</v>
      </c>
      <c r="G1012" s="20">
        <v>4</v>
      </c>
      <c r="H1012" s="13">
        <v>81588</v>
      </c>
      <c r="I1012" s="11" t="s">
        <v>17</v>
      </c>
      <c r="J1012" s="13">
        <v>18548280</v>
      </c>
      <c r="K1012" s="13" t="s">
        <v>1180</v>
      </c>
      <c r="L1012" s="13" t="s">
        <v>1182</v>
      </c>
      <c r="M1012" s="17">
        <v>159900</v>
      </c>
      <c r="N1012" s="15">
        <v>0.75</v>
      </c>
      <c r="O1012" s="16">
        <f t="shared" si="75"/>
        <v>39975</v>
      </c>
      <c r="P1012" s="11" t="s">
        <v>20</v>
      </c>
    </row>
    <row r="1013" spans="1:16" x14ac:dyDescent="0.25">
      <c r="A1013" s="9" t="str">
        <f t="shared" si="79"/>
        <v>2024 ALL D75</v>
      </c>
      <c r="B1013" s="10">
        <f t="shared" si="79"/>
        <v>46104</v>
      </c>
      <c r="C1013" s="10">
        <v>46113</v>
      </c>
      <c r="D1013" s="11">
        <v>3273</v>
      </c>
      <c r="E1013" s="11">
        <v>336</v>
      </c>
      <c r="F1013" s="11">
        <v>4</v>
      </c>
      <c r="G1013" s="20">
        <v>4</v>
      </c>
      <c r="H1013" s="13">
        <v>81588</v>
      </c>
      <c r="I1013" s="11" t="s">
        <v>17</v>
      </c>
      <c r="J1013" s="13">
        <v>18548306</v>
      </c>
      <c r="K1013" s="13" t="s">
        <v>1180</v>
      </c>
      <c r="L1013" s="13" t="s">
        <v>1183</v>
      </c>
      <c r="M1013" s="17">
        <v>159900</v>
      </c>
      <c r="N1013" s="15">
        <v>0.75</v>
      </c>
      <c r="O1013" s="16">
        <f t="shared" si="75"/>
        <v>39975</v>
      </c>
      <c r="P1013" s="11" t="s">
        <v>20</v>
      </c>
    </row>
    <row r="1014" spans="1:16" x14ac:dyDescent="0.25">
      <c r="A1014" s="9" t="str">
        <f t="shared" si="79"/>
        <v>2024 ALL D75</v>
      </c>
      <c r="B1014" s="10">
        <f t="shared" si="79"/>
        <v>46104</v>
      </c>
      <c r="C1014" s="10">
        <v>46113</v>
      </c>
      <c r="D1014" s="11">
        <v>3273</v>
      </c>
      <c r="E1014" s="11">
        <v>336</v>
      </c>
      <c r="F1014" s="11">
        <v>4</v>
      </c>
      <c r="G1014" s="20">
        <v>4</v>
      </c>
      <c r="H1014" s="13">
        <v>81588</v>
      </c>
      <c r="I1014" s="11" t="s">
        <v>17</v>
      </c>
      <c r="J1014" s="13">
        <v>18548379</v>
      </c>
      <c r="K1014" s="13" t="s">
        <v>1180</v>
      </c>
      <c r="L1014" s="13" t="s">
        <v>1184</v>
      </c>
      <c r="M1014" s="17">
        <v>159900</v>
      </c>
      <c r="N1014" s="15">
        <v>0.75</v>
      </c>
      <c r="O1014" s="16">
        <f t="shared" si="75"/>
        <v>39975</v>
      </c>
      <c r="P1014" s="11" t="s">
        <v>20</v>
      </c>
    </row>
    <row r="1015" spans="1:16" x14ac:dyDescent="0.25">
      <c r="A1015" s="9" t="str">
        <f t="shared" si="79"/>
        <v>2024 ALL D75</v>
      </c>
      <c r="B1015" s="10">
        <f t="shared" si="79"/>
        <v>46104</v>
      </c>
      <c r="C1015" s="10">
        <v>46113</v>
      </c>
      <c r="D1015" s="11">
        <v>3273</v>
      </c>
      <c r="E1015" s="11">
        <v>336</v>
      </c>
      <c r="F1015" s="11">
        <v>4</v>
      </c>
      <c r="G1015" s="20">
        <v>4</v>
      </c>
      <c r="H1015" s="13">
        <v>81588</v>
      </c>
      <c r="I1015" s="11" t="s">
        <v>17</v>
      </c>
      <c r="J1015" s="13">
        <v>18548388</v>
      </c>
      <c r="K1015" s="13" t="s">
        <v>1180</v>
      </c>
      <c r="L1015" s="13" t="s">
        <v>1185</v>
      </c>
      <c r="M1015" s="17">
        <v>159900</v>
      </c>
      <c r="N1015" s="15">
        <v>0.75</v>
      </c>
      <c r="O1015" s="16">
        <f t="shared" si="75"/>
        <v>39975</v>
      </c>
      <c r="P1015" s="11" t="s">
        <v>20</v>
      </c>
    </row>
    <row r="1016" spans="1:16" x14ac:dyDescent="0.25">
      <c r="A1016" s="9" t="str">
        <f t="shared" si="79"/>
        <v>2024 ALL D75</v>
      </c>
      <c r="B1016" s="10">
        <f t="shared" si="79"/>
        <v>46104</v>
      </c>
      <c r="C1016" s="10">
        <v>46113</v>
      </c>
      <c r="D1016" s="11">
        <v>3273</v>
      </c>
      <c r="E1016" s="11">
        <v>336</v>
      </c>
      <c r="F1016" s="11">
        <v>4</v>
      </c>
      <c r="G1016" s="20">
        <v>4</v>
      </c>
      <c r="H1016" s="13">
        <v>81588</v>
      </c>
      <c r="I1016" s="11" t="s">
        <v>17</v>
      </c>
      <c r="J1016" s="13">
        <v>18548397</v>
      </c>
      <c r="K1016" s="13" t="s">
        <v>1180</v>
      </c>
      <c r="L1016" s="13" t="s">
        <v>1186</v>
      </c>
      <c r="M1016" s="17">
        <v>159900</v>
      </c>
      <c r="N1016" s="15">
        <v>0.75</v>
      </c>
      <c r="O1016" s="16">
        <f t="shared" si="75"/>
        <v>39975</v>
      </c>
      <c r="P1016" s="11" t="s">
        <v>20</v>
      </c>
    </row>
    <row r="1017" spans="1:16" x14ac:dyDescent="0.25">
      <c r="A1017" s="9" t="str">
        <f t="shared" si="79"/>
        <v>2024 ALL D75</v>
      </c>
      <c r="B1017" s="10">
        <f t="shared" si="79"/>
        <v>46104</v>
      </c>
      <c r="C1017" s="10">
        <v>46113</v>
      </c>
      <c r="D1017" s="11">
        <v>3273</v>
      </c>
      <c r="E1017" s="11">
        <v>336</v>
      </c>
      <c r="F1017" s="11">
        <v>4</v>
      </c>
      <c r="G1017" s="20">
        <v>4</v>
      </c>
      <c r="H1017" s="13">
        <v>81588</v>
      </c>
      <c r="I1017" s="11" t="s">
        <v>17</v>
      </c>
      <c r="J1017" s="13">
        <v>18548851</v>
      </c>
      <c r="K1017" s="13" t="s">
        <v>1187</v>
      </c>
      <c r="L1017" s="13" t="s">
        <v>1188</v>
      </c>
      <c r="M1017" s="17">
        <v>159900</v>
      </c>
      <c r="N1017" s="15">
        <v>0.75</v>
      </c>
      <c r="O1017" s="16">
        <f t="shared" si="75"/>
        <v>39975</v>
      </c>
      <c r="P1017" s="11" t="s">
        <v>20</v>
      </c>
    </row>
    <row r="1018" spans="1:16" x14ac:dyDescent="0.25">
      <c r="A1018" s="9" t="str">
        <f t="shared" si="79"/>
        <v>2024 ALL D75</v>
      </c>
      <c r="B1018" s="10">
        <f t="shared" si="79"/>
        <v>46104</v>
      </c>
      <c r="C1018" s="10">
        <v>46113</v>
      </c>
      <c r="D1018" s="11">
        <v>3273</v>
      </c>
      <c r="E1018" s="11">
        <v>336</v>
      </c>
      <c r="F1018" s="11">
        <v>4</v>
      </c>
      <c r="G1018" s="20">
        <v>4</v>
      </c>
      <c r="H1018" s="13">
        <v>81588</v>
      </c>
      <c r="I1018" s="11" t="s">
        <v>17</v>
      </c>
      <c r="J1018" s="13">
        <v>18548860</v>
      </c>
      <c r="K1018" s="13" t="s">
        <v>1187</v>
      </c>
      <c r="L1018" s="13" t="s">
        <v>1189</v>
      </c>
      <c r="M1018" s="17">
        <v>159900</v>
      </c>
      <c r="N1018" s="15">
        <v>0.75</v>
      </c>
      <c r="O1018" s="16">
        <f t="shared" si="75"/>
        <v>39975</v>
      </c>
      <c r="P1018" s="11" t="s">
        <v>20</v>
      </c>
    </row>
    <row r="1019" spans="1:16" x14ac:dyDescent="0.25">
      <c r="A1019" s="9" t="str">
        <f t="shared" si="79"/>
        <v>2024 ALL D75</v>
      </c>
      <c r="B1019" s="10">
        <f t="shared" si="79"/>
        <v>46104</v>
      </c>
      <c r="C1019" s="10">
        <v>46113</v>
      </c>
      <c r="D1019" s="11">
        <v>3273</v>
      </c>
      <c r="E1019" s="11">
        <v>336</v>
      </c>
      <c r="F1019" s="11">
        <v>4</v>
      </c>
      <c r="G1019" s="20">
        <v>4</v>
      </c>
      <c r="H1019" s="13">
        <v>81588</v>
      </c>
      <c r="I1019" s="11" t="s">
        <v>17</v>
      </c>
      <c r="J1019" s="13">
        <v>18548879</v>
      </c>
      <c r="K1019" s="13" t="s">
        <v>1187</v>
      </c>
      <c r="L1019" s="13" t="s">
        <v>1190</v>
      </c>
      <c r="M1019" s="17">
        <v>159900</v>
      </c>
      <c r="N1019" s="15">
        <v>0.75</v>
      </c>
      <c r="O1019" s="16">
        <f t="shared" si="75"/>
        <v>39975</v>
      </c>
      <c r="P1019" s="11" t="s">
        <v>20</v>
      </c>
    </row>
    <row r="1020" spans="1:16" x14ac:dyDescent="0.25">
      <c r="A1020" s="9" t="str">
        <f t="shared" si="79"/>
        <v>2024 ALL D75</v>
      </c>
      <c r="B1020" s="10">
        <f t="shared" si="79"/>
        <v>46104</v>
      </c>
      <c r="C1020" s="10">
        <v>46113</v>
      </c>
      <c r="D1020" s="11">
        <v>3273</v>
      </c>
      <c r="E1020" s="11">
        <v>336</v>
      </c>
      <c r="F1020" s="11">
        <v>4</v>
      </c>
      <c r="G1020" s="20">
        <v>4</v>
      </c>
      <c r="H1020" s="13">
        <v>81588</v>
      </c>
      <c r="I1020" s="11" t="s">
        <v>17</v>
      </c>
      <c r="J1020" s="13">
        <v>18548888</v>
      </c>
      <c r="K1020" s="13" t="s">
        <v>1187</v>
      </c>
      <c r="L1020" s="13" t="s">
        <v>1191</v>
      </c>
      <c r="M1020" s="17">
        <v>159900</v>
      </c>
      <c r="N1020" s="15">
        <v>0.75</v>
      </c>
      <c r="O1020" s="16">
        <f t="shared" si="75"/>
        <v>39975</v>
      </c>
      <c r="P1020" s="11" t="s">
        <v>20</v>
      </c>
    </row>
    <row r="1021" spans="1:16" x14ac:dyDescent="0.25">
      <c r="A1021" s="9" t="str">
        <f t="shared" si="79"/>
        <v>2024 ALL D75</v>
      </c>
      <c r="B1021" s="10">
        <f t="shared" si="79"/>
        <v>46104</v>
      </c>
      <c r="C1021" s="10">
        <v>46113</v>
      </c>
      <c r="D1021" s="11">
        <v>3273</v>
      </c>
      <c r="E1021" s="11">
        <v>336</v>
      </c>
      <c r="F1021" s="11">
        <v>4</v>
      </c>
      <c r="G1021" s="20">
        <v>4</v>
      </c>
      <c r="H1021" s="13">
        <v>81588</v>
      </c>
      <c r="I1021" s="11" t="s">
        <v>17</v>
      </c>
      <c r="J1021" s="13">
        <v>18548897</v>
      </c>
      <c r="K1021" s="13" t="s">
        <v>1187</v>
      </c>
      <c r="L1021" s="13" t="s">
        <v>1192</v>
      </c>
      <c r="M1021" s="17">
        <v>159900</v>
      </c>
      <c r="N1021" s="15">
        <v>0.75</v>
      </c>
      <c r="O1021" s="16">
        <f t="shared" si="75"/>
        <v>39975</v>
      </c>
      <c r="P1021" s="11" t="s">
        <v>20</v>
      </c>
    </row>
    <row r="1022" spans="1:16" x14ac:dyDescent="0.25">
      <c r="A1022" s="9" t="str">
        <f t="shared" si="79"/>
        <v>2024 ALL D75</v>
      </c>
      <c r="B1022" s="10">
        <f t="shared" si="79"/>
        <v>46104</v>
      </c>
      <c r="C1022" s="10">
        <v>46113</v>
      </c>
      <c r="D1022" s="11">
        <v>3273</v>
      </c>
      <c r="E1022" s="11">
        <v>336</v>
      </c>
      <c r="F1022" s="11">
        <v>4</v>
      </c>
      <c r="G1022" s="20">
        <v>4</v>
      </c>
      <c r="H1022" s="13">
        <v>81588</v>
      </c>
      <c r="I1022" s="11" t="s">
        <v>17</v>
      </c>
      <c r="J1022" s="13">
        <v>18548904</v>
      </c>
      <c r="K1022" s="13" t="s">
        <v>1187</v>
      </c>
      <c r="L1022" s="13" t="s">
        <v>1193</v>
      </c>
      <c r="M1022" s="17">
        <v>159900</v>
      </c>
      <c r="N1022" s="15">
        <v>0.75</v>
      </c>
      <c r="O1022" s="16">
        <f t="shared" si="75"/>
        <v>39975</v>
      </c>
      <c r="P1022" s="11" t="s">
        <v>20</v>
      </c>
    </row>
    <row r="1023" spans="1:16" x14ac:dyDescent="0.25">
      <c r="A1023" s="9" t="str">
        <f t="shared" si="79"/>
        <v>2024 ALL D75</v>
      </c>
      <c r="B1023" s="10">
        <f t="shared" si="79"/>
        <v>46104</v>
      </c>
      <c r="C1023" s="10">
        <v>46113</v>
      </c>
      <c r="D1023" s="11">
        <v>3273</v>
      </c>
      <c r="E1023" s="11">
        <v>336</v>
      </c>
      <c r="F1023" s="11">
        <v>4</v>
      </c>
      <c r="G1023" s="20">
        <v>1</v>
      </c>
      <c r="H1023" s="13">
        <v>81588</v>
      </c>
      <c r="I1023" s="11" t="s">
        <v>17</v>
      </c>
      <c r="J1023" s="13">
        <v>18868836</v>
      </c>
      <c r="K1023" s="13" t="s">
        <v>1194</v>
      </c>
      <c r="L1023" s="13" t="s">
        <v>1195</v>
      </c>
      <c r="M1023" s="17">
        <v>119900</v>
      </c>
      <c r="N1023" s="15">
        <v>0.75</v>
      </c>
      <c r="O1023" s="16">
        <f t="shared" si="75"/>
        <v>29975</v>
      </c>
      <c r="P1023" s="11" t="s">
        <v>20</v>
      </c>
    </row>
    <row r="1024" spans="1:16" x14ac:dyDescent="0.25">
      <c r="A1024" s="9" t="str">
        <f t="shared" si="79"/>
        <v>2024 ALL D75</v>
      </c>
      <c r="B1024" s="10">
        <f t="shared" si="79"/>
        <v>46104</v>
      </c>
      <c r="C1024" s="10">
        <v>46113</v>
      </c>
      <c r="D1024" s="11">
        <v>3273</v>
      </c>
      <c r="E1024" s="11">
        <v>336</v>
      </c>
      <c r="F1024" s="11">
        <v>4</v>
      </c>
      <c r="G1024" s="20">
        <v>1</v>
      </c>
      <c r="H1024" s="13">
        <v>81588</v>
      </c>
      <c r="I1024" s="11" t="s">
        <v>17</v>
      </c>
      <c r="J1024" s="13">
        <v>18868845</v>
      </c>
      <c r="K1024" s="13" t="s">
        <v>1194</v>
      </c>
      <c r="L1024" s="13" t="s">
        <v>1196</v>
      </c>
      <c r="M1024" s="17">
        <v>119900</v>
      </c>
      <c r="N1024" s="15">
        <v>0.75</v>
      </c>
      <c r="O1024" s="16">
        <f t="shared" si="75"/>
        <v>29975</v>
      </c>
      <c r="P1024" s="11" t="s">
        <v>20</v>
      </c>
    </row>
    <row r="1025" spans="1:16" x14ac:dyDescent="0.25">
      <c r="A1025" s="9" t="str">
        <f t="shared" si="79"/>
        <v>2024 ALL D75</v>
      </c>
      <c r="B1025" s="10">
        <f t="shared" si="79"/>
        <v>46104</v>
      </c>
      <c r="C1025" s="10">
        <v>46113</v>
      </c>
      <c r="D1025" s="11">
        <v>3273</v>
      </c>
      <c r="E1025" s="11">
        <v>336</v>
      </c>
      <c r="F1025" s="11">
        <v>4</v>
      </c>
      <c r="G1025" s="20">
        <v>1</v>
      </c>
      <c r="H1025" s="13">
        <v>81588</v>
      </c>
      <c r="I1025" s="11" t="s">
        <v>17</v>
      </c>
      <c r="J1025" s="13">
        <v>18868863</v>
      </c>
      <c r="K1025" s="13" t="s">
        <v>1194</v>
      </c>
      <c r="L1025" s="13" t="s">
        <v>1197</v>
      </c>
      <c r="M1025" s="17">
        <v>119900</v>
      </c>
      <c r="N1025" s="15">
        <v>0.75</v>
      </c>
      <c r="O1025" s="16">
        <f t="shared" si="75"/>
        <v>29975</v>
      </c>
      <c r="P1025" s="11" t="s">
        <v>20</v>
      </c>
    </row>
    <row r="1026" spans="1:16" x14ac:dyDescent="0.25">
      <c r="A1026" s="9" t="str">
        <f t="shared" si="79"/>
        <v>2024 ALL D75</v>
      </c>
      <c r="B1026" s="10">
        <f t="shared" si="79"/>
        <v>46104</v>
      </c>
      <c r="C1026" s="10">
        <v>46113</v>
      </c>
      <c r="D1026" s="11">
        <v>3273</v>
      </c>
      <c r="E1026" s="11">
        <v>336</v>
      </c>
      <c r="F1026" s="11">
        <v>4</v>
      </c>
      <c r="G1026" s="20">
        <v>1</v>
      </c>
      <c r="H1026" s="13">
        <v>81588</v>
      </c>
      <c r="I1026" s="11" t="s">
        <v>17</v>
      </c>
      <c r="J1026" s="13">
        <v>18868872</v>
      </c>
      <c r="K1026" s="13" t="s">
        <v>1194</v>
      </c>
      <c r="L1026" s="13" t="s">
        <v>1198</v>
      </c>
      <c r="M1026" s="17">
        <v>119900</v>
      </c>
      <c r="N1026" s="15">
        <v>0.75</v>
      </c>
      <c r="O1026" s="16">
        <f t="shared" ref="O1026:O1089" si="80">M1026*(1-N1026)</f>
        <v>29975</v>
      </c>
      <c r="P1026" s="11" t="s">
        <v>20</v>
      </c>
    </row>
    <row r="1027" spans="1:16" x14ac:dyDescent="0.25">
      <c r="A1027" s="9" t="str">
        <f t="shared" ref="A1027:B1042" si="81">A1026</f>
        <v>2024 ALL D75</v>
      </c>
      <c r="B1027" s="10">
        <f t="shared" si="81"/>
        <v>46104</v>
      </c>
      <c r="C1027" s="10">
        <v>46113</v>
      </c>
      <c r="D1027" s="11">
        <v>3273</v>
      </c>
      <c r="E1027" s="11">
        <v>336</v>
      </c>
      <c r="F1027" s="11">
        <v>4</v>
      </c>
      <c r="G1027" s="20">
        <v>1</v>
      </c>
      <c r="H1027" s="13">
        <v>81588</v>
      </c>
      <c r="I1027" s="11" t="s">
        <v>17</v>
      </c>
      <c r="J1027" s="13">
        <v>18868925</v>
      </c>
      <c r="K1027" s="13" t="s">
        <v>1194</v>
      </c>
      <c r="L1027" s="13" t="s">
        <v>1199</v>
      </c>
      <c r="M1027" s="17">
        <v>119900</v>
      </c>
      <c r="N1027" s="15">
        <v>0.75</v>
      </c>
      <c r="O1027" s="16">
        <f t="shared" si="80"/>
        <v>29975</v>
      </c>
      <c r="P1027" s="11" t="s">
        <v>20</v>
      </c>
    </row>
    <row r="1028" spans="1:16" x14ac:dyDescent="0.25">
      <c r="A1028" s="9" t="str">
        <f t="shared" si="81"/>
        <v>2024 ALL D75</v>
      </c>
      <c r="B1028" s="10">
        <f t="shared" si="81"/>
        <v>46104</v>
      </c>
      <c r="C1028" s="10">
        <v>46113</v>
      </c>
      <c r="D1028" s="11">
        <v>3273</v>
      </c>
      <c r="E1028" s="11">
        <v>336</v>
      </c>
      <c r="F1028" s="11">
        <v>4</v>
      </c>
      <c r="G1028" s="20">
        <v>1</v>
      </c>
      <c r="H1028" s="13">
        <v>81588</v>
      </c>
      <c r="I1028" s="11" t="s">
        <v>17</v>
      </c>
      <c r="J1028" s="13">
        <v>18869031</v>
      </c>
      <c r="K1028" s="13" t="s">
        <v>1200</v>
      </c>
      <c r="L1028" s="13" t="s">
        <v>1201</v>
      </c>
      <c r="M1028" s="17">
        <v>119900</v>
      </c>
      <c r="N1028" s="15">
        <v>0.75</v>
      </c>
      <c r="O1028" s="16">
        <f t="shared" si="80"/>
        <v>29975</v>
      </c>
      <c r="P1028" s="11" t="s">
        <v>20</v>
      </c>
    </row>
    <row r="1029" spans="1:16" x14ac:dyDescent="0.25">
      <c r="A1029" s="9" t="str">
        <f t="shared" si="81"/>
        <v>2024 ALL D75</v>
      </c>
      <c r="B1029" s="10">
        <f t="shared" si="81"/>
        <v>46104</v>
      </c>
      <c r="C1029" s="10">
        <v>46113</v>
      </c>
      <c r="D1029" s="11">
        <v>3273</v>
      </c>
      <c r="E1029" s="11">
        <v>336</v>
      </c>
      <c r="F1029" s="11">
        <v>4</v>
      </c>
      <c r="G1029" s="20">
        <v>1</v>
      </c>
      <c r="H1029" s="13">
        <v>81588</v>
      </c>
      <c r="I1029" s="11" t="s">
        <v>17</v>
      </c>
      <c r="J1029" s="13">
        <v>18869040</v>
      </c>
      <c r="K1029" s="13" t="s">
        <v>1200</v>
      </c>
      <c r="L1029" s="13" t="s">
        <v>1202</v>
      </c>
      <c r="M1029" s="17">
        <v>119900</v>
      </c>
      <c r="N1029" s="15">
        <v>0.75</v>
      </c>
      <c r="O1029" s="16">
        <f t="shared" si="80"/>
        <v>29975</v>
      </c>
      <c r="P1029" s="11" t="s">
        <v>20</v>
      </c>
    </row>
    <row r="1030" spans="1:16" x14ac:dyDescent="0.25">
      <c r="A1030" s="9" t="str">
        <f t="shared" si="81"/>
        <v>2024 ALL D75</v>
      </c>
      <c r="B1030" s="10">
        <f t="shared" si="81"/>
        <v>46104</v>
      </c>
      <c r="C1030" s="10">
        <v>46113</v>
      </c>
      <c r="D1030" s="11">
        <v>3273</v>
      </c>
      <c r="E1030" s="11">
        <v>336</v>
      </c>
      <c r="F1030" s="11">
        <v>4</v>
      </c>
      <c r="G1030" s="20">
        <v>1</v>
      </c>
      <c r="H1030" s="13">
        <v>81588</v>
      </c>
      <c r="I1030" s="11" t="s">
        <v>17</v>
      </c>
      <c r="J1030" s="13">
        <v>18869068</v>
      </c>
      <c r="K1030" s="13" t="s">
        <v>1200</v>
      </c>
      <c r="L1030" s="13" t="s">
        <v>1203</v>
      </c>
      <c r="M1030" s="17">
        <v>119900</v>
      </c>
      <c r="N1030" s="15">
        <v>0.75</v>
      </c>
      <c r="O1030" s="16">
        <f t="shared" si="80"/>
        <v>29975</v>
      </c>
      <c r="P1030" s="11" t="s">
        <v>20</v>
      </c>
    </row>
    <row r="1031" spans="1:16" x14ac:dyDescent="0.25">
      <c r="A1031" s="9" t="str">
        <f t="shared" si="81"/>
        <v>2024 ALL D75</v>
      </c>
      <c r="B1031" s="10">
        <f t="shared" si="81"/>
        <v>46104</v>
      </c>
      <c r="C1031" s="10">
        <v>46113</v>
      </c>
      <c r="D1031" s="11">
        <v>3273</v>
      </c>
      <c r="E1031" s="11">
        <v>336</v>
      </c>
      <c r="F1031" s="11">
        <v>4</v>
      </c>
      <c r="G1031" s="20">
        <v>1</v>
      </c>
      <c r="H1031" s="13">
        <v>81588</v>
      </c>
      <c r="I1031" s="11" t="s">
        <v>17</v>
      </c>
      <c r="J1031" s="13">
        <v>18869077</v>
      </c>
      <c r="K1031" s="13" t="s">
        <v>1200</v>
      </c>
      <c r="L1031" s="13" t="s">
        <v>1204</v>
      </c>
      <c r="M1031" s="17">
        <v>119900</v>
      </c>
      <c r="N1031" s="15">
        <v>0.75</v>
      </c>
      <c r="O1031" s="16">
        <f t="shared" si="80"/>
        <v>29975</v>
      </c>
      <c r="P1031" s="11" t="s">
        <v>20</v>
      </c>
    </row>
    <row r="1032" spans="1:16" x14ac:dyDescent="0.25">
      <c r="A1032" s="9" t="str">
        <f t="shared" si="81"/>
        <v>2024 ALL D75</v>
      </c>
      <c r="B1032" s="10">
        <f t="shared" si="81"/>
        <v>46104</v>
      </c>
      <c r="C1032" s="10">
        <v>46113</v>
      </c>
      <c r="D1032" s="11">
        <v>3273</v>
      </c>
      <c r="E1032" s="11">
        <v>336</v>
      </c>
      <c r="F1032" s="11">
        <v>4</v>
      </c>
      <c r="G1032" s="20">
        <v>1</v>
      </c>
      <c r="H1032" s="13">
        <v>81588</v>
      </c>
      <c r="I1032" s="11" t="s">
        <v>17</v>
      </c>
      <c r="J1032" s="13">
        <v>18869086</v>
      </c>
      <c r="K1032" s="13" t="s">
        <v>1200</v>
      </c>
      <c r="L1032" s="13" t="s">
        <v>1205</v>
      </c>
      <c r="M1032" s="17">
        <v>119900</v>
      </c>
      <c r="N1032" s="15">
        <v>0.75</v>
      </c>
      <c r="O1032" s="16">
        <f t="shared" si="80"/>
        <v>29975</v>
      </c>
      <c r="P1032" s="11" t="s">
        <v>20</v>
      </c>
    </row>
    <row r="1033" spans="1:16" x14ac:dyDescent="0.25">
      <c r="A1033" s="9" t="str">
        <f t="shared" si="81"/>
        <v>2024 ALL D75</v>
      </c>
      <c r="B1033" s="10">
        <f t="shared" si="81"/>
        <v>46104</v>
      </c>
      <c r="C1033" s="10">
        <v>46113</v>
      </c>
      <c r="D1033" s="11">
        <v>3273</v>
      </c>
      <c r="E1033" s="11">
        <v>336</v>
      </c>
      <c r="F1033" s="11">
        <v>4</v>
      </c>
      <c r="G1033" s="20">
        <v>1</v>
      </c>
      <c r="H1033" s="13">
        <v>81676</v>
      </c>
      <c r="I1033" s="11" t="s">
        <v>17</v>
      </c>
      <c r="J1033" s="13">
        <v>18869095</v>
      </c>
      <c r="K1033" s="13" t="s">
        <v>1206</v>
      </c>
      <c r="L1033" s="13" t="s">
        <v>1207</v>
      </c>
      <c r="M1033" s="17">
        <v>139900</v>
      </c>
      <c r="N1033" s="15">
        <v>0.75</v>
      </c>
      <c r="O1033" s="16">
        <f t="shared" si="80"/>
        <v>34975</v>
      </c>
      <c r="P1033" s="11" t="s">
        <v>20</v>
      </c>
    </row>
    <row r="1034" spans="1:16" x14ac:dyDescent="0.25">
      <c r="A1034" s="9" t="str">
        <f t="shared" si="81"/>
        <v>2024 ALL D75</v>
      </c>
      <c r="B1034" s="10">
        <f t="shared" si="81"/>
        <v>46104</v>
      </c>
      <c r="C1034" s="10">
        <v>46113</v>
      </c>
      <c r="D1034" s="11">
        <v>3273</v>
      </c>
      <c r="E1034" s="11">
        <v>336</v>
      </c>
      <c r="F1034" s="11">
        <v>4</v>
      </c>
      <c r="G1034" s="20">
        <v>1</v>
      </c>
      <c r="H1034" s="13">
        <v>81676</v>
      </c>
      <c r="I1034" s="11" t="s">
        <v>17</v>
      </c>
      <c r="J1034" s="13">
        <v>18869102</v>
      </c>
      <c r="K1034" s="13" t="s">
        <v>1206</v>
      </c>
      <c r="L1034" s="13" t="s">
        <v>1208</v>
      </c>
      <c r="M1034" s="17">
        <v>139900</v>
      </c>
      <c r="N1034" s="15">
        <v>0.75</v>
      </c>
      <c r="O1034" s="16">
        <f t="shared" si="80"/>
        <v>34975</v>
      </c>
      <c r="P1034" s="11" t="s">
        <v>20</v>
      </c>
    </row>
    <row r="1035" spans="1:16" x14ac:dyDescent="0.25">
      <c r="A1035" s="9" t="str">
        <f t="shared" si="81"/>
        <v>2024 ALL D75</v>
      </c>
      <c r="B1035" s="10">
        <f t="shared" si="81"/>
        <v>46104</v>
      </c>
      <c r="C1035" s="10">
        <v>46113</v>
      </c>
      <c r="D1035" s="11">
        <v>3273</v>
      </c>
      <c r="E1035" s="11">
        <v>336</v>
      </c>
      <c r="F1035" s="11">
        <v>4</v>
      </c>
      <c r="G1035" s="20">
        <v>1</v>
      </c>
      <c r="H1035" s="13">
        <v>81676</v>
      </c>
      <c r="I1035" s="11" t="s">
        <v>17</v>
      </c>
      <c r="J1035" s="13">
        <v>18869111</v>
      </c>
      <c r="K1035" s="13" t="s">
        <v>1206</v>
      </c>
      <c r="L1035" s="13" t="s">
        <v>1209</v>
      </c>
      <c r="M1035" s="17">
        <v>139900</v>
      </c>
      <c r="N1035" s="15">
        <v>0.75</v>
      </c>
      <c r="O1035" s="16">
        <f t="shared" si="80"/>
        <v>34975</v>
      </c>
      <c r="P1035" s="11" t="s">
        <v>20</v>
      </c>
    </row>
    <row r="1036" spans="1:16" x14ac:dyDescent="0.25">
      <c r="A1036" s="9" t="str">
        <f t="shared" si="81"/>
        <v>2024 ALL D75</v>
      </c>
      <c r="B1036" s="10">
        <f t="shared" si="81"/>
        <v>46104</v>
      </c>
      <c r="C1036" s="10">
        <v>46113</v>
      </c>
      <c r="D1036" s="11">
        <v>3273</v>
      </c>
      <c r="E1036" s="11">
        <v>336</v>
      </c>
      <c r="F1036" s="11">
        <v>4</v>
      </c>
      <c r="G1036" s="20">
        <v>1</v>
      </c>
      <c r="H1036" s="13">
        <v>81676</v>
      </c>
      <c r="I1036" s="11" t="s">
        <v>17</v>
      </c>
      <c r="J1036" s="13">
        <v>18869120</v>
      </c>
      <c r="K1036" s="13" t="s">
        <v>1206</v>
      </c>
      <c r="L1036" s="13" t="s">
        <v>1210</v>
      </c>
      <c r="M1036" s="17">
        <v>139900</v>
      </c>
      <c r="N1036" s="15">
        <v>0.75</v>
      </c>
      <c r="O1036" s="16">
        <f t="shared" si="80"/>
        <v>34975</v>
      </c>
      <c r="P1036" s="11" t="s">
        <v>20</v>
      </c>
    </row>
    <row r="1037" spans="1:16" x14ac:dyDescent="0.25">
      <c r="A1037" s="9" t="str">
        <f t="shared" si="81"/>
        <v>2024 ALL D75</v>
      </c>
      <c r="B1037" s="10">
        <f t="shared" si="81"/>
        <v>46104</v>
      </c>
      <c r="C1037" s="10">
        <v>46113</v>
      </c>
      <c r="D1037" s="11">
        <v>3273</v>
      </c>
      <c r="E1037" s="11">
        <v>336</v>
      </c>
      <c r="F1037" s="11">
        <v>4</v>
      </c>
      <c r="G1037" s="20">
        <v>1</v>
      </c>
      <c r="H1037" s="13">
        <v>81676</v>
      </c>
      <c r="I1037" s="11" t="s">
        <v>17</v>
      </c>
      <c r="J1037" s="13">
        <v>18869139</v>
      </c>
      <c r="K1037" s="13" t="s">
        <v>1206</v>
      </c>
      <c r="L1037" s="13" t="s">
        <v>1211</v>
      </c>
      <c r="M1037" s="17">
        <v>139900</v>
      </c>
      <c r="N1037" s="15">
        <v>0.75</v>
      </c>
      <c r="O1037" s="16">
        <f t="shared" si="80"/>
        <v>34975</v>
      </c>
      <c r="P1037" s="11" t="s">
        <v>20</v>
      </c>
    </row>
    <row r="1038" spans="1:16" x14ac:dyDescent="0.25">
      <c r="A1038" s="9" t="str">
        <f t="shared" si="81"/>
        <v>2024 ALL D75</v>
      </c>
      <c r="B1038" s="10">
        <f t="shared" si="81"/>
        <v>46104</v>
      </c>
      <c r="C1038" s="10">
        <v>46113</v>
      </c>
      <c r="D1038" s="11">
        <v>3273</v>
      </c>
      <c r="E1038" s="11">
        <v>336</v>
      </c>
      <c r="F1038" s="11">
        <v>4</v>
      </c>
      <c r="G1038" s="20">
        <v>1</v>
      </c>
      <c r="H1038" s="13">
        <v>81588</v>
      </c>
      <c r="I1038" s="11" t="s">
        <v>17</v>
      </c>
      <c r="J1038" s="13">
        <v>18868934</v>
      </c>
      <c r="K1038" s="13" t="s">
        <v>1212</v>
      </c>
      <c r="L1038" s="13" t="s">
        <v>1213</v>
      </c>
      <c r="M1038" s="17">
        <v>119900</v>
      </c>
      <c r="N1038" s="15">
        <v>0.75</v>
      </c>
      <c r="O1038" s="16">
        <f t="shared" si="80"/>
        <v>29975</v>
      </c>
      <c r="P1038" s="11" t="s">
        <v>20</v>
      </c>
    </row>
    <row r="1039" spans="1:16" x14ac:dyDescent="0.25">
      <c r="A1039" s="9" t="str">
        <f t="shared" si="81"/>
        <v>2024 ALL D75</v>
      </c>
      <c r="B1039" s="10">
        <f t="shared" si="81"/>
        <v>46104</v>
      </c>
      <c r="C1039" s="10">
        <v>46113</v>
      </c>
      <c r="D1039" s="11">
        <v>3273</v>
      </c>
      <c r="E1039" s="11">
        <v>336</v>
      </c>
      <c r="F1039" s="11">
        <v>4</v>
      </c>
      <c r="G1039" s="20">
        <v>1</v>
      </c>
      <c r="H1039" s="13">
        <v>81588</v>
      </c>
      <c r="I1039" s="11" t="s">
        <v>17</v>
      </c>
      <c r="J1039" s="13">
        <v>18868943</v>
      </c>
      <c r="K1039" s="13" t="s">
        <v>1212</v>
      </c>
      <c r="L1039" s="13" t="s">
        <v>1214</v>
      </c>
      <c r="M1039" s="17">
        <v>119900</v>
      </c>
      <c r="N1039" s="15">
        <v>0.75</v>
      </c>
      <c r="O1039" s="16">
        <f t="shared" si="80"/>
        <v>29975</v>
      </c>
      <c r="P1039" s="11" t="s">
        <v>20</v>
      </c>
    </row>
    <row r="1040" spans="1:16" x14ac:dyDescent="0.25">
      <c r="A1040" s="9" t="str">
        <f t="shared" si="81"/>
        <v>2024 ALL D75</v>
      </c>
      <c r="B1040" s="10">
        <f t="shared" si="81"/>
        <v>46104</v>
      </c>
      <c r="C1040" s="10">
        <v>46113</v>
      </c>
      <c r="D1040" s="11">
        <v>3273</v>
      </c>
      <c r="E1040" s="11">
        <v>336</v>
      </c>
      <c r="F1040" s="11">
        <v>4</v>
      </c>
      <c r="G1040" s="20">
        <v>1</v>
      </c>
      <c r="H1040" s="13">
        <v>81588</v>
      </c>
      <c r="I1040" s="11" t="s">
        <v>17</v>
      </c>
      <c r="J1040" s="13">
        <v>18868952</v>
      </c>
      <c r="K1040" s="13" t="s">
        <v>1212</v>
      </c>
      <c r="L1040" s="13" t="s">
        <v>1215</v>
      </c>
      <c r="M1040" s="17">
        <v>119900</v>
      </c>
      <c r="N1040" s="15">
        <v>0.75</v>
      </c>
      <c r="O1040" s="16">
        <f t="shared" si="80"/>
        <v>29975</v>
      </c>
      <c r="P1040" s="11" t="s">
        <v>20</v>
      </c>
    </row>
    <row r="1041" spans="1:16" x14ac:dyDescent="0.25">
      <c r="A1041" s="9" t="str">
        <f t="shared" si="81"/>
        <v>2024 ALL D75</v>
      </c>
      <c r="B1041" s="10">
        <f t="shared" si="81"/>
        <v>46104</v>
      </c>
      <c r="C1041" s="10">
        <v>46113</v>
      </c>
      <c r="D1041" s="11">
        <v>3273</v>
      </c>
      <c r="E1041" s="11">
        <v>336</v>
      </c>
      <c r="F1041" s="11">
        <v>4</v>
      </c>
      <c r="G1041" s="20">
        <v>1</v>
      </c>
      <c r="H1041" s="13">
        <v>81588</v>
      </c>
      <c r="I1041" s="11" t="s">
        <v>17</v>
      </c>
      <c r="J1041" s="13">
        <v>18868961</v>
      </c>
      <c r="K1041" s="13" t="s">
        <v>1212</v>
      </c>
      <c r="L1041" s="13" t="s">
        <v>1216</v>
      </c>
      <c r="M1041" s="17">
        <v>119900</v>
      </c>
      <c r="N1041" s="15">
        <v>0.75</v>
      </c>
      <c r="O1041" s="16">
        <f t="shared" si="80"/>
        <v>29975</v>
      </c>
      <c r="P1041" s="11" t="s">
        <v>20</v>
      </c>
    </row>
    <row r="1042" spans="1:16" x14ac:dyDescent="0.25">
      <c r="A1042" s="9" t="str">
        <f t="shared" si="81"/>
        <v>2024 ALL D75</v>
      </c>
      <c r="B1042" s="10">
        <f t="shared" si="81"/>
        <v>46104</v>
      </c>
      <c r="C1042" s="10">
        <v>46113</v>
      </c>
      <c r="D1042" s="11">
        <v>3273</v>
      </c>
      <c r="E1042" s="11">
        <v>336</v>
      </c>
      <c r="F1042" s="11">
        <v>4</v>
      </c>
      <c r="G1042" s="20">
        <v>1</v>
      </c>
      <c r="H1042" s="13">
        <v>81588</v>
      </c>
      <c r="I1042" s="11" t="s">
        <v>17</v>
      </c>
      <c r="J1042" s="13">
        <v>18868970</v>
      </c>
      <c r="K1042" s="13" t="s">
        <v>1212</v>
      </c>
      <c r="L1042" s="13" t="s">
        <v>1217</v>
      </c>
      <c r="M1042" s="17">
        <v>119900</v>
      </c>
      <c r="N1042" s="15">
        <v>0.75</v>
      </c>
      <c r="O1042" s="16">
        <f t="shared" si="80"/>
        <v>29975</v>
      </c>
      <c r="P1042" s="11" t="s">
        <v>20</v>
      </c>
    </row>
    <row r="1043" spans="1:16" x14ac:dyDescent="0.25">
      <c r="A1043" s="9" t="str">
        <f t="shared" ref="A1043:B1056" si="82">A1042</f>
        <v>2024 ALL D75</v>
      </c>
      <c r="B1043" s="10">
        <f t="shared" si="82"/>
        <v>46104</v>
      </c>
      <c r="C1043" s="10">
        <v>46113</v>
      </c>
      <c r="D1043" s="11">
        <v>3273</v>
      </c>
      <c r="E1043" s="11">
        <v>336</v>
      </c>
      <c r="F1043" s="11">
        <v>4</v>
      </c>
      <c r="G1043" s="20">
        <v>1</v>
      </c>
      <c r="H1043" s="13">
        <v>81588</v>
      </c>
      <c r="I1043" s="11" t="s">
        <v>17</v>
      </c>
      <c r="J1043" s="13">
        <v>18868989</v>
      </c>
      <c r="K1043" s="13" t="s">
        <v>1218</v>
      </c>
      <c r="L1043" s="13" t="s">
        <v>1219</v>
      </c>
      <c r="M1043" s="17">
        <v>119900</v>
      </c>
      <c r="N1043" s="15">
        <v>0.75</v>
      </c>
      <c r="O1043" s="16">
        <f t="shared" si="80"/>
        <v>29975</v>
      </c>
      <c r="P1043" s="11" t="s">
        <v>20</v>
      </c>
    </row>
    <row r="1044" spans="1:16" x14ac:dyDescent="0.25">
      <c r="A1044" s="9" t="str">
        <f t="shared" si="82"/>
        <v>2024 ALL D75</v>
      </c>
      <c r="B1044" s="10">
        <f t="shared" si="82"/>
        <v>46104</v>
      </c>
      <c r="C1044" s="10">
        <v>46113</v>
      </c>
      <c r="D1044" s="11">
        <v>3273</v>
      </c>
      <c r="E1044" s="11">
        <v>336</v>
      </c>
      <c r="F1044" s="11">
        <v>4</v>
      </c>
      <c r="G1044" s="20">
        <v>1</v>
      </c>
      <c r="H1044" s="13">
        <v>81588</v>
      </c>
      <c r="I1044" s="11" t="s">
        <v>17</v>
      </c>
      <c r="J1044" s="13">
        <v>18868998</v>
      </c>
      <c r="K1044" s="13" t="s">
        <v>1218</v>
      </c>
      <c r="L1044" s="13" t="s">
        <v>1220</v>
      </c>
      <c r="M1044" s="17">
        <v>119900</v>
      </c>
      <c r="N1044" s="15">
        <v>0.75</v>
      </c>
      <c r="O1044" s="16">
        <f t="shared" si="80"/>
        <v>29975</v>
      </c>
      <c r="P1044" s="11" t="s">
        <v>20</v>
      </c>
    </row>
    <row r="1045" spans="1:16" x14ac:dyDescent="0.25">
      <c r="A1045" s="9" t="str">
        <f t="shared" si="82"/>
        <v>2024 ALL D75</v>
      </c>
      <c r="B1045" s="10">
        <f t="shared" si="82"/>
        <v>46104</v>
      </c>
      <c r="C1045" s="10">
        <v>46113</v>
      </c>
      <c r="D1045" s="11">
        <v>3273</v>
      </c>
      <c r="E1045" s="11">
        <v>336</v>
      </c>
      <c r="F1045" s="11">
        <v>4</v>
      </c>
      <c r="G1045" s="20">
        <v>1</v>
      </c>
      <c r="H1045" s="13">
        <v>81588</v>
      </c>
      <c r="I1045" s="11" t="s">
        <v>17</v>
      </c>
      <c r="J1045" s="13">
        <v>18869004</v>
      </c>
      <c r="K1045" s="13" t="s">
        <v>1218</v>
      </c>
      <c r="L1045" s="13" t="s">
        <v>1221</v>
      </c>
      <c r="M1045" s="17">
        <v>119900</v>
      </c>
      <c r="N1045" s="15">
        <v>0.75</v>
      </c>
      <c r="O1045" s="16">
        <f t="shared" si="80"/>
        <v>29975</v>
      </c>
      <c r="P1045" s="11" t="s">
        <v>20</v>
      </c>
    </row>
    <row r="1046" spans="1:16" x14ac:dyDescent="0.25">
      <c r="A1046" s="9" t="str">
        <f t="shared" si="82"/>
        <v>2024 ALL D75</v>
      </c>
      <c r="B1046" s="10">
        <f t="shared" si="82"/>
        <v>46104</v>
      </c>
      <c r="C1046" s="10">
        <v>46113</v>
      </c>
      <c r="D1046" s="11">
        <v>3273</v>
      </c>
      <c r="E1046" s="11">
        <v>336</v>
      </c>
      <c r="F1046" s="11">
        <v>4</v>
      </c>
      <c r="G1046" s="20">
        <v>1</v>
      </c>
      <c r="H1046" s="13">
        <v>81588</v>
      </c>
      <c r="I1046" s="11" t="s">
        <v>17</v>
      </c>
      <c r="J1046" s="13">
        <v>18869013</v>
      </c>
      <c r="K1046" s="13" t="s">
        <v>1218</v>
      </c>
      <c r="L1046" s="13" t="s">
        <v>1222</v>
      </c>
      <c r="M1046" s="17">
        <v>119900</v>
      </c>
      <c r="N1046" s="15">
        <v>0.75</v>
      </c>
      <c r="O1046" s="16">
        <f t="shared" si="80"/>
        <v>29975</v>
      </c>
      <c r="P1046" s="11" t="s">
        <v>20</v>
      </c>
    </row>
    <row r="1047" spans="1:16" x14ac:dyDescent="0.25">
      <c r="A1047" s="9" t="str">
        <f t="shared" si="82"/>
        <v>2024 ALL D75</v>
      </c>
      <c r="B1047" s="10">
        <f t="shared" si="82"/>
        <v>46104</v>
      </c>
      <c r="C1047" s="10">
        <v>46113</v>
      </c>
      <c r="D1047" s="11">
        <v>3273</v>
      </c>
      <c r="E1047" s="11">
        <v>336</v>
      </c>
      <c r="F1047" s="11">
        <v>4</v>
      </c>
      <c r="G1047" s="20">
        <v>1</v>
      </c>
      <c r="H1047" s="13">
        <v>81588</v>
      </c>
      <c r="I1047" s="11" t="s">
        <v>17</v>
      </c>
      <c r="J1047" s="13">
        <v>18869022</v>
      </c>
      <c r="K1047" s="13" t="s">
        <v>1218</v>
      </c>
      <c r="L1047" s="13" t="s">
        <v>1223</v>
      </c>
      <c r="M1047" s="17">
        <v>119900</v>
      </c>
      <c r="N1047" s="15">
        <v>0.75</v>
      </c>
      <c r="O1047" s="16">
        <f t="shared" si="80"/>
        <v>29975</v>
      </c>
      <c r="P1047" s="11" t="s">
        <v>20</v>
      </c>
    </row>
    <row r="1048" spans="1:16" x14ac:dyDescent="0.25">
      <c r="A1048" s="9" t="str">
        <f t="shared" si="82"/>
        <v>2024 ALL D75</v>
      </c>
      <c r="B1048" s="10">
        <f t="shared" si="82"/>
        <v>46104</v>
      </c>
      <c r="C1048" s="10">
        <v>46113</v>
      </c>
      <c r="D1048" s="11">
        <v>3273</v>
      </c>
      <c r="E1048" s="11">
        <v>336</v>
      </c>
      <c r="F1048" s="11">
        <v>4</v>
      </c>
      <c r="G1048" s="20">
        <v>6</v>
      </c>
      <c r="H1048" s="13">
        <v>81676</v>
      </c>
      <c r="I1048" s="11" t="s">
        <v>17</v>
      </c>
      <c r="J1048" s="13">
        <v>18869148</v>
      </c>
      <c r="K1048" s="13" t="s">
        <v>1224</v>
      </c>
      <c r="L1048" s="13" t="s">
        <v>1225</v>
      </c>
      <c r="M1048" s="17">
        <v>119900</v>
      </c>
      <c r="N1048" s="15">
        <v>0.75</v>
      </c>
      <c r="O1048" s="16">
        <f t="shared" si="80"/>
        <v>29975</v>
      </c>
      <c r="P1048" s="11" t="s">
        <v>20</v>
      </c>
    </row>
    <row r="1049" spans="1:16" x14ac:dyDescent="0.25">
      <c r="A1049" s="9" t="str">
        <f t="shared" si="82"/>
        <v>2024 ALL D75</v>
      </c>
      <c r="B1049" s="10">
        <f t="shared" si="82"/>
        <v>46104</v>
      </c>
      <c r="C1049" s="10">
        <v>46113</v>
      </c>
      <c r="D1049" s="11">
        <v>3273</v>
      </c>
      <c r="E1049" s="11">
        <v>336</v>
      </c>
      <c r="F1049" s="11">
        <v>4</v>
      </c>
      <c r="G1049" s="20">
        <v>6</v>
      </c>
      <c r="H1049" s="13">
        <v>81676</v>
      </c>
      <c r="I1049" s="11" t="s">
        <v>17</v>
      </c>
      <c r="J1049" s="13">
        <v>18869157</v>
      </c>
      <c r="K1049" s="13" t="s">
        <v>1224</v>
      </c>
      <c r="L1049" s="13" t="s">
        <v>1226</v>
      </c>
      <c r="M1049" s="17">
        <v>119900</v>
      </c>
      <c r="N1049" s="15">
        <v>0.75</v>
      </c>
      <c r="O1049" s="16">
        <f t="shared" si="80"/>
        <v>29975</v>
      </c>
      <c r="P1049" s="11" t="s">
        <v>20</v>
      </c>
    </row>
    <row r="1050" spans="1:16" x14ac:dyDescent="0.25">
      <c r="A1050" s="9" t="str">
        <f t="shared" si="82"/>
        <v>2024 ALL D75</v>
      </c>
      <c r="B1050" s="10">
        <f t="shared" si="82"/>
        <v>46104</v>
      </c>
      <c r="C1050" s="10">
        <v>46113</v>
      </c>
      <c r="D1050" s="11">
        <v>3273</v>
      </c>
      <c r="E1050" s="11">
        <v>336</v>
      </c>
      <c r="F1050" s="11">
        <v>4</v>
      </c>
      <c r="G1050" s="20">
        <v>6</v>
      </c>
      <c r="H1050" s="13">
        <v>81676</v>
      </c>
      <c r="I1050" s="11" t="s">
        <v>17</v>
      </c>
      <c r="J1050" s="13">
        <v>18869200</v>
      </c>
      <c r="K1050" s="13" t="s">
        <v>1224</v>
      </c>
      <c r="L1050" s="13" t="s">
        <v>1227</v>
      </c>
      <c r="M1050" s="17">
        <v>119900</v>
      </c>
      <c r="N1050" s="15">
        <v>0.75</v>
      </c>
      <c r="O1050" s="16">
        <f t="shared" si="80"/>
        <v>29975</v>
      </c>
      <c r="P1050" s="11" t="s">
        <v>20</v>
      </c>
    </row>
    <row r="1051" spans="1:16" x14ac:dyDescent="0.25">
      <c r="A1051" s="9" t="str">
        <f t="shared" si="82"/>
        <v>2024 ALL D75</v>
      </c>
      <c r="B1051" s="10">
        <f t="shared" si="82"/>
        <v>46104</v>
      </c>
      <c r="C1051" s="10">
        <v>46113</v>
      </c>
      <c r="D1051" s="11">
        <v>3273</v>
      </c>
      <c r="E1051" s="11">
        <v>336</v>
      </c>
      <c r="F1051" s="11">
        <v>4</v>
      </c>
      <c r="G1051" s="20">
        <v>6</v>
      </c>
      <c r="H1051" s="13">
        <v>81676</v>
      </c>
      <c r="I1051" s="11" t="s">
        <v>17</v>
      </c>
      <c r="J1051" s="13">
        <v>18908640</v>
      </c>
      <c r="K1051" s="13" t="s">
        <v>1224</v>
      </c>
      <c r="L1051" s="13" t="s">
        <v>1228</v>
      </c>
      <c r="M1051" s="17">
        <v>119900</v>
      </c>
      <c r="N1051" s="15">
        <v>0.75</v>
      </c>
      <c r="O1051" s="16">
        <f t="shared" si="80"/>
        <v>29975</v>
      </c>
      <c r="P1051" s="11" t="s">
        <v>20</v>
      </c>
    </row>
    <row r="1052" spans="1:16" x14ac:dyDescent="0.25">
      <c r="A1052" s="9" t="str">
        <f t="shared" si="82"/>
        <v>2024 ALL D75</v>
      </c>
      <c r="B1052" s="10">
        <f t="shared" si="82"/>
        <v>46104</v>
      </c>
      <c r="C1052" s="10">
        <v>46113</v>
      </c>
      <c r="D1052" s="11">
        <v>3273</v>
      </c>
      <c r="E1052" s="11">
        <v>336</v>
      </c>
      <c r="F1052" s="11">
        <v>4</v>
      </c>
      <c r="G1052" s="20">
        <v>6</v>
      </c>
      <c r="H1052" s="13">
        <v>81676</v>
      </c>
      <c r="I1052" s="11" t="s">
        <v>17</v>
      </c>
      <c r="J1052" s="13">
        <v>18908659</v>
      </c>
      <c r="K1052" s="13" t="s">
        <v>1224</v>
      </c>
      <c r="L1052" s="13" t="s">
        <v>1229</v>
      </c>
      <c r="M1052" s="17">
        <v>119900</v>
      </c>
      <c r="N1052" s="15">
        <v>0.75</v>
      </c>
      <c r="O1052" s="16">
        <f t="shared" si="80"/>
        <v>29975</v>
      </c>
      <c r="P1052" s="11" t="s">
        <v>20</v>
      </c>
    </row>
    <row r="1053" spans="1:16" x14ac:dyDescent="0.25">
      <c r="A1053" s="9" t="str">
        <f t="shared" si="82"/>
        <v>2024 ALL D75</v>
      </c>
      <c r="B1053" s="10">
        <f t="shared" si="82"/>
        <v>46104</v>
      </c>
      <c r="C1053" s="10">
        <v>46113</v>
      </c>
      <c r="D1053" s="11">
        <v>3273</v>
      </c>
      <c r="E1053" s="11">
        <v>336</v>
      </c>
      <c r="F1053" s="11">
        <v>4</v>
      </c>
      <c r="G1053" s="20">
        <v>6</v>
      </c>
      <c r="H1053" s="13">
        <v>81676</v>
      </c>
      <c r="I1053" s="11" t="s">
        <v>17</v>
      </c>
      <c r="J1053" s="13">
        <v>18908668</v>
      </c>
      <c r="K1053" s="13" t="s">
        <v>1224</v>
      </c>
      <c r="L1053" s="13" t="s">
        <v>1230</v>
      </c>
      <c r="M1053" s="17">
        <v>119900</v>
      </c>
      <c r="N1053" s="15">
        <v>0.75</v>
      </c>
      <c r="O1053" s="16">
        <f t="shared" si="80"/>
        <v>29975</v>
      </c>
      <c r="P1053" s="11" t="s">
        <v>20</v>
      </c>
    </row>
    <row r="1054" spans="1:16" x14ac:dyDescent="0.25">
      <c r="A1054" s="9" t="str">
        <f t="shared" si="82"/>
        <v>2024 ALL D75</v>
      </c>
      <c r="B1054" s="10">
        <f t="shared" si="82"/>
        <v>46104</v>
      </c>
      <c r="C1054" s="10">
        <v>46113</v>
      </c>
      <c r="D1054" s="11">
        <v>3273</v>
      </c>
      <c r="E1054" s="11">
        <v>336</v>
      </c>
      <c r="F1054" s="11">
        <v>4</v>
      </c>
      <c r="G1054" s="20">
        <v>6</v>
      </c>
      <c r="H1054" s="13">
        <v>81676</v>
      </c>
      <c r="I1054" s="11" t="s">
        <v>17</v>
      </c>
      <c r="J1054" s="13">
        <v>18908677</v>
      </c>
      <c r="K1054" s="13" t="s">
        <v>1224</v>
      </c>
      <c r="L1054" s="13" t="s">
        <v>1231</v>
      </c>
      <c r="M1054" s="17">
        <v>119900</v>
      </c>
      <c r="N1054" s="15">
        <v>0.75</v>
      </c>
      <c r="O1054" s="16">
        <f t="shared" si="80"/>
        <v>29975</v>
      </c>
      <c r="P1054" s="11" t="s">
        <v>20</v>
      </c>
    </row>
    <row r="1055" spans="1:16" x14ac:dyDescent="0.25">
      <c r="A1055" s="9" t="str">
        <f t="shared" si="82"/>
        <v>2024 ALL D75</v>
      </c>
      <c r="B1055" s="10">
        <f t="shared" si="82"/>
        <v>46104</v>
      </c>
      <c r="C1055" s="10">
        <v>46113</v>
      </c>
      <c r="D1055" s="11">
        <v>3273</v>
      </c>
      <c r="E1055" s="11">
        <v>336</v>
      </c>
      <c r="F1055" s="11">
        <v>4</v>
      </c>
      <c r="G1055" s="20">
        <v>6</v>
      </c>
      <c r="H1055" s="13">
        <v>81676</v>
      </c>
      <c r="I1055" s="11" t="s">
        <v>17</v>
      </c>
      <c r="J1055" s="13">
        <v>18908686</v>
      </c>
      <c r="K1055" s="13" t="s">
        <v>1224</v>
      </c>
      <c r="L1055" s="13" t="s">
        <v>1232</v>
      </c>
      <c r="M1055" s="17">
        <v>119900</v>
      </c>
      <c r="N1055" s="15">
        <v>0.75</v>
      </c>
      <c r="O1055" s="16">
        <f t="shared" si="80"/>
        <v>29975</v>
      </c>
      <c r="P1055" s="11" t="s">
        <v>20</v>
      </c>
    </row>
    <row r="1056" spans="1:16" x14ac:dyDescent="0.25">
      <c r="A1056" s="9" t="str">
        <f t="shared" si="82"/>
        <v>2024 ALL D75</v>
      </c>
      <c r="B1056" s="10">
        <f t="shared" si="82"/>
        <v>46104</v>
      </c>
      <c r="C1056" s="10">
        <v>46113</v>
      </c>
      <c r="D1056" s="11">
        <v>3273</v>
      </c>
      <c r="E1056" s="11">
        <v>336</v>
      </c>
      <c r="F1056" s="11">
        <v>4</v>
      </c>
      <c r="G1056" s="20">
        <v>10</v>
      </c>
      <c r="H1056" s="13">
        <v>81574</v>
      </c>
      <c r="I1056" s="11" t="s">
        <v>17</v>
      </c>
      <c r="J1056" s="13">
        <v>18869219</v>
      </c>
      <c r="K1056" s="13" t="s">
        <v>1233</v>
      </c>
      <c r="L1056" s="13" t="s">
        <v>1234</v>
      </c>
      <c r="M1056" s="17">
        <v>139900</v>
      </c>
      <c r="N1056" s="15">
        <v>0.75</v>
      </c>
      <c r="O1056" s="16">
        <f t="shared" si="80"/>
        <v>34975</v>
      </c>
      <c r="P1056" s="11" t="s">
        <v>20</v>
      </c>
    </row>
    <row r="1057" spans="1:16" x14ac:dyDescent="0.25">
      <c r="A1057" s="9" t="s">
        <v>16</v>
      </c>
      <c r="B1057" s="10">
        <f t="shared" ref="B1057:B1120" si="83">B1056</f>
        <v>46104</v>
      </c>
      <c r="C1057" s="10">
        <v>46113</v>
      </c>
      <c r="D1057" s="11">
        <v>3273</v>
      </c>
      <c r="E1057" s="11">
        <v>336</v>
      </c>
      <c r="F1057" s="11">
        <v>4</v>
      </c>
      <c r="G1057" s="19">
        <v>1</v>
      </c>
      <c r="H1057" s="13">
        <v>81588</v>
      </c>
      <c r="I1057" s="11" t="s">
        <v>17</v>
      </c>
      <c r="J1057" s="13">
        <v>20672533</v>
      </c>
      <c r="K1057" s="13" t="s">
        <v>1235</v>
      </c>
      <c r="L1057" s="13" t="s">
        <v>1236</v>
      </c>
      <c r="M1057" s="17">
        <v>139900</v>
      </c>
      <c r="N1057" s="15">
        <v>0.75</v>
      </c>
      <c r="O1057" s="16">
        <f t="shared" si="80"/>
        <v>34975</v>
      </c>
      <c r="P1057" s="11" t="s">
        <v>20</v>
      </c>
    </row>
    <row r="1058" spans="1:16" x14ac:dyDescent="0.25">
      <c r="A1058" s="9" t="str">
        <f t="shared" ref="A1058:B1121" si="84">A1057</f>
        <v>2024 ALL D75</v>
      </c>
      <c r="B1058" s="10">
        <f t="shared" si="83"/>
        <v>46104</v>
      </c>
      <c r="C1058" s="10">
        <v>46113</v>
      </c>
      <c r="D1058" s="11">
        <v>3273</v>
      </c>
      <c r="E1058" s="11">
        <v>336</v>
      </c>
      <c r="F1058" s="11">
        <v>4</v>
      </c>
      <c r="G1058" s="19">
        <v>1</v>
      </c>
      <c r="H1058" s="13">
        <v>81588</v>
      </c>
      <c r="I1058" s="11" t="s">
        <v>17</v>
      </c>
      <c r="J1058" s="13">
        <v>20672542</v>
      </c>
      <c r="K1058" s="13" t="s">
        <v>1235</v>
      </c>
      <c r="L1058" s="13" t="s">
        <v>1237</v>
      </c>
      <c r="M1058" s="17">
        <v>139900</v>
      </c>
      <c r="N1058" s="15">
        <v>0.75</v>
      </c>
      <c r="O1058" s="16">
        <f t="shared" si="80"/>
        <v>34975</v>
      </c>
      <c r="P1058" s="11" t="s">
        <v>20</v>
      </c>
    </row>
    <row r="1059" spans="1:16" x14ac:dyDescent="0.25">
      <c r="A1059" s="9" t="str">
        <f t="shared" si="84"/>
        <v>2024 ALL D75</v>
      </c>
      <c r="B1059" s="10">
        <f t="shared" si="83"/>
        <v>46104</v>
      </c>
      <c r="C1059" s="10">
        <v>46113</v>
      </c>
      <c r="D1059" s="11">
        <v>3273</v>
      </c>
      <c r="E1059" s="11">
        <v>336</v>
      </c>
      <c r="F1059" s="11">
        <v>4</v>
      </c>
      <c r="G1059" s="19">
        <v>1</v>
      </c>
      <c r="H1059" s="13">
        <v>81588</v>
      </c>
      <c r="I1059" s="11" t="s">
        <v>17</v>
      </c>
      <c r="J1059" s="13">
        <v>20672551</v>
      </c>
      <c r="K1059" s="13" t="s">
        <v>1235</v>
      </c>
      <c r="L1059" s="13" t="s">
        <v>1238</v>
      </c>
      <c r="M1059" s="17">
        <v>139900</v>
      </c>
      <c r="N1059" s="15">
        <v>0.75</v>
      </c>
      <c r="O1059" s="16">
        <f t="shared" si="80"/>
        <v>34975</v>
      </c>
      <c r="P1059" s="11" t="s">
        <v>20</v>
      </c>
    </row>
    <row r="1060" spans="1:16" x14ac:dyDescent="0.25">
      <c r="A1060" s="9" t="str">
        <f t="shared" si="84"/>
        <v>2024 ALL D75</v>
      </c>
      <c r="B1060" s="10">
        <f t="shared" si="83"/>
        <v>46104</v>
      </c>
      <c r="C1060" s="10">
        <v>46113</v>
      </c>
      <c r="D1060" s="11">
        <v>3273</v>
      </c>
      <c r="E1060" s="11">
        <v>336</v>
      </c>
      <c r="F1060" s="11">
        <v>4</v>
      </c>
      <c r="G1060" s="19">
        <v>1</v>
      </c>
      <c r="H1060" s="13">
        <v>81588</v>
      </c>
      <c r="I1060" s="11" t="s">
        <v>17</v>
      </c>
      <c r="J1060" s="13">
        <v>20672560</v>
      </c>
      <c r="K1060" s="13" t="s">
        <v>1235</v>
      </c>
      <c r="L1060" s="13" t="s">
        <v>1239</v>
      </c>
      <c r="M1060" s="17">
        <v>139900</v>
      </c>
      <c r="N1060" s="15">
        <v>0.75</v>
      </c>
      <c r="O1060" s="16">
        <f t="shared" si="80"/>
        <v>34975</v>
      </c>
      <c r="P1060" s="11" t="s">
        <v>20</v>
      </c>
    </row>
    <row r="1061" spans="1:16" x14ac:dyDescent="0.25">
      <c r="A1061" s="9" t="str">
        <f t="shared" si="84"/>
        <v>2024 ALL D75</v>
      </c>
      <c r="B1061" s="10">
        <f t="shared" si="83"/>
        <v>46104</v>
      </c>
      <c r="C1061" s="10">
        <v>46113</v>
      </c>
      <c r="D1061" s="11">
        <v>3273</v>
      </c>
      <c r="E1061" s="11">
        <v>336</v>
      </c>
      <c r="F1061" s="11">
        <v>4</v>
      </c>
      <c r="G1061" s="19">
        <v>1</v>
      </c>
      <c r="H1061" s="13">
        <v>81588</v>
      </c>
      <c r="I1061" s="11" t="s">
        <v>17</v>
      </c>
      <c r="J1061" s="13">
        <v>20672579</v>
      </c>
      <c r="K1061" s="13" t="s">
        <v>1235</v>
      </c>
      <c r="L1061" s="13" t="s">
        <v>1240</v>
      </c>
      <c r="M1061" s="17">
        <v>139900</v>
      </c>
      <c r="N1061" s="15">
        <v>0.75</v>
      </c>
      <c r="O1061" s="16">
        <f t="shared" si="80"/>
        <v>34975</v>
      </c>
      <c r="P1061" s="11" t="s">
        <v>20</v>
      </c>
    </row>
    <row r="1062" spans="1:16" x14ac:dyDescent="0.25">
      <c r="A1062" s="9" t="str">
        <f t="shared" si="84"/>
        <v>2024 ALL D75</v>
      </c>
      <c r="B1062" s="10">
        <f t="shared" si="83"/>
        <v>46104</v>
      </c>
      <c r="C1062" s="10">
        <v>46113</v>
      </c>
      <c r="D1062" s="11">
        <v>3273</v>
      </c>
      <c r="E1062" s="11">
        <v>336</v>
      </c>
      <c r="F1062" s="11">
        <v>4</v>
      </c>
      <c r="G1062" s="19">
        <v>1</v>
      </c>
      <c r="H1062" s="13">
        <v>81588</v>
      </c>
      <c r="I1062" s="11" t="s">
        <v>17</v>
      </c>
      <c r="J1062" s="13">
        <v>20672588</v>
      </c>
      <c r="K1062" s="13" t="s">
        <v>1241</v>
      </c>
      <c r="L1062" s="13" t="s">
        <v>1242</v>
      </c>
      <c r="M1062" s="17">
        <v>139900</v>
      </c>
      <c r="N1062" s="15">
        <v>0.75</v>
      </c>
      <c r="O1062" s="16">
        <f t="shared" si="80"/>
        <v>34975</v>
      </c>
      <c r="P1062" s="11" t="s">
        <v>20</v>
      </c>
    </row>
    <row r="1063" spans="1:16" x14ac:dyDescent="0.25">
      <c r="A1063" s="9" t="str">
        <f t="shared" si="84"/>
        <v>2024 ALL D75</v>
      </c>
      <c r="B1063" s="10">
        <f t="shared" si="83"/>
        <v>46104</v>
      </c>
      <c r="C1063" s="10">
        <v>46113</v>
      </c>
      <c r="D1063" s="11">
        <v>3273</v>
      </c>
      <c r="E1063" s="11">
        <v>336</v>
      </c>
      <c r="F1063" s="11">
        <v>4</v>
      </c>
      <c r="G1063" s="19">
        <v>1</v>
      </c>
      <c r="H1063" s="13">
        <v>81588</v>
      </c>
      <c r="I1063" s="11" t="s">
        <v>17</v>
      </c>
      <c r="J1063" s="13">
        <v>20672597</v>
      </c>
      <c r="K1063" s="13" t="s">
        <v>1241</v>
      </c>
      <c r="L1063" s="13" t="s">
        <v>1243</v>
      </c>
      <c r="M1063" s="17">
        <v>139900</v>
      </c>
      <c r="N1063" s="15">
        <v>0.75</v>
      </c>
      <c r="O1063" s="16">
        <f t="shared" si="80"/>
        <v>34975</v>
      </c>
      <c r="P1063" s="11" t="s">
        <v>20</v>
      </c>
    </row>
    <row r="1064" spans="1:16" x14ac:dyDescent="0.25">
      <c r="A1064" s="9" t="str">
        <f t="shared" si="84"/>
        <v>2024 ALL D75</v>
      </c>
      <c r="B1064" s="10">
        <f t="shared" si="83"/>
        <v>46104</v>
      </c>
      <c r="C1064" s="10">
        <v>46113</v>
      </c>
      <c r="D1064" s="11">
        <v>3273</v>
      </c>
      <c r="E1064" s="11">
        <v>336</v>
      </c>
      <c r="F1064" s="11">
        <v>4</v>
      </c>
      <c r="G1064" s="19">
        <v>1</v>
      </c>
      <c r="H1064" s="13">
        <v>81588</v>
      </c>
      <c r="I1064" s="11" t="s">
        <v>17</v>
      </c>
      <c r="J1064" s="13">
        <v>20672604</v>
      </c>
      <c r="K1064" s="13" t="s">
        <v>1241</v>
      </c>
      <c r="L1064" s="13" t="s">
        <v>1244</v>
      </c>
      <c r="M1064" s="17">
        <v>139900</v>
      </c>
      <c r="N1064" s="15">
        <v>0.75</v>
      </c>
      <c r="O1064" s="16">
        <f t="shared" si="80"/>
        <v>34975</v>
      </c>
      <c r="P1064" s="11" t="s">
        <v>20</v>
      </c>
    </row>
    <row r="1065" spans="1:16" x14ac:dyDescent="0.25">
      <c r="A1065" s="9" t="str">
        <f t="shared" si="84"/>
        <v>2024 ALL D75</v>
      </c>
      <c r="B1065" s="10">
        <f t="shared" si="83"/>
        <v>46104</v>
      </c>
      <c r="C1065" s="10">
        <v>46113</v>
      </c>
      <c r="D1065" s="11">
        <v>3273</v>
      </c>
      <c r="E1065" s="11">
        <v>336</v>
      </c>
      <c r="F1065" s="11">
        <v>4</v>
      </c>
      <c r="G1065" s="19">
        <v>1</v>
      </c>
      <c r="H1065" s="13">
        <v>81588</v>
      </c>
      <c r="I1065" s="11" t="s">
        <v>17</v>
      </c>
      <c r="J1065" s="13">
        <v>20672613</v>
      </c>
      <c r="K1065" s="13" t="s">
        <v>1241</v>
      </c>
      <c r="L1065" s="13" t="s">
        <v>1245</v>
      </c>
      <c r="M1065" s="17">
        <v>139900</v>
      </c>
      <c r="N1065" s="15">
        <v>0.75</v>
      </c>
      <c r="O1065" s="16">
        <f t="shared" si="80"/>
        <v>34975</v>
      </c>
      <c r="P1065" s="11" t="s">
        <v>20</v>
      </c>
    </row>
    <row r="1066" spans="1:16" x14ac:dyDescent="0.25">
      <c r="A1066" s="9" t="str">
        <f t="shared" si="84"/>
        <v>2024 ALL D75</v>
      </c>
      <c r="B1066" s="10">
        <f t="shared" si="83"/>
        <v>46104</v>
      </c>
      <c r="C1066" s="10">
        <v>46113</v>
      </c>
      <c r="D1066" s="11">
        <v>3273</v>
      </c>
      <c r="E1066" s="11">
        <v>336</v>
      </c>
      <c r="F1066" s="11">
        <v>4</v>
      </c>
      <c r="G1066" s="19">
        <v>1</v>
      </c>
      <c r="H1066" s="13">
        <v>81588</v>
      </c>
      <c r="I1066" s="11" t="s">
        <v>17</v>
      </c>
      <c r="J1066" s="13">
        <v>20672622</v>
      </c>
      <c r="K1066" s="13" t="s">
        <v>1241</v>
      </c>
      <c r="L1066" s="13" t="s">
        <v>1246</v>
      </c>
      <c r="M1066" s="17">
        <v>139900</v>
      </c>
      <c r="N1066" s="15">
        <v>0.75</v>
      </c>
      <c r="O1066" s="16">
        <f t="shared" si="80"/>
        <v>34975</v>
      </c>
      <c r="P1066" s="11" t="s">
        <v>20</v>
      </c>
    </row>
    <row r="1067" spans="1:16" x14ac:dyDescent="0.25">
      <c r="A1067" s="9" t="str">
        <f t="shared" si="84"/>
        <v>2024 ALL D75</v>
      </c>
      <c r="B1067" s="10">
        <f t="shared" si="83"/>
        <v>46104</v>
      </c>
      <c r="C1067" s="10">
        <v>46113</v>
      </c>
      <c r="D1067" s="11">
        <v>3273</v>
      </c>
      <c r="E1067" s="11">
        <v>336</v>
      </c>
      <c r="F1067" s="11">
        <v>4</v>
      </c>
      <c r="G1067" s="19">
        <v>11</v>
      </c>
      <c r="H1067" s="13">
        <v>81588</v>
      </c>
      <c r="I1067" s="11" t="s">
        <v>17</v>
      </c>
      <c r="J1067" s="13">
        <v>19918208</v>
      </c>
      <c r="K1067" s="13" t="s">
        <v>1247</v>
      </c>
      <c r="L1067" s="13" t="s">
        <v>1248</v>
      </c>
      <c r="M1067" s="17">
        <v>139900</v>
      </c>
      <c r="N1067" s="15">
        <v>0.75</v>
      </c>
      <c r="O1067" s="16">
        <f t="shared" si="80"/>
        <v>34975</v>
      </c>
      <c r="P1067" s="11" t="s">
        <v>20</v>
      </c>
    </row>
    <row r="1068" spans="1:16" x14ac:dyDescent="0.25">
      <c r="A1068" s="9" t="str">
        <f t="shared" si="84"/>
        <v>2024 ALL D75</v>
      </c>
      <c r="B1068" s="10">
        <f t="shared" si="83"/>
        <v>46104</v>
      </c>
      <c r="C1068" s="10">
        <v>46113</v>
      </c>
      <c r="D1068" s="11">
        <v>3273</v>
      </c>
      <c r="E1068" s="11">
        <v>336</v>
      </c>
      <c r="F1068" s="11">
        <v>4</v>
      </c>
      <c r="G1068" s="19">
        <v>11</v>
      </c>
      <c r="H1068" s="13">
        <v>81588</v>
      </c>
      <c r="I1068" s="11" t="s">
        <v>17</v>
      </c>
      <c r="J1068" s="13">
        <v>19918217</v>
      </c>
      <c r="K1068" s="13" t="s">
        <v>1247</v>
      </c>
      <c r="L1068" s="13" t="s">
        <v>1249</v>
      </c>
      <c r="M1068" s="17">
        <v>139900</v>
      </c>
      <c r="N1068" s="15">
        <v>0.75</v>
      </c>
      <c r="O1068" s="16">
        <f t="shared" si="80"/>
        <v>34975</v>
      </c>
      <c r="P1068" s="11" t="s">
        <v>20</v>
      </c>
    </row>
    <row r="1069" spans="1:16" x14ac:dyDescent="0.25">
      <c r="A1069" s="9" t="str">
        <f t="shared" si="84"/>
        <v>2024 ALL D75</v>
      </c>
      <c r="B1069" s="10">
        <f t="shared" si="83"/>
        <v>46104</v>
      </c>
      <c r="C1069" s="10">
        <v>46113</v>
      </c>
      <c r="D1069" s="11">
        <v>3273</v>
      </c>
      <c r="E1069" s="11">
        <v>336</v>
      </c>
      <c r="F1069" s="11">
        <v>4</v>
      </c>
      <c r="G1069" s="19">
        <v>11</v>
      </c>
      <c r="H1069" s="13">
        <v>81588</v>
      </c>
      <c r="I1069" s="11" t="s">
        <v>17</v>
      </c>
      <c r="J1069" s="13">
        <v>19918226</v>
      </c>
      <c r="K1069" s="13" t="s">
        <v>1247</v>
      </c>
      <c r="L1069" s="13" t="s">
        <v>1250</v>
      </c>
      <c r="M1069" s="17">
        <v>139900</v>
      </c>
      <c r="N1069" s="15">
        <v>0.75</v>
      </c>
      <c r="O1069" s="16">
        <f t="shared" si="80"/>
        <v>34975</v>
      </c>
      <c r="P1069" s="11" t="s">
        <v>20</v>
      </c>
    </row>
    <row r="1070" spans="1:16" x14ac:dyDescent="0.25">
      <c r="A1070" s="9" t="str">
        <f t="shared" si="84"/>
        <v>2024 ALL D75</v>
      </c>
      <c r="B1070" s="10">
        <f t="shared" si="83"/>
        <v>46104</v>
      </c>
      <c r="C1070" s="10">
        <v>46113</v>
      </c>
      <c r="D1070" s="11">
        <v>3273</v>
      </c>
      <c r="E1070" s="11">
        <v>336</v>
      </c>
      <c r="F1070" s="11">
        <v>4</v>
      </c>
      <c r="G1070" s="19">
        <v>11</v>
      </c>
      <c r="H1070" s="13">
        <v>81588</v>
      </c>
      <c r="I1070" s="11" t="s">
        <v>17</v>
      </c>
      <c r="J1070" s="13">
        <v>19918235</v>
      </c>
      <c r="K1070" s="13" t="s">
        <v>1247</v>
      </c>
      <c r="L1070" s="13" t="s">
        <v>1251</v>
      </c>
      <c r="M1070" s="17">
        <v>139900</v>
      </c>
      <c r="N1070" s="15">
        <v>0.75</v>
      </c>
      <c r="O1070" s="16">
        <f t="shared" si="80"/>
        <v>34975</v>
      </c>
      <c r="P1070" s="11" t="s">
        <v>20</v>
      </c>
    </row>
    <row r="1071" spans="1:16" x14ac:dyDescent="0.25">
      <c r="A1071" s="9" t="str">
        <f t="shared" si="84"/>
        <v>2024 ALL D75</v>
      </c>
      <c r="B1071" s="10">
        <f t="shared" si="83"/>
        <v>46104</v>
      </c>
      <c r="C1071" s="10">
        <v>46113</v>
      </c>
      <c r="D1071" s="11">
        <v>3273</v>
      </c>
      <c r="E1071" s="11">
        <v>336</v>
      </c>
      <c r="F1071" s="11">
        <v>4</v>
      </c>
      <c r="G1071" s="19">
        <v>11</v>
      </c>
      <c r="H1071" s="13">
        <v>81588</v>
      </c>
      <c r="I1071" s="11" t="s">
        <v>17</v>
      </c>
      <c r="J1071" s="13">
        <v>19918244</v>
      </c>
      <c r="K1071" s="13" t="s">
        <v>1247</v>
      </c>
      <c r="L1071" s="13" t="s">
        <v>1252</v>
      </c>
      <c r="M1071" s="17">
        <v>139900</v>
      </c>
      <c r="N1071" s="15">
        <v>0.75</v>
      </c>
      <c r="O1071" s="16">
        <f t="shared" si="80"/>
        <v>34975</v>
      </c>
      <c r="P1071" s="11" t="s">
        <v>20</v>
      </c>
    </row>
    <row r="1072" spans="1:16" x14ac:dyDescent="0.25">
      <c r="A1072" s="9" t="str">
        <f t="shared" si="84"/>
        <v>2024 ALL D75</v>
      </c>
      <c r="B1072" s="10">
        <f t="shared" si="83"/>
        <v>46104</v>
      </c>
      <c r="C1072" s="10">
        <v>46113</v>
      </c>
      <c r="D1072" s="11">
        <v>3273</v>
      </c>
      <c r="E1072" s="11">
        <v>336</v>
      </c>
      <c r="F1072" s="11">
        <v>4</v>
      </c>
      <c r="G1072" s="19">
        <v>11</v>
      </c>
      <c r="H1072" s="13">
        <v>81588</v>
      </c>
      <c r="I1072" s="11" t="s">
        <v>17</v>
      </c>
      <c r="J1072" s="13">
        <v>19918333</v>
      </c>
      <c r="K1072" s="13" t="s">
        <v>1247</v>
      </c>
      <c r="L1072" s="13" t="s">
        <v>1253</v>
      </c>
      <c r="M1072" s="17">
        <v>139900</v>
      </c>
      <c r="N1072" s="15">
        <v>0.75</v>
      </c>
      <c r="O1072" s="16">
        <f t="shared" si="80"/>
        <v>34975</v>
      </c>
      <c r="P1072" s="11" t="s">
        <v>20</v>
      </c>
    </row>
    <row r="1073" spans="1:16" x14ac:dyDescent="0.25">
      <c r="A1073" s="9" t="str">
        <f t="shared" si="84"/>
        <v>2024 ALL D75</v>
      </c>
      <c r="B1073" s="10">
        <f t="shared" si="83"/>
        <v>46104</v>
      </c>
      <c r="C1073" s="10">
        <v>46113</v>
      </c>
      <c r="D1073" s="11">
        <v>3273</v>
      </c>
      <c r="E1073" s="11">
        <v>336</v>
      </c>
      <c r="F1073" s="11">
        <v>4</v>
      </c>
      <c r="G1073" s="19">
        <v>6</v>
      </c>
      <c r="H1073" s="13">
        <v>81676</v>
      </c>
      <c r="I1073" s="11" t="s">
        <v>17</v>
      </c>
      <c r="J1073" s="13">
        <v>19918342</v>
      </c>
      <c r="K1073" s="13" t="s">
        <v>1254</v>
      </c>
      <c r="L1073" s="13" t="s">
        <v>1255</v>
      </c>
      <c r="M1073" s="17">
        <v>139900</v>
      </c>
      <c r="N1073" s="15">
        <v>0.75</v>
      </c>
      <c r="O1073" s="16">
        <f t="shared" si="80"/>
        <v>34975</v>
      </c>
      <c r="P1073" s="11" t="s">
        <v>20</v>
      </c>
    </row>
    <row r="1074" spans="1:16" x14ac:dyDescent="0.25">
      <c r="A1074" s="9" t="str">
        <f t="shared" si="84"/>
        <v>2024 ALL D75</v>
      </c>
      <c r="B1074" s="10">
        <f t="shared" si="83"/>
        <v>46104</v>
      </c>
      <c r="C1074" s="10">
        <v>46113</v>
      </c>
      <c r="D1074" s="11">
        <v>3273</v>
      </c>
      <c r="E1074" s="11">
        <v>336</v>
      </c>
      <c r="F1074" s="11">
        <v>4</v>
      </c>
      <c r="G1074" s="19">
        <v>6</v>
      </c>
      <c r="H1074" s="13">
        <v>81676</v>
      </c>
      <c r="I1074" s="11" t="s">
        <v>17</v>
      </c>
      <c r="J1074" s="13">
        <v>19918351</v>
      </c>
      <c r="K1074" s="13" t="s">
        <v>1254</v>
      </c>
      <c r="L1074" s="13" t="s">
        <v>1256</v>
      </c>
      <c r="M1074" s="17">
        <v>139900</v>
      </c>
      <c r="N1074" s="15">
        <v>0.75</v>
      </c>
      <c r="O1074" s="16">
        <f t="shared" si="80"/>
        <v>34975</v>
      </c>
      <c r="P1074" s="11" t="s">
        <v>20</v>
      </c>
    </row>
    <row r="1075" spans="1:16" x14ac:dyDescent="0.25">
      <c r="A1075" s="9" t="str">
        <f t="shared" si="84"/>
        <v>2024 ALL D75</v>
      </c>
      <c r="B1075" s="10">
        <f t="shared" si="83"/>
        <v>46104</v>
      </c>
      <c r="C1075" s="10">
        <v>46113</v>
      </c>
      <c r="D1075" s="11">
        <v>3273</v>
      </c>
      <c r="E1075" s="11">
        <v>336</v>
      </c>
      <c r="F1075" s="11">
        <v>4</v>
      </c>
      <c r="G1075" s="19">
        <v>6</v>
      </c>
      <c r="H1075" s="13">
        <v>81676</v>
      </c>
      <c r="I1075" s="11" t="s">
        <v>17</v>
      </c>
      <c r="J1075" s="13">
        <v>19918404</v>
      </c>
      <c r="K1075" s="13" t="s">
        <v>1254</v>
      </c>
      <c r="L1075" s="13" t="s">
        <v>1257</v>
      </c>
      <c r="M1075" s="17">
        <v>139900</v>
      </c>
      <c r="N1075" s="15">
        <v>0.75</v>
      </c>
      <c r="O1075" s="16">
        <f t="shared" si="80"/>
        <v>34975</v>
      </c>
      <c r="P1075" s="11" t="s">
        <v>20</v>
      </c>
    </row>
    <row r="1076" spans="1:16" x14ac:dyDescent="0.25">
      <c r="A1076" s="9" t="str">
        <f t="shared" si="84"/>
        <v>2024 ALL D75</v>
      </c>
      <c r="B1076" s="10">
        <f t="shared" si="83"/>
        <v>46104</v>
      </c>
      <c r="C1076" s="10">
        <v>46113</v>
      </c>
      <c r="D1076" s="11">
        <v>3273</v>
      </c>
      <c r="E1076" s="11">
        <v>336</v>
      </c>
      <c r="F1076" s="11">
        <v>4</v>
      </c>
      <c r="G1076" s="19">
        <v>6</v>
      </c>
      <c r="H1076" s="13">
        <v>81676</v>
      </c>
      <c r="I1076" s="11" t="s">
        <v>17</v>
      </c>
      <c r="J1076" s="13">
        <v>19918413</v>
      </c>
      <c r="K1076" s="13" t="s">
        <v>1254</v>
      </c>
      <c r="L1076" s="13" t="s">
        <v>1258</v>
      </c>
      <c r="M1076" s="17">
        <v>139900</v>
      </c>
      <c r="N1076" s="15">
        <v>0.75</v>
      </c>
      <c r="O1076" s="16">
        <f t="shared" si="80"/>
        <v>34975</v>
      </c>
      <c r="P1076" s="11" t="s">
        <v>20</v>
      </c>
    </row>
    <row r="1077" spans="1:16" x14ac:dyDescent="0.25">
      <c r="A1077" s="9" t="str">
        <f t="shared" si="84"/>
        <v>2024 ALL D75</v>
      </c>
      <c r="B1077" s="10">
        <f t="shared" si="83"/>
        <v>46104</v>
      </c>
      <c r="C1077" s="10">
        <v>46113</v>
      </c>
      <c r="D1077" s="11">
        <v>3273</v>
      </c>
      <c r="E1077" s="11">
        <v>336</v>
      </c>
      <c r="F1077" s="11">
        <v>4</v>
      </c>
      <c r="G1077" s="19">
        <v>6</v>
      </c>
      <c r="H1077" s="13">
        <v>81676</v>
      </c>
      <c r="I1077" s="11" t="s">
        <v>17</v>
      </c>
      <c r="J1077" s="13">
        <v>19918422</v>
      </c>
      <c r="K1077" s="13" t="s">
        <v>1254</v>
      </c>
      <c r="L1077" s="13" t="s">
        <v>1259</v>
      </c>
      <c r="M1077" s="17">
        <v>139900</v>
      </c>
      <c r="N1077" s="15">
        <v>0.75</v>
      </c>
      <c r="O1077" s="16">
        <f t="shared" si="80"/>
        <v>34975</v>
      </c>
      <c r="P1077" s="11" t="s">
        <v>20</v>
      </c>
    </row>
    <row r="1078" spans="1:16" x14ac:dyDescent="0.25">
      <c r="A1078" s="9" t="str">
        <f t="shared" si="84"/>
        <v>2024 ALL D75</v>
      </c>
      <c r="B1078" s="10">
        <f t="shared" si="83"/>
        <v>46104</v>
      </c>
      <c r="C1078" s="10">
        <v>46113</v>
      </c>
      <c r="D1078" s="11">
        <v>3273</v>
      </c>
      <c r="E1078" s="11">
        <v>336</v>
      </c>
      <c r="F1078" s="11">
        <v>4</v>
      </c>
      <c r="G1078" s="19">
        <v>6</v>
      </c>
      <c r="H1078" s="13">
        <v>81676</v>
      </c>
      <c r="I1078" s="11" t="s">
        <v>17</v>
      </c>
      <c r="J1078" s="13">
        <v>19918431</v>
      </c>
      <c r="K1078" s="13" t="s">
        <v>1254</v>
      </c>
      <c r="L1078" s="13" t="s">
        <v>1260</v>
      </c>
      <c r="M1078" s="17">
        <v>139900</v>
      </c>
      <c r="N1078" s="15">
        <v>0.75</v>
      </c>
      <c r="O1078" s="16">
        <f t="shared" si="80"/>
        <v>34975</v>
      </c>
      <c r="P1078" s="11" t="s">
        <v>20</v>
      </c>
    </row>
    <row r="1079" spans="1:16" x14ac:dyDescent="0.25">
      <c r="A1079" s="9" t="str">
        <f t="shared" si="84"/>
        <v>2024 ALL D75</v>
      </c>
      <c r="B1079" s="10">
        <f t="shared" si="83"/>
        <v>46104</v>
      </c>
      <c r="C1079" s="10">
        <v>46113</v>
      </c>
      <c r="D1079" s="11">
        <v>3273</v>
      </c>
      <c r="E1079" s="11">
        <v>336</v>
      </c>
      <c r="F1079" s="11">
        <v>4</v>
      </c>
      <c r="G1079" s="19">
        <v>6</v>
      </c>
      <c r="H1079" s="13">
        <v>81676</v>
      </c>
      <c r="I1079" s="11" t="s">
        <v>17</v>
      </c>
      <c r="J1079" s="13">
        <v>19918440</v>
      </c>
      <c r="K1079" s="13" t="s">
        <v>1254</v>
      </c>
      <c r="L1079" s="13" t="s">
        <v>1261</v>
      </c>
      <c r="M1079" s="17">
        <v>139900</v>
      </c>
      <c r="N1079" s="15">
        <v>0.75</v>
      </c>
      <c r="O1079" s="16">
        <f t="shared" si="80"/>
        <v>34975</v>
      </c>
      <c r="P1079" s="11" t="s">
        <v>20</v>
      </c>
    </row>
    <row r="1080" spans="1:16" x14ac:dyDescent="0.25">
      <c r="A1080" s="9" t="str">
        <f t="shared" si="84"/>
        <v>2024 ALL D75</v>
      </c>
      <c r="B1080" s="10">
        <f t="shared" si="83"/>
        <v>46104</v>
      </c>
      <c r="C1080" s="10">
        <v>46113</v>
      </c>
      <c r="D1080" s="11">
        <v>3273</v>
      </c>
      <c r="E1080" s="11">
        <v>336</v>
      </c>
      <c r="F1080" s="11">
        <v>4</v>
      </c>
      <c r="G1080" s="19">
        <v>6</v>
      </c>
      <c r="H1080" s="13">
        <v>81676</v>
      </c>
      <c r="I1080" s="11" t="s">
        <v>17</v>
      </c>
      <c r="J1080" s="13">
        <v>19918459</v>
      </c>
      <c r="K1080" s="13" t="s">
        <v>1254</v>
      </c>
      <c r="L1080" s="13" t="s">
        <v>1262</v>
      </c>
      <c r="M1080" s="17">
        <v>139900</v>
      </c>
      <c r="N1080" s="15">
        <v>0.75</v>
      </c>
      <c r="O1080" s="16">
        <f t="shared" si="80"/>
        <v>34975</v>
      </c>
      <c r="P1080" s="11" t="s">
        <v>20</v>
      </c>
    </row>
    <row r="1081" spans="1:16" x14ac:dyDescent="0.25">
      <c r="A1081" s="9" t="str">
        <f t="shared" si="84"/>
        <v>2024 ALL D75</v>
      </c>
      <c r="B1081" s="10">
        <f t="shared" si="83"/>
        <v>46104</v>
      </c>
      <c r="C1081" s="10">
        <v>46113</v>
      </c>
      <c r="D1081" s="11">
        <v>3273</v>
      </c>
      <c r="E1081" s="11">
        <v>336</v>
      </c>
      <c r="F1081" s="11">
        <v>4</v>
      </c>
      <c r="G1081" s="19">
        <v>6</v>
      </c>
      <c r="H1081" s="13">
        <v>81676</v>
      </c>
      <c r="I1081" s="11" t="s">
        <v>17</v>
      </c>
      <c r="J1081" s="13">
        <v>19918468</v>
      </c>
      <c r="K1081" s="13" t="s">
        <v>1263</v>
      </c>
      <c r="L1081" s="13" t="s">
        <v>1264</v>
      </c>
      <c r="M1081" s="17">
        <v>119900</v>
      </c>
      <c r="N1081" s="15">
        <v>0.75</v>
      </c>
      <c r="O1081" s="16">
        <f t="shared" si="80"/>
        <v>29975</v>
      </c>
      <c r="P1081" s="11" t="s">
        <v>20</v>
      </c>
    </row>
    <row r="1082" spans="1:16" x14ac:dyDescent="0.25">
      <c r="A1082" s="9" t="str">
        <f t="shared" si="84"/>
        <v>2024 ALL D75</v>
      </c>
      <c r="B1082" s="10">
        <f t="shared" si="83"/>
        <v>46104</v>
      </c>
      <c r="C1082" s="10">
        <v>46113</v>
      </c>
      <c r="D1082" s="11">
        <v>3273</v>
      </c>
      <c r="E1082" s="11">
        <v>336</v>
      </c>
      <c r="F1082" s="11">
        <v>4</v>
      </c>
      <c r="G1082" s="19">
        <v>6</v>
      </c>
      <c r="H1082" s="13">
        <v>81676</v>
      </c>
      <c r="I1082" s="11" t="s">
        <v>17</v>
      </c>
      <c r="J1082" s="13">
        <v>19918477</v>
      </c>
      <c r="K1082" s="13" t="s">
        <v>1263</v>
      </c>
      <c r="L1082" s="13" t="s">
        <v>1265</v>
      </c>
      <c r="M1082" s="17">
        <v>119900</v>
      </c>
      <c r="N1082" s="15">
        <v>0.75</v>
      </c>
      <c r="O1082" s="16">
        <f t="shared" si="80"/>
        <v>29975</v>
      </c>
      <c r="P1082" s="11" t="s">
        <v>20</v>
      </c>
    </row>
    <row r="1083" spans="1:16" x14ac:dyDescent="0.25">
      <c r="A1083" s="9" t="str">
        <f t="shared" si="84"/>
        <v>2024 ALL D75</v>
      </c>
      <c r="B1083" s="10">
        <f t="shared" si="83"/>
        <v>46104</v>
      </c>
      <c r="C1083" s="10">
        <v>46113</v>
      </c>
      <c r="D1083" s="11">
        <v>3273</v>
      </c>
      <c r="E1083" s="11">
        <v>336</v>
      </c>
      <c r="F1083" s="11">
        <v>4</v>
      </c>
      <c r="G1083" s="19">
        <v>6</v>
      </c>
      <c r="H1083" s="13">
        <v>81676</v>
      </c>
      <c r="I1083" s="11" t="s">
        <v>17</v>
      </c>
      <c r="J1083" s="13">
        <v>19918486</v>
      </c>
      <c r="K1083" s="13" t="s">
        <v>1263</v>
      </c>
      <c r="L1083" s="13" t="s">
        <v>1266</v>
      </c>
      <c r="M1083" s="17">
        <v>119900</v>
      </c>
      <c r="N1083" s="15">
        <v>0.75</v>
      </c>
      <c r="O1083" s="16">
        <f t="shared" si="80"/>
        <v>29975</v>
      </c>
      <c r="P1083" s="11" t="s">
        <v>20</v>
      </c>
    </row>
    <row r="1084" spans="1:16" x14ac:dyDescent="0.25">
      <c r="A1084" s="9" t="str">
        <f t="shared" si="84"/>
        <v>2024 ALL D75</v>
      </c>
      <c r="B1084" s="10">
        <f t="shared" si="83"/>
        <v>46104</v>
      </c>
      <c r="C1084" s="10">
        <v>46113</v>
      </c>
      <c r="D1084" s="11">
        <v>3273</v>
      </c>
      <c r="E1084" s="11">
        <v>336</v>
      </c>
      <c r="F1084" s="11">
        <v>4</v>
      </c>
      <c r="G1084" s="19">
        <v>6</v>
      </c>
      <c r="H1084" s="13">
        <v>81676</v>
      </c>
      <c r="I1084" s="11" t="s">
        <v>17</v>
      </c>
      <c r="J1084" s="13">
        <v>19918495</v>
      </c>
      <c r="K1084" s="13" t="s">
        <v>1263</v>
      </c>
      <c r="L1084" s="13" t="s">
        <v>1267</v>
      </c>
      <c r="M1084" s="17">
        <v>119900</v>
      </c>
      <c r="N1084" s="15">
        <v>0.75</v>
      </c>
      <c r="O1084" s="16">
        <f t="shared" si="80"/>
        <v>29975</v>
      </c>
      <c r="P1084" s="11" t="s">
        <v>20</v>
      </c>
    </row>
    <row r="1085" spans="1:16" x14ac:dyDescent="0.25">
      <c r="A1085" s="9" t="str">
        <f t="shared" si="84"/>
        <v>2024 ALL D75</v>
      </c>
      <c r="B1085" s="10">
        <f t="shared" si="83"/>
        <v>46104</v>
      </c>
      <c r="C1085" s="10">
        <v>46113</v>
      </c>
      <c r="D1085" s="11">
        <v>3273</v>
      </c>
      <c r="E1085" s="11">
        <v>336</v>
      </c>
      <c r="F1085" s="11">
        <v>4</v>
      </c>
      <c r="G1085" s="19">
        <v>6</v>
      </c>
      <c r="H1085" s="13">
        <v>81676</v>
      </c>
      <c r="I1085" s="11" t="s">
        <v>17</v>
      </c>
      <c r="J1085" s="13">
        <v>19918502</v>
      </c>
      <c r="K1085" s="13" t="s">
        <v>1263</v>
      </c>
      <c r="L1085" s="13" t="s">
        <v>1268</v>
      </c>
      <c r="M1085" s="17">
        <v>119900</v>
      </c>
      <c r="N1085" s="15">
        <v>0.75</v>
      </c>
      <c r="O1085" s="16">
        <f t="shared" si="80"/>
        <v>29975</v>
      </c>
      <c r="P1085" s="11" t="s">
        <v>20</v>
      </c>
    </row>
    <row r="1086" spans="1:16" x14ac:dyDescent="0.25">
      <c r="A1086" s="9" t="str">
        <f t="shared" si="84"/>
        <v>2024 ALL D75</v>
      </c>
      <c r="B1086" s="10">
        <f t="shared" si="83"/>
        <v>46104</v>
      </c>
      <c r="C1086" s="10">
        <v>46113</v>
      </c>
      <c r="D1086" s="11">
        <v>3273</v>
      </c>
      <c r="E1086" s="11">
        <v>336</v>
      </c>
      <c r="F1086" s="11">
        <v>4</v>
      </c>
      <c r="G1086" s="19">
        <v>6</v>
      </c>
      <c r="H1086" s="13">
        <v>81676</v>
      </c>
      <c r="I1086" s="11" t="s">
        <v>17</v>
      </c>
      <c r="J1086" s="13">
        <v>19918511</v>
      </c>
      <c r="K1086" s="13" t="s">
        <v>1263</v>
      </c>
      <c r="L1086" s="13" t="s">
        <v>1269</v>
      </c>
      <c r="M1086" s="17">
        <v>119900</v>
      </c>
      <c r="N1086" s="15">
        <v>0.75</v>
      </c>
      <c r="O1086" s="16">
        <f t="shared" si="80"/>
        <v>29975</v>
      </c>
      <c r="P1086" s="11" t="s">
        <v>20</v>
      </c>
    </row>
    <row r="1087" spans="1:16" x14ac:dyDescent="0.25">
      <c r="A1087" s="9" t="str">
        <f t="shared" si="84"/>
        <v>2024 ALL D75</v>
      </c>
      <c r="B1087" s="10">
        <f t="shared" si="83"/>
        <v>46104</v>
      </c>
      <c r="C1087" s="10">
        <v>46113</v>
      </c>
      <c r="D1087" s="11">
        <v>3273</v>
      </c>
      <c r="E1087" s="11">
        <v>336</v>
      </c>
      <c r="F1087" s="11">
        <v>4</v>
      </c>
      <c r="G1087" s="19">
        <v>6</v>
      </c>
      <c r="H1087" s="13">
        <v>81676</v>
      </c>
      <c r="I1087" s="11" t="s">
        <v>17</v>
      </c>
      <c r="J1087" s="13">
        <v>19918520</v>
      </c>
      <c r="K1087" s="13" t="s">
        <v>1263</v>
      </c>
      <c r="L1087" s="13" t="s">
        <v>1270</v>
      </c>
      <c r="M1087" s="17">
        <v>119900</v>
      </c>
      <c r="N1087" s="15">
        <v>0.75</v>
      </c>
      <c r="O1087" s="16">
        <f t="shared" si="80"/>
        <v>29975</v>
      </c>
      <c r="P1087" s="11" t="s">
        <v>20</v>
      </c>
    </row>
    <row r="1088" spans="1:16" x14ac:dyDescent="0.25">
      <c r="A1088" s="9" t="str">
        <f t="shared" si="84"/>
        <v>2024 ALL D75</v>
      </c>
      <c r="B1088" s="10">
        <f t="shared" si="83"/>
        <v>46104</v>
      </c>
      <c r="C1088" s="10">
        <v>46113</v>
      </c>
      <c r="D1088" s="11">
        <v>3273</v>
      </c>
      <c r="E1088" s="11">
        <v>336</v>
      </c>
      <c r="F1088" s="11">
        <v>4</v>
      </c>
      <c r="G1088" s="19">
        <v>6</v>
      </c>
      <c r="H1088" s="13">
        <v>81676</v>
      </c>
      <c r="I1088" s="11" t="s">
        <v>17</v>
      </c>
      <c r="J1088" s="13">
        <v>19918539</v>
      </c>
      <c r="K1088" s="13" t="s">
        <v>1263</v>
      </c>
      <c r="L1088" s="13" t="s">
        <v>1271</v>
      </c>
      <c r="M1088" s="17">
        <v>119900</v>
      </c>
      <c r="N1088" s="15">
        <v>0.75</v>
      </c>
      <c r="O1088" s="16">
        <f t="shared" si="80"/>
        <v>29975</v>
      </c>
      <c r="P1088" s="11" t="s">
        <v>20</v>
      </c>
    </row>
    <row r="1089" spans="1:16" x14ac:dyDescent="0.25">
      <c r="A1089" s="9" t="str">
        <f t="shared" si="84"/>
        <v>2024 ALL D75</v>
      </c>
      <c r="B1089" s="10">
        <f t="shared" si="83"/>
        <v>46104</v>
      </c>
      <c r="C1089" s="10">
        <v>46113</v>
      </c>
      <c r="D1089" s="11">
        <v>3273</v>
      </c>
      <c r="E1089" s="11">
        <v>336</v>
      </c>
      <c r="F1089" s="11">
        <v>4</v>
      </c>
      <c r="G1089" s="19">
        <v>6</v>
      </c>
      <c r="H1089" s="13">
        <v>81588</v>
      </c>
      <c r="I1089" s="11" t="s">
        <v>17</v>
      </c>
      <c r="J1089" s="13">
        <v>20156172</v>
      </c>
      <c r="K1089" s="13" t="s">
        <v>1272</v>
      </c>
      <c r="L1089" s="13" t="s">
        <v>1273</v>
      </c>
      <c r="M1089" s="17">
        <v>149900</v>
      </c>
      <c r="N1089" s="15">
        <v>0.75</v>
      </c>
      <c r="O1089" s="16">
        <f t="shared" si="80"/>
        <v>37475</v>
      </c>
      <c r="P1089" s="11" t="s">
        <v>20</v>
      </c>
    </row>
    <row r="1090" spans="1:16" x14ac:dyDescent="0.25">
      <c r="A1090" s="9" t="str">
        <f t="shared" si="84"/>
        <v>2024 ALL D75</v>
      </c>
      <c r="B1090" s="10">
        <f t="shared" si="83"/>
        <v>46104</v>
      </c>
      <c r="C1090" s="10">
        <v>46113</v>
      </c>
      <c r="D1090" s="11">
        <v>3273</v>
      </c>
      <c r="E1090" s="11">
        <v>336</v>
      </c>
      <c r="F1090" s="11">
        <v>4</v>
      </c>
      <c r="G1090" s="19">
        <v>6</v>
      </c>
      <c r="H1090" s="13">
        <v>81588</v>
      </c>
      <c r="I1090" s="11" t="s">
        <v>17</v>
      </c>
      <c r="J1090" s="13">
        <v>20156181</v>
      </c>
      <c r="K1090" s="13" t="s">
        <v>1272</v>
      </c>
      <c r="L1090" s="13" t="s">
        <v>1274</v>
      </c>
      <c r="M1090" s="17">
        <v>149900</v>
      </c>
      <c r="N1090" s="15">
        <v>0.75</v>
      </c>
      <c r="O1090" s="16">
        <f t="shared" ref="O1090:O1153" si="85">M1090*(1-N1090)</f>
        <v>37475</v>
      </c>
      <c r="P1090" s="11" t="s">
        <v>20</v>
      </c>
    </row>
    <row r="1091" spans="1:16" x14ac:dyDescent="0.25">
      <c r="A1091" s="9" t="str">
        <f t="shared" si="84"/>
        <v>2024 ALL D75</v>
      </c>
      <c r="B1091" s="10">
        <f t="shared" si="83"/>
        <v>46104</v>
      </c>
      <c r="C1091" s="10">
        <v>46113</v>
      </c>
      <c r="D1091" s="11">
        <v>3273</v>
      </c>
      <c r="E1091" s="11">
        <v>336</v>
      </c>
      <c r="F1091" s="11">
        <v>4</v>
      </c>
      <c r="G1091" s="19">
        <v>6</v>
      </c>
      <c r="H1091" s="13">
        <v>81588</v>
      </c>
      <c r="I1091" s="11" t="s">
        <v>17</v>
      </c>
      <c r="J1091" s="13">
        <v>20156190</v>
      </c>
      <c r="K1091" s="13" t="s">
        <v>1272</v>
      </c>
      <c r="L1091" s="13" t="s">
        <v>1275</v>
      </c>
      <c r="M1091" s="17">
        <v>149900</v>
      </c>
      <c r="N1091" s="15">
        <v>0.75</v>
      </c>
      <c r="O1091" s="16">
        <f t="shared" si="85"/>
        <v>37475</v>
      </c>
      <c r="P1091" s="11" t="s">
        <v>20</v>
      </c>
    </row>
    <row r="1092" spans="1:16" x14ac:dyDescent="0.25">
      <c r="A1092" s="9" t="str">
        <f t="shared" si="84"/>
        <v>2024 ALL D75</v>
      </c>
      <c r="B1092" s="10">
        <f t="shared" si="83"/>
        <v>46104</v>
      </c>
      <c r="C1092" s="10">
        <v>46113</v>
      </c>
      <c r="D1092" s="11">
        <v>3273</v>
      </c>
      <c r="E1092" s="11">
        <v>336</v>
      </c>
      <c r="F1092" s="11">
        <v>4</v>
      </c>
      <c r="G1092" s="19">
        <v>6</v>
      </c>
      <c r="H1092" s="13">
        <v>81588</v>
      </c>
      <c r="I1092" s="11" t="s">
        <v>17</v>
      </c>
      <c r="J1092" s="13">
        <v>20156207</v>
      </c>
      <c r="K1092" s="13" t="s">
        <v>1272</v>
      </c>
      <c r="L1092" s="13" t="s">
        <v>1276</v>
      </c>
      <c r="M1092" s="17">
        <v>149900</v>
      </c>
      <c r="N1092" s="15">
        <v>0.75</v>
      </c>
      <c r="O1092" s="16">
        <f t="shared" si="85"/>
        <v>37475</v>
      </c>
      <c r="P1092" s="11" t="s">
        <v>20</v>
      </c>
    </row>
    <row r="1093" spans="1:16" x14ac:dyDescent="0.25">
      <c r="A1093" s="9" t="str">
        <f t="shared" si="84"/>
        <v>2024 ALL D75</v>
      </c>
      <c r="B1093" s="10">
        <f t="shared" si="83"/>
        <v>46104</v>
      </c>
      <c r="C1093" s="10">
        <v>46113</v>
      </c>
      <c r="D1093" s="11">
        <v>3273</v>
      </c>
      <c r="E1093" s="11">
        <v>336</v>
      </c>
      <c r="F1093" s="11">
        <v>4</v>
      </c>
      <c r="G1093" s="19">
        <v>6</v>
      </c>
      <c r="H1093" s="13">
        <v>81588</v>
      </c>
      <c r="I1093" s="11" t="s">
        <v>17</v>
      </c>
      <c r="J1093" s="13">
        <v>20156225</v>
      </c>
      <c r="K1093" s="13" t="s">
        <v>1272</v>
      </c>
      <c r="L1093" s="13" t="s">
        <v>1277</v>
      </c>
      <c r="M1093" s="17">
        <v>149900</v>
      </c>
      <c r="N1093" s="15">
        <v>0.75</v>
      </c>
      <c r="O1093" s="16">
        <f t="shared" si="85"/>
        <v>37475</v>
      </c>
      <c r="P1093" s="11" t="s">
        <v>20</v>
      </c>
    </row>
    <row r="1094" spans="1:16" x14ac:dyDescent="0.25">
      <c r="A1094" s="9" t="str">
        <f t="shared" si="84"/>
        <v>2024 ALL D75</v>
      </c>
      <c r="B1094" s="10">
        <f t="shared" si="83"/>
        <v>46104</v>
      </c>
      <c r="C1094" s="10">
        <v>46113</v>
      </c>
      <c r="D1094" s="11">
        <v>3273</v>
      </c>
      <c r="E1094" s="11">
        <v>336</v>
      </c>
      <c r="F1094" s="11">
        <v>4</v>
      </c>
      <c r="G1094" s="19">
        <v>6</v>
      </c>
      <c r="H1094" s="13">
        <v>81588</v>
      </c>
      <c r="I1094" s="11" t="s">
        <v>17</v>
      </c>
      <c r="J1094" s="13">
        <v>20156234</v>
      </c>
      <c r="K1094" s="13" t="s">
        <v>1272</v>
      </c>
      <c r="L1094" s="13" t="s">
        <v>1278</v>
      </c>
      <c r="M1094" s="17">
        <v>149900</v>
      </c>
      <c r="N1094" s="15">
        <v>0.75</v>
      </c>
      <c r="O1094" s="16">
        <f t="shared" si="85"/>
        <v>37475</v>
      </c>
      <c r="P1094" s="11" t="s">
        <v>20</v>
      </c>
    </row>
    <row r="1095" spans="1:16" x14ac:dyDescent="0.25">
      <c r="A1095" s="9" t="str">
        <f t="shared" si="84"/>
        <v>2024 ALL D75</v>
      </c>
      <c r="B1095" s="10">
        <f t="shared" si="83"/>
        <v>46104</v>
      </c>
      <c r="C1095" s="10">
        <v>46113</v>
      </c>
      <c r="D1095" s="11">
        <v>3273</v>
      </c>
      <c r="E1095" s="11">
        <v>336</v>
      </c>
      <c r="F1095" s="11">
        <v>4</v>
      </c>
      <c r="G1095" s="19">
        <v>6</v>
      </c>
      <c r="H1095" s="13">
        <v>81588</v>
      </c>
      <c r="I1095" s="11" t="s">
        <v>17</v>
      </c>
      <c r="J1095" s="13">
        <v>20156252</v>
      </c>
      <c r="K1095" s="13" t="s">
        <v>1272</v>
      </c>
      <c r="L1095" s="13" t="s">
        <v>1279</v>
      </c>
      <c r="M1095" s="17">
        <v>149900</v>
      </c>
      <c r="N1095" s="15">
        <v>0.75</v>
      </c>
      <c r="O1095" s="16">
        <f t="shared" si="85"/>
        <v>37475</v>
      </c>
      <c r="P1095" s="11" t="s">
        <v>20</v>
      </c>
    </row>
    <row r="1096" spans="1:16" x14ac:dyDescent="0.25">
      <c r="A1096" s="9" t="str">
        <f t="shared" si="84"/>
        <v>2024 ALL D75</v>
      </c>
      <c r="B1096" s="10">
        <f t="shared" si="83"/>
        <v>46104</v>
      </c>
      <c r="C1096" s="10">
        <v>46113</v>
      </c>
      <c r="D1096" s="11">
        <v>3273</v>
      </c>
      <c r="E1096" s="11">
        <v>336</v>
      </c>
      <c r="F1096" s="11">
        <v>4</v>
      </c>
      <c r="G1096" s="19">
        <v>6</v>
      </c>
      <c r="H1096" s="13">
        <v>81588</v>
      </c>
      <c r="I1096" s="11" t="s">
        <v>17</v>
      </c>
      <c r="J1096" s="13">
        <v>20156261</v>
      </c>
      <c r="K1096" s="13" t="s">
        <v>1272</v>
      </c>
      <c r="L1096" s="13" t="s">
        <v>1280</v>
      </c>
      <c r="M1096" s="17">
        <v>149900</v>
      </c>
      <c r="N1096" s="15">
        <v>0.75</v>
      </c>
      <c r="O1096" s="16">
        <f t="shared" si="85"/>
        <v>37475</v>
      </c>
      <c r="P1096" s="11" t="s">
        <v>20</v>
      </c>
    </row>
    <row r="1097" spans="1:16" x14ac:dyDescent="0.25">
      <c r="A1097" s="9" t="str">
        <f t="shared" si="84"/>
        <v>2024 ALL D75</v>
      </c>
      <c r="B1097" s="10">
        <f t="shared" si="83"/>
        <v>46104</v>
      </c>
      <c r="C1097" s="10">
        <v>46113</v>
      </c>
      <c r="D1097" s="11">
        <v>3273</v>
      </c>
      <c r="E1097" s="11">
        <v>336</v>
      </c>
      <c r="F1097" s="11">
        <v>4</v>
      </c>
      <c r="G1097" s="19">
        <v>6</v>
      </c>
      <c r="H1097" s="13">
        <v>81588</v>
      </c>
      <c r="I1097" s="11" t="s">
        <v>17</v>
      </c>
      <c r="J1097" s="13">
        <v>20672631</v>
      </c>
      <c r="K1097" s="13" t="s">
        <v>1281</v>
      </c>
      <c r="L1097" s="13" t="s">
        <v>1282</v>
      </c>
      <c r="M1097" s="17">
        <v>149900</v>
      </c>
      <c r="N1097" s="15">
        <v>0.75</v>
      </c>
      <c r="O1097" s="16">
        <f t="shared" si="85"/>
        <v>37475</v>
      </c>
      <c r="P1097" s="11" t="s">
        <v>20</v>
      </c>
    </row>
    <row r="1098" spans="1:16" x14ac:dyDescent="0.25">
      <c r="A1098" s="9" t="str">
        <f t="shared" si="84"/>
        <v>2024 ALL D75</v>
      </c>
      <c r="B1098" s="10">
        <f t="shared" si="83"/>
        <v>46104</v>
      </c>
      <c r="C1098" s="10">
        <v>46113</v>
      </c>
      <c r="D1098" s="11">
        <v>3273</v>
      </c>
      <c r="E1098" s="11">
        <v>336</v>
      </c>
      <c r="F1098" s="11">
        <v>4</v>
      </c>
      <c r="G1098" s="19">
        <v>6</v>
      </c>
      <c r="H1098" s="13">
        <v>81588</v>
      </c>
      <c r="I1098" s="11" t="s">
        <v>17</v>
      </c>
      <c r="J1098" s="13">
        <v>20672640</v>
      </c>
      <c r="K1098" s="13" t="s">
        <v>1281</v>
      </c>
      <c r="L1098" s="13" t="s">
        <v>1283</v>
      </c>
      <c r="M1098" s="17">
        <v>149900</v>
      </c>
      <c r="N1098" s="15">
        <v>0.75</v>
      </c>
      <c r="O1098" s="16">
        <f t="shared" si="85"/>
        <v>37475</v>
      </c>
      <c r="P1098" s="11" t="s">
        <v>20</v>
      </c>
    </row>
    <row r="1099" spans="1:16" x14ac:dyDescent="0.25">
      <c r="A1099" s="9" t="str">
        <f t="shared" si="84"/>
        <v>2024 ALL D75</v>
      </c>
      <c r="B1099" s="10">
        <f t="shared" si="83"/>
        <v>46104</v>
      </c>
      <c r="C1099" s="10">
        <v>46113</v>
      </c>
      <c r="D1099" s="11">
        <v>3273</v>
      </c>
      <c r="E1099" s="11">
        <v>336</v>
      </c>
      <c r="F1099" s="11">
        <v>4</v>
      </c>
      <c r="G1099" s="19">
        <v>6</v>
      </c>
      <c r="H1099" s="13">
        <v>81588</v>
      </c>
      <c r="I1099" s="11" t="s">
        <v>17</v>
      </c>
      <c r="J1099" s="13">
        <v>20672659</v>
      </c>
      <c r="K1099" s="13" t="s">
        <v>1281</v>
      </c>
      <c r="L1099" s="13" t="s">
        <v>1284</v>
      </c>
      <c r="M1099" s="17">
        <v>149900</v>
      </c>
      <c r="N1099" s="15">
        <v>0.75</v>
      </c>
      <c r="O1099" s="16">
        <f t="shared" si="85"/>
        <v>37475</v>
      </c>
      <c r="P1099" s="11" t="s">
        <v>20</v>
      </c>
    </row>
    <row r="1100" spans="1:16" x14ac:dyDescent="0.25">
      <c r="A1100" s="9" t="str">
        <f t="shared" si="84"/>
        <v>2024 ALL D75</v>
      </c>
      <c r="B1100" s="10">
        <f t="shared" si="83"/>
        <v>46104</v>
      </c>
      <c r="C1100" s="10">
        <v>46113</v>
      </c>
      <c r="D1100" s="11">
        <v>3273</v>
      </c>
      <c r="E1100" s="11">
        <v>336</v>
      </c>
      <c r="F1100" s="11">
        <v>4</v>
      </c>
      <c r="G1100" s="19">
        <v>6</v>
      </c>
      <c r="H1100" s="13">
        <v>81588</v>
      </c>
      <c r="I1100" s="11" t="s">
        <v>17</v>
      </c>
      <c r="J1100" s="13">
        <v>20672668</v>
      </c>
      <c r="K1100" s="13" t="s">
        <v>1281</v>
      </c>
      <c r="L1100" s="13" t="s">
        <v>1285</v>
      </c>
      <c r="M1100" s="17">
        <v>149900</v>
      </c>
      <c r="N1100" s="15">
        <v>0.75</v>
      </c>
      <c r="O1100" s="16">
        <f t="shared" si="85"/>
        <v>37475</v>
      </c>
      <c r="P1100" s="11" t="s">
        <v>20</v>
      </c>
    </row>
    <row r="1101" spans="1:16" x14ac:dyDescent="0.25">
      <c r="A1101" s="9" t="str">
        <f t="shared" si="84"/>
        <v>2024 ALL D75</v>
      </c>
      <c r="B1101" s="10">
        <f t="shared" si="83"/>
        <v>46104</v>
      </c>
      <c r="C1101" s="10">
        <v>46113</v>
      </c>
      <c r="D1101" s="11">
        <v>3273</v>
      </c>
      <c r="E1101" s="11">
        <v>336</v>
      </c>
      <c r="F1101" s="11">
        <v>4</v>
      </c>
      <c r="G1101" s="19">
        <v>6</v>
      </c>
      <c r="H1101" s="13">
        <v>81588</v>
      </c>
      <c r="I1101" s="11" t="s">
        <v>17</v>
      </c>
      <c r="J1101" s="13">
        <v>20672677</v>
      </c>
      <c r="K1101" s="13" t="s">
        <v>1281</v>
      </c>
      <c r="L1101" s="13" t="s">
        <v>1286</v>
      </c>
      <c r="M1101" s="17">
        <v>149900</v>
      </c>
      <c r="N1101" s="15">
        <v>0.75</v>
      </c>
      <c r="O1101" s="16">
        <f t="shared" si="85"/>
        <v>37475</v>
      </c>
      <c r="P1101" s="11" t="s">
        <v>20</v>
      </c>
    </row>
    <row r="1102" spans="1:16" x14ac:dyDescent="0.25">
      <c r="A1102" s="9" t="str">
        <f t="shared" si="84"/>
        <v>2024 ALL D75</v>
      </c>
      <c r="B1102" s="10">
        <f t="shared" si="83"/>
        <v>46104</v>
      </c>
      <c r="C1102" s="10">
        <v>46113</v>
      </c>
      <c r="D1102" s="11">
        <v>3273</v>
      </c>
      <c r="E1102" s="11">
        <v>336</v>
      </c>
      <c r="F1102" s="11">
        <v>4</v>
      </c>
      <c r="G1102" s="19">
        <v>6</v>
      </c>
      <c r="H1102" s="13">
        <v>81588</v>
      </c>
      <c r="I1102" s="11" t="s">
        <v>17</v>
      </c>
      <c r="J1102" s="13">
        <v>20672686</v>
      </c>
      <c r="K1102" s="13" t="s">
        <v>1281</v>
      </c>
      <c r="L1102" s="13" t="s">
        <v>1287</v>
      </c>
      <c r="M1102" s="17">
        <v>149900</v>
      </c>
      <c r="N1102" s="15">
        <v>0.75</v>
      </c>
      <c r="O1102" s="16">
        <f t="shared" si="85"/>
        <v>37475</v>
      </c>
      <c r="P1102" s="11" t="s">
        <v>20</v>
      </c>
    </row>
    <row r="1103" spans="1:16" x14ac:dyDescent="0.25">
      <c r="A1103" s="9" t="str">
        <f t="shared" si="84"/>
        <v>2024 ALL D75</v>
      </c>
      <c r="B1103" s="10">
        <f t="shared" si="83"/>
        <v>46104</v>
      </c>
      <c r="C1103" s="10">
        <v>46113</v>
      </c>
      <c r="D1103" s="11">
        <v>3273</v>
      </c>
      <c r="E1103" s="11">
        <v>336</v>
      </c>
      <c r="F1103" s="11">
        <v>4</v>
      </c>
      <c r="G1103" s="19">
        <v>6</v>
      </c>
      <c r="H1103" s="13">
        <v>81588</v>
      </c>
      <c r="I1103" s="11" t="s">
        <v>17</v>
      </c>
      <c r="J1103" s="13">
        <v>20672695</v>
      </c>
      <c r="K1103" s="13" t="s">
        <v>1281</v>
      </c>
      <c r="L1103" s="13" t="s">
        <v>1288</v>
      </c>
      <c r="M1103" s="17">
        <v>149900</v>
      </c>
      <c r="N1103" s="15">
        <v>0.75</v>
      </c>
      <c r="O1103" s="16">
        <f t="shared" si="85"/>
        <v>37475</v>
      </c>
      <c r="P1103" s="11" t="s">
        <v>20</v>
      </c>
    </row>
    <row r="1104" spans="1:16" x14ac:dyDescent="0.25">
      <c r="A1104" s="9" t="str">
        <f t="shared" si="84"/>
        <v>2024 ALL D75</v>
      </c>
      <c r="B1104" s="10">
        <f t="shared" si="83"/>
        <v>46104</v>
      </c>
      <c r="C1104" s="10">
        <v>46113</v>
      </c>
      <c r="D1104" s="11">
        <v>3273</v>
      </c>
      <c r="E1104" s="11">
        <v>336</v>
      </c>
      <c r="F1104" s="11">
        <v>4</v>
      </c>
      <c r="G1104" s="19">
        <v>6</v>
      </c>
      <c r="H1104" s="13">
        <v>81588</v>
      </c>
      <c r="I1104" s="11" t="s">
        <v>17</v>
      </c>
      <c r="J1104" s="13">
        <v>20672702</v>
      </c>
      <c r="K1104" s="13" t="s">
        <v>1281</v>
      </c>
      <c r="L1104" s="13" t="s">
        <v>1289</v>
      </c>
      <c r="M1104" s="17">
        <v>149900</v>
      </c>
      <c r="N1104" s="15">
        <v>0.75</v>
      </c>
      <c r="O1104" s="16">
        <f t="shared" si="85"/>
        <v>37475</v>
      </c>
      <c r="P1104" s="11" t="s">
        <v>20</v>
      </c>
    </row>
    <row r="1105" spans="1:16" x14ac:dyDescent="0.25">
      <c r="A1105" s="9" t="str">
        <f t="shared" si="84"/>
        <v>2024 ALL D75</v>
      </c>
      <c r="B1105" s="10">
        <f t="shared" si="83"/>
        <v>46104</v>
      </c>
      <c r="C1105" s="10">
        <v>46113</v>
      </c>
      <c r="D1105" s="11">
        <v>3273</v>
      </c>
      <c r="E1105" s="11">
        <v>336</v>
      </c>
      <c r="F1105" s="11">
        <v>4</v>
      </c>
      <c r="G1105" s="19">
        <v>6</v>
      </c>
      <c r="H1105" s="13">
        <v>81588</v>
      </c>
      <c r="I1105" s="11" t="s">
        <v>17</v>
      </c>
      <c r="J1105" s="13">
        <v>20672711</v>
      </c>
      <c r="K1105" s="13" t="s">
        <v>1290</v>
      </c>
      <c r="L1105" s="13" t="s">
        <v>1291</v>
      </c>
      <c r="M1105" s="17">
        <v>149900</v>
      </c>
      <c r="N1105" s="15">
        <v>0.75</v>
      </c>
      <c r="O1105" s="16">
        <f t="shared" si="85"/>
        <v>37475</v>
      </c>
      <c r="P1105" s="11" t="s">
        <v>20</v>
      </c>
    </row>
    <row r="1106" spans="1:16" x14ac:dyDescent="0.25">
      <c r="A1106" s="9" t="str">
        <f t="shared" si="84"/>
        <v>2024 ALL D75</v>
      </c>
      <c r="B1106" s="10">
        <f t="shared" si="83"/>
        <v>46104</v>
      </c>
      <c r="C1106" s="10">
        <v>46113</v>
      </c>
      <c r="D1106" s="11">
        <v>3273</v>
      </c>
      <c r="E1106" s="11">
        <v>336</v>
      </c>
      <c r="F1106" s="11">
        <v>4</v>
      </c>
      <c r="G1106" s="19">
        <v>6</v>
      </c>
      <c r="H1106" s="13">
        <v>81588</v>
      </c>
      <c r="I1106" s="11" t="s">
        <v>17</v>
      </c>
      <c r="J1106" s="13">
        <v>20672720</v>
      </c>
      <c r="K1106" s="13" t="s">
        <v>1290</v>
      </c>
      <c r="L1106" s="13" t="s">
        <v>1292</v>
      </c>
      <c r="M1106" s="17">
        <v>149900</v>
      </c>
      <c r="N1106" s="15">
        <v>0.75</v>
      </c>
      <c r="O1106" s="16">
        <f t="shared" si="85"/>
        <v>37475</v>
      </c>
      <c r="P1106" s="11" t="s">
        <v>20</v>
      </c>
    </row>
    <row r="1107" spans="1:16" x14ac:dyDescent="0.25">
      <c r="A1107" s="9" t="str">
        <f t="shared" si="84"/>
        <v>2024 ALL D75</v>
      </c>
      <c r="B1107" s="10">
        <f t="shared" si="83"/>
        <v>46104</v>
      </c>
      <c r="C1107" s="10">
        <v>46113</v>
      </c>
      <c r="D1107" s="11">
        <v>3273</v>
      </c>
      <c r="E1107" s="11">
        <v>336</v>
      </c>
      <c r="F1107" s="11">
        <v>4</v>
      </c>
      <c r="G1107" s="19">
        <v>6</v>
      </c>
      <c r="H1107" s="13">
        <v>81588</v>
      </c>
      <c r="I1107" s="11" t="s">
        <v>17</v>
      </c>
      <c r="J1107" s="13">
        <v>20672739</v>
      </c>
      <c r="K1107" s="13" t="s">
        <v>1290</v>
      </c>
      <c r="L1107" s="13" t="s">
        <v>1293</v>
      </c>
      <c r="M1107" s="17">
        <v>149900</v>
      </c>
      <c r="N1107" s="15">
        <v>0.75</v>
      </c>
      <c r="O1107" s="16">
        <f t="shared" si="85"/>
        <v>37475</v>
      </c>
      <c r="P1107" s="11" t="s">
        <v>20</v>
      </c>
    </row>
    <row r="1108" spans="1:16" x14ac:dyDescent="0.25">
      <c r="A1108" s="9" t="str">
        <f t="shared" si="84"/>
        <v>2024 ALL D75</v>
      </c>
      <c r="B1108" s="10">
        <f t="shared" si="83"/>
        <v>46104</v>
      </c>
      <c r="C1108" s="10">
        <v>46113</v>
      </c>
      <c r="D1108" s="11">
        <v>3273</v>
      </c>
      <c r="E1108" s="11">
        <v>336</v>
      </c>
      <c r="F1108" s="11">
        <v>4</v>
      </c>
      <c r="G1108" s="19">
        <v>6</v>
      </c>
      <c r="H1108" s="13">
        <v>81588</v>
      </c>
      <c r="I1108" s="11" t="s">
        <v>17</v>
      </c>
      <c r="J1108" s="13">
        <v>20672748</v>
      </c>
      <c r="K1108" s="13" t="s">
        <v>1290</v>
      </c>
      <c r="L1108" s="13" t="s">
        <v>1294</v>
      </c>
      <c r="M1108" s="17">
        <v>149900</v>
      </c>
      <c r="N1108" s="15">
        <v>0.75</v>
      </c>
      <c r="O1108" s="16">
        <f t="shared" si="85"/>
        <v>37475</v>
      </c>
      <c r="P1108" s="11" t="s">
        <v>20</v>
      </c>
    </row>
    <row r="1109" spans="1:16" x14ac:dyDescent="0.25">
      <c r="A1109" s="9" t="str">
        <f t="shared" si="84"/>
        <v>2024 ALL D75</v>
      </c>
      <c r="B1109" s="10">
        <f t="shared" si="83"/>
        <v>46104</v>
      </c>
      <c r="C1109" s="10">
        <v>46113</v>
      </c>
      <c r="D1109" s="11">
        <v>3273</v>
      </c>
      <c r="E1109" s="11">
        <v>336</v>
      </c>
      <c r="F1109" s="11">
        <v>4</v>
      </c>
      <c r="G1109" s="19">
        <v>6</v>
      </c>
      <c r="H1109" s="13">
        <v>81588</v>
      </c>
      <c r="I1109" s="11" t="s">
        <v>17</v>
      </c>
      <c r="J1109" s="13">
        <v>20672757</v>
      </c>
      <c r="K1109" s="13" t="s">
        <v>1290</v>
      </c>
      <c r="L1109" s="13" t="s">
        <v>1295</v>
      </c>
      <c r="M1109" s="17">
        <v>149900</v>
      </c>
      <c r="N1109" s="15">
        <v>0.75</v>
      </c>
      <c r="O1109" s="16">
        <f t="shared" si="85"/>
        <v>37475</v>
      </c>
      <c r="P1109" s="11" t="s">
        <v>20</v>
      </c>
    </row>
    <row r="1110" spans="1:16" x14ac:dyDescent="0.25">
      <c r="A1110" s="9" t="str">
        <f t="shared" si="84"/>
        <v>2024 ALL D75</v>
      </c>
      <c r="B1110" s="10">
        <f t="shared" si="83"/>
        <v>46104</v>
      </c>
      <c r="C1110" s="10">
        <v>46113</v>
      </c>
      <c r="D1110" s="11">
        <v>3273</v>
      </c>
      <c r="E1110" s="11">
        <v>336</v>
      </c>
      <c r="F1110" s="11">
        <v>4</v>
      </c>
      <c r="G1110" s="19">
        <v>6</v>
      </c>
      <c r="H1110" s="13">
        <v>81588</v>
      </c>
      <c r="I1110" s="11" t="s">
        <v>17</v>
      </c>
      <c r="J1110" s="13">
        <v>20672766</v>
      </c>
      <c r="K1110" s="13" t="s">
        <v>1290</v>
      </c>
      <c r="L1110" s="13" t="s">
        <v>1296</v>
      </c>
      <c r="M1110" s="17">
        <v>149900</v>
      </c>
      <c r="N1110" s="15">
        <v>0.75</v>
      </c>
      <c r="O1110" s="16">
        <f t="shared" si="85"/>
        <v>37475</v>
      </c>
      <c r="P1110" s="11" t="s">
        <v>20</v>
      </c>
    </row>
    <row r="1111" spans="1:16" x14ac:dyDescent="0.25">
      <c r="A1111" s="9" t="str">
        <f t="shared" si="84"/>
        <v>2024 ALL D75</v>
      </c>
      <c r="B1111" s="10">
        <f t="shared" si="83"/>
        <v>46104</v>
      </c>
      <c r="C1111" s="10">
        <v>46113</v>
      </c>
      <c r="D1111" s="11">
        <v>3273</v>
      </c>
      <c r="E1111" s="11">
        <v>336</v>
      </c>
      <c r="F1111" s="11">
        <v>4</v>
      </c>
      <c r="G1111" s="19">
        <v>6</v>
      </c>
      <c r="H1111" s="13">
        <v>81588</v>
      </c>
      <c r="I1111" s="11" t="s">
        <v>17</v>
      </c>
      <c r="J1111" s="13">
        <v>20672775</v>
      </c>
      <c r="K1111" s="13" t="s">
        <v>1290</v>
      </c>
      <c r="L1111" s="13" t="s">
        <v>1297</v>
      </c>
      <c r="M1111" s="17">
        <v>149900</v>
      </c>
      <c r="N1111" s="15">
        <v>0.75</v>
      </c>
      <c r="O1111" s="16">
        <f t="shared" si="85"/>
        <v>37475</v>
      </c>
      <c r="P1111" s="11" t="s">
        <v>20</v>
      </c>
    </row>
    <row r="1112" spans="1:16" x14ac:dyDescent="0.25">
      <c r="A1112" s="9" t="str">
        <f t="shared" si="84"/>
        <v>2024 ALL D75</v>
      </c>
      <c r="B1112" s="10">
        <f t="shared" si="83"/>
        <v>46104</v>
      </c>
      <c r="C1112" s="10">
        <v>46113</v>
      </c>
      <c r="D1112" s="11">
        <v>3273</v>
      </c>
      <c r="E1112" s="11">
        <v>336</v>
      </c>
      <c r="F1112" s="11">
        <v>4</v>
      </c>
      <c r="G1112" s="19">
        <v>6</v>
      </c>
      <c r="H1112" s="13">
        <v>81588</v>
      </c>
      <c r="I1112" s="11" t="s">
        <v>17</v>
      </c>
      <c r="J1112" s="13">
        <v>20672784</v>
      </c>
      <c r="K1112" s="13" t="s">
        <v>1290</v>
      </c>
      <c r="L1112" s="13" t="s">
        <v>1298</v>
      </c>
      <c r="M1112" s="17">
        <v>149900</v>
      </c>
      <c r="N1112" s="15">
        <v>0.75</v>
      </c>
      <c r="O1112" s="16">
        <f t="shared" si="85"/>
        <v>37475</v>
      </c>
      <c r="P1112" s="11" t="s">
        <v>20</v>
      </c>
    </row>
    <row r="1113" spans="1:16" x14ac:dyDescent="0.25">
      <c r="A1113" s="9" t="str">
        <f t="shared" si="84"/>
        <v>2024 ALL D75</v>
      </c>
      <c r="B1113" s="10">
        <f t="shared" si="83"/>
        <v>46104</v>
      </c>
      <c r="C1113" s="10">
        <v>46113</v>
      </c>
      <c r="D1113" s="11">
        <v>3273</v>
      </c>
      <c r="E1113" s="11">
        <v>336</v>
      </c>
      <c r="F1113" s="11">
        <v>4</v>
      </c>
      <c r="G1113" s="19">
        <v>6</v>
      </c>
      <c r="H1113" s="13">
        <v>81588</v>
      </c>
      <c r="I1113" s="11" t="s">
        <v>17</v>
      </c>
      <c r="J1113" s="13">
        <v>16100613</v>
      </c>
      <c r="K1113" s="13" t="s">
        <v>1299</v>
      </c>
      <c r="L1113" s="13" t="s">
        <v>1300</v>
      </c>
      <c r="M1113" s="17">
        <v>139900</v>
      </c>
      <c r="N1113" s="15">
        <v>0.75</v>
      </c>
      <c r="O1113" s="16">
        <f t="shared" si="85"/>
        <v>34975</v>
      </c>
      <c r="P1113" s="11" t="s">
        <v>20</v>
      </c>
    </row>
    <row r="1114" spans="1:16" x14ac:dyDescent="0.25">
      <c r="A1114" s="9" t="str">
        <f t="shared" si="84"/>
        <v>2024 ALL D75</v>
      </c>
      <c r="B1114" s="10">
        <f t="shared" si="83"/>
        <v>46104</v>
      </c>
      <c r="C1114" s="10">
        <v>46113</v>
      </c>
      <c r="D1114" s="11">
        <v>3273</v>
      </c>
      <c r="E1114" s="11">
        <v>336</v>
      </c>
      <c r="F1114" s="11">
        <v>4</v>
      </c>
      <c r="G1114" s="19">
        <v>6</v>
      </c>
      <c r="H1114" s="13">
        <v>81588</v>
      </c>
      <c r="I1114" s="11" t="s">
        <v>17</v>
      </c>
      <c r="J1114" s="13">
        <v>16100622</v>
      </c>
      <c r="K1114" s="13" t="s">
        <v>1299</v>
      </c>
      <c r="L1114" s="13" t="s">
        <v>1301</v>
      </c>
      <c r="M1114" s="17">
        <v>139900</v>
      </c>
      <c r="N1114" s="15">
        <v>0.75</v>
      </c>
      <c r="O1114" s="16">
        <f t="shared" si="85"/>
        <v>34975</v>
      </c>
      <c r="P1114" s="11" t="s">
        <v>20</v>
      </c>
    </row>
    <row r="1115" spans="1:16" x14ac:dyDescent="0.25">
      <c r="A1115" s="9" t="str">
        <f t="shared" si="84"/>
        <v>2024 ALL D75</v>
      </c>
      <c r="B1115" s="10">
        <f t="shared" si="83"/>
        <v>46104</v>
      </c>
      <c r="C1115" s="10">
        <v>46113</v>
      </c>
      <c r="D1115" s="11">
        <v>3273</v>
      </c>
      <c r="E1115" s="11">
        <v>336</v>
      </c>
      <c r="F1115" s="11">
        <v>4</v>
      </c>
      <c r="G1115" s="19">
        <v>6</v>
      </c>
      <c r="H1115" s="13">
        <v>81588</v>
      </c>
      <c r="I1115" s="11" t="s">
        <v>17</v>
      </c>
      <c r="J1115" s="13">
        <v>16100631</v>
      </c>
      <c r="K1115" s="13" t="s">
        <v>1299</v>
      </c>
      <c r="L1115" s="13" t="s">
        <v>1302</v>
      </c>
      <c r="M1115" s="17">
        <v>139900</v>
      </c>
      <c r="N1115" s="15">
        <v>0.75</v>
      </c>
      <c r="O1115" s="16">
        <f t="shared" si="85"/>
        <v>34975</v>
      </c>
      <c r="P1115" s="11" t="s">
        <v>20</v>
      </c>
    </row>
    <row r="1116" spans="1:16" x14ac:dyDescent="0.25">
      <c r="A1116" s="9" t="str">
        <f t="shared" si="84"/>
        <v>2024 ALL D75</v>
      </c>
      <c r="B1116" s="10">
        <f t="shared" si="83"/>
        <v>46104</v>
      </c>
      <c r="C1116" s="10">
        <v>46113</v>
      </c>
      <c r="D1116" s="11">
        <v>3273</v>
      </c>
      <c r="E1116" s="11">
        <v>336</v>
      </c>
      <c r="F1116" s="11">
        <v>4</v>
      </c>
      <c r="G1116" s="19">
        <v>6</v>
      </c>
      <c r="H1116" s="13">
        <v>81588</v>
      </c>
      <c r="I1116" s="11" t="s">
        <v>17</v>
      </c>
      <c r="J1116" s="13">
        <v>16100640</v>
      </c>
      <c r="K1116" s="13" t="s">
        <v>1299</v>
      </c>
      <c r="L1116" s="13" t="s">
        <v>1303</v>
      </c>
      <c r="M1116" s="17">
        <v>139900</v>
      </c>
      <c r="N1116" s="15">
        <v>0.75</v>
      </c>
      <c r="O1116" s="16">
        <f t="shared" si="85"/>
        <v>34975</v>
      </c>
      <c r="P1116" s="11" t="s">
        <v>20</v>
      </c>
    </row>
    <row r="1117" spans="1:16" x14ac:dyDescent="0.25">
      <c r="A1117" s="9" t="str">
        <f t="shared" si="84"/>
        <v>2024 ALL D75</v>
      </c>
      <c r="B1117" s="10">
        <f t="shared" si="83"/>
        <v>46104</v>
      </c>
      <c r="C1117" s="10">
        <v>46113</v>
      </c>
      <c r="D1117" s="11">
        <v>3273</v>
      </c>
      <c r="E1117" s="11">
        <v>336</v>
      </c>
      <c r="F1117" s="11">
        <v>4</v>
      </c>
      <c r="G1117" s="19">
        <v>6</v>
      </c>
      <c r="H1117" s="13">
        <v>81588</v>
      </c>
      <c r="I1117" s="11" t="s">
        <v>17</v>
      </c>
      <c r="J1117" s="13">
        <v>16100659</v>
      </c>
      <c r="K1117" s="13" t="s">
        <v>1299</v>
      </c>
      <c r="L1117" s="13" t="s">
        <v>1304</v>
      </c>
      <c r="M1117" s="17">
        <v>139900</v>
      </c>
      <c r="N1117" s="15">
        <v>0.75</v>
      </c>
      <c r="O1117" s="16">
        <f t="shared" si="85"/>
        <v>34975</v>
      </c>
      <c r="P1117" s="11" t="s">
        <v>20</v>
      </c>
    </row>
    <row r="1118" spans="1:16" x14ac:dyDescent="0.25">
      <c r="A1118" s="9" t="str">
        <f t="shared" si="84"/>
        <v>2024 ALL D75</v>
      </c>
      <c r="B1118" s="10">
        <f t="shared" si="83"/>
        <v>46104</v>
      </c>
      <c r="C1118" s="10">
        <v>46113</v>
      </c>
      <c r="D1118" s="11">
        <v>3273</v>
      </c>
      <c r="E1118" s="11">
        <v>336</v>
      </c>
      <c r="F1118" s="11">
        <v>4</v>
      </c>
      <c r="G1118" s="19">
        <v>6</v>
      </c>
      <c r="H1118" s="13">
        <v>81588</v>
      </c>
      <c r="I1118" s="11" t="s">
        <v>17</v>
      </c>
      <c r="J1118" s="13">
        <v>16100668</v>
      </c>
      <c r="K1118" s="13" t="s">
        <v>1299</v>
      </c>
      <c r="L1118" s="13" t="s">
        <v>1305</v>
      </c>
      <c r="M1118" s="17">
        <v>139900</v>
      </c>
      <c r="N1118" s="15">
        <v>0.75</v>
      </c>
      <c r="O1118" s="16">
        <f t="shared" si="85"/>
        <v>34975</v>
      </c>
      <c r="P1118" s="11" t="s">
        <v>20</v>
      </c>
    </row>
    <row r="1119" spans="1:16" x14ac:dyDescent="0.25">
      <c r="A1119" s="9" t="str">
        <f t="shared" si="84"/>
        <v>2024 ALL D75</v>
      </c>
      <c r="B1119" s="10">
        <f t="shared" si="83"/>
        <v>46104</v>
      </c>
      <c r="C1119" s="10">
        <v>46113</v>
      </c>
      <c r="D1119" s="11">
        <v>3273</v>
      </c>
      <c r="E1119" s="11">
        <v>336</v>
      </c>
      <c r="F1119" s="11">
        <v>4</v>
      </c>
      <c r="G1119" s="19">
        <v>6</v>
      </c>
      <c r="H1119" s="13">
        <v>81588</v>
      </c>
      <c r="I1119" s="11" t="s">
        <v>17</v>
      </c>
      <c r="J1119" s="13">
        <v>16100677</v>
      </c>
      <c r="K1119" s="13" t="s">
        <v>1299</v>
      </c>
      <c r="L1119" s="13" t="s">
        <v>1306</v>
      </c>
      <c r="M1119" s="17">
        <v>139900</v>
      </c>
      <c r="N1119" s="15">
        <v>0.75</v>
      </c>
      <c r="O1119" s="16">
        <f t="shared" si="85"/>
        <v>34975</v>
      </c>
      <c r="P1119" s="11" t="s">
        <v>20</v>
      </c>
    </row>
    <row r="1120" spans="1:16" x14ac:dyDescent="0.25">
      <c r="A1120" s="9" t="str">
        <f t="shared" si="84"/>
        <v>2024 ALL D75</v>
      </c>
      <c r="B1120" s="10">
        <f t="shared" si="83"/>
        <v>46104</v>
      </c>
      <c r="C1120" s="10">
        <v>46113</v>
      </c>
      <c r="D1120" s="11">
        <v>3273</v>
      </c>
      <c r="E1120" s="11">
        <v>336</v>
      </c>
      <c r="F1120" s="11">
        <v>4</v>
      </c>
      <c r="G1120" s="19">
        <v>6</v>
      </c>
      <c r="H1120" s="13">
        <v>81588</v>
      </c>
      <c r="I1120" s="11" t="s">
        <v>17</v>
      </c>
      <c r="J1120" s="13">
        <v>16260085</v>
      </c>
      <c r="K1120" s="13" t="s">
        <v>1299</v>
      </c>
      <c r="L1120" s="13" t="s">
        <v>1307</v>
      </c>
      <c r="M1120" s="17">
        <v>139900</v>
      </c>
      <c r="N1120" s="15">
        <v>0.75</v>
      </c>
      <c r="O1120" s="16">
        <f t="shared" si="85"/>
        <v>34975</v>
      </c>
      <c r="P1120" s="11" t="s">
        <v>20</v>
      </c>
    </row>
    <row r="1121" spans="1:16" x14ac:dyDescent="0.25">
      <c r="A1121" s="9" t="str">
        <f t="shared" si="84"/>
        <v>2024 ALL D75</v>
      </c>
      <c r="B1121" s="10">
        <f t="shared" si="84"/>
        <v>46104</v>
      </c>
      <c r="C1121" s="10">
        <v>46113</v>
      </c>
      <c r="D1121" s="11">
        <v>3273</v>
      </c>
      <c r="E1121" s="11">
        <v>336</v>
      </c>
      <c r="F1121" s="11">
        <v>4</v>
      </c>
      <c r="G1121" s="19">
        <v>6</v>
      </c>
      <c r="H1121" s="13">
        <v>81588</v>
      </c>
      <c r="I1121" s="11" t="s">
        <v>17</v>
      </c>
      <c r="J1121" s="13">
        <v>16100926</v>
      </c>
      <c r="K1121" s="13" t="s">
        <v>1308</v>
      </c>
      <c r="L1121" s="13" t="s">
        <v>1309</v>
      </c>
      <c r="M1121" s="17">
        <v>139900</v>
      </c>
      <c r="N1121" s="15">
        <v>0.75</v>
      </c>
      <c r="O1121" s="16">
        <f t="shared" si="85"/>
        <v>34975</v>
      </c>
      <c r="P1121" s="11" t="s">
        <v>20</v>
      </c>
    </row>
    <row r="1122" spans="1:16" x14ac:dyDescent="0.25">
      <c r="A1122" s="9" t="str">
        <f t="shared" ref="A1122:B1185" si="86">A1121</f>
        <v>2024 ALL D75</v>
      </c>
      <c r="B1122" s="10">
        <f t="shared" si="86"/>
        <v>46104</v>
      </c>
      <c r="C1122" s="10">
        <v>46113</v>
      </c>
      <c r="D1122" s="11">
        <v>3273</v>
      </c>
      <c r="E1122" s="11">
        <v>336</v>
      </c>
      <c r="F1122" s="11">
        <v>4</v>
      </c>
      <c r="G1122" s="19">
        <v>6</v>
      </c>
      <c r="H1122" s="13">
        <v>81588</v>
      </c>
      <c r="I1122" s="11" t="s">
        <v>17</v>
      </c>
      <c r="J1122" s="13">
        <v>16100935</v>
      </c>
      <c r="K1122" s="13" t="s">
        <v>1308</v>
      </c>
      <c r="L1122" s="13" t="s">
        <v>1310</v>
      </c>
      <c r="M1122" s="17">
        <v>139900</v>
      </c>
      <c r="N1122" s="15">
        <v>0.75</v>
      </c>
      <c r="O1122" s="16">
        <f t="shared" si="85"/>
        <v>34975</v>
      </c>
      <c r="P1122" s="11" t="s">
        <v>20</v>
      </c>
    </row>
    <row r="1123" spans="1:16" x14ac:dyDescent="0.25">
      <c r="A1123" s="9" t="str">
        <f t="shared" si="86"/>
        <v>2024 ALL D75</v>
      </c>
      <c r="B1123" s="10">
        <f t="shared" si="86"/>
        <v>46104</v>
      </c>
      <c r="C1123" s="10">
        <v>46113</v>
      </c>
      <c r="D1123" s="11">
        <v>3273</v>
      </c>
      <c r="E1123" s="11">
        <v>336</v>
      </c>
      <c r="F1123" s="11">
        <v>4</v>
      </c>
      <c r="G1123" s="19">
        <v>6</v>
      </c>
      <c r="H1123" s="13">
        <v>81588</v>
      </c>
      <c r="I1123" s="11" t="s">
        <v>17</v>
      </c>
      <c r="J1123" s="13">
        <v>16100944</v>
      </c>
      <c r="K1123" s="13" t="s">
        <v>1308</v>
      </c>
      <c r="L1123" s="13" t="s">
        <v>1311</v>
      </c>
      <c r="M1123" s="17">
        <v>139900</v>
      </c>
      <c r="N1123" s="15">
        <v>0.75</v>
      </c>
      <c r="O1123" s="16">
        <f t="shared" si="85"/>
        <v>34975</v>
      </c>
      <c r="P1123" s="11" t="s">
        <v>20</v>
      </c>
    </row>
    <row r="1124" spans="1:16" x14ac:dyDescent="0.25">
      <c r="A1124" s="9" t="str">
        <f t="shared" si="86"/>
        <v>2024 ALL D75</v>
      </c>
      <c r="B1124" s="10">
        <f t="shared" si="86"/>
        <v>46104</v>
      </c>
      <c r="C1124" s="10">
        <v>46113</v>
      </c>
      <c r="D1124" s="11">
        <v>3273</v>
      </c>
      <c r="E1124" s="11">
        <v>336</v>
      </c>
      <c r="F1124" s="11">
        <v>4</v>
      </c>
      <c r="G1124" s="19">
        <v>6</v>
      </c>
      <c r="H1124" s="13">
        <v>81588</v>
      </c>
      <c r="I1124" s="11" t="s">
        <v>17</v>
      </c>
      <c r="J1124" s="13">
        <v>16100953</v>
      </c>
      <c r="K1124" s="13" t="s">
        <v>1308</v>
      </c>
      <c r="L1124" s="13" t="s">
        <v>1312</v>
      </c>
      <c r="M1124" s="17">
        <v>139900</v>
      </c>
      <c r="N1124" s="15">
        <v>0.75</v>
      </c>
      <c r="O1124" s="16">
        <f t="shared" si="85"/>
        <v>34975</v>
      </c>
      <c r="P1124" s="11" t="s">
        <v>20</v>
      </c>
    </row>
    <row r="1125" spans="1:16" x14ac:dyDescent="0.25">
      <c r="A1125" s="9" t="str">
        <f t="shared" si="86"/>
        <v>2024 ALL D75</v>
      </c>
      <c r="B1125" s="10">
        <f t="shared" si="86"/>
        <v>46104</v>
      </c>
      <c r="C1125" s="10">
        <v>46113</v>
      </c>
      <c r="D1125" s="11">
        <v>3273</v>
      </c>
      <c r="E1125" s="11">
        <v>336</v>
      </c>
      <c r="F1125" s="11">
        <v>4</v>
      </c>
      <c r="G1125" s="19">
        <v>6</v>
      </c>
      <c r="H1125" s="13">
        <v>81588</v>
      </c>
      <c r="I1125" s="11" t="s">
        <v>17</v>
      </c>
      <c r="J1125" s="13">
        <v>16100962</v>
      </c>
      <c r="K1125" s="13" t="s">
        <v>1308</v>
      </c>
      <c r="L1125" s="13" t="s">
        <v>1313</v>
      </c>
      <c r="M1125" s="17">
        <v>139900</v>
      </c>
      <c r="N1125" s="15">
        <v>0.75</v>
      </c>
      <c r="O1125" s="16">
        <f t="shared" si="85"/>
        <v>34975</v>
      </c>
      <c r="P1125" s="11" t="s">
        <v>20</v>
      </c>
    </row>
    <row r="1126" spans="1:16" x14ac:dyDescent="0.25">
      <c r="A1126" s="9" t="str">
        <f t="shared" si="86"/>
        <v>2024 ALL D75</v>
      </c>
      <c r="B1126" s="10">
        <f t="shared" si="86"/>
        <v>46104</v>
      </c>
      <c r="C1126" s="10">
        <v>46113</v>
      </c>
      <c r="D1126" s="11">
        <v>3273</v>
      </c>
      <c r="E1126" s="11">
        <v>336</v>
      </c>
      <c r="F1126" s="11">
        <v>4</v>
      </c>
      <c r="G1126" s="19">
        <v>6</v>
      </c>
      <c r="H1126" s="13">
        <v>81588</v>
      </c>
      <c r="I1126" s="11" t="s">
        <v>17</v>
      </c>
      <c r="J1126" s="13">
        <v>16100971</v>
      </c>
      <c r="K1126" s="13" t="s">
        <v>1308</v>
      </c>
      <c r="L1126" s="13" t="s">
        <v>1314</v>
      </c>
      <c r="M1126" s="17">
        <v>139900</v>
      </c>
      <c r="N1126" s="15">
        <v>0.75</v>
      </c>
      <c r="O1126" s="16">
        <f t="shared" si="85"/>
        <v>34975</v>
      </c>
      <c r="P1126" s="11" t="s">
        <v>20</v>
      </c>
    </row>
    <row r="1127" spans="1:16" x14ac:dyDescent="0.25">
      <c r="A1127" s="9" t="str">
        <f t="shared" si="86"/>
        <v>2024 ALL D75</v>
      </c>
      <c r="B1127" s="10">
        <f t="shared" si="86"/>
        <v>46104</v>
      </c>
      <c r="C1127" s="10">
        <v>46113</v>
      </c>
      <c r="D1127" s="11">
        <v>3273</v>
      </c>
      <c r="E1127" s="11">
        <v>336</v>
      </c>
      <c r="F1127" s="11">
        <v>4</v>
      </c>
      <c r="G1127" s="19">
        <v>6</v>
      </c>
      <c r="H1127" s="13">
        <v>81588</v>
      </c>
      <c r="I1127" s="11" t="s">
        <v>17</v>
      </c>
      <c r="J1127" s="13">
        <v>16100980</v>
      </c>
      <c r="K1127" s="13" t="s">
        <v>1308</v>
      </c>
      <c r="L1127" s="13" t="s">
        <v>1315</v>
      </c>
      <c r="M1127" s="17">
        <v>139900</v>
      </c>
      <c r="N1127" s="15">
        <v>0.75</v>
      </c>
      <c r="O1127" s="16">
        <f t="shared" si="85"/>
        <v>34975</v>
      </c>
      <c r="P1127" s="11" t="s">
        <v>20</v>
      </c>
    </row>
    <row r="1128" spans="1:16" x14ac:dyDescent="0.25">
      <c r="A1128" s="9" t="str">
        <f t="shared" si="86"/>
        <v>2024 ALL D75</v>
      </c>
      <c r="B1128" s="10">
        <f t="shared" si="86"/>
        <v>46104</v>
      </c>
      <c r="C1128" s="10">
        <v>46113</v>
      </c>
      <c r="D1128" s="11">
        <v>3273</v>
      </c>
      <c r="E1128" s="11">
        <v>336</v>
      </c>
      <c r="F1128" s="11">
        <v>4</v>
      </c>
      <c r="G1128" s="19">
        <v>6</v>
      </c>
      <c r="H1128" s="13">
        <v>81588</v>
      </c>
      <c r="I1128" s="11" t="s">
        <v>17</v>
      </c>
      <c r="J1128" s="13">
        <v>16100999</v>
      </c>
      <c r="K1128" s="13" t="s">
        <v>1308</v>
      </c>
      <c r="L1128" s="13" t="s">
        <v>1316</v>
      </c>
      <c r="M1128" s="17">
        <v>139900</v>
      </c>
      <c r="N1128" s="15">
        <v>0.75</v>
      </c>
      <c r="O1128" s="16">
        <f t="shared" si="85"/>
        <v>34975</v>
      </c>
      <c r="P1128" s="11" t="s">
        <v>20</v>
      </c>
    </row>
    <row r="1129" spans="1:16" x14ac:dyDescent="0.25">
      <c r="A1129" s="9" t="str">
        <f t="shared" si="86"/>
        <v>2024 ALL D75</v>
      </c>
      <c r="B1129" s="10">
        <f t="shared" si="86"/>
        <v>46104</v>
      </c>
      <c r="C1129" s="10">
        <v>46113</v>
      </c>
      <c r="D1129" s="11">
        <v>3273</v>
      </c>
      <c r="E1129" s="11">
        <v>336</v>
      </c>
      <c r="F1129" s="11">
        <v>4</v>
      </c>
      <c r="G1129" s="19">
        <v>9</v>
      </c>
      <c r="H1129" s="13">
        <v>81676</v>
      </c>
      <c r="I1129" s="11" t="s">
        <v>17</v>
      </c>
      <c r="J1129" s="13">
        <v>87624139</v>
      </c>
      <c r="K1129" s="13" t="s">
        <v>1317</v>
      </c>
      <c r="L1129" s="13" t="s">
        <v>1318</v>
      </c>
      <c r="M1129" s="17">
        <v>239900</v>
      </c>
      <c r="N1129" s="15">
        <v>0.75</v>
      </c>
      <c r="O1129" s="16">
        <f t="shared" si="85"/>
        <v>59975</v>
      </c>
      <c r="P1129" s="11" t="s">
        <v>20</v>
      </c>
    </row>
    <row r="1130" spans="1:16" x14ac:dyDescent="0.25">
      <c r="A1130" s="9" t="str">
        <f t="shared" si="86"/>
        <v>2024 ALL D75</v>
      </c>
      <c r="B1130" s="10">
        <f t="shared" si="86"/>
        <v>46104</v>
      </c>
      <c r="C1130" s="10">
        <v>46113</v>
      </c>
      <c r="D1130" s="11">
        <v>3273</v>
      </c>
      <c r="E1130" s="11">
        <v>336</v>
      </c>
      <c r="F1130" s="11">
        <v>4</v>
      </c>
      <c r="G1130" s="19">
        <v>9</v>
      </c>
      <c r="H1130" s="13">
        <v>81676</v>
      </c>
      <c r="I1130" s="11" t="s">
        <v>17</v>
      </c>
      <c r="J1130" s="13">
        <v>87624148</v>
      </c>
      <c r="K1130" s="13" t="s">
        <v>1317</v>
      </c>
      <c r="L1130" s="13" t="s">
        <v>1319</v>
      </c>
      <c r="M1130" s="17">
        <v>239900</v>
      </c>
      <c r="N1130" s="15">
        <v>0.75</v>
      </c>
      <c r="O1130" s="16">
        <f t="shared" si="85"/>
        <v>59975</v>
      </c>
      <c r="P1130" s="11" t="s">
        <v>20</v>
      </c>
    </row>
    <row r="1131" spans="1:16" x14ac:dyDescent="0.25">
      <c r="A1131" s="9" t="str">
        <f t="shared" si="86"/>
        <v>2024 ALL D75</v>
      </c>
      <c r="B1131" s="10">
        <f t="shared" si="86"/>
        <v>46104</v>
      </c>
      <c r="C1131" s="10">
        <v>46113</v>
      </c>
      <c r="D1131" s="11">
        <v>3273</v>
      </c>
      <c r="E1131" s="11">
        <v>336</v>
      </c>
      <c r="F1131" s="11">
        <v>4</v>
      </c>
      <c r="G1131" s="19">
        <v>9</v>
      </c>
      <c r="H1131" s="13">
        <v>81676</v>
      </c>
      <c r="I1131" s="11" t="s">
        <v>17</v>
      </c>
      <c r="J1131" s="13">
        <v>87624157</v>
      </c>
      <c r="K1131" s="13" t="s">
        <v>1317</v>
      </c>
      <c r="L1131" s="13" t="s">
        <v>1320</v>
      </c>
      <c r="M1131" s="17">
        <v>239900</v>
      </c>
      <c r="N1131" s="15">
        <v>0.75</v>
      </c>
      <c r="O1131" s="16">
        <f t="shared" si="85"/>
        <v>59975</v>
      </c>
      <c r="P1131" s="11" t="s">
        <v>20</v>
      </c>
    </row>
    <row r="1132" spans="1:16" x14ac:dyDescent="0.25">
      <c r="A1132" s="9" t="str">
        <f t="shared" si="86"/>
        <v>2024 ALL D75</v>
      </c>
      <c r="B1132" s="10">
        <f t="shared" si="86"/>
        <v>46104</v>
      </c>
      <c r="C1132" s="10">
        <v>46113</v>
      </c>
      <c r="D1132" s="11">
        <v>3273</v>
      </c>
      <c r="E1132" s="11">
        <v>336</v>
      </c>
      <c r="F1132" s="11">
        <v>4</v>
      </c>
      <c r="G1132" s="19">
        <v>9</v>
      </c>
      <c r="H1132" s="13">
        <v>81676</v>
      </c>
      <c r="I1132" s="11" t="s">
        <v>17</v>
      </c>
      <c r="J1132" s="13">
        <v>87624166</v>
      </c>
      <c r="K1132" s="13" t="s">
        <v>1317</v>
      </c>
      <c r="L1132" s="13" t="s">
        <v>1321</v>
      </c>
      <c r="M1132" s="17">
        <v>239900</v>
      </c>
      <c r="N1132" s="15">
        <v>0.75</v>
      </c>
      <c r="O1132" s="16">
        <f t="shared" si="85"/>
        <v>59975</v>
      </c>
      <c r="P1132" s="11" t="s">
        <v>20</v>
      </c>
    </row>
    <row r="1133" spans="1:16" x14ac:dyDescent="0.25">
      <c r="A1133" s="9" t="str">
        <f t="shared" si="86"/>
        <v>2024 ALL D75</v>
      </c>
      <c r="B1133" s="10">
        <f t="shared" si="86"/>
        <v>46104</v>
      </c>
      <c r="C1133" s="10">
        <v>46113</v>
      </c>
      <c r="D1133" s="11">
        <v>3273</v>
      </c>
      <c r="E1133" s="11">
        <v>336</v>
      </c>
      <c r="F1133" s="11">
        <v>4</v>
      </c>
      <c r="G1133" s="19">
        <v>9</v>
      </c>
      <c r="H1133" s="13">
        <v>81676</v>
      </c>
      <c r="I1133" s="11" t="s">
        <v>17</v>
      </c>
      <c r="J1133" s="13">
        <v>87624175</v>
      </c>
      <c r="K1133" s="13" t="s">
        <v>1317</v>
      </c>
      <c r="L1133" s="13" t="s">
        <v>1322</v>
      </c>
      <c r="M1133" s="17">
        <v>239900</v>
      </c>
      <c r="N1133" s="15">
        <v>0.75</v>
      </c>
      <c r="O1133" s="16">
        <f t="shared" si="85"/>
        <v>59975</v>
      </c>
      <c r="P1133" s="11" t="s">
        <v>20</v>
      </c>
    </row>
    <row r="1134" spans="1:16" x14ac:dyDescent="0.25">
      <c r="A1134" s="9" t="str">
        <f t="shared" si="86"/>
        <v>2024 ALL D75</v>
      </c>
      <c r="B1134" s="10">
        <f t="shared" si="86"/>
        <v>46104</v>
      </c>
      <c r="C1134" s="10">
        <v>46113</v>
      </c>
      <c r="D1134" s="11">
        <v>3273</v>
      </c>
      <c r="E1134" s="11">
        <v>336</v>
      </c>
      <c r="F1134" s="11">
        <v>4</v>
      </c>
      <c r="G1134" s="19">
        <v>9</v>
      </c>
      <c r="H1134" s="13">
        <v>81676</v>
      </c>
      <c r="I1134" s="11" t="s">
        <v>17</v>
      </c>
      <c r="J1134" s="13">
        <v>87624184</v>
      </c>
      <c r="K1134" s="13" t="s">
        <v>1317</v>
      </c>
      <c r="L1134" s="13" t="s">
        <v>1323</v>
      </c>
      <c r="M1134" s="17">
        <v>239900</v>
      </c>
      <c r="N1134" s="15">
        <v>0.75</v>
      </c>
      <c r="O1134" s="16">
        <f t="shared" si="85"/>
        <v>59975</v>
      </c>
      <c r="P1134" s="11" t="s">
        <v>20</v>
      </c>
    </row>
    <row r="1135" spans="1:16" x14ac:dyDescent="0.25">
      <c r="A1135" s="9" t="str">
        <f t="shared" si="86"/>
        <v>2024 ALL D75</v>
      </c>
      <c r="B1135" s="10">
        <f t="shared" si="86"/>
        <v>46104</v>
      </c>
      <c r="C1135" s="10">
        <v>46113</v>
      </c>
      <c r="D1135" s="11">
        <v>3273</v>
      </c>
      <c r="E1135" s="11">
        <v>336</v>
      </c>
      <c r="F1135" s="11">
        <v>4</v>
      </c>
      <c r="G1135" s="19">
        <v>9</v>
      </c>
      <c r="H1135" s="13">
        <v>81676</v>
      </c>
      <c r="I1135" s="11" t="s">
        <v>17</v>
      </c>
      <c r="J1135" s="13">
        <v>87624193</v>
      </c>
      <c r="K1135" s="13" t="s">
        <v>1317</v>
      </c>
      <c r="L1135" s="13" t="s">
        <v>1324</v>
      </c>
      <c r="M1135" s="17">
        <v>239900</v>
      </c>
      <c r="N1135" s="15">
        <v>0.75</v>
      </c>
      <c r="O1135" s="16">
        <f t="shared" si="85"/>
        <v>59975</v>
      </c>
      <c r="P1135" s="11" t="s">
        <v>20</v>
      </c>
    </row>
    <row r="1136" spans="1:16" x14ac:dyDescent="0.25">
      <c r="A1136" s="9" t="str">
        <f t="shared" si="86"/>
        <v>2024 ALL D75</v>
      </c>
      <c r="B1136" s="10">
        <f t="shared" si="86"/>
        <v>46104</v>
      </c>
      <c r="C1136" s="10">
        <v>46113</v>
      </c>
      <c r="D1136" s="11">
        <v>3273</v>
      </c>
      <c r="E1136" s="11">
        <v>336</v>
      </c>
      <c r="F1136" s="11">
        <v>4</v>
      </c>
      <c r="G1136" s="19">
        <v>9</v>
      </c>
      <c r="H1136" s="13">
        <v>81676</v>
      </c>
      <c r="I1136" s="11" t="s">
        <v>17</v>
      </c>
      <c r="J1136" s="13">
        <v>87624200</v>
      </c>
      <c r="K1136" s="13" t="s">
        <v>1317</v>
      </c>
      <c r="L1136" s="13" t="s">
        <v>1325</v>
      </c>
      <c r="M1136" s="17">
        <v>239900</v>
      </c>
      <c r="N1136" s="15">
        <v>0.75</v>
      </c>
      <c r="O1136" s="16">
        <f t="shared" si="85"/>
        <v>59975</v>
      </c>
      <c r="P1136" s="11" t="s">
        <v>20</v>
      </c>
    </row>
    <row r="1137" spans="1:16" x14ac:dyDescent="0.25">
      <c r="A1137" s="9" t="str">
        <f t="shared" si="86"/>
        <v>2024 ALL D75</v>
      </c>
      <c r="B1137" s="10">
        <f t="shared" si="86"/>
        <v>46104</v>
      </c>
      <c r="C1137" s="10">
        <v>46113</v>
      </c>
      <c r="D1137" s="11">
        <v>3273</v>
      </c>
      <c r="E1137" s="11">
        <v>336</v>
      </c>
      <c r="F1137" s="11">
        <v>4</v>
      </c>
      <c r="G1137" s="19">
        <v>1</v>
      </c>
      <c r="H1137" s="13">
        <v>81588</v>
      </c>
      <c r="I1137" s="11" t="s">
        <v>17</v>
      </c>
      <c r="J1137" s="13">
        <v>19127394</v>
      </c>
      <c r="K1137" s="13" t="s">
        <v>1326</v>
      </c>
      <c r="L1137" s="13" t="s">
        <v>1327</v>
      </c>
      <c r="M1137" s="17">
        <v>139900</v>
      </c>
      <c r="N1137" s="15">
        <v>0.75</v>
      </c>
      <c r="O1137" s="16">
        <f t="shared" si="85"/>
        <v>34975</v>
      </c>
      <c r="P1137" s="11" t="s">
        <v>20</v>
      </c>
    </row>
    <row r="1138" spans="1:16" x14ac:dyDescent="0.25">
      <c r="A1138" s="9" t="str">
        <f t="shared" si="86"/>
        <v>2024 ALL D75</v>
      </c>
      <c r="B1138" s="10">
        <f t="shared" si="86"/>
        <v>46104</v>
      </c>
      <c r="C1138" s="10">
        <v>46113</v>
      </c>
      <c r="D1138" s="11">
        <v>3273</v>
      </c>
      <c r="E1138" s="11">
        <v>336</v>
      </c>
      <c r="F1138" s="11">
        <v>4</v>
      </c>
      <c r="G1138" s="19">
        <v>1</v>
      </c>
      <c r="H1138" s="13">
        <v>81588</v>
      </c>
      <c r="I1138" s="11" t="s">
        <v>17</v>
      </c>
      <c r="J1138" s="13">
        <v>19127401</v>
      </c>
      <c r="K1138" s="13" t="s">
        <v>1326</v>
      </c>
      <c r="L1138" s="13" t="s">
        <v>1328</v>
      </c>
      <c r="M1138" s="17">
        <v>139900</v>
      </c>
      <c r="N1138" s="15">
        <v>0.75</v>
      </c>
      <c r="O1138" s="16">
        <f t="shared" si="85"/>
        <v>34975</v>
      </c>
      <c r="P1138" s="11" t="s">
        <v>20</v>
      </c>
    </row>
    <row r="1139" spans="1:16" x14ac:dyDescent="0.25">
      <c r="A1139" s="9" t="str">
        <f t="shared" si="86"/>
        <v>2024 ALL D75</v>
      </c>
      <c r="B1139" s="10">
        <f t="shared" si="86"/>
        <v>46104</v>
      </c>
      <c r="C1139" s="10">
        <v>46113</v>
      </c>
      <c r="D1139" s="11">
        <v>3273</v>
      </c>
      <c r="E1139" s="11">
        <v>336</v>
      </c>
      <c r="F1139" s="11">
        <v>4</v>
      </c>
      <c r="G1139" s="19">
        <v>1</v>
      </c>
      <c r="H1139" s="13">
        <v>81588</v>
      </c>
      <c r="I1139" s="11" t="s">
        <v>17</v>
      </c>
      <c r="J1139" s="13">
        <v>19127410</v>
      </c>
      <c r="K1139" s="13" t="s">
        <v>1326</v>
      </c>
      <c r="L1139" s="13" t="s">
        <v>1329</v>
      </c>
      <c r="M1139" s="17">
        <v>139900</v>
      </c>
      <c r="N1139" s="15">
        <v>0.75</v>
      </c>
      <c r="O1139" s="16">
        <f t="shared" si="85"/>
        <v>34975</v>
      </c>
      <c r="P1139" s="11" t="s">
        <v>20</v>
      </c>
    </row>
    <row r="1140" spans="1:16" x14ac:dyDescent="0.25">
      <c r="A1140" s="9" t="str">
        <f t="shared" si="86"/>
        <v>2024 ALL D75</v>
      </c>
      <c r="B1140" s="10">
        <f t="shared" si="86"/>
        <v>46104</v>
      </c>
      <c r="C1140" s="10">
        <v>46113</v>
      </c>
      <c r="D1140" s="11">
        <v>3273</v>
      </c>
      <c r="E1140" s="11">
        <v>336</v>
      </c>
      <c r="F1140" s="11">
        <v>4</v>
      </c>
      <c r="G1140" s="19">
        <v>1</v>
      </c>
      <c r="H1140" s="13">
        <v>81588</v>
      </c>
      <c r="I1140" s="11" t="s">
        <v>17</v>
      </c>
      <c r="J1140" s="13">
        <v>19127429</v>
      </c>
      <c r="K1140" s="13" t="s">
        <v>1326</v>
      </c>
      <c r="L1140" s="13" t="s">
        <v>1330</v>
      </c>
      <c r="M1140" s="17">
        <v>139900</v>
      </c>
      <c r="N1140" s="15">
        <v>0.75</v>
      </c>
      <c r="O1140" s="16">
        <f t="shared" si="85"/>
        <v>34975</v>
      </c>
      <c r="P1140" s="11" t="s">
        <v>20</v>
      </c>
    </row>
    <row r="1141" spans="1:16" x14ac:dyDescent="0.25">
      <c r="A1141" s="9" t="str">
        <f t="shared" si="86"/>
        <v>2024 ALL D75</v>
      </c>
      <c r="B1141" s="10">
        <f t="shared" si="86"/>
        <v>46104</v>
      </c>
      <c r="C1141" s="10">
        <v>46113</v>
      </c>
      <c r="D1141" s="11">
        <v>3273</v>
      </c>
      <c r="E1141" s="11">
        <v>336</v>
      </c>
      <c r="F1141" s="11">
        <v>4</v>
      </c>
      <c r="G1141" s="19">
        <v>1</v>
      </c>
      <c r="H1141" s="13">
        <v>81588</v>
      </c>
      <c r="I1141" s="11" t="s">
        <v>17</v>
      </c>
      <c r="J1141" s="13">
        <v>19127438</v>
      </c>
      <c r="K1141" s="13" t="s">
        <v>1326</v>
      </c>
      <c r="L1141" s="13" t="s">
        <v>1331</v>
      </c>
      <c r="M1141" s="17">
        <v>139900</v>
      </c>
      <c r="N1141" s="15">
        <v>0.75</v>
      </c>
      <c r="O1141" s="16">
        <f t="shared" si="85"/>
        <v>34975</v>
      </c>
      <c r="P1141" s="11" t="s">
        <v>20</v>
      </c>
    </row>
    <row r="1142" spans="1:16" x14ac:dyDescent="0.25">
      <c r="A1142" s="9" t="str">
        <f t="shared" si="86"/>
        <v>2024 ALL D75</v>
      </c>
      <c r="B1142" s="10">
        <f t="shared" si="86"/>
        <v>46104</v>
      </c>
      <c r="C1142" s="10">
        <v>46113</v>
      </c>
      <c r="D1142" s="11">
        <v>3273</v>
      </c>
      <c r="E1142" s="11">
        <v>336</v>
      </c>
      <c r="F1142" s="11">
        <v>4</v>
      </c>
      <c r="G1142" s="19">
        <v>6</v>
      </c>
      <c r="H1142" s="13">
        <v>81588</v>
      </c>
      <c r="I1142" s="11" t="s">
        <v>17</v>
      </c>
      <c r="J1142" s="13">
        <v>21496213</v>
      </c>
      <c r="K1142" s="13" t="s">
        <v>1332</v>
      </c>
      <c r="L1142" s="13" t="s">
        <v>1333</v>
      </c>
      <c r="M1142" s="17">
        <v>149900</v>
      </c>
      <c r="N1142" s="15">
        <v>0.75</v>
      </c>
      <c r="O1142" s="16">
        <f t="shared" si="85"/>
        <v>37475</v>
      </c>
      <c r="P1142" s="11" t="s">
        <v>20</v>
      </c>
    </row>
    <row r="1143" spans="1:16" x14ac:dyDescent="0.25">
      <c r="A1143" s="9" t="str">
        <f t="shared" si="86"/>
        <v>2024 ALL D75</v>
      </c>
      <c r="B1143" s="10">
        <f t="shared" si="86"/>
        <v>46104</v>
      </c>
      <c r="C1143" s="10">
        <v>46113</v>
      </c>
      <c r="D1143" s="11">
        <v>3273</v>
      </c>
      <c r="E1143" s="11">
        <v>336</v>
      </c>
      <c r="F1143" s="11">
        <v>4</v>
      </c>
      <c r="G1143" s="19">
        <v>6</v>
      </c>
      <c r="H1143" s="13">
        <v>81588</v>
      </c>
      <c r="I1143" s="11" t="s">
        <v>17</v>
      </c>
      <c r="J1143" s="13">
        <v>21496222</v>
      </c>
      <c r="K1143" s="13" t="s">
        <v>1332</v>
      </c>
      <c r="L1143" s="13" t="s">
        <v>1334</v>
      </c>
      <c r="M1143" s="17">
        <v>149900</v>
      </c>
      <c r="N1143" s="15">
        <v>0.75</v>
      </c>
      <c r="O1143" s="16">
        <f t="shared" si="85"/>
        <v>37475</v>
      </c>
      <c r="P1143" s="11" t="s">
        <v>20</v>
      </c>
    </row>
    <row r="1144" spans="1:16" x14ac:dyDescent="0.25">
      <c r="A1144" s="9" t="str">
        <f t="shared" si="86"/>
        <v>2024 ALL D75</v>
      </c>
      <c r="B1144" s="10">
        <f t="shared" si="86"/>
        <v>46104</v>
      </c>
      <c r="C1144" s="10">
        <v>46113</v>
      </c>
      <c r="D1144" s="11">
        <v>3273</v>
      </c>
      <c r="E1144" s="11">
        <v>336</v>
      </c>
      <c r="F1144" s="11">
        <v>4</v>
      </c>
      <c r="G1144" s="19">
        <v>6</v>
      </c>
      <c r="H1144" s="13">
        <v>81588</v>
      </c>
      <c r="I1144" s="11" t="s">
        <v>17</v>
      </c>
      <c r="J1144" s="13">
        <v>21496231</v>
      </c>
      <c r="K1144" s="13" t="s">
        <v>1332</v>
      </c>
      <c r="L1144" s="13" t="s">
        <v>1335</v>
      </c>
      <c r="M1144" s="17">
        <v>149900</v>
      </c>
      <c r="N1144" s="15">
        <v>0.75</v>
      </c>
      <c r="O1144" s="16">
        <f t="shared" si="85"/>
        <v>37475</v>
      </c>
      <c r="P1144" s="11" t="s">
        <v>20</v>
      </c>
    </row>
    <row r="1145" spans="1:16" x14ac:dyDescent="0.25">
      <c r="A1145" s="9" t="str">
        <f t="shared" si="86"/>
        <v>2024 ALL D75</v>
      </c>
      <c r="B1145" s="10">
        <f t="shared" si="86"/>
        <v>46104</v>
      </c>
      <c r="C1145" s="10">
        <v>46113</v>
      </c>
      <c r="D1145" s="11">
        <v>3273</v>
      </c>
      <c r="E1145" s="11">
        <v>336</v>
      </c>
      <c r="F1145" s="11">
        <v>4</v>
      </c>
      <c r="G1145" s="19">
        <v>6</v>
      </c>
      <c r="H1145" s="13">
        <v>81588</v>
      </c>
      <c r="I1145" s="11" t="s">
        <v>17</v>
      </c>
      <c r="J1145" s="13">
        <v>21496240</v>
      </c>
      <c r="K1145" s="13" t="s">
        <v>1332</v>
      </c>
      <c r="L1145" s="13" t="s">
        <v>1336</v>
      </c>
      <c r="M1145" s="17">
        <v>149900</v>
      </c>
      <c r="N1145" s="15">
        <v>0.75</v>
      </c>
      <c r="O1145" s="16">
        <f t="shared" si="85"/>
        <v>37475</v>
      </c>
      <c r="P1145" s="11" t="s">
        <v>20</v>
      </c>
    </row>
    <row r="1146" spans="1:16" x14ac:dyDescent="0.25">
      <c r="A1146" s="9" t="str">
        <f t="shared" si="86"/>
        <v>2024 ALL D75</v>
      </c>
      <c r="B1146" s="10">
        <f t="shared" si="86"/>
        <v>46104</v>
      </c>
      <c r="C1146" s="10">
        <v>46113</v>
      </c>
      <c r="D1146" s="11">
        <v>3273</v>
      </c>
      <c r="E1146" s="11">
        <v>336</v>
      </c>
      <c r="F1146" s="11">
        <v>4</v>
      </c>
      <c r="G1146" s="19">
        <v>6</v>
      </c>
      <c r="H1146" s="13">
        <v>81588</v>
      </c>
      <c r="I1146" s="11" t="s">
        <v>17</v>
      </c>
      <c r="J1146" s="13">
        <v>21496366</v>
      </c>
      <c r="K1146" s="13" t="s">
        <v>1332</v>
      </c>
      <c r="L1146" s="13" t="s">
        <v>1337</v>
      </c>
      <c r="M1146" s="17">
        <v>149900</v>
      </c>
      <c r="N1146" s="15">
        <v>0.75</v>
      </c>
      <c r="O1146" s="16">
        <f t="shared" si="85"/>
        <v>37475</v>
      </c>
      <c r="P1146" s="11" t="s">
        <v>20</v>
      </c>
    </row>
    <row r="1147" spans="1:16" x14ac:dyDescent="0.25">
      <c r="A1147" s="9" t="str">
        <f t="shared" si="86"/>
        <v>2024 ALL D75</v>
      </c>
      <c r="B1147" s="10">
        <f t="shared" si="86"/>
        <v>46104</v>
      </c>
      <c r="C1147" s="10">
        <v>46113</v>
      </c>
      <c r="D1147" s="11">
        <v>3273</v>
      </c>
      <c r="E1147" s="11">
        <v>336</v>
      </c>
      <c r="F1147" s="11">
        <v>4</v>
      </c>
      <c r="G1147" s="19">
        <v>6</v>
      </c>
      <c r="H1147" s="13">
        <v>81588</v>
      </c>
      <c r="I1147" s="11" t="s">
        <v>17</v>
      </c>
      <c r="J1147" s="13">
        <v>21496624</v>
      </c>
      <c r="K1147" s="13" t="s">
        <v>1332</v>
      </c>
      <c r="L1147" s="13" t="s">
        <v>1338</v>
      </c>
      <c r="M1147" s="17">
        <v>149900</v>
      </c>
      <c r="N1147" s="15">
        <v>0.75</v>
      </c>
      <c r="O1147" s="16">
        <f t="shared" si="85"/>
        <v>37475</v>
      </c>
      <c r="P1147" s="11" t="s">
        <v>20</v>
      </c>
    </row>
    <row r="1148" spans="1:16" x14ac:dyDescent="0.25">
      <c r="A1148" s="9" t="str">
        <f t="shared" si="86"/>
        <v>2024 ALL D75</v>
      </c>
      <c r="B1148" s="10">
        <f t="shared" si="86"/>
        <v>46104</v>
      </c>
      <c r="C1148" s="10">
        <v>46113</v>
      </c>
      <c r="D1148" s="11">
        <v>3273</v>
      </c>
      <c r="E1148" s="11">
        <v>336</v>
      </c>
      <c r="F1148" s="11">
        <v>4</v>
      </c>
      <c r="G1148" s="19">
        <v>6</v>
      </c>
      <c r="H1148" s="13">
        <v>81588</v>
      </c>
      <c r="I1148" s="11" t="s">
        <v>17</v>
      </c>
      <c r="J1148" s="13">
        <v>21496884</v>
      </c>
      <c r="K1148" s="13" t="s">
        <v>1332</v>
      </c>
      <c r="L1148" s="13" t="s">
        <v>1339</v>
      </c>
      <c r="M1148" s="17">
        <v>149900</v>
      </c>
      <c r="N1148" s="15">
        <v>0.75</v>
      </c>
      <c r="O1148" s="16">
        <f t="shared" si="85"/>
        <v>37475</v>
      </c>
      <c r="P1148" s="11" t="s">
        <v>20</v>
      </c>
    </row>
    <row r="1149" spans="1:16" x14ac:dyDescent="0.25">
      <c r="A1149" s="9" t="str">
        <f t="shared" si="86"/>
        <v>2024 ALL D75</v>
      </c>
      <c r="B1149" s="10">
        <f t="shared" si="86"/>
        <v>46104</v>
      </c>
      <c r="C1149" s="10">
        <v>46113</v>
      </c>
      <c r="D1149" s="11">
        <v>3273</v>
      </c>
      <c r="E1149" s="11">
        <v>336</v>
      </c>
      <c r="F1149" s="11">
        <v>4</v>
      </c>
      <c r="G1149" s="19">
        <v>6</v>
      </c>
      <c r="H1149" s="13">
        <v>81588</v>
      </c>
      <c r="I1149" s="11" t="s">
        <v>17</v>
      </c>
      <c r="J1149" s="13">
        <v>21497409</v>
      </c>
      <c r="K1149" s="13" t="s">
        <v>1332</v>
      </c>
      <c r="L1149" s="13" t="s">
        <v>1340</v>
      </c>
      <c r="M1149" s="17">
        <v>149900</v>
      </c>
      <c r="N1149" s="15">
        <v>0.75</v>
      </c>
      <c r="O1149" s="16">
        <f t="shared" si="85"/>
        <v>37475</v>
      </c>
      <c r="P1149" s="11" t="s">
        <v>20</v>
      </c>
    </row>
    <row r="1150" spans="1:16" x14ac:dyDescent="0.25">
      <c r="A1150" s="9" t="str">
        <f t="shared" si="86"/>
        <v>2024 ALL D75</v>
      </c>
      <c r="B1150" s="10">
        <f t="shared" si="86"/>
        <v>46104</v>
      </c>
      <c r="C1150" s="10">
        <v>46113</v>
      </c>
      <c r="D1150" s="11">
        <v>3273</v>
      </c>
      <c r="E1150" s="11">
        <v>336</v>
      </c>
      <c r="F1150" s="11">
        <v>4</v>
      </c>
      <c r="G1150" s="19">
        <v>6</v>
      </c>
      <c r="H1150" s="13">
        <v>81588</v>
      </c>
      <c r="I1150" s="11" t="s">
        <v>17</v>
      </c>
      <c r="J1150" s="13">
        <v>21497669</v>
      </c>
      <c r="K1150" s="13" t="s">
        <v>1341</v>
      </c>
      <c r="L1150" s="13" t="s">
        <v>1342</v>
      </c>
      <c r="M1150" s="17">
        <v>149900</v>
      </c>
      <c r="N1150" s="15">
        <v>0.75</v>
      </c>
      <c r="O1150" s="16">
        <f t="shared" si="85"/>
        <v>37475</v>
      </c>
      <c r="P1150" s="11" t="s">
        <v>20</v>
      </c>
    </row>
    <row r="1151" spans="1:16" x14ac:dyDescent="0.25">
      <c r="A1151" s="9" t="str">
        <f t="shared" si="86"/>
        <v>2024 ALL D75</v>
      </c>
      <c r="B1151" s="10">
        <f t="shared" si="86"/>
        <v>46104</v>
      </c>
      <c r="C1151" s="10">
        <v>46113</v>
      </c>
      <c r="D1151" s="11">
        <v>3273</v>
      </c>
      <c r="E1151" s="11">
        <v>336</v>
      </c>
      <c r="F1151" s="11">
        <v>4</v>
      </c>
      <c r="G1151" s="19">
        <v>6</v>
      </c>
      <c r="H1151" s="13">
        <v>81588</v>
      </c>
      <c r="I1151" s="11" t="s">
        <v>17</v>
      </c>
      <c r="J1151" s="13">
        <v>21497767</v>
      </c>
      <c r="K1151" s="13" t="s">
        <v>1341</v>
      </c>
      <c r="L1151" s="13" t="s">
        <v>1343</v>
      </c>
      <c r="M1151" s="17">
        <v>149900</v>
      </c>
      <c r="N1151" s="15">
        <v>0.75</v>
      </c>
      <c r="O1151" s="16">
        <f t="shared" si="85"/>
        <v>37475</v>
      </c>
      <c r="P1151" s="11" t="s">
        <v>20</v>
      </c>
    </row>
    <row r="1152" spans="1:16" x14ac:dyDescent="0.25">
      <c r="A1152" s="9" t="str">
        <f t="shared" si="86"/>
        <v>2024 ALL D75</v>
      </c>
      <c r="B1152" s="10">
        <f t="shared" si="86"/>
        <v>46104</v>
      </c>
      <c r="C1152" s="10">
        <v>46113</v>
      </c>
      <c r="D1152" s="11">
        <v>3273</v>
      </c>
      <c r="E1152" s="11">
        <v>336</v>
      </c>
      <c r="F1152" s="11">
        <v>4</v>
      </c>
      <c r="G1152" s="19">
        <v>6</v>
      </c>
      <c r="H1152" s="13">
        <v>81588</v>
      </c>
      <c r="I1152" s="11" t="s">
        <v>17</v>
      </c>
      <c r="J1152" s="13">
        <v>21497972</v>
      </c>
      <c r="K1152" s="13" t="s">
        <v>1341</v>
      </c>
      <c r="L1152" s="13" t="s">
        <v>1344</v>
      </c>
      <c r="M1152" s="17">
        <v>149900</v>
      </c>
      <c r="N1152" s="15">
        <v>0.75</v>
      </c>
      <c r="O1152" s="16">
        <f t="shared" si="85"/>
        <v>37475</v>
      </c>
      <c r="P1152" s="11" t="s">
        <v>20</v>
      </c>
    </row>
    <row r="1153" spans="1:16" x14ac:dyDescent="0.25">
      <c r="A1153" s="9" t="str">
        <f t="shared" si="86"/>
        <v>2024 ALL D75</v>
      </c>
      <c r="B1153" s="10">
        <f t="shared" si="86"/>
        <v>46104</v>
      </c>
      <c r="C1153" s="10">
        <v>46113</v>
      </c>
      <c r="D1153" s="11">
        <v>3273</v>
      </c>
      <c r="E1153" s="11">
        <v>336</v>
      </c>
      <c r="F1153" s="11">
        <v>4</v>
      </c>
      <c r="G1153" s="19">
        <v>6</v>
      </c>
      <c r="H1153" s="13">
        <v>81588</v>
      </c>
      <c r="I1153" s="11" t="s">
        <v>17</v>
      </c>
      <c r="J1153" s="13">
        <v>21497990</v>
      </c>
      <c r="K1153" s="13" t="s">
        <v>1341</v>
      </c>
      <c r="L1153" s="13" t="s">
        <v>1345</v>
      </c>
      <c r="M1153" s="17">
        <v>149900</v>
      </c>
      <c r="N1153" s="15">
        <v>0.75</v>
      </c>
      <c r="O1153" s="16">
        <f t="shared" si="85"/>
        <v>37475</v>
      </c>
      <c r="P1153" s="11" t="s">
        <v>20</v>
      </c>
    </row>
    <row r="1154" spans="1:16" x14ac:dyDescent="0.25">
      <c r="A1154" s="9" t="str">
        <f t="shared" si="86"/>
        <v>2024 ALL D75</v>
      </c>
      <c r="B1154" s="10">
        <f t="shared" si="86"/>
        <v>46104</v>
      </c>
      <c r="C1154" s="10">
        <v>46113</v>
      </c>
      <c r="D1154" s="11">
        <v>3273</v>
      </c>
      <c r="E1154" s="11">
        <v>336</v>
      </c>
      <c r="F1154" s="11">
        <v>4</v>
      </c>
      <c r="G1154" s="19">
        <v>6</v>
      </c>
      <c r="H1154" s="13">
        <v>81588</v>
      </c>
      <c r="I1154" s="11" t="s">
        <v>17</v>
      </c>
      <c r="J1154" s="13">
        <v>21498248</v>
      </c>
      <c r="K1154" s="13" t="s">
        <v>1341</v>
      </c>
      <c r="L1154" s="13" t="s">
        <v>1346</v>
      </c>
      <c r="M1154" s="17">
        <v>149900</v>
      </c>
      <c r="N1154" s="15">
        <v>0.75</v>
      </c>
      <c r="O1154" s="16">
        <f t="shared" ref="O1154:O1217" si="87">M1154*(1-N1154)</f>
        <v>37475</v>
      </c>
      <c r="P1154" s="11" t="s">
        <v>20</v>
      </c>
    </row>
    <row r="1155" spans="1:16" x14ac:dyDescent="0.25">
      <c r="A1155" s="9" t="str">
        <f t="shared" si="86"/>
        <v>2024 ALL D75</v>
      </c>
      <c r="B1155" s="10">
        <f t="shared" si="86"/>
        <v>46104</v>
      </c>
      <c r="C1155" s="10">
        <v>46113</v>
      </c>
      <c r="D1155" s="11">
        <v>3273</v>
      </c>
      <c r="E1155" s="11">
        <v>336</v>
      </c>
      <c r="F1155" s="11">
        <v>4</v>
      </c>
      <c r="G1155" s="19">
        <v>6</v>
      </c>
      <c r="H1155" s="13">
        <v>81588</v>
      </c>
      <c r="I1155" s="11" t="s">
        <v>17</v>
      </c>
      <c r="J1155" s="13">
        <v>21498882</v>
      </c>
      <c r="K1155" s="13" t="s">
        <v>1341</v>
      </c>
      <c r="L1155" s="13" t="s">
        <v>1347</v>
      </c>
      <c r="M1155" s="17">
        <v>149900</v>
      </c>
      <c r="N1155" s="15">
        <v>0.75</v>
      </c>
      <c r="O1155" s="16">
        <f t="shared" si="87"/>
        <v>37475</v>
      </c>
      <c r="P1155" s="11" t="s">
        <v>20</v>
      </c>
    </row>
    <row r="1156" spans="1:16" x14ac:dyDescent="0.25">
      <c r="A1156" s="9" t="str">
        <f t="shared" si="86"/>
        <v>2024 ALL D75</v>
      </c>
      <c r="B1156" s="10">
        <f t="shared" si="86"/>
        <v>46104</v>
      </c>
      <c r="C1156" s="10">
        <v>46113</v>
      </c>
      <c r="D1156" s="11">
        <v>3273</v>
      </c>
      <c r="E1156" s="11">
        <v>336</v>
      </c>
      <c r="F1156" s="11">
        <v>4</v>
      </c>
      <c r="G1156" s="19">
        <v>6</v>
      </c>
      <c r="H1156" s="13">
        <v>81676</v>
      </c>
      <c r="I1156" s="11" t="s">
        <v>17</v>
      </c>
      <c r="J1156" s="13">
        <v>21499283</v>
      </c>
      <c r="K1156" s="13" t="s">
        <v>1348</v>
      </c>
      <c r="L1156" s="13" t="s">
        <v>1349</v>
      </c>
      <c r="M1156" s="17">
        <v>149900</v>
      </c>
      <c r="N1156" s="15">
        <v>0.75</v>
      </c>
      <c r="O1156" s="16">
        <f t="shared" si="87"/>
        <v>37475</v>
      </c>
      <c r="P1156" s="11" t="s">
        <v>20</v>
      </c>
    </row>
    <row r="1157" spans="1:16" x14ac:dyDescent="0.25">
      <c r="A1157" s="9" t="str">
        <f t="shared" si="86"/>
        <v>2024 ALL D75</v>
      </c>
      <c r="B1157" s="10">
        <f t="shared" si="86"/>
        <v>46104</v>
      </c>
      <c r="C1157" s="10">
        <v>46113</v>
      </c>
      <c r="D1157" s="11">
        <v>3273</v>
      </c>
      <c r="E1157" s="11">
        <v>336</v>
      </c>
      <c r="F1157" s="11">
        <v>4</v>
      </c>
      <c r="G1157" s="19">
        <v>6</v>
      </c>
      <c r="H1157" s="13">
        <v>81676</v>
      </c>
      <c r="I1157" s="11" t="s">
        <v>17</v>
      </c>
      <c r="J1157" s="13">
        <v>21499292</v>
      </c>
      <c r="K1157" s="13" t="s">
        <v>1348</v>
      </c>
      <c r="L1157" s="13" t="s">
        <v>1350</v>
      </c>
      <c r="M1157" s="17">
        <v>149900</v>
      </c>
      <c r="N1157" s="15">
        <v>0.75</v>
      </c>
      <c r="O1157" s="16">
        <f t="shared" si="87"/>
        <v>37475</v>
      </c>
      <c r="P1157" s="11" t="s">
        <v>20</v>
      </c>
    </row>
    <row r="1158" spans="1:16" x14ac:dyDescent="0.25">
      <c r="A1158" s="9" t="str">
        <f t="shared" si="86"/>
        <v>2024 ALL D75</v>
      </c>
      <c r="B1158" s="10">
        <f t="shared" si="86"/>
        <v>46104</v>
      </c>
      <c r="C1158" s="10">
        <v>46113</v>
      </c>
      <c r="D1158" s="11">
        <v>3273</v>
      </c>
      <c r="E1158" s="11">
        <v>336</v>
      </c>
      <c r="F1158" s="11">
        <v>4</v>
      </c>
      <c r="G1158" s="19">
        <v>6</v>
      </c>
      <c r="H1158" s="13">
        <v>81676</v>
      </c>
      <c r="I1158" s="11" t="s">
        <v>17</v>
      </c>
      <c r="J1158" s="13">
        <v>21499309</v>
      </c>
      <c r="K1158" s="13" t="s">
        <v>1348</v>
      </c>
      <c r="L1158" s="13" t="s">
        <v>1351</v>
      </c>
      <c r="M1158" s="17">
        <v>149900</v>
      </c>
      <c r="N1158" s="15">
        <v>0.75</v>
      </c>
      <c r="O1158" s="16">
        <f t="shared" si="87"/>
        <v>37475</v>
      </c>
      <c r="P1158" s="11" t="s">
        <v>20</v>
      </c>
    </row>
    <row r="1159" spans="1:16" x14ac:dyDescent="0.25">
      <c r="A1159" s="9" t="str">
        <f t="shared" si="86"/>
        <v>2024 ALL D75</v>
      </c>
      <c r="B1159" s="10">
        <f t="shared" si="86"/>
        <v>46104</v>
      </c>
      <c r="C1159" s="10">
        <v>46113</v>
      </c>
      <c r="D1159" s="11">
        <v>3273</v>
      </c>
      <c r="E1159" s="11">
        <v>336</v>
      </c>
      <c r="F1159" s="11">
        <v>4</v>
      </c>
      <c r="G1159" s="19">
        <v>6</v>
      </c>
      <c r="H1159" s="13">
        <v>81676</v>
      </c>
      <c r="I1159" s="11" t="s">
        <v>17</v>
      </c>
      <c r="J1159" s="13">
        <v>21499318</v>
      </c>
      <c r="K1159" s="13" t="s">
        <v>1348</v>
      </c>
      <c r="L1159" s="13" t="s">
        <v>1352</v>
      </c>
      <c r="M1159" s="17">
        <v>149900</v>
      </c>
      <c r="N1159" s="15">
        <v>0.75</v>
      </c>
      <c r="O1159" s="16">
        <f t="shared" si="87"/>
        <v>37475</v>
      </c>
      <c r="P1159" s="11" t="s">
        <v>20</v>
      </c>
    </row>
    <row r="1160" spans="1:16" x14ac:dyDescent="0.25">
      <c r="A1160" s="9" t="str">
        <f t="shared" si="86"/>
        <v>2024 ALL D75</v>
      </c>
      <c r="B1160" s="10">
        <f t="shared" si="86"/>
        <v>46104</v>
      </c>
      <c r="C1160" s="10">
        <v>46113</v>
      </c>
      <c r="D1160" s="11">
        <v>3273</v>
      </c>
      <c r="E1160" s="11">
        <v>336</v>
      </c>
      <c r="F1160" s="11">
        <v>4</v>
      </c>
      <c r="G1160" s="19">
        <v>6</v>
      </c>
      <c r="H1160" s="13">
        <v>81676</v>
      </c>
      <c r="I1160" s="11" t="s">
        <v>17</v>
      </c>
      <c r="J1160" s="13">
        <v>21499327</v>
      </c>
      <c r="K1160" s="13" t="s">
        <v>1348</v>
      </c>
      <c r="L1160" s="13" t="s">
        <v>1353</v>
      </c>
      <c r="M1160" s="17">
        <v>149900</v>
      </c>
      <c r="N1160" s="15">
        <v>0.75</v>
      </c>
      <c r="O1160" s="16">
        <f t="shared" si="87"/>
        <v>37475</v>
      </c>
      <c r="P1160" s="11" t="s">
        <v>20</v>
      </c>
    </row>
    <row r="1161" spans="1:16" x14ac:dyDescent="0.25">
      <c r="A1161" s="9" t="str">
        <f t="shared" si="86"/>
        <v>2024 ALL D75</v>
      </c>
      <c r="B1161" s="10">
        <f t="shared" si="86"/>
        <v>46104</v>
      </c>
      <c r="C1161" s="10">
        <v>46113</v>
      </c>
      <c r="D1161" s="11">
        <v>3273</v>
      </c>
      <c r="E1161" s="11">
        <v>336</v>
      </c>
      <c r="F1161" s="11">
        <v>4</v>
      </c>
      <c r="G1161" s="19">
        <v>6</v>
      </c>
      <c r="H1161" s="13">
        <v>81676</v>
      </c>
      <c r="I1161" s="11" t="s">
        <v>17</v>
      </c>
      <c r="J1161" s="13">
        <v>21499336</v>
      </c>
      <c r="K1161" s="13" t="s">
        <v>1348</v>
      </c>
      <c r="L1161" s="13" t="s">
        <v>1354</v>
      </c>
      <c r="M1161" s="17">
        <v>149900</v>
      </c>
      <c r="N1161" s="15">
        <v>0.75</v>
      </c>
      <c r="O1161" s="16">
        <f t="shared" si="87"/>
        <v>37475</v>
      </c>
      <c r="P1161" s="11" t="s">
        <v>20</v>
      </c>
    </row>
    <row r="1162" spans="1:16" x14ac:dyDescent="0.25">
      <c r="A1162" s="9" t="str">
        <f t="shared" si="86"/>
        <v>2024 ALL D75</v>
      </c>
      <c r="B1162" s="10">
        <f t="shared" si="86"/>
        <v>46104</v>
      </c>
      <c r="C1162" s="10">
        <v>46113</v>
      </c>
      <c r="D1162" s="11">
        <v>3273</v>
      </c>
      <c r="E1162" s="11">
        <v>336</v>
      </c>
      <c r="F1162" s="11">
        <v>4</v>
      </c>
      <c r="G1162" s="19">
        <v>6</v>
      </c>
      <c r="H1162" s="13">
        <v>81676</v>
      </c>
      <c r="I1162" s="11" t="s">
        <v>17</v>
      </c>
      <c r="J1162" s="13">
        <v>21499345</v>
      </c>
      <c r="K1162" s="13" t="s">
        <v>1355</v>
      </c>
      <c r="L1162" s="13" t="s">
        <v>1356</v>
      </c>
      <c r="M1162" s="17">
        <v>149900</v>
      </c>
      <c r="N1162" s="15">
        <v>0.75</v>
      </c>
      <c r="O1162" s="16">
        <f t="shared" si="87"/>
        <v>37475</v>
      </c>
      <c r="P1162" s="11" t="s">
        <v>20</v>
      </c>
    </row>
    <row r="1163" spans="1:16" x14ac:dyDescent="0.25">
      <c r="A1163" s="9" t="str">
        <f t="shared" si="86"/>
        <v>2024 ALL D75</v>
      </c>
      <c r="B1163" s="10">
        <f t="shared" si="86"/>
        <v>46104</v>
      </c>
      <c r="C1163" s="10">
        <v>46113</v>
      </c>
      <c r="D1163" s="11">
        <v>3273</v>
      </c>
      <c r="E1163" s="11">
        <v>336</v>
      </c>
      <c r="F1163" s="11">
        <v>4</v>
      </c>
      <c r="G1163" s="19">
        <v>6</v>
      </c>
      <c r="H1163" s="13">
        <v>81676</v>
      </c>
      <c r="I1163" s="11" t="s">
        <v>17</v>
      </c>
      <c r="J1163" s="13">
        <v>21499354</v>
      </c>
      <c r="K1163" s="13" t="s">
        <v>1355</v>
      </c>
      <c r="L1163" s="13" t="s">
        <v>1357</v>
      </c>
      <c r="M1163" s="17">
        <v>149900</v>
      </c>
      <c r="N1163" s="15">
        <v>0.75</v>
      </c>
      <c r="O1163" s="16">
        <f t="shared" si="87"/>
        <v>37475</v>
      </c>
      <c r="P1163" s="11" t="s">
        <v>20</v>
      </c>
    </row>
    <row r="1164" spans="1:16" x14ac:dyDescent="0.25">
      <c r="A1164" s="9" t="str">
        <f t="shared" si="86"/>
        <v>2024 ALL D75</v>
      </c>
      <c r="B1164" s="10">
        <f t="shared" si="86"/>
        <v>46104</v>
      </c>
      <c r="C1164" s="10">
        <v>46113</v>
      </c>
      <c r="D1164" s="11">
        <v>3273</v>
      </c>
      <c r="E1164" s="11">
        <v>336</v>
      </c>
      <c r="F1164" s="11">
        <v>4</v>
      </c>
      <c r="G1164" s="19">
        <v>6</v>
      </c>
      <c r="H1164" s="13">
        <v>81676</v>
      </c>
      <c r="I1164" s="11" t="s">
        <v>17</v>
      </c>
      <c r="J1164" s="13">
        <v>21499443</v>
      </c>
      <c r="K1164" s="13" t="s">
        <v>1355</v>
      </c>
      <c r="L1164" s="13" t="s">
        <v>1358</v>
      </c>
      <c r="M1164" s="17">
        <v>149900</v>
      </c>
      <c r="N1164" s="15">
        <v>0.75</v>
      </c>
      <c r="O1164" s="16">
        <f t="shared" si="87"/>
        <v>37475</v>
      </c>
      <c r="P1164" s="11" t="s">
        <v>20</v>
      </c>
    </row>
    <row r="1165" spans="1:16" x14ac:dyDescent="0.25">
      <c r="A1165" s="9" t="str">
        <f t="shared" si="86"/>
        <v>2024 ALL D75</v>
      </c>
      <c r="B1165" s="10">
        <f t="shared" si="86"/>
        <v>46104</v>
      </c>
      <c r="C1165" s="10">
        <v>46113</v>
      </c>
      <c r="D1165" s="11">
        <v>3273</v>
      </c>
      <c r="E1165" s="11">
        <v>336</v>
      </c>
      <c r="F1165" s="11">
        <v>4</v>
      </c>
      <c r="G1165" s="19">
        <v>6</v>
      </c>
      <c r="H1165" s="13">
        <v>81676</v>
      </c>
      <c r="I1165" s="11" t="s">
        <v>17</v>
      </c>
      <c r="J1165" s="13">
        <v>21499505</v>
      </c>
      <c r="K1165" s="13" t="s">
        <v>1355</v>
      </c>
      <c r="L1165" s="13" t="s">
        <v>1359</v>
      </c>
      <c r="M1165" s="17">
        <v>149900</v>
      </c>
      <c r="N1165" s="15">
        <v>0.75</v>
      </c>
      <c r="O1165" s="16">
        <f t="shared" si="87"/>
        <v>37475</v>
      </c>
      <c r="P1165" s="11" t="s">
        <v>20</v>
      </c>
    </row>
    <row r="1166" spans="1:16" x14ac:dyDescent="0.25">
      <c r="A1166" s="9" t="str">
        <f t="shared" si="86"/>
        <v>2024 ALL D75</v>
      </c>
      <c r="B1166" s="10">
        <f t="shared" si="86"/>
        <v>46104</v>
      </c>
      <c r="C1166" s="10">
        <v>46113</v>
      </c>
      <c r="D1166" s="11">
        <v>3273</v>
      </c>
      <c r="E1166" s="11">
        <v>336</v>
      </c>
      <c r="F1166" s="11">
        <v>4</v>
      </c>
      <c r="G1166" s="19">
        <v>6</v>
      </c>
      <c r="H1166" s="13">
        <v>81676</v>
      </c>
      <c r="I1166" s="11" t="s">
        <v>17</v>
      </c>
      <c r="J1166" s="13">
        <v>21499532</v>
      </c>
      <c r="K1166" s="13" t="s">
        <v>1355</v>
      </c>
      <c r="L1166" s="13" t="s">
        <v>1360</v>
      </c>
      <c r="M1166" s="17">
        <v>149900</v>
      </c>
      <c r="N1166" s="15">
        <v>0.75</v>
      </c>
      <c r="O1166" s="16">
        <f t="shared" si="87"/>
        <v>37475</v>
      </c>
      <c r="P1166" s="11" t="s">
        <v>20</v>
      </c>
    </row>
    <row r="1167" spans="1:16" x14ac:dyDescent="0.25">
      <c r="A1167" s="9" t="str">
        <f t="shared" si="86"/>
        <v>2024 ALL D75</v>
      </c>
      <c r="B1167" s="10">
        <f t="shared" si="86"/>
        <v>46104</v>
      </c>
      <c r="C1167" s="10">
        <v>46113</v>
      </c>
      <c r="D1167" s="11">
        <v>3273</v>
      </c>
      <c r="E1167" s="11">
        <v>336</v>
      </c>
      <c r="F1167" s="11">
        <v>4</v>
      </c>
      <c r="G1167" s="19">
        <v>6</v>
      </c>
      <c r="H1167" s="13">
        <v>81676</v>
      </c>
      <c r="I1167" s="11" t="s">
        <v>17</v>
      </c>
      <c r="J1167" s="13">
        <v>21499550</v>
      </c>
      <c r="K1167" s="13" t="s">
        <v>1355</v>
      </c>
      <c r="L1167" s="13" t="s">
        <v>1361</v>
      </c>
      <c r="M1167" s="17">
        <v>149900</v>
      </c>
      <c r="N1167" s="15">
        <v>0.75</v>
      </c>
      <c r="O1167" s="16">
        <f t="shared" si="87"/>
        <v>37475</v>
      </c>
      <c r="P1167" s="11" t="s">
        <v>20</v>
      </c>
    </row>
    <row r="1168" spans="1:16" x14ac:dyDescent="0.25">
      <c r="A1168" s="9" t="str">
        <f t="shared" si="86"/>
        <v>2024 ALL D75</v>
      </c>
      <c r="B1168" s="10">
        <f t="shared" si="86"/>
        <v>46104</v>
      </c>
      <c r="C1168" s="10">
        <v>46113</v>
      </c>
      <c r="D1168" s="11">
        <v>3273</v>
      </c>
      <c r="E1168" s="11">
        <v>336</v>
      </c>
      <c r="F1168" s="11">
        <v>4</v>
      </c>
      <c r="G1168" s="19">
        <v>6</v>
      </c>
      <c r="H1168" s="13">
        <v>81676</v>
      </c>
      <c r="I1168" s="11" t="s">
        <v>17</v>
      </c>
      <c r="J1168" s="13">
        <v>21499569</v>
      </c>
      <c r="K1168" s="13" t="s">
        <v>1362</v>
      </c>
      <c r="L1168" s="13" t="s">
        <v>1363</v>
      </c>
      <c r="M1168" s="17">
        <v>129900</v>
      </c>
      <c r="N1168" s="15">
        <v>0.75</v>
      </c>
      <c r="O1168" s="16">
        <f t="shared" si="87"/>
        <v>32475</v>
      </c>
      <c r="P1168" s="11" t="s">
        <v>20</v>
      </c>
    </row>
    <row r="1169" spans="1:16" x14ac:dyDescent="0.25">
      <c r="A1169" s="9" t="str">
        <f t="shared" si="86"/>
        <v>2024 ALL D75</v>
      </c>
      <c r="B1169" s="10">
        <f t="shared" si="86"/>
        <v>46104</v>
      </c>
      <c r="C1169" s="10">
        <v>46113</v>
      </c>
      <c r="D1169" s="11">
        <v>3273</v>
      </c>
      <c r="E1169" s="11">
        <v>336</v>
      </c>
      <c r="F1169" s="11">
        <v>4</v>
      </c>
      <c r="G1169" s="19">
        <v>6</v>
      </c>
      <c r="H1169" s="13">
        <v>81676</v>
      </c>
      <c r="I1169" s="11" t="s">
        <v>17</v>
      </c>
      <c r="J1169" s="13">
        <v>21499578</v>
      </c>
      <c r="K1169" s="13" t="s">
        <v>1362</v>
      </c>
      <c r="L1169" s="13" t="s">
        <v>1364</v>
      </c>
      <c r="M1169" s="17">
        <v>129900</v>
      </c>
      <c r="N1169" s="15">
        <v>0.75</v>
      </c>
      <c r="O1169" s="16">
        <f t="shared" si="87"/>
        <v>32475</v>
      </c>
      <c r="P1169" s="11" t="s">
        <v>20</v>
      </c>
    </row>
    <row r="1170" spans="1:16" x14ac:dyDescent="0.25">
      <c r="A1170" s="9" t="str">
        <f t="shared" si="86"/>
        <v>2024 ALL D75</v>
      </c>
      <c r="B1170" s="10">
        <f t="shared" si="86"/>
        <v>46104</v>
      </c>
      <c r="C1170" s="10">
        <v>46113</v>
      </c>
      <c r="D1170" s="11">
        <v>3273</v>
      </c>
      <c r="E1170" s="11">
        <v>336</v>
      </c>
      <c r="F1170" s="11">
        <v>4</v>
      </c>
      <c r="G1170" s="19">
        <v>6</v>
      </c>
      <c r="H1170" s="13">
        <v>81676</v>
      </c>
      <c r="I1170" s="11" t="s">
        <v>17</v>
      </c>
      <c r="J1170" s="13">
        <v>21499587</v>
      </c>
      <c r="K1170" s="13" t="s">
        <v>1362</v>
      </c>
      <c r="L1170" s="13" t="s">
        <v>1365</v>
      </c>
      <c r="M1170" s="17">
        <v>129900</v>
      </c>
      <c r="N1170" s="15">
        <v>0.75</v>
      </c>
      <c r="O1170" s="16">
        <f t="shared" si="87"/>
        <v>32475</v>
      </c>
      <c r="P1170" s="11" t="s">
        <v>20</v>
      </c>
    </row>
    <row r="1171" spans="1:16" x14ac:dyDescent="0.25">
      <c r="A1171" s="9" t="str">
        <f t="shared" si="86"/>
        <v>2024 ALL D75</v>
      </c>
      <c r="B1171" s="10">
        <f t="shared" si="86"/>
        <v>46104</v>
      </c>
      <c r="C1171" s="10">
        <v>46113</v>
      </c>
      <c r="D1171" s="11">
        <v>3273</v>
      </c>
      <c r="E1171" s="11">
        <v>336</v>
      </c>
      <c r="F1171" s="11">
        <v>4</v>
      </c>
      <c r="G1171" s="19">
        <v>6</v>
      </c>
      <c r="H1171" s="13">
        <v>81676</v>
      </c>
      <c r="I1171" s="11" t="s">
        <v>17</v>
      </c>
      <c r="J1171" s="13">
        <v>21499596</v>
      </c>
      <c r="K1171" s="13" t="s">
        <v>1362</v>
      </c>
      <c r="L1171" s="13" t="s">
        <v>1366</v>
      </c>
      <c r="M1171" s="17">
        <v>129900</v>
      </c>
      <c r="N1171" s="15">
        <v>0.75</v>
      </c>
      <c r="O1171" s="16">
        <f t="shared" si="87"/>
        <v>32475</v>
      </c>
      <c r="P1171" s="11" t="s">
        <v>20</v>
      </c>
    </row>
    <row r="1172" spans="1:16" x14ac:dyDescent="0.25">
      <c r="A1172" s="9" t="str">
        <f t="shared" si="86"/>
        <v>2024 ALL D75</v>
      </c>
      <c r="B1172" s="10">
        <f t="shared" si="86"/>
        <v>46104</v>
      </c>
      <c r="C1172" s="10">
        <v>46113</v>
      </c>
      <c r="D1172" s="11">
        <v>3273</v>
      </c>
      <c r="E1172" s="11">
        <v>336</v>
      </c>
      <c r="F1172" s="11">
        <v>4</v>
      </c>
      <c r="G1172" s="19">
        <v>6</v>
      </c>
      <c r="H1172" s="13">
        <v>81676</v>
      </c>
      <c r="I1172" s="11" t="s">
        <v>17</v>
      </c>
      <c r="J1172" s="13">
        <v>21499603</v>
      </c>
      <c r="K1172" s="13" t="s">
        <v>1362</v>
      </c>
      <c r="L1172" s="13" t="s">
        <v>1367</v>
      </c>
      <c r="M1172" s="17">
        <v>129900</v>
      </c>
      <c r="N1172" s="15">
        <v>0.75</v>
      </c>
      <c r="O1172" s="16">
        <f t="shared" si="87"/>
        <v>32475</v>
      </c>
      <c r="P1172" s="11" t="s">
        <v>20</v>
      </c>
    </row>
    <row r="1173" spans="1:16" x14ac:dyDescent="0.25">
      <c r="A1173" s="9" t="str">
        <f t="shared" si="86"/>
        <v>2024 ALL D75</v>
      </c>
      <c r="B1173" s="10">
        <f t="shared" si="86"/>
        <v>46104</v>
      </c>
      <c r="C1173" s="10">
        <v>46113</v>
      </c>
      <c r="D1173" s="11">
        <v>3273</v>
      </c>
      <c r="E1173" s="11">
        <v>336</v>
      </c>
      <c r="F1173" s="11">
        <v>4</v>
      </c>
      <c r="G1173" s="19">
        <v>6</v>
      </c>
      <c r="H1173" s="13">
        <v>81676</v>
      </c>
      <c r="I1173" s="11" t="s">
        <v>17</v>
      </c>
      <c r="J1173" s="13">
        <v>21499612</v>
      </c>
      <c r="K1173" s="13" t="s">
        <v>1362</v>
      </c>
      <c r="L1173" s="13" t="s">
        <v>1368</v>
      </c>
      <c r="M1173" s="17">
        <v>129900</v>
      </c>
      <c r="N1173" s="15">
        <v>0.75</v>
      </c>
      <c r="O1173" s="16">
        <f t="shared" si="87"/>
        <v>32475</v>
      </c>
      <c r="P1173" s="11" t="s">
        <v>20</v>
      </c>
    </row>
    <row r="1174" spans="1:16" x14ac:dyDescent="0.25">
      <c r="A1174" s="9" t="str">
        <f t="shared" si="86"/>
        <v>2024 ALL D75</v>
      </c>
      <c r="B1174" s="10">
        <f t="shared" si="86"/>
        <v>46104</v>
      </c>
      <c r="C1174" s="10">
        <v>46113</v>
      </c>
      <c r="D1174" s="11">
        <v>3273</v>
      </c>
      <c r="E1174" s="11">
        <v>336</v>
      </c>
      <c r="F1174" s="11">
        <v>4</v>
      </c>
      <c r="G1174" s="19">
        <v>6</v>
      </c>
      <c r="H1174" s="13">
        <v>81676</v>
      </c>
      <c r="I1174" s="11" t="s">
        <v>17</v>
      </c>
      <c r="J1174" s="13">
        <v>21499621</v>
      </c>
      <c r="K1174" s="13" t="s">
        <v>1362</v>
      </c>
      <c r="L1174" s="13" t="s">
        <v>1369</v>
      </c>
      <c r="M1174" s="17">
        <v>129900</v>
      </c>
      <c r="N1174" s="15">
        <v>0.75</v>
      </c>
      <c r="O1174" s="16">
        <f t="shared" si="87"/>
        <v>32475</v>
      </c>
      <c r="P1174" s="11" t="s">
        <v>20</v>
      </c>
    </row>
    <row r="1175" spans="1:16" x14ac:dyDescent="0.25">
      <c r="A1175" s="9" t="str">
        <f t="shared" si="86"/>
        <v>2024 ALL D75</v>
      </c>
      <c r="B1175" s="10">
        <f t="shared" si="86"/>
        <v>46104</v>
      </c>
      <c r="C1175" s="10">
        <v>46113</v>
      </c>
      <c r="D1175" s="11">
        <v>3273</v>
      </c>
      <c r="E1175" s="11">
        <v>336</v>
      </c>
      <c r="F1175" s="11">
        <v>4</v>
      </c>
      <c r="G1175" s="19">
        <v>6</v>
      </c>
      <c r="H1175" s="13">
        <v>81676</v>
      </c>
      <c r="I1175" s="11" t="s">
        <v>17</v>
      </c>
      <c r="J1175" s="13">
        <v>21499630</v>
      </c>
      <c r="K1175" s="13" t="s">
        <v>1362</v>
      </c>
      <c r="L1175" s="13" t="s">
        <v>1370</v>
      </c>
      <c r="M1175" s="17">
        <v>129900</v>
      </c>
      <c r="N1175" s="15">
        <v>0.75</v>
      </c>
      <c r="O1175" s="16">
        <f t="shared" si="87"/>
        <v>32475</v>
      </c>
      <c r="P1175" s="11" t="s">
        <v>20</v>
      </c>
    </row>
    <row r="1176" spans="1:16" x14ac:dyDescent="0.25">
      <c r="A1176" s="9" t="str">
        <f t="shared" si="86"/>
        <v>2024 ALL D75</v>
      </c>
      <c r="B1176" s="10">
        <f t="shared" si="86"/>
        <v>46104</v>
      </c>
      <c r="C1176" s="10">
        <v>46113</v>
      </c>
      <c r="D1176" s="11">
        <v>3273</v>
      </c>
      <c r="E1176" s="11">
        <v>336</v>
      </c>
      <c r="F1176" s="11">
        <v>4</v>
      </c>
      <c r="G1176" s="19">
        <v>6</v>
      </c>
      <c r="H1176" s="13">
        <v>81588</v>
      </c>
      <c r="I1176" s="11" t="s">
        <v>17</v>
      </c>
      <c r="J1176" s="13">
        <v>21499649</v>
      </c>
      <c r="K1176" s="13" t="s">
        <v>1371</v>
      </c>
      <c r="L1176" s="13" t="s">
        <v>1372</v>
      </c>
      <c r="M1176" s="17">
        <v>149900</v>
      </c>
      <c r="N1176" s="15">
        <v>0.75</v>
      </c>
      <c r="O1176" s="16">
        <f t="shared" si="87"/>
        <v>37475</v>
      </c>
      <c r="P1176" s="11" t="s">
        <v>20</v>
      </c>
    </row>
    <row r="1177" spans="1:16" x14ac:dyDescent="0.25">
      <c r="A1177" s="9" t="str">
        <f t="shared" si="86"/>
        <v>2024 ALL D75</v>
      </c>
      <c r="B1177" s="10">
        <f t="shared" si="86"/>
        <v>46104</v>
      </c>
      <c r="C1177" s="10">
        <v>46113</v>
      </c>
      <c r="D1177" s="11">
        <v>3273</v>
      </c>
      <c r="E1177" s="11">
        <v>336</v>
      </c>
      <c r="F1177" s="11">
        <v>4</v>
      </c>
      <c r="G1177" s="19">
        <v>6</v>
      </c>
      <c r="H1177" s="13">
        <v>81588</v>
      </c>
      <c r="I1177" s="11" t="s">
        <v>17</v>
      </c>
      <c r="J1177" s="13">
        <v>21499658</v>
      </c>
      <c r="K1177" s="13" t="s">
        <v>1371</v>
      </c>
      <c r="L1177" s="13" t="s">
        <v>1373</v>
      </c>
      <c r="M1177" s="17">
        <v>149900</v>
      </c>
      <c r="N1177" s="15">
        <v>0.75</v>
      </c>
      <c r="O1177" s="16">
        <f t="shared" si="87"/>
        <v>37475</v>
      </c>
      <c r="P1177" s="11" t="s">
        <v>20</v>
      </c>
    </row>
    <row r="1178" spans="1:16" x14ac:dyDescent="0.25">
      <c r="A1178" s="9" t="str">
        <f t="shared" si="86"/>
        <v>2024 ALL D75</v>
      </c>
      <c r="B1178" s="10">
        <f t="shared" si="86"/>
        <v>46104</v>
      </c>
      <c r="C1178" s="10">
        <v>46113</v>
      </c>
      <c r="D1178" s="11">
        <v>3273</v>
      </c>
      <c r="E1178" s="11">
        <v>336</v>
      </c>
      <c r="F1178" s="11">
        <v>4</v>
      </c>
      <c r="G1178" s="19">
        <v>6</v>
      </c>
      <c r="H1178" s="13">
        <v>81588</v>
      </c>
      <c r="I1178" s="11" t="s">
        <v>17</v>
      </c>
      <c r="J1178" s="13">
        <v>21499783</v>
      </c>
      <c r="K1178" s="13" t="s">
        <v>1371</v>
      </c>
      <c r="L1178" s="13" t="s">
        <v>1374</v>
      </c>
      <c r="M1178" s="17">
        <v>149900</v>
      </c>
      <c r="N1178" s="15">
        <v>0.75</v>
      </c>
      <c r="O1178" s="16">
        <f t="shared" si="87"/>
        <v>37475</v>
      </c>
      <c r="P1178" s="11" t="s">
        <v>20</v>
      </c>
    </row>
    <row r="1179" spans="1:16" x14ac:dyDescent="0.25">
      <c r="A1179" s="9" t="str">
        <f t="shared" si="86"/>
        <v>2024 ALL D75</v>
      </c>
      <c r="B1179" s="10">
        <f t="shared" si="86"/>
        <v>46104</v>
      </c>
      <c r="C1179" s="10">
        <v>46113</v>
      </c>
      <c r="D1179" s="11">
        <v>3273</v>
      </c>
      <c r="E1179" s="11">
        <v>336</v>
      </c>
      <c r="F1179" s="11">
        <v>4</v>
      </c>
      <c r="G1179" s="19">
        <v>6</v>
      </c>
      <c r="H1179" s="13">
        <v>81588</v>
      </c>
      <c r="I1179" s="11" t="s">
        <v>17</v>
      </c>
      <c r="J1179" s="13">
        <v>21499809</v>
      </c>
      <c r="K1179" s="13" t="s">
        <v>1371</v>
      </c>
      <c r="L1179" s="13" t="s">
        <v>1375</v>
      </c>
      <c r="M1179" s="17">
        <v>149900</v>
      </c>
      <c r="N1179" s="15">
        <v>0.75</v>
      </c>
      <c r="O1179" s="16">
        <f t="shared" si="87"/>
        <v>37475</v>
      </c>
      <c r="P1179" s="11" t="s">
        <v>20</v>
      </c>
    </row>
    <row r="1180" spans="1:16" x14ac:dyDescent="0.25">
      <c r="A1180" s="9" t="str">
        <f t="shared" si="86"/>
        <v>2024 ALL D75</v>
      </c>
      <c r="B1180" s="10">
        <f t="shared" si="86"/>
        <v>46104</v>
      </c>
      <c r="C1180" s="10">
        <v>46113</v>
      </c>
      <c r="D1180" s="11">
        <v>3273</v>
      </c>
      <c r="E1180" s="11">
        <v>336</v>
      </c>
      <c r="F1180" s="11">
        <v>4</v>
      </c>
      <c r="G1180" s="19">
        <v>6</v>
      </c>
      <c r="H1180" s="13">
        <v>81588</v>
      </c>
      <c r="I1180" s="11" t="s">
        <v>17</v>
      </c>
      <c r="J1180" s="13">
        <v>21499818</v>
      </c>
      <c r="K1180" s="13" t="s">
        <v>1371</v>
      </c>
      <c r="L1180" s="13" t="s">
        <v>1376</v>
      </c>
      <c r="M1180" s="17">
        <v>149900</v>
      </c>
      <c r="N1180" s="15">
        <v>0.75</v>
      </c>
      <c r="O1180" s="16">
        <f t="shared" si="87"/>
        <v>37475</v>
      </c>
      <c r="P1180" s="11" t="s">
        <v>20</v>
      </c>
    </row>
    <row r="1181" spans="1:16" x14ac:dyDescent="0.25">
      <c r="A1181" s="9" t="str">
        <f t="shared" si="86"/>
        <v>2024 ALL D75</v>
      </c>
      <c r="B1181" s="10">
        <f t="shared" si="86"/>
        <v>46104</v>
      </c>
      <c r="C1181" s="10">
        <v>46113</v>
      </c>
      <c r="D1181" s="11">
        <v>3273</v>
      </c>
      <c r="E1181" s="11">
        <v>336</v>
      </c>
      <c r="F1181" s="11">
        <v>4</v>
      </c>
      <c r="G1181" s="19">
        <v>6</v>
      </c>
      <c r="H1181" s="13">
        <v>81588</v>
      </c>
      <c r="I1181" s="11" t="s">
        <v>17</v>
      </c>
      <c r="J1181" s="13">
        <v>21499872</v>
      </c>
      <c r="K1181" s="13" t="s">
        <v>1371</v>
      </c>
      <c r="L1181" s="13" t="s">
        <v>1377</v>
      </c>
      <c r="M1181" s="17">
        <v>149900</v>
      </c>
      <c r="N1181" s="15">
        <v>0.75</v>
      </c>
      <c r="O1181" s="16">
        <f t="shared" si="87"/>
        <v>37475</v>
      </c>
      <c r="P1181" s="11" t="s">
        <v>20</v>
      </c>
    </row>
    <row r="1182" spans="1:16" x14ac:dyDescent="0.25">
      <c r="A1182" s="9" t="str">
        <f t="shared" si="86"/>
        <v>2024 ALL D75</v>
      </c>
      <c r="B1182" s="10">
        <f t="shared" si="86"/>
        <v>46104</v>
      </c>
      <c r="C1182" s="10">
        <v>46113</v>
      </c>
      <c r="D1182" s="11">
        <v>3273</v>
      </c>
      <c r="E1182" s="11">
        <v>336</v>
      </c>
      <c r="F1182" s="11">
        <v>4</v>
      </c>
      <c r="G1182" s="19">
        <v>6</v>
      </c>
      <c r="H1182" s="13">
        <v>81588</v>
      </c>
      <c r="I1182" s="11" t="s">
        <v>17</v>
      </c>
      <c r="J1182" s="13">
        <v>21499881</v>
      </c>
      <c r="K1182" s="13" t="s">
        <v>1371</v>
      </c>
      <c r="L1182" s="13" t="s">
        <v>1378</v>
      </c>
      <c r="M1182" s="17">
        <v>149900</v>
      </c>
      <c r="N1182" s="15">
        <v>0.75</v>
      </c>
      <c r="O1182" s="16">
        <f t="shared" si="87"/>
        <v>37475</v>
      </c>
      <c r="P1182" s="11" t="s">
        <v>20</v>
      </c>
    </row>
    <row r="1183" spans="1:16" x14ac:dyDescent="0.25">
      <c r="A1183" s="9" t="str">
        <f t="shared" si="86"/>
        <v>2024 ALL D75</v>
      </c>
      <c r="B1183" s="10">
        <f t="shared" si="86"/>
        <v>46104</v>
      </c>
      <c r="C1183" s="10">
        <v>46113</v>
      </c>
      <c r="D1183" s="11">
        <v>3273</v>
      </c>
      <c r="E1183" s="11">
        <v>336</v>
      </c>
      <c r="F1183" s="11">
        <v>4</v>
      </c>
      <c r="G1183" s="19">
        <v>6</v>
      </c>
      <c r="H1183" s="13">
        <v>81588</v>
      </c>
      <c r="I1183" s="11" t="s">
        <v>17</v>
      </c>
      <c r="J1183" s="13">
        <v>21499890</v>
      </c>
      <c r="K1183" s="13" t="s">
        <v>1371</v>
      </c>
      <c r="L1183" s="13" t="s">
        <v>1379</v>
      </c>
      <c r="M1183" s="17">
        <v>149900</v>
      </c>
      <c r="N1183" s="15">
        <v>0.75</v>
      </c>
      <c r="O1183" s="16">
        <f t="shared" si="87"/>
        <v>37475</v>
      </c>
      <c r="P1183" s="11" t="s">
        <v>20</v>
      </c>
    </row>
    <row r="1184" spans="1:16" x14ac:dyDescent="0.25">
      <c r="A1184" s="9" t="str">
        <f t="shared" si="86"/>
        <v>2024 ALL D75</v>
      </c>
      <c r="B1184" s="10">
        <f t="shared" si="86"/>
        <v>46104</v>
      </c>
      <c r="C1184" s="10">
        <v>46113</v>
      </c>
      <c r="D1184" s="11">
        <v>3273</v>
      </c>
      <c r="E1184" s="11">
        <v>336</v>
      </c>
      <c r="F1184" s="11">
        <v>4</v>
      </c>
      <c r="G1184" s="19">
        <v>6</v>
      </c>
      <c r="H1184" s="13">
        <v>81588</v>
      </c>
      <c r="I1184" s="11" t="s">
        <v>17</v>
      </c>
      <c r="J1184" s="13">
        <v>21499907</v>
      </c>
      <c r="K1184" s="13" t="s">
        <v>1380</v>
      </c>
      <c r="L1184" s="13" t="s">
        <v>1381</v>
      </c>
      <c r="M1184" s="17">
        <v>149900</v>
      </c>
      <c r="N1184" s="15">
        <v>0.75</v>
      </c>
      <c r="O1184" s="16">
        <f t="shared" si="87"/>
        <v>37475</v>
      </c>
      <c r="P1184" s="11" t="s">
        <v>20</v>
      </c>
    </row>
    <row r="1185" spans="1:16" x14ac:dyDescent="0.25">
      <c r="A1185" s="9" t="str">
        <f t="shared" si="86"/>
        <v>2024 ALL D75</v>
      </c>
      <c r="B1185" s="10">
        <f t="shared" si="86"/>
        <v>46104</v>
      </c>
      <c r="C1185" s="10">
        <v>46113</v>
      </c>
      <c r="D1185" s="11">
        <v>3273</v>
      </c>
      <c r="E1185" s="11">
        <v>336</v>
      </c>
      <c r="F1185" s="11">
        <v>4</v>
      </c>
      <c r="G1185" s="19">
        <v>6</v>
      </c>
      <c r="H1185" s="13">
        <v>81588</v>
      </c>
      <c r="I1185" s="11" t="s">
        <v>17</v>
      </c>
      <c r="J1185" s="13">
        <v>21499916</v>
      </c>
      <c r="K1185" s="13" t="s">
        <v>1380</v>
      </c>
      <c r="L1185" s="13" t="s">
        <v>1382</v>
      </c>
      <c r="M1185" s="17">
        <v>149900</v>
      </c>
      <c r="N1185" s="15">
        <v>0.75</v>
      </c>
      <c r="O1185" s="16">
        <f t="shared" si="87"/>
        <v>37475</v>
      </c>
      <c r="P1185" s="11" t="s">
        <v>20</v>
      </c>
    </row>
    <row r="1186" spans="1:16" x14ac:dyDescent="0.25">
      <c r="A1186" s="9" t="str">
        <f t="shared" ref="A1186:B1249" si="88">A1185</f>
        <v>2024 ALL D75</v>
      </c>
      <c r="B1186" s="10">
        <f t="shared" si="88"/>
        <v>46104</v>
      </c>
      <c r="C1186" s="10">
        <v>46113</v>
      </c>
      <c r="D1186" s="11">
        <v>3273</v>
      </c>
      <c r="E1186" s="11">
        <v>336</v>
      </c>
      <c r="F1186" s="11">
        <v>4</v>
      </c>
      <c r="G1186" s="19">
        <v>6</v>
      </c>
      <c r="H1186" s="13">
        <v>81588</v>
      </c>
      <c r="I1186" s="11" t="s">
        <v>17</v>
      </c>
      <c r="J1186" s="13">
        <v>21499925</v>
      </c>
      <c r="K1186" s="13" t="s">
        <v>1380</v>
      </c>
      <c r="L1186" s="13" t="s">
        <v>1383</v>
      </c>
      <c r="M1186" s="17">
        <v>149900</v>
      </c>
      <c r="N1186" s="15">
        <v>0.75</v>
      </c>
      <c r="O1186" s="16">
        <f t="shared" si="87"/>
        <v>37475</v>
      </c>
      <c r="P1186" s="11" t="s">
        <v>20</v>
      </c>
    </row>
    <row r="1187" spans="1:16" x14ac:dyDescent="0.25">
      <c r="A1187" s="9" t="str">
        <f t="shared" si="88"/>
        <v>2024 ALL D75</v>
      </c>
      <c r="B1187" s="10">
        <f t="shared" si="88"/>
        <v>46104</v>
      </c>
      <c r="C1187" s="10">
        <v>46113</v>
      </c>
      <c r="D1187" s="11">
        <v>3273</v>
      </c>
      <c r="E1187" s="11">
        <v>336</v>
      </c>
      <c r="F1187" s="11">
        <v>4</v>
      </c>
      <c r="G1187" s="19">
        <v>6</v>
      </c>
      <c r="H1187" s="13">
        <v>81588</v>
      </c>
      <c r="I1187" s="11" t="s">
        <v>17</v>
      </c>
      <c r="J1187" s="13">
        <v>21499934</v>
      </c>
      <c r="K1187" s="13" t="s">
        <v>1380</v>
      </c>
      <c r="L1187" s="13" t="s">
        <v>1384</v>
      </c>
      <c r="M1187" s="17">
        <v>149900</v>
      </c>
      <c r="N1187" s="15">
        <v>0.75</v>
      </c>
      <c r="O1187" s="16">
        <f t="shared" si="87"/>
        <v>37475</v>
      </c>
      <c r="P1187" s="11" t="s">
        <v>20</v>
      </c>
    </row>
    <row r="1188" spans="1:16" x14ac:dyDescent="0.25">
      <c r="A1188" s="9" t="str">
        <f t="shared" si="88"/>
        <v>2024 ALL D75</v>
      </c>
      <c r="B1188" s="10">
        <f t="shared" si="88"/>
        <v>46104</v>
      </c>
      <c r="C1188" s="10">
        <v>46113</v>
      </c>
      <c r="D1188" s="11">
        <v>3273</v>
      </c>
      <c r="E1188" s="11">
        <v>336</v>
      </c>
      <c r="F1188" s="11">
        <v>4</v>
      </c>
      <c r="G1188" s="19">
        <v>6</v>
      </c>
      <c r="H1188" s="13">
        <v>81588</v>
      </c>
      <c r="I1188" s="11" t="s">
        <v>17</v>
      </c>
      <c r="J1188" s="13">
        <v>21499943</v>
      </c>
      <c r="K1188" s="13" t="s">
        <v>1380</v>
      </c>
      <c r="L1188" s="13" t="s">
        <v>1385</v>
      </c>
      <c r="M1188" s="17">
        <v>149900</v>
      </c>
      <c r="N1188" s="15">
        <v>0.75</v>
      </c>
      <c r="O1188" s="16">
        <f t="shared" si="87"/>
        <v>37475</v>
      </c>
      <c r="P1188" s="11" t="s">
        <v>20</v>
      </c>
    </row>
    <row r="1189" spans="1:16" x14ac:dyDescent="0.25">
      <c r="A1189" s="9" t="str">
        <f t="shared" si="88"/>
        <v>2024 ALL D75</v>
      </c>
      <c r="B1189" s="10">
        <f t="shared" si="88"/>
        <v>46104</v>
      </c>
      <c r="C1189" s="10">
        <v>46113</v>
      </c>
      <c r="D1189" s="11">
        <v>3273</v>
      </c>
      <c r="E1189" s="11">
        <v>336</v>
      </c>
      <c r="F1189" s="11">
        <v>4</v>
      </c>
      <c r="G1189" s="19">
        <v>6</v>
      </c>
      <c r="H1189" s="13">
        <v>81588</v>
      </c>
      <c r="I1189" s="11" t="s">
        <v>17</v>
      </c>
      <c r="J1189" s="13">
        <v>21499952</v>
      </c>
      <c r="K1189" s="13" t="s">
        <v>1380</v>
      </c>
      <c r="L1189" s="13" t="s">
        <v>1386</v>
      </c>
      <c r="M1189" s="17">
        <v>149900</v>
      </c>
      <c r="N1189" s="15">
        <v>0.75</v>
      </c>
      <c r="O1189" s="16">
        <f t="shared" si="87"/>
        <v>37475</v>
      </c>
      <c r="P1189" s="11" t="s">
        <v>20</v>
      </c>
    </row>
    <row r="1190" spans="1:16" x14ac:dyDescent="0.25">
      <c r="A1190" s="9" t="str">
        <f t="shared" si="88"/>
        <v>2024 ALL D75</v>
      </c>
      <c r="B1190" s="10">
        <f t="shared" si="88"/>
        <v>46104</v>
      </c>
      <c r="C1190" s="10">
        <v>46113</v>
      </c>
      <c r="D1190" s="11">
        <v>3273</v>
      </c>
      <c r="E1190" s="11">
        <v>336</v>
      </c>
      <c r="F1190" s="11">
        <v>4</v>
      </c>
      <c r="G1190" s="19">
        <v>6</v>
      </c>
      <c r="H1190" s="13">
        <v>81588</v>
      </c>
      <c r="I1190" s="11" t="s">
        <v>17</v>
      </c>
      <c r="J1190" s="13">
        <v>21499961</v>
      </c>
      <c r="K1190" s="13" t="s">
        <v>1380</v>
      </c>
      <c r="L1190" s="13" t="s">
        <v>1387</v>
      </c>
      <c r="M1190" s="17">
        <v>149900</v>
      </c>
      <c r="N1190" s="15">
        <v>0.75</v>
      </c>
      <c r="O1190" s="16">
        <f t="shared" si="87"/>
        <v>37475</v>
      </c>
      <c r="P1190" s="11" t="s">
        <v>20</v>
      </c>
    </row>
    <row r="1191" spans="1:16" x14ac:dyDescent="0.25">
      <c r="A1191" s="9" t="str">
        <f t="shared" si="88"/>
        <v>2024 ALL D75</v>
      </c>
      <c r="B1191" s="10">
        <f t="shared" si="88"/>
        <v>46104</v>
      </c>
      <c r="C1191" s="10">
        <v>46113</v>
      </c>
      <c r="D1191" s="11">
        <v>3273</v>
      </c>
      <c r="E1191" s="11">
        <v>336</v>
      </c>
      <c r="F1191" s="11">
        <v>4</v>
      </c>
      <c r="G1191" s="19">
        <v>6</v>
      </c>
      <c r="H1191" s="13">
        <v>81588</v>
      </c>
      <c r="I1191" s="11" t="s">
        <v>17</v>
      </c>
      <c r="J1191" s="13">
        <v>21499970</v>
      </c>
      <c r="K1191" s="13" t="s">
        <v>1380</v>
      </c>
      <c r="L1191" s="13" t="s">
        <v>1388</v>
      </c>
      <c r="M1191" s="17">
        <v>149900</v>
      </c>
      <c r="N1191" s="15">
        <v>0.75</v>
      </c>
      <c r="O1191" s="16">
        <f t="shared" si="87"/>
        <v>37475</v>
      </c>
      <c r="P1191" s="11" t="s">
        <v>20</v>
      </c>
    </row>
    <row r="1192" spans="1:16" x14ac:dyDescent="0.25">
      <c r="A1192" s="9" t="str">
        <f t="shared" si="88"/>
        <v>2024 ALL D75</v>
      </c>
      <c r="B1192" s="10">
        <f t="shared" si="88"/>
        <v>46104</v>
      </c>
      <c r="C1192" s="10">
        <v>46113</v>
      </c>
      <c r="D1192" s="11">
        <v>3273</v>
      </c>
      <c r="E1192" s="11">
        <v>336</v>
      </c>
      <c r="F1192" s="11">
        <v>4</v>
      </c>
      <c r="G1192" s="19">
        <v>6</v>
      </c>
      <c r="H1192" s="13">
        <v>81676</v>
      </c>
      <c r="I1192" s="11" t="s">
        <v>17</v>
      </c>
      <c r="J1192" s="13">
        <v>21493841</v>
      </c>
      <c r="K1192" s="13" t="s">
        <v>1389</v>
      </c>
      <c r="L1192" s="13" t="s">
        <v>1390</v>
      </c>
      <c r="M1192" s="17">
        <v>149900</v>
      </c>
      <c r="N1192" s="15">
        <v>0.75</v>
      </c>
      <c r="O1192" s="16">
        <f t="shared" si="87"/>
        <v>37475</v>
      </c>
      <c r="P1192" s="11" t="s">
        <v>20</v>
      </c>
    </row>
    <row r="1193" spans="1:16" x14ac:dyDescent="0.25">
      <c r="A1193" s="9" t="str">
        <f t="shared" si="88"/>
        <v>2024 ALL D75</v>
      </c>
      <c r="B1193" s="10">
        <f t="shared" si="88"/>
        <v>46104</v>
      </c>
      <c r="C1193" s="10">
        <v>46113</v>
      </c>
      <c r="D1193" s="11">
        <v>3273</v>
      </c>
      <c r="E1193" s="11">
        <v>336</v>
      </c>
      <c r="F1193" s="11">
        <v>4</v>
      </c>
      <c r="G1193" s="19">
        <v>6</v>
      </c>
      <c r="H1193" s="13">
        <v>81676</v>
      </c>
      <c r="I1193" s="11" t="s">
        <v>17</v>
      </c>
      <c r="J1193" s="13">
        <v>21493850</v>
      </c>
      <c r="K1193" s="13" t="s">
        <v>1389</v>
      </c>
      <c r="L1193" s="13" t="s">
        <v>1391</v>
      </c>
      <c r="M1193" s="17">
        <v>149900</v>
      </c>
      <c r="N1193" s="15">
        <v>0.75</v>
      </c>
      <c r="O1193" s="16">
        <f t="shared" si="87"/>
        <v>37475</v>
      </c>
      <c r="P1193" s="11" t="s">
        <v>20</v>
      </c>
    </row>
    <row r="1194" spans="1:16" x14ac:dyDescent="0.25">
      <c r="A1194" s="9" t="str">
        <f t="shared" si="88"/>
        <v>2024 ALL D75</v>
      </c>
      <c r="B1194" s="10">
        <f t="shared" si="88"/>
        <v>46104</v>
      </c>
      <c r="C1194" s="10">
        <v>46113</v>
      </c>
      <c r="D1194" s="11">
        <v>3273</v>
      </c>
      <c r="E1194" s="11">
        <v>336</v>
      </c>
      <c r="F1194" s="11">
        <v>4</v>
      </c>
      <c r="G1194" s="19">
        <v>6</v>
      </c>
      <c r="H1194" s="13">
        <v>81676</v>
      </c>
      <c r="I1194" s="11" t="s">
        <v>17</v>
      </c>
      <c r="J1194" s="13">
        <v>21493869</v>
      </c>
      <c r="K1194" s="13" t="s">
        <v>1389</v>
      </c>
      <c r="L1194" s="13" t="s">
        <v>1392</v>
      </c>
      <c r="M1194" s="17">
        <v>149900</v>
      </c>
      <c r="N1194" s="15">
        <v>0.75</v>
      </c>
      <c r="O1194" s="16">
        <f t="shared" si="87"/>
        <v>37475</v>
      </c>
      <c r="P1194" s="11" t="s">
        <v>20</v>
      </c>
    </row>
    <row r="1195" spans="1:16" x14ac:dyDescent="0.25">
      <c r="A1195" s="9" t="str">
        <f t="shared" si="88"/>
        <v>2024 ALL D75</v>
      </c>
      <c r="B1195" s="10">
        <f t="shared" si="88"/>
        <v>46104</v>
      </c>
      <c r="C1195" s="10">
        <v>46113</v>
      </c>
      <c r="D1195" s="11">
        <v>3273</v>
      </c>
      <c r="E1195" s="11">
        <v>336</v>
      </c>
      <c r="F1195" s="11">
        <v>4</v>
      </c>
      <c r="G1195" s="19">
        <v>6</v>
      </c>
      <c r="H1195" s="13">
        <v>81676</v>
      </c>
      <c r="I1195" s="11" t="s">
        <v>17</v>
      </c>
      <c r="J1195" s="13">
        <v>21493878</v>
      </c>
      <c r="K1195" s="13" t="s">
        <v>1389</v>
      </c>
      <c r="L1195" s="13" t="s">
        <v>1393</v>
      </c>
      <c r="M1195" s="17">
        <v>149900</v>
      </c>
      <c r="N1195" s="15">
        <v>0.75</v>
      </c>
      <c r="O1195" s="16">
        <f t="shared" si="87"/>
        <v>37475</v>
      </c>
      <c r="P1195" s="11" t="s">
        <v>20</v>
      </c>
    </row>
    <row r="1196" spans="1:16" x14ac:dyDescent="0.25">
      <c r="A1196" s="9" t="str">
        <f t="shared" si="88"/>
        <v>2024 ALL D75</v>
      </c>
      <c r="B1196" s="10">
        <f t="shared" si="88"/>
        <v>46104</v>
      </c>
      <c r="C1196" s="10">
        <v>46113</v>
      </c>
      <c r="D1196" s="11">
        <v>3273</v>
      </c>
      <c r="E1196" s="11">
        <v>336</v>
      </c>
      <c r="F1196" s="11">
        <v>4</v>
      </c>
      <c r="G1196" s="19">
        <v>6</v>
      </c>
      <c r="H1196" s="13">
        <v>81676</v>
      </c>
      <c r="I1196" s="11" t="s">
        <v>17</v>
      </c>
      <c r="J1196" s="13">
        <v>21493887</v>
      </c>
      <c r="K1196" s="13" t="s">
        <v>1389</v>
      </c>
      <c r="L1196" s="13" t="s">
        <v>1394</v>
      </c>
      <c r="M1196" s="17">
        <v>149900</v>
      </c>
      <c r="N1196" s="15">
        <v>0.75</v>
      </c>
      <c r="O1196" s="16">
        <f t="shared" si="87"/>
        <v>37475</v>
      </c>
      <c r="P1196" s="11" t="s">
        <v>20</v>
      </c>
    </row>
    <row r="1197" spans="1:16" x14ac:dyDescent="0.25">
      <c r="A1197" s="9" t="str">
        <f t="shared" si="88"/>
        <v>2024 ALL D75</v>
      </c>
      <c r="B1197" s="10">
        <f t="shared" si="88"/>
        <v>46104</v>
      </c>
      <c r="C1197" s="10">
        <v>46113</v>
      </c>
      <c r="D1197" s="11">
        <v>3273</v>
      </c>
      <c r="E1197" s="11">
        <v>336</v>
      </c>
      <c r="F1197" s="11">
        <v>4</v>
      </c>
      <c r="G1197" s="19">
        <v>6</v>
      </c>
      <c r="H1197" s="13">
        <v>81676</v>
      </c>
      <c r="I1197" s="11" t="s">
        <v>17</v>
      </c>
      <c r="J1197" s="13">
        <v>21493896</v>
      </c>
      <c r="K1197" s="13" t="s">
        <v>1389</v>
      </c>
      <c r="L1197" s="13" t="s">
        <v>1395</v>
      </c>
      <c r="M1197" s="17">
        <v>149900</v>
      </c>
      <c r="N1197" s="15">
        <v>0.75</v>
      </c>
      <c r="O1197" s="16">
        <f t="shared" si="87"/>
        <v>37475</v>
      </c>
      <c r="P1197" s="11" t="s">
        <v>20</v>
      </c>
    </row>
    <row r="1198" spans="1:16" x14ac:dyDescent="0.25">
      <c r="A1198" s="9" t="str">
        <f t="shared" si="88"/>
        <v>2024 ALL D75</v>
      </c>
      <c r="B1198" s="10">
        <f t="shared" si="88"/>
        <v>46104</v>
      </c>
      <c r="C1198" s="10">
        <v>46113</v>
      </c>
      <c r="D1198" s="11">
        <v>3273</v>
      </c>
      <c r="E1198" s="11">
        <v>336</v>
      </c>
      <c r="F1198" s="11">
        <v>4</v>
      </c>
      <c r="G1198" s="19">
        <v>10</v>
      </c>
      <c r="H1198" s="13">
        <v>81574</v>
      </c>
      <c r="I1198" s="11" t="s">
        <v>17</v>
      </c>
      <c r="J1198" s="13">
        <v>21500225</v>
      </c>
      <c r="K1198" s="13" t="s">
        <v>1396</v>
      </c>
      <c r="L1198" s="13" t="s">
        <v>1397</v>
      </c>
      <c r="M1198" s="17">
        <v>139900</v>
      </c>
      <c r="N1198" s="15">
        <v>0.75</v>
      </c>
      <c r="O1198" s="16">
        <f t="shared" si="87"/>
        <v>34975</v>
      </c>
      <c r="P1198" s="11" t="s">
        <v>20</v>
      </c>
    </row>
    <row r="1199" spans="1:16" x14ac:dyDescent="0.25">
      <c r="A1199" s="9" t="str">
        <f t="shared" si="88"/>
        <v>2024 ALL D75</v>
      </c>
      <c r="B1199" s="10">
        <f t="shared" si="88"/>
        <v>46104</v>
      </c>
      <c r="C1199" s="10">
        <v>46113</v>
      </c>
      <c r="D1199" s="11">
        <v>3273</v>
      </c>
      <c r="E1199" s="11">
        <v>336</v>
      </c>
      <c r="F1199" s="11">
        <v>4</v>
      </c>
      <c r="G1199" s="19">
        <v>10</v>
      </c>
      <c r="H1199" s="13">
        <v>81574</v>
      </c>
      <c r="I1199" s="11" t="s">
        <v>17</v>
      </c>
      <c r="J1199" s="13">
        <v>21615870</v>
      </c>
      <c r="K1199" s="13" t="s">
        <v>1398</v>
      </c>
      <c r="L1199" s="13" t="s">
        <v>1399</v>
      </c>
      <c r="M1199" s="17">
        <v>149900</v>
      </c>
      <c r="N1199" s="15">
        <v>0.75</v>
      </c>
      <c r="O1199" s="16">
        <f t="shared" si="87"/>
        <v>37475</v>
      </c>
      <c r="P1199" s="11" t="s">
        <v>20</v>
      </c>
    </row>
    <row r="1200" spans="1:16" x14ac:dyDescent="0.25">
      <c r="A1200" s="9" t="str">
        <f t="shared" si="88"/>
        <v>2024 ALL D75</v>
      </c>
      <c r="B1200" s="10">
        <f t="shared" si="88"/>
        <v>46104</v>
      </c>
      <c r="C1200" s="10">
        <v>46113</v>
      </c>
      <c r="D1200" s="11">
        <v>3273</v>
      </c>
      <c r="E1200" s="11">
        <v>336</v>
      </c>
      <c r="F1200" s="11">
        <v>4</v>
      </c>
      <c r="G1200" s="19">
        <v>9</v>
      </c>
      <c r="H1200" s="13">
        <v>81588</v>
      </c>
      <c r="I1200" s="11" t="s">
        <v>17</v>
      </c>
      <c r="J1200" s="13">
        <v>21500127</v>
      </c>
      <c r="K1200" s="13" t="s">
        <v>1400</v>
      </c>
      <c r="L1200" s="13" t="s">
        <v>1401</v>
      </c>
      <c r="M1200" s="17">
        <v>239900</v>
      </c>
      <c r="N1200" s="15">
        <v>0.75</v>
      </c>
      <c r="O1200" s="16">
        <f t="shared" si="87"/>
        <v>59975</v>
      </c>
      <c r="P1200" s="11" t="s">
        <v>20</v>
      </c>
    </row>
    <row r="1201" spans="1:16" x14ac:dyDescent="0.25">
      <c r="A1201" s="9" t="str">
        <f t="shared" si="88"/>
        <v>2024 ALL D75</v>
      </c>
      <c r="B1201" s="10">
        <f t="shared" si="88"/>
        <v>46104</v>
      </c>
      <c r="C1201" s="10">
        <v>46113</v>
      </c>
      <c r="D1201" s="11">
        <v>3273</v>
      </c>
      <c r="E1201" s="11">
        <v>336</v>
      </c>
      <c r="F1201" s="11">
        <v>4</v>
      </c>
      <c r="G1201" s="19">
        <v>9</v>
      </c>
      <c r="H1201" s="13">
        <v>81588</v>
      </c>
      <c r="I1201" s="11" t="s">
        <v>17</v>
      </c>
      <c r="J1201" s="13">
        <v>21500136</v>
      </c>
      <c r="K1201" s="13" t="s">
        <v>1400</v>
      </c>
      <c r="L1201" s="13" t="s">
        <v>1402</v>
      </c>
      <c r="M1201" s="17">
        <v>239900</v>
      </c>
      <c r="N1201" s="15">
        <v>0.75</v>
      </c>
      <c r="O1201" s="16">
        <f t="shared" si="87"/>
        <v>59975</v>
      </c>
      <c r="P1201" s="11" t="s">
        <v>20</v>
      </c>
    </row>
    <row r="1202" spans="1:16" x14ac:dyDescent="0.25">
      <c r="A1202" s="9" t="str">
        <f t="shared" si="88"/>
        <v>2024 ALL D75</v>
      </c>
      <c r="B1202" s="10">
        <f t="shared" si="88"/>
        <v>46104</v>
      </c>
      <c r="C1202" s="10">
        <v>46113</v>
      </c>
      <c r="D1202" s="11">
        <v>3273</v>
      </c>
      <c r="E1202" s="11">
        <v>336</v>
      </c>
      <c r="F1202" s="11">
        <v>4</v>
      </c>
      <c r="G1202" s="19">
        <v>9</v>
      </c>
      <c r="H1202" s="13">
        <v>81588</v>
      </c>
      <c r="I1202" s="11" t="s">
        <v>17</v>
      </c>
      <c r="J1202" s="13">
        <v>21500145</v>
      </c>
      <c r="K1202" s="13" t="s">
        <v>1400</v>
      </c>
      <c r="L1202" s="13" t="s">
        <v>1403</v>
      </c>
      <c r="M1202" s="17">
        <v>239900</v>
      </c>
      <c r="N1202" s="15">
        <v>0.75</v>
      </c>
      <c r="O1202" s="16">
        <f t="shared" si="87"/>
        <v>59975</v>
      </c>
      <c r="P1202" s="11" t="s">
        <v>20</v>
      </c>
    </row>
    <row r="1203" spans="1:16" x14ac:dyDescent="0.25">
      <c r="A1203" s="9" t="str">
        <f t="shared" si="88"/>
        <v>2024 ALL D75</v>
      </c>
      <c r="B1203" s="10">
        <f t="shared" si="88"/>
        <v>46104</v>
      </c>
      <c r="C1203" s="10">
        <v>46113</v>
      </c>
      <c r="D1203" s="11">
        <v>3273</v>
      </c>
      <c r="E1203" s="11">
        <v>336</v>
      </c>
      <c r="F1203" s="11">
        <v>4</v>
      </c>
      <c r="G1203" s="19">
        <v>9</v>
      </c>
      <c r="H1203" s="13">
        <v>81588</v>
      </c>
      <c r="I1203" s="11" t="s">
        <v>17</v>
      </c>
      <c r="J1203" s="13">
        <v>21500154</v>
      </c>
      <c r="K1203" s="13" t="s">
        <v>1400</v>
      </c>
      <c r="L1203" s="13" t="s">
        <v>1404</v>
      </c>
      <c r="M1203" s="17">
        <v>239900</v>
      </c>
      <c r="N1203" s="15">
        <v>0.75</v>
      </c>
      <c r="O1203" s="16">
        <f t="shared" si="87"/>
        <v>59975</v>
      </c>
      <c r="P1203" s="11" t="s">
        <v>20</v>
      </c>
    </row>
    <row r="1204" spans="1:16" x14ac:dyDescent="0.25">
      <c r="A1204" s="9" t="str">
        <f t="shared" si="88"/>
        <v>2024 ALL D75</v>
      </c>
      <c r="B1204" s="10">
        <f t="shared" si="88"/>
        <v>46104</v>
      </c>
      <c r="C1204" s="10">
        <v>46113</v>
      </c>
      <c r="D1204" s="11">
        <v>3273</v>
      </c>
      <c r="E1204" s="11">
        <v>336</v>
      </c>
      <c r="F1204" s="11">
        <v>4</v>
      </c>
      <c r="G1204" s="19">
        <v>9</v>
      </c>
      <c r="H1204" s="13">
        <v>81588</v>
      </c>
      <c r="I1204" s="11" t="s">
        <v>17</v>
      </c>
      <c r="J1204" s="13">
        <v>21500163</v>
      </c>
      <c r="K1204" s="13" t="s">
        <v>1400</v>
      </c>
      <c r="L1204" s="13" t="s">
        <v>1405</v>
      </c>
      <c r="M1204" s="17">
        <v>239900</v>
      </c>
      <c r="N1204" s="15">
        <v>0.75</v>
      </c>
      <c r="O1204" s="16">
        <f t="shared" si="87"/>
        <v>59975</v>
      </c>
      <c r="P1204" s="11" t="s">
        <v>20</v>
      </c>
    </row>
    <row r="1205" spans="1:16" x14ac:dyDescent="0.25">
      <c r="A1205" s="9" t="str">
        <f t="shared" si="88"/>
        <v>2024 ALL D75</v>
      </c>
      <c r="B1205" s="10">
        <f t="shared" si="88"/>
        <v>46104</v>
      </c>
      <c r="C1205" s="10">
        <v>46113</v>
      </c>
      <c r="D1205" s="11">
        <v>3273</v>
      </c>
      <c r="E1205" s="11">
        <v>336</v>
      </c>
      <c r="F1205" s="11">
        <v>4</v>
      </c>
      <c r="G1205" s="19">
        <v>9</v>
      </c>
      <c r="H1205" s="13">
        <v>81588</v>
      </c>
      <c r="I1205" s="11" t="s">
        <v>17</v>
      </c>
      <c r="J1205" s="13">
        <v>21500172</v>
      </c>
      <c r="K1205" s="13" t="s">
        <v>1400</v>
      </c>
      <c r="L1205" s="13" t="s">
        <v>1406</v>
      </c>
      <c r="M1205" s="17">
        <v>239900</v>
      </c>
      <c r="N1205" s="15">
        <v>0.75</v>
      </c>
      <c r="O1205" s="16">
        <f t="shared" si="87"/>
        <v>59975</v>
      </c>
      <c r="P1205" s="11" t="s">
        <v>20</v>
      </c>
    </row>
    <row r="1206" spans="1:16" x14ac:dyDescent="0.25">
      <c r="A1206" s="9" t="str">
        <f t="shared" si="88"/>
        <v>2024 ALL D75</v>
      </c>
      <c r="B1206" s="10">
        <f t="shared" si="88"/>
        <v>46104</v>
      </c>
      <c r="C1206" s="10">
        <v>46113</v>
      </c>
      <c r="D1206" s="11">
        <v>3273</v>
      </c>
      <c r="E1206" s="11">
        <v>336</v>
      </c>
      <c r="F1206" s="11">
        <v>4</v>
      </c>
      <c r="G1206" s="19">
        <v>9</v>
      </c>
      <c r="H1206" s="13">
        <v>81588</v>
      </c>
      <c r="I1206" s="11" t="s">
        <v>17</v>
      </c>
      <c r="J1206" s="13">
        <v>21500181</v>
      </c>
      <c r="K1206" s="13" t="s">
        <v>1400</v>
      </c>
      <c r="L1206" s="13" t="s">
        <v>1407</v>
      </c>
      <c r="M1206" s="17">
        <v>239900</v>
      </c>
      <c r="N1206" s="15">
        <v>0.75</v>
      </c>
      <c r="O1206" s="16">
        <f t="shared" si="87"/>
        <v>59975</v>
      </c>
      <c r="P1206" s="11" t="s">
        <v>20</v>
      </c>
    </row>
    <row r="1207" spans="1:16" x14ac:dyDescent="0.25">
      <c r="A1207" s="9" t="str">
        <f t="shared" si="88"/>
        <v>2024 ALL D75</v>
      </c>
      <c r="B1207" s="10">
        <f t="shared" si="88"/>
        <v>46104</v>
      </c>
      <c r="C1207" s="10">
        <v>46113</v>
      </c>
      <c r="D1207" s="11">
        <v>3273</v>
      </c>
      <c r="E1207" s="11">
        <v>336</v>
      </c>
      <c r="F1207" s="11">
        <v>4</v>
      </c>
      <c r="G1207" s="19">
        <v>9</v>
      </c>
      <c r="H1207" s="13">
        <v>81588</v>
      </c>
      <c r="I1207" s="11" t="s">
        <v>17</v>
      </c>
      <c r="J1207" s="13">
        <v>21500190</v>
      </c>
      <c r="K1207" s="13" t="s">
        <v>1400</v>
      </c>
      <c r="L1207" s="13" t="s">
        <v>1408</v>
      </c>
      <c r="M1207" s="17">
        <v>239900</v>
      </c>
      <c r="N1207" s="15">
        <v>0.75</v>
      </c>
      <c r="O1207" s="16">
        <f t="shared" si="87"/>
        <v>59975</v>
      </c>
      <c r="P1207" s="11" t="s">
        <v>20</v>
      </c>
    </row>
    <row r="1208" spans="1:16" x14ac:dyDescent="0.25">
      <c r="A1208" s="9" t="str">
        <f t="shared" si="88"/>
        <v>2024 ALL D75</v>
      </c>
      <c r="B1208" s="10">
        <f t="shared" si="88"/>
        <v>46104</v>
      </c>
      <c r="C1208" s="10">
        <v>46113</v>
      </c>
      <c r="D1208" s="11">
        <v>3273</v>
      </c>
      <c r="E1208" s="11">
        <v>336</v>
      </c>
      <c r="F1208" s="11">
        <v>4</v>
      </c>
      <c r="G1208" s="19">
        <v>9</v>
      </c>
      <c r="H1208" s="13">
        <v>81588</v>
      </c>
      <c r="I1208" s="11" t="s">
        <v>17</v>
      </c>
      <c r="J1208" s="13">
        <v>21499989</v>
      </c>
      <c r="K1208" s="13" t="s">
        <v>1409</v>
      </c>
      <c r="L1208" s="13" t="s">
        <v>1410</v>
      </c>
      <c r="M1208" s="17">
        <v>159900</v>
      </c>
      <c r="N1208" s="15">
        <v>0.75</v>
      </c>
      <c r="O1208" s="16">
        <f t="shared" si="87"/>
        <v>39975</v>
      </c>
      <c r="P1208" s="11" t="s">
        <v>20</v>
      </c>
    </row>
    <row r="1209" spans="1:16" x14ac:dyDescent="0.25">
      <c r="A1209" s="9" t="str">
        <f t="shared" si="88"/>
        <v>2024 ALL D75</v>
      </c>
      <c r="B1209" s="10">
        <f t="shared" si="88"/>
        <v>46104</v>
      </c>
      <c r="C1209" s="10">
        <v>46113</v>
      </c>
      <c r="D1209" s="11">
        <v>3273</v>
      </c>
      <c r="E1209" s="11">
        <v>336</v>
      </c>
      <c r="F1209" s="11">
        <v>4</v>
      </c>
      <c r="G1209" s="19">
        <v>9</v>
      </c>
      <c r="H1209" s="13">
        <v>81588</v>
      </c>
      <c r="I1209" s="11" t="s">
        <v>17</v>
      </c>
      <c r="J1209" s="13">
        <v>21499998</v>
      </c>
      <c r="K1209" s="13" t="s">
        <v>1409</v>
      </c>
      <c r="L1209" s="13" t="s">
        <v>1411</v>
      </c>
      <c r="M1209" s="17">
        <v>159900</v>
      </c>
      <c r="N1209" s="15">
        <v>0.75</v>
      </c>
      <c r="O1209" s="16">
        <f t="shared" si="87"/>
        <v>39975</v>
      </c>
      <c r="P1209" s="11" t="s">
        <v>20</v>
      </c>
    </row>
    <row r="1210" spans="1:16" x14ac:dyDescent="0.25">
      <c r="A1210" s="9" t="str">
        <f t="shared" si="88"/>
        <v>2024 ALL D75</v>
      </c>
      <c r="B1210" s="10">
        <f t="shared" si="88"/>
        <v>46104</v>
      </c>
      <c r="C1210" s="10">
        <v>46113</v>
      </c>
      <c r="D1210" s="11">
        <v>3273</v>
      </c>
      <c r="E1210" s="11">
        <v>336</v>
      </c>
      <c r="F1210" s="11">
        <v>4</v>
      </c>
      <c r="G1210" s="19">
        <v>9</v>
      </c>
      <c r="H1210" s="13">
        <v>81588</v>
      </c>
      <c r="I1210" s="11" t="s">
        <v>17</v>
      </c>
      <c r="J1210" s="13">
        <v>21500065</v>
      </c>
      <c r="K1210" s="13" t="s">
        <v>1409</v>
      </c>
      <c r="L1210" s="13" t="s">
        <v>1412</v>
      </c>
      <c r="M1210" s="17">
        <v>159900</v>
      </c>
      <c r="N1210" s="15">
        <v>0.75</v>
      </c>
      <c r="O1210" s="16">
        <f t="shared" si="87"/>
        <v>39975</v>
      </c>
      <c r="P1210" s="11" t="s">
        <v>20</v>
      </c>
    </row>
    <row r="1211" spans="1:16" x14ac:dyDescent="0.25">
      <c r="A1211" s="9" t="str">
        <f t="shared" si="88"/>
        <v>2024 ALL D75</v>
      </c>
      <c r="B1211" s="10">
        <f t="shared" si="88"/>
        <v>46104</v>
      </c>
      <c r="C1211" s="10">
        <v>46113</v>
      </c>
      <c r="D1211" s="11">
        <v>3273</v>
      </c>
      <c r="E1211" s="11">
        <v>336</v>
      </c>
      <c r="F1211" s="11">
        <v>4</v>
      </c>
      <c r="G1211" s="19">
        <v>9</v>
      </c>
      <c r="H1211" s="13">
        <v>81588</v>
      </c>
      <c r="I1211" s="11" t="s">
        <v>17</v>
      </c>
      <c r="J1211" s="13">
        <v>21500074</v>
      </c>
      <c r="K1211" s="13" t="s">
        <v>1409</v>
      </c>
      <c r="L1211" s="13" t="s">
        <v>1413</v>
      </c>
      <c r="M1211" s="17">
        <v>159900</v>
      </c>
      <c r="N1211" s="15">
        <v>0.75</v>
      </c>
      <c r="O1211" s="16">
        <f t="shared" si="87"/>
        <v>39975</v>
      </c>
      <c r="P1211" s="11" t="s">
        <v>20</v>
      </c>
    </row>
    <row r="1212" spans="1:16" x14ac:dyDescent="0.25">
      <c r="A1212" s="9" t="str">
        <f t="shared" si="88"/>
        <v>2024 ALL D75</v>
      </c>
      <c r="B1212" s="10">
        <f t="shared" si="88"/>
        <v>46104</v>
      </c>
      <c r="C1212" s="10">
        <v>46113</v>
      </c>
      <c r="D1212" s="11">
        <v>3273</v>
      </c>
      <c r="E1212" s="11">
        <v>336</v>
      </c>
      <c r="F1212" s="11">
        <v>4</v>
      </c>
      <c r="G1212" s="19">
        <v>9</v>
      </c>
      <c r="H1212" s="13">
        <v>81588</v>
      </c>
      <c r="I1212" s="11" t="s">
        <v>17</v>
      </c>
      <c r="J1212" s="13">
        <v>21500083</v>
      </c>
      <c r="K1212" s="13" t="s">
        <v>1409</v>
      </c>
      <c r="L1212" s="13" t="s">
        <v>1414</v>
      </c>
      <c r="M1212" s="17">
        <v>159900</v>
      </c>
      <c r="N1212" s="15">
        <v>0.75</v>
      </c>
      <c r="O1212" s="16">
        <f t="shared" si="87"/>
        <v>39975</v>
      </c>
      <c r="P1212" s="11" t="s">
        <v>20</v>
      </c>
    </row>
    <row r="1213" spans="1:16" x14ac:dyDescent="0.25">
      <c r="A1213" s="9" t="str">
        <f t="shared" si="88"/>
        <v>2024 ALL D75</v>
      </c>
      <c r="B1213" s="10">
        <f t="shared" si="88"/>
        <v>46104</v>
      </c>
      <c r="C1213" s="10">
        <v>46113</v>
      </c>
      <c r="D1213" s="11">
        <v>3273</v>
      </c>
      <c r="E1213" s="11">
        <v>336</v>
      </c>
      <c r="F1213" s="11">
        <v>4</v>
      </c>
      <c r="G1213" s="19">
        <v>9</v>
      </c>
      <c r="H1213" s="13">
        <v>81588</v>
      </c>
      <c r="I1213" s="11" t="s">
        <v>17</v>
      </c>
      <c r="J1213" s="13">
        <v>21500092</v>
      </c>
      <c r="K1213" s="13" t="s">
        <v>1409</v>
      </c>
      <c r="L1213" s="13" t="s">
        <v>1415</v>
      </c>
      <c r="M1213" s="17">
        <v>159900</v>
      </c>
      <c r="N1213" s="15">
        <v>0.75</v>
      </c>
      <c r="O1213" s="16">
        <f t="shared" si="87"/>
        <v>39975</v>
      </c>
      <c r="P1213" s="11" t="s">
        <v>20</v>
      </c>
    </row>
    <row r="1214" spans="1:16" x14ac:dyDescent="0.25">
      <c r="A1214" s="9" t="str">
        <f t="shared" si="88"/>
        <v>2024 ALL D75</v>
      </c>
      <c r="B1214" s="10">
        <f t="shared" si="88"/>
        <v>46104</v>
      </c>
      <c r="C1214" s="10">
        <v>46113</v>
      </c>
      <c r="D1214" s="11">
        <v>3273</v>
      </c>
      <c r="E1214" s="11">
        <v>336</v>
      </c>
      <c r="F1214" s="11">
        <v>4</v>
      </c>
      <c r="G1214" s="19">
        <v>9</v>
      </c>
      <c r="H1214" s="13">
        <v>81588</v>
      </c>
      <c r="I1214" s="11" t="s">
        <v>17</v>
      </c>
      <c r="J1214" s="13">
        <v>21500109</v>
      </c>
      <c r="K1214" s="13" t="s">
        <v>1409</v>
      </c>
      <c r="L1214" s="13" t="s">
        <v>1416</v>
      </c>
      <c r="M1214" s="17">
        <v>159900</v>
      </c>
      <c r="N1214" s="15">
        <v>0.75</v>
      </c>
      <c r="O1214" s="16">
        <f t="shared" si="87"/>
        <v>39975</v>
      </c>
      <c r="P1214" s="11" t="s">
        <v>20</v>
      </c>
    </row>
    <row r="1215" spans="1:16" x14ac:dyDescent="0.25">
      <c r="A1215" s="9" t="str">
        <f t="shared" si="88"/>
        <v>2024 ALL D75</v>
      </c>
      <c r="B1215" s="10">
        <f t="shared" si="88"/>
        <v>46104</v>
      </c>
      <c r="C1215" s="10">
        <v>46113</v>
      </c>
      <c r="D1215" s="11">
        <v>3273</v>
      </c>
      <c r="E1215" s="11">
        <v>336</v>
      </c>
      <c r="F1215" s="11">
        <v>4</v>
      </c>
      <c r="G1215" s="19">
        <v>9</v>
      </c>
      <c r="H1215" s="13">
        <v>81588</v>
      </c>
      <c r="I1215" s="11" t="s">
        <v>17</v>
      </c>
      <c r="J1215" s="13">
        <v>21500118</v>
      </c>
      <c r="K1215" s="13" t="s">
        <v>1409</v>
      </c>
      <c r="L1215" s="13" t="s">
        <v>1417</v>
      </c>
      <c r="M1215" s="17">
        <v>159900</v>
      </c>
      <c r="N1215" s="15">
        <v>0.75</v>
      </c>
      <c r="O1215" s="16">
        <f t="shared" si="87"/>
        <v>39975</v>
      </c>
      <c r="P1215" s="11" t="s">
        <v>20</v>
      </c>
    </row>
    <row r="1216" spans="1:16" x14ac:dyDescent="0.25">
      <c r="A1216" s="9" t="str">
        <f t="shared" si="88"/>
        <v>2024 ALL D75</v>
      </c>
      <c r="B1216" s="10">
        <f t="shared" si="88"/>
        <v>46104</v>
      </c>
      <c r="C1216" s="10">
        <v>46113</v>
      </c>
      <c r="D1216" s="11">
        <v>3273</v>
      </c>
      <c r="E1216" s="11">
        <v>336</v>
      </c>
      <c r="F1216" s="11">
        <v>4</v>
      </c>
      <c r="G1216" s="19">
        <v>4</v>
      </c>
      <c r="H1216" s="13">
        <v>81588</v>
      </c>
      <c r="I1216" s="11" t="s">
        <v>17</v>
      </c>
      <c r="J1216" s="13">
        <v>19127705</v>
      </c>
      <c r="K1216" s="13" t="s">
        <v>1418</v>
      </c>
      <c r="L1216" s="13" t="s">
        <v>1419</v>
      </c>
      <c r="M1216" s="17">
        <v>239900</v>
      </c>
      <c r="N1216" s="15">
        <v>0.75</v>
      </c>
      <c r="O1216" s="16">
        <f t="shared" si="87"/>
        <v>59975</v>
      </c>
      <c r="P1216" s="11" t="s">
        <v>20</v>
      </c>
    </row>
    <row r="1217" spans="1:16" x14ac:dyDescent="0.25">
      <c r="A1217" s="9" t="str">
        <f t="shared" si="88"/>
        <v>2024 ALL D75</v>
      </c>
      <c r="B1217" s="10">
        <f t="shared" si="88"/>
        <v>46104</v>
      </c>
      <c r="C1217" s="10">
        <v>46113</v>
      </c>
      <c r="D1217" s="11">
        <v>3273</v>
      </c>
      <c r="E1217" s="11">
        <v>336</v>
      </c>
      <c r="F1217" s="11">
        <v>4</v>
      </c>
      <c r="G1217" s="19">
        <v>4</v>
      </c>
      <c r="H1217" s="13">
        <v>81588</v>
      </c>
      <c r="I1217" s="11" t="s">
        <v>17</v>
      </c>
      <c r="J1217" s="13">
        <v>19127714</v>
      </c>
      <c r="K1217" s="13" t="s">
        <v>1418</v>
      </c>
      <c r="L1217" s="13" t="s">
        <v>1420</v>
      </c>
      <c r="M1217" s="17">
        <v>239900</v>
      </c>
      <c r="N1217" s="15">
        <v>0.75</v>
      </c>
      <c r="O1217" s="16">
        <f t="shared" si="87"/>
        <v>59975</v>
      </c>
      <c r="P1217" s="11" t="s">
        <v>20</v>
      </c>
    </row>
    <row r="1218" spans="1:16" x14ac:dyDescent="0.25">
      <c r="A1218" s="9" t="str">
        <f t="shared" si="88"/>
        <v>2024 ALL D75</v>
      </c>
      <c r="B1218" s="10">
        <f t="shared" si="88"/>
        <v>46104</v>
      </c>
      <c r="C1218" s="10">
        <v>46113</v>
      </c>
      <c r="D1218" s="11">
        <v>3273</v>
      </c>
      <c r="E1218" s="11">
        <v>336</v>
      </c>
      <c r="F1218" s="11">
        <v>4</v>
      </c>
      <c r="G1218" s="19">
        <v>4</v>
      </c>
      <c r="H1218" s="13">
        <v>81588</v>
      </c>
      <c r="I1218" s="11" t="s">
        <v>17</v>
      </c>
      <c r="J1218" s="13">
        <v>19127723</v>
      </c>
      <c r="K1218" s="13" t="s">
        <v>1418</v>
      </c>
      <c r="L1218" s="13" t="s">
        <v>1421</v>
      </c>
      <c r="M1218" s="17">
        <v>239900</v>
      </c>
      <c r="N1218" s="15">
        <v>0.75</v>
      </c>
      <c r="O1218" s="16">
        <f t="shared" ref="O1218:O1281" si="89">M1218*(1-N1218)</f>
        <v>59975</v>
      </c>
      <c r="P1218" s="11" t="s">
        <v>20</v>
      </c>
    </row>
    <row r="1219" spans="1:16" x14ac:dyDescent="0.25">
      <c r="A1219" s="9" t="str">
        <f t="shared" si="88"/>
        <v>2024 ALL D75</v>
      </c>
      <c r="B1219" s="10">
        <f t="shared" si="88"/>
        <v>46104</v>
      </c>
      <c r="C1219" s="10">
        <v>46113</v>
      </c>
      <c r="D1219" s="11">
        <v>3273</v>
      </c>
      <c r="E1219" s="11">
        <v>336</v>
      </c>
      <c r="F1219" s="11">
        <v>4</v>
      </c>
      <c r="G1219" s="19">
        <v>4</v>
      </c>
      <c r="H1219" s="13">
        <v>81588</v>
      </c>
      <c r="I1219" s="11" t="s">
        <v>17</v>
      </c>
      <c r="J1219" s="13">
        <v>19127732</v>
      </c>
      <c r="K1219" s="13" t="s">
        <v>1418</v>
      </c>
      <c r="L1219" s="13" t="s">
        <v>1422</v>
      </c>
      <c r="M1219" s="17">
        <v>239900</v>
      </c>
      <c r="N1219" s="15">
        <v>0.75</v>
      </c>
      <c r="O1219" s="16">
        <f t="shared" si="89"/>
        <v>59975</v>
      </c>
      <c r="P1219" s="11" t="s">
        <v>20</v>
      </c>
    </row>
    <row r="1220" spans="1:16" x14ac:dyDescent="0.25">
      <c r="A1220" s="9" t="str">
        <f t="shared" si="88"/>
        <v>2024 ALL D75</v>
      </c>
      <c r="B1220" s="10">
        <f t="shared" si="88"/>
        <v>46104</v>
      </c>
      <c r="C1220" s="10">
        <v>46113</v>
      </c>
      <c r="D1220" s="11">
        <v>3273</v>
      </c>
      <c r="E1220" s="11">
        <v>336</v>
      </c>
      <c r="F1220" s="11">
        <v>4</v>
      </c>
      <c r="G1220" s="19">
        <v>4</v>
      </c>
      <c r="H1220" s="13">
        <v>81588</v>
      </c>
      <c r="I1220" s="11" t="s">
        <v>17</v>
      </c>
      <c r="J1220" s="13">
        <v>19127741</v>
      </c>
      <c r="K1220" s="13" t="s">
        <v>1418</v>
      </c>
      <c r="L1220" s="13" t="s">
        <v>1423</v>
      </c>
      <c r="M1220" s="17">
        <v>239900</v>
      </c>
      <c r="N1220" s="15">
        <v>0.75</v>
      </c>
      <c r="O1220" s="16">
        <f t="shared" si="89"/>
        <v>59975</v>
      </c>
      <c r="P1220" s="11" t="s">
        <v>20</v>
      </c>
    </row>
    <row r="1221" spans="1:16" x14ac:dyDescent="0.25">
      <c r="A1221" s="9" t="str">
        <f t="shared" si="88"/>
        <v>2024 ALL D75</v>
      </c>
      <c r="B1221" s="10">
        <f t="shared" si="88"/>
        <v>46104</v>
      </c>
      <c r="C1221" s="10">
        <v>46113</v>
      </c>
      <c r="D1221" s="11">
        <v>3273</v>
      </c>
      <c r="E1221" s="11">
        <v>336</v>
      </c>
      <c r="F1221" s="11">
        <v>4</v>
      </c>
      <c r="G1221" s="19">
        <v>11</v>
      </c>
      <c r="H1221" s="13">
        <v>81676</v>
      </c>
      <c r="I1221" s="11" t="s">
        <v>17</v>
      </c>
      <c r="J1221" s="13">
        <v>23127537</v>
      </c>
      <c r="K1221" s="13" t="s">
        <v>1424</v>
      </c>
      <c r="L1221" s="13" t="s">
        <v>1425</v>
      </c>
      <c r="M1221" s="21">
        <v>139900</v>
      </c>
      <c r="N1221" s="15">
        <v>0.75</v>
      </c>
      <c r="O1221" s="16">
        <f t="shared" si="89"/>
        <v>34975</v>
      </c>
      <c r="P1221" s="11" t="s">
        <v>20</v>
      </c>
    </row>
    <row r="1222" spans="1:16" x14ac:dyDescent="0.25">
      <c r="A1222" s="9" t="str">
        <f t="shared" si="88"/>
        <v>2024 ALL D75</v>
      </c>
      <c r="B1222" s="10">
        <f t="shared" si="88"/>
        <v>46104</v>
      </c>
      <c r="C1222" s="10">
        <v>46113</v>
      </c>
      <c r="D1222" s="11">
        <v>3273</v>
      </c>
      <c r="E1222" s="11">
        <v>336</v>
      </c>
      <c r="F1222" s="11">
        <v>4</v>
      </c>
      <c r="G1222" s="19">
        <v>11</v>
      </c>
      <c r="H1222" s="13">
        <v>81676</v>
      </c>
      <c r="I1222" s="11" t="s">
        <v>17</v>
      </c>
      <c r="J1222" s="13">
        <v>23127546</v>
      </c>
      <c r="K1222" s="13" t="s">
        <v>1424</v>
      </c>
      <c r="L1222" s="13" t="s">
        <v>1426</v>
      </c>
      <c r="M1222" s="21">
        <v>139900</v>
      </c>
      <c r="N1222" s="15">
        <v>0.75</v>
      </c>
      <c r="O1222" s="16">
        <f t="shared" si="89"/>
        <v>34975</v>
      </c>
      <c r="P1222" s="11" t="s">
        <v>20</v>
      </c>
    </row>
    <row r="1223" spans="1:16" x14ac:dyDescent="0.25">
      <c r="A1223" s="9" t="str">
        <f t="shared" si="88"/>
        <v>2024 ALL D75</v>
      </c>
      <c r="B1223" s="10">
        <f t="shared" si="88"/>
        <v>46104</v>
      </c>
      <c r="C1223" s="10">
        <v>46113</v>
      </c>
      <c r="D1223" s="11">
        <v>3273</v>
      </c>
      <c r="E1223" s="11">
        <v>336</v>
      </c>
      <c r="F1223" s="11">
        <v>4</v>
      </c>
      <c r="G1223" s="19">
        <v>11</v>
      </c>
      <c r="H1223" s="13">
        <v>81676</v>
      </c>
      <c r="I1223" s="11" t="s">
        <v>17</v>
      </c>
      <c r="J1223" s="13">
        <v>23127715</v>
      </c>
      <c r="K1223" s="13" t="s">
        <v>1424</v>
      </c>
      <c r="L1223" s="13" t="s">
        <v>1427</v>
      </c>
      <c r="M1223" s="21">
        <v>139900</v>
      </c>
      <c r="N1223" s="15">
        <v>0.75</v>
      </c>
      <c r="O1223" s="16">
        <f t="shared" si="89"/>
        <v>34975</v>
      </c>
      <c r="P1223" s="11" t="s">
        <v>20</v>
      </c>
    </row>
    <row r="1224" spans="1:16" x14ac:dyDescent="0.25">
      <c r="A1224" s="9" t="str">
        <f t="shared" si="88"/>
        <v>2024 ALL D75</v>
      </c>
      <c r="B1224" s="10">
        <f t="shared" si="88"/>
        <v>46104</v>
      </c>
      <c r="C1224" s="10">
        <v>46113</v>
      </c>
      <c r="D1224" s="11">
        <v>3273</v>
      </c>
      <c r="E1224" s="11">
        <v>336</v>
      </c>
      <c r="F1224" s="11">
        <v>4</v>
      </c>
      <c r="G1224" s="19">
        <v>11</v>
      </c>
      <c r="H1224" s="13">
        <v>81676</v>
      </c>
      <c r="I1224" s="11" t="s">
        <v>17</v>
      </c>
      <c r="J1224" s="13">
        <v>23127975</v>
      </c>
      <c r="K1224" s="13" t="s">
        <v>1424</v>
      </c>
      <c r="L1224" s="13" t="s">
        <v>1428</v>
      </c>
      <c r="M1224" s="21">
        <v>139900</v>
      </c>
      <c r="N1224" s="15">
        <v>0.75</v>
      </c>
      <c r="O1224" s="16">
        <f t="shared" si="89"/>
        <v>34975</v>
      </c>
      <c r="P1224" s="11" t="s">
        <v>20</v>
      </c>
    </row>
    <row r="1225" spans="1:16" x14ac:dyDescent="0.25">
      <c r="A1225" s="9" t="str">
        <f t="shared" si="88"/>
        <v>2024 ALL D75</v>
      </c>
      <c r="B1225" s="10">
        <f t="shared" si="88"/>
        <v>46104</v>
      </c>
      <c r="C1225" s="10">
        <v>46113</v>
      </c>
      <c r="D1225" s="11">
        <v>3273</v>
      </c>
      <c r="E1225" s="11">
        <v>336</v>
      </c>
      <c r="F1225" s="11">
        <v>4</v>
      </c>
      <c r="G1225" s="19">
        <v>11</v>
      </c>
      <c r="H1225" s="13">
        <v>81676</v>
      </c>
      <c r="I1225" s="11" t="s">
        <v>17</v>
      </c>
      <c r="J1225" s="13">
        <v>23127984</v>
      </c>
      <c r="K1225" s="13" t="s">
        <v>1424</v>
      </c>
      <c r="L1225" s="13" t="s">
        <v>1429</v>
      </c>
      <c r="M1225" s="21">
        <v>139900</v>
      </c>
      <c r="N1225" s="15">
        <v>0.75</v>
      </c>
      <c r="O1225" s="16">
        <f t="shared" si="89"/>
        <v>34975</v>
      </c>
      <c r="P1225" s="11" t="s">
        <v>20</v>
      </c>
    </row>
    <row r="1226" spans="1:16" x14ac:dyDescent="0.25">
      <c r="A1226" s="9" t="str">
        <f t="shared" si="88"/>
        <v>2024 ALL D75</v>
      </c>
      <c r="B1226" s="10">
        <f t="shared" si="88"/>
        <v>46104</v>
      </c>
      <c r="C1226" s="10">
        <v>46113</v>
      </c>
      <c r="D1226" s="11">
        <v>3273</v>
      </c>
      <c r="E1226" s="11">
        <v>336</v>
      </c>
      <c r="F1226" s="11">
        <v>4</v>
      </c>
      <c r="G1226" s="19">
        <v>11</v>
      </c>
      <c r="H1226" s="13">
        <v>81676</v>
      </c>
      <c r="I1226" s="11" t="s">
        <v>17</v>
      </c>
      <c r="J1226" s="13">
        <v>23127993</v>
      </c>
      <c r="K1226" s="13" t="s">
        <v>1424</v>
      </c>
      <c r="L1226" s="13" t="s">
        <v>1430</v>
      </c>
      <c r="M1226" s="21">
        <v>139900</v>
      </c>
      <c r="N1226" s="15">
        <v>0.75</v>
      </c>
      <c r="O1226" s="16">
        <f t="shared" si="89"/>
        <v>34975</v>
      </c>
      <c r="P1226" s="11" t="s">
        <v>20</v>
      </c>
    </row>
    <row r="1227" spans="1:16" x14ac:dyDescent="0.25">
      <c r="A1227" s="9" t="str">
        <f t="shared" si="88"/>
        <v>2024 ALL D75</v>
      </c>
      <c r="B1227" s="10">
        <f t="shared" si="88"/>
        <v>46104</v>
      </c>
      <c r="C1227" s="10">
        <v>46113</v>
      </c>
      <c r="D1227" s="11">
        <v>3273</v>
      </c>
      <c r="E1227" s="11">
        <v>336</v>
      </c>
      <c r="F1227" s="11">
        <v>4</v>
      </c>
      <c r="G1227" s="19">
        <v>11</v>
      </c>
      <c r="H1227" s="13">
        <v>81676</v>
      </c>
      <c r="I1227" s="11" t="s">
        <v>17</v>
      </c>
      <c r="J1227" s="13">
        <v>23128009</v>
      </c>
      <c r="K1227" s="13" t="s">
        <v>1431</v>
      </c>
      <c r="L1227" s="13" t="s">
        <v>1432</v>
      </c>
      <c r="M1227" s="21">
        <v>139900</v>
      </c>
      <c r="N1227" s="15">
        <v>0.75</v>
      </c>
      <c r="O1227" s="16">
        <f t="shared" si="89"/>
        <v>34975</v>
      </c>
      <c r="P1227" s="11" t="s">
        <v>20</v>
      </c>
    </row>
    <row r="1228" spans="1:16" x14ac:dyDescent="0.25">
      <c r="A1228" s="9" t="str">
        <f t="shared" si="88"/>
        <v>2024 ALL D75</v>
      </c>
      <c r="B1228" s="10">
        <f t="shared" si="88"/>
        <v>46104</v>
      </c>
      <c r="C1228" s="10">
        <v>46113</v>
      </c>
      <c r="D1228" s="11">
        <v>3273</v>
      </c>
      <c r="E1228" s="11">
        <v>336</v>
      </c>
      <c r="F1228" s="11">
        <v>4</v>
      </c>
      <c r="G1228" s="19">
        <v>11</v>
      </c>
      <c r="H1228" s="13">
        <v>81676</v>
      </c>
      <c r="I1228" s="11" t="s">
        <v>17</v>
      </c>
      <c r="J1228" s="13">
        <v>23128018</v>
      </c>
      <c r="K1228" s="13" t="s">
        <v>1431</v>
      </c>
      <c r="L1228" s="13" t="s">
        <v>1433</v>
      </c>
      <c r="M1228" s="21">
        <v>139900</v>
      </c>
      <c r="N1228" s="15">
        <v>0.75</v>
      </c>
      <c r="O1228" s="16">
        <f t="shared" si="89"/>
        <v>34975</v>
      </c>
      <c r="P1228" s="11" t="s">
        <v>20</v>
      </c>
    </row>
    <row r="1229" spans="1:16" x14ac:dyDescent="0.25">
      <c r="A1229" s="9" t="str">
        <f t="shared" si="88"/>
        <v>2024 ALL D75</v>
      </c>
      <c r="B1229" s="10">
        <f t="shared" si="88"/>
        <v>46104</v>
      </c>
      <c r="C1229" s="10">
        <v>46113</v>
      </c>
      <c r="D1229" s="11">
        <v>3273</v>
      </c>
      <c r="E1229" s="11">
        <v>336</v>
      </c>
      <c r="F1229" s="11">
        <v>4</v>
      </c>
      <c r="G1229" s="19">
        <v>11</v>
      </c>
      <c r="H1229" s="13">
        <v>81676</v>
      </c>
      <c r="I1229" s="11" t="s">
        <v>17</v>
      </c>
      <c r="J1229" s="13">
        <v>23128027</v>
      </c>
      <c r="K1229" s="13" t="s">
        <v>1431</v>
      </c>
      <c r="L1229" s="13" t="s">
        <v>1434</v>
      </c>
      <c r="M1229" s="21">
        <v>139900</v>
      </c>
      <c r="N1229" s="15">
        <v>0.75</v>
      </c>
      <c r="O1229" s="16">
        <f t="shared" si="89"/>
        <v>34975</v>
      </c>
      <c r="P1229" s="11" t="s">
        <v>20</v>
      </c>
    </row>
    <row r="1230" spans="1:16" x14ac:dyDescent="0.25">
      <c r="A1230" s="9" t="str">
        <f t="shared" si="88"/>
        <v>2024 ALL D75</v>
      </c>
      <c r="B1230" s="10">
        <f t="shared" si="88"/>
        <v>46104</v>
      </c>
      <c r="C1230" s="10">
        <v>46113</v>
      </c>
      <c r="D1230" s="11">
        <v>3273</v>
      </c>
      <c r="E1230" s="11">
        <v>336</v>
      </c>
      <c r="F1230" s="11">
        <v>4</v>
      </c>
      <c r="G1230" s="19">
        <v>11</v>
      </c>
      <c r="H1230" s="13">
        <v>81676</v>
      </c>
      <c r="I1230" s="11" t="s">
        <v>17</v>
      </c>
      <c r="J1230" s="13">
        <v>23128036</v>
      </c>
      <c r="K1230" s="13" t="s">
        <v>1431</v>
      </c>
      <c r="L1230" s="13" t="s">
        <v>1435</v>
      </c>
      <c r="M1230" s="21">
        <v>139900</v>
      </c>
      <c r="N1230" s="15">
        <v>0.75</v>
      </c>
      <c r="O1230" s="16">
        <f t="shared" si="89"/>
        <v>34975</v>
      </c>
      <c r="P1230" s="11" t="s">
        <v>20</v>
      </c>
    </row>
    <row r="1231" spans="1:16" x14ac:dyDescent="0.25">
      <c r="A1231" s="9" t="str">
        <f t="shared" si="88"/>
        <v>2024 ALL D75</v>
      </c>
      <c r="B1231" s="10">
        <f t="shared" si="88"/>
        <v>46104</v>
      </c>
      <c r="C1231" s="10">
        <v>46113</v>
      </c>
      <c r="D1231" s="11">
        <v>3273</v>
      </c>
      <c r="E1231" s="11">
        <v>336</v>
      </c>
      <c r="F1231" s="11">
        <v>4</v>
      </c>
      <c r="G1231" s="19">
        <v>11</v>
      </c>
      <c r="H1231" s="13">
        <v>81676</v>
      </c>
      <c r="I1231" s="11" t="s">
        <v>17</v>
      </c>
      <c r="J1231" s="13">
        <v>23128045</v>
      </c>
      <c r="K1231" s="13" t="s">
        <v>1431</v>
      </c>
      <c r="L1231" s="13" t="s">
        <v>1436</v>
      </c>
      <c r="M1231" s="21">
        <v>139900</v>
      </c>
      <c r="N1231" s="15">
        <v>0.75</v>
      </c>
      <c r="O1231" s="16">
        <f t="shared" si="89"/>
        <v>34975</v>
      </c>
      <c r="P1231" s="11" t="s">
        <v>20</v>
      </c>
    </row>
    <row r="1232" spans="1:16" x14ac:dyDescent="0.25">
      <c r="A1232" s="9" t="str">
        <f t="shared" si="88"/>
        <v>2024 ALL D75</v>
      </c>
      <c r="B1232" s="10">
        <f t="shared" si="88"/>
        <v>46104</v>
      </c>
      <c r="C1232" s="10">
        <v>46113</v>
      </c>
      <c r="D1232" s="11">
        <v>3273</v>
      </c>
      <c r="E1232" s="11">
        <v>336</v>
      </c>
      <c r="F1232" s="11">
        <v>4</v>
      </c>
      <c r="G1232" s="19">
        <v>11</v>
      </c>
      <c r="H1232" s="13">
        <v>81676</v>
      </c>
      <c r="I1232" s="11" t="s">
        <v>17</v>
      </c>
      <c r="J1232" s="13">
        <v>23128054</v>
      </c>
      <c r="K1232" s="13" t="s">
        <v>1431</v>
      </c>
      <c r="L1232" s="13" t="s">
        <v>1437</v>
      </c>
      <c r="M1232" s="21">
        <v>139900</v>
      </c>
      <c r="N1232" s="15">
        <v>0.75</v>
      </c>
      <c r="O1232" s="16">
        <f t="shared" si="89"/>
        <v>34975</v>
      </c>
      <c r="P1232" s="11" t="s">
        <v>20</v>
      </c>
    </row>
    <row r="1233" spans="1:16" x14ac:dyDescent="0.25">
      <c r="A1233" s="9" t="str">
        <f t="shared" si="88"/>
        <v>2024 ALL D75</v>
      </c>
      <c r="B1233" s="10">
        <f t="shared" si="88"/>
        <v>46104</v>
      </c>
      <c r="C1233" s="10">
        <v>46113</v>
      </c>
      <c r="D1233" s="11">
        <v>3273</v>
      </c>
      <c r="E1233" s="11">
        <v>336</v>
      </c>
      <c r="F1233" s="11">
        <v>4</v>
      </c>
      <c r="G1233" s="19">
        <v>11</v>
      </c>
      <c r="H1233" s="13">
        <v>81676</v>
      </c>
      <c r="I1233" s="11" t="s">
        <v>17</v>
      </c>
      <c r="J1233" s="13">
        <v>23128063</v>
      </c>
      <c r="K1233" s="13" t="s">
        <v>1431</v>
      </c>
      <c r="L1233" s="13" t="s">
        <v>1438</v>
      </c>
      <c r="M1233" s="21">
        <v>139900</v>
      </c>
      <c r="N1233" s="15">
        <v>0.75</v>
      </c>
      <c r="O1233" s="16">
        <f t="shared" si="89"/>
        <v>34975</v>
      </c>
      <c r="P1233" s="11" t="s">
        <v>20</v>
      </c>
    </row>
    <row r="1234" spans="1:16" x14ac:dyDescent="0.25">
      <c r="A1234" s="9" t="str">
        <f t="shared" si="88"/>
        <v>2024 ALL D75</v>
      </c>
      <c r="B1234" s="10">
        <f t="shared" si="88"/>
        <v>46104</v>
      </c>
      <c r="C1234" s="10">
        <v>46113</v>
      </c>
      <c r="D1234" s="11">
        <v>3273</v>
      </c>
      <c r="E1234" s="11">
        <v>336</v>
      </c>
      <c r="F1234" s="11">
        <v>4</v>
      </c>
      <c r="G1234" s="19">
        <v>11</v>
      </c>
      <c r="H1234" s="13">
        <v>81676</v>
      </c>
      <c r="I1234" s="11" t="s">
        <v>17</v>
      </c>
      <c r="J1234" s="13">
        <v>23128072</v>
      </c>
      <c r="K1234" s="13" t="s">
        <v>1431</v>
      </c>
      <c r="L1234" s="13" t="s">
        <v>1439</v>
      </c>
      <c r="M1234" s="21">
        <v>139900</v>
      </c>
      <c r="N1234" s="15">
        <v>0.75</v>
      </c>
      <c r="O1234" s="16">
        <f t="shared" si="89"/>
        <v>34975</v>
      </c>
      <c r="P1234" s="11" t="s">
        <v>20</v>
      </c>
    </row>
    <row r="1235" spans="1:16" x14ac:dyDescent="0.25">
      <c r="A1235" s="9" t="str">
        <f t="shared" si="88"/>
        <v>2024 ALL D75</v>
      </c>
      <c r="B1235" s="10">
        <f t="shared" si="88"/>
        <v>46104</v>
      </c>
      <c r="C1235" s="10">
        <v>46113</v>
      </c>
      <c r="D1235" s="11">
        <v>3273</v>
      </c>
      <c r="E1235" s="11">
        <v>336</v>
      </c>
      <c r="F1235" s="11">
        <v>4</v>
      </c>
      <c r="G1235" s="19">
        <v>6</v>
      </c>
      <c r="H1235" s="13">
        <v>81676</v>
      </c>
      <c r="I1235" s="11" t="s">
        <v>17</v>
      </c>
      <c r="J1235" s="13">
        <v>23128081</v>
      </c>
      <c r="K1235" s="13" t="s">
        <v>1440</v>
      </c>
      <c r="L1235" s="13" t="s">
        <v>1441</v>
      </c>
      <c r="M1235" s="21">
        <v>129900</v>
      </c>
      <c r="N1235" s="15">
        <v>0.75</v>
      </c>
      <c r="O1235" s="16">
        <f t="shared" si="89"/>
        <v>32475</v>
      </c>
      <c r="P1235" s="11" t="s">
        <v>20</v>
      </c>
    </row>
    <row r="1236" spans="1:16" x14ac:dyDescent="0.25">
      <c r="A1236" s="9" t="str">
        <f t="shared" si="88"/>
        <v>2024 ALL D75</v>
      </c>
      <c r="B1236" s="10">
        <f t="shared" si="88"/>
        <v>46104</v>
      </c>
      <c r="C1236" s="10">
        <v>46113</v>
      </c>
      <c r="D1236" s="11">
        <v>3273</v>
      </c>
      <c r="E1236" s="11">
        <v>336</v>
      </c>
      <c r="F1236" s="11">
        <v>4</v>
      </c>
      <c r="G1236" s="19">
        <v>6</v>
      </c>
      <c r="H1236" s="13">
        <v>81676</v>
      </c>
      <c r="I1236" s="11" t="s">
        <v>17</v>
      </c>
      <c r="J1236" s="13">
        <v>23128090</v>
      </c>
      <c r="K1236" s="13" t="s">
        <v>1440</v>
      </c>
      <c r="L1236" s="13" t="s">
        <v>1442</v>
      </c>
      <c r="M1236" s="21">
        <v>129900</v>
      </c>
      <c r="N1236" s="15">
        <v>0.75</v>
      </c>
      <c r="O1236" s="16">
        <f t="shared" si="89"/>
        <v>32475</v>
      </c>
      <c r="P1236" s="11" t="s">
        <v>20</v>
      </c>
    </row>
    <row r="1237" spans="1:16" x14ac:dyDescent="0.25">
      <c r="A1237" s="9" t="str">
        <f t="shared" si="88"/>
        <v>2024 ALL D75</v>
      </c>
      <c r="B1237" s="10">
        <f t="shared" si="88"/>
        <v>46104</v>
      </c>
      <c r="C1237" s="10">
        <v>46113</v>
      </c>
      <c r="D1237" s="11">
        <v>3273</v>
      </c>
      <c r="E1237" s="11">
        <v>336</v>
      </c>
      <c r="F1237" s="11">
        <v>4</v>
      </c>
      <c r="G1237" s="19">
        <v>6</v>
      </c>
      <c r="H1237" s="13">
        <v>81676</v>
      </c>
      <c r="I1237" s="11" t="s">
        <v>17</v>
      </c>
      <c r="J1237" s="13">
        <v>23128107</v>
      </c>
      <c r="K1237" s="13" t="s">
        <v>1440</v>
      </c>
      <c r="L1237" s="13" t="s">
        <v>1443</v>
      </c>
      <c r="M1237" s="21">
        <v>129900</v>
      </c>
      <c r="N1237" s="15">
        <v>0.75</v>
      </c>
      <c r="O1237" s="16">
        <f t="shared" si="89"/>
        <v>32475</v>
      </c>
      <c r="P1237" s="11" t="s">
        <v>20</v>
      </c>
    </row>
    <row r="1238" spans="1:16" x14ac:dyDescent="0.25">
      <c r="A1238" s="9" t="str">
        <f t="shared" si="88"/>
        <v>2024 ALL D75</v>
      </c>
      <c r="B1238" s="10">
        <f t="shared" si="88"/>
        <v>46104</v>
      </c>
      <c r="C1238" s="10">
        <v>46113</v>
      </c>
      <c r="D1238" s="11">
        <v>3273</v>
      </c>
      <c r="E1238" s="11">
        <v>336</v>
      </c>
      <c r="F1238" s="11">
        <v>4</v>
      </c>
      <c r="G1238" s="19">
        <v>6</v>
      </c>
      <c r="H1238" s="13">
        <v>81676</v>
      </c>
      <c r="I1238" s="11" t="s">
        <v>17</v>
      </c>
      <c r="J1238" s="13">
        <v>23128116</v>
      </c>
      <c r="K1238" s="13" t="s">
        <v>1440</v>
      </c>
      <c r="L1238" s="13" t="s">
        <v>1444</v>
      </c>
      <c r="M1238" s="21">
        <v>129900</v>
      </c>
      <c r="N1238" s="15">
        <v>0.75</v>
      </c>
      <c r="O1238" s="16">
        <f t="shared" si="89"/>
        <v>32475</v>
      </c>
      <c r="P1238" s="11" t="s">
        <v>20</v>
      </c>
    </row>
    <row r="1239" spans="1:16" x14ac:dyDescent="0.25">
      <c r="A1239" s="9" t="str">
        <f t="shared" si="88"/>
        <v>2024 ALL D75</v>
      </c>
      <c r="B1239" s="10">
        <f t="shared" si="88"/>
        <v>46104</v>
      </c>
      <c r="C1239" s="10">
        <v>46113</v>
      </c>
      <c r="D1239" s="11">
        <v>3273</v>
      </c>
      <c r="E1239" s="11">
        <v>336</v>
      </c>
      <c r="F1239" s="11">
        <v>4</v>
      </c>
      <c r="G1239" s="19">
        <v>6</v>
      </c>
      <c r="H1239" s="13">
        <v>81676</v>
      </c>
      <c r="I1239" s="11" t="s">
        <v>17</v>
      </c>
      <c r="J1239" s="13">
        <v>23128125</v>
      </c>
      <c r="K1239" s="13" t="s">
        <v>1440</v>
      </c>
      <c r="L1239" s="13" t="s">
        <v>1445</v>
      </c>
      <c r="M1239" s="21">
        <v>129900</v>
      </c>
      <c r="N1239" s="15">
        <v>0.75</v>
      </c>
      <c r="O1239" s="16">
        <f t="shared" si="89"/>
        <v>32475</v>
      </c>
      <c r="P1239" s="11" t="s">
        <v>20</v>
      </c>
    </row>
    <row r="1240" spans="1:16" x14ac:dyDescent="0.25">
      <c r="A1240" s="9" t="str">
        <f t="shared" si="88"/>
        <v>2024 ALL D75</v>
      </c>
      <c r="B1240" s="10">
        <f t="shared" si="88"/>
        <v>46104</v>
      </c>
      <c r="C1240" s="10">
        <v>46113</v>
      </c>
      <c r="D1240" s="11">
        <v>3273</v>
      </c>
      <c r="E1240" s="11">
        <v>336</v>
      </c>
      <c r="F1240" s="11">
        <v>4</v>
      </c>
      <c r="G1240" s="19">
        <v>6</v>
      </c>
      <c r="H1240" s="13">
        <v>81676</v>
      </c>
      <c r="I1240" s="11" t="s">
        <v>17</v>
      </c>
      <c r="J1240" s="13">
        <v>23128134</v>
      </c>
      <c r="K1240" s="13" t="s">
        <v>1440</v>
      </c>
      <c r="L1240" s="13" t="s">
        <v>1446</v>
      </c>
      <c r="M1240" s="21">
        <v>129900</v>
      </c>
      <c r="N1240" s="15">
        <v>0.75</v>
      </c>
      <c r="O1240" s="16">
        <f t="shared" si="89"/>
        <v>32475</v>
      </c>
      <c r="P1240" s="11" t="s">
        <v>20</v>
      </c>
    </row>
    <row r="1241" spans="1:16" x14ac:dyDescent="0.25">
      <c r="A1241" s="9" t="str">
        <f t="shared" si="88"/>
        <v>2024 ALL D75</v>
      </c>
      <c r="B1241" s="10">
        <f t="shared" si="88"/>
        <v>46104</v>
      </c>
      <c r="C1241" s="10">
        <v>46113</v>
      </c>
      <c r="D1241" s="11">
        <v>3273</v>
      </c>
      <c r="E1241" s="11">
        <v>336</v>
      </c>
      <c r="F1241" s="11">
        <v>4</v>
      </c>
      <c r="G1241" s="19">
        <v>6</v>
      </c>
      <c r="H1241" s="13">
        <v>81676</v>
      </c>
      <c r="I1241" s="11" t="s">
        <v>17</v>
      </c>
      <c r="J1241" s="13">
        <v>23128143</v>
      </c>
      <c r="K1241" s="13" t="s">
        <v>1440</v>
      </c>
      <c r="L1241" s="13" t="s">
        <v>1447</v>
      </c>
      <c r="M1241" s="21">
        <v>129900</v>
      </c>
      <c r="N1241" s="15">
        <v>0.75</v>
      </c>
      <c r="O1241" s="16">
        <f t="shared" si="89"/>
        <v>32475</v>
      </c>
      <c r="P1241" s="11" t="s">
        <v>20</v>
      </c>
    </row>
    <row r="1242" spans="1:16" x14ac:dyDescent="0.25">
      <c r="A1242" s="9" t="str">
        <f t="shared" si="88"/>
        <v>2024 ALL D75</v>
      </c>
      <c r="B1242" s="10">
        <f t="shared" si="88"/>
        <v>46104</v>
      </c>
      <c r="C1242" s="10">
        <v>46113</v>
      </c>
      <c r="D1242" s="11">
        <v>3273</v>
      </c>
      <c r="E1242" s="11">
        <v>336</v>
      </c>
      <c r="F1242" s="11">
        <v>4</v>
      </c>
      <c r="G1242" s="19">
        <v>6</v>
      </c>
      <c r="H1242" s="13">
        <v>81676</v>
      </c>
      <c r="I1242" s="11" t="s">
        <v>17</v>
      </c>
      <c r="J1242" s="13">
        <v>23128152</v>
      </c>
      <c r="K1242" s="13" t="s">
        <v>1440</v>
      </c>
      <c r="L1242" s="13" t="s">
        <v>1448</v>
      </c>
      <c r="M1242" s="21">
        <v>129900</v>
      </c>
      <c r="N1242" s="15">
        <v>0.75</v>
      </c>
      <c r="O1242" s="16">
        <f t="shared" si="89"/>
        <v>32475</v>
      </c>
      <c r="P1242" s="11" t="s">
        <v>20</v>
      </c>
    </row>
    <row r="1243" spans="1:16" x14ac:dyDescent="0.25">
      <c r="A1243" s="9" t="str">
        <f t="shared" si="88"/>
        <v>2024 ALL D75</v>
      </c>
      <c r="B1243" s="10">
        <f t="shared" si="88"/>
        <v>46104</v>
      </c>
      <c r="C1243" s="10">
        <v>46113</v>
      </c>
      <c r="D1243" s="11">
        <v>3273</v>
      </c>
      <c r="E1243" s="11">
        <v>336</v>
      </c>
      <c r="F1243" s="11">
        <v>4</v>
      </c>
      <c r="G1243" s="19">
        <v>6</v>
      </c>
      <c r="H1243" s="13">
        <v>81588</v>
      </c>
      <c r="I1243" s="11" t="s">
        <v>17</v>
      </c>
      <c r="J1243" s="13">
        <v>23128161</v>
      </c>
      <c r="K1243" s="13" t="s">
        <v>1449</v>
      </c>
      <c r="L1243" s="13" t="s">
        <v>1450</v>
      </c>
      <c r="M1243" s="21">
        <v>139900</v>
      </c>
      <c r="N1243" s="15">
        <v>0.75</v>
      </c>
      <c r="O1243" s="16">
        <f t="shared" si="89"/>
        <v>34975</v>
      </c>
      <c r="P1243" s="11" t="s">
        <v>20</v>
      </c>
    </row>
    <row r="1244" spans="1:16" x14ac:dyDescent="0.25">
      <c r="A1244" s="9" t="str">
        <f t="shared" si="88"/>
        <v>2024 ALL D75</v>
      </c>
      <c r="B1244" s="10">
        <f t="shared" si="88"/>
        <v>46104</v>
      </c>
      <c r="C1244" s="10">
        <v>46113</v>
      </c>
      <c r="D1244" s="11">
        <v>3273</v>
      </c>
      <c r="E1244" s="11">
        <v>336</v>
      </c>
      <c r="F1244" s="11">
        <v>4</v>
      </c>
      <c r="G1244" s="19">
        <v>6</v>
      </c>
      <c r="H1244" s="13">
        <v>81588</v>
      </c>
      <c r="I1244" s="11" t="s">
        <v>17</v>
      </c>
      <c r="J1244" s="13">
        <v>23128170</v>
      </c>
      <c r="K1244" s="13" t="s">
        <v>1449</v>
      </c>
      <c r="L1244" s="13" t="s">
        <v>1451</v>
      </c>
      <c r="M1244" s="21">
        <v>139900</v>
      </c>
      <c r="N1244" s="15">
        <v>0.75</v>
      </c>
      <c r="O1244" s="16">
        <f t="shared" si="89"/>
        <v>34975</v>
      </c>
      <c r="P1244" s="11" t="s">
        <v>20</v>
      </c>
    </row>
    <row r="1245" spans="1:16" x14ac:dyDescent="0.25">
      <c r="A1245" s="9" t="str">
        <f t="shared" si="88"/>
        <v>2024 ALL D75</v>
      </c>
      <c r="B1245" s="10">
        <f t="shared" si="88"/>
        <v>46104</v>
      </c>
      <c r="C1245" s="10">
        <v>46113</v>
      </c>
      <c r="D1245" s="11">
        <v>3273</v>
      </c>
      <c r="E1245" s="11">
        <v>336</v>
      </c>
      <c r="F1245" s="11">
        <v>4</v>
      </c>
      <c r="G1245" s="19">
        <v>6</v>
      </c>
      <c r="H1245" s="13">
        <v>81588</v>
      </c>
      <c r="I1245" s="11" t="s">
        <v>17</v>
      </c>
      <c r="J1245" s="13">
        <v>23128189</v>
      </c>
      <c r="K1245" s="13" t="s">
        <v>1449</v>
      </c>
      <c r="L1245" s="13" t="s">
        <v>1452</v>
      </c>
      <c r="M1245" s="21">
        <v>139900</v>
      </c>
      <c r="N1245" s="15">
        <v>0.75</v>
      </c>
      <c r="O1245" s="16">
        <f t="shared" si="89"/>
        <v>34975</v>
      </c>
      <c r="P1245" s="11" t="s">
        <v>20</v>
      </c>
    </row>
    <row r="1246" spans="1:16" x14ac:dyDescent="0.25">
      <c r="A1246" s="9" t="str">
        <f t="shared" si="88"/>
        <v>2024 ALL D75</v>
      </c>
      <c r="B1246" s="10">
        <f t="shared" si="88"/>
        <v>46104</v>
      </c>
      <c r="C1246" s="10">
        <v>46113</v>
      </c>
      <c r="D1246" s="11">
        <v>3273</v>
      </c>
      <c r="E1246" s="11">
        <v>336</v>
      </c>
      <c r="F1246" s="11">
        <v>4</v>
      </c>
      <c r="G1246" s="19">
        <v>6</v>
      </c>
      <c r="H1246" s="13">
        <v>81588</v>
      </c>
      <c r="I1246" s="11" t="s">
        <v>17</v>
      </c>
      <c r="J1246" s="13">
        <v>23128198</v>
      </c>
      <c r="K1246" s="13" t="s">
        <v>1449</v>
      </c>
      <c r="L1246" s="13" t="s">
        <v>1453</v>
      </c>
      <c r="M1246" s="21">
        <v>139900</v>
      </c>
      <c r="N1246" s="15">
        <v>0.75</v>
      </c>
      <c r="O1246" s="16">
        <f t="shared" si="89"/>
        <v>34975</v>
      </c>
      <c r="P1246" s="11" t="s">
        <v>20</v>
      </c>
    </row>
    <row r="1247" spans="1:16" x14ac:dyDescent="0.25">
      <c r="A1247" s="9" t="str">
        <f t="shared" si="88"/>
        <v>2024 ALL D75</v>
      </c>
      <c r="B1247" s="10">
        <f t="shared" si="88"/>
        <v>46104</v>
      </c>
      <c r="C1247" s="10">
        <v>46113</v>
      </c>
      <c r="D1247" s="11">
        <v>3273</v>
      </c>
      <c r="E1247" s="11">
        <v>336</v>
      </c>
      <c r="F1247" s="11">
        <v>4</v>
      </c>
      <c r="G1247" s="19">
        <v>6</v>
      </c>
      <c r="H1247" s="13">
        <v>81588</v>
      </c>
      <c r="I1247" s="11" t="s">
        <v>17</v>
      </c>
      <c r="J1247" s="13">
        <v>23128205</v>
      </c>
      <c r="K1247" s="13" t="s">
        <v>1449</v>
      </c>
      <c r="L1247" s="13" t="s">
        <v>1454</v>
      </c>
      <c r="M1247" s="21">
        <v>139900</v>
      </c>
      <c r="N1247" s="15">
        <v>0.75</v>
      </c>
      <c r="O1247" s="16">
        <f t="shared" si="89"/>
        <v>34975</v>
      </c>
      <c r="P1247" s="11" t="s">
        <v>20</v>
      </c>
    </row>
    <row r="1248" spans="1:16" x14ac:dyDescent="0.25">
      <c r="A1248" s="9" t="str">
        <f t="shared" si="88"/>
        <v>2024 ALL D75</v>
      </c>
      <c r="B1248" s="10">
        <f t="shared" si="88"/>
        <v>46104</v>
      </c>
      <c r="C1248" s="10">
        <v>46113</v>
      </c>
      <c r="D1248" s="11">
        <v>3273</v>
      </c>
      <c r="E1248" s="11">
        <v>336</v>
      </c>
      <c r="F1248" s="11">
        <v>4</v>
      </c>
      <c r="G1248" s="19">
        <v>6</v>
      </c>
      <c r="H1248" s="13">
        <v>81588</v>
      </c>
      <c r="I1248" s="11" t="s">
        <v>17</v>
      </c>
      <c r="J1248" s="13">
        <v>23128214</v>
      </c>
      <c r="K1248" s="13" t="s">
        <v>1449</v>
      </c>
      <c r="L1248" s="13" t="s">
        <v>1455</v>
      </c>
      <c r="M1248" s="21">
        <v>139900</v>
      </c>
      <c r="N1248" s="15">
        <v>0.75</v>
      </c>
      <c r="O1248" s="16">
        <f t="shared" si="89"/>
        <v>34975</v>
      </c>
      <c r="P1248" s="11" t="s">
        <v>20</v>
      </c>
    </row>
    <row r="1249" spans="1:16" x14ac:dyDescent="0.25">
      <c r="A1249" s="9" t="str">
        <f t="shared" si="88"/>
        <v>2024 ALL D75</v>
      </c>
      <c r="B1249" s="10">
        <f t="shared" si="88"/>
        <v>46104</v>
      </c>
      <c r="C1249" s="10">
        <v>46113</v>
      </c>
      <c r="D1249" s="11">
        <v>3273</v>
      </c>
      <c r="E1249" s="11">
        <v>336</v>
      </c>
      <c r="F1249" s="11">
        <v>4</v>
      </c>
      <c r="G1249" s="19">
        <v>6</v>
      </c>
      <c r="H1249" s="13">
        <v>81588</v>
      </c>
      <c r="I1249" s="11" t="s">
        <v>17</v>
      </c>
      <c r="J1249" s="13">
        <v>23128223</v>
      </c>
      <c r="K1249" s="13" t="s">
        <v>1449</v>
      </c>
      <c r="L1249" s="13" t="s">
        <v>1456</v>
      </c>
      <c r="M1249" s="21">
        <v>139900</v>
      </c>
      <c r="N1249" s="15">
        <v>0.75</v>
      </c>
      <c r="O1249" s="16">
        <f t="shared" si="89"/>
        <v>34975</v>
      </c>
      <c r="P1249" s="11" t="s">
        <v>20</v>
      </c>
    </row>
    <row r="1250" spans="1:16" x14ac:dyDescent="0.25">
      <c r="A1250" s="9" t="str">
        <f t="shared" ref="A1250:B1299" si="90">A1249</f>
        <v>2024 ALL D75</v>
      </c>
      <c r="B1250" s="10">
        <f t="shared" si="90"/>
        <v>46104</v>
      </c>
      <c r="C1250" s="10">
        <v>46113</v>
      </c>
      <c r="D1250" s="11">
        <v>3273</v>
      </c>
      <c r="E1250" s="11">
        <v>336</v>
      </c>
      <c r="F1250" s="11">
        <v>4</v>
      </c>
      <c r="G1250" s="19">
        <v>6</v>
      </c>
      <c r="H1250" s="13">
        <v>81588</v>
      </c>
      <c r="I1250" s="11" t="s">
        <v>17</v>
      </c>
      <c r="J1250" s="13">
        <v>23128232</v>
      </c>
      <c r="K1250" s="13" t="s">
        <v>1449</v>
      </c>
      <c r="L1250" s="13" t="s">
        <v>1457</v>
      </c>
      <c r="M1250" s="21">
        <v>139900</v>
      </c>
      <c r="N1250" s="15">
        <v>0.75</v>
      </c>
      <c r="O1250" s="16">
        <f t="shared" si="89"/>
        <v>34975</v>
      </c>
      <c r="P1250" s="11" t="s">
        <v>20</v>
      </c>
    </row>
    <row r="1251" spans="1:16" x14ac:dyDescent="0.25">
      <c r="A1251" s="9" t="str">
        <f t="shared" si="90"/>
        <v>2024 ALL D75</v>
      </c>
      <c r="B1251" s="10">
        <f t="shared" si="90"/>
        <v>46104</v>
      </c>
      <c r="C1251" s="10">
        <v>46113</v>
      </c>
      <c r="D1251" s="11">
        <v>3273</v>
      </c>
      <c r="E1251" s="11">
        <v>336</v>
      </c>
      <c r="F1251" s="11">
        <v>4</v>
      </c>
      <c r="G1251" s="19">
        <v>6</v>
      </c>
      <c r="H1251" s="13">
        <v>81588</v>
      </c>
      <c r="I1251" s="11" t="s">
        <v>17</v>
      </c>
      <c r="J1251" s="13">
        <v>23128241</v>
      </c>
      <c r="K1251" s="13" t="s">
        <v>1458</v>
      </c>
      <c r="L1251" s="13" t="s">
        <v>1459</v>
      </c>
      <c r="M1251" s="21">
        <v>139900</v>
      </c>
      <c r="N1251" s="15">
        <v>0.75</v>
      </c>
      <c r="O1251" s="16">
        <f t="shared" si="89"/>
        <v>34975</v>
      </c>
      <c r="P1251" s="11" t="s">
        <v>20</v>
      </c>
    </row>
    <row r="1252" spans="1:16" x14ac:dyDescent="0.25">
      <c r="A1252" s="9" t="str">
        <f t="shared" si="90"/>
        <v>2024 ALL D75</v>
      </c>
      <c r="B1252" s="10">
        <f t="shared" si="90"/>
        <v>46104</v>
      </c>
      <c r="C1252" s="10">
        <v>46113</v>
      </c>
      <c r="D1252" s="11">
        <v>3273</v>
      </c>
      <c r="E1252" s="11">
        <v>336</v>
      </c>
      <c r="F1252" s="11">
        <v>4</v>
      </c>
      <c r="G1252" s="19">
        <v>6</v>
      </c>
      <c r="H1252" s="13">
        <v>81588</v>
      </c>
      <c r="I1252" s="11" t="s">
        <v>17</v>
      </c>
      <c r="J1252" s="13">
        <v>23128250</v>
      </c>
      <c r="K1252" s="13" t="s">
        <v>1458</v>
      </c>
      <c r="L1252" s="13" t="s">
        <v>1460</v>
      </c>
      <c r="M1252" s="21">
        <v>139900</v>
      </c>
      <c r="N1252" s="15">
        <v>0.75</v>
      </c>
      <c r="O1252" s="16">
        <f t="shared" si="89"/>
        <v>34975</v>
      </c>
      <c r="P1252" s="11" t="s">
        <v>20</v>
      </c>
    </row>
    <row r="1253" spans="1:16" x14ac:dyDescent="0.25">
      <c r="A1253" s="9" t="str">
        <f t="shared" si="90"/>
        <v>2024 ALL D75</v>
      </c>
      <c r="B1253" s="10">
        <f t="shared" si="90"/>
        <v>46104</v>
      </c>
      <c r="C1253" s="10">
        <v>46113</v>
      </c>
      <c r="D1253" s="11">
        <v>3273</v>
      </c>
      <c r="E1253" s="11">
        <v>336</v>
      </c>
      <c r="F1253" s="11">
        <v>4</v>
      </c>
      <c r="G1253" s="19">
        <v>6</v>
      </c>
      <c r="H1253" s="13">
        <v>81588</v>
      </c>
      <c r="I1253" s="11" t="s">
        <v>17</v>
      </c>
      <c r="J1253" s="13">
        <v>23128269</v>
      </c>
      <c r="K1253" s="13" t="s">
        <v>1458</v>
      </c>
      <c r="L1253" s="13" t="s">
        <v>1461</v>
      </c>
      <c r="M1253" s="21">
        <v>139900</v>
      </c>
      <c r="N1253" s="15">
        <v>0.75</v>
      </c>
      <c r="O1253" s="16">
        <f t="shared" si="89"/>
        <v>34975</v>
      </c>
      <c r="P1253" s="11" t="s">
        <v>20</v>
      </c>
    </row>
    <row r="1254" spans="1:16" x14ac:dyDescent="0.25">
      <c r="A1254" s="9" t="str">
        <f t="shared" si="90"/>
        <v>2024 ALL D75</v>
      </c>
      <c r="B1254" s="10">
        <f t="shared" si="90"/>
        <v>46104</v>
      </c>
      <c r="C1254" s="10">
        <v>46113</v>
      </c>
      <c r="D1254" s="11">
        <v>3273</v>
      </c>
      <c r="E1254" s="11">
        <v>336</v>
      </c>
      <c r="F1254" s="11">
        <v>4</v>
      </c>
      <c r="G1254" s="19">
        <v>6</v>
      </c>
      <c r="H1254" s="13">
        <v>81588</v>
      </c>
      <c r="I1254" s="11" t="s">
        <v>17</v>
      </c>
      <c r="J1254" s="13">
        <v>23128278</v>
      </c>
      <c r="K1254" s="13" t="s">
        <v>1458</v>
      </c>
      <c r="L1254" s="13" t="s">
        <v>1462</v>
      </c>
      <c r="M1254" s="21">
        <v>139900</v>
      </c>
      <c r="N1254" s="15">
        <v>0.75</v>
      </c>
      <c r="O1254" s="16">
        <f t="shared" si="89"/>
        <v>34975</v>
      </c>
      <c r="P1254" s="11" t="s">
        <v>20</v>
      </c>
    </row>
    <row r="1255" spans="1:16" x14ac:dyDescent="0.25">
      <c r="A1255" s="9" t="str">
        <f t="shared" si="90"/>
        <v>2024 ALL D75</v>
      </c>
      <c r="B1255" s="10">
        <f t="shared" si="90"/>
        <v>46104</v>
      </c>
      <c r="C1255" s="10">
        <v>46113</v>
      </c>
      <c r="D1255" s="11">
        <v>3273</v>
      </c>
      <c r="E1255" s="11">
        <v>336</v>
      </c>
      <c r="F1255" s="11">
        <v>4</v>
      </c>
      <c r="G1255" s="19">
        <v>6</v>
      </c>
      <c r="H1255" s="13">
        <v>81588</v>
      </c>
      <c r="I1255" s="11" t="s">
        <v>17</v>
      </c>
      <c r="J1255" s="13">
        <v>23128287</v>
      </c>
      <c r="K1255" s="13" t="s">
        <v>1458</v>
      </c>
      <c r="L1255" s="13" t="s">
        <v>1463</v>
      </c>
      <c r="M1255" s="21">
        <v>139900</v>
      </c>
      <c r="N1255" s="15">
        <v>0.75</v>
      </c>
      <c r="O1255" s="16">
        <f t="shared" si="89"/>
        <v>34975</v>
      </c>
      <c r="P1255" s="11" t="s">
        <v>20</v>
      </c>
    </row>
    <row r="1256" spans="1:16" x14ac:dyDescent="0.25">
      <c r="A1256" s="9" t="str">
        <f t="shared" si="90"/>
        <v>2024 ALL D75</v>
      </c>
      <c r="B1256" s="10">
        <f t="shared" si="90"/>
        <v>46104</v>
      </c>
      <c r="C1256" s="10">
        <v>46113</v>
      </c>
      <c r="D1256" s="11">
        <v>3273</v>
      </c>
      <c r="E1256" s="11">
        <v>336</v>
      </c>
      <c r="F1256" s="11">
        <v>4</v>
      </c>
      <c r="G1256" s="19">
        <v>6</v>
      </c>
      <c r="H1256" s="13">
        <v>81588</v>
      </c>
      <c r="I1256" s="11" t="s">
        <v>17</v>
      </c>
      <c r="J1256" s="13">
        <v>23128296</v>
      </c>
      <c r="K1256" s="13" t="s">
        <v>1458</v>
      </c>
      <c r="L1256" s="13" t="s">
        <v>1464</v>
      </c>
      <c r="M1256" s="21">
        <v>139900</v>
      </c>
      <c r="N1256" s="15">
        <v>0.75</v>
      </c>
      <c r="O1256" s="16">
        <f t="shared" si="89"/>
        <v>34975</v>
      </c>
      <c r="P1256" s="11" t="s">
        <v>20</v>
      </c>
    </row>
    <row r="1257" spans="1:16" x14ac:dyDescent="0.25">
      <c r="A1257" s="9" t="str">
        <f t="shared" si="90"/>
        <v>2024 ALL D75</v>
      </c>
      <c r="B1257" s="10">
        <f t="shared" si="90"/>
        <v>46104</v>
      </c>
      <c r="C1257" s="10">
        <v>46113</v>
      </c>
      <c r="D1257" s="11">
        <v>3273</v>
      </c>
      <c r="E1257" s="11">
        <v>336</v>
      </c>
      <c r="F1257" s="11">
        <v>4</v>
      </c>
      <c r="G1257" s="19">
        <v>6</v>
      </c>
      <c r="H1257" s="13">
        <v>81588</v>
      </c>
      <c r="I1257" s="11" t="s">
        <v>17</v>
      </c>
      <c r="J1257" s="13">
        <v>23128303</v>
      </c>
      <c r="K1257" s="13" t="s">
        <v>1458</v>
      </c>
      <c r="L1257" s="13" t="s">
        <v>1465</v>
      </c>
      <c r="M1257" s="21">
        <v>139900</v>
      </c>
      <c r="N1257" s="15">
        <v>0.75</v>
      </c>
      <c r="O1257" s="16">
        <f t="shared" si="89"/>
        <v>34975</v>
      </c>
      <c r="P1257" s="11" t="s">
        <v>20</v>
      </c>
    </row>
    <row r="1258" spans="1:16" x14ac:dyDescent="0.25">
      <c r="A1258" s="9" t="str">
        <f t="shared" si="90"/>
        <v>2024 ALL D75</v>
      </c>
      <c r="B1258" s="10">
        <f t="shared" si="90"/>
        <v>46104</v>
      </c>
      <c r="C1258" s="10">
        <v>46113</v>
      </c>
      <c r="D1258" s="11">
        <v>3273</v>
      </c>
      <c r="E1258" s="11">
        <v>336</v>
      </c>
      <c r="F1258" s="11">
        <v>4</v>
      </c>
      <c r="G1258" s="19">
        <v>6</v>
      </c>
      <c r="H1258" s="13">
        <v>81588</v>
      </c>
      <c r="I1258" s="11" t="s">
        <v>17</v>
      </c>
      <c r="J1258" s="13">
        <v>23128312</v>
      </c>
      <c r="K1258" s="13" t="s">
        <v>1458</v>
      </c>
      <c r="L1258" s="13" t="s">
        <v>1466</v>
      </c>
      <c r="M1258" s="21">
        <v>139900</v>
      </c>
      <c r="N1258" s="15">
        <v>0.75</v>
      </c>
      <c r="O1258" s="16">
        <f t="shared" si="89"/>
        <v>34975</v>
      </c>
      <c r="P1258" s="11" t="s">
        <v>20</v>
      </c>
    </row>
    <row r="1259" spans="1:16" x14ac:dyDescent="0.25">
      <c r="A1259" s="9" t="str">
        <f t="shared" si="90"/>
        <v>2024 ALL D75</v>
      </c>
      <c r="B1259" s="10">
        <f t="shared" si="90"/>
        <v>46104</v>
      </c>
      <c r="C1259" s="10">
        <v>46113</v>
      </c>
      <c r="D1259" s="11">
        <v>3273</v>
      </c>
      <c r="E1259" s="11">
        <v>336</v>
      </c>
      <c r="F1259" s="11">
        <v>4</v>
      </c>
      <c r="G1259" s="19">
        <v>6</v>
      </c>
      <c r="H1259" s="13">
        <v>81676</v>
      </c>
      <c r="I1259" s="11" t="s">
        <v>17</v>
      </c>
      <c r="J1259" s="13">
        <v>23128634</v>
      </c>
      <c r="K1259" s="13" t="s">
        <v>1467</v>
      </c>
      <c r="L1259" s="13" t="s">
        <v>1468</v>
      </c>
      <c r="M1259" s="21">
        <v>149900</v>
      </c>
      <c r="N1259" s="15">
        <v>0.75</v>
      </c>
      <c r="O1259" s="16">
        <f t="shared" si="89"/>
        <v>37475</v>
      </c>
      <c r="P1259" s="11" t="s">
        <v>20</v>
      </c>
    </row>
    <row r="1260" spans="1:16" x14ac:dyDescent="0.25">
      <c r="A1260" s="9" t="str">
        <f t="shared" si="90"/>
        <v>2024 ALL D75</v>
      </c>
      <c r="B1260" s="10">
        <f t="shared" si="90"/>
        <v>46104</v>
      </c>
      <c r="C1260" s="10">
        <v>46113</v>
      </c>
      <c r="D1260" s="11">
        <v>3273</v>
      </c>
      <c r="E1260" s="11">
        <v>336</v>
      </c>
      <c r="F1260" s="11">
        <v>4</v>
      </c>
      <c r="G1260" s="19">
        <v>6</v>
      </c>
      <c r="H1260" s="13">
        <v>81676</v>
      </c>
      <c r="I1260" s="11" t="s">
        <v>17</v>
      </c>
      <c r="J1260" s="13">
        <v>23128643</v>
      </c>
      <c r="K1260" s="13" t="s">
        <v>1467</v>
      </c>
      <c r="L1260" s="13" t="s">
        <v>1469</v>
      </c>
      <c r="M1260" s="21">
        <v>149900</v>
      </c>
      <c r="N1260" s="15">
        <v>0.75</v>
      </c>
      <c r="O1260" s="16">
        <f t="shared" si="89"/>
        <v>37475</v>
      </c>
      <c r="P1260" s="11" t="s">
        <v>20</v>
      </c>
    </row>
    <row r="1261" spans="1:16" x14ac:dyDescent="0.25">
      <c r="A1261" s="9" t="str">
        <f t="shared" si="90"/>
        <v>2024 ALL D75</v>
      </c>
      <c r="B1261" s="10">
        <f t="shared" si="90"/>
        <v>46104</v>
      </c>
      <c r="C1261" s="10">
        <v>46113</v>
      </c>
      <c r="D1261" s="11">
        <v>3273</v>
      </c>
      <c r="E1261" s="11">
        <v>336</v>
      </c>
      <c r="F1261" s="11">
        <v>4</v>
      </c>
      <c r="G1261" s="19">
        <v>6</v>
      </c>
      <c r="H1261" s="13">
        <v>81676</v>
      </c>
      <c r="I1261" s="11" t="s">
        <v>17</v>
      </c>
      <c r="J1261" s="13">
        <v>23128652</v>
      </c>
      <c r="K1261" s="13" t="s">
        <v>1467</v>
      </c>
      <c r="L1261" s="13" t="s">
        <v>1470</v>
      </c>
      <c r="M1261" s="21">
        <v>149900</v>
      </c>
      <c r="N1261" s="15">
        <v>0.75</v>
      </c>
      <c r="O1261" s="16">
        <f t="shared" si="89"/>
        <v>37475</v>
      </c>
      <c r="P1261" s="11" t="s">
        <v>20</v>
      </c>
    </row>
    <row r="1262" spans="1:16" x14ac:dyDescent="0.25">
      <c r="A1262" s="9" t="str">
        <f t="shared" si="90"/>
        <v>2024 ALL D75</v>
      </c>
      <c r="B1262" s="10">
        <f t="shared" si="90"/>
        <v>46104</v>
      </c>
      <c r="C1262" s="10">
        <v>46113</v>
      </c>
      <c r="D1262" s="11">
        <v>3273</v>
      </c>
      <c r="E1262" s="11">
        <v>336</v>
      </c>
      <c r="F1262" s="11">
        <v>4</v>
      </c>
      <c r="G1262" s="19">
        <v>6</v>
      </c>
      <c r="H1262" s="13">
        <v>81676</v>
      </c>
      <c r="I1262" s="11" t="s">
        <v>17</v>
      </c>
      <c r="J1262" s="13">
        <v>23128661</v>
      </c>
      <c r="K1262" s="13" t="s">
        <v>1467</v>
      </c>
      <c r="L1262" s="13" t="s">
        <v>1471</v>
      </c>
      <c r="M1262" s="21">
        <v>149900</v>
      </c>
      <c r="N1262" s="15">
        <v>0.75</v>
      </c>
      <c r="O1262" s="16">
        <f t="shared" si="89"/>
        <v>37475</v>
      </c>
      <c r="P1262" s="11" t="s">
        <v>20</v>
      </c>
    </row>
    <row r="1263" spans="1:16" x14ac:dyDescent="0.25">
      <c r="A1263" s="9" t="str">
        <f t="shared" si="90"/>
        <v>2024 ALL D75</v>
      </c>
      <c r="B1263" s="10">
        <f t="shared" si="90"/>
        <v>46104</v>
      </c>
      <c r="C1263" s="10">
        <v>46113</v>
      </c>
      <c r="D1263" s="11">
        <v>3273</v>
      </c>
      <c r="E1263" s="11">
        <v>336</v>
      </c>
      <c r="F1263" s="11">
        <v>4</v>
      </c>
      <c r="G1263" s="19">
        <v>6</v>
      </c>
      <c r="H1263" s="13">
        <v>81676</v>
      </c>
      <c r="I1263" s="11" t="s">
        <v>17</v>
      </c>
      <c r="J1263" s="13">
        <v>23128983</v>
      </c>
      <c r="K1263" s="13" t="s">
        <v>1467</v>
      </c>
      <c r="L1263" s="13" t="s">
        <v>1472</v>
      </c>
      <c r="M1263" s="21">
        <v>149900</v>
      </c>
      <c r="N1263" s="15">
        <v>0.75</v>
      </c>
      <c r="O1263" s="16">
        <f t="shared" si="89"/>
        <v>37475</v>
      </c>
      <c r="P1263" s="11" t="s">
        <v>20</v>
      </c>
    </row>
    <row r="1264" spans="1:16" x14ac:dyDescent="0.25">
      <c r="A1264" s="9" t="str">
        <f t="shared" si="90"/>
        <v>2024 ALL D75</v>
      </c>
      <c r="B1264" s="10">
        <f t="shared" si="90"/>
        <v>46104</v>
      </c>
      <c r="C1264" s="10">
        <v>46113</v>
      </c>
      <c r="D1264" s="11">
        <v>3273</v>
      </c>
      <c r="E1264" s="11">
        <v>336</v>
      </c>
      <c r="F1264" s="11">
        <v>4</v>
      </c>
      <c r="G1264" s="19">
        <v>6</v>
      </c>
      <c r="H1264" s="13">
        <v>81676</v>
      </c>
      <c r="I1264" s="11" t="s">
        <v>17</v>
      </c>
      <c r="J1264" s="13">
        <v>23128992</v>
      </c>
      <c r="K1264" s="13" t="s">
        <v>1467</v>
      </c>
      <c r="L1264" s="13" t="s">
        <v>1473</v>
      </c>
      <c r="M1264" s="21">
        <v>149900</v>
      </c>
      <c r="N1264" s="15">
        <v>0.75</v>
      </c>
      <c r="O1264" s="16">
        <f t="shared" si="89"/>
        <v>37475</v>
      </c>
      <c r="P1264" s="11" t="s">
        <v>20</v>
      </c>
    </row>
    <row r="1265" spans="1:16" x14ac:dyDescent="0.25">
      <c r="A1265" s="9" t="str">
        <f t="shared" si="90"/>
        <v>2024 ALL D75</v>
      </c>
      <c r="B1265" s="10">
        <f t="shared" si="90"/>
        <v>46104</v>
      </c>
      <c r="C1265" s="10">
        <v>46113</v>
      </c>
      <c r="D1265" s="11">
        <v>3273</v>
      </c>
      <c r="E1265" s="11">
        <v>336</v>
      </c>
      <c r="F1265" s="11">
        <v>4</v>
      </c>
      <c r="G1265" s="19">
        <v>6</v>
      </c>
      <c r="H1265" s="13">
        <v>81676</v>
      </c>
      <c r="I1265" s="11" t="s">
        <v>17</v>
      </c>
      <c r="J1265" s="13">
        <v>23129008</v>
      </c>
      <c r="K1265" s="13" t="s">
        <v>1467</v>
      </c>
      <c r="L1265" s="13" t="s">
        <v>1474</v>
      </c>
      <c r="M1265" s="21">
        <v>149900</v>
      </c>
      <c r="N1265" s="15">
        <v>0.75</v>
      </c>
      <c r="O1265" s="16">
        <f t="shared" si="89"/>
        <v>37475</v>
      </c>
      <c r="P1265" s="11" t="s">
        <v>20</v>
      </c>
    </row>
    <row r="1266" spans="1:16" x14ac:dyDescent="0.25">
      <c r="A1266" s="9" t="str">
        <f t="shared" si="90"/>
        <v>2024 ALL D75</v>
      </c>
      <c r="B1266" s="10">
        <f t="shared" si="90"/>
        <v>46104</v>
      </c>
      <c r="C1266" s="10">
        <v>46113</v>
      </c>
      <c r="D1266" s="11">
        <v>3273</v>
      </c>
      <c r="E1266" s="11">
        <v>336</v>
      </c>
      <c r="F1266" s="11">
        <v>4</v>
      </c>
      <c r="G1266" s="19">
        <v>6</v>
      </c>
      <c r="H1266" s="13">
        <v>81676</v>
      </c>
      <c r="I1266" s="11" t="s">
        <v>17</v>
      </c>
      <c r="J1266" s="13">
        <v>23129017</v>
      </c>
      <c r="K1266" s="13" t="s">
        <v>1467</v>
      </c>
      <c r="L1266" s="13" t="s">
        <v>1475</v>
      </c>
      <c r="M1266" s="21">
        <v>149900</v>
      </c>
      <c r="N1266" s="15">
        <v>0.75</v>
      </c>
      <c r="O1266" s="16">
        <f t="shared" si="89"/>
        <v>37475</v>
      </c>
      <c r="P1266" s="11" t="s">
        <v>20</v>
      </c>
    </row>
    <row r="1267" spans="1:16" x14ac:dyDescent="0.25">
      <c r="A1267" s="9" t="str">
        <f t="shared" si="90"/>
        <v>2024 ALL D75</v>
      </c>
      <c r="B1267" s="10">
        <f t="shared" si="90"/>
        <v>46104</v>
      </c>
      <c r="C1267" s="10">
        <v>46113</v>
      </c>
      <c r="D1267" s="11">
        <v>3273</v>
      </c>
      <c r="E1267" s="11">
        <v>336</v>
      </c>
      <c r="F1267" s="11">
        <v>4</v>
      </c>
      <c r="G1267" s="19">
        <v>6</v>
      </c>
      <c r="H1267" s="13">
        <v>81588</v>
      </c>
      <c r="I1267" s="11" t="s">
        <v>17</v>
      </c>
      <c r="J1267" s="13">
        <v>23213041</v>
      </c>
      <c r="K1267" s="13" t="s">
        <v>1476</v>
      </c>
      <c r="L1267" s="13" t="s">
        <v>1477</v>
      </c>
      <c r="M1267" s="21">
        <v>139900</v>
      </c>
      <c r="N1267" s="15">
        <v>0.75</v>
      </c>
      <c r="O1267" s="16">
        <f t="shared" si="89"/>
        <v>34975</v>
      </c>
      <c r="P1267" s="11" t="s">
        <v>20</v>
      </c>
    </row>
    <row r="1268" spans="1:16" x14ac:dyDescent="0.25">
      <c r="A1268" s="9" t="str">
        <f t="shared" si="90"/>
        <v>2024 ALL D75</v>
      </c>
      <c r="B1268" s="10">
        <f t="shared" si="90"/>
        <v>46104</v>
      </c>
      <c r="C1268" s="10">
        <v>46113</v>
      </c>
      <c r="D1268" s="11">
        <v>3273</v>
      </c>
      <c r="E1268" s="11">
        <v>336</v>
      </c>
      <c r="F1268" s="11">
        <v>4</v>
      </c>
      <c r="G1268" s="19">
        <v>6</v>
      </c>
      <c r="H1268" s="13">
        <v>81588</v>
      </c>
      <c r="I1268" s="11" t="s">
        <v>17</v>
      </c>
      <c r="J1268" s="13">
        <v>23213050</v>
      </c>
      <c r="K1268" s="13" t="s">
        <v>1476</v>
      </c>
      <c r="L1268" s="13" t="s">
        <v>1478</v>
      </c>
      <c r="M1268" s="21">
        <v>139900</v>
      </c>
      <c r="N1268" s="15">
        <v>0.75</v>
      </c>
      <c r="O1268" s="16">
        <f t="shared" si="89"/>
        <v>34975</v>
      </c>
      <c r="P1268" s="11" t="s">
        <v>20</v>
      </c>
    </row>
    <row r="1269" spans="1:16" x14ac:dyDescent="0.25">
      <c r="A1269" s="9" t="str">
        <f t="shared" si="90"/>
        <v>2024 ALL D75</v>
      </c>
      <c r="B1269" s="10">
        <f t="shared" si="90"/>
        <v>46104</v>
      </c>
      <c r="C1269" s="10">
        <v>46113</v>
      </c>
      <c r="D1269" s="11">
        <v>3273</v>
      </c>
      <c r="E1269" s="11">
        <v>336</v>
      </c>
      <c r="F1269" s="11">
        <v>4</v>
      </c>
      <c r="G1269" s="19">
        <v>6</v>
      </c>
      <c r="H1269" s="13">
        <v>81588</v>
      </c>
      <c r="I1269" s="11" t="s">
        <v>17</v>
      </c>
      <c r="J1269" s="13">
        <v>23213069</v>
      </c>
      <c r="K1269" s="13" t="s">
        <v>1476</v>
      </c>
      <c r="L1269" s="13" t="s">
        <v>1479</v>
      </c>
      <c r="M1269" s="21">
        <v>139900</v>
      </c>
      <c r="N1269" s="15">
        <v>0.75</v>
      </c>
      <c r="O1269" s="16">
        <f t="shared" si="89"/>
        <v>34975</v>
      </c>
      <c r="P1269" s="11" t="s">
        <v>20</v>
      </c>
    </row>
    <row r="1270" spans="1:16" x14ac:dyDescent="0.25">
      <c r="A1270" s="9" t="str">
        <f t="shared" si="90"/>
        <v>2024 ALL D75</v>
      </c>
      <c r="B1270" s="10">
        <f t="shared" si="90"/>
        <v>46104</v>
      </c>
      <c r="C1270" s="10">
        <v>46113</v>
      </c>
      <c r="D1270" s="11">
        <v>3273</v>
      </c>
      <c r="E1270" s="11">
        <v>336</v>
      </c>
      <c r="F1270" s="11">
        <v>4</v>
      </c>
      <c r="G1270" s="19">
        <v>6</v>
      </c>
      <c r="H1270" s="13">
        <v>81588</v>
      </c>
      <c r="I1270" s="11" t="s">
        <v>17</v>
      </c>
      <c r="J1270" s="13">
        <v>23213078</v>
      </c>
      <c r="K1270" s="13" t="s">
        <v>1476</v>
      </c>
      <c r="L1270" s="13" t="s">
        <v>1480</v>
      </c>
      <c r="M1270" s="21">
        <v>139900</v>
      </c>
      <c r="N1270" s="15">
        <v>0.75</v>
      </c>
      <c r="O1270" s="16">
        <f t="shared" si="89"/>
        <v>34975</v>
      </c>
      <c r="P1270" s="11" t="s">
        <v>20</v>
      </c>
    </row>
    <row r="1271" spans="1:16" x14ac:dyDescent="0.25">
      <c r="A1271" s="9" t="str">
        <f t="shared" si="90"/>
        <v>2024 ALL D75</v>
      </c>
      <c r="B1271" s="10">
        <f t="shared" si="90"/>
        <v>46104</v>
      </c>
      <c r="C1271" s="10">
        <v>46113</v>
      </c>
      <c r="D1271" s="11">
        <v>3273</v>
      </c>
      <c r="E1271" s="11">
        <v>336</v>
      </c>
      <c r="F1271" s="11">
        <v>4</v>
      </c>
      <c r="G1271" s="19">
        <v>6</v>
      </c>
      <c r="H1271" s="13">
        <v>81588</v>
      </c>
      <c r="I1271" s="11" t="s">
        <v>17</v>
      </c>
      <c r="J1271" s="13">
        <v>23213087</v>
      </c>
      <c r="K1271" s="13" t="s">
        <v>1476</v>
      </c>
      <c r="L1271" s="13" t="s">
        <v>1481</v>
      </c>
      <c r="M1271" s="21">
        <v>139900</v>
      </c>
      <c r="N1271" s="15">
        <v>0.75</v>
      </c>
      <c r="O1271" s="16">
        <f t="shared" si="89"/>
        <v>34975</v>
      </c>
      <c r="P1271" s="11" t="s">
        <v>20</v>
      </c>
    </row>
    <row r="1272" spans="1:16" x14ac:dyDescent="0.25">
      <c r="A1272" s="9" t="str">
        <f t="shared" si="90"/>
        <v>2024 ALL D75</v>
      </c>
      <c r="B1272" s="10">
        <f t="shared" si="90"/>
        <v>46104</v>
      </c>
      <c r="C1272" s="10">
        <v>46113</v>
      </c>
      <c r="D1272" s="11">
        <v>3273</v>
      </c>
      <c r="E1272" s="11">
        <v>336</v>
      </c>
      <c r="F1272" s="11">
        <v>4</v>
      </c>
      <c r="G1272" s="19">
        <v>6</v>
      </c>
      <c r="H1272" s="13">
        <v>81588</v>
      </c>
      <c r="I1272" s="11" t="s">
        <v>17</v>
      </c>
      <c r="J1272" s="13">
        <v>23214442</v>
      </c>
      <c r="K1272" s="13" t="s">
        <v>1476</v>
      </c>
      <c r="L1272" s="13" t="s">
        <v>1482</v>
      </c>
      <c r="M1272" s="21">
        <v>139900</v>
      </c>
      <c r="N1272" s="15">
        <v>0.75</v>
      </c>
      <c r="O1272" s="16">
        <f t="shared" si="89"/>
        <v>34975</v>
      </c>
      <c r="P1272" s="11" t="s">
        <v>20</v>
      </c>
    </row>
    <row r="1273" spans="1:16" x14ac:dyDescent="0.25">
      <c r="A1273" s="9" t="str">
        <f t="shared" si="90"/>
        <v>2024 ALL D75</v>
      </c>
      <c r="B1273" s="10">
        <f t="shared" si="90"/>
        <v>46104</v>
      </c>
      <c r="C1273" s="10">
        <v>46113</v>
      </c>
      <c r="D1273" s="11">
        <v>3273</v>
      </c>
      <c r="E1273" s="11">
        <v>336</v>
      </c>
      <c r="F1273" s="11">
        <v>4</v>
      </c>
      <c r="G1273" s="19">
        <v>6</v>
      </c>
      <c r="H1273" s="13">
        <v>81588</v>
      </c>
      <c r="I1273" s="11" t="s">
        <v>17</v>
      </c>
      <c r="J1273" s="13">
        <v>23214451</v>
      </c>
      <c r="K1273" s="13" t="s">
        <v>1476</v>
      </c>
      <c r="L1273" s="13" t="s">
        <v>1483</v>
      </c>
      <c r="M1273" s="21">
        <v>139900</v>
      </c>
      <c r="N1273" s="15">
        <v>0.75</v>
      </c>
      <c r="O1273" s="16">
        <f t="shared" si="89"/>
        <v>34975</v>
      </c>
      <c r="P1273" s="11" t="s">
        <v>20</v>
      </c>
    </row>
    <row r="1274" spans="1:16" x14ac:dyDescent="0.25">
      <c r="A1274" s="9" t="str">
        <f t="shared" si="90"/>
        <v>2024 ALL D75</v>
      </c>
      <c r="B1274" s="10">
        <f t="shared" si="90"/>
        <v>46104</v>
      </c>
      <c r="C1274" s="10">
        <v>46113</v>
      </c>
      <c r="D1274" s="11">
        <v>3273</v>
      </c>
      <c r="E1274" s="11">
        <v>336</v>
      </c>
      <c r="F1274" s="11">
        <v>4</v>
      </c>
      <c r="G1274" s="19">
        <v>6</v>
      </c>
      <c r="H1274" s="13">
        <v>81588</v>
      </c>
      <c r="I1274" s="11" t="s">
        <v>17</v>
      </c>
      <c r="J1274" s="13">
        <v>23214460</v>
      </c>
      <c r="K1274" s="13" t="s">
        <v>1476</v>
      </c>
      <c r="L1274" s="13" t="s">
        <v>1484</v>
      </c>
      <c r="M1274" s="21">
        <v>139900</v>
      </c>
      <c r="N1274" s="15">
        <v>0.75</v>
      </c>
      <c r="O1274" s="16">
        <f t="shared" si="89"/>
        <v>34975</v>
      </c>
      <c r="P1274" s="11" t="s">
        <v>20</v>
      </c>
    </row>
    <row r="1275" spans="1:16" x14ac:dyDescent="0.25">
      <c r="A1275" s="9" t="str">
        <f t="shared" si="90"/>
        <v>2024 ALL D75</v>
      </c>
      <c r="B1275" s="10">
        <f t="shared" si="90"/>
        <v>46104</v>
      </c>
      <c r="C1275" s="10">
        <v>46113</v>
      </c>
      <c r="D1275" s="11">
        <v>3273</v>
      </c>
      <c r="E1275" s="11">
        <v>336</v>
      </c>
      <c r="F1275" s="11">
        <v>4</v>
      </c>
      <c r="G1275" s="19">
        <v>6</v>
      </c>
      <c r="H1275" s="13">
        <v>81676</v>
      </c>
      <c r="I1275" s="11" t="s">
        <v>17</v>
      </c>
      <c r="J1275" s="13">
        <v>19127876</v>
      </c>
      <c r="K1275" s="13" t="s">
        <v>1485</v>
      </c>
      <c r="L1275" s="13" t="s">
        <v>1486</v>
      </c>
      <c r="M1275" s="21">
        <v>139900</v>
      </c>
      <c r="N1275" s="15">
        <v>0.75</v>
      </c>
      <c r="O1275" s="16">
        <f t="shared" si="89"/>
        <v>34975</v>
      </c>
      <c r="P1275" s="11" t="s">
        <v>20</v>
      </c>
    </row>
    <row r="1276" spans="1:16" x14ac:dyDescent="0.25">
      <c r="A1276" s="9" t="str">
        <f t="shared" si="90"/>
        <v>2024 ALL D75</v>
      </c>
      <c r="B1276" s="10">
        <f t="shared" si="90"/>
        <v>46104</v>
      </c>
      <c r="C1276" s="10">
        <v>46113</v>
      </c>
      <c r="D1276" s="11">
        <v>3273</v>
      </c>
      <c r="E1276" s="11">
        <v>336</v>
      </c>
      <c r="F1276" s="11">
        <v>4</v>
      </c>
      <c r="G1276" s="19">
        <v>6</v>
      </c>
      <c r="H1276" s="13">
        <v>81676</v>
      </c>
      <c r="I1276" s="11" t="s">
        <v>17</v>
      </c>
      <c r="J1276" s="13">
        <v>19127885</v>
      </c>
      <c r="K1276" s="13" t="s">
        <v>1485</v>
      </c>
      <c r="L1276" s="13" t="s">
        <v>1487</v>
      </c>
      <c r="M1276" s="21">
        <v>139900</v>
      </c>
      <c r="N1276" s="15">
        <v>0.75</v>
      </c>
      <c r="O1276" s="16">
        <f t="shared" si="89"/>
        <v>34975</v>
      </c>
      <c r="P1276" s="11" t="s">
        <v>20</v>
      </c>
    </row>
    <row r="1277" spans="1:16" x14ac:dyDescent="0.25">
      <c r="A1277" s="9" t="str">
        <f t="shared" si="90"/>
        <v>2024 ALL D75</v>
      </c>
      <c r="B1277" s="10">
        <f t="shared" si="90"/>
        <v>46104</v>
      </c>
      <c r="C1277" s="10">
        <v>46113</v>
      </c>
      <c r="D1277" s="11">
        <v>3273</v>
      </c>
      <c r="E1277" s="11">
        <v>336</v>
      </c>
      <c r="F1277" s="11">
        <v>4</v>
      </c>
      <c r="G1277" s="19">
        <v>6</v>
      </c>
      <c r="H1277" s="13">
        <v>81676</v>
      </c>
      <c r="I1277" s="11" t="s">
        <v>17</v>
      </c>
      <c r="J1277" s="13">
        <v>19127894</v>
      </c>
      <c r="K1277" s="13" t="s">
        <v>1485</v>
      </c>
      <c r="L1277" s="13" t="s">
        <v>1488</v>
      </c>
      <c r="M1277" s="21">
        <v>139900</v>
      </c>
      <c r="N1277" s="15">
        <v>0.75</v>
      </c>
      <c r="O1277" s="16">
        <f t="shared" si="89"/>
        <v>34975</v>
      </c>
      <c r="P1277" s="11" t="s">
        <v>20</v>
      </c>
    </row>
    <row r="1278" spans="1:16" x14ac:dyDescent="0.25">
      <c r="A1278" s="9" t="str">
        <f t="shared" si="90"/>
        <v>2024 ALL D75</v>
      </c>
      <c r="B1278" s="10">
        <f t="shared" si="90"/>
        <v>46104</v>
      </c>
      <c r="C1278" s="10">
        <v>46113</v>
      </c>
      <c r="D1278" s="11">
        <v>3273</v>
      </c>
      <c r="E1278" s="11">
        <v>336</v>
      </c>
      <c r="F1278" s="11">
        <v>4</v>
      </c>
      <c r="G1278" s="19">
        <v>6</v>
      </c>
      <c r="H1278" s="13">
        <v>81676</v>
      </c>
      <c r="I1278" s="11" t="s">
        <v>17</v>
      </c>
      <c r="J1278" s="13">
        <v>19127901</v>
      </c>
      <c r="K1278" s="13" t="s">
        <v>1485</v>
      </c>
      <c r="L1278" s="13" t="s">
        <v>1489</v>
      </c>
      <c r="M1278" s="21">
        <v>139900</v>
      </c>
      <c r="N1278" s="15">
        <v>0.75</v>
      </c>
      <c r="O1278" s="16">
        <f t="shared" si="89"/>
        <v>34975</v>
      </c>
      <c r="P1278" s="11" t="s">
        <v>20</v>
      </c>
    </row>
    <row r="1279" spans="1:16" x14ac:dyDescent="0.25">
      <c r="A1279" s="9" t="str">
        <f t="shared" si="90"/>
        <v>2024 ALL D75</v>
      </c>
      <c r="B1279" s="10">
        <f t="shared" si="90"/>
        <v>46104</v>
      </c>
      <c r="C1279" s="10">
        <v>46113</v>
      </c>
      <c r="D1279" s="11">
        <v>3273</v>
      </c>
      <c r="E1279" s="11">
        <v>336</v>
      </c>
      <c r="F1279" s="11">
        <v>4</v>
      </c>
      <c r="G1279" s="19">
        <v>6</v>
      </c>
      <c r="H1279" s="13">
        <v>81676</v>
      </c>
      <c r="I1279" s="11" t="s">
        <v>17</v>
      </c>
      <c r="J1279" s="13">
        <v>19127910</v>
      </c>
      <c r="K1279" s="13" t="s">
        <v>1485</v>
      </c>
      <c r="L1279" s="13" t="s">
        <v>1490</v>
      </c>
      <c r="M1279" s="21">
        <v>139900</v>
      </c>
      <c r="N1279" s="15">
        <v>0.75</v>
      </c>
      <c r="O1279" s="16">
        <f t="shared" si="89"/>
        <v>34975</v>
      </c>
      <c r="P1279" s="11" t="s">
        <v>20</v>
      </c>
    </row>
    <row r="1280" spans="1:16" x14ac:dyDescent="0.25">
      <c r="A1280" s="9" t="str">
        <f t="shared" si="90"/>
        <v>2024 ALL D75</v>
      </c>
      <c r="B1280" s="10">
        <f t="shared" si="90"/>
        <v>46104</v>
      </c>
      <c r="C1280" s="10">
        <v>46113</v>
      </c>
      <c r="D1280" s="11">
        <v>3273</v>
      </c>
      <c r="E1280" s="11">
        <v>336</v>
      </c>
      <c r="F1280" s="11">
        <v>4</v>
      </c>
      <c r="G1280" s="19">
        <v>6</v>
      </c>
      <c r="H1280" s="13">
        <v>81676</v>
      </c>
      <c r="I1280" s="11" t="s">
        <v>17</v>
      </c>
      <c r="J1280" s="13">
        <v>19127929</v>
      </c>
      <c r="K1280" s="13" t="s">
        <v>1485</v>
      </c>
      <c r="L1280" s="13" t="s">
        <v>1491</v>
      </c>
      <c r="M1280" s="21">
        <v>139900</v>
      </c>
      <c r="N1280" s="15">
        <v>0.75</v>
      </c>
      <c r="O1280" s="16">
        <f t="shared" si="89"/>
        <v>34975</v>
      </c>
      <c r="P1280" s="11" t="s">
        <v>20</v>
      </c>
    </row>
    <row r="1281" spans="1:16" x14ac:dyDescent="0.25">
      <c r="A1281" s="9" t="str">
        <f t="shared" si="90"/>
        <v>2024 ALL D75</v>
      </c>
      <c r="B1281" s="10">
        <f t="shared" si="90"/>
        <v>46104</v>
      </c>
      <c r="C1281" s="10">
        <v>46113</v>
      </c>
      <c r="D1281" s="11">
        <v>3273</v>
      </c>
      <c r="E1281" s="11">
        <v>336</v>
      </c>
      <c r="F1281" s="11">
        <v>4</v>
      </c>
      <c r="G1281" s="19">
        <v>10</v>
      </c>
      <c r="H1281" s="13">
        <v>81574</v>
      </c>
      <c r="I1281" s="11" t="s">
        <v>17</v>
      </c>
      <c r="J1281" s="13">
        <v>23129106</v>
      </c>
      <c r="K1281" s="13" t="s">
        <v>1492</v>
      </c>
      <c r="L1281" s="13" t="s">
        <v>1493</v>
      </c>
      <c r="M1281" s="21">
        <v>139900</v>
      </c>
      <c r="N1281" s="15">
        <v>0.75</v>
      </c>
      <c r="O1281" s="16">
        <f t="shared" si="89"/>
        <v>34975</v>
      </c>
      <c r="P1281" s="11" t="s">
        <v>20</v>
      </c>
    </row>
    <row r="1282" spans="1:16" x14ac:dyDescent="0.25">
      <c r="A1282" s="9" t="str">
        <f t="shared" si="90"/>
        <v>2024 ALL D75</v>
      </c>
      <c r="B1282" s="10">
        <f t="shared" si="90"/>
        <v>46104</v>
      </c>
      <c r="C1282" s="10">
        <v>46113</v>
      </c>
      <c r="D1282" s="11">
        <v>3273</v>
      </c>
      <c r="E1282" s="11">
        <v>336</v>
      </c>
      <c r="F1282" s="11">
        <v>4</v>
      </c>
      <c r="G1282" s="19">
        <v>10</v>
      </c>
      <c r="H1282" s="13">
        <v>81574</v>
      </c>
      <c r="I1282" s="11" t="s">
        <v>17</v>
      </c>
      <c r="J1282" s="13">
        <v>23129115</v>
      </c>
      <c r="K1282" s="13" t="s">
        <v>1494</v>
      </c>
      <c r="L1282" s="13" t="s">
        <v>1495</v>
      </c>
      <c r="M1282" s="21">
        <v>139900</v>
      </c>
      <c r="N1282" s="15">
        <v>0.75</v>
      </c>
      <c r="O1282" s="16">
        <f t="shared" ref="O1282:O1345" si="91">M1282*(1-N1282)</f>
        <v>34975</v>
      </c>
      <c r="P1282" s="11" t="s">
        <v>20</v>
      </c>
    </row>
    <row r="1283" spans="1:16" x14ac:dyDescent="0.25">
      <c r="A1283" s="9" t="str">
        <f t="shared" si="90"/>
        <v>2024 ALL D75</v>
      </c>
      <c r="B1283" s="10">
        <f t="shared" si="90"/>
        <v>46104</v>
      </c>
      <c r="C1283" s="10">
        <v>46113</v>
      </c>
      <c r="D1283" s="11">
        <v>3273</v>
      </c>
      <c r="E1283" s="11">
        <v>336</v>
      </c>
      <c r="F1283" s="11">
        <v>4</v>
      </c>
      <c r="G1283" s="19">
        <v>9</v>
      </c>
      <c r="H1283" s="13">
        <v>81676</v>
      </c>
      <c r="I1283" s="11" t="s">
        <v>17</v>
      </c>
      <c r="J1283" s="13">
        <v>23129026</v>
      </c>
      <c r="K1283" s="13" t="s">
        <v>1496</v>
      </c>
      <c r="L1283" s="13" t="s">
        <v>1497</v>
      </c>
      <c r="M1283" s="21">
        <v>159900</v>
      </c>
      <c r="N1283" s="15">
        <v>0.75</v>
      </c>
      <c r="O1283" s="16">
        <f t="shared" si="91"/>
        <v>39975</v>
      </c>
      <c r="P1283" s="11" t="s">
        <v>20</v>
      </c>
    </row>
    <row r="1284" spans="1:16" x14ac:dyDescent="0.25">
      <c r="A1284" s="9" t="str">
        <f t="shared" si="90"/>
        <v>2024 ALL D75</v>
      </c>
      <c r="B1284" s="10">
        <f t="shared" si="90"/>
        <v>46104</v>
      </c>
      <c r="C1284" s="10">
        <v>46113</v>
      </c>
      <c r="D1284" s="11">
        <v>3273</v>
      </c>
      <c r="E1284" s="11">
        <v>336</v>
      </c>
      <c r="F1284" s="11">
        <v>4</v>
      </c>
      <c r="G1284" s="19">
        <v>9</v>
      </c>
      <c r="H1284" s="13">
        <v>81676</v>
      </c>
      <c r="I1284" s="11" t="s">
        <v>17</v>
      </c>
      <c r="J1284" s="13">
        <v>23129035</v>
      </c>
      <c r="K1284" s="13" t="s">
        <v>1496</v>
      </c>
      <c r="L1284" s="13" t="s">
        <v>1498</v>
      </c>
      <c r="M1284" s="21">
        <v>159900</v>
      </c>
      <c r="N1284" s="15">
        <v>0.75</v>
      </c>
      <c r="O1284" s="16">
        <f t="shared" si="91"/>
        <v>39975</v>
      </c>
      <c r="P1284" s="11" t="s">
        <v>20</v>
      </c>
    </row>
    <row r="1285" spans="1:16" x14ac:dyDescent="0.25">
      <c r="A1285" s="9" t="str">
        <f t="shared" si="90"/>
        <v>2024 ALL D75</v>
      </c>
      <c r="B1285" s="10">
        <f t="shared" si="90"/>
        <v>46104</v>
      </c>
      <c r="C1285" s="10">
        <v>46113</v>
      </c>
      <c r="D1285" s="11">
        <v>3273</v>
      </c>
      <c r="E1285" s="11">
        <v>336</v>
      </c>
      <c r="F1285" s="11">
        <v>4</v>
      </c>
      <c r="G1285" s="19">
        <v>9</v>
      </c>
      <c r="H1285" s="13">
        <v>81676</v>
      </c>
      <c r="I1285" s="11" t="s">
        <v>17</v>
      </c>
      <c r="J1285" s="13">
        <v>23129044</v>
      </c>
      <c r="K1285" s="13" t="s">
        <v>1496</v>
      </c>
      <c r="L1285" s="13" t="s">
        <v>1499</v>
      </c>
      <c r="M1285" s="21">
        <v>159900</v>
      </c>
      <c r="N1285" s="15">
        <v>0.75</v>
      </c>
      <c r="O1285" s="16">
        <f t="shared" si="91"/>
        <v>39975</v>
      </c>
      <c r="P1285" s="11" t="s">
        <v>20</v>
      </c>
    </row>
    <row r="1286" spans="1:16" x14ac:dyDescent="0.25">
      <c r="A1286" s="9" t="str">
        <f t="shared" si="90"/>
        <v>2024 ALL D75</v>
      </c>
      <c r="B1286" s="10">
        <f t="shared" si="90"/>
        <v>46104</v>
      </c>
      <c r="C1286" s="10">
        <v>46113</v>
      </c>
      <c r="D1286" s="11">
        <v>3273</v>
      </c>
      <c r="E1286" s="11">
        <v>336</v>
      </c>
      <c r="F1286" s="11">
        <v>4</v>
      </c>
      <c r="G1286" s="19">
        <v>9</v>
      </c>
      <c r="H1286" s="13">
        <v>81676</v>
      </c>
      <c r="I1286" s="11" t="s">
        <v>17</v>
      </c>
      <c r="J1286" s="13">
        <v>23129053</v>
      </c>
      <c r="K1286" s="13" t="s">
        <v>1496</v>
      </c>
      <c r="L1286" s="13" t="s">
        <v>1500</v>
      </c>
      <c r="M1286" s="21">
        <v>159900</v>
      </c>
      <c r="N1286" s="15">
        <v>0.75</v>
      </c>
      <c r="O1286" s="16">
        <f t="shared" si="91"/>
        <v>39975</v>
      </c>
      <c r="P1286" s="11" t="s">
        <v>20</v>
      </c>
    </row>
    <row r="1287" spans="1:16" x14ac:dyDescent="0.25">
      <c r="A1287" s="9" t="str">
        <f t="shared" si="90"/>
        <v>2024 ALL D75</v>
      </c>
      <c r="B1287" s="10">
        <f t="shared" si="90"/>
        <v>46104</v>
      </c>
      <c r="C1287" s="10">
        <v>46113</v>
      </c>
      <c r="D1287" s="11">
        <v>3273</v>
      </c>
      <c r="E1287" s="11">
        <v>336</v>
      </c>
      <c r="F1287" s="11">
        <v>4</v>
      </c>
      <c r="G1287" s="19">
        <v>9</v>
      </c>
      <c r="H1287" s="13">
        <v>81676</v>
      </c>
      <c r="I1287" s="11" t="s">
        <v>17</v>
      </c>
      <c r="J1287" s="13">
        <v>23129062</v>
      </c>
      <c r="K1287" s="13" t="s">
        <v>1496</v>
      </c>
      <c r="L1287" s="13" t="s">
        <v>1501</v>
      </c>
      <c r="M1287" s="21">
        <v>159900</v>
      </c>
      <c r="N1287" s="15">
        <v>0.75</v>
      </c>
      <c r="O1287" s="16">
        <f t="shared" si="91"/>
        <v>39975</v>
      </c>
      <c r="P1287" s="11" t="s">
        <v>20</v>
      </c>
    </row>
    <row r="1288" spans="1:16" x14ac:dyDescent="0.25">
      <c r="A1288" s="9" t="str">
        <f t="shared" si="90"/>
        <v>2024 ALL D75</v>
      </c>
      <c r="B1288" s="10">
        <f t="shared" si="90"/>
        <v>46104</v>
      </c>
      <c r="C1288" s="10">
        <v>46113</v>
      </c>
      <c r="D1288" s="11">
        <v>3273</v>
      </c>
      <c r="E1288" s="11">
        <v>336</v>
      </c>
      <c r="F1288" s="11">
        <v>4</v>
      </c>
      <c r="G1288" s="19">
        <v>9</v>
      </c>
      <c r="H1288" s="13">
        <v>81676</v>
      </c>
      <c r="I1288" s="11" t="s">
        <v>17</v>
      </c>
      <c r="J1288" s="13">
        <v>23129071</v>
      </c>
      <c r="K1288" s="13" t="s">
        <v>1496</v>
      </c>
      <c r="L1288" s="13" t="s">
        <v>1502</v>
      </c>
      <c r="M1288" s="21">
        <v>159900</v>
      </c>
      <c r="N1288" s="15">
        <v>0.75</v>
      </c>
      <c r="O1288" s="16">
        <f t="shared" si="91"/>
        <v>39975</v>
      </c>
      <c r="P1288" s="11" t="s">
        <v>20</v>
      </c>
    </row>
    <row r="1289" spans="1:16" x14ac:dyDescent="0.25">
      <c r="A1289" s="9" t="str">
        <f t="shared" si="90"/>
        <v>2024 ALL D75</v>
      </c>
      <c r="B1289" s="10">
        <f t="shared" si="90"/>
        <v>46104</v>
      </c>
      <c r="C1289" s="10">
        <v>46113</v>
      </c>
      <c r="D1289" s="11">
        <v>3273</v>
      </c>
      <c r="E1289" s="11">
        <v>336</v>
      </c>
      <c r="F1289" s="11">
        <v>4</v>
      </c>
      <c r="G1289" s="19">
        <v>9</v>
      </c>
      <c r="H1289" s="13">
        <v>81676</v>
      </c>
      <c r="I1289" s="11" t="s">
        <v>17</v>
      </c>
      <c r="J1289" s="13">
        <v>23129080</v>
      </c>
      <c r="K1289" s="13" t="s">
        <v>1496</v>
      </c>
      <c r="L1289" s="13" t="s">
        <v>1503</v>
      </c>
      <c r="M1289" s="21">
        <v>159900</v>
      </c>
      <c r="N1289" s="15">
        <v>0.75</v>
      </c>
      <c r="O1289" s="16">
        <f t="shared" si="91"/>
        <v>39975</v>
      </c>
      <c r="P1289" s="11" t="s">
        <v>20</v>
      </c>
    </row>
    <row r="1290" spans="1:16" x14ac:dyDescent="0.25">
      <c r="A1290" s="9" t="str">
        <f t="shared" si="90"/>
        <v>2024 ALL D75</v>
      </c>
      <c r="B1290" s="10">
        <f t="shared" si="90"/>
        <v>46104</v>
      </c>
      <c r="C1290" s="10">
        <v>46113</v>
      </c>
      <c r="D1290" s="11">
        <v>3273</v>
      </c>
      <c r="E1290" s="11">
        <v>336</v>
      </c>
      <c r="F1290" s="11">
        <v>4</v>
      </c>
      <c r="G1290" s="19">
        <v>9</v>
      </c>
      <c r="H1290" s="13">
        <v>81676</v>
      </c>
      <c r="I1290" s="11" t="s">
        <v>17</v>
      </c>
      <c r="J1290" s="13">
        <v>23129099</v>
      </c>
      <c r="K1290" s="13" t="s">
        <v>1496</v>
      </c>
      <c r="L1290" s="13" t="s">
        <v>1504</v>
      </c>
      <c r="M1290" s="21">
        <v>159900</v>
      </c>
      <c r="N1290" s="15">
        <v>0.75</v>
      </c>
      <c r="O1290" s="16">
        <f t="shared" si="91"/>
        <v>39975</v>
      </c>
      <c r="P1290" s="11" t="s">
        <v>20</v>
      </c>
    </row>
    <row r="1291" spans="1:16" x14ac:dyDescent="0.25">
      <c r="A1291" s="9" t="str">
        <f t="shared" si="90"/>
        <v>2024 ALL D75</v>
      </c>
      <c r="B1291" s="10">
        <f t="shared" si="90"/>
        <v>46104</v>
      </c>
      <c r="C1291" s="10">
        <v>46113</v>
      </c>
      <c r="D1291" s="11">
        <v>3273</v>
      </c>
      <c r="E1291" s="11">
        <v>336</v>
      </c>
      <c r="F1291" s="11">
        <v>4</v>
      </c>
      <c r="G1291" s="19">
        <v>8</v>
      </c>
      <c r="H1291" s="13">
        <v>81588</v>
      </c>
      <c r="I1291" s="11" t="s">
        <v>17</v>
      </c>
      <c r="J1291" s="13">
        <v>23128321</v>
      </c>
      <c r="K1291" s="13" t="s">
        <v>1505</v>
      </c>
      <c r="L1291" s="13" t="s">
        <v>1506</v>
      </c>
      <c r="M1291" s="21">
        <v>239900</v>
      </c>
      <c r="N1291" s="15">
        <v>0.75</v>
      </c>
      <c r="O1291" s="16">
        <f t="shared" si="91"/>
        <v>59975</v>
      </c>
      <c r="P1291" s="11" t="s">
        <v>20</v>
      </c>
    </row>
    <row r="1292" spans="1:16" x14ac:dyDescent="0.25">
      <c r="A1292" s="9" t="str">
        <f t="shared" si="90"/>
        <v>2024 ALL D75</v>
      </c>
      <c r="B1292" s="10">
        <f t="shared" si="90"/>
        <v>46104</v>
      </c>
      <c r="C1292" s="10">
        <v>46113</v>
      </c>
      <c r="D1292" s="11">
        <v>3273</v>
      </c>
      <c r="E1292" s="11">
        <v>336</v>
      </c>
      <c r="F1292" s="11">
        <v>4</v>
      </c>
      <c r="G1292" s="19">
        <v>8</v>
      </c>
      <c r="H1292" s="13">
        <v>81588</v>
      </c>
      <c r="I1292" s="11" t="s">
        <v>17</v>
      </c>
      <c r="J1292" s="13">
        <v>23128330</v>
      </c>
      <c r="K1292" s="13" t="s">
        <v>1505</v>
      </c>
      <c r="L1292" s="13" t="s">
        <v>1507</v>
      </c>
      <c r="M1292" s="21">
        <v>239900</v>
      </c>
      <c r="N1292" s="15">
        <v>0.75</v>
      </c>
      <c r="O1292" s="16">
        <f t="shared" si="91"/>
        <v>59975</v>
      </c>
      <c r="P1292" s="11" t="s">
        <v>20</v>
      </c>
    </row>
    <row r="1293" spans="1:16" x14ac:dyDescent="0.25">
      <c r="A1293" s="9" t="str">
        <f t="shared" si="90"/>
        <v>2024 ALL D75</v>
      </c>
      <c r="B1293" s="10">
        <f t="shared" si="90"/>
        <v>46104</v>
      </c>
      <c r="C1293" s="10">
        <v>46113</v>
      </c>
      <c r="D1293" s="11">
        <v>3273</v>
      </c>
      <c r="E1293" s="11">
        <v>336</v>
      </c>
      <c r="F1293" s="11">
        <v>4</v>
      </c>
      <c r="G1293" s="19">
        <v>8</v>
      </c>
      <c r="H1293" s="13">
        <v>81588</v>
      </c>
      <c r="I1293" s="11" t="s">
        <v>17</v>
      </c>
      <c r="J1293" s="13">
        <v>23128349</v>
      </c>
      <c r="K1293" s="13" t="s">
        <v>1505</v>
      </c>
      <c r="L1293" s="13" t="s">
        <v>1508</v>
      </c>
      <c r="M1293" s="21">
        <v>239900</v>
      </c>
      <c r="N1293" s="15">
        <v>0.75</v>
      </c>
      <c r="O1293" s="16">
        <f t="shared" si="91"/>
        <v>59975</v>
      </c>
      <c r="P1293" s="11" t="s">
        <v>20</v>
      </c>
    </row>
    <row r="1294" spans="1:16" x14ac:dyDescent="0.25">
      <c r="A1294" s="9" t="str">
        <f t="shared" si="90"/>
        <v>2024 ALL D75</v>
      </c>
      <c r="B1294" s="10">
        <f t="shared" si="90"/>
        <v>46104</v>
      </c>
      <c r="C1294" s="10">
        <v>46113</v>
      </c>
      <c r="D1294" s="11">
        <v>3273</v>
      </c>
      <c r="E1294" s="11">
        <v>336</v>
      </c>
      <c r="F1294" s="11">
        <v>4</v>
      </c>
      <c r="G1294" s="19">
        <v>8</v>
      </c>
      <c r="H1294" s="13">
        <v>81588</v>
      </c>
      <c r="I1294" s="11" t="s">
        <v>17</v>
      </c>
      <c r="J1294" s="13">
        <v>23128358</v>
      </c>
      <c r="K1294" s="13" t="s">
        <v>1505</v>
      </c>
      <c r="L1294" s="13" t="s">
        <v>1509</v>
      </c>
      <c r="M1294" s="21">
        <v>239900</v>
      </c>
      <c r="N1294" s="15">
        <v>0.75</v>
      </c>
      <c r="O1294" s="16">
        <f t="shared" si="91"/>
        <v>59975</v>
      </c>
      <c r="P1294" s="11" t="s">
        <v>20</v>
      </c>
    </row>
    <row r="1295" spans="1:16" x14ac:dyDescent="0.25">
      <c r="A1295" s="9" t="str">
        <f t="shared" si="90"/>
        <v>2024 ALL D75</v>
      </c>
      <c r="B1295" s="10">
        <f t="shared" si="90"/>
        <v>46104</v>
      </c>
      <c r="C1295" s="10">
        <v>46113</v>
      </c>
      <c r="D1295" s="11">
        <v>3273</v>
      </c>
      <c r="E1295" s="11">
        <v>336</v>
      </c>
      <c r="F1295" s="11">
        <v>4</v>
      </c>
      <c r="G1295" s="19">
        <v>8</v>
      </c>
      <c r="H1295" s="13">
        <v>81588</v>
      </c>
      <c r="I1295" s="11" t="s">
        <v>17</v>
      </c>
      <c r="J1295" s="13">
        <v>23128367</v>
      </c>
      <c r="K1295" s="13" t="s">
        <v>1505</v>
      </c>
      <c r="L1295" s="13" t="s">
        <v>1510</v>
      </c>
      <c r="M1295" s="21">
        <v>239900</v>
      </c>
      <c r="N1295" s="15">
        <v>0.75</v>
      </c>
      <c r="O1295" s="16">
        <f t="shared" si="91"/>
        <v>59975</v>
      </c>
      <c r="P1295" s="11" t="s">
        <v>20</v>
      </c>
    </row>
    <row r="1296" spans="1:16" x14ac:dyDescent="0.25">
      <c r="A1296" s="9" t="str">
        <f t="shared" si="90"/>
        <v>2024 ALL D75</v>
      </c>
      <c r="B1296" s="10">
        <f t="shared" si="90"/>
        <v>46104</v>
      </c>
      <c r="C1296" s="10">
        <v>46113</v>
      </c>
      <c r="D1296" s="11">
        <v>3273</v>
      </c>
      <c r="E1296" s="11">
        <v>336</v>
      </c>
      <c r="F1296" s="11">
        <v>4</v>
      </c>
      <c r="G1296" s="19">
        <v>8</v>
      </c>
      <c r="H1296" s="13">
        <v>81588</v>
      </c>
      <c r="I1296" s="11" t="s">
        <v>17</v>
      </c>
      <c r="J1296" s="13">
        <v>23128483</v>
      </c>
      <c r="K1296" s="13" t="s">
        <v>1505</v>
      </c>
      <c r="L1296" s="13" t="s">
        <v>1511</v>
      </c>
      <c r="M1296" s="21">
        <v>239900</v>
      </c>
      <c r="N1296" s="15">
        <v>0.75</v>
      </c>
      <c r="O1296" s="16">
        <f t="shared" si="91"/>
        <v>59975</v>
      </c>
      <c r="P1296" s="11" t="s">
        <v>20</v>
      </c>
    </row>
    <row r="1297" spans="1:16" x14ac:dyDescent="0.25">
      <c r="A1297" s="9" t="str">
        <f t="shared" si="90"/>
        <v>2024 ALL D75</v>
      </c>
      <c r="B1297" s="10">
        <f t="shared" si="90"/>
        <v>46104</v>
      </c>
      <c r="C1297" s="10">
        <v>46113</v>
      </c>
      <c r="D1297" s="11">
        <v>3273</v>
      </c>
      <c r="E1297" s="11">
        <v>336</v>
      </c>
      <c r="F1297" s="11">
        <v>4</v>
      </c>
      <c r="G1297" s="19">
        <v>8</v>
      </c>
      <c r="H1297" s="13">
        <v>81588</v>
      </c>
      <c r="I1297" s="11" t="s">
        <v>17</v>
      </c>
      <c r="J1297" s="13">
        <v>23128616</v>
      </c>
      <c r="K1297" s="13" t="s">
        <v>1505</v>
      </c>
      <c r="L1297" s="13" t="s">
        <v>1512</v>
      </c>
      <c r="M1297" s="21">
        <v>239900</v>
      </c>
      <c r="N1297" s="15">
        <v>0.75</v>
      </c>
      <c r="O1297" s="16">
        <f t="shared" si="91"/>
        <v>59975</v>
      </c>
      <c r="P1297" s="11" t="s">
        <v>20</v>
      </c>
    </row>
    <row r="1298" spans="1:16" x14ac:dyDescent="0.25">
      <c r="A1298" s="9" t="str">
        <f t="shared" si="90"/>
        <v>2024 ALL D75</v>
      </c>
      <c r="B1298" s="10">
        <f t="shared" si="90"/>
        <v>46104</v>
      </c>
      <c r="C1298" s="10">
        <v>46113</v>
      </c>
      <c r="D1298" s="11">
        <v>3273</v>
      </c>
      <c r="E1298" s="11">
        <v>336</v>
      </c>
      <c r="F1298" s="11">
        <v>4</v>
      </c>
      <c r="G1298" s="19">
        <v>8</v>
      </c>
      <c r="H1298" s="13">
        <v>81588</v>
      </c>
      <c r="I1298" s="11" t="s">
        <v>17</v>
      </c>
      <c r="J1298" s="13">
        <v>23128625</v>
      </c>
      <c r="K1298" s="13" t="s">
        <v>1505</v>
      </c>
      <c r="L1298" s="13" t="s">
        <v>1513</v>
      </c>
      <c r="M1298" s="21">
        <v>239900</v>
      </c>
      <c r="N1298" s="15">
        <v>0.75</v>
      </c>
      <c r="O1298" s="16">
        <f t="shared" si="91"/>
        <v>59975</v>
      </c>
      <c r="P1298" s="11" t="s">
        <v>20</v>
      </c>
    </row>
    <row r="1299" spans="1:16" x14ac:dyDescent="0.25">
      <c r="A1299" s="9" t="str">
        <f t="shared" si="90"/>
        <v>2024 ALL D75</v>
      </c>
      <c r="B1299" s="10">
        <f t="shared" si="90"/>
        <v>46104</v>
      </c>
      <c r="C1299" s="10">
        <v>46113</v>
      </c>
      <c r="D1299" s="11">
        <v>3273</v>
      </c>
      <c r="E1299" s="11">
        <v>336</v>
      </c>
      <c r="F1299" s="11">
        <v>4</v>
      </c>
      <c r="G1299" s="19">
        <v>7</v>
      </c>
      <c r="H1299" s="13">
        <v>81574</v>
      </c>
      <c r="I1299" s="11" t="s">
        <v>17</v>
      </c>
      <c r="J1299" s="13">
        <v>45248286</v>
      </c>
      <c r="K1299" s="13" t="s">
        <v>1514</v>
      </c>
      <c r="L1299" s="13" t="s">
        <v>1515</v>
      </c>
      <c r="M1299" s="21">
        <v>259900</v>
      </c>
      <c r="N1299" s="15">
        <v>0.75</v>
      </c>
      <c r="O1299" s="16">
        <f t="shared" si="91"/>
        <v>64975</v>
      </c>
      <c r="P1299" s="11" t="s">
        <v>20</v>
      </c>
    </row>
    <row r="1300" spans="1:16" x14ac:dyDescent="0.25">
      <c r="A1300" s="9" t="str">
        <f t="shared" ref="A1300:B1315" si="92">A1299</f>
        <v>2024 ALL D75</v>
      </c>
      <c r="B1300" s="10">
        <f t="shared" si="92"/>
        <v>46104</v>
      </c>
      <c r="C1300" s="10">
        <v>46113</v>
      </c>
      <c r="D1300" s="11">
        <v>3273</v>
      </c>
      <c r="E1300" s="11">
        <v>336</v>
      </c>
      <c r="F1300" s="11">
        <v>4</v>
      </c>
      <c r="G1300" s="19">
        <v>7</v>
      </c>
      <c r="H1300" s="13">
        <v>81574</v>
      </c>
      <c r="I1300" s="11" t="s">
        <v>17</v>
      </c>
      <c r="J1300" s="13">
        <v>45248295</v>
      </c>
      <c r="K1300" s="13" t="s">
        <v>1514</v>
      </c>
      <c r="L1300" s="13" t="s">
        <v>1516</v>
      </c>
      <c r="M1300" s="21">
        <v>259900</v>
      </c>
      <c r="N1300" s="15">
        <v>0.75</v>
      </c>
      <c r="O1300" s="16">
        <f t="shared" si="91"/>
        <v>64975</v>
      </c>
      <c r="P1300" s="11" t="s">
        <v>20</v>
      </c>
    </row>
    <row r="1301" spans="1:16" x14ac:dyDescent="0.25">
      <c r="A1301" s="9" t="str">
        <f t="shared" si="92"/>
        <v>2024 ALL D75</v>
      </c>
      <c r="B1301" s="10">
        <f t="shared" si="92"/>
        <v>46104</v>
      </c>
      <c r="C1301" s="10">
        <v>46113</v>
      </c>
      <c r="D1301" s="11">
        <v>3273</v>
      </c>
      <c r="E1301" s="11">
        <v>336</v>
      </c>
      <c r="F1301" s="11">
        <v>4</v>
      </c>
      <c r="G1301" s="19">
        <v>7</v>
      </c>
      <c r="H1301" s="13">
        <v>81574</v>
      </c>
      <c r="I1301" s="11" t="s">
        <v>17</v>
      </c>
      <c r="J1301" s="13">
        <v>45248302</v>
      </c>
      <c r="K1301" s="13" t="s">
        <v>1514</v>
      </c>
      <c r="L1301" s="13" t="s">
        <v>1517</v>
      </c>
      <c r="M1301" s="21">
        <v>259900</v>
      </c>
      <c r="N1301" s="15">
        <v>0.75</v>
      </c>
      <c r="O1301" s="16">
        <f t="shared" si="91"/>
        <v>64975</v>
      </c>
      <c r="P1301" s="11" t="s">
        <v>20</v>
      </c>
    </row>
    <row r="1302" spans="1:16" x14ac:dyDescent="0.25">
      <c r="A1302" s="9" t="str">
        <f t="shared" si="92"/>
        <v>2024 ALL D75</v>
      </c>
      <c r="B1302" s="10">
        <f t="shared" si="92"/>
        <v>46104</v>
      </c>
      <c r="C1302" s="10">
        <v>46113</v>
      </c>
      <c r="D1302" s="11">
        <v>3273</v>
      </c>
      <c r="E1302" s="11">
        <v>336</v>
      </c>
      <c r="F1302" s="11">
        <v>4</v>
      </c>
      <c r="G1302" s="19">
        <v>7</v>
      </c>
      <c r="H1302" s="13">
        <v>81574</v>
      </c>
      <c r="I1302" s="11" t="s">
        <v>17</v>
      </c>
      <c r="J1302" s="13">
        <v>45248311</v>
      </c>
      <c r="K1302" s="13" t="s">
        <v>1514</v>
      </c>
      <c r="L1302" s="13" t="s">
        <v>1518</v>
      </c>
      <c r="M1302" s="21">
        <v>259900</v>
      </c>
      <c r="N1302" s="15">
        <v>0.75</v>
      </c>
      <c r="O1302" s="16">
        <f t="shared" si="91"/>
        <v>64975</v>
      </c>
      <c r="P1302" s="11" t="s">
        <v>20</v>
      </c>
    </row>
    <row r="1303" spans="1:16" x14ac:dyDescent="0.25">
      <c r="A1303" s="9" t="str">
        <f t="shared" si="92"/>
        <v>2024 ALL D75</v>
      </c>
      <c r="B1303" s="10">
        <f t="shared" si="92"/>
        <v>46104</v>
      </c>
      <c r="C1303" s="10">
        <v>46113</v>
      </c>
      <c r="D1303" s="11">
        <v>3273</v>
      </c>
      <c r="E1303" s="11">
        <v>336</v>
      </c>
      <c r="F1303" s="11">
        <v>4</v>
      </c>
      <c r="G1303" s="19">
        <v>7</v>
      </c>
      <c r="H1303" s="13">
        <v>81574</v>
      </c>
      <c r="I1303" s="11" t="s">
        <v>17</v>
      </c>
      <c r="J1303" s="13">
        <v>45248320</v>
      </c>
      <c r="K1303" s="13" t="s">
        <v>1514</v>
      </c>
      <c r="L1303" s="13" t="s">
        <v>1519</v>
      </c>
      <c r="M1303" s="21">
        <v>259900</v>
      </c>
      <c r="N1303" s="15">
        <v>0.75</v>
      </c>
      <c r="O1303" s="16">
        <f t="shared" si="91"/>
        <v>64975</v>
      </c>
      <c r="P1303" s="11" t="s">
        <v>20</v>
      </c>
    </row>
    <row r="1304" spans="1:16" x14ac:dyDescent="0.25">
      <c r="A1304" s="9" t="str">
        <f t="shared" si="92"/>
        <v>2024 ALL D75</v>
      </c>
      <c r="B1304" s="10">
        <f t="shared" si="92"/>
        <v>46104</v>
      </c>
      <c r="C1304" s="10">
        <v>46113</v>
      </c>
      <c r="D1304" s="11">
        <v>3273</v>
      </c>
      <c r="E1304" s="11">
        <v>336</v>
      </c>
      <c r="F1304" s="11">
        <v>4</v>
      </c>
      <c r="G1304" s="19">
        <v>7</v>
      </c>
      <c r="H1304" s="13">
        <v>81574</v>
      </c>
      <c r="I1304" s="11" t="s">
        <v>17</v>
      </c>
      <c r="J1304" s="13">
        <v>45248339</v>
      </c>
      <c r="K1304" s="13" t="s">
        <v>1514</v>
      </c>
      <c r="L1304" s="13" t="s">
        <v>1520</v>
      </c>
      <c r="M1304" s="21">
        <v>259900</v>
      </c>
      <c r="N1304" s="15">
        <v>0.75</v>
      </c>
      <c r="O1304" s="16">
        <f t="shared" si="91"/>
        <v>64975</v>
      </c>
      <c r="P1304" s="11" t="s">
        <v>20</v>
      </c>
    </row>
    <row r="1305" spans="1:16" x14ac:dyDescent="0.25">
      <c r="A1305" s="9" t="str">
        <f t="shared" si="92"/>
        <v>2024 ALL D75</v>
      </c>
      <c r="B1305" s="10">
        <f t="shared" si="92"/>
        <v>46104</v>
      </c>
      <c r="C1305" s="10">
        <v>46113</v>
      </c>
      <c r="D1305" s="11">
        <v>3273</v>
      </c>
      <c r="E1305" s="11">
        <v>336</v>
      </c>
      <c r="F1305" s="11">
        <v>4</v>
      </c>
      <c r="G1305" s="19">
        <v>7</v>
      </c>
      <c r="H1305" s="13">
        <v>81574</v>
      </c>
      <c r="I1305" s="11" t="s">
        <v>17</v>
      </c>
      <c r="J1305" s="13">
        <v>45248348</v>
      </c>
      <c r="K1305" s="13" t="s">
        <v>1514</v>
      </c>
      <c r="L1305" s="13" t="s">
        <v>1521</v>
      </c>
      <c r="M1305" s="21">
        <v>259900</v>
      </c>
      <c r="N1305" s="15">
        <v>0.75</v>
      </c>
      <c r="O1305" s="16">
        <f t="shared" si="91"/>
        <v>64975</v>
      </c>
      <c r="P1305" s="11" t="s">
        <v>20</v>
      </c>
    </row>
    <row r="1306" spans="1:16" x14ac:dyDescent="0.25">
      <c r="A1306" s="9" t="str">
        <f t="shared" si="92"/>
        <v>2024 ALL D75</v>
      </c>
      <c r="B1306" s="10">
        <f t="shared" si="92"/>
        <v>46104</v>
      </c>
      <c r="C1306" s="10">
        <v>46113</v>
      </c>
      <c r="D1306" s="11">
        <v>3273</v>
      </c>
      <c r="E1306" s="11">
        <v>336</v>
      </c>
      <c r="F1306" s="11">
        <v>4</v>
      </c>
      <c r="G1306" s="19">
        <v>7</v>
      </c>
      <c r="H1306" s="13">
        <v>81574</v>
      </c>
      <c r="I1306" s="11" t="s">
        <v>17</v>
      </c>
      <c r="J1306" s="13">
        <v>45248357</v>
      </c>
      <c r="K1306" s="13" t="s">
        <v>1514</v>
      </c>
      <c r="L1306" s="13" t="s">
        <v>1522</v>
      </c>
      <c r="M1306" s="21">
        <v>259900</v>
      </c>
      <c r="N1306" s="15">
        <v>0.75</v>
      </c>
      <c r="O1306" s="16">
        <f t="shared" si="91"/>
        <v>64975</v>
      </c>
      <c r="P1306" s="11" t="s">
        <v>20</v>
      </c>
    </row>
    <row r="1307" spans="1:16" x14ac:dyDescent="0.25">
      <c r="A1307" s="9" t="str">
        <f t="shared" si="92"/>
        <v>2024 ALL D75</v>
      </c>
      <c r="B1307" s="10">
        <f t="shared" si="92"/>
        <v>46104</v>
      </c>
      <c r="C1307" s="10">
        <v>46113</v>
      </c>
      <c r="D1307" s="11">
        <v>3273</v>
      </c>
      <c r="E1307" s="11">
        <v>336</v>
      </c>
      <c r="F1307" s="11">
        <v>4</v>
      </c>
      <c r="G1307" s="19">
        <v>7</v>
      </c>
      <c r="H1307" s="13">
        <v>81574</v>
      </c>
      <c r="I1307" s="11" t="s">
        <v>17</v>
      </c>
      <c r="J1307" s="13">
        <v>45248366</v>
      </c>
      <c r="K1307" s="13" t="s">
        <v>1523</v>
      </c>
      <c r="L1307" s="13" t="s">
        <v>1524</v>
      </c>
      <c r="M1307" s="21">
        <v>249900</v>
      </c>
      <c r="N1307" s="15">
        <v>0.75</v>
      </c>
      <c r="O1307" s="16">
        <f t="shared" si="91"/>
        <v>62475</v>
      </c>
      <c r="P1307" s="11" t="s">
        <v>20</v>
      </c>
    </row>
    <row r="1308" spans="1:16" x14ac:dyDescent="0.25">
      <c r="A1308" s="9" t="str">
        <f t="shared" si="92"/>
        <v>2024 ALL D75</v>
      </c>
      <c r="B1308" s="10">
        <f t="shared" si="92"/>
        <v>46104</v>
      </c>
      <c r="C1308" s="10">
        <v>46113</v>
      </c>
      <c r="D1308" s="11">
        <v>3273</v>
      </c>
      <c r="E1308" s="11">
        <v>336</v>
      </c>
      <c r="F1308" s="11">
        <v>4</v>
      </c>
      <c r="G1308" s="19">
        <v>7</v>
      </c>
      <c r="H1308" s="13">
        <v>81574</v>
      </c>
      <c r="I1308" s="11" t="s">
        <v>17</v>
      </c>
      <c r="J1308" s="13">
        <v>45248375</v>
      </c>
      <c r="K1308" s="13" t="s">
        <v>1523</v>
      </c>
      <c r="L1308" s="13" t="s">
        <v>1525</v>
      </c>
      <c r="M1308" s="21">
        <v>249900</v>
      </c>
      <c r="N1308" s="15">
        <v>0.75</v>
      </c>
      <c r="O1308" s="16">
        <f t="shared" si="91"/>
        <v>62475</v>
      </c>
      <c r="P1308" s="11" t="s">
        <v>20</v>
      </c>
    </row>
    <row r="1309" spans="1:16" x14ac:dyDescent="0.25">
      <c r="A1309" s="9" t="str">
        <f t="shared" si="92"/>
        <v>2024 ALL D75</v>
      </c>
      <c r="B1309" s="10">
        <f t="shared" si="92"/>
        <v>46104</v>
      </c>
      <c r="C1309" s="10">
        <v>46113</v>
      </c>
      <c r="D1309" s="11">
        <v>3273</v>
      </c>
      <c r="E1309" s="11">
        <v>336</v>
      </c>
      <c r="F1309" s="11">
        <v>4</v>
      </c>
      <c r="G1309" s="19">
        <v>7</v>
      </c>
      <c r="H1309" s="13">
        <v>81574</v>
      </c>
      <c r="I1309" s="11" t="s">
        <v>17</v>
      </c>
      <c r="J1309" s="13">
        <v>45248384</v>
      </c>
      <c r="K1309" s="13" t="s">
        <v>1523</v>
      </c>
      <c r="L1309" s="13" t="s">
        <v>1526</v>
      </c>
      <c r="M1309" s="21">
        <v>249900</v>
      </c>
      <c r="N1309" s="15">
        <v>0.75</v>
      </c>
      <c r="O1309" s="16">
        <f t="shared" si="91"/>
        <v>62475</v>
      </c>
      <c r="P1309" s="11" t="s">
        <v>20</v>
      </c>
    </row>
    <row r="1310" spans="1:16" x14ac:dyDescent="0.25">
      <c r="A1310" s="9" t="str">
        <f t="shared" si="92"/>
        <v>2024 ALL D75</v>
      </c>
      <c r="B1310" s="10">
        <f t="shared" si="92"/>
        <v>46104</v>
      </c>
      <c r="C1310" s="10">
        <v>46113</v>
      </c>
      <c r="D1310" s="11">
        <v>3273</v>
      </c>
      <c r="E1310" s="11">
        <v>336</v>
      </c>
      <c r="F1310" s="11">
        <v>4</v>
      </c>
      <c r="G1310" s="19">
        <v>7</v>
      </c>
      <c r="H1310" s="13">
        <v>81574</v>
      </c>
      <c r="I1310" s="11" t="s">
        <v>17</v>
      </c>
      <c r="J1310" s="13">
        <v>45248393</v>
      </c>
      <c r="K1310" s="13" t="s">
        <v>1523</v>
      </c>
      <c r="L1310" s="13" t="s">
        <v>1527</v>
      </c>
      <c r="M1310" s="21">
        <v>249900</v>
      </c>
      <c r="N1310" s="15">
        <v>0.75</v>
      </c>
      <c r="O1310" s="16">
        <f t="shared" si="91"/>
        <v>62475</v>
      </c>
      <c r="P1310" s="11" t="s">
        <v>20</v>
      </c>
    </row>
    <row r="1311" spans="1:16" x14ac:dyDescent="0.25">
      <c r="A1311" s="9" t="str">
        <f t="shared" si="92"/>
        <v>2024 ALL D75</v>
      </c>
      <c r="B1311" s="10">
        <f t="shared" si="92"/>
        <v>46104</v>
      </c>
      <c r="C1311" s="10">
        <v>46113</v>
      </c>
      <c r="D1311" s="11">
        <v>3273</v>
      </c>
      <c r="E1311" s="11">
        <v>336</v>
      </c>
      <c r="F1311" s="11">
        <v>4</v>
      </c>
      <c r="G1311" s="19">
        <v>7</v>
      </c>
      <c r="H1311" s="13">
        <v>81574</v>
      </c>
      <c r="I1311" s="11" t="s">
        <v>17</v>
      </c>
      <c r="J1311" s="13">
        <v>45248400</v>
      </c>
      <c r="K1311" s="13" t="s">
        <v>1523</v>
      </c>
      <c r="L1311" s="13" t="s">
        <v>1528</v>
      </c>
      <c r="M1311" s="21">
        <v>249900</v>
      </c>
      <c r="N1311" s="15">
        <v>0.75</v>
      </c>
      <c r="O1311" s="16">
        <f t="shared" si="91"/>
        <v>62475</v>
      </c>
      <c r="P1311" s="11" t="s">
        <v>20</v>
      </c>
    </row>
    <row r="1312" spans="1:16" x14ac:dyDescent="0.25">
      <c r="A1312" s="9" t="str">
        <f t="shared" si="92"/>
        <v>2024 ALL D75</v>
      </c>
      <c r="B1312" s="10">
        <f t="shared" si="92"/>
        <v>46104</v>
      </c>
      <c r="C1312" s="10">
        <v>46113</v>
      </c>
      <c r="D1312" s="11">
        <v>3273</v>
      </c>
      <c r="E1312" s="11">
        <v>336</v>
      </c>
      <c r="F1312" s="11">
        <v>4</v>
      </c>
      <c r="G1312" s="19">
        <v>7</v>
      </c>
      <c r="H1312" s="13">
        <v>81574</v>
      </c>
      <c r="I1312" s="11" t="s">
        <v>17</v>
      </c>
      <c r="J1312" s="13">
        <v>45248419</v>
      </c>
      <c r="K1312" s="13" t="s">
        <v>1523</v>
      </c>
      <c r="L1312" s="13" t="s">
        <v>1529</v>
      </c>
      <c r="M1312" s="21">
        <v>249900</v>
      </c>
      <c r="N1312" s="15">
        <v>0.75</v>
      </c>
      <c r="O1312" s="16">
        <f t="shared" si="91"/>
        <v>62475</v>
      </c>
      <c r="P1312" s="11" t="s">
        <v>20</v>
      </c>
    </row>
    <row r="1313" spans="1:16" x14ac:dyDescent="0.25">
      <c r="A1313" s="9" t="str">
        <f t="shared" si="92"/>
        <v>2024 ALL D75</v>
      </c>
      <c r="B1313" s="10">
        <f t="shared" si="92"/>
        <v>46104</v>
      </c>
      <c r="C1313" s="10">
        <v>46113</v>
      </c>
      <c r="D1313" s="11">
        <v>3273</v>
      </c>
      <c r="E1313" s="11">
        <v>336</v>
      </c>
      <c r="F1313" s="11">
        <v>4</v>
      </c>
      <c r="G1313" s="19">
        <v>7</v>
      </c>
      <c r="H1313" s="13">
        <v>81574</v>
      </c>
      <c r="I1313" s="11" t="s">
        <v>17</v>
      </c>
      <c r="J1313" s="13">
        <v>45248428</v>
      </c>
      <c r="K1313" s="13" t="s">
        <v>1523</v>
      </c>
      <c r="L1313" s="13" t="s">
        <v>1530</v>
      </c>
      <c r="M1313" s="21">
        <v>249900</v>
      </c>
      <c r="N1313" s="15">
        <v>0.75</v>
      </c>
      <c r="O1313" s="16">
        <f t="shared" si="91"/>
        <v>62475</v>
      </c>
      <c r="P1313" s="11" t="s">
        <v>20</v>
      </c>
    </row>
    <row r="1314" spans="1:16" x14ac:dyDescent="0.25">
      <c r="A1314" s="9" t="str">
        <f t="shared" si="92"/>
        <v>2024 ALL D75</v>
      </c>
      <c r="B1314" s="10">
        <f t="shared" si="92"/>
        <v>46104</v>
      </c>
      <c r="C1314" s="10">
        <v>46113</v>
      </c>
      <c r="D1314" s="11">
        <v>3273</v>
      </c>
      <c r="E1314" s="11">
        <v>336</v>
      </c>
      <c r="F1314" s="11">
        <v>4</v>
      </c>
      <c r="G1314" s="19">
        <v>7</v>
      </c>
      <c r="H1314" s="13">
        <v>81574</v>
      </c>
      <c r="I1314" s="11" t="s">
        <v>17</v>
      </c>
      <c r="J1314" s="13">
        <v>45248437</v>
      </c>
      <c r="K1314" s="13" t="s">
        <v>1523</v>
      </c>
      <c r="L1314" s="13" t="s">
        <v>1531</v>
      </c>
      <c r="M1314" s="21">
        <v>249900</v>
      </c>
      <c r="N1314" s="15">
        <v>0.75</v>
      </c>
      <c r="O1314" s="16">
        <f t="shared" si="91"/>
        <v>62475</v>
      </c>
      <c r="P1314" s="11" t="s">
        <v>20</v>
      </c>
    </row>
    <row r="1315" spans="1:16" x14ac:dyDescent="0.25">
      <c r="A1315" s="9" t="str">
        <f t="shared" si="92"/>
        <v>2024 ALL D75</v>
      </c>
      <c r="B1315" s="10">
        <f t="shared" si="92"/>
        <v>46104</v>
      </c>
      <c r="C1315" s="10">
        <v>46113</v>
      </c>
      <c r="D1315" s="11">
        <v>3273</v>
      </c>
      <c r="E1315" s="11">
        <v>336</v>
      </c>
      <c r="F1315" s="11">
        <v>4</v>
      </c>
      <c r="G1315" s="19">
        <v>10</v>
      </c>
      <c r="H1315" s="13">
        <v>81574</v>
      </c>
      <c r="I1315" s="11" t="s">
        <v>17</v>
      </c>
      <c r="J1315" s="13">
        <v>25703795</v>
      </c>
      <c r="K1315" s="13" t="s">
        <v>1532</v>
      </c>
      <c r="L1315" s="13" t="s">
        <v>1533</v>
      </c>
      <c r="M1315" s="21">
        <v>149900</v>
      </c>
      <c r="N1315" s="15">
        <v>0.75</v>
      </c>
      <c r="O1315" s="16">
        <f t="shared" si="91"/>
        <v>37475</v>
      </c>
      <c r="P1315" s="11" t="s">
        <v>20</v>
      </c>
    </row>
    <row r="1316" spans="1:16" x14ac:dyDescent="0.25">
      <c r="A1316" s="9" t="str">
        <f t="shared" ref="A1316:B1331" si="93">A1315</f>
        <v>2024 ALL D75</v>
      </c>
      <c r="B1316" s="10">
        <f t="shared" si="93"/>
        <v>46104</v>
      </c>
      <c r="C1316" s="10">
        <v>46113</v>
      </c>
      <c r="D1316" s="11">
        <v>3273</v>
      </c>
      <c r="E1316" s="11">
        <v>336</v>
      </c>
      <c r="F1316" s="11">
        <v>4</v>
      </c>
      <c r="G1316" s="19">
        <v>10</v>
      </c>
      <c r="H1316" s="13">
        <v>81574</v>
      </c>
      <c r="I1316" s="11" t="s">
        <v>17</v>
      </c>
      <c r="J1316" s="13">
        <v>25703802</v>
      </c>
      <c r="K1316" s="13" t="s">
        <v>1534</v>
      </c>
      <c r="L1316" s="13" t="s">
        <v>1535</v>
      </c>
      <c r="M1316" s="21">
        <v>149900</v>
      </c>
      <c r="N1316" s="15">
        <v>0.75</v>
      </c>
      <c r="O1316" s="16">
        <f t="shared" si="91"/>
        <v>37475</v>
      </c>
      <c r="P1316" s="11" t="s">
        <v>20</v>
      </c>
    </row>
    <row r="1317" spans="1:16" x14ac:dyDescent="0.25">
      <c r="A1317" s="9" t="str">
        <f t="shared" si="93"/>
        <v>2024 ALL D75</v>
      </c>
      <c r="B1317" s="10">
        <f t="shared" si="93"/>
        <v>46104</v>
      </c>
      <c r="C1317" s="10">
        <v>46113</v>
      </c>
      <c r="D1317" s="11">
        <v>3273</v>
      </c>
      <c r="E1317" s="11">
        <v>336</v>
      </c>
      <c r="F1317" s="11">
        <v>4</v>
      </c>
      <c r="G1317" s="19">
        <v>10</v>
      </c>
      <c r="H1317" s="13">
        <v>81574</v>
      </c>
      <c r="I1317" s="11" t="s">
        <v>17</v>
      </c>
      <c r="J1317" s="13">
        <v>25703811</v>
      </c>
      <c r="K1317" s="13" t="s">
        <v>1536</v>
      </c>
      <c r="L1317" s="13" t="s">
        <v>1537</v>
      </c>
      <c r="M1317" s="21">
        <v>149900</v>
      </c>
      <c r="N1317" s="15">
        <v>0.75</v>
      </c>
      <c r="O1317" s="16">
        <f t="shared" si="91"/>
        <v>37475</v>
      </c>
      <c r="P1317" s="11" t="s">
        <v>20</v>
      </c>
    </row>
    <row r="1318" spans="1:16" x14ac:dyDescent="0.25">
      <c r="A1318" s="9" t="str">
        <f t="shared" si="93"/>
        <v>2024 ALL D75</v>
      </c>
      <c r="B1318" s="10">
        <f t="shared" si="93"/>
        <v>46104</v>
      </c>
      <c r="C1318" s="10">
        <v>46113</v>
      </c>
      <c r="D1318" s="11">
        <v>3273</v>
      </c>
      <c r="E1318" s="11">
        <v>336</v>
      </c>
      <c r="F1318" s="11">
        <v>4</v>
      </c>
      <c r="G1318" s="19">
        <v>10</v>
      </c>
      <c r="H1318" s="13">
        <v>81574</v>
      </c>
      <c r="I1318" s="11" t="s">
        <v>17</v>
      </c>
      <c r="J1318" s="13">
        <v>25703820</v>
      </c>
      <c r="K1318" s="13" t="s">
        <v>1538</v>
      </c>
      <c r="L1318" s="13" t="s">
        <v>1539</v>
      </c>
      <c r="M1318" s="21">
        <v>149900</v>
      </c>
      <c r="N1318" s="15">
        <v>0.75</v>
      </c>
      <c r="O1318" s="16">
        <f t="shared" si="91"/>
        <v>37475</v>
      </c>
      <c r="P1318" s="11" t="s">
        <v>20</v>
      </c>
    </row>
    <row r="1319" spans="1:16" x14ac:dyDescent="0.25">
      <c r="A1319" s="9" t="str">
        <f t="shared" si="93"/>
        <v>2024 ALL D75</v>
      </c>
      <c r="B1319" s="10">
        <f t="shared" si="93"/>
        <v>46104</v>
      </c>
      <c r="C1319" s="10">
        <v>46113</v>
      </c>
      <c r="D1319" s="11">
        <v>3273</v>
      </c>
      <c r="E1319" s="11">
        <v>336</v>
      </c>
      <c r="F1319" s="11">
        <v>4</v>
      </c>
      <c r="G1319" s="19">
        <v>9</v>
      </c>
      <c r="H1319" s="13">
        <v>81574</v>
      </c>
      <c r="I1319" s="11" t="s">
        <v>17</v>
      </c>
      <c r="J1319" s="13">
        <v>45247965</v>
      </c>
      <c r="K1319" s="13" t="s">
        <v>1540</v>
      </c>
      <c r="L1319" s="13" t="s">
        <v>1541</v>
      </c>
      <c r="M1319" s="21">
        <v>279900</v>
      </c>
      <c r="N1319" s="15">
        <v>0.75</v>
      </c>
      <c r="O1319" s="16">
        <f t="shared" si="91"/>
        <v>69975</v>
      </c>
      <c r="P1319" s="11" t="s">
        <v>20</v>
      </c>
    </row>
    <row r="1320" spans="1:16" x14ac:dyDescent="0.25">
      <c r="A1320" s="9" t="str">
        <f t="shared" si="93"/>
        <v>2024 ALL D75</v>
      </c>
      <c r="B1320" s="10">
        <f t="shared" si="93"/>
        <v>46104</v>
      </c>
      <c r="C1320" s="10">
        <v>46113</v>
      </c>
      <c r="D1320" s="11">
        <v>3273</v>
      </c>
      <c r="E1320" s="11">
        <v>336</v>
      </c>
      <c r="F1320" s="11">
        <v>4</v>
      </c>
      <c r="G1320" s="19">
        <v>9</v>
      </c>
      <c r="H1320" s="13">
        <v>81574</v>
      </c>
      <c r="I1320" s="11" t="s">
        <v>17</v>
      </c>
      <c r="J1320" s="13">
        <v>45247974</v>
      </c>
      <c r="K1320" s="13" t="s">
        <v>1540</v>
      </c>
      <c r="L1320" s="13" t="s">
        <v>1542</v>
      </c>
      <c r="M1320" s="21">
        <v>279900</v>
      </c>
      <c r="N1320" s="15">
        <v>0.75</v>
      </c>
      <c r="O1320" s="16">
        <f t="shared" si="91"/>
        <v>69975</v>
      </c>
      <c r="P1320" s="11" t="s">
        <v>20</v>
      </c>
    </row>
    <row r="1321" spans="1:16" x14ac:dyDescent="0.25">
      <c r="A1321" s="9" t="str">
        <f t="shared" si="93"/>
        <v>2024 ALL D75</v>
      </c>
      <c r="B1321" s="10">
        <f t="shared" si="93"/>
        <v>46104</v>
      </c>
      <c r="C1321" s="10">
        <v>46113</v>
      </c>
      <c r="D1321" s="11">
        <v>3273</v>
      </c>
      <c r="E1321" s="11">
        <v>336</v>
      </c>
      <c r="F1321" s="11">
        <v>4</v>
      </c>
      <c r="G1321" s="19">
        <v>9</v>
      </c>
      <c r="H1321" s="13">
        <v>81574</v>
      </c>
      <c r="I1321" s="11" t="s">
        <v>17</v>
      </c>
      <c r="J1321" s="13">
        <v>45247983</v>
      </c>
      <c r="K1321" s="13" t="s">
        <v>1540</v>
      </c>
      <c r="L1321" s="13" t="s">
        <v>1543</v>
      </c>
      <c r="M1321" s="21">
        <v>279900</v>
      </c>
      <c r="N1321" s="15">
        <v>0.75</v>
      </c>
      <c r="O1321" s="16">
        <f t="shared" si="91"/>
        <v>69975</v>
      </c>
      <c r="P1321" s="11" t="s">
        <v>20</v>
      </c>
    </row>
    <row r="1322" spans="1:16" x14ac:dyDescent="0.25">
      <c r="A1322" s="9" t="str">
        <f t="shared" si="93"/>
        <v>2024 ALL D75</v>
      </c>
      <c r="B1322" s="10">
        <f t="shared" si="93"/>
        <v>46104</v>
      </c>
      <c r="C1322" s="10">
        <v>46113</v>
      </c>
      <c r="D1322" s="11">
        <v>3273</v>
      </c>
      <c r="E1322" s="11">
        <v>336</v>
      </c>
      <c r="F1322" s="11">
        <v>4</v>
      </c>
      <c r="G1322" s="19">
        <v>9</v>
      </c>
      <c r="H1322" s="13">
        <v>81574</v>
      </c>
      <c r="I1322" s="11" t="s">
        <v>17</v>
      </c>
      <c r="J1322" s="13">
        <v>45247992</v>
      </c>
      <c r="K1322" s="13" t="s">
        <v>1540</v>
      </c>
      <c r="L1322" s="13" t="s">
        <v>1544</v>
      </c>
      <c r="M1322" s="21">
        <v>279900</v>
      </c>
      <c r="N1322" s="15">
        <v>0.75</v>
      </c>
      <c r="O1322" s="16">
        <f t="shared" si="91"/>
        <v>69975</v>
      </c>
      <c r="P1322" s="11" t="s">
        <v>20</v>
      </c>
    </row>
    <row r="1323" spans="1:16" x14ac:dyDescent="0.25">
      <c r="A1323" s="9" t="str">
        <f t="shared" si="93"/>
        <v>2024 ALL D75</v>
      </c>
      <c r="B1323" s="10">
        <f t="shared" si="93"/>
        <v>46104</v>
      </c>
      <c r="C1323" s="10">
        <v>46113</v>
      </c>
      <c r="D1323" s="11">
        <v>3273</v>
      </c>
      <c r="E1323" s="11">
        <v>336</v>
      </c>
      <c r="F1323" s="11">
        <v>4</v>
      </c>
      <c r="G1323" s="19">
        <v>9</v>
      </c>
      <c r="H1323" s="13">
        <v>81574</v>
      </c>
      <c r="I1323" s="11" t="s">
        <v>17</v>
      </c>
      <c r="J1323" s="13">
        <v>45248008</v>
      </c>
      <c r="K1323" s="13" t="s">
        <v>1540</v>
      </c>
      <c r="L1323" s="13" t="s">
        <v>1545</v>
      </c>
      <c r="M1323" s="21">
        <v>279900</v>
      </c>
      <c r="N1323" s="15">
        <v>0.75</v>
      </c>
      <c r="O1323" s="16">
        <f t="shared" si="91"/>
        <v>69975</v>
      </c>
      <c r="P1323" s="11" t="s">
        <v>20</v>
      </c>
    </row>
    <row r="1324" spans="1:16" x14ac:dyDescent="0.25">
      <c r="A1324" s="9" t="str">
        <f t="shared" si="93"/>
        <v>2024 ALL D75</v>
      </c>
      <c r="B1324" s="10">
        <f t="shared" si="93"/>
        <v>46104</v>
      </c>
      <c r="C1324" s="10">
        <v>46113</v>
      </c>
      <c r="D1324" s="11">
        <v>3273</v>
      </c>
      <c r="E1324" s="11">
        <v>336</v>
      </c>
      <c r="F1324" s="11">
        <v>4</v>
      </c>
      <c r="G1324" s="19">
        <v>9</v>
      </c>
      <c r="H1324" s="13">
        <v>81574</v>
      </c>
      <c r="I1324" s="11" t="s">
        <v>17</v>
      </c>
      <c r="J1324" s="13">
        <v>45248017</v>
      </c>
      <c r="K1324" s="13" t="s">
        <v>1540</v>
      </c>
      <c r="L1324" s="13" t="s">
        <v>1546</v>
      </c>
      <c r="M1324" s="21">
        <v>279900</v>
      </c>
      <c r="N1324" s="15">
        <v>0.75</v>
      </c>
      <c r="O1324" s="16">
        <f t="shared" si="91"/>
        <v>69975</v>
      </c>
      <c r="P1324" s="11" t="s">
        <v>20</v>
      </c>
    </row>
    <row r="1325" spans="1:16" x14ac:dyDescent="0.25">
      <c r="A1325" s="9" t="str">
        <f t="shared" si="93"/>
        <v>2024 ALL D75</v>
      </c>
      <c r="B1325" s="10">
        <f t="shared" si="93"/>
        <v>46104</v>
      </c>
      <c r="C1325" s="10">
        <v>46113</v>
      </c>
      <c r="D1325" s="11">
        <v>3273</v>
      </c>
      <c r="E1325" s="11">
        <v>336</v>
      </c>
      <c r="F1325" s="11">
        <v>4</v>
      </c>
      <c r="G1325" s="19">
        <v>9</v>
      </c>
      <c r="H1325" s="13">
        <v>81574</v>
      </c>
      <c r="I1325" s="11" t="s">
        <v>17</v>
      </c>
      <c r="J1325" s="13">
        <v>45248026</v>
      </c>
      <c r="K1325" s="13" t="s">
        <v>1540</v>
      </c>
      <c r="L1325" s="13" t="s">
        <v>1547</v>
      </c>
      <c r="M1325" s="21">
        <v>279900</v>
      </c>
      <c r="N1325" s="15">
        <v>0.75</v>
      </c>
      <c r="O1325" s="16">
        <f t="shared" si="91"/>
        <v>69975</v>
      </c>
      <c r="P1325" s="11" t="s">
        <v>20</v>
      </c>
    </row>
    <row r="1326" spans="1:16" x14ac:dyDescent="0.25">
      <c r="A1326" s="9" t="str">
        <f t="shared" si="93"/>
        <v>2024 ALL D75</v>
      </c>
      <c r="B1326" s="10">
        <f t="shared" si="93"/>
        <v>46104</v>
      </c>
      <c r="C1326" s="10">
        <v>46113</v>
      </c>
      <c r="D1326" s="11">
        <v>3273</v>
      </c>
      <c r="E1326" s="11">
        <v>336</v>
      </c>
      <c r="F1326" s="11">
        <v>4</v>
      </c>
      <c r="G1326" s="19">
        <v>9</v>
      </c>
      <c r="H1326" s="13">
        <v>81574</v>
      </c>
      <c r="I1326" s="11" t="s">
        <v>17</v>
      </c>
      <c r="J1326" s="13">
        <v>45248035</v>
      </c>
      <c r="K1326" s="13" t="s">
        <v>1540</v>
      </c>
      <c r="L1326" s="13" t="s">
        <v>1548</v>
      </c>
      <c r="M1326" s="21">
        <v>279900</v>
      </c>
      <c r="N1326" s="15">
        <v>0.75</v>
      </c>
      <c r="O1326" s="16">
        <f t="shared" si="91"/>
        <v>69975</v>
      </c>
      <c r="P1326" s="11" t="s">
        <v>20</v>
      </c>
    </row>
    <row r="1327" spans="1:16" x14ac:dyDescent="0.25">
      <c r="A1327" s="9" t="str">
        <f t="shared" si="93"/>
        <v>2024 ALL D75</v>
      </c>
      <c r="B1327" s="10">
        <f t="shared" si="93"/>
        <v>46104</v>
      </c>
      <c r="C1327" s="10">
        <v>46113</v>
      </c>
      <c r="D1327" s="11">
        <v>3273</v>
      </c>
      <c r="E1327" s="11">
        <v>336</v>
      </c>
      <c r="F1327" s="11">
        <v>4</v>
      </c>
      <c r="G1327" s="19">
        <v>9</v>
      </c>
      <c r="H1327" s="13">
        <v>81574</v>
      </c>
      <c r="I1327" s="11" t="s">
        <v>17</v>
      </c>
      <c r="J1327" s="13">
        <v>45248044</v>
      </c>
      <c r="K1327" s="13" t="s">
        <v>1549</v>
      </c>
      <c r="L1327" s="13" t="s">
        <v>1550</v>
      </c>
      <c r="M1327" s="21">
        <v>329900</v>
      </c>
      <c r="N1327" s="15">
        <v>0.75</v>
      </c>
      <c r="O1327" s="16">
        <f t="shared" si="91"/>
        <v>82475</v>
      </c>
      <c r="P1327" s="11" t="s">
        <v>20</v>
      </c>
    </row>
    <row r="1328" spans="1:16" x14ac:dyDescent="0.25">
      <c r="A1328" s="9" t="str">
        <f t="shared" si="93"/>
        <v>2024 ALL D75</v>
      </c>
      <c r="B1328" s="10">
        <f t="shared" si="93"/>
        <v>46104</v>
      </c>
      <c r="C1328" s="10">
        <v>46113</v>
      </c>
      <c r="D1328" s="11">
        <v>3273</v>
      </c>
      <c r="E1328" s="11">
        <v>336</v>
      </c>
      <c r="F1328" s="11">
        <v>4</v>
      </c>
      <c r="G1328" s="19">
        <v>9</v>
      </c>
      <c r="H1328" s="13">
        <v>81574</v>
      </c>
      <c r="I1328" s="11" t="s">
        <v>17</v>
      </c>
      <c r="J1328" s="13">
        <v>45248053</v>
      </c>
      <c r="K1328" s="13" t="s">
        <v>1549</v>
      </c>
      <c r="L1328" s="13" t="s">
        <v>1551</v>
      </c>
      <c r="M1328" s="21">
        <v>329900</v>
      </c>
      <c r="N1328" s="15">
        <v>0.75</v>
      </c>
      <c r="O1328" s="16">
        <f t="shared" si="91"/>
        <v>82475</v>
      </c>
      <c r="P1328" s="11" t="s">
        <v>20</v>
      </c>
    </row>
    <row r="1329" spans="1:16" x14ac:dyDescent="0.25">
      <c r="A1329" s="9" t="str">
        <f t="shared" si="93"/>
        <v>2024 ALL D75</v>
      </c>
      <c r="B1329" s="10">
        <f t="shared" si="93"/>
        <v>46104</v>
      </c>
      <c r="C1329" s="10">
        <v>46113</v>
      </c>
      <c r="D1329" s="11">
        <v>3273</v>
      </c>
      <c r="E1329" s="11">
        <v>336</v>
      </c>
      <c r="F1329" s="11">
        <v>4</v>
      </c>
      <c r="G1329" s="19">
        <v>9</v>
      </c>
      <c r="H1329" s="13">
        <v>81574</v>
      </c>
      <c r="I1329" s="11" t="s">
        <v>17</v>
      </c>
      <c r="J1329" s="13">
        <v>45248062</v>
      </c>
      <c r="K1329" s="13" t="s">
        <v>1549</v>
      </c>
      <c r="L1329" s="13" t="s">
        <v>1552</v>
      </c>
      <c r="M1329" s="21">
        <v>329900</v>
      </c>
      <c r="N1329" s="15">
        <v>0.75</v>
      </c>
      <c r="O1329" s="16">
        <f t="shared" si="91"/>
        <v>82475</v>
      </c>
      <c r="P1329" s="11" t="s">
        <v>20</v>
      </c>
    </row>
    <row r="1330" spans="1:16" x14ac:dyDescent="0.25">
      <c r="A1330" s="9" t="str">
        <f t="shared" si="93"/>
        <v>2024 ALL D75</v>
      </c>
      <c r="B1330" s="10">
        <f t="shared" si="93"/>
        <v>46104</v>
      </c>
      <c r="C1330" s="10">
        <v>46113</v>
      </c>
      <c r="D1330" s="11">
        <v>3273</v>
      </c>
      <c r="E1330" s="11">
        <v>336</v>
      </c>
      <c r="F1330" s="11">
        <v>4</v>
      </c>
      <c r="G1330" s="19">
        <v>9</v>
      </c>
      <c r="H1330" s="13">
        <v>81574</v>
      </c>
      <c r="I1330" s="11" t="s">
        <v>17</v>
      </c>
      <c r="J1330" s="13">
        <v>45248071</v>
      </c>
      <c r="K1330" s="13" t="s">
        <v>1549</v>
      </c>
      <c r="L1330" s="13" t="s">
        <v>1553</v>
      </c>
      <c r="M1330" s="21">
        <v>329900</v>
      </c>
      <c r="N1330" s="15">
        <v>0.75</v>
      </c>
      <c r="O1330" s="16">
        <f t="shared" si="91"/>
        <v>82475</v>
      </c>
      <c r="P1330" s="11" t="s">
        <v>20</v>
      </c>
    </row>
    <row r="1331" spans="1:16" x14ac:dyDescent="0.25">
      <c r="A1331" s="9" t="str">
        <f t="shared" si="93"/>
        <v>2024 ALL D75</v>
      </c>
      <c r="B1331" s="10">
        <f t="shared" si="93"/>
        <v>46104</v>
      </c>
      <c r="C1331" s="10">
        <v>46113</v>
      </c>
      <c r="D1331" s="11">
        <v>3273</v>
      </c>
      <c r="E1331" s="11">
        <v>336</v>
      </c>
      <c r="F1331" s="11">
        <v>4</v>
      </c>
      <c r="G1331" s="19">
        <v>9</v>
      </c>
      <c r="H1331" s="13">
        <v>81574</v>
      </c>
      <c r="I1331" s="11" t="s">
        <v>17</v>
      </c>
      <c r="J1331" s="13">
        <v>45248080</v>
      </c>
      <c r="K1331" s="13" t="s">
        <v>1549</v>
      </c>
      <c r="L1331" s="13" t="s">
        <v>1554</v>
      </c>
      <c r="M1331" s="21">
        <v>329900</v>
      </c>
      <c r="N1331" s="15">
        <v>0.75</v>
      </c>
      <c r="O1331" s="16">
        <f t="shared" si="91"/>
        <v>82475</v>
      </c>
      <c r="P1331" s="11" t="s">
        <v>20</v>
      </c>
    </row>
    <row r="1332" spans="1:16" x14ac:dyDescent="0.25">
      <c r="A1332" s="9" t="str">
        <f t="shared" ref="A1332:B1347" si="94">A1331</f>
        <v>2024 ALL D75</v>
      </c>
      <c r="B1332" s="10">
        <f t="shared" si="94"/>
        <v>46104</v>
      </c>
      <c r="C1332" s="10">
        <v>46113</v>
      </c>
      <c r="D1332" s="11">
        <v>3273</v>
      </c>
      <c r="E1332" s="11">
        <v>336</v>
      </c>
      <c r="F1332" s="11">
        <v>4</v>
      </c>
      <c r="G1332" s="19">
        <v>9</v>
      </c>
      <c r="H1332" s="13">
        <v>81574</v>
      </c>
      <c r="I1332" s="11" t="s">
        <v>17</v>
      </c>
      <c r="J1332" s="13">
        <v>45248099</v>
      </c>
      <c r="K1332" s="13" t="s">
        <v>1549</v>
      </c>
      <c r="L1332" s="13" t="s">
        <v>1555</v>
      </c>
      <c r="M1332" s="21">
        <v>329900</v>
      </c>
      <c r="N1332" s="15">
        <v>0.75</v>
      </c>
      <c r="O1332" s="16">
        <f t="shared" si="91"/>
        <v>82475</v>
      </c>
      <c r="P1332" s="11" t="s">
        <v>20</v>
      </c>
    </row>
    <row r="1333" spans="1:16" x14ac:dyDescent="0.25">
      <c r="A1333" s="9" t="str">
        <f t="shared" si="94"/>
        <v>2024 ALL D75</v>
      </c>
      <c r="B1333" s="10">
        <f t="shared" si="94"/>
        <v>46104</v>
      </c>
      <c r="C1333" s="10">
        <v>46113</v>
      </c>
      <c r="D1333" s="11">
        <v>3273</v>
      </c>
      <c r="E1333" s="11">
        <v>336</v>
      </c>
      <c r="F1333" s="11">
        <v>4</v>
      </c>
      <c r="G1333" s="19">
        <v>9</v>
      </c>
      <c r="H1333" s="13">
        <v>81574</v>
      </c>
      <c r="I1333" s="11" t="s">
        <v>17</v>
      </c>
      <c r="J1333" s="13">
        <v>45248106</v>
      </c>
      <c r="K1333" s="13" t="s">
        <v>1549</v>
      </c>
      <c r="L1333" s="13" t="s">
        <v>1556</v>
      </c>
      <c r="M1333" s="21">
        <v>329900</v>
      </c>
      <c r="N1333" s="15">
        <v>0.75</v>
      </c>
      <c r="O1333" s="16">
        <f t="shared" si="91"/>
        <v>82475</v>
      </c>
      <c r="P1333" s="11" t="s">
        <v>20</v>
      </c>
    </row>
    <row r="1334" spans="1:16" x14ac:dyDescent="0.25">
      <c r="A1334" s="9" t="str">
        <f t="shared" si="94"/>
        <v>2024 ALL D75</v>
      </c>
      <c r="B1334" s="10">
        <f t="shared" si="94"/>
        <v>46104</v>
      </c>
      <c r="C1334" s="10">
        <v>46113</v>
      </c>
      <c r="D1334" s="11">
        <v>3273</v>
      </c>
      <c r="E1334" s="11">
        <v>336</v>
      </c>
      <c r="F1334" s="11">
        <v>4</v>
      </c>
      <c r="G1334" s="19">
        <v>9</v>
      </c>
      <c r="H1334" s="13">
        <v>81574</v>
      </c>
      <c r="I1334" s="11" t="s">
        <v>17</v>
      </c>
      <c r="J1334" s="13">
        <v>45248115</v>
      </c>
      <c r="K1334" s="13" t="s">
        <v>1549</v>
      </c>
      <c r="L1334" s="13" t="s">
        <v>1557</v>
      </c>
      <c r="M1334" s="21">
        <v>329900</v>
      </c>
      <c r="N1334" s="15">
        <v>0.75</v>
      </c>
      <c r="O1334" s="16">
        <f t="shared" si="91"/>
        <v>82475</v>
      </c>
      <c r="P1334" s="11" t="s">
        <v>20</v>
      </c>
    </row>
    <row r="1335" spans="1:16" x14ac:dyDescent="0.25">
      <c r="A1335" s="9" t="str">
        <f t="shared" si="94"/>
        <v>2024 ALL D75</v>
      </c>
      <c r="B1335" s="10">
        <f t="shared" si="94"/>
        <v>46104</v>
      </c>
      <c r="C1335" s="10">
        <v>46113</v>
      </c>
      <c r="D1335" s="11">
        <v>3273</v>
      </c>
      <c r="E1335" s="11">
        <v>336</v>
      </c>
      <c r="F1335" s="11">
        <v>4</v>
      </c>
      <c r="G1335" s="19">
        <v>9</v>
      </c>
      <c r="H1335" s="13">
        <v>81588</v>
      </c>
      <c r="I1335" s="11" t="s">
        <v>17</v>
      </c>
      <c r="J1335" s="13">
        <v>45248124</v>
      </c>
      <c r="K1335" s="13" t="s">
        <v>1558</v>
      </c>
      <c r="L1335" s="13" t="s">
        <v>1559</v>
      </c>
      <c r="M1335" s="21">
        <v>159900</v>
      </c>
      <c r="N1335" s="15">
        <v>0.75</v>
      </c>
      <c r="O1335" s="16">
        <f t="shared" si="91"/>
        <v>39975</v>
      </c>
      <c r="P1335" s="11" t="s">
        <v>20</v>
      </c>
    </row>
    <row r="1336" spans="1:16" x14ac:dyDescent="0.25">
      <c r="A1336" s="9" t="str">
        <f t="shared" si="94"/>
        <v>2024 ALL D75</v>
      </c>
      <c r="B1336" s="10">
        <f t="shared" si="94"/>
        <v>46104</v>
      </c>
      <c r="C1336" s="10">
        <v>46113</v>
      </c>
      <c r="D1336" s="11">
        <v>3273</v>
      </c>
      <c r="E1336" s="11">
        <v>336</v>
      </c>
      <c r="F1336" s="11">
        <v>4</v>
      </c>
      <c r="G1336" s="19">
        <v>9</v>
      </c>
      <c r="H1336" s="13">
        <v>81588</v>
      </c>
      <c r="I1336" s="11" t="s">
        <v>17</v>
      </c>
      <c r="J1336" s="13">
        <v>45248133</v>
      </c>
      <c r="K1336" s="13" t="s">
        <v>1558</v>
      </c>
      <c r="L1336" s="13" t="s">
        <v>1560</v>
      </c>
      <c r="M1336" s="21">
        <v>159900</v>
      </c>
      <c r="N1336" s="15">
        <v>0.75</v>
      </c>
      <c r="O1336" s="16">
        <f t="shared" si="91"/>
        <v>39975</v>
      </c>
      <c r="P1336" s="11" t="s">
        <v>20</v>
      </c>
    </row>
    <row r="1337" spans="1:16" x14ac:dyDescent="0.25">
      <c r="A1337" s="9" t="str">
        <f t="shared" si="94"/>
        <v>2024 ALL D75</v>
      </c>
      <c r="B1337" s="10">
        <f t="shared" si="94"/>
        <v>46104</v>
      </c>
      <c r="C1337" s="10">
        <v>46113</v>
      </c>
      <c r="D1337" s="11">
        <v>3273</v>
      </c>
      <c r="E1337" s="11">
        <v>336</v>
      </c>
      <c r="F1337" s="11">
        <v>4</v>
      </c>
      <c r="G1337" s="19">
        <v>9</v>
      </c>
      <c r="H1337" s="13">
        <v>81588</v>
      </c>
      <c r="I1337" s="11" t="s">
        <v>17</v>
      </c>
      <c r="J1337" s="13">
        <v>45248142</v>
      </c>
      <c r="K1337" s="13" t="s">
        <v>1558</v>
      </c>
      <c r="L1337" s="13" t="s">
        <v>1561</v>
      </c>
      <c r="M1337" s="21">
        <v>159900</v>
      </c>
      <c r="N1337" s="15">
        <v>0.75</v>
      </c>
      <c r="O1337" s="16">
        <f t="shared" si="91"/>
        <v>39975</v>
      </c>
      <c r="P1337" s="11" t="s">
        <v>20</v>
      </c>
    </row>
    <row r="1338" spans="1:16" x14ac:dyDescent="0.25">
      <c r="A1338" s="9" t="str">
        <f t="shared" si="94"/>
        <v>2024 ALL D75</v>
      </c>
      <c r="B1338" s="10">
        <f t="shared" si="94"/>
        <v>46104</v>
      </c>
      <c r="C1338" s="10">
        <v>46113</v>
      </c>
      <c r="D1338" s="11">
        <v>3273</v>
      </c>
      <c r="E1338" s="11">
        <v>336</v>
      </c>
      <c r="F1338" s="11">
        <v>4</v>
      </c>
      <c r="G1338" s="19">
        <v>9</v>
      </c>
      <c r="H1338" s="13">
        <v>81588</v>
      </c>
      <c r="I1338" s="11" t="s">
        <v>17</v>
      </c>
      <c r="J1338" s="13">
        <v>45248151</v>
      </c>
      <c r="K1338" s="13" t="s">
        <v>1558</v>
      </c>
      <c r="L1338" s="13" t="s">
        <v>1562</v>
      </c>
      <c r="M1338" s="21">
        <v>159900</v>
      </c>
      <c r="N1338" s="15">
        <v>0.75</v>
      </c>
      <c r="O1338" s="16">
        <f t="shared" si="91"/>
        <v>39975</v>
      </c>
      <c r="P1338" s="11" t="s">
        <v>20</v>
      </c>
    </row>
    <row r="1339" spans="1:16" x14ac:dyDescent="0.25">
      <c r="A1339" s="9" t="str">
        <f t="shared" si="94"/>
        <v>2024 ALL D75</v>
      </c>
      <c r="B1339" s="10">
        <f t="shared" si="94"/>
        <v>46104</v>
      </c>
      <c r="C1339" s="10">
        <v>46113</v>
      </c>
      <c r="D1339" s="11">
        <v>3273</v>
      </c>
      <c r="E1339" s="11">
        <v>336</v>
      </c>
      <c r="F1339" s="11">
        <v>4</v>
      </c>
      <c r="G1339" s="19">
        <v>9</v>
      </c>
      <c r="H1339" s="13">
        <v>81588</v>
      </c>
      <c r="I1339" s="11" t="s">
        <v>17</v>
      </c>
      <c r="J1339" s="13">
        <v>45248160</v>
      </c>
      <c r="K1339" s="13" t="s">
        <v>1558</v>
      </c>
      <c r="L1339" s="13" t="s">
        <v>1563</v>
      </c>
      <c r="M1339" s="21">
        <v>159900</v>
      </c>
      <c r="N1339" s="15">
        <v>0.75</v>
      </c>
      <c r="O1339" s="16">
        <f t="shared" si="91"/>
        <v>39975</v>
      </c>
      <c r="P1339" s="11" t="s">
        <v>20</v>
      </c>
    </row>
    <row r="1340" spans="1:16" x14ac:dyDescent="0.25">
      <c r="A1340" s="9" t="str">
        <f t="shared" si="94"/>
        <v>2024 ALL D75</v>
      </c>
      <c r="B1340" s="10">
        <f t="shared" si="94"/>
        <v>46104</v>
      </c>
      <c r="C1340" s="10">
        <v>46113</v>
      </c>
      <c r="D1340" s="11">
        <v>3273</v>
      </c>
      <c r="E1340" s="11">
        <v>336</v>
      </c>
      <c r="F1340" s="11">
        <v>4</v>
      </c>
      <c r="G1340" s="19">
        <v>9</v>
      </c>
      <c r="H1340" s="13">
        <v>81588</v>
      </c>
      <c r="I1340" s="11" t="s">
        <v>17</v>
      </c>
      <c r="J1340" s="13">
        <v>45248179</v>
      </c>
      <c r="K1340" s="13" t="s">
        <v>1558</v>
      </c>
      <c r="L1340" s="13" t="s">
        <v>1564</v>
      </c>
      <c r="M1340" s="21">
        <v>159900</v>
      </c>
      <c r="N1340" s="15">
        <v>0.75</v>
      </c>
      <c r="O1340" s="16">
        <f t="shared" si="91"/>
        <v>39975</v>
      </c>
      <c r="P1340" s="11" t="s">
        <v>20</v>
      </c>
    </row>
    <row r="1341" spans="1:16" x14ac:dyDescent="0.25">
      <c r="A1341" s="9" t="str">
        <f t="shared" si="94"/>
        <v>2024 ALL D75</v>
      </c>
      <c r="B1341" s="10">
        <f t="shared" si="94"/>
        <v>46104</v>
      </c>
      <c r="C1341" s="10">
        <v>46113</v>
      </c>
      <c r="D1341" s="11">
        <v>3273</v>
      </c>
      <c r="E1341" s="11">
        <v>336</v>
      </c>
      <c r="F1341" s="11">
        <v>4</v>
      </c>
      <c r="G1341" s="19">
        <v>9</v>
      </c>
      <c r="H1341" s="13">
        <v>81588</v>
      </c>
      <c r="I1341" s="11" t="s">
        <v>17</v>
      </c>
      <c r="J1341" s="13">
        <v>45248188</v>
      </c>
      <c r="K1341" s="13" t="s">
        <v>1558</v>
      </c>
      <c r="L1341" s="13" t="s">
        <v>1565</v>
      </c>
      <c r="M1341" s="21">
        <v>159900</v>
      </c>
      <c r="N1341" s="15">
        <v>0.75</v>
      </c>
      <c r="O1341" s="16">
        <f t="shared" si="91"/>
        <v>39975</v>
      </c>
      <c r="P1341" s="11" t="s">
        <v>20</v>
      </c>
    </row>
    <row r="1342" spans="1:16" x14ac:dyDescent="0.25">
      <c r="A1342" s="9" t="str">
        <f t="shared" si="94"/>
        <v>2024 ALL D75</v>
      </c>
      <c r="B1342" s="10">
        <f t="shared" si="94"/>
        <v>46104</v>
      </c>
      <c r="C1342" s="10">
        <v>46113</v>
      </c>
      <c r="D1342" s="11">
        <v>3273</v>
      </c>
      <c r="E1342" s="11">
        <v>336</v>
      </c>
      <c r="F1342" s="11">
        <v>4</v>
      </c>
      <c r="G1342" s="19">
        <v>9</v>
      </c>
      <c r="H1342" s="13">
        <v>81588</v>
      </c>
      <c r="I1342" s="11" t="s">
        <v>17</v>
      </c>
      <c r="J1342" s="13">
        <v>45248197</v>
      </c>
      <c r="K1342" s="13" t="s">
        <v>1558</v>
      </c>
      <c r="L1342" s="13" t="s">
        <v>1566</v>
      </c>
      <c r="M1342" s="21">
        <v>159900</v>
      </c>
      <c r="N1342" s="15">
        <v>0.75</v>
      </c>
      <c r="O1342" s="16">
        <f t="shared" si="91"/>
        <v>39975</v>
      </c>
      <c r="P1342" s="11" t="s">
        <v>20</v>
      </c>
    </row>
    <row r="1343" spans="1:16" x14ac:dyDescent="0.25">
      <c r="A1343" s="9" t="str">
        <f t="shared" si="94"/>
        <v>2024 ALL D75</v>
      </c>
      <c r="B1343" s="10">
        <f t="shared" si="94"/>
        <v>46104</v>
      </c>
      <c r="C1343" s="10">
        <v>46113</v>
      </c>
      <c r="D1343" s="11">
        <v>3273</v>
      </c>
      <c r="E1343" s="11">
        <v>336</v>
      </c>
      <c r="F1343" s="11">
        <v>4</v>
      </c>
      <c r="G1343" s="19">
        <v>9</v>
      </c>
      <c r="H1343" s="13">
        <v>81574</v>
      </c>
      <c r="I1343" s="11" t="s">
        <v>17</v>
      </c>
      <c r="J1343" s="13">
        <v>45248446</v>
      </c>
      <c r="K1343" s="13" t="s">
        <v>1567</v>
      </c>
      <c r="L1343" s="13" t="s">
        <v>1568</v>
      </c>
      <c r="M1343" s="21">
        <v>279900</v>
      </c>
      <c r="N1343" s="15">
        <v>0.75</v>
      </c>
      <c r="O1343" s="16">
        <f t="shared" si="91"/>
        <v>69975</v>
      </c>
      <c r="P1343" s="11" t="s">
        <v>20</v>
      </c>
    </row>
    <row r="1344" spans="1:16" x14ac:dyDescent="0.25">
      <c r="A1344" s="9" t="str">
        <f t="shared" si="94"/>
        <v>2024 ALL D75</v>
      </c>
      <c r="B1344" s="10">
        <f t="shared" si="94"/>
        <v>46104</v>
      </c>
      <c r="C1344" s="10">
        <v>46113</v>
      </c>
      <c r="D1344" s="11">
        <v>3273</v>
      </c>
      <c r="E1344" s="11">
        <v>336</v>
      </c>
      <c r="F1344" s="11">
        <v>4</v>
      </c>
      <c r="G1344" s="19">
        <v>9</v>
      </c>
      <c r="H1344" s="13">
        <v>81574</v>
      </c>
      <c r="I1344" s="11" t="s">
        <v>17</v>
      </c>
      <c r="J1344" s="13">
        <v>45248455</v>
      </c>
      <c r="K1344" s="13" t="s">
        <v>1567</v>
      </c>
      <c r="L1344" s="13" t="s">
        <v>1569</v>
      </c>
      <c r="M1344" s="21">
        <v>279900</v>
      </c>
      <c r="N1344" s="15">
        <v>0.75</v>
      </c>
      <c r="O1344" s="16">
        <f t="shared" si="91"/>
        <v>69975</v>
      </c>
      <c r="P1344" s="11" t="s">
        <v>20</v>
      </c>
    </row>
    <row r="1345" spans="1:16" x14ac:dyDescent="0.25">
      <c r="A1345" s="9" t="str">
        <f t="shared" si="94"/>
        <v>2024 ALL D75</v>
      </c>
      <c r="B1345" s="10">
        <f t="shared" si="94"/>
        <v>46104</v>
      </c>
      <c r="C1345" s="10">
        <v>46113</v>
      </c>
      <c r="D1345" s="11">
        <v>3273</v>
      </c>
      <c r="E1345" s="11">
        <v>336</v>
      </c>
      <c r="F1345" s="11">
        <v>4</v>
      </c>
      <c r="G1345" s="19">
        <v>9</v>
      </c>
      <c r="H1345" s="13">
        <v>81574</v>
      </c>
      <c r="I1345" s="11" t="s">
        <v>17</v>
      </c>
      <c r="J1345" s="13">
        <v>45248464</v>
      </c>
      <c r="K1345" s="13" t="s">
        <v>1567</v>
      </c>
      <c r="L1345" s="13" t="s">
        <v>1570</v>
      </c>
      <c r="M1345" s="21">
        <v>279900</v>
      </c>
      <c r="N1345" s="15">
        <v>0.75</v>
      </c>
      <c r="O1345" s="16">
        <f t="shared" si="91"/>
        <v>69975</v>
      </c>
      <c r="P1345" s="11" t="s">
        <v>20</v>
      </c>
    </row>
    <row r="1346" spans="1:16" x14ac:dyDescent="0.25">
      <c r="A1346" s="9" t="str">
        <f t="shared" si="94"/>
        <v>2024 ALL D75</v>
      </c>
      <c r="B1346" s="10">
        <f t="shared" si="94"/>
        <v>46104</v>
      </c>
      <c r="C1346" s="10">
        <v>46113</v>
      </c>
      <c r="D1346" s="11">
        <v>3273</v>
      </c>
      <c r="E1346" s="11">
        <v>336</v>
      </c>
      <c r="F1346" s="11">
        <v>4</v>
      </c>
      <c r="G1346" s="19">
        <v>9</v>
      </c>
      <c r="H1346" s="13">
        <v>81574</v>
      </c>
      <c r="I1346" s="11" t="s">
        <v>17</v>
      </c>
      <c r="J1346" s="13">
        <v>45248473</v>
      </c>
      <c r="K1346" s="13" t="s">
        <v>1567</v>
      </c>
      <c r="L1346" s="13" t="s">
        <v>1571</v>
      </c>
      <c r="M1346" s="21">
        <v>279900</v>
      </c>
      <c r="N1346" s="15">
        <v>0.75</v>
      </c>
      <c r="O1346" s="16">
        <f t="shared" ref="O1346:O1409" si="95">M1346*(1-N1346)</f>
        <v>69975</v>
      </c>
      <c r="P1346" s="11" t="s">
        <v>20</v>
      </c>
    </row>
    <row r="1347" spans="1:16" x14ac:dyDescent="0.25">
      <c r="A1347" s="9" t="str">
        <f t="shared" si="94"/>
        <v>2024 ALL D75</v>
      </c>
      <c r="B1347" s="10">
        <f t="shared" si="94"/>
        <v>46104</v>
      </c>
      <c r="C1347" s="10">
        <v>46113</v>
      </c>
      <c r="D1347" s="11">
        <v>3273</v>
      </c>
      <c r="E1347" s="11">
        <v>336</v>
      </c>
      <c r="F1347" s="11">
        <v>4</v>
      </c>
      <c r="G1347" s="19">
        <v>9</v>
      </c>
      <c r="H1347" s="13">
        <v>81574</v>
      </c>
      <c r="I1347" s="11" t="s">
        <v>17</v>
      </c>
      <c r="J1347" s="13">
        <v>45248482</v>
      </c>
      <c r="K1347" s="13" t="s">
        <v>1567</v>
      </c>
      <c r="L1347" s="13" t="s">
        <v>1572</v>
      </c>
      <c r="M1347" s="21">
        <v>279900</v>
      </c>
      <c r="N1347" s="15">
        <v>0.75</v>
      </c>
      <c r="O1347" s="16">
        <f t="shared" si="95"/>
        <v>69975</v>
      </c>
      <c r="P1347" s="11" t="s">
        <v>20</v>
      </c>
    </row>
    <row r="1348" spans="1:16" x14ac:dyDescent="0.25">
      <c r="A1348" s="9" t="str">
        <f t="shared" ref="A1348:B1363" si="96">A1347</f>
        <v>2024 ALL D75</v>
      </c>
      <c r="B1348" s="10">
        <f t="shared" si="96"/>
        <v>46104</v>
      </c>
      <c r="C1348" s="10">
        <v>46113</v>
      </c>
      <c r="D1348" s="11">
        <v>3273</v>
      </c>
      <c r="E1348" s="11">
        <v>336</v>
      </c>
      <c r="F1348" s="11">
        <v>4</v>
      </c>
      <c r="G1348" s="19">
        <v>9</v>
      </c>
      <c r="H1348" s="13">
        <v>81574</v>
      </c>
      <c r="I1348" s="11" t="s">
        <v>17</v>
      </c>
      <c r="J1348" s="13">
        <v>45248491</v>
      </c>
      <c r="K1348" s="13" t="s">
        <v>1567</v>
      </c>
      <c r="L1348" s="13" t="s">
        <v>1573</v>
      </c>
      <c r="M1348" s="21">
        <v>279900</v>
      </c>
      <c r="N1348" s="15">
        <v>0.75</v>
      </c>
      <c r="O1348" s="16">
        <f t="shared" si="95"/>
        <v>69975</v>
      </c>
      <c r="P1348" s="11" t="s">
        <v>20</v>
      </c>
    </row>
    <row r="1349" spans="1:16" x14ac:dyDescent="0.25">
      <c r="A1349" s="9" t="str">
        <f t="shared" si="96"/>
        <v>2024 ALL D75</v>
      </c>
      <c r="B1349" s="10">
        <f t="shared" si="96"/>
        <v>46104</v>
      </c>
      <c r="C1349" s="10">
        <v>46113</v>
      </c>
      <c r="D1349" s="11">
        <v>3273</v>
      </c>
      <c r="E1349" s="11">
        <v>336</v>
      </c>
      <c r="F1349" s="11">
        <v>4</v>
      </c>
      <c r="G1349" s="19">
        <v>9</v>
      </c>
      <c r="H1349" s="13">
        <v>81574</v>
      </c>
      <c r="I1349" s="11" t="s">
        <v>17</v>
      </c>
      <c r="J1349" s="13">
        <v>45248508</v>
      </c>
      <c r="K1349" s="13" t="s">
        <v>1567</v>
      </c>
      <c r="L1349" s="13" t="s">
        <v>1574</v>
      </c>
      <c r="M1349" s="21">
        <v>279900</v>
      </c>
      <c r="N1349" s="15">
        <v>0.75</v>
      </c>
      <c r="O1349" s="16">
        <f t="shared" si="95"/>
        <v>69975</v>
      </c>
      <c r="P1349" s="11" t="s">
        <v>20</v>
      </c>
    </row>
    <row r="1350" spans="1:16" x14ac:dyDescent="0.25">
      <c r="A1350" s="9" t="str">
        <f t="shared" si="96"/>
        <v>2024 ALL D75</v>
      </c>
      <c r="B1350" s="10">
        <f t="shared" si="96"/>
        <v>46104</v>
      </c>
      <c r="C1350" s="10">
        <v>46113</v>
      </c>
      <c r="D1350" s="11">
        <v>3273</v>
      </c>
      <c r="E1350" s="11">
        <v>336</v>
      </c>
      <c r="F1350" s="11">
        <v>4</v>
      </c>
      <c r="G1350" s="19">
        <v>9</v>
      </c>
      <c r="H1350" s="13">
        <v>81574</v>
      </c>
      <c r="I1350" s="11" t="s">
        <v>17</v>
      </c>
      <c r="J1350" s="13">
        <v>45248517</v>
      </c>
      <c r="K1350" s="13" t="s">
        <v>1567</v>
      </c>
      <c r="L1350" s="13" t="s">
        <v>1575</v>
      </c>
      <c r="M1350" s="21">
        <v>279900</v>
      </c>
      <c r="N1350" s="15">
        <v>0.75</v>
      </c>
      <c r="O1350" s="16">
        <f t="shared" si="95"/>
        <v>69975</v>
      </c>
      <c r="P1350" s="11" t="s">
        <v>20</v>
      </c>
    </row>
    <row r="1351" spans="1:16" x14ac:dyDescent="0.25">
      <c r="A1351" s="9" t="str">
        <f t="shared" si="96"/>
        <v>2024 ALL D75</v>
      </c>
      <c r="B1351" s="10">
        <f t="shared" si="96"/>
        <v>46104</v>
      </c>
      <c r="C1351" s="10">
        <v>46113</v>
      </c>
      <c r="D1351" s="11">
        <v>3273</v>
      </c>
      <c r="E1351" s="11">
        <v>336</v>
      </c>
      <c r="F1351" s="11">
        <v>4</v>
      </c>
      <c r="G1351" s="19">
        <v>9</v>
      </c>
      <c r="H1351" s="13">
        <v>81574</v>
      </c>
      <c r="I1351" s="11" t="s">
        <v>17</v>
      </c>
      <c r="J1351" s="13">
        <v>45248526</v>
      </c>
      <c r="K1351" s="13" t="s">
        <v>1576</v>
      </c>
      <c r="L1351" s="13" t="s">
        <v>1577</v>
      </c>
      <c r="M1351" s="21">
        <v>329900</v>
      </c>
      <c r="N1351" s="15">
        <v>0.75</v>
      </c>
      <c r="O1351" s="16">
        <f t="shared" si="95"/>
        <v>82475</v>
      </c>
      <c r="P1351" s="11" t="s">
        <v>20</v>
      </c>
    </row>
    <row r="1352" spans="1:16" x14ac:dyDescent="0.25">
      <c r="A1352" s="9" t="str">
        <f t="shared" si="96"/>
        <v>2024 ALL D75</v>
      </c>
      <c r="B1352" s="10">
        <f t="shared" si="96"/>
        <v>46104</v>
      </c>
      <c r="C1352" s="10">
        <v>46113</v>
      </c>
      <c r="D1352" s="11">
        <v>3273</v>
      </c>
      <c r="E1352" s="11">
        <v>336</v>
      </c>
      <c r="F1352" s="11">
        <v>4</v>
      </c>
      <c r="G1352" s="19">
        <v>9</v>
      </c>
      <c r="H1352" s="13">
        <v>81574</v>
      </c>
      <c r="I1352" s="11" t="s">
        <v>17</v>
      </c>
      <c r="J1352" s="13">
        <v>45248535</v>
      </c>
      <c r="K1352" s="13" t="s">
        <v>1576</v>
      </c>
      <c r="L1352" s="13" t="s">
        <v>1578</v>
      </c>
      <c r="M1352" s="21">
        <v>329900</v>
      </c>
      <c r="N1352" s="15">
        <v>0.75</v>
      </c>
      <c r="O1352" s="16">
        <f t="shared" si="95"/>
        <v>82475</v>
      </c>
      <c r="P1352" s="11" t="s">
        <v>20</v>
      </c>
    </row>
    <row r="1353" spans="1:16" x14ac:dyDescent="0.25">
      <c r="A1353" s="9" t="str">
        <f t="shared" si="96"/>
        <v>2024 ALL D75</v>
      </c>
      <c r="B1353" s="10">
        <f t="shared" si="96"/>
        <v>46104</v>
      </c>
      <c r="C1353" s="10">
        <v>46113</v>
      </c>
      <c r="D1353" s="11">
        <v>3273</v>
      </c>
      <c r="E1353" s="11">
        <v>336</v>
      </c>
      <c r="F1353" s="11">
        <v>4</v>
      </c>
      <c r="G1353" s="19">
        <v>9</v>
      </c>
      <c r="H1353" s="13">
        <v>81574</v>
      </c>
      <c r="I1353" s="11" t="s">
        <v>17</v>
      </c>
      <c r="J1353" s="13">
        <v>45248544</v>
      </c>
      <c r="K1353" s="13" t="s">
        <v>1576</v>
      </c>
      <c r="L1353" s="13" t="s">
        <v>1579</v>
      </c>
      <c r="M1353" s="21">
        <v>329900</v>
      </c>
      <c r="N1353" s="15">
        <v>0.75</v>
      </c>
      <c r="O1353" s="16">
        <f t="shared" si="95"/>
        <v>82475</v>
      </c>
      <c r="P1353" s="11" t="s">
        <v>20</v>
      </c>
    </row>
    <row r="1354" spans="1:16" x14ac:dyDescent="0.25">
      <c r="A1354" s="9" t="str">
        <f t="shared" si="96"/>
        <v>2024 ALL D75</v>
      </c>
      <c r="B1354" s="10">
        <f t="shared" si="96"/>
        <v>46104</v>
      </c>
      <c r="C1354" s="10">
        <v>46113</v>
      </c>
      <c r="D1354" s="11">
        <v>3273</v>
      </c>
      <c r="E1354" s="11">
        <v>336</v>
      </c>
      <c r="F1354" s="11">
        <v>4</v>
      </c>
      <c r="G1354" s="19">
        <v>9</v>
      </c>
      <c r="H1354" s="13">
        <v>81574</v>
      </c>
      <c r="I1354" s="11" t="s">
        <v>17</v>
      </c>
      <c r="J1354" s="13">
        <v>45248553</v>
      </c>
      <c r="K1354" s="13" t="s">
        <v>1576</v>
      </c>
      <c r="L1354" s="13" t="s">
        <v>1580</v>
      </c>
      <c r="M1354" s="21">
        <v>329900</v>
      </c>
      <c r="N1354" s="15">
        <v>0.75</v>
      </c>
      <c r="O1354" s="16">
        <f t="shared" si="95"/>
        <v>82475</v>
      </c>
      <c r="P1354" s="11" t="s">
        <v>20</v>
      </c>
    </row>
    <row r="1355" spans="1:16" x14ac:dyDescent="0.25">
      <c r="A1355" s="9" t="str">
        <f t="shared" si="96"/>
        <v>2024 ALL D75</v>
      </c>
      <c r="B1355" s="10">
        <f t="shared" si="96"/>
        <v>46104</v>
      </c>
      <c r="C1355" s="10">
        <v>46113</v>
      </c>
      <c r="D1355" s="11">
        <v>3273</v>
      </c>
      <c r="E1355" s="11">
        <v>336</v>
      </c>
      <c r="F1355" s="11">
        <v>4</v>
      </c>
      <c r="G1355" s="19">
        <v>9</v>
      </c>
      <c r="H1355" s="13">
        <v>81574</v>
      </c>
      <c r="I1355" s="11" t="s">
        <v>17</v>
      </c>
      <c r="J1355" s="13">
        <v>45248562</v>
      </c>
      <c r="K1355" s="13" t="s">
        <v>1576</v>
      </c>
      <c r="L1355" s="13" t="s">
        <v>1581</v>
      </c>
      <c r="M1355" s="21">
        <v>329900</v>
      </c>
      <c r="N1355" s="15">
        <v>0.75</v>
      </c>
      <c r="O1355" s="16">
        <f t="shared" si="95"/>
        <v>82475</v>
      </c>
      <c r="P1355" s="11" t="s">
        <v>20</v>
      </c>
    </row>
    <row r="1356" spans="1:16" x14ac:dyDescent="0.25">
      <c r="A1356" s="9" t="str">
        <f t="shared" si="96"/>
        <v>2024 ALL D75</v>
      </c>
      <c r="B1356" s="10">
        <f t="shared" si="96"/>
        <v>46104</v>
      </c>
      <c r="C1356" s="10">
        <v>46113</v>
      </c>
      <c r="D1356" s="11">
        <v>3273</v>
      </c>
      <c r="E1356" s="11">
        <v>336</v>
      </c>
      <c r="F1356" s="11">
        <v>4</v>
      </c>
      <c r="G1356" s="19">
        <v>9</v>
      </c>
      <c r="H1356" s="13">
        <v>81574</v>
      </c>
      <c r="I1356" s="11" t="s">
        <v>17</v>
      </c>
      <c r="J1356" s="13">
        <v>45248571</v>
      </c>
      <c r="K1356" s="13" t="s">
        <v>1576</v>
      </c>
      <c r="L1356" s="13" t="s">
        <v>1582</v>
      </c>
      <c r="M1356" s="21">
        <v>329900</v>
      </c>
      <c r="N1356" s="15">
        <v>0.75</v>
      </c>
      <c r="O1356" s="16">
        <f t="shared" si="95"/>
        <v>82475</v>
      </c>
      <c r="P1356" s="11" t="s">
        <v>20</v>
      </c>
    </row>
    <row r="1357" spans="1:16" x14ac:dyDescent="0.25">
      <c r="A1357" s="9" t="str">
        <f t="shared" si="96"/>
        <v>2024 ALL D75</v>
      </c>
      <c r="B1357" s="10">
        <f t="shared" si="96"/>
        <v>46104</v>
      </c>
      <c r="C1357" s="10">
        <v>46113</v>
      </c>
      <c r="D1357" s="11">
        <v>3273</v>
      </c>
      <c r="E1357" s="11">
        <v>336</v>
      </c>
      <c r="F1357" s="11">
        <v>4</v>
      </c>
      <c r="G1357" s="19">
        <v>9</v>
      </c>
      <c r="H1357" s="13">
        <v>81574</v>
      </c>
      <c r="I1357" s="11" t="s">
        <v>17</v>
      </c>
      <c r="J1357" s="13">
        <v>45248580</v>
      </c>
      <c r="K1357" s="13" t="s">
        <v>1576</v>
      </c>
      <c r="L1357" s="13" t="s">
        <v>1583</v>
      </c>
      <c r="M1357" s="21">
        <v>329900</v>
      </c>
      <c r="N1357" s="15">
        <v>0.75</v>
      </c>
      <c r="O1357" s="16">
        <f t="shared" si="95"/>
        <v>82475</v>
      </c>
      <c r="P1357" s="11" t="s">
        <v>20</v>
      </c>
    </row>
    <row r="1358" spans="1:16" x14ac:dyDescent="0.25">
      <c r="A1358" s="9" t="str">
        <f t="shared" si="96"/>
        <v>2024 ALL D75</v>
      </c>
      <c r="B1358" s="10">
        <f t="shared" si="96"/>
        <v>46104</v>
      </c>
      <c r="C1358" s="10">
        <v>46113</v>
      </c>
      <c r="D1358" s="11">
        <v>3273</v>
      </c>
      <c r="E1358" s="11">
        <v>336</v>
      </c>
      <c r="F1358" s="11">
        <v>4</v>
      </c>
      <c r="G1358" s="19">
        <v>9</v>
      </c>
      <c r="H1358" s="13">
        <v>81574</v>
      </c>
      <c r="I1358" s="11" t="s">
        <v>17</v>
      </c>
      <c r="J1358" s="13">
        <v>45248599</v>
      </c>
      <c r="K1358" s="13" t="s">
        <v>1576</v>
      </c>
      <c r="L1358" s="13" t="s">
        <v>1584</v>
      </c>
      <c r="M1358" s="21">
        <v>329900</v>
      </c>
      <c r="N1358" s="15">
        <v>0.75</v>
      </c>
      <c r="O1358" s="16">
        <f t="shared" si="95"/>
        <v>82475</v>
      </c>
      <c r="P1358" s="11" t="s">
        <v>20</v>
      </c>
    </row>
    <row r="1359" spans="1:16" x14ac:dyDescent="0.25">
      <c r="A1359" s="9" t="str">
        <f t="shared" si="96"/>
        <v>2024 ALL D75</v>
      </c>
      <c r="B1359" s="10">
        <f t="shared" si="96"/>
        <v>46104</v>
      </c>
      <c r="C1359" s="10">
        <v>46113</v>
      </c>
      <c r="D1359" s="11">
        <v>3273</v>
      </c>
      <c r="E1359" s="11">
        <v>336</v>
      </c>
      <c r="F1359" s="11">
        <v>4</v>
      </c>
      <c r="G1359" s="19">
        <v>9</v>
      </c>
      <c r="H1359" s="13">
        <v>81676</v>
      </c>
      <c r="I1359" s="11" t="s">
        <v>17</v>
      </c>
      <c r="J1359" s="13">
        <v>45909062</v>
      </c>
      <c r="K1359" s="13" t="s">
        <v>1585</v>
      </c>
      <c r="L1359" s="13" t="s">
        <v>1586</v>
      </c>
      <c r="M1359" s="21">
        <v>159900</v>
      </c>
      <c r="N1359" s="15">
        <v>0.75</v>
      </c>
      <c r="O1359" s="16">
        <f t="shared" si="95"/>
        <v>39975</v>
      </c>
      <c r="P1359" s="11" t="s">
        <v>20</v>
      </c>
    </row>
    <row r="1360" spans="1:16" x14ac:dyDescent="0.25">
      <c r="A1360" s="9" t="str">
        <f t="shared" si="96"/>
        <v>2024 ALL D75</v>
      </c>
      <c r="B1360" s="10">
        <f t="shared" si="96"/>
        <v>46104</v>
      </c>
      <c r="C1360" s="10">
        <v>46113</v>
      </c>
      <c r="D1360" s="11">
        <v>3273</v>
      </c>
      <c r="E1360" s="11">
        <v>336</v>
      </c>
      <c r="F1360" s="11">
        <v>4</v>
      </c>
      <c r="G1360" s="19">
        <v>9</v>
      </c>
      <c r="H1360" s="13">
        <v>81676</v>
      </c>
      <c r="I1360" s="11" t="s">
        <v>17</v>
      </c>
      <c r="J1360" s="13">
        <v>45909071</v>
      </c>
      <c r="K1360" s="13" t="s">
        <v>1585</v>
      </c>
      <c r="L1360" s="13" t="s">
        <v>1587</v>
      </c>
      <c r="M1360" s="21">
        <v>159900</v>
      </c>
      <c r="N1360" s="15">
        <v>0.75</v>
      </c>
      <c r="O1360" s="16">
        <f t="shared" si="95"/>
        <v>39975</v>
      </c>
      <c r="P1360" s="11" t="s">
        <v>20</v>
      </c>
    </row>
    <row r="1361" spans="1:16" x14ac:dyDescent="0.25">
      <c r="A1361" s="9" t="str">
        <f t="shared" si="96"/>
        <v>2024 ALL D75</v>
      </c>
      <c r="B1361" s="10">
        <f t="shared" si="96"/>
        <v>46104</v>
      </c>
      <c r="C1361" s="10">
        <v>46113</v>
      </c>
      <c r="D1361" s="11">
        <v>3273</v>
      </c>
      <c r="E1361" s="11">
        <v>336</v>
      </c>
      <c r="F1361" s="11">
        <v>4</v>
      </c>
      <c r="G1361" s="19">
        <v>9</v>
      </c>
      <c r="H1361" s="13">
        <v>81676</v>
      </c>
      <c r="I1361" s="11" t="s">
        <v>17</v>
      </c>
      <c r="J1361" s="13">
        <v>45909080</v>
      </c>
      <c r="K1361" s="13" t="s">
        <v>1585</v>
      </c>
      <c r="L1361" s="13" t="s">
        <v>1588</v>
      </c>
      <c r="M1361" s="21">
        <v>159900</v>
      </c>
      <c r="N1361" s="15">
        <v>0.75</v>
      </c>
      <c r="O1361" s="16">
        <f t="shared" si="95"/>
        <v>39975</v>
      </c>
      <c r="P1361" s="11" t="s">
        <v>20</v>
      </c>
    </row>
    <row r="1362" spans="1:16" x14ac:dyDescent="0.25">
      <c r="A1362" s="9" t="str">
        <f t="shared" si="96"/>
        <v>2024 ALL D75</v>
      </c>
      <c r="B1362" s="10">
        <f t="shared" si="96"/>
        <v>46104</v>
      </c>
      <c r="C1362" s="10">
        <v>46113</v>
      </c>
      <c r="D1362" s="11">
        <v>3273</v>
      </c>
      <c r="E1362" s="11">
        <v>336</v>
      </c>
      <c r="F1362" s="11">
        <v>4</v>
      </c>
      <c r="G1362" s="19">
        <v>9</v>
      </c>
      <c r="H1362" s="13">
        <v>81676</v>
      </c>
      <c r="I1362" s="11" t="s">
        <v>17</v>
      </c>
      <c r="J1362" s="13">
        <v>45909099</v>
      </c>
      <c r="K1362" s="13" t="s">
        <v>1585</v>
      </c>
      <c r="L1362" s="13" t="s">
        <v>1589</v>
      </c>
      <c r="M1362" s="21">
        <v>159900</v>
      </c>
      <c r="N1362" s="15">
        <v>0.75</v>
      </c>
      <c r="O1362" s="16">
        <f t="shared" si="95"/>
        <v>39975</v>
      </c>
      <c r="P1362" s="11" t="s">
        <v>20</v>
      </c>
    </row>
    <row r="1363" spans="1:16" x14ac:dyDescent="0.25">
      <c r="A1363" s="9" t="str">
        <f t="shared" si="96"/>
        <v>2024 ALL D75</v>
      </c>
      <c r="B1363" s="10">
        <f t="shared" si="96"/>
        <v>46104</v>
      </c>
      <c r="C1363" s="10">
        <v>46113</v>
      </c>
      <c r="D1363" s="11">
        <v>3273</v>
      </c>
      <c r="E1363" s="11">
        <v>336</v>
      </c>
      <c r="F1363" s="11">
        <v>4</v>
      </c>
      <c r="G1363" s="19">
        <v>9</v>
      </c>
      <c r="H1363" s="13">
        <v>81676</v>
      </c>
      <c r="I1363" s="11" t="s">
        <v>17</v>
      </c>
      <c r="J1363" s="13">
        <v>45909106</v>
      </c>
      <c r="K1363" s="13" t="s">
        <v>1585</v>
      </c>
      <c r="L1363" s="13" t="s">
        <v>1590</v>
      </c>
      <c r="M1363" s="21">
        <v>159900</v>
      </c>
      <c r="N1363" s="15">
        <v>0.75</v>
      </c>
      <c r="O1363" s="16">
        <f t="shared" si="95"/>
        <v>39975</v>
      </c>
      <c r="P1363" s="11" t="s">
        <v>20</v>
      </c>
    </row>
    <row r="1364" spans="1:16" x14ac:dyDescent="0.25">
      <c r="A1364" s="9" t="str">
        <f t="shared" ref="A1364:B1379" si="97">A1363</f>
        <v>2024 ALL D75</v>
      </c>
      <c r="B1364" s="10">
        <f t="shared" si="97"/>
        <v>46104</v>
      </c>
      <c r="C1364" s="10">
        <v>46113</v>
      </c>
      <c r="D1364" s="11">
        <v>3273</v>
      </c>
      <c r="E1364" s="11">
        <v>336</v>
      </c>
      <c r="F1364" s="11">
        <v>4</v>
      </c>
      <c r="G1364" s="19">
        <v>9</v>
      </c>
      <c r="H1364" s="13">
        <v>81676</v>
      </c>
      <c r="I1364" s="11" t="s">
        <v>17</v>
      </c>
      <c r="J1364" s="13">
        <v>45909115</v>
      </c>
      <c r="K1364" s="13" t="s">
        <v>1585</v>
      </c>
      <c r="L1364" s="13" t="s">
        <v>1591</v>
      </c>
      <c r="M1364" s="21">
        <v>159900</v>
      </c>
      <c r="N1364" s="15">
        <v>0.75</v>
      </c>
      <c r="O1364" s="16">
        <f t="shared" si="95"/>
        <v>39975</v>
      </c>
      <c r="P1364" s="11" t="s">
        <v>20</v>
      </c>
    </row>
    <row r="1365" spans="1:16" x14ac:dyDescent="0.25">
      <c r="A1365" s="9" t="str">
        <f t="shared" si="97"/>
        <v>2024 ALL D75</v>
      </c>
      <c r="B1365" s="10">
        <f t="shared" si="97"/>
        <v>46104</v>
      </c>
      <c r="C1365" s="10">
        <v>46113</v>
      </c>
      <c r="D1365" s="11">
        <v>3273</v>
      </c>
      <c r="E1365" s="11">
        <v>336</v>
      </c>
      <c r="F1365" s="11">
        <v>4</v>
      </c>
      <c r="G1365" s="19">
        <v>9</v>
      </c>
      <c r="H1365" s="13">
        <v>81676</v>
      </c>
      <c r="I1365" s="11" t="s">
        <v>17</v>
      </c>
      <c r="J1365" s="13">
        <v>45909124</v>
      </c>
      <c r="K1365" s="13" t="s">
        <v>1585</v>
      </c>
      <c r="L1365" s="13" t="s">
        <v>1592</v>
      </c>
      <c r="M1365" s="21">
        <v>159900</v>
      </c>
      <c r="N1365" s="15">
        <v>0.75</v>
      </c>
      <c r="O1365" s="16">
        <f t="shared" si="95"/>
        <v>39975</v>
      </c>
      <c r="P1365" s="11" t="s">
        <v>20</v>
      </c>
    </row>
    <row r="1366" spans="1:16" x14ac:dyDescent="0.25">
      <c r="A1366" s="9" t="str">
        <f t="shared" si="97"/>
        <v>2024 ALL D75</v>
      </c>
      <c r="B1366" s="10">
        <f t="shared" si="97"/>
        <v>46104</v>
      </c>
      <c r="C1366" s="10">
        <v>46113</v>
      </c>
      <c r="D1366" s="11">
        <v>3273</v>
      </c>
      <c r="E1366" s="11">
        <v>336</v>
      </c>
      <c r="F1366" s="11">
        <v>4</v>
      </c>
      <c r="G1366" s="19">
        <v>9</v>
      </c>
      <c r="H1366" s="13">
        <v>81676</v>
      </c>
      <c r="I1366" s="11" t="s">
        <v>17</v>
      </c>
      <c r="J1366" s="13">
        <v>45909133</v>
      </c>
      <c r="K1366" s="13" t="s">
        <v>1585</v>
      </c>
      <c r="L1366" s="13" t="s">
        <v>1593</v>
      </c>
      <c r="M1366" s="21">
        <v>159900</v>
      </c>
      <c r="N1366" s="15">
        <v>0.75</v>
      </c>
      <c r="O1366" s="16">
        <f t="shared" si="95"/>
        <v>39975</v>
      </c>
      <c r="P1366" s="11" t="s">
        <v>20</v>
      </c>
    </row>
    <row r="1367" spans="1:16" x14ac:dyDescent="0.25">
      <c r="A1367" s="9" t="str">
        <f t="shared" si="97"/>
        <v>2024 ALL D75</v>
      </c>
      <c r="B1367" s="10">
        <f t="shared" si="97"/>
        <v>46104</v>
      </c>
      <c r="C1367" s="10">
        <v>46113</v>
      </c>
      <c r="D1367" s="11">
        <v>3273</v>
      </c>
      <c r="E1367" s="11">
        <v>336</v>
      </c>
      <c r="F1367" s="11">
        <v>4</v>
      </c>
      <c r="G1367" s="19">
        <v>8</v>
      </c>
      <c r="H1367" s="13">
        <v>81588</v>
      </c>
      <c r="I1367" s="11" t="s">
        <v>17</v>
      </c>
      <c r="J1367" s="13">
        <v>16101989</v>
      </c>
      <c r="K1367" s="13" t="s">
        <v>1594</v>
      </c>
      <c r="L1367" s="13" t="s">
        <v>1595</v>
      </c>
      <c r="M1367" s="21">
        <v>219900</v>
      </c>
      <c r="N1367" s="15">
        <v>0.75</v>
      </c>
      <c r="O1367" s="16">
        <f t="shared" si="95"/>
        <v>54975</v>
      </c>
      <c r="P1367" s="11" t="s">
        <v>20</v>
      </c>
    </row>
    <row r="1368" spans="1:16" x14ac:dyDescent="0.25">
      <c r="A1368" s="9" t="str">
        <f t="shared" si="97"/>
        <v>2024 ALL D75</v>
      </c>
      <c r="B1368" s="10">
        <f t="shared" si="97"/>
        <v>46104</v>
      </c>
      <c r="C1368" s="10">
        <v>46113</v>
      </c>
      <c r="D1368" s="11">
        <v>3273</v>
      </c>
      <c r="E1368" s="11">
        <v>336</v>
      </c>
      <c r="F1368" s="11">
        <v>4</v>
      </c>
      <c r="G1368" s="19">
        <v>8</v>
      </c>
      <c r="H1368" s="13">
        <v>81588</v>
      </c>
      <c r="I1368" s="11" t="s">
        <v>17</v>
      </c>
      <c r="J1368" s="13">
        <v>16101998</v>
      </c>
      <c r="K1368" s="13" t="s">
        <v>1594</v>
      </c>
      <c r="L1368" s="13" t="s">
        <v>1596</v>
      </c>
      <c r="M1368" s="21">
        <v>219900</v>
      </c>
      <c r="N1368" s="15">
        <v>0.75</v>
      </c>
      <c r="O1368" s="16">
        <f t="shared" si="95"/>
        <v>54975</v>
      </c>
      <c r="P1368" s="11" t="s">
        <v>20</v>
      </c>
    </row>
    <row r="1369" spans="1:16" x14ac:dyDescent="0.25">
      <c r="A1369" s="9" t="str">
        <f t="shared" si="97"/>
        <v>2024 ALL D75</v>
      </c>
      <c r="B1369" s="10">
        <f t="shared" si="97"/>
        <v>46104</v>
      </c>
      <c r="C1369" s="10">
        <v>46113</v>
      </c>
      <c r="D1369" s="11">
        <v>3273</v>
      </c>
      <c r="E1369" s="11">
        <v>336</v>
      </c>
      <c r="F1369" s="11">
        <v>4</v>
      </c>
      <c r="G1369" s="19">
        <v>8</v>
      </c>
      <c r="H1369" s="13">
        <v>81588</v>
      </c>
      <c r="I1369" s="11" t="s">
        <v>17</v>
      </c>
      <c r="J1369" s="13">
        <v>16102004</v>
      </c>
      <c r="K1369" s="13" t="s">
        <v>1594</v>
      </c>
      <c r="L1369" s="13" t="s">
        <v>1597</v>
      </c>
      <c r="M1369" s="21">
        <v>219900</v>
      </c>
      <c r="N1369" s="15">
        <v>0.75</v>
      </c>
      <c r="O1369" s="16">
        <f t="shared" si="95"/>
        <v>54975</v>
      </c>
      <c r="P1369" s="11" t="s">
        <v>20</v>
      </c>
    </row>
    <row r="1370" spans="1:16" x14ac:dyDescent="0.25">
      <c r="A1370" s="9" t="str">
        <f t="shared" si="97"/>
        <v>2024 ALL D75</v>
      </c>
      <c r="B1370" s="10">
        <f t="shared" si="97"/>
        <v>46104</v>
      </c>
      <c r="C1370" s="10">
        <v>46113</v>
      </c>
      <c r="D1370" s="11">
        <v>3273</v>
      </c>
      <c r="E1370" s="11">
        <v>336</v>
      </c>
      <c r="F1370" s="11">
        <v>4</v>
      </c>
      <c r="G1370" s="19">
        <v>8</v>
      </c>
      <c r="H1370" s="13">
        <v>81588</v>
      </c>
      <c r="I1370" s="11" t="s">
        <v>17</v>
      </c>
      <c r="J1370" s="13">
        <v>16102013</v>
      </c>
      <c r="K1370" s="13" t="s">
        <v>1594</v>
      </c>
      <c r="L1370" s="13" t="s">
        <v>1598</v>
      </c>
      <c r="M1370" s="21">
        <v>219900</v>
      </c>
      <c r="N1370" s="15">
        <v>0.75</v>
      </c>
      <c r="O1370" s="16">
        <f t="shared" si="95"/>
        <v>54975</v>
      </c>
      <c r="P1370" s="11" t="s">
        <v>20</v>
      </c>
    </row>
    <row r="1371" spans="1:16" x14ac:dyDescent="0.25">
      <c r="A1371" s="9" t="str">
        <f t="shared" si="97"/>
        <v>2024 ALL D75</v>
      </c>
      <c r="B1371" s="10">
        <f t="shared" si="97"/>
        <v>46104</v>
      </c>
      <c r="C1371" s="10">
        <v>46113</v>
      </c>
      <c r="D1371" s="11">
        <v>3273</v>
      </c>
      <c r="E1371" s="11">
        <v>336</v>
      </c>
      <c r="F1371" s="11">
        <v>4</v>
      </c>
      <c r="G1371" s="19">
        <v>8</v>
      </c>
      <c r="H1371" s="13">
        <v>81588</v>
      </c>
      <c r="I1371" s="11" t="s">
        <v>17</v>
      </c>
      <c r="J1371" s="13">
        <v>16102022</v>
      </c>
      <c r="K1371" s="13" t="s">
        <v>1594</v>
      </c>
      <c r="L1371" s="13" t="s">
        <v>1599</v>
      </c>
      <c r="M1371" s="21">
        <v>219900</v>
      </c>
      <c r="N1371" s="15">
        <v>0.75</v>
      </c>
      <c r="O1371" s="16">
        <f t="shared" si="95"/>
        <v>54975</v>
      </c>
      <c r="P1371" s="11" t="s">
        <v>20</v>
      </c>
    </row>
    <row r="1372" spans="1:16" x14ac:dyDescent="0.25">
      <c r="A1372" s="9" t="str">
        <f t="shared" si="97"/>
        <v>2024 ALL D75</v>
      </c>
      <c r="B1372" s="10">
        <f t="shared" si="97"/>
        <v>46104</v>
      </c>
      <c r="C1372" s="10">
        <v>46113</v>
      </c>
      <c r="D1372" s="11">
        <v>3273</v>
      </c>
      <c r="E1372" s="11">
        <v>336</v>
      </c>
      <c r="F1372" s="11">
        <v>4</v>
      </c>
      <c r="G1372" s="19">
        <v>8</v>
      </c>
      <c r="H1372" s="13">
        <v>81588</v>
      </c>
      <c r="I1372" s="11" t="s">
        <v>17</v>
      </c>
      <c r="J1372" s="13">
        <v>16102031</v>
      </c>
      <c r="K1372" s="13" t="s">
        <v>1594</v>
      </c>
      <c r="L1372" s="13" t="s">
        <v>1600</v>
      </c>
      <c r="M1372" s="21">
        <v>219900</v>
      </c>
      <c r="N1372" s="15">
        <v>0.75</v>
      </c>
      <c r="O1372" s="16">
        <f t="shared" si="95"/>
        <v>54975</v>
      </c>
      <c r="P1372" s="11" t="s">
        <v>20</v>
      </c>
    </row>
    <row r="1373" spans="1:16" x14ac:dyDescent="0.25">
      <c r="A1373" s="9" t="str">
        <f t="shared" si="97"/>
        <v>2024 ALL D75</v>
      </c>
      <c r="B1373" s="10">
        <f t="shared" si="97"/>
        <v>46104</v>
      </c>
      <c r="C1373" s="10">
        <v>46113</v>
      </c>
      <c r="D1373" s="11">
        <v>3273</v>
      </c>
      <c r="E1373" s="11">
        <v>336</v>
      </c>
      <c r="F1373" s="11">
        <v>4</v>
      </c>
      <c r="G1373" s="19">
        <v>8</v>
      </c>
      <c r="H1373" s="13">
        <v>81588</v>
      </c>
      <c r="I1373" s="11" t="s">
        <v>17</v>
      </c>
      <c r="J1373" s="13">
        <v>16102040</v>
      </c>
      <c r="K1373" s="13" t="s">
        <v>1594</v>
      </c>
      <c r="L1373" s="13" t="s">
        <v>1601</v>
      </c>
      <c r="M1373" s="21">
        <v>219900</v>
      </c>
      <c r="N1373" s="15">
        <v>0.75</v>
      </c>
      <c r="O1373" s="16">
        <f t="shared" si="95"/>
        <v>54975</v>
      </c>
      <c r="P1373" s="11" t="s">
        <v>20</v>
      </c>
    </row>
    <row r="1374" spans="1:16" x14ac:dyDescent="0.25">
      <c r="A1374" s="9" t="str">
        <f t="shared" si="97"/>
        <v>2024 ALL D75</v>
      </c>
      <c r="B1374" s="10">
        <f t="shared" si="97"/>
        <v>46104</v>
      </c>
      <c r="C1374" s="10">
        <v>46113</v>
      </c>
      <c r="D1374" s="11">
        <v>3273</v>
      </c>
      <c r="E1374" s="11">
        <v>336</v>
      </c>
      <c r="F1374" s="11">
        <v>4</v>
      </c>
      <c r="G1374" s="19">
        <v>8</v>
      </c>
      <c r="H1374" s="13">
        <v>81588</v>
      </c>
      <c r="I1374" s="11" t="s">
        <v>17</v>
      </c>
      <c r="J1374" s="13">
        <v>16102059</v>
      </c>
      <c r="K1374" s="13" t="s">
        <v>1594</v>
      </c>
      <c r="L1374" s="13" t="s">
        <v>1602</v>
      </c>
      <c r="M1374" s="21">
        <v>219900</v>
      </c>
      <c r="N1374" s="15">
        <v>0.75</v>
      </c>
      <c r="O1374" s="16">
        <f t="shared" si="95"/>
        <v>54975</v>
      </c>
      <c r="P1374" s="11" t="s">
        <v>20</v>
      </c>
    </row>
    <row r="1375" spans="1:16" x14ac:dyDescent="0.25">
      <c r="A1375" s="9" t="str">
        <f t="shared" si="97"/>
        <v>2024 ALL D75</v>
      </c>
      <c r="B1375" s="10">
        <f t="shared" si="97"/>
        <v>46104</v>
      </c>
      <c r="C1375" s="10">
        <v>46113</v>
      </c>
      <c r="D1375" s="11">
        <v>3273</v>
      </c>
      <c r="E1375" s="11">
        <v>336</v>
      </c>
      <c r="F1375" s="11">
        <v>4</v>
      </c>
      <c r="G1375" s="19">
        <v>13</v>
      </c>
      <c r="H1375" s="13">
        <v>81676</v>
      </c>
      <c r="I1375" s="11" t="s">
        <v>17</v>
      </c>
      <c r="J1375" s="13">
        <v>45247018</v>
      </c>
      <c r="K1375" s="13" t="s">
        <v>1603</v>
      </c>
      <c r="L1375" s="13" t="s">
        <v>1604</v>
      </c>
      <c r="M1375" s="21">
        <v>229900</v>
      </c>
      <c r="N1375" s="15">
        <v>0.75</v>
      </c>
      <c r="O1375" s="16">
        <f t="shared" si="95"/>
        <v>57475</v>
      </c>
      <c r="P1375" s="11" t="s">
        <v>20</v>
      </c>
    </row>
    <row r="1376" spans="1:16" x14ac:dyDescent="0.25">
      <c r="A1376" s="9" t="str">
        <f t="shared" si="97"/>
        <v>2024 ALL D75</v>
      </c>
      <c r="B1376" s="10">
        <f t="shared" si="97"/>
        <v>46104</v>
      </c>
      <c r="C1376" s="10">
        <v>46113</v>
      </c>
      <c r="D1376" s="11">
        <v>3273</v>
      </c>
      <c r="E1376" s="11">
        <v>336</v>
      </c>
      <c r="F1376" s="11">
        <v>4</v>
      </c>
      <c r="G1376" s="19">
        <v>13</v>
      </c>
      <c r="H1376" s="13">
        <v>81676</v>
      </c>
      <c r="I1376" s="11" t="s">
        <v>17</v>
      </c>
      <c r="J1376" s="13">
        <v>45247027</v>
      </c>
      <c r="K1376" s="13" t="s">
        <v>1603</v>
      </c>
      <c r="L1376" s="13" t="s">
        <v>1605</v>
      </c>
      <c r="M1376" s="21">
        <v>229900</v>
      </c>
      <c r="N1376" s="15">
        <v>0.75</v>
      </c>
      <c r="O1376" s="16">
        <f t="shared" si="95"/>
        <v>57475</v>
      </c>
      <c r="P1376" s="11" t="s">
        <v>20</v>
      </c>
    </row>
    <row r="1377" spans="1:16" x14ac:dyDescent="0.25">
      <c r="A1377" s="9" t="str">
        <f t="shared" si="97"/>
        <v>2024 ALL D75</v>
      </c>
      <c r="B1377" s="10">
        <f t="shared" si="97"/>
        <v>46104</v>
      </c>
      <c r="C1377" s="10">
        <v>46113</v>
      </c>
      <c r="D1377" s="11">
        <v>3273</v>
      </c>
      <c r="E1377" s="11">
        <v>336</v>
      </c>
      <c r="F1377" s="11">
        <v>4</v>
      </c>
      <c r="G1377" s="19">
        <v>13</v>
      </c>
      <c r="H1377" s="13">
        <v>81676</v>
      </c>
      <c r="I1377" s="11" t="s">
        <v>17</v>
      </c>
      <c r="J1377" s="13">
        <v>45247036</v>
      </c>
      <c r="K1377" s="13" t="s">
        <v>1603</v>
      </c>
      <c r="L1377" s="13" t="s">
        <v>1606</v>
      </c>
      <c r="M1377" s="21">
        <v>229900</v>
      </c>
      <c r="N1377" s="15">
        <v>0.75</v>
      </c>
      <c r="O1377" s="16">
        <f t="shared" si="95"/>
        <v>57475</v>
      </c>
      <c r="P1377" s="11" t="s">
        <v>20</v>
      </c>
    </row>
    <row r="1378" spans="1:16" x14ac:dyDescent="0.25">
      <c r="A1378" s="9" t="str">
        <f t="shared" si="97"/>
        <v>2024 ALL D75</v>
      </c>
      <c r="B1378" s="10">
        <f t="shared" si="97"/>
        <v>46104</v>
      </c>
      <c r="C1378" s="10">
        <v>46113</v>
      </c>
      <c r="D1378" s="11">
        <v>3273</v>
      </c>
      <c r="E1378" s="11">
        <v>336</v>
      </c>
      <c r="F1378" s="11">
        <v>4</v>
      </c>
      <c r="G1378" s="19">
        <v>13</v>
      </c>
      <c r="H1378" s="13">
        <v>81676</v>
      </c>
      <c r="I1378" s="11" t="s">
        <v>17</v>
      </c>
      <c r="J1378" s="13">
        <v>45247045</v>
      </c>
      <c r="K1378" s="13" t="s">
        <v>1603</v>
      </c>
      <c r="L1378" s="13" t="s">
        <v>1607</v>
      </c>
      <c r="M1378" s="21">
        <v>229900</v>
      </c>
      <c r="N1378" s="15">
        <v>0.75</v>
      </c>
      <c r="O1378" s="16">
        <f t="shared" si="95"/>
        <v>57475</v>
      </c>
      <c r="P1378" s="11" t="s">
        <v>20</v>
      </c>
    </row>
    <row r="1379" spans="1:16" x14ac:dyDescent="0.25">
      <c r="A1379" s="9" t="str">
        <f t="shared" si="97"/>
        <v>2024 ALL D75</v>
      </c>
      <c r="B1379" s="10">
        <f t="shared" si="97"/>
        <v>46104</v>
      </c>
      <c r="C1379" s="10">
        <v>46113</v>
      </c>
      <c r="D1379" s="11">
        <v>3273</v>
      </c>
      <c r="E1379" s="11">
        <v>336</v>
      </c>
      <c r="F1379" s="11">
        <v>4</v>
      </c>
      <c r="G1379" s="19">
        <v>13</v>
      </c>
      <c r="H1379" s="13">
        <v>81676</v>
      </c>
      <c r="I1379" s="11" t="s">
        <v>17</v>
      </c>
      <c r="J1379" s="13">
        <v>45247054</v>
      </c>
      <c r="K1379" s="13" t="s">
        <v>1603</v>
      </c>
      <c r="L1379" s="13" t="s">
        <v>1608</v>
      </c>
      <c r="M1379" s="21">
        <v>229900</v>
      </c>
      <c r="N1379" s="15">
        <v>0.75</v>
      </c>
      <c r="O1379" s="16">
        <f t="shared" si="95"/>
        <v>57475</v>
      </c>
      <c r="P1379" s="11" t="s">
        <v>20</v>
      </c>
    </row>
    <row r="1380" spans="1:16" x14ac:dyDescent="0.25">
      <c r="A1380" s="9" t="str">
        <f t="shared" ref="A1380:B1395" si="98">A1379</f>
        <v>2024 ALL D75</v>
      </c>
      <c r="B1380" s="10">
        <f t="shared" si="98"/>
        <v>46104</v>
      </c>
      <c r="C1380" s="10">
        <v>46113</v>
      </c>
      <c r="D1380" s="11">
        <v>3273</v>
      </c>
      <c r="E1380" s="11">
        <v>336</v>
      </c>
      <c r="F1380" s="11">
        <v>4</v>
      </c>
      <c r="G1380" s="19">
        <v>13</v>
      </c>
      <c r="H1380" s="13">
        <v>81676</v>
      </c>
      <c r="I1380" s="11" t="s">
        <v>17</v>
      </c>
      <c r="J1380" s="13">
        <v>45247063</v>
      </c>
      <c r="K1380" s="13" t="s">
        <v>1603</v>
      </c>
      <c r="L1380" s="13" t="s">
        <v>1609</v>
      </c>
      <c r="M1380" s="21">
        <v>229900</v>
      </c>
      <c r="N1380" s="15">
        <v>0.75</v>
      </c>
      <c r="O1380" s="16">
        <f t="shared" si="95"/>
        <v>57475</v>
      </c>
      <c r="P1380" s="11" t="s">
        <v>20</v>
      </c>
    </row>
    <row r="1381" spans="1:16" x14ac:dyDescent="0.25">
      <c r="A1381" s="9" t="str">
        <f t="shared" si="98"/>
        <v>2024 ALL D75</v>
      </c>
      <c r="B1381" s="10">
        <f t="shared" si="98"/>
        <v>46104</v>
      </c>
      <c r="C1381" s="10">
        <v>46113</v>
      </c>
      <c r="D1381" s="11">
        <v>3273</v>
      </c>
      <c r="E1381" s="11">
        <v>336</v>
      </c>
      <c r="F1381" s="11">
        <v>4</v>
      </c>
      <c r="G1381" s="19">
        <v>4</v>
      </c>
      <c r="H1381" s="13">
        <v>81588</v>
      </c>
      <c r="I1381" s="11" t="s">
        <v>17</v>
      </c>
      <c r="J1381" s="13">
        <v>45247401</v>
      </c>
      <c r="K1381" s="13" t="s">
        <v>1610</v>
      </c>
      <c r="L1381" s="13" t="s">
        <v>1611</v>
      </c>
      <c r="M1381" s="21">
        <v>159900</v>
      </c>
      <c r="N1381" s="15">
        <v>0.75</v>
      </c>
      <c r="O1381" s="16">
        <f t="shared" si="95"/>
        <v>39975</v>
      </c>
      <c r="P1381" s="11" t="s">
        <v>20</v>
      </c>
    </row>
    <row r="1382" spans="1:16" x14ac:dyDescent="0.25">
      <c r="A1382" s="9" t="str">
        <f t="shared" si="98"/>
        <v>2024 ALL D75</v>
      </c>
      <c r="B1382" s="10">
        <f t="shared" si="98"/>
        <v>46104</v>
      </c>
      <c r="C1382" s="10">
        <v>46113</v>
      </c>
      <c r="D1382" s="11">
        <v>3273</v>
      </c>
      <c r="E1382" s="11">
        <v>336</v>
      </c>
      <c r="F1382" s="11">
        <v>4</v>
      </c>
      <c r="G1382" s="19">
        <v>4</v>
      </c>
      <c r="H1382" s="13">
        <v>81588</v>
      </c>
      <c r="I1382" s="11" t="s">
        <v>17</v>
      </c>
      <c r="J1382" s="13">
        <v>45247410</v>
      </c>
      <c r="K1382" s="13" t="s">
        <v>1610</v>
      </c>
      <c r="L1382" s="13" t="s">
        <v>1612</v>
      </c>
      <c r="M1382" s="21">
        <v>159900</v>
      </c>
      <c r="N1382" s="15">
        <v>0.75</v>
      </c>
      <c r="O1382" s="16">
        <f t="shared" si="95"/>
        <v>39975</v>
      </c>
      <c r="P1382" s="11" t="s">
        <v>20</v>
      </c>
    </row>
    <row r="1383" spans="1:16" x14ac:dyDescent="0.25">
      <c r="A1383" s="9" t="str">
        <f t="shared" si="98"/>
        <v>2024 ALL D75</v>
      </c>
      <c r="B1383" s="10">
        <f t="shared" si="98"/>
        <v>46104</v>
      </c>
      <c r="C1383" s="10">
        <v>46113</v>
      </c>
      <c r="D1383" s="11">
        <v>3273</v>
      </c>
      <c r="E1383" s="11">
        <v>336</v>
      </c>
      <c r="F1383" s="11">
        <v>4</v>
      </c>
      <c r="G1383" s="19">
        <v>4</v>
      </c>
      <c r="H1383" s="13">
        <v>81588</v>
      </c>
      <c r="I1383" s="11" t="s">
        <v>17</v>
      </c>
      <c r="J1383" s="13">
        <v>45247429</v>
      </c>
      <c r="K1383" s="13" t="s">
        <v>1610</v>
      </c>
      <c r="L1383" s="13" t="s">
        <v>1613</v>
      </c>
      <c r="M1383" s="21">
        <v>159900</v>
      </c>
      <c r="N1383" s="15">
        <v>0.75</v>
      </c>
      <c r="O1383" s="16">
        <f t="shared" si="95"/>
        <v>39975</v>
      </c>
      <c r="P1383" s="11" t="s">
        <v>20</v>
      </c>
    </row>
    <row r="1384" spans="1:16" x14ac:dyDescent="0.25">
      <c r="A1384" s="9" t="str">
        <f t="shared" si="98"/>
        <v>2024 ALL D75</v>
      </c>
      <c r="B1384" s="10">
        <f t="shared" si="98"/>
        <v>46104</v>
      </c>
      <c r="C1384" s="10">
        <v>46113</v>
      </c>
      <c r="D1384" s="11">
        <v>3273</v>
      </c>
      <c r="E1384" s="11">
        <v>336</v>
      </c>
      <c r="F1384" s="11">
        <v>4</v>
      </c>
      <c r="G1384" s="19">
        <v>4</v>
      </c>
      <c r="H1384" s="13">
        <v>81588</v>
      </c>
      <c r="I1384" s="11" t="s">
        <v>17</v>
      </c>
      <c r="J1384" s="13">
        <v>45247438</v>
      </c>
      <c r="K1384" s="13" t="s">
        <v>1610</v>
      </c>
      <c r="L1384" s="13" t="s">
        <v>1614</v>
      </c>
      <c r="M1384" s="21">
        <v>159900</v>
      </c>
      <c r="N1384" s="15">
        <v>0.75</v>
      </c>
      <c r="O1384" s="16">
        <f t="shared" si="95"/>
        <v>39975</v>
      </c>
      <c r="P1384" s="11" t="s">
        <v>20</v>
      </c>
    </row>
    <row r="1385" spans="1:16" x14ac:dyDescent="0.25">
      <c r="A1385" s="9" t="str">
        <f t="shared" si="98"/>
        <v>2024 ALL D75</v>
      </c>
      <c r="B1385" s="10">
        <f t="shared" si="98"/>
        <v>46104</v>
      </c>
      <c r="C1385" s="10">
        <v>46113</v>
      </c>
      <c r="D1385" s="11">
        <v>3273</v>
      </c>
      <c r="E1385" s="11">
        <v>336</v>
      </c>
      <c r="F1385" s="11">
        <v>4</v>
      </c>
      <c r="G1385" s="19">
        <v>4</v>
      </c>
      <c r="H1385" s="13">
        <v>81588</v>
      </c>
      <c r="I1385" s="11" t="s">
        <v>17</v>
      </c>
      <c r="J1385" s="13">
        <v>45247447</v>
      </c>
      <c r="K1385" s="13" t="s">
        <v>1610</v>
      </c>
      <c r="L1385" s="13" t="s">
        <v>1615</v>
      </c>
      <c r="M1385" s="21">
        <v>159900</v>
      </c>
      <c r="N1385" s="15">
        <v>0.75</v>
      </c>
      <c r="O1385" s="16">
        <f t="shared" si="95"/>
        <v>39975</v>
      </c>
      <c r="P1385" s="11" t="s">
        <v>20</v>
      </c>
    </row>
    <row r="1386" spans="1:16" x14ac:dyDescent="0.25">
      <c r="A1386" s="9" t="str">
        <f t="shared" si="98"/>
        <v>2024 ALL D75</v>
      </c>
      <c r="B1386" s="10">
        <f t="shared" si="98"/>
        <v>46104</v>
      </c>
      <c r="C1386" s="10">
        <v>46113</v>
      </c>
      <c r="D1386" s="11">
        <v>3273</v>
      </c>
      <c r="E1386" s="11">
        <v>336</v>
      </c>
      <c r="F1386" s="11">
        <v>4</v>
      </c>
      <c r="G1386" s="19">
        <v>4</v>
      </c>
      <c r="H1386" s="13">
        <v>81588</v>
      </c>
      <c r="I1386" s="11" t="s">
        <v>17</v>
      </c>
      <c r="J1386" s="13">
        <v>45247456</v>
      </c>
      <c r="K1386" s="13" t="s">
        <v>1616</v>
      </c>
      <c r="L1386" s="13" t="s">
        <v>1617</v>
      </c>
      <c r="M1386" s="21">
        <v>159900</v>
      </c>
      <c r="N1386" s="15">
        <v>0.75</v>
      </c>
      <c r="O1386" s="16">
        <f t="shared" si="95"/>
        <v>39975</v>
      </c>
      <c r="P1386" s="11" t="s">
        <v>20</v>
      </c>
    </row>
    <row r="1387" spans="1:16" x14ac:dyDescent="0.25">
      <c r="A1387" s="9" t="str">
        <f t="shared" si="98"/>
        <v>2024 ALL D75</v>
      </c>
      <c r="B1387" s="10">
        <f t="shared" si="98"/>
        <v>46104</v>
      </c>
      <c r="C1387" s="10">
        <v>46113</v>
      </c>
      <c r="D1387" s="11">
        <v>3273</v>
      </c>
      <c r="E1387" s="11">
        <v>336</v>
      </c>
      <c r="F1387" s="11">
        <v>4</v>
      </c>
      <c r="G1387" s="19">
        <v>4</v>
      </c>
      <c r="H1387" s="13">
        <v>81588</v>
      </c>
      <c r="I1387" s="11" t="s">
        <v>17</v>
      </c>
      <c r="J1387" s="13">
        <v>45247465</v>
      </c>
      <c r="K1387" s="13" t="s">
        <v>1616</v>
      </c>
      <c r="L1387" s="13" t="s">
        <v>1618</v>
      </c>
      <c r="M1387" s="21">
        <v>159900</v>
      </c>
      <c r="N1387" s="15">
        <v>0.75</v>
      </c>
      <c r="O1387" s="16">
        <f t="shared" si="95"/>
        <v>39975</v>
      </c>
      <c r="P1387" s="11" t="s">
        <v>20</v>
      </c>
    </row>
    <row r="1388" spans="1:16" x14ac:dyDescent="0.25">
      <c r="A1388" s="9" t="str">
        <f t="shared" si="98"/>
        <v>2024 ALL D75</v>
      </c>
      <c r="B1388" s="10">
        <f t="shared" si="98"/>
        <v>46104</v>
      </c>
      <c r="C1388" s="10">
        <v>46113</v>
      </c>
      <c r="D1388" s="11">
        <v>3273</v>
      </c>
      <c r="E1388" s="11">
        <v>336</v>
      </c>
      <c r="F1388" s="11">
        <v>4</v>
      </c>
      <c r="G1388" s="19">
        <v>4</v>
      </c>
      <c r="H1388" s="13">
        <v>81588</v>
      </c>
      <c r="I1388" s="11" t="s">
        <v>17</v>
      </c>
      <c r="J1388" s="13">
        <v>45247474</v>
      </c>
      <c r="K1388" s="13" t="s">
        <v>1616</v>
      </c>
      <c r="L1388" s="13" t="s">
        <v>1619</v>
      </c>
      <c r="M1388" s="21">
        <v>159900</v>
      </c>
      <c r="N1388" s="15">
        <v>0.75</v>
      </c>
      <c r="O1388" s="16">
        <f t="shared" si="95"/>
        <v>39975</v>
      </c>
      <c r="P1388" s="11" t="s">
        <v>20</v>
      </c>
    </row>
    <row r="1389" spans="1:16" x14ac:dyDescent="0.25">
      <c r="A1389" s="9" t="str">
        <f t="shared" si="98"/>
        <v>2024 ALL D75</v>
      </c>
      <c r="B1389" s="10">
        <f t="shared" si="98"/>
        <v>46104</v>
      </c>
      <c r="C1389" s="10">
        <v>46113</v>
      </c>
      <c r="D1389" s="11">
        <v>3273</v>
      </c>
      <c r="E1389" s="11">
        <v>336</v>
      </c>
      <c r="F1389" s="11">
        <v>4</v>
      </c>
      <c r="G1389" s="19">
        <v>4</v>
      </c>
      <c r="H1389" s="13">
        <v>81588</v>
      </c>
      <c r="I1389" s="11" t="s">
        <v>17</v>
      </c>
      <c r="J1389" s="13">
        <v>45247483</v>
      </c>
      <c r="K1389" s="13" t="s">
        <v>1616</v>
      </c>
      <c r="L1389" s="13" t="s">
        <v>1620</v>
      </c>
      <c r="M1389" s="21">
        <v>159900</v>
      </c>
      <c r="N1389" s="15">
        <v>0.75</v>
      </c>
      <c r="O1389" s="16">
        <f t="shared" si="95"/>
        <v>39975</v>
      </c>
      <c r="P1389" s="11" t="s">
        <v>20</v>
      </c>
    </row>
    <row r="1390" spans="1:16" x14ac:dyDescent="0.25">
      <c r="A1390" s="9" t="str">
        <f t="shared" si="98"/>
        <v>2024 ALL D75</v>
      </c>
      <c r="B1390" s="10">
        <f t="shared" si="98"/>
        <v>46104</v>
      </c>
      <c r="C1390" s="10">
        <v>46113</v>
      </c>
      <c r="D1390" s="11">
        <v>3273</v>
      </c>
      <c r="E1390" s="11">
        <v>336</v>
      </c>
      <c r="F1390" s="11">
        <v>4</v>
      </c>
      <c r="G1390" s="19">
        <v>4</v>
      </c>
      <c r="H1390" s="13">
        <v>81588</v>
      </c>
      <c r="I1390" s="11" t="s">
        <v>17</v>
      </c>
      <c r="J1390" s="13">
        <v>45247492</v>
      </c>
      <c r="K1390" s="13" t="s">
        <v>1616</v>
      </c>
      <c r="L1390" s="13" t="s">
        <v>1621</v>
      </c>
      <c r="M1390" s="21">
        <v>159900</v>
      </c>
      <c r="N1390" s="15">
        <v>0.75</v>
      </c>
      <c r="O1390" s="16">
        <f t="shared" si="95"/>
        <v>39975</v>
      </c>
      <c r="P1390" s="11" t="s">
        <v>20</v>
      </c>
    </row>
    <row r="1391" spans="1:16" x14ac:dyDescent="0.25">
      <c r="A1391" s="9" t="str">
        <f t="shared" si="98"/>
        <v>2024 ALL D75</v>
      </c>
      <c r="B1391" s="10">
        <f t="shared" si="98"/>
        <v>46104</v>
      </c>
      <c r="C1391" s="10">
        <v>46113</v>
      </c>
      <c r="D1391" s="11">
        <v>3273</v>
      </c>
      <c r="E1391" s="11">
        <v>336</v>
      </c>
      <c r="F1391" s="11">
        <v>4</v>
      </c>
      <c r="G1391" s="19">
        <v>4</v>
      </c>
      <c r="H1391" s="13">
        <v>81588</v>
      </c>
      <c r="I1391" s="11" t="s">
        <v>17</v>
      </c>
      <c r="J1391" s="13">
        <v>45247705</v>
      </c>
      <c r="K1391" s="13" t="s">
        <v>1622</v>
      </c>
      <c r="L1391" s="13" t="s">
        <v>1623</v>
      </c>
      <c r="M1391" s="21">
        <v>159900</v>
      </c>
      <c r="N1391" s="15">
        <v>0.75</v>
      </c>
      <c r="O1391" s="16">
        <f t="shared" si="95"/>
        <v>39975</v>
      </c>
      <c r="P1391" s="11" t="s">
        <v>20</v>
      </c>
    </row>
    <row r="1392" spans="1:16" x14ac:dyDescent="0.25">
      <c r="A1392" s="9" t="str">
        <f t="shared" si="98"/>
        <v>2024 ALL D75</v>
      </c>
      <c r="B1392" s="10">
        <f t="shared" si="98"/>
        <v>46104</v>
      </c>
      <c r="C1392" s="10">
        <v>46113</v>
      </c>
      <c r="D1392" s="11">
        <v>3273</v>
      </c>
      <c r="E1392" s="11">
        <v>336</v>
      </c>
      <c r="F1392" s="11">
        <v>4</v>
      </c>
      <c r="G1392" s="19">
        <v>4</v>
      </c>
      <c r="H1392" s="13">
        <v>81588</v>
      </c>
      <c r="I1392" s="11" t="s">
        <v>17</v>
      </c>
      <c r="J1392" s="13">
        <v>45247714</v>
      </c>
      <c r="K1392" s="13" t="s">
        <v>1622</v>
      </c>
      <c r="L1392" s="13" t="s">
        <v>1624</v>
      </c>
      <c r="M1392" s="21">
        <v>159900</v>
      </c>
      <c r="N1392" s="15">
        <v>0.75</v>
      </c>
      <c r="O1392" s="16">
        <f t="shared" si="95"/>
        <v>39975</v>
      </c>
      <c r="P1392" s="11" t="s">
        <v>20</v>
      </c>
    </row>
    <row r="1393" spans="1:16" x14ac:dyDescent="0.25">
      <c r="A1393" s="9" t="str">
        <f t="shared" si="98"/>
        <v>2024 ALL D75</v>
      </c>
      <c r="B1393" s="10">
        <f t="shared" si="98"/>
        <v>46104</v>
      </c>
      <c r="C1393" s="10">
        <v>46113</v>
      </c>
      <c r="D1393" s="11">
        <v>3273</v>
      </c>
      <c r="E1393" s="11">
        <v>336</v>
      </c>
      <c r="F1393" s="11">
        <v>4</v>
      </c>
      <c r="G1393" s="19">
        <v>4</v>
      </c>
      <c r="H1393" s="13">
        <v>81588</v>
      </c>
      <c r="I1393" s="11" t="s">
        <v>17</v>
      </c>
      <c r="J1393" s="13">
        <v>45247723</v>
      </c>
      <c r="K1393" s="13" t="s">
        <v>1622</v>
      </c>
      <c r="L1393" s="13" t="s">
        <v>1625</v>
      </c>
      <c r="M1393" s="21">
        <v>159900</v>
      </c>
      <c r="N1393" s="15">
        <v>0.75</v>
      </c>
      <c r="O1393" s="16">
        <f t="shared" si="95"/>
        <v>39975</v>
      </c>
      <c r="P1393" s="11" t="s">
        <v>20</v>
      </c>
    </row>
    <row r="1394" spans="1:16" x14ac:dyDescent="0.25">
      <c r="A1394" s="9" t="str">
        <f t="shared" si="98"/>
        <v>2024 ALL D75</v>
      </c>
      <c r="B1394" s="10">
        <f t="shared" si="98"/>
        <v>46104</v>
      </c>
      <c r="C1394" s="10">
        <v>46113</v>
      </c>
      <c r="D1394" s="11">
        <v>3273</v>
      </c>
      <c r="E1394" s="11">
        <v>336</v>
      </c>
      <c r="F1394" s="11">
        <v>4</v>
      </c>
      <c r="G1394" s="19">
        <v>4</v>
      </c>
      <c r="H1394" s="13">
        <v>81588</v>
      </c>
      <c r="I1394" s="11" t="s">
        <v>17</v>
      </c>
      <c r="J1394" s="13">
        <v>45247732</v>
      </c>
      <c r="K1394" s="13" t="s">
        <v>1622</v>
      </c>
      <c r="L1394" s="13" t="s">
        <v>1626</v>
      </c>
      <c r="M1394" s="21">
        <v>159900</v>
      </c>
      <c r="N1394" s="15">
        <v>0.75</v>
      </c>
      <c r="O1394" s="16">
        <f t="shared" si="95"/>
        <v>39975</v>
      </c>
      <c r="P1394" s="11" t="s">
        <v>20</v>
      </c>
    </row>
    <row r="1395" spans="1:16" x14ac:dyDescent="0.25">
      <c r="A1395" s="9" t="str">
        <f t="shared" si="98"/>
        <v>2024 ALL D75</v>
      </c>
      <c r="B1395" s="10">
        <f t="shared" si="98"/>
        <v>46104</v>
      </c>
      <c r="C1395" s="10">
        <v>46113</v>
      </c>
      <c r="D1395" s="11">
        <v>3273</v>
      </c>
      <c r="E1395" s="11">
        <v>336</v>
      </c>
      <c r="F1395" s="11">
        <v>4</v>
      </c>
      <c r="G1395" s="19">
        <v>4</v>
      </c>
      <c r="H1395" s="13">
        <v>81588</v>
      </c>
      <c r="I1395" s="11" t="s">
        <v>17</v>
      </c>
      <c r="J1395" s="13">
        <v>45247741</v>
      </c>
      <c r="K1395" s="13" t="s">
        <v>1622</v>
      </c>
      <c r="L1395" s="13" t="s">
        <v>1627</v>
      </c>
      <c r="M1395" s="21">
        <v>159900</v>
      </c>
      <c r="N1395" s="15">
        <v>0.75</v>
      </c>
      <c r="O1395" s="16">
        <f t="shared" si="95"/>
        <v>39975</v>
      </c>
      <c r="P1395" s="11" t="s">
        <v>20</v>
      </c>
    </row>
    <row r="1396" spans="1:16" x14ac:dyDescent="0.25">
      <c r="A1396" s="9" t="str">
        <f t="shared" ref="A1396:B1411" si="99">A1395</f>
        <v>2024 ALL D75</v>
      </c>
      <c r="B1396" s="10">
        <f t="shared" si="99"/>
        <v>46104</v>
      </c>
      <c r="C1396" s="10">
        <v>46113</v>
      </c>
      <c r="D1396" s="11">
        <v>3273</v>
      </c>
      <c r="E1396" s="11">
        <v>336</v>
      </c>
      <c r="F1396" s="11">
        <v>4</v>
      </c>
      <c r="G1396" s="19">
        <v>1</v>
      </c>
      <c r="H1396" s="13">
        <v>81676</v>
      </c>
      <c r="I1396" s="11" t="s">
        <v>17</v>
      </c>
      <c r="J1396" s="13">
        <v>45247072</v>
      </c>
      <c r="K1396" s="13" t="s">
        <v>1628</v>
      </c>
      <c r="L1396" s="13" t="s">
        <v>1629</v>
      </c>
      <c r="M1396" s="17">
        <v>139900</v>
      </c>
      <c r="N1396" s="15">
        <v>0.75</v>
      </c>
      <c r="O1396" s="16">
        <f t="shared" si="95"/>
        <v>34975</v>
      </c>
      <c r="P1396" s="11" t="s">
        <v>20</v>
      </c>
    </row>
    <row r="1397" spans="1:16" x14ac:dyDescent="0.25">
      <c r="A1397" s="9" t="str">
        <f t="shared" si="99"/>
        <v>2024 ALL D75</v>
      </c>
      <c r="B1397" s="10">
        <f t="shared" si="99"/>
        <v>46104</v>
      </c>
      <c r="C1397" s="10">
        <v>46113</v>
      </c>
      <c r="D1397" s="11">
        <v>3273</v>
      </c>
      <c r="E1397" s="11">
        <v>336</v>
      </c>
      <c r="F1397" s="11">
        <v>4</v>
      </c>
      <c r="G1397" s="19">
        <v>1</v>
      </c>
      <c r="H1397" s="13">
        <v>81676</v>
      </c>
      <c r="I1397" s="13" t="str">
        <f t="shared" ref="I1397:I1460" si="100">I1396</f>
        <v>DISNEY</v>
      </c>
      <c r="J1397" s="13">
        <v>45247081</v>
      </c>
      <c r="K1397" s="13" t="s">
        <v>1628</v>
      </c>
      <c r="L1397" s="13" t="s">
        <v>1630</v>
      </c>
      <c r="M1397" s="17">
        <v>139900</v>
      </c>
      <c r="N1397" s="15">
        <v>0.75</v>
      </c>
      <c r="O1397" s="16">
        <f t="shared" si="95"/>
        <v>34975</v>
      </c>
      <c r="P1397" s="11" t="s">
        <v>20</v>
      </c>
    </row>
    <row r="1398" spans="1:16" x14ac:dyDescent="0.25">
      <c r="A1398" s="9" t="str">
        <f t="shared" si="99"/>
        <v>2024 ALL D75</v>
      </c>
      <c r="B1398" s="10">
        <f t="shared" si="99"/>
        <v>46104</v>
      </c>
      <c r="C1398" s="10">
        <v>46113</v>
      </c>
      <c r="D1398" s="11">
        <v>3273</v>
      </c>
      <c r="E1398" s="11">
        <v>336</v>
      </c>
      <c r="F1398" s="11">
        <v>4</v>
      </c>
      <c r="G1398" s="19">
        <v>1</v>
      </c>
      <c r="H1398" s="13">
        <v>81676</v>
      </c>
      <c r="I1398" s="13" t="str">
        <f t="shared" si="100"/>
        <v>DISNEY</v>
      </c>
      <c r="J1398" s="13">
        <v>45247090</v>
      </c>
      <c r="K1398" s="13" t="s">
        <v>1628</v>
      </c>
      <c r="L1398" s="13" t="s">
        <v>1631</v>
      </c>
      <c r="M1398" s="17">
        <v>139900</v>
      </c>
      <c r="N1398" s="15">
        <v>0.75</v>
      </c>
      <c r="O1398" s="16">
        <f t="shared" si="95"/>
        <v>34975</v>
      </c>
      <c r="P1398" s="11" t="s">
        <v>20</v>
      </c>
    </row>
    <row r="1399" spans="1:16" x14ac:dyDescent="0.25">
      <c r="A1399" s="9" t="str">
        <f t="shared" si="99"/>
        <v>2024 ALL D75</v>
      </c>
      <c r="B1399" s="10">
        <f t="shared" si="99"/>
        <v>46104</v>
      </c>
      <c r="C1399" s="10">
        <v>46113</v>
      </c>
      <c r="D1399" s="11">
        <v>3273</v>
      </c>
      <c r="E1399" s="11">
        <v>336</v>
      </c>
      <c r="F1399" s="11">
        <v>4</v>
      </c>
      <c r="G1399" s="19">
        <v>1</v>
      </c>
      <c r="H1399" s="13">
        <v>81676</v>
      </c>
      <c r="I1399" s="13" t="str">
        <f t="shared" si="100"/>
        <v>DISNEY</v>
      </c>
      <c r="J1399" s="13">
        <v>45247107</v>
      </c>
      <c r="K1399" s="13" t="s">
        <v>1628</v>
      </c>
      <c r="L1399" s="13" t="s">
        <v>1632</v>
      </c>
      <c r="M1399" s="17">
        <v>139900</v>
      </c>
      <c r="N1399" s="15">
        <v>0.75</v>
      </c>
      <c r="O1399" s="16">
        <f t="shared" si="95"/>
        <v>34975</v>
      </c>
      <c r="P1399" s="11" t="s">
        <v>20</v>
      </c>
    </row>
    <row r="1400" spans="1:16" x14ac:dyDescent="0.25">
      <c r="A1400" s="9" t="str">
        <f t="shared" si="99"/>
        <v>2024 ALL D75</v>
      </c>
      <c r="B1400" s="10">
        <f t="shared" si="99"/>
        <v>46104</v>
      </c>
      <c r="C1400" s="10">
        <v>46113</v>
      </c>
      <c r="D1400" s="11">
        <v>3273</v>
      </c>
      <c r="E1400" s="11">
        <v>336</v>
      </c>
      <c r="F1400" s="11">
        <v>4</v>
      </c>
      <c r="G1400" s="19">
        <v>1</v>
      </c>
      <c r="H1400" s="13">
        <v>81676</v>
      </c>
      <c r="I1400" s="13" t="str">
        <f t="shared" si="100"/>
        <v>DISNEY</v>
      </c>
      <c r="J1400" s="13">
        <v>45247116</v>
      </c>
      <c r="K1400" s="13" t="s">
        <v>1628</v>
      </c>
      <c r="L1400" s="13" t="s">
        <v>1633</v>
      </c>
      <c r="M1400" s="17">
        <v>139900</v>
      </c>
      <c r="N1400" s="15">
        <v>0.75</v>
      </c>
      <c r="O1400" s="16">
        <f t="shared" si="95"/>
        <v>34975</v>
      </c>
      <c r="P1400" s="11" t="s">
        <v>20</v>
      </c>
    </row>
    <row r="1401" spans="1:16" x14ac:dyDescent="0.25">
      <c r="A1401" s="9" t="str">
        <f t="shared" si="99"/>
        <v>2024 ALL D75</v>
      </c>
      <c r="B1401" s="10">
        <f t="shared" si="99"/>
        <v>46104</v>
      </c>
      <c r="C1401" s="10">
        <v>46113</v>
      </c>
      <c r="D1401" s="11">
        <v>3273</v>
      </c>
      <c r="E1401" s="11">
        <v>336</v>
      </c>
      <c r="F1401" s="11">
        <v>4</v>
      </c>
      <c r="G1401" s="19">
        <v>1</v>
      </c>
      <c r="H1401" s="13">
        <v>81676</v>
      </c>
      <c r="I1401" s="13" t="str">
        <f t="shared" si="100"/>
        <v>DISNEY</v>
      </c>
      <c r="J1401" s="13">
        <v>45247125</v>
      </c>
      <c r="K1401" s="13" t="s">
        <v>1628</v>
      </c>
      <c r="L1401" s="13" t="s">
        <v>1634</v>
      </c>
      <c r="M1401" s="17">
        <v>139900</v>
      </c>
      <c r="N1401" s="15">
        <v>0.75</v>
      </c>
      <c r="O1401" s="16">
        <f t="shared" si="95"/>
        <v>34975</v>
      </c>
      <c r="P1401" s="11" t="s">
        <v>20</v>
      </c>
    </row>
    <row r="1402" spans="1:16" x14ac:dyDescent="0.25">
      <c r="A1402" s="9" t="str">
        <f t="shared" si="99"/>
        <v>2024 ALL D75</v>
      </c>
      <c r="B1402" s="10">
        <f t="shared" si="99"/>
        <v>46104</v>
      </c>
      <c r="C1402" s="10">
        <v>46113</v>
      </c>
      <c r="D1402" s="11">
        <v>3273</v>
      </c>
      <c r="E1402" s="11">
        <v>336</v>
      </c>
      <c r="F1402" s="11">
        <v>4</v>
      </c>
      <c r="G1402" s="19">
        <v>1</v>
      </c>
      <c r="H1402" s="13">
        <v>81676</v>
      </c>
      <c r="I1402" s="13" t="str">
        <f t="shared" si="100"/>
        <v>DISNEY</v>
      </c>
      <c r="J1402" s="13">
        <v>45247134</v>
      </c>
      <c r="K1402" s="13" t="s">
        <v>1635</v>
      </c>
      <c r="L1402" s="13" t="s">
        <v>1636</v>
      </c>
      <c r="M1402" s="17">
        <v>139900</v>
      </c>
      <c r="N1402" s="15">
        <v>0.75</v>
      </c>
      <c r="O1402" s="16">
        <f t="shared" si="95"/>
        <v>34975</v>
      </c>
      <c r="P1402" s="11" t="s">
        <v>20</v>
      </c>
    </row>
    <row r="1403" spans="1:16" x14ac:dyDescent="0.25">
      <c r="A1403" s="9" t="str">
        <f t="shared" si="99"/>
        <v>2024 ALL D75</v>
      </c>
      <c r="B1403" s="10">
        <f t="shared" si="99"/>
        <v>46104</v>
      </c>
      <c r="C1403" s="10">
        <v>46113</v>
      </c>
      <c r="D1403" s="11">
        <v>3273</v>
      </c>
      <c r="E1403" s="11">
        <v>336</v>
      </c>
      <c r="F1403" s="11">
        <v>4</v>
      </c>
      <c r="G1403" s="19">
        <v>1</v>
      </c>
      <c r="H1403" s="13">
        <v>81676</v>
      </c>
      <c r="I1403" s="13" t="str">
        <f t="shared" si="100"/>
        <v>DISNEY</v>
      </c>
      <c r="J1403" s="13">
        <v>45247143</v>
      </c>
      <c r="K1403" s="13" t="s">
        <v>1635</v>
      </c>
      <c r="L1403" s="13" t="s">
        <v>1637</v>
      </c>
      <c r="M1403" s="17">
        <v>139900</v>
      </c>
      <c r="N1403" s="15">
        <v>0.75</v>
      </c>
      <c r="O1403" s="16">
        <f t="shared" si="95"/>
        <v>34975</v>
      </c>
      <c r="P1403" s="11" t="s">
        <v>20</v>
      </c>
    </row>
    <row r="1404" spans="1:16" x14ac:dyDescent="0.25">
      <c r="A1404" s="9" t="str">
        <f t="shared" si="99"/>
        <v>2024 ALL D75</v>
      </c>
      <c r="B1404" s="10">
        <f t="shared" si="99"/>
        <v>46104</v>
      </c>
      <c r="C1404" s="10">
        <v>46113</v>
      </c>
      <c r="D1404" s="11">
        <v>3273</v>
      </c>
      <c r="E1404" s="11">
        <v>336</v>
      </c>
      <c r="F1404" s="11">
        <v>4</v>
      </c>
      <c r="G1404" s="19">
        <v>1</v>
      </c>
      <c r="H1404" s="13">
        <v>81676</v>
      </c>
      <c r="I1404" s="13" t="str">
        <f t="shared" si="100"/>
        <v>DISNEY</v>
      </c>
      <c r="J1404" s="13">
        <v>45247152</v>
      </c>
      <c r="K1404" s="13" t="s">
        <v>1635</v>
      </c>
      <c r="L1404" s="13" t="s">
        <v>1638</v>
      </c>
      <c r="M1404" s="17">
        <v>139900</v>
      </c>
      <c r="N1404" s="15">
        <v>0.75</v>
      </c>
      <c r="O1404" s="16">
        <f t="shared" si="95"/>
        <v>34975</v>
      </c>
      <c r="P1404" s="11" t="s">
        <v>20</v>
      </c>
    </row>
    <row r="1405" spans="1:16" x14ac:dyDescent="0.25">
      <c r="A1405" s="9" t="str">
        <f t="shared" si="99"/>
        <v>2024 ALL D75</v>
      </c>
      <c r="B1405" s="10">
        <f t="shared" si="99"/>
        <v>46104</v>
      </c>
      <c r="C1405" s="10">
        <v>46113</v>
      </c>
      <c r="D1405" s="11">
        <v>3273</v>
      </c>
      <c r="E1405" s="11">
        <v>336</v>
      </c>
      <c r="F1405" s="11">
        <v>4</v>
      </c>
      <c r="G1405" s="19">
        <v>1</v>
      </c>
      <c r="H1405" s="13">
        <v>81676</v>
      </c>
      <c r="I1405" s="13" t="str">
        <f t="shared" si="100"/>
        <v>DISNEY</v>
      </c>
      <c r="J1405" s="13">
        <v>45247161</v>
      </c>
      <c r="K1405" s="13" t="s">
        <v>1635</v>
      </c>
      <c r="L1405" s="13" t="s">
        <v>1639</v>
      </c>
      <c r="M1405" s="17">
        <v>139900</v>
      </c>
      <c r="N1405" s="15">
        <v>0.75</v>
      </c>
      <c r="O1405" s="16">
        <f t="shared" si="95"/>
        <v>34975</v>
      </c>
      <c r="P1405" s="11" t="s">
        <v>20</v>
      </c>
    </row>
    <row r="1406" spans="1:16" x14ac:dyDescent="0.25">
      <c r="A1406" s="9" t="str">
        <f t="shared" si="99"/>
        <v>2024 ALL D75</v>
      </c>
      <c r="B1406" s="10">
        <f t="shared" si="99"/>
        <v>46104</v>
      </c>
      <c r="C1406" s="10">
        <v>46113</v>
      </c>
      <c r="D1406" s="11">
        <v>3273</v>
      </c>
      <c r="E1406" s="11">
        <v>336</v>
      </c>
      <c r="F1406" s="11">
        <v>4</v>
      </c>
      <c r="G1406" s="19">
        <v>1</v>
      </c>
      <c r="H1406" s="13">
        <v>81676</v>
      </c>
      <c r="I1406" s="13" t="str">
        <f t="shared" si="100"/>
        <v>DISNEY</v>
      </c>
      <c r="J1406" s="13">
        <v>45247170</v>
      </c>
      <c r="K1406" s="13" t="s">
        <v>1635</v>
      </c>
      <c r="L1406" s="13" t="s">
        <v>1640</v>
      </c>
      <c r="M1406" s="17">
        <v>139900</v>
      </c>
      <c r="N1406" s="15">
        <v>0.75</v>
      </c>
      <c r="O1406" s="16">
        <f t="shared" si="95"/>
        <v>34975</v>
      </c>
      <c r="P1406" s="11" t="s">
        <v>20</v>
      </c>
    </row>
    <row r="1407" spans="1:16" x14ac:dyDescent="0.25">
      <c r="A1407" s="9" t="str">
        <f t="shared" si="99"/>
        <v>2024 ALL D75</v>
      </c>
      <c r="B1407" s="10">
        <f t="shared" si="99"/>
        <v>46104</v>
      </c>
      <c r="C1407" s="10">
        <v>46113</v>
      </c>
      <c r="D1407" s="11">
        <v>3273</v>
      </c>
      <c r="E1407" s="11">
        <v>336</v>
      </c>
      <c r="F1407" s="11">
        <v>4</v>
      </c>
      <c r="G1407" s="19">
        <v>1</v>
      </c>
      <c r="H1407" s="13">
        <v>81676</v>
      </c>
      <c r="I1407" s="13" t="str">
        <f t="shared" si="100"/>
        <v>DISNEY</v>
      </c>
      <c r="J1407" s="13">
        <v>45247189</v>
      </c>
      <c r="K1407" s="13" t="s">
        <v>1635</v>
      </c>
      <c r="L1407" s="13" t="s">
        <v>1641</v>
      </c>
      <c r="M1407" s="17">
        <v>139900</v>
      </c>
      <c r="N1407" s="15">
        <v>0.75</v>
      </c>
      <c r="O1407" s="16">
        <f t="shared" si="95"/>
        <v>34975</v>
      </c>
      <c r="P1407" s="11" t="s">
        <v>20</v>
      </c>
    </row>
    <row r="1408" spans="1:16" x14ac:dyDescent="0.25">
      <c r="A1408" s="9" t="str">
        <f t="shared" si="99"/>
        <v>2024 ALL D75</v>
      </c>
      <c r="B1408" s="10">
        <f t="shared" si="99"/>
        <v>46104</v>
      </c>
      <c r="C1408" s="10">
        <v>46113</v>
      </c>
      <c r="D1408" s="11">
        <v>3273</v>
      </c>
      <c r="E1408" s="11">
        <v>336</v>
      </c>
      <c r="F1408" s="11">
        <v>4</v>
      </c>
      <c r="G1408" s="19">
        <v>1</v>
      </c>
      <c r="H1408" s="13">
        <v>81676</v>
      </c>
      <c r="I1408" s="13" t="str">
        <f t="shared" si="100"/>
        <v>DISNEY</v>
      </c>
      <c r="J1408" s="13">
        <v>45247198</v>
      </c>
      <c r="K1408" s="13" t="s">
        <v>1642</v>
      </c>
      <c r="L1408" s="13" t="s">
        <v>1643</v>
      </c>
      <c r="M1408" s="17">
        <v>129900</v>
      </c>
      <c r="N1408" s="15">
        <v>0.75</v>
      </c>
      <c r="O1408" s="16">
        <f t="shared" si="95"/>
        <v>32475</v>
      </c>
      <c r="P1408" s="11" t="s">
        <v>20</v>
      </c>
    </row>
    <row r="1409" spans="1:16" x14ac:dyDescent="0.25">
      <c r="A1409" s="9" t="str">
        <f t="shared" si="99"/>
        <v>2024 ALL D75</v>
      </c>
      <c r="B1409" s="10">
        <f t="shared" si="99"/>
        <v>46104</v>
      </c>
      <c r="C1409" s="10">
        <v>46113</v>
      </c>
      <c r="D1409" s="11">
        <v>3273</v>
      </c>
      <c r="E1409" s="11">
        <v>336</v>
      </c>
      <c r="F1409" s="11">
        <v>4</v>
      </c>
      <c r="G1409" s="19">
        <v>1</v>
      </c>
      <c r="H1409" s="13">
        <v>81676</v>
      </c>
      <c r="I1409" s="13" t="str">
        <f t="shared" si="100"/>
        <v>DISNEY</v>
      </c>
      <c r="J1409" s="13">
        <v>45247205</v>
      </c>
      <c r="K1409" s="13" t="s">
        <v>1642</v>
      </c>
      <c r="L1409" s="13" t="s">
        <v>1644</v>
      </c>
      <c r="M1409" s="17">
        <v>129900</v>
      </c>
      <c r="N1409" s="15">
        <v>0.75</v>
      </c>
      <c r="O1409" s="16">
        <f t="shared" si="95"/>
        <v>32475</v>
      </c>
      <c r="P1409" s="11" t="s">
        <v>20</v>
      </c>
    </row>
    <row r="1410" spans="1:16" x14ac:dyDescent="0.25">
      <c r="A1410" s="9" t="str">
        <f t="shared" si="99"/>
        <v>2024 ALL D75</v>
      </c>
      <c r="B1410" s="10">
        <f t="shared" si="99"/>
        <v>46104</v>
      </c>
      <c r="C1410" s="10">
        <v>46113</v>
      </c>
      <c r="D1410" s="11">
        <v>3273</v>
      </c>
      <c r="E1410" s="11">
        <v>336</v>
      </c>
      <c r="F1410" s="11">
        <v>4</v>
      </c>
      <c r="G1410" s="19">
        <v>1</v>
      </c>
      <c r="H1410" s="13">
        <v>81676</v>
      </c>
      <c r="I1410" s="13" t="str">
        <f t="shared" si="100"/>
        <v>DISNEY</v>
      </c>
      <c r="J1410" s="13">
        <v>45247214</v>
      </c>
      <c r="K1410" s="13" t="s">
        <v>1642</v>
      </c>
      <c r="L1410" s="13" t="s">
        <v>1645</v>
      </c>
      <c r="M1410" s="17">
        <v>129900</v>
      </c>
      <c r="N1410" s="15">
        <v>0.75</v>
      </c>
      <c r="O1410" s="16">
        <f t="shared" ref="O1410:O1473" si="101">M1410*(1-N1410)</f>
        <v>32475</v>
      </c>
      <c r="P1410" s="11" t="s">
        <v>20</v>
      </c>
    </row>
    <row r="1411" spans="1:16" x14ac:dyDescent="0.25">
      <c r="A1411" s="9" t="str">
        <f t="shared" si="99"/>
        <v>2024 ALL D75</v>
      </c>
      <c r="B1411" s="10">
        <f t="shared" si="99"/>
        <v>46104</v>
      </c>
      <c r="C1411" s="10">
        <v>46113</v>
      </c>
      <c r="D1411" s="11">
        <v>3273</v>
      </c>
      <c r="E1411" s="11">
        <v>336</v>
      </c>
      <c r="F1411" s="11">
        <v>4</v>
      </c>
      <c r="G1411" s="19">
        <v>1</v>
      </c>
      <c r="H1411" s="13">
        <v>81676</v>
      </c>
      <c r="I1411" s="13" t="str">
        <f t="shared" si="100"/>
        <v>DISNEY</v>
      </c>
      <c r="J1411" s="13">
        <v>45247223</v>
      </c>
      <c r="K1411" s="13" t="s">
        <v>1642</v>
      </c>
      <c r="L1411" s="13" t="s">
        <v>1646</v>
      </c>
      <c r="M1411" s="17">
        <v>129900</v>
      </c>
      <c r="N1411" s="15">
        <v>0.75</v>
      </c>
      <c r="O1411" s="16">
        <f t="shared" si="101"/>
        <v>32475</v>
      </c>
      <c r="P1411" s="11" t="s">
        <v>20</v>
      </c>
    </row>
    <row r="1412" spans="1:16" x14ac:dyDescent="0.25">
      <c r="A1412" s="9" t="str">
        <f t="shared" ref="A1412:B1427" si="102">A1411</f>
        <v>2024 ALL D75</v>
      </c>
      <c r="B1412" s="10">
        <f t="shared" si="102"/>
        <v>46104</v>
      </c>
      <c r="C1412" s="10">
        <v>46113</v>
      </c>
      <c r="D1412" s="11">
        <v>3273</v>
      </c>
      <c r="E1412" s="11">
        <v>336</v>
      </c>
      <c r="F1412" s="11">
        <v>4</v>
      </c>
      <c r="G1412" s="19">
        <v>1</v>
      </c>
      <c r="H1412" s="13">
        <v>81676</v>
      </c>
      <c r="I1412" s="13" t="str">
        <f t="shared" si="100"/>
        <v>DISNEY</v>
      </c>
      <c r="J1412" s="13">
        <v>45247232</v>
      </c>
      <c r="K1412" s="13" t="s">
        <v>1642</v>
      </c>
      <c r="L1412" s="13" t="s">
        <v>1647</v>
      </c>
      <c r="M1412" s="17">
        <v>129900</v>
      </c>
      <c r="N1412" s="15">
        <v>0.75</v>
      </c>
      <c r="O1412" s="16">
        <f t="shared" si="101"/>
        <v>32475</v>
      </c>
      <c r="P1412" s="11" t="s">
        <v>20</v>
      </c>
    </row>
    <row r="1413" spans="1:16" x14ac:dyDescent="0.25">
      <c r="A1413" s="9" t="str">
        <f t="shared" si="102"/>
        <v>2024 ALL D75</v>
      </c>
      <c r="B1413" s="10">
        <f t="shared" si="102"/>
        <v>46104</v>
      </c>
      <c r="C1413" s="10">
        <v>46113</v>
      </c>
      <c r="D1413" s="11">
        <v>3273</v>
      </c>
      <c r="E1413" s="11">
        <v>336</v>
      </c>
      <c r="F1413" s="11">
        <v>4</v>
      </c>
      <c r="G1413" s="19">
        <v>1</v>
      </c>
      <c r="H1413" s="13">
        <v>81676</v>
      </c>
      <c r="I1413" s="13" t="str">
        <f t="shared" si="100"/>
        <v>DISNEY</v>
      </c>
      <c r="J1413" s="13">
        <v>45247241</v>
      </c>
      <c r="K1413" s="13" t="s">
        <v>1642</v>
      </c>
      <c r="L1413" s="13" t="s">
        <v>1648</v>
      </c>
      <c r="M1413" s="17">
        <v>129900</v>
      </c>
      <c r="N1413" s="15">
        <v>0.75</v>
      </c>
      <c r="O1413" s="16">
        <f t="shared" si="101"/>
        <v>32475</v>
      </c>
      <c r="P1413" s="11" t="s">
        <v>20</v>
      </c>
    </row>
    <row r="1414" spans="1:16" x14ac:dyDescent="0.25">
      <c r="A1414" s="9" t="str">
        <f t="shared" si="102"/>
        <v>2024 ALL D75</v>
      </c>
      <c r="B1414" s="10">
        <f t="shared" si="102"/>
        <v>46104</v>
      </c>
      <c r="C1414" s="10">
        <v>46113</v>
      </c>
      <c r="D1414" s="11">
        <v>3273</v>
      </c>
      <c r="E1414" s="11">
        <v>336</v>
      </c>
      <c r="F1414" s="11">
        <v>4</v>
      </c>
      <c r="G1414" s="19">
        <v>1</v>
      </c>
      <c r="H1414" s="13">
        <v>81588</v>
      </c>
      <c r="I1414" s="13" t="str">
        <f t="shared" si="100"/>
        <v>DISNEY</v>
      </c>
      <c r="J1414" s="13">
        <v>45247250</v>
      </c>
      <c r="K1414" s="13" t="s">
        <v>1649</v>
      </c>
      <c r="L1414" s="13" t="s">
        <v>1650</v>
      </c>
      <c r="M1414" s="17">
        <v>139900</v>
      </c>
      <c r="N1414" s="15">
        <v>0.75</v>
      </c>
      <c r="O1414" s="16">
        <f t="shared" si="101"/>
        <v>34975</v>
      </c>
      <c r="P1414" s="11" t="s">
        <v>20</v>
      </c>
    </row>
    <row r="1415" spans="1:16" x14ac:dyDescent="0.25">
      <c r="A1415" s="9" t="str">
        <f t="shared" si="102"/>
        <v>2024 ALL D75</v>
      </c>
      <c r="B1415" s="10">
        <f t="shared" si="102"/>
        <v>46104</v>
      </c>
      <c r="C1415" s="10">
        <v>46113</v>
      </c>
      <c r="D1415" s="11">
        <v>3273</v>
      </c>
      <c r="E1415" s="11">
        <v>336</v>
      </c>
      <c r="F1415" s="11">
        <v>4</v>
      </c>
      <c r="G1415" s="19">
        <v>1</v>
      </c>
      <c r="H1415" s="13">
        <v>81588</v>
      </c>
      <c r="I1415" s="13" t="str">
        <f t="shared" si="100"/>
        <v>DISNEY</v>
      </c>
      <c r="J1415" s="13">
        <v>45247269</v>
      </c>
      <c r="K1415" s="13" t="s">
        <v>1649</v>
      </c>
      <c r="L1415" s="13" t="s">
        <v>1651</v>
      </c>
      <c r="M1415" s="17">
        <v>139900</v>
      </c>
      <c r="N1415" s="15">
        <v>0.75</v>
      </c>
      <c r="O1415" s="16">
        <f t="shared" si="101"/>
        <v>34975</v>
      </c>
      <c r="P1415" s="11" t="s">
        <v>20</v>
      </c>
    </row>
    <row r="1416" spans="1:16" x14ac:dyDescent="0.25">
      <c r="A1416" s="9" t="str">
        <f t="shared" si="102"/>
        <v>2024 ALL D75</v>
      </c>
      <c r="B1416" s="10">
        <f t="shared" si="102"/>
        <v>46104</v>
      </c>
      <c r="C1416" s="10">
        <v>46113</v>
      </c>
      <c r="D1416" s="11">
        <v>3273</v>
      </c>
      <c r="E1416" s="11">
        <v>336</v>
      </c>
      <c r="F1416" s="11">
        <v>4</v>
      </c>
      <c r="G1416" s="19">
        <v>1</v>
      </c>
      <c r="H1416" s="13">
        <v>81588</v>
      </c>
      <c r="I1416" s="13" t="str">
        <f t="shared" si="100"/>
        <v>DISNEY</v>
      </c>
      <c r="J1416" s="13">
        <v>45247278</v>
      </c>
      <c r="K1416" s="13" t="s">
        <v>1649</v>
      </c>
      <c r="L1416" s="13" t="s">
        <v>1652</v>
      </c>
      <c r="M1416" s="17">
        <v>139900</v>
      </c>
      <c r="N1416" s="15">
        <v>0.75</v>
      </c>
      <c r="O1416" s="16">
        <f t="shared" si="101"/>
        <v>34975</v>
      </c>
      <c r="P1416" s="11" t="s">
        <v>20</v>
      </c>
    </row>
    <row r="1417" spans="1:16" x14ac:dyDescent="0.25">
      <c r="A1417" s="9" t="str">
        <f t="shared" si="102"/>
        <v>2024 ALL D75</v>
      </c>
      <c r="B1417" s="10">
        <f t="shared" si="102"/>
        <v>46104</v>
      </c>
      <c r="C1417" s="10">
        <v>46113</v>
      </c>
      <c r="D1417" s="11">
        <v>3273</v>
      </c>
      <c r="E1417" s="11">
        <v>336</v>
      </c>
      <c r="F1417" s="11">
        <v>4</v>
      </c>
      <c r="G1417" s="19">
        <v>1</v>
      </c>
      <c r="H1417" s="13">
        <v>81588</v>
      </c>
      <c r="I1417" s="13" t="str">
        <f t="shared" si="100"/>
        <v>DISNEY</v>
      </c>
      <c r="J1417" s="13">
        <v>45247287</v>
      </c>
      <c r="K1417" s="13" t="s">
        <v>1649</v>
      </c>
      <c r="L1417" s="13" t="s">
        <v>1653</v>
      </c>
      <c r="M1417" s="17">
        <v>139900</v>
      </c>
      <c r="N1417" s="15">
        <v>0.75</v>
      </c>
      <c r="O1417" s="16">
        <f t="shared" si="101"/>
        <v>34975</v>
      </c>
      <c r="P1417" s="11" t="s">
        <v>20</v>
      </c>
    </row>
    <row r="1418" spans="1:16" x14ac:dyDescent="0.25">
      <c r="A1418" s="9" t="str">
        <f t="shared" si="102"/>
        <v>2024 ALL D75</v>
      </c>
      <c r="B1418" s="10">
        <f t="shared" si="102"/>
        <v>46104</v>
      </c>
      <c r="C1418" s="10">
        <v>46113</v>
      </c>
      <c r="D1418" s="11">
        <v>3273</v>
      </c>
      <c r="E1418" s="11">
        <v>336</v>
      </c>
      <c r="F1418" s="11">
        <v>4</v>
      </c>
      <c r="G1418" s="19">
        <v>1</v>
      </c>
      <c r="H1418" s="13">
        <v>81588</v>
      </c>
      <c r="I1418" s="13" t="str">
        <f t="shared" si="100"/>
        <v>DISNEY</v>
      </c>
      <c r="J1418" s="13">
        <v>45247296</v>
      </c>
      <c r="K1418" s="13" t="s">
        <v>1649</v>
      </c>
      <c r="L1418" s="13" t="s">
        <v>1654</v>
      </c>
      <c r="M1418" s="17">
        <v>139900</v>
      </c>
      <c r="N1418" s="15">
        <v>0.75</v>
      </c>
      <c r="O1418" s="16">
        <f t="shared" si="101"/>
        <v>34975</v>
      </c>
      <c r="P1418" s="11" t="s">
        <v>20</v>
      </c>
    </row>
    <row r="1419" spans="1:16" x14ac:dyDescent="0.25">
      <c r="A1419" s="9" t="str">
        <f t="shared" si="102"/>
        <v>2024 ALL D75</v>
      </c>
      <c r="B1419" s="10">
        <f t="shared" si="102"/>
        <v>46104</v>
      </c>
      <c r="C1419" s="10">
        <v>46113</v>
      </c>
      <c r="D1419" s="11">
        <v>3273</v>
      </c>
      <c r="E1419" s="11">
        <v>336</v>
      </c>
      <c r="F1419" s="11">
        <v>4</v>
      </c>
      <c r="G1419" s="19">
        <v>1</v>
      </c>
      <c r="H1419" s="13">
        <v>81588</v>
      </c>
      <c r="I1419" s="13" t="str">
        <f t="shared" si="100"/>
        <v>DISNEY</v>
      </c>
      <c r="J1419" s="13">
        <v>45247303</v>
      </c>
      <c r="K1419" s="13" t="s">
        <v>1655</v>
      </c>
      <c r="L1419" s="13" t="s">
        <v>1656</v>
      </c>
      <c r="M1419" s="17">
        <v>139900</v>
      </c>
      <c r="N1419" s="15">
        <v>0.75</v>
      </c>
      <c r="O1419" s="16">
        <f t="shared" si="101"/>
        <v>34975</v>
      </c>
      <c r="P1419" s="11" t="s">
        <v>20</v>
      </c>
    </row>
    <row r="1420" spans="1:16" x14ac:dyDescent="0.25">
      <c r="A1420" s="9" t="str">
        <f t="shared" si="102"/>
        <v>2024 ALL D75</v>
      </c>
      <c r="B1420" s="10">
        <f t="shared" si="102"/>
        <v>46104</v>
      </c>
      <c r="C1420" s="10">
        <v>46113</v>
      </c>
      <c r="D1420" s="11">
        <v>3273</v>
      </c>
      <c r="E1420" s="11">
        <v>336</v>
      </c>
      <c r="F1420" s="11">
        <v>4</v>
      </c>
      <c r="G1420" s="19">
        <v>1</v>
      </c>
      <c r="H1420" s="13">
        <v>81588</v>
      </c>
      <c r="I1420" s="13" t="str">
        <f t="shared" si="100"/>
        <v>DISNEY</v>
      </c>
      <c r="J1420" s="13">
        <v>45247312</v>
      </c>
      <c r="K1420" s="13" t="s">
        <v>1655</v>
      </c>
      <c r="L1420" s="13" t="s">
        <v>1657</v>
      </c>
      <c r="M1420" s="17">
        <v>139900</v>
      </c>
      <c r="N1420" s="15">
        <v>0.75</v>
      </c>
      <c r="O1420" s="16">
        <f t="shared" si="101"/>
        <v>34975</v>
      </c>
      <c r="P1420" s="11" t="s">
        <v>20</v>
      </c>
    </row>
    <row r="1421" spans="1:16" x14ac:dyDescent="0.25">
      <c r="A1421" s="9" t="str">
        <f t="shared" si="102"/>
        <v>2024 ALL D75</v>
      </c>
      <c r="B1421" s="10">
        <f t="shared" si="102"/>
        <v>46104</v>
      </c>
      <c r="C1421" s="10">
        <v>46113</v>
      </c>
      <c r="D1421" s="11">
        <v>3273</v>
      </c>
      <c r="E1421" s="11">
        <v>336</v>
      </c>
      <c r="F1421" s="11">
        <v>4</v>
      </c>
      <c r="G1421" s="19">
        <v>1</v>
      </c>
      <c r="H1421" s="13">
        <v>81588</v>
      </c>
      <c r="I1421" s="13" t="str">
        <f t="shared" si="100"/>
        <v>DISNEY</v>
      </c>
      <c r="J1421" s="13">
        <v>45247321</v>
      </c>
      <c r="K1421" s="13" t="s">
        <v>1655</v>
      </c>
      <c r="L1421" s="13" t="s">
        <v>1658</v>
      </c>
      <c r="M1421" s="17">
        <v>139900</v>
      </c>
      <c r="N1421" s="15">
        <v>0.75</v>
      </c>
      <c r="O1421" s="16">
        <f t="shared" si="101"/>
        <v>34975</v>
      </c>
      <c r="P1421" s="11" t="s">
        <v>20</v>
      </c>
    </row>
    <row r="1422" spans="1:16" x14ac:dyDescent="0.25">
      <c r="A1422" s="9" t="str">
        <f t="shared" si="102"/>
        <v>2024 ALL D75</v>
      </c>
      <c r="B1422" s="10">
        <f t="shared" si="102"/>
        <v>46104</v>
      </c>
      <c r="C1422" s="10">
        <v>46113</v>
      </c>
      <c r="D1422" s="11">
        <v>3273</v>
      </c>
      <c r="E1422" s="11">
        <v>336</v>
      </c>
      <c r="F1422" s="11">
        <v>4</v>
      </c>
      <c r="G1422" s="19">
        <v>1</v>
      </c>
      <c r="H1422" s="13">
        <v>81588</v>
      </c>
      <c r="I1422" s="13" t="str">
        <f t="shared" si="100"/>
        <v>DISNEY</v>
      </c>
      <c r="J1422" s="13">
        <v>45247330</v>
      </c>
      <c r="K1422" s="13" t="s">
        <v>1655</v>
      </c>
      <c r="L1422" s="13" t="s">
        <v>1659</v>
      </c>
      <c r="M1422" s="17">
        <v>139900</v>
      </c>
      <c r="N1422" s="15">
        <v>0.75</v>
      </c>
      <c r="O1422" s="16">
        <f t="shared" si="101"/>
        <v>34975</v>
      </c>
      <c r="P1422" s="11" t="s">
        <v>20</v>
      </c>
    </row>
    <row r="1423" spans="1:16" x14ac:dyDescent="0.25">
      <c r="A1423" s="9" t="str">
        <f t="shared" si="102"/>
        <v>2024 ALL D75</v>
      </c>
      <c r="B1423" s="10">
        <f t="shared" si="102"/>
        <v>46104</v>
      </c>
      <c r="C1423" s="10">
        <v>46113</v>
      </c>
      <c r="D1423" s="11">
        <v>3273</v>
      </c>
      <c r="E1423" s="11">
        <v>336</v>
      </c>
      <c r="F1423" s="11">
        <v>4</v>
      </c>
      <c r="G1423" s="19">
        <v>1</v>
      </c>
      <c r="H1423" s="13">
        <v>81588</v>
      </c>
      <c r="I1423" s="13" t="str">
        <f t="shared" si="100"/>
        <v>DISNEY</v>
      </c>
      <c r="J1423" s="13">
        <v>45247349</v>
      </c>
      <c r="K1423" s="13" t="s">
        <v>1655</v>
      </c>
      <c r="L1423" s="13" t="s">
        <v>1660</v>
      </c>
      <c r="M1423" s="17">
        <v>139900</v>
      </c>
      <c r="N1423" s="15">
        <v>0.75</v>
      </c>
      <c r="O1423" s="16">
        <f t="shared" si="101"/>
        <v>34975</v>
      </c>
      <c r="P1423" s="11" t="s">
        <v>20</v>
      </c>
    </row>
    <row r="1424" spans="1:16" x14ac:dyDescent="0.25">
      <c r="A1424" s="9" t="str">
        <f t="shared" si="102"/>
        <v>2024 ALL D75</v>
      </c>
      <c r="B1424" s="10">
        <f t="shared" si="102"/>
        <v>46104</v>
      </c>
      <c r="C1424" s="10">
        <v>46113</v>
      </c>
      <c r="D1424" s="11">
        <v>3273</v>
      </c>
      <c r="E1424" s="11">
        <v>336</v>
      </c>
      <c r="F1424" s="11">
        <v>4</v>
      </c>
      <c r="G1424" s="19">
        <v>1</v>
      </c>
      <c r="H1424" s="13">
        <v>81588</v>
      </c>
      <c r="I1424" s="13" t="str">
        <f t="shared" si="100"/>
        <v>DISNEY</v>
      </c>
      <c r="J1424" s="13">
        <v>45247358</v>
      </c>
      <c r="K1424" s="13" t="s">
        <v>1661</v>
      </c>
      <c r="L1424" s="13" t="s">
        <v>1662</v>
      </c>
      <c r="M1424" s="17">
        <v>139900</v>
      </c>
      <c r="N1424" s="15">
        <v>0.75</v>
      </c>
      <c r="O1424" s="16">
        <f t="shared" si="101"/>
        <v>34975</v>
      </c>
      <c r="P1424" s="11" t="s">
        <v>20</v>
      </c>
    </row>
    <row r="1425" spans="1:16" x14ac:dyDescent="0.25">
      <c r="A1425" s="9" t="str">
        <f t="shared" si="102"/>
        <v>2024 ALL D75</v>
      </c>
      <c r="B1425" s="10">
        <f t="shared" si="102"/>
        <v>46104</v>
      </c>
      <c r="C1425" s="10">
        <v>46113</v>
      </c>
      <c r="D1425" s="11">
        <v>3273</v>
      </c>
      <c r="E1425" s="11">
        <v>336</v>
      </c>
      <c r="F1425" s="11">
        <v>4</v>
      </c>
      <c r="G1425" s="19">
        <v>1</v>
      </c>
      <c r="H1425" s="13">
        <v>81588</v>
      </c>
      <c r="I1425" s="13" t="str">
        <f t="shared" si="100"/>
        <v>DISNEY</v>
      </c>
      <c r="J1425" s="13">
        <v>45247367</v>
      </c>
      <c r="K1425" s="13" t="s">
        <v>1661</v>
      </c>
      <c r="L1425" s="13" t="s">
        <v>1663</v>
      </c>
      <c r="M1425" s="17">
        <v>139900</v>
      </c>
      <c r="N1425" s="15">
        <v>0.75</v>
      </c>
      <c r="O1425" s="16">
        <f t="shared" si="101"/>
        <v>34975</v>
      </c>
      <c r="P1425" s="11" t="s">
        <v>20</v>
      </c>
    </row>
    <row r="1426" spans="1:16" x14ac:dyDescent="0.25">
      <c r="A1426" s="9" t="str">
        <f t="shared" si="102"/>
        <v>2024 ALL D75</v>
      </c>
      <c r="B1426" s="10">
        <f t="shared" si="102"/>
        <v>46104</v>
      </c>
      <c r="C1426" s="10">
        <v>46113</v>
      </c>
      <c r="D1426" s="11">
        <v>3273</v>
      </c>
      <c r="E1426" s="11">
        <v>336</v>
      </c>
      <c r="F1426" s="11">
        <v>4</v>
      </c>
      <c r="G1426" s="19">
        <v>1</v>
      </c>
      <c r="H1426" s="13">
        <v>81588</v>
      </c>
      <c r="I1426" s="13" t="str">
        <f t="shared" si="100"/>
        <v>DISNEY</v>
      </c>
      <c r="J1426" s="13">
        <v>45247376</v>
      </c>
      <c r="K1426" s="13" t="s">
        <v>1661</v>
      </c>
      <c r="L1426" s="13" t="s">
        <v>1664</v>
      </c>
      <c r="M1426" s="17">
        <v>139900</v>
      </c>
      <c r="N1426" s="15">
        <v>0.75</v>
      </c>
      <c r="O1426" s="16">
        <f t="shared" si="101"/>
        <v>34975</v>
      </c>
      <c r="P1426" s="11" t="s">
        <v>20</v>
      </c>
    </row>
    <row r="1427" spans="1:16" x14ac:dyDescent="0.25">
      <c r="A1427" s="9" t="str">
        <f t="shared" si="102"/>
        <v>2024 ALL D75</v>
      </c>
      <c r="B1427" s="10">
        <f t="shared" si="102"/>
        <v>46104</v>
      </c>
      <c r="C1427" s="10">
        <v>46113</v>
      </c>
      <c r="D1427" s="11">
        <v>3273</v>
      </c>
      <c r="E1427" s="11">
        <v>336</v>
      </c>
      <c r="F1427" s="11">
        <v>4</v>
      </c>
      <c r="G1427" s="19">
        <v>1</v>
      </c>
      <c r="H1427" s="13">
        <v>81588</v>
      </c>
      <c r="I1427" s="13" t="str">
        <f t="shared" si="100"/>
        <v>DISNEY</v>
      </c>
      <c r="J1427" s="13">
        <v>45247385</v>
      </c>
      <c r="K1427" s="13" t="s">
        <v>1661</v>
      </c>
      <c r="L1427" s="13" t="s">
        <v>1665</v>
      </c>
      <c r="M1427" s="17">
        <v>139900</v>
      </c>
      <c r="N1427" s="15">
        <v>0.75</v>
      </c>
      <c r="O1427" s="16">
        <f t="shared" si="101"/>
        <v>34975</v>
      </c>
      <c r="P1427" s="11" t="s">
        <v>20</v>
      </c>
    </row>
    <row r="1428" spans="1:16" x14ac:dyDescent="0.25">
      <c r="A1428" s="9" t="str">
        <f t="shared" ref="A1428:B1443" si="103">A1427</f>
        <v>2024 ALL D75</v>
      </c>
      <c r="B1428" s="10">
        <f t="shared" si="103"/>
        <v>46104</v>
      </c>
      <c r="C1428" s="10">
        <v>46113</v>
      </c>
      <c r="D1428" s="11">
        <v>3273</v>
      </c>
      <c r="E1428" s="11">
        <v>336</v>
      </c>
      <c r="F1428" s="11">
        <v>4</v>
      </c>
      <c r="G1428" s="19">
        <v>1</v>
      </c>
      <c r="H1428" s="13">
        <v>81588</v>
      </c>
      <c r="I1428" s="13" t="str">
        <f t="shared" si="100"/>
        <v>DISNEY</v>
      </c>
      <c r="J1428" s="13">
        <v>45247394</v>
      </c>
      <c r="K1428" s="13" t="s">
        <v>1661</v>
      </c>
      <c r="L1428" s="13" t="s">
        <v>1666</v>
      </c>
      <c r="M1428" s="17">
        <v>139900</v>
      </c>
      <c r="N1428" s="15">
        <v>0.75</v>
      </c>
      <c r="O1428" s="16">
        <f t="shared" si="101"/>
        <v>34975</v>
      </c>
      <c r="P1428" s="11" t="s">
        <v>20</v>
      </c>
    </row>
    <row r="1429" spans="1:16" x14ac:dyDescent="0.25">
      <c r="A1429" s="9" t="str">
        <f t="shared" si="103"/>
        <v>2024 ALL D75</v>
      </c>
      <c r="B1429" s="10">
        <f t="shared" si="103"/>
        <v>46104</v>
      </c>
      <c r="C1429" s="10">
        <v>46113</v>
      </c>
      <c r="D1429" s="11">
        <v>3273</v>
      </c>
      <c r="E1429" s="11">
        <v>336</v>
      </c>
      <c r="F1429" s="11">
        <v>4</v>
      </c>
      <c r="G1429" s="19">
        <v>1</v>
      </c>
      <c r="H1429" s="13">
        <v>81588</v>
      </c>
      <c r="I1429" s="13" t="str">
        <f t="shared" si="100"/>
        <v>DISNEY</v>
      </c>
      <c r="J1429" s="13">
        <v>45247509</v>
      </c>
      <c r="K1429" s="13" t="s">
        <v>1667</v>
      </c>
      <c r="L1429" s="13" t="s">
        <v>1668</v>
      </c>
      <c r="M1429" s="17">
        <v>139900</v>
      </c>
      <c r="N1429" s="15">
        <v>0.75</v>
      </c>
      <c r="O1429" s="16">
        <f t="shared" si="101"/>
        <v>34975</v>
      </c>
      <c r="P1429" s="11" t="s">
        <v>20</v>
      </c>
    </row>
    <row r="1430" spans="1:16" x14ac:dyDescent="0.25">
      <c r="A1430" s="9" t="str">
        <f t="shared" si="103"/>
        <v>2024 ALL D75</v>
      </c>
      <c r="B1430" s="10">
        <f t="shared" si="103"/>
        <v>46104</v>
      </c>
      <c r="C1430" s="10">
        <v>46113</v>
      </c>
      <c r="D1430" s="11">
        <v>3273</v>
      </c>
      <c r="E1430" s="11">
        <v>336</v>
      </c>
      <c r="F1430" s="11">
        <v>4</v>
      </c>
      <c r="G1430" s="19">
        <v>1</v>
      </c>
      <c r="H1430" s="13">
        <v>81588</v>
      </c>
      <c r="I1430" s="13" t="str">
        <f t="shared" si="100"/>
        <v>DISNEY</v>
      </c>
      <c r="J1430" s="13">
        <v>45247518</v>
      </c>
      <c r="K1430" s="13" t="s">
        <v>1667</v>
      </c>
      <c r="L1430" s="13" t="s">
        <v>1669</v>
      </c>
      <c r="M1430" s="17">
        <v>139900</v>
      </c>
      <c r="N1430" s="15">
        <v>0.75</v>
      </c>
      <c r="O1430" s="16">
        <f t="shared" si="101"/>
        <v>34975</v>
      </c>
      <c r="P1430" s="11" t="s">
        <v>20</v>
      </c>
    </row>
    <row r="1431" spans="1:16" x14ac:dyDescent="0.25">
      <c r="A1431" s="9" t="str">
        <f t="shared" si="103"/>
        <v>2024 ALL D75</v>
      </c>
      <c r="B1431" s="10">
        <f t="shared" si="103"/>
        <v>46104</v>
      </c>
      <c r="C1431" s="10">
        <v>46113</v>
      </c>
      <c r="D1431" s="11">
        <v>3273</v>
      </c>
      <c r="E1431" s="11">
        <v>336</v>
      </c>
      <c r="F1431" s="11">
        <v>4</v>
      </c>
      <c r="G1431" s="19">
        <v>1</v>
      </c>
      <c r="H1431" s="13">
        <v>81588</v>
      </c>
      <c r="I1431" s="13" t="str">
        <f t="shared" si="100"/>
        <v>DISNEY</v>
      </c>
      <c r="J1431" s="13">
        <v>45247527</v>
      </c>
      <c r="K1431" s="13" t="s">
        <v>1667</v>
      </c>
      <c r="L1431" s="13" t="s">
        <v>1670</v>
      </c>
      <c r="M1431" s="17">
        <v>139900</v>
      </c>
      <c r="N1431" s="15">
        <v>0.75</v>
      </c>
      <c r="O1431" s="16">
        <f t="shared" si="101"/>
        <v>34975</v>
      </c>
      <c r="P1431" s="11" t="s">
        <v>20</v>
      </c>
    </row>
    <row r="1432" spans="1:16" x14ac:dyDescent="0.25">
      <c r="A1432" s="9" t="str">
        <f t="shared" si="103"/>
        <v>2024 ALL D75</v>
      </c>
      <c r="B1432" s="10">
        <f t="shared" si="103"/>
        <v>46104</v>
      </c>
      <c r="C1432" s="10">
        <v>46113</v>
      </c>
      <c r="D1432" s="11">
        <v>3273</v>
      </c>
      <c r="E1432" s="11">
        <v>336</v>
      </c>
      <c r="F1432" s="11">
        <v>4</v>
      </c>
      <c r="G1432" s="19">
        <v>1</v>
      </c>
      <c r="H1432" s="13">
        <v>81588</v>
      </c>
      <c r="I1432" s="13" t="str">
        <f t="shared" si="100"/>
        <v>DISNEY</v>
      </c>
      <c r="J1432" s="13">
        <v>45247536</v>
      </c>
      <c r="K1432" s="13" t="s">
        <v>1667</v>
      </c>
      <c r="L1432" s="13" t="s">
        <v>1671</v>
      </c>
      <c r="M1432" s="17">
        <v>139900</v>
      </c>
      <c r="N1432" s="15">
        <v>0.75</v>
      </c>
      <c r="O1432" s="16">
        <f t="shared" si="101"/>
        <v>34975</v>
      </c>
      <c r="P1432" s="11" t="s">
        <v>20</v>
      </c>
    </row>
    <row r="1433" spans="1:16" x14ac:dyDescent="0.25">
      <c r="A1433" s="9" t="str">
        <f t="shared" si="103"/>
        <v>2024 ALL D75</v>
      </c>
      <c r="B1433" s="10">
        <f t="shared" si="103"/>
        <v>46104</v>
      </c>
      <c r="C1433" s="10">
        <v>46113</v>
      </c>
      <c r="D1433" s="11">
        <v>3273</v>
      </c>
      <c r="E1433" s="11">
        <v>336</v>
      </c>
      <c r="F1433" s="11">
        <v>4</v>
      </c>
      <c r="G1433" s="19">
        <v>1</v>
      </c>
      <c r="H1433" s="13">
        <v>81588</v>
      </c>
      <c r="I1433" s="13" t="str">
        <f t="shared" si="100"/>
        <v>DISNEY</v>
      </c>
      <c r="J1433" s="13">
        <v>45247545</v>
      </c>
      <c r="K1433" s="13" t="s">
        <v>1667</v>
      </c>
      <c r="L1433" s="13" t="s">
        <v>1672</v>
      </c>
      <c r="M1433" s="17">
        <v>139900</v>
      </c>
      <c r="N1433" s="15">
        <v>0.75</v>
      </c>
      <c r="O1433" s="16">
        <f t="shared" si="101"/>
        <v>34975</v>
      </c>
      <c r="P1433" s="11" t="s">
        <v>20</v>
      </c>
    </row>
    <row r="1434" spans="1:16" x14ac:dyDescent="0.25">
      <c r="A1434" s="9" t="str">
        <f t="shared" si="103"/>
        <v>2024 ALL D75</v>
      </c>
      <c r="B1434" s="10">
        <f t="shared" si="103"/>
        <v>46104</v>
      </c>
      <c r="C1434" s="10">
        <v>46113</v>
      </c>
      <c r="D1434" s="11">
        <v>3273</v>
      </c>
      <c r="E1434" s="11">
        <v>336</v>
      </c>
      <c r="F1434" s="11">
        <v>4</v>
      </c>
      <c r="G1434" s="19">
        <v>1</v>
      </c>
      <c r="H1434" s="13">
        <v>81588</v>
      </c>
      <c r="I1434" s="13" t="str">
        <f t="shared" si="100"/>
        <v>DISNEY</v>
      </c>
      <c r="J1434" s="13">
        <v>45247554</v>
      </c>
      <c r="K1434" s="13" t="s">
        <v>1673</v>
      </c>
      <c r="L1434" s="13" t="s">
        <v>1674</v>
      </c>
      <c r="M1434" s="17">
        <v>139900</v>
      </c>
      <c r="N1434" s="15">
        <v>0.75</v>
      </c>
      <c r="O1434" s="16">
        <f t="shared" si="101"/>
        <v>34975</v>
      </c>
      <c r="P1434" s="11" t="s">
        <v>20</v>
      </c>
    </row>
    <row r="1435" spans="1:16" x14ac:dyDescent="0.25">
      <c r="A1435" s="9" t="str">
        <f t="shared" si="103"/>
        <v>2024 ALL D75</v>
      </c>
      <c r="B1435" s="10">
        <f t="shared" si="103"/>
        <v>46104</v>
      </c>
      <c r="C1435" s="10">
        <v>46113</v>
      </c>
      <c r="D1435" s="11">
        <v>3273</v>
      </c>
      <c r="E1435" s="11">
        <v>336</v>
      </c>
      <c r="F1435" s="11">
        <v>4</v>
      </c>
      <c r="G1435" s="19">
        <v>1</v>
      </c>
      <c r="H1435" s="13">
        <v>81588</v>
      </c>
      <c r="I1435" s="13" t="str">
        <f t="shared" si="100"/>
        <v>DISNEY</v>
      </c>
      <c r="J1435" s="13">
        <v>45247563</v>
      </c>
      <c r="K1435" s="13" t="s">
        <v>1673</v>
      </c>
      <c r="L1435" s="13" t="s">
        <v>1675</v>
      </c>
      <c r="M1435" s="17">
        <v>139900</v>
      </c>
      <c r="N1435" s="15">
        <v>0.75</v>
      </c>
      <c r="O1435" s="16">
        <f t="shared" si="101"/>
        <v>34975</v>
      </c>
      <c r="P1435" s="11" t="s">
        <v>20</v>
      </c>
    </row>
    <row r="1436" spans="1:16" x14ac:dyDescent="0.25">
      <c r="A1436" s="9" t="str">
        <f t="shared" si="103"/>
        <v>2024 ALL D75</v>
      </c>
      <c r="B1436" s="10">
        <f t="shared" si="103"/>
        <v>46104</v>
      </c>
      <c r="C1436" s="10">
        <v>46113</v>
      </c>
      <c r="D1436" s="11">
        <v>3273</v>
      </c>
      <c r="E1436" s="11">
        <v>336</v>
      </c>
      <c r="F1436" s="11">
        <v>4</v>
      </c>
      <c r="G1436" s="19">
        <v>1</v>
      </c>
      <c r="H1436" s="13">
        <v>81588</v>
      </c>
      <c r="I1436" s="13" t="str">
        <f t="shared" si="100"/>
        <v>DISNEY</v>
      </c>
      <c r="J1436" s="13">
        <v>45247572</v>
      </c>
      <c r="K1436" s="13" t="s">
        <v>1673</v>
      </c>
      <c r="L1436" s="13" t="s">
        <v>1676</v>
      </c>
      <c r="M1436" s="17">
        <v>139900</v>
      </c>
      <c r="N1436" s="15">
        <v>0.75</v>
      </c>
      <c r="O1436" s="16">
        <f t="shared" si="101"/>
        <v>34975</v>
      </c>
      <c r="P1436" s="11" t="s">
        <v>20</v>
      </c>
    </row>
    <row r="1437" spans="1:16" x14ac:dyDescent="0.25">
      <c r="A1437" s="9" t="str">
        <f t="shared" si="103"/>
        <v>2024 ALL D75</v>
      </c>
      <c r="B1437" s="10">
        <f t="shared" si="103"/>
        <v>46104</v>
      </c>
      <c r="C1437" s="10">
        <v>46113</v>
      </c>
      <c r="D1437" s="11">
        <v>3273</v>
      </c>
      <c r="E1437" s="11">
        <v>336</v>
      </c>
      <c r="F1437" s="11">
        <v>4</v>
      </c>
      <c r="G1437" s="19">
        <v>1</v>
      </c>
      <c r="H1437" s="13">
        <v>81588</v>
      </c>
      <c r="I1437" s="13" t="str">
        <f t="shared" si="100"/>
        <v>DISNEY</v>
      </c>
      <c r="J1437" s="13">
        <v>45247581</v>
      </c>
      <c r="K1437" s="13" t="s">
        <v>1673</v>
      </c>
      <c r="L1437" s="13" t="s">
        <v>1677</v>
      </c>
      <c r="M1437" s="17">
        <v>139900</v>
      </c>
      <c r="N1437" s="15">
        <v>0.75</v>
      </c>
      <c r="O1437" s="16">
        <f t="shared" si="101"/>
        <v>34975</v>
      </c>
      <c r="P1437" s="11" t="s">
        <v>20</v>
      </c>
    </row>
    <row r="1438" spans="1:16" x14ac:dyDescent="0.25">
      <c r="A1438" s="9" t="str">
        <f t="shared" si="103"/>
        <v>2024 ALL D75</v>
      </c>
      <c r="B1438" s="10">
        <f t="shared" si="103"/>
        <v>46104</v>
      </c>
      <c r="C1438" s="10">
        <v>46113</v>
      </c>
      <c r="D1438" s="11">
        <v>3273</v>
      </c>
      <c r="E1438" s="11">
        <v>336</v>
      </c>
      <c r="F1438" s="11">
        <v>4</v>
      </c>
      <c r="G1438" s="19">
        <v>1</v>
      </c>
      <c r="H1438" s="13">
        <v>81588</v>
      </c>
      <c r="I1438" s="13" t="str">
        <f t="shared" si="100"/>
        <v>DISNEY</v>
      </c>
      <c r="J1438" s="13">
        <v>45247590</v>
      </c>
      <c r="K1438" s="13" t="s">
        <v>1673</v>
      </c>
      <c r="L1438" s="13" t="s">
        <v>1678</v>
      </c>
      <c r="M1438" s="17">
        <v>139900</v>
      </c>
      <c r="N1438" s="15">
        <v>0.75</v>
      </c>
      <c r="O1438" s="16">
        <f t="shared" si="101"/>
        <v>34975</v>
      </c>
      <c r="P1438" s="11" t="s">
        <v>20</v>
      </c>
    </row>
    <row r="1439" spans="1:16" x14ac:dyDescent="0.25">
      <c r="A1439" s="9" t="str">
        <f t="shared" si="103"/>
        <v>2024 ALL D75</v>
      </c>
      <c r="B1439" s="10">
        <f t="shared" si="103"/>
        <v>46104</v>
      </c>
      <c r="C1439" s="10">
        <v>46113</v>
      </c>
      <c r="D1439" s="11">
        <v>3273</v>
      </c>
      <c r="E1439" s="11">
        <v>336</v>
      </c>
      <c r="F1439" s="11">
        <v>4</v>
      </c>
      <c r="G1439" s="19">
        <v>1</v>
      </c>
      <c r="H1439" s="13">
        <v>81588</v>
      </c>
      <c r="I1439" s="13" t="str">
        <f t="shared" si="100"/>
        <v>DISNEY</v>
      </c>
      <c r="J1439" s="13">
        <v>45247607</v>
      </c>
      <c r="K1439" s="13" t="s">
        <v>1679</v>
      </c>
      <c r="L1439" s="13" t="s">
        <v>1680</v>
      </c>
      <c r="M1439" s="17">
        <v>149900</v>
      </c>
      <c r="N1439" s="15">
        <v>0.75</v>
      </c>
      <c r="O1439" s="16">
        <f t="shared" si="101"/>
        <v>37475</v>
      </c>
      <c r="P1439" s="11" t="s">
        <v>20</v>
      </c>
    </row>
    <row r="1440" spans="1:16" x14ac:dyDescent="0.25">
      <c r="A1440" s="9" t="str">
        <f t="shared" si="103"/>
        <v>2024 ALL D75</v>
      </c>
      <c r="B1440" s="10">
        <f t="shared" si="103"/>
        <v>46104</v>
      </c>
      <c r="C1440" s="10">
        <v>46113</v>
      </c>
      <c r="D1440" s="11">
        <v>3273</v>
      </c>
      <c r="E1440" s="11">
        <v>336</v>
      </c>
      <c r="F1440" s="11">
        <v>4</v>
      </c>
      <c r="G1440" s="19">
        <v>1</v>
      </c>
      <c r="H1440" s="13">
        <v>81588</v>
      </c>
      <c r="I1440" s="13" t="str">
        <f t="shared" si="100"/>
        <v>DISNEY</v>
      </c>
      <c r="J1440" s="13">
        <v>45247616</v>
      </c>
      <c r="K1440" s="13" t="s">
        <v>1679</v>
      </c>
      <c r="L1440" s="13" t="s">
        <v>1681</v>
      </c>
      <c r="M1440" s="17">
        <v>149900</v>
      </c>
      <c r="N1440" s="15">
        <v>0.75</v>
      </c>
      <c r="O1440" s="16">
        <f t="shared" si="101"/>
        <v>37475</v>
      </c>
      <c r="P1440" s="11" t="s">
        <v>20</v>
      </c>
    </row>
    <row r="1441" spans="1:16" x14ac:dyDescent="0.25">
      <c r="A1441" s="9" t="str">
        <f t="shared" si="103"/>
        <v>2024 ALL D75</v>
      </c>
      <c r="B1441" s="10">
        <f t="shared" si="103"/>
        <v>46104</v>
      </c>
      <c r="C1441" s="10">
        <v>46113</v>
      </c>
      <c r="D1441" s="11">
        <v>3273</v>
      </c>
      <c r="E1441" s="11">
        <v>336</v>
      </c>
      <c r="F1441" s="11">
        <v>4</v>
      </c>
      <c r="G1441" s="19">
        <v>1</v>
      </c>
      <c r="H1441" s="13">
        <v>81588</v>
      </c>
      <c r="I1441" s="13" t="str">
        <f t="shared" si="100"/>
        <v>DISNEY</v>
      </c>
      <c r="J1441" s="13">
        <v>45247625</v>
      </c>
      <c r="K1441" s="13" t="s">
        <v>1679</v>
      </c>
      <c r="L1441" s="13" t="s">
        <v>1682</v>
      </c>
      <c r="M1441" s="17">
        <v>149900</v>
      </c>
      <c r="N1441" s="15">
        <v>0.75</v>
      </c>
      <c r="O1441" s="16">
        <f t="shared" si="101"/>
        <v>37475</v>
      </c>
      <c r="P1441" s="11" t="s">
        <v>20</v>
      </c>
    </row>
    <row r="1442" spans="1:16" x14ac:dyDescent="0.25">
      <c r="A1442" s="9" t="str">
        <f t="shared" si="103"/>
        <v>2024 ALL D75</v>
      </c>
      <c r="B1442" s="10">
        <f t="shared" si="103"/>
        <v>46104</v>
      </c>
      <c r="C1442" s="10">
        <v>46113</v>
      </c>
      <c r="D1442" s="11">
        <v>3273</v>
      </c>
      <c r="E1442" s="11">
        <v>336</v>
      </c>
      <c r="F1442" s="11">
        <v>4</v>
      </c>
      <c r="G1442" s="19">
        <v>1</v>
      </c>
      <c r="H1442" s="13">
        <v>81588</v>
      </c>
      <c r="I1442" s="13" t="str">
        <f t="shared" si="100"/>
        <v>DISNEY</v>
      </c>
      <c r="J1442" s="13">
        <v>45247634</v>
      </c>
      <c r="K1442" s="13" t="s">
        <v>1679</v>
      </c>
      <c r="L1442" s="13" t="s">
        <v>1683</v>
      </c>
      <c r="M1442" s="17">
        <v>149900</v>
      </c>
      <c r="N1442" s="15">
        <v>0.75</v>
      </c>
      <c r="O1442" s="16">
        <f t="shared" si="101"/>
        <v>37475</v>
      </c>
      <c r="P1442" s="11" t="s">
        <v>20</v>
      </c>
    </row>
    <row r="1443" spans="1:16" x14ac:dyDescent="0.25">
      <c r="A1443" s="9" t="str">
        <f t="shared" si="103"/>
        <v>2024 ALL D75</v>
      </c>
      <c r="B1443" s="10">
        <f t="shared" si="103"/>
        <v>46104</v>
      </c>
      <c r="C1443" s="10">
        <v>46113</v>
      </c>
      <c r="D1443" s="11">
        <v>3273</v>
      </c>
      <c r="E1443" s="11">
        <v>336</v>
      </c>
      <c r="F1443" s="11">
        <v>4</v>
      </c>
      <c r="G1443" s="19">
        <v>1</v>
      </c>
      <c r="H1443" s="13">
        <v>81588</v>
      </c>
      <c r="I1443" s="13" t="str">
        <f t="shared" si="100"/>
        <v>DISNEY</v>
      </c>
      <c r="J1443" s="13">
        <v>45247643</v>
      </c>
      <c r="K1443" s="13" t="s">
        <v>1679</v>
      </c>
      <c r="L1443" s="13" t="s">
        <v>1684</v>
      </c>
      <c r="M1443" s="17">
        <v>149900</v>
      </c>
      <c r="N1443" s="15">
        <v>0.75</v>
      </c>
      <c r="O1443" s="16">
        <f t="shared" si="101"/>
        <v>37475</v>
      </c>
      <c r="P1443" s="11" t="s">
        <v>20</v>
      </c>
    </row>
    <row r="1444" spans="1:16" x14ac:dyDescent="0.25">
      <c r="A1444" s="9" t="str">
        <f t="shared" ref="A1444:B1459" si="104">A1443</f>
        <v>2024 ALL D75</v>
      </c>
      <c r="B1444" s="10">
        <f t="shared" si="104"/>
        <v>46104</v>
      </c>
      <c r="C1444" s="10">
        <v>46113</v>
      </c>
      <c r="D1444" s="11">
        <v>3273</v>
      </c>
      <c r="E1444" s="11">
        <v>336</v>
      </c>
      <c r="F1444" s="11">
        <v>4</v>
      </c>
      <c r="G1444" s="19">
        <v>1</v>
      </c>
      <c r="H1444" s="13">
        <v>81588</v>
      </c>
      <c r="I1444" s="13" t="str">
        <f t="shared" si="100"/>
        <v>DISNEY</v>
      </c>
      <c r="J1444" s="13">
        <v>45247652</v>
      </c>
      <c r="K1444" s="13" t="s">
        <v>1685</v>
      </c>
      <c r="L1444" s="13" t="s">
        <v>1686</v>
      </c>
      <c r="M1444" s="17">
        <v>149900</v>
      </c>
      <c r="N1444" s="15">
        <v>0.75</v>
      </c>
      <c r="O1444" s="16">
        <f t="shared" si="101"/>
        <v>37475</v>
      </c>
      <c r="P1444" s="11" t="s">
        <v>20</v>
      </c>
    </row>
    <row r="1445" spans="1:16" x14ac:dyDescent="0.25">
      <c r="A1445" s="9" t="str">
        <f t="shared" si="104"/>
        <v>2024 ALL D75</v>
      </c>
      <c r="B1445" s="10">
        <f t="shared" si="104"/>
        <v>46104</v>
      </c>
      <c r="C1445" s="10">
        <v>46113</v>
      </c>
      <c r="D1445" s="11">
        <v>3273</v>
      </c>
      <c r="E1445" s="11">
        <v>336</v>
      </c>
      <c r="F1445" s="11">
        <v>4</v>
      </c>
      <c r="G1445" s="19">
        <v>1</v>
      </c>
      <c r="H1445" s="13">
        <v>81588</v>
      </c>
      <c r="I1445" s="13" t="str">
        <f t="shared" si="100"/>
        <v>DISNEY</v>
      </c>
      <c r="J1445" s="13">
        <v>45247661</v>
      </c>
      <c r="K1445" s="13" t="s">
        <v>1685</v>
      </c>
      <c r="L1445" s="13" t="s">
        <v>1687</v>
      </c>
      <c r="M1445" s="17">
        <v>149900</v>
      </c>
      <c r="N1445" s="15">
        <v>0.75</v>
      </c>
      <c r="O1445" s="16">
        <f t="shared" si="101"/>
        <v>37475</v>
      </c>
      <c r="P1445" s="11" t="s">
        <v>20</v>
      </c>
    </row>
    <row r="1446" spans="1:16" x14ac:dyDescent="0.25">
      <c r="A1446" s="9" t="str">
        <f t="shared" si="104"/>
        <v>2024 ALL D75</v>
      </c>
      <c r="B1446" s="10">
        <f t="shared" si="104"/>
        <v>46104</v>
      </c>
      <c r="C1446" s="10">
        <v>46113</v>
      </c>
      <c r="D1446" s="11">
        <v>3273</v>
      </c>
      <c r="E1446" s="11">
        <v>336</v>
      </c>
      <c r="F1446" s="11">
        <v>4</v>
      </c>
      <c r="G1446" s="19">
        <v>1</v>
      </c>
      <c r="H1446" s="13">
        <v>81588</v>
      </c>
      <c r="I1446" s="13" t="str">
        <f t="shared" si="100"/>
        <v>DISNEY</v>
      </c>
      <c r="J1446" s="13">
        <v>45247670</v>
      </c>
      <c r="K1446" s="13" t="s">
        <v>1685</v>
      </c>
      <c r="L1446" s="13" t="s">
        <v>1688</v>
      </c>
      <c r="M1446" s="17">
        <v>149900</v>
      </c>
      <c r="N1446" s="15">
        <v>0.75</v>
      </c>
      <c r="O1446" s="16">
        <f t="shared" si="101"/>
        <v>37475</v>
      </c>
      <c r="P1446" s="11" t="s">
        <v>20</v>
      </c>
    </row>
    <row r="1447" spans="1:16" x14ac:dyDescent="0.25">
      <c r="A1447" s="9" t="str">
        <f t="shared" si="104"/>
        <v>2024 ALL D75</v>
      </c>
      <c r="B1447" s="10">
        <f t="shared" si="104"/>
        <v>46104</v>
      </c>
      <c r="C1447" s="10">
        <v>46113</v>
      </c>
      <c r="D1447" s="11">
        <v>3273</v>
      </c>
      <c r="E1447" s="11">
        <v>336</v>
      </c>
      <c r="F1447" s="11">
        <v>4</v>
      </c>
      <c r="G1447" s="19">
        <v>1</v>
      </c>
      <c r="H1447" s="13">
        <v>81588</v>
      </c>
      <c r="I1447" s="13" t="str">
        <f t="shared" si="100"/>
        <v>DISNEY</v>
      </c>
      <c r="J1447" s="13">
        <v>45247689</v>
      </c>
      <c r="K1447" s="13" t="s">
        <v>1685</v>
      </c>
      <c r="L1447" s="13" t="s">
        <v>1689</v>
      </c>
      <c r="M1447" s="17">
        <v>149900</v>
      </c>
      <c r="N1447" s="15">
        <v>0.75</v>
      </c>
      <c r="O1447" s="16">
        <f t="shared" si="101"/>
        <v>37475</v>
      </c>
      <c r="P1447" s="11" t="s">
        <v>20</v>
      </c>
    </row>
    <row r="1448" spans="1:16" x14ac:dyDescent="0.25">
      <c r="A1448" s="9" t="str">
        <f t="shared" si="104"/>
        <v>2024 ALL D75</v>
      </c>
      <c r="B1448" s="10">
        <f t="shared" si="104"/>
        <v>46104</v>
      </c>
      <c r="C1448" s="10">
        <v>46113</v>
      </c>
      <c r="D1448" s="11">
        <v>3273</v>
      </c>
      <c r="E1448" s="11">
        <v>336</v>
      </c>
      <c r="F1448" s="11">
        <v>4</v>
      </c>
      <c r="G1448" s="19">
        <v>1</v>
      </c>
      <c r="H1448" s="13">
        <v>81588</v>
      </c>
      <c r="I1448" s="13" t="str">
        <f t="shared" si="100"/>
        <v>DISNEY</v>
      </c>
      <c r="J1448" s="13">
        <v>45247698</v>
      </c>
      <c r="K1448" s="13" t="s">
        <v>1685</v>
      </c>
      <c r="L1448" s="13" t="s">
        <v>1690</v>
      </c>
      <c r="M1448" s="17">
        <v>149900</v>
      </c>
      <c r="N1448" s="15">
        <v>0.75</v>
      </c>
      <c r="O1448" s="16">
        <f t="shared" si="101"/>
        <v>37475</v>
      </c>
      <c r="P1448" s="11" t="s">
        <v>20</v>
      </c>
    </row>
    <row r="1449" spans="1:16" x14ac:dyDescent="0.25">
      <c r="A1449" s="9" t="str">
        <f t="shared" si="104"/>
        <v>2024 ALL D75</v>
      </c>
      <c r="B1449" s="10">
        <f t="shared" si="104"/>
        <v>46104</v>
      </c>
      <c r="C1449" s="10">
        <v>46113</v>
      </c>
      <c r="D1449" s="11">
        <v>3273</v>
      </c>
      <c r="E1449" s="11">
        <v>336</v>
      </c>
      <c r="F1449" s="11">
        <v>4</v>
      </c>
      <c r="G1449" s="19">
        <v>1</v>
      </c>
      <c r="H1449" s="13">
        <v>81588</v>
      </c>
      <c r="I1449" s="13" t="str">
        <f t="shared" si="100"/>
        <v>DISNEY</v>
      </c>
      <c r="J1449" s="13">
        <v>45909017</v>
      </c>
      <c r="K1449" s="13" t="s">
        <v>1691</v>
      </c>
      <c r="L1449" s="13" t="s">
        <v>1692</v>
      </c>
      <c r="M1449" s="17">
        <v>139900</v>
      </c>
      <c r="N1449" s="15">
        <v>0.75</v>
      </c>
      <c r="O1449" s="16">
        <f t="shared" si="101"/>
        <v>34975</v>
      </c>
      <c r="P1449" s="11" t="s">
        <v>20</v>
      </c>
    </row>
    <row r="1450" spans="1:16" x14ac:dyDescent="0.25">
      <c r="A1450" s="9" t="str">
        <f t="shared" si="104"/>
        <v>2024 ALL D75</v>
      </c>
      <c r="B1450" s="10">
        <f t="shared" si="104"/>
        <v>46104</v>
      </c>
      <c r="C1450" s="10">
        <v>46113</v>
      </c>
      <c r="D1450" s="11">
        <v>3273</v>
      </c>
      <c r="E1450" s="11">
        <v>336</v>
      </c>
      <c r="F1450" s="11">
        <v>4</v>
      </c>
      <c r="G1450" s="19">
        <v>1</v>
      </c>
      <c r="H1450" s="13">
        <v>81588</v>
      </c>
      <c r="I1450" s="13" t="str">
        <f t="shared" si="100"/>
        <v>DISNEY</v>
      </c>
      <c r="J1450" s="13">
        <v>45909026</v>
      </c>
      <c r="K1450" s="13" t="s">
        <v>1691</v>
      </c>
      <c r="L1450" s="13" t="s">
        <v>1693</v>
      </c>
      <c r="M1450" s="17">
        <v>139900</v>
      </c>
      <c r="N1450" s="15">
        <v>0.75</v>
      </c>
      <c r="O1450" s="16">
        <f t="shared" si="101"/>
        <v>34975</v>
      </c>
      <c r="P1450" s="11" t="s">
        <v>20</v>
      </c>
    </row>
    <row r="1451" spans="1:16" x14ac:dyDescent="0.25">
      <c r="A1451" s="9" t="str">
        <f t="shared" si="104"/>
        <v>2024 ALL D75</v>
      </c>
      <c r="B1451" s="10">
        <f t="shared" si="104"/>
        <v>46104</v>
      </c>
      <c r="C1451" s="10">
        <v>46113</v>
      </c>
      <c r="D1451" s="11">
        <v>3273</v>
      </c>
      <c r="E1451" s="11">
        <v>336</v>
      </c>
      <c r="F1451" s="11">
        <v>4</v>
      </c>
      <c r="G1451" s="19">
        <v>1</v>
      </c>
      <c r="H1451" s="13">
        <v>81588</v>
      </c>
      <c r="I1451" s="13" t="str">
        <f t="shared" si="100"/>
        <v>DISNEY</v>
      </c>
      <c r="J1451" s="13">
        <v>45909035</v>
      </c>
      <c r="K1451" s="13" t="s">
        <v>1691</v>
      </c>
      <c r="L1451" s="13" t="s">
        <v>1694</v>
      </c>
      <c r="M1451" s="17">
        <v>139900</v>
      </c>
      <c r="N1451" s="15">
        <v>0.75</v>
      </c>
      <c r="O1451" s="16">
        <f t="shared" si="101"/>
        <v>34975</v>
      </c>
      <c r="P1451" s="11" t="s">
        <v>20</v>
      </c>
    </row>
    <row r="1452" spans="1:16" x14ac:dyDescent="0.25">
      <c r="A1452" s="9" t="str">
        <f t="shared" si="104"/>
        <v>2024 ALL D75</v>
      </c>
      <c r="B1452" s="10">
        <f t="shared" si="104"/>
        <v>46104</v>
      </c>
      <c r="C1452" s="10">
        <v>46113</v>
      </c>
      <c r="D1452" s="11">
        <v>3273</v>
      </c>
      <c r="E1452" s="11">
        <v>336</v>
      </c>
      <c r="F1452" s="11">
        <v>4</v>
      </c>
      <c r="G1452" s="19">
        <v>1</v>
      </c>
      <c r="H1452" s="13">
        <v>81588</v>
      </c>
      <c r="I1452" s="13" t="str">
        <f t="shared" si="100"/>
        <v>DISNEY</v>
      </c>
      <c r="J1452" s="13">
        <v>45909044</v>
      </c>
      <c r="K1452" s="13" t="s">
        <v>1691</v>
      </c>
      <c r="L1452" s="13" t="s">
        <v>1695</v>
      </c>
      <c r="M1452" s="17">
        <v>139900</v>
      </c>
      <c r="N1452" s="15">
        <v>0.75</v>
      </c>
      <c r="O1452" s="16">
        <f t="shared" si="101"/>
        <v>34975</v>
      </c>
      <c r="P1452" s="11" t="s">
        <v>20</v>
      </c>
    </row>
    <row r="1453" spans="1:16" x14ac:dyDescent="0.25">
      <c r="A1453" s="9" t="str">
        <f t="shared" si="104"/>
        <v>2024 ALL D75</v>
      </c>
      <c r="B1453" s="10">
        <f t="shared" si="104"/>
        <v>46104</v>
      </c>
      <c r="C1453" s="10">
        <v>46113</v>
      </c>
      <c r="D1453" s="11">
        <v>3273</v>
      </c>
      <c r="E1453" s="11">
        <v>336</v>
      </c>
      <c r="F1453" s="11">
        <v>4</v>
      </c>
      <c r="G1453" s="19">
        <v>1</v>
      </c>
      <c r="H1453" s="13">
        <v>81588</v>
      </c>
      <c r="I1453" s="13" t="str">
        <f t="shared" si="100"/>
        <v>DISNEY</v>
      </c>
      <c r="J1453" s="13">
        <v>45909053</v>
      </c>
      <c r="K1453" s="13" t="s">
        <v>1691</v>
      </c>
      <c r="L1453" s="13" t="s">
        <v>1696</v>
      </c>
      <c r="M1453" s="17">
        <v>139900</v>
      </c>
      <c r="N1453" s="15">
        <v>0.75</v>
      </c>
      <c r="O1453" s="16">
        <f t="shared" si="101"/>
        <v>34975</v>
      </c>
      <c r="P1453" s="11" t="s">
        <v>20</v>
      </c>
    </row>
    <row r="1454" spans="1:16" x14ac:dyDescent="0.25">
      <c r="A1454" s="9" t="str">
        <f t="shared" si="104"/>
        <v>2024 ALL D75</v>
      </c>
      <c r="B1454" s="10">
        <f t="shared" si="104"/>
        <v>46104</v>
      </c>
      <c r="C1454" s="10">
        <v>46113</v>
      </c>
      <c r="D1454" s="11">
        <v>3273</v>
      </c>
      <c r="E1454" s="11">
        <v>336</v>
      </c>
      <c r="F1454" s="11">
        <v>4</v>
      </c>
      <c r="G1454" s="19">
        <v>11</v>
      </c>
      <c r="H1454" s="13">
        <v>81588</v>
      </c>
      <c r="I1454" s="13" t="str">
        <f t="shared" si="100"/>
        <v>DISNEY</v>
      </c>
      <c r="J1454" s="13">
        <v>25702876</v>
      </c>
      <c r="K1454" s="13" t="s">
        <v>1697</v>
      </c>
      <c r="L1454" s="13" t="s">
        <v>1698</v>
      </c>
      <c r="M1454" s="17">
        <v>149900</v>
      </c>
      <c r="N1454" s="15">
        <v>0.75</v>
      </c>
      <c r="O1454" s="16">
        <f t="shared" si="101"/>
        <v>37475</v>
      </c>
      <c r="P1454" s="11" t="s">
        <v>20</v>
      </c>
    </row>
    <row r="1455" spans="1:16" x14ac:dyDescent="0.25">
      <c r="A1455" s="9" t="str">
        <f t="shared" si="104"/>
        <v>2024 ALL D75</v>
      </c>
      <c r="B1455" s="10">
        <f t="shared" si="104"/>
        <v>46104</v>
      </c>
      <c r="C1455" s="10">
        <v>46113</v>
      </c>
      <c r="D1455" s="11">
        <v>3273</v>
      </c>
      <c r="E1455" s="11">
        <v>336</v>
      </c>
      <c r="F1455" s="11">
        <v>4</v>
      </c>
      <c r="G1455" s="19">
        <v>11</v>
      </c>
      <c r="H1455" s="13">
        <v>81588</v>
      </c>
      <c r="I1455" s="13" t="str">
        <f t="shared" si="100"/>
        <v>DISNEY</v>
      </c>
      <c r="J1455" s="13">
        <v>25702885</v>
      </c>
      <c r="K1455" s="13" t="s">
        <v>1697</v>
      </c>
      <c r="L1455" s="13" t="s">
        <v>1699</v>
      </c>
      <c r="M1455" s="17">
        <v>149900</v>
      </c>
      <c r="N1455" s="15">
        <v>0.75</v>
      </c>
      <c r="O1455" s="16">
        <f t="shared" si="101"/>
        <v>37475</v>
      </c>
      <c r="P1455" s="11" t="s">
        <v>20</v>
      </c>
    </row>
    <row r="1456" spans="1:16" x14ac:dyDescent="0.25">
      <c r="A1456" s="9" t="str">
        <f t="shared" si="104"/>
        <v>2024 ALL D75</v>
      </c>
      <c r="B1456" s="10">
        <f t="shared" si="104"/>
        <v>46104</v>
      </c>
      <c r="C1456" s="10">
        <v>46113</v>
      </c>
      <c r="D1456" s="11">
        <v>3273</v>
      </c>
      <c r="E1456" s="11">
        <v>336</v>
      </c>
      <c r="F1456" s="11">
        <v>4</v>
      </c>
      <c r="G1456" s="19">
        <v>11</v>
      </c>
      <c r="H1456" s="13">
        <v>81588</v>
      </c>
      <c r="I1456" s="13" t="str">
        <f t="shared" si="100"/>
        <v>DISNEY</v>
      </c>
      <c r="J1456" s="13">
        <v>25702894</v>
      </c>
      <c r="K1456" s="13" t="s">
        <v>1697</v>
      </c>
      <c r="L1456" s="13" t="s">
        <v>1700</v>
      </c>
      <c r="M1456" s="17">
        <v>149900</v>
      </c>
      <c r="N1456" s="15">
        <v>0.75</v>
      </c>
      <c r="O1456" s="16">
        <f t="shared" si="101"/>
        <v>37475</v>
      </c>
      <c r="P1456" s="11" t="s">
        <v>20</v>
      </c>
    </row>
    <row r="1457" spans="1:16" x14ac:dyDescent="0.25">
      <c r="A1457" s="9" t="str">
        <f t="shared" si="104"/>
        <v>2024 ALL D75</v>
      </c>
      <c r="B1457" s="10">
        <f t="shared" si="104"/>
        <v>46104</v>
      </c>
      <c r="C1457" s="10">
        <v>46113</v>
      </c>
      <c r="D1457" s="11">
        <v>3273</v>
      </c>
      <c r="E1457" s="11">
        <v>336</v>
      </c>
      <c r="F1457" s="11">
        <v>4</v>
      </c>
      <c r="G1457" s="19">
        <v>11</v>
      </c>
      <c r="H1457" s="13">
        <v>81588</v>
      </c>
      <c r="I1457" s="13" t="str">
        <f t="shared" si="100"/>
        <v>DISNEY</v>
      </c>
      <c r="J1457" s="13">
        <v>25702901</v>
      </c>
      <c r="K1457" s="13" t="s">
        <v>1697</v>
      </c>
      <c r="L1457" s="13" t="s">
        <v>1701</v>
      </c>
      <c r="M1457" s="17">
        <v>149900</v>
      </c>
      <c r="N1457" s="15">
        <v>0.75</v>
      </c>
      <c r="O1457" s="16">
        <f t="shared" si="101"/>
        <v>37475</v>
      </c>
      <c r="P1457" s="11" t="s">
        <v>20</v>
      </c>
    </row>
    <row r="1458" spans="1:16" x14ac:dyDescent="0.25">
      <c r="A1458" s="9" t="str">
        <f t="shared" si="104"/>
        <v>2024 ALL D75</v>
      </c>
      <c r="B1458" s="10">
        <f t="shared" si="104"/>
        <v>46104</v>
      </c>
      <c r="C1458" s="10">
        <v>46113</v>
      </c>
      <c r="D1458" s="11">
        <v>3273</v>
      </c>
      <c r="E1458" s="11">
        <v>336</v>
      </c>
      <c r="F1458" s="11">
        <v>4</v>
      </c>
      <c r="G1458" s="19">
        <v>11</v>
      </c>
      <c r="H1458" s="13">
        <v>81588</v>
      </c>
      <c r="I1458" s="13" t="str">
        <f t="shared" si="100"/>
        <v>DISNEY</v>
      </c>
      <c r="J1458" s="13">
        <v>25702910</v>
      </c>
      <c r="K1458" s="13" t="s">
        <v>1697</v>
      </c>
      <c r="L1458" s="13" t="s">
        <v>1702</v>
      </c>
      <c r="M1458" s="17">
        <v>149900</v>
      </c>
      <c r="N1458" s="15">
        <v>0.75</v>
      </c>
      <c r="O1458" s="16">
        <f t="shared" si="101"/>
        <v>37475</v>
      </c>
      <c r="P1458" s="11" t="s">
        <v>20</v>
      </c>
    </row>
    <row r="1459" spans="1:16" x14ac:dyDescent="0.25">
      <c r="A1459" s="9" t="str">
        <f t="shared" si="104"/>
        <v>2024 ALL D75</v>
      </c>
      <c r="B1459" s="10">
        <f t="shared" si="104"/>
        <v>46104</v>
      </c>
      <c r="C1459" s="10">
        <v>46113</v>
      </c>
      <c r="D1459" s="11">
        <v>3273</v>
      </c>
      <c r="E1459" s="11">
        <v>336</v>
      </c>
      <c r="F1459" s="11">
        <v>4</v>
      </c>
      <c r="G1459" s="19">
        <v>11</v>
      </c>
      <c r="H1459" s="13">
        <v>81588</v>
      </c>
      <c r="I1459" s="13" t="str">
        <f t="shared" si="100"/>
        <v>DISNEY</v>
      </c>
      <c r="J1459" s="13">
        <v>25702929</v>
      </c>
      <c r="K1459" s="13" t="s">
        <v>1697</v>
      </c>
      <c r="L1459" s="13" t="s">
        <v>1703</v>
      </c>
      <c r="M1459" s="17">
        <v>149900</v>
      </c>
      <c r="N1459" s="15">
        <v>0.75</v>
      </c>
      <c r="O1459" s="16">
        <f t="shared" si="101"/>
        <v>37475</v>
      </c>
      <c r="P1459" s="11" t="s">
        <v>20</v>
      </c>
    </row>
    <row r="1460" spans="1:16" x14ac:dyDescent="0.25">
      <c r="A1460" s="9" t="str">
        <f t="shared" ref="A1460:B1475" si="105">A1459</f>
        <v>2024 ALL D75</v>
      </c>
      <c r="B1460" s="10">
        <f t="shared" si="105"/>
        <v>46104</v>
      </c>
      <c r="C1460" s="10">
        <v>46113</v>
      </c>
      <c r="D1460" s="11">
        <v>3273</v>
      </c>
      <c r="E1460" s="11">
        <v>336</v>
      </c>
      <c r="F1460" s="11">
        <v>4</v>
      </c>
      <c r="G1460" s="19">
        <v>11</v>
      </c>
      <c r="H1460" s="13">
        <v>81588</v>
      </c>
      <c r="I1460" s="13" t="str">
        <f t="shared" si="100"/>
        <v>DISNEY</v>
      </c>
      <c r="J1460" s="13">
        <v>25702938</v>
      </c>
      <c r="K1460" s="13" t="s">
        <v>1697</v>
      </c>
      <c r="L1460" s="13" t="s">
        <v>1704</v>
      </c>
      <c r="M1460" s="17">
        <v>149900</v>
      </c>
      <c r="N1460" s="15">
        <v>0.75</v>
      </c>
      <c r="O1460" s="16">
        <f t="shared" si="101"/>
        <v>37475</v>
      </c>
      <c r="P1460" s="11" t="s">
        <v>20</v>
      </c>
    </row>
    <row r="1461" spans="1:16" x14ac:dyDescent="0.25">
      <c r="A1461" s="9" t="str">
        <f t="shared" si="105"/>
        <v>2024 ALL D75</v>
      </c>
      <c r="B1461" s="10">
        <f t="shared" si="105"/>
        <v>46104</v>
      </c>
      <c r="C1461" s="10">
        <v>46113</v>
      </c>
      <c r="D1461" s="11">
        <v>3273</v>
      </c>
      <c r="E1461" s="11">
        <v>336</v>
      </c>
      <c r="F1461" s="11">
        <v>4</v>
      </c>
      <c r="G1461" s="19">
        <v>11</v>
      </c>
      <c r="H1461" s="13">
        <v>81588</v>
      </c>
      <c r="I1461" s="13" t="str">
        <f t="shared" ref="I1461:I1524" si="106">I1460</f>
        <v>DISNEY</v>
      </c>
      <c r="J1461" s="13">
        <v>25702947</v>
      </c>
      <c r="K1461" s="13" t="s">
        <v>1697</v>
      </c>
      <c r="L1461" s="13" t="s">
        <v>1705</v>
      </c>
      <c r="M1461" s="17">
        <v>149900</v>
      </c>
      <c r="N1461" s="15">
        <v>0.75</v>
      </c>
      <c r="O1461" s="16">
        <f t="shared" si="101"/>
        <v>37475</v>
      </c>
      <c r="P1461" s="11" t="s">
        <v>20</v>
      </c>
    </row>
    <row r="1462" spans="1:16" x14ac:dyDescent="0.25">
      <c r="A1462" s="9" t="str">
        <f t="shared" si="105"/>
        <v>2024 ALL D75</v>
      </c>
      <c r="B1462" s="10">
        <f t="shared" si="105"/>
        <v>46104</v>
      </c>
      <c r="C1462" s="10">
        <v>46113</v>
      </c>
      <c r="D1462" s="11">
        <v>3273</v>
      </c>
      <c r="E1462" s="11">
        <v>336</v>
      </c>
      <c r="F1462" s="11">
        <v>4</v>
      </c>
      <c r="G1462" s="19">
        <v>11</v>
      </c>
      <c r="H1462" s="13">
        <v>81676</v>
      </c>
      <c r="I1462" s="13" t="str">
        <f t="shared" si="106"/>
        <v>DISNEY</v>
      </c>
      <c r="J1462" s="13">
        <v>25702956</v>
      </c>
      <c r="K1462" s="13" t="s">
        <v>1706</v>
      </c>
      <c r="L1462" s="13" t="s">
        <v>1707</v>
      </c>
      <c r="M1462" s="17">
        <v>149900</v>
      </c>
      <c r="N1462" s="15">
        <v>0.75</v>
      </c>
      <c r="O1462" s="16">
        <f t="shared" si="101"/>
        <v>37475</v>
      </c>
      <c r="P1462" s="11" t="s">
        <v>20</v>
      </c>
    </row>
    <row r="1463" spans="1:16" x14ac:dyDescent="0.25">
      <c r="A1463" s="9" t="str">
        <f t="shared" si="105"/>
        <v>2024 ALL D75</v>
      </c>
      <c r="B1463" s="10">
        <f t="shared" si="105"/>
        <v>46104</v>
      </c>
      <c r="C1463" s="10">
        <v>46113</v>
      </c>
      <c r="D1463" s="11">
        <v>3273</v>
      </c>
      <c r="E1463" s="11">
        <v>336</v>
      </c>
      <c r="F1463" s="11">
        <v>4</v>
      </c>
      <c r="G1463" s="19">
        <v>11</v>
      </c>
      <c r="H1463" s="13">
        <v>81676</v>
      </c>
      <c r="I1463" s="13" t="str">
        <f t="shared" si="106"/>
        <v>DISNEY</v>
      </c>
      <c r="J1463" s="13">
        <v>25702965</v>
      </c>
      <c r="K1463" s="13" t="s">
        <v>1706</v>
      </c>
      <c r="L1463" s="13" t="s">
        <v>1708</v>
      </c>
      <c r="M1463" s="17">
        <v>149900</v>
      </c>
      <c r="N1463" s="15">
        <v>0.75</v>
      </c>
      <c r="O1463" s="16">
        <f t="shared" si="101"/>
        <v>37475</v>
      </c>
      <c r="P1463" s="11" t="s">
        <v>20</v>
      </c>
    </row>
    <row r="1464" spans="1:16" x14ac:dyDescent="0.25">
      <c r="A1464" s="9" t="str">
        <f t="shared" si="105"/>
        <v>2024 ALL D75</v>
      </c>
      <c r="B1464" s="10">
        <f t="shared" si="105"/>
        <v>46104</v>
      </c>
      <c r="C1464" s="10">
        <v>46113</v>
      </c>
      <c r="D1464" s="11">
        <v>3273</v>
      </c>
      <c r="E1464" s="11">
        <v>336</v>
      </c>
      <c r="F1464" s="11">
        <v>4</v>
      </c>
      <c r="G1464" s="19">
        <v>11</v>
      </c>
      <c r="H1464" s="13">
        <v>81676</v>
      </c>
      <c r="I1464" s="13" t="str">
        <f t="shared" si="106"/>
        <v>DISNEY</v>
      </c>
      <c r="J1464" s="13">
        <v>25702974</v>
      </c>
      <c r="K1464" s="13" t="s">
        <v>1706</v>
      </c>
      <c r="L1464" s="13" t="s">
        <v>1709</v>
      </c>
      <c r="M1464" s="17">
        <v>149900</v>
      </c>
      <c r="N1464" s="15">
        <v>0.75</v>
      </c>
      <c r="O1464" s="16">
        <f t="shared" si="101"/>
        <v>37475</v>
      </c>
      <c r="P1464" s="11" t="s">
        <v>20</v>
      </c>
    </row>
    <row r="1465" spans="1:16" x14ac:dyDescent="0.25">
      <c r="A1465" s="9" t="str">
        <f t="shared" si="105"/>
        <v>2024 ALL D75</v>
      </c>
      <c r="B1465" s="10">
        <f t="shared" si="105"/>
        <v>46104</v>
      </c>
      <c r="C1465" s="10">
        <v>46113</v>
      </c>
      <c r="D1465" s="11">
        <v>3273</v>
      </c>
      <c r="E1465" s="11">
        <v>336</v>
      </c>
      <c r="F1465" s="11">
        <v>4</v>
      </c>
      <c r="G1465" s="19">
        <v>11</v>
      </c>
      <c r="H1465" s="13">
        <v>81676</v>
      </c>
      <c r="I1465" s="13" t="str">
        <f t="shared" si="106"/>
        <v>DISNEY</v>
      </c>
      <c r="J1465" s="13">
        <v>25702983</v>
      </c>
      <c r="K1465" s="13" t="s">
        <v>1706</v>
      </c>
      <c r="L1465" s="13" t="s">
        <v>1710</v>
      </c>
      <c r="M1465" s="17">
        <v>149900</v>
      </c>
      <c r="N1465" s="15">
        <v>0.75</v>
      </c>
      <c r="O1465" s="16">
        <f t="shared" si="101"/>
        <v>37475</v>
      </c>
      <c r="P1465" s="11" t="s">
        <v>20</v>
      </c>
    </row>
    <row r="1466" spans="1:16" x14ac:dyDescent="0.25">
      <c r="A1466" s="9" t="str">
        <f t="shared" si="105"/>
        <v>2024 ALL D75</v>
      </c>
      <c r="B1466" s="10">
        <f t="shared" si="105"/>
        <v>46104</v>
      </c>
      <c r="C1466" s="10">
        <v>46113</v>
      </c>
      <c r="D1466" s="11">
        <v>3273</v>
      </c>
      <c r="E1466" s="11">
        <v>336</v>
      </c>
      <c r="F1466" s="11">
        <v>4</v>
      </c>
      <c r="G1466" s="19">
        <v>11</v>
      </c>
      <c r="H1466" s="13">
        <v>81676</v>
      </c>
      <c r="I1466" s="13" t="str">
        <f t="shared" si="106"/>
        <v>DISNEY</v>
      </c>
      <c r="J1466" s="13">
        <v>25702992</v>
      </c>
      <c r="K1466" s="13" t="s">
        <v>1706</v>
      </c>
      <c r="L1466" s="13" t="s">
        <v>1711</v>
      </c>
      <c r="M1466" s="17">
        <v>149900</v>
      </c>
      <c r="N1466" s="15">
        <v>0.75</v>
      </c>
      <c r="O1466" s="16">
        <f t="shared" si="101"/>
        <v>37475</v>
      </c>
      <c r="P1466" s="11" t="s">
        <v>20</v>
      </c>
    </row>
    <row r="1467" spans="1:16" x14ac:dyDescent="0.25">
      <c r="A1467" s="9" t="str">
        <f t="shared" si="105"/>
        <v>2024 ALL D75</v>
      </c>
      <c r="B1467" s="10">
        <f t="shared" si="105"/>
        <v>46104</v>
      </c>
      <c r="C1467" s="10">
        <v>46113</v>
      </c>
      <c r="D1467" s="11">
        <v>3273</v>
      </c>
      <c r="E1467" s="11">
        <v>336</v>
      </c>
      <c r="F1467" s="11">
        <v>4</v>
      </c>
      <c r="G1467" s="19">
        <v>11</v>
      </c>
      <c r="H1467" s="13">
        <v>81676</v>
      </c>
      <c r="I1467" s="13" t="str">
        <f t="shared" si="106"/>
        <v>DISNEY</v>
      </c>
      <c r="J1467" s="13">
        <v>25703008</v>
      </c>
      <c r="K1467" s="13" t="s">
        <v>1706</v>
      </c>
      <c r="L1467" s="13" t="s">
        <v>1712</v>
      </c>
      <c r="M1467" s="17">
        <v>149900</v>
      </c>
      <c r="N1467" s="15">
        <v>0.75</v>
      </c>
      <c r="O1467" s="16">
        <f t="shared" si="101"/>
        <v>37475</v>
      </c>
      <c r="P1467" s="11" t="s">
        <v>20</v>
      </c>
    </row>
    <row r="1468" spans="1:16" x14ac:dyDescent="0.25">
      <c r="A1468" s="9" t="str">
        <f t="shared" si="105"/>
        <v>2024 ALL D75</v>
      </c>
      <c r="B1468" s="10">
        <f t="shared" si="105"/>
        <v>46104</v>
      </c>
      <c r="C1468" s="10">
        <v>46113</v>
      </c>
      <c r="D1468" s="11">
        <v>3273</v>
      </c>
      <c r="E1468" s="11">
        <v>336</v>
      </c>
      <c r="F1468" s="11">
        <v>4</v>
      </c>
      <c r="G1468" s="19">
        <v>6</v>
      </c>
      <c r="H1468" s="13">
        <v>81588</v>
      </c>
      <c r="I1468" s="13" t="str">
        <f t="shared" si="106"/>
        <v>DISNEY</v>
      </c>
      <c r="J1468" s="13">
        <v>16100846</v>
      </c>
      <c r="K1468" s="13" t="s">
        <v>1713</v>
      </c>
      <c r="L1468" s="13" t="s">
        <v>1714</v>
      </c>
      <c r="M1468" s="17">
        <v>139900</v>
      </c>
      <c r="N1468" s="15">
        <v>0.75</v>
      </c>
      <c r="O1468" s="16">
        <f t="shared" si="101"/>
        <v>34975</v>
      </c>
      <c r="P1468" s="11" t="s">
        <v>20</v>
      </c>
    </row>
    <row r="1469" spans="1:16" x14ac:dyDescent="0.25">
      <c r="A1469" s="9" t="str">
        <f t="shared" si="105"/>
        <v>2024 ALL D75</v>
      </c>
      <c r="B1469" s="10">
        <f t="shared" si="105"/>
        <v>46104</v>
      </c>
      <c r="C1469" s="10">
        <v>46113</v>
      </c>
      <c r="D1469" s="11">
        <v>3273</v>
      </c>
      <c r="E1469" s="11">
        <v>336</v>
      </c>
      <c r="F1469" s="11">
        <v>4</v>
      </c>
      <c r="G1469" s="19">
        <v>6</v>
      </c>
      <c r="H1469" s="13">
        <v>81588</v>
      </c>
      <c r="I1469" s="13" t="str">
        <f t="shared" si="106"/>
        <v>DISNEY</v>
      </c>
      <c r="J1469" s="13">
        <v>16100855</v>
      </c>
      <c r="K1469" s="13" t="s">
        <v>1713</v>
      </c>
      <c r="L1469" s="13" t="s">
        <v>1715</v>
      </c>
      <c r="M1469" s="17">
        <v>139900</v>
      </c>
      <c r="N1469" s="15">
        <v>0.75</v>
      </c>
      <c r="O1469" s="16">
        <f t="shared" si="101"/>
        <v>34975</v>
      </c>
      <c r="P1469" s="11" t="s">
        <v>20</v>
      </c>
    </row>
    <row r="1470" spans="1:16" x14ac:dyDescent="0.25">
      <c r="A1470" s="9" t="str">
        <f t="shared" si="105"/>
        <v>2024 ALL D75</v>
      </c>
      <c r="B1470" s="10">
        <f t="shared" si="105"/>
        <v>46104</v>
      </c>
      <c r="C1470" s="10">
        <v>46113</v>
      </c>
      <c r="D1470" s="11">
        <v>3273</v>
      </c>
      <c r="E1470" s="11">
        <v>336</v>
      </c>
      <c r="F1470" s="11">
        <v>4</v>
      </c>
      <c r="G1470" s="19">
        <v>6</v>
      </c>
      <c r="H1470" s="13">
        <v>81588</v>
      </c>
      <c r="I1470" s="13" t="str">
        <f t="shared" si="106"/>
        <v>DISNEY</v>
      </c>
      <c r="J1470" s="13">
        <v>16100864</v>
      </c>
      <c r="K1470" s="13" t="s">
        <v>1713</v>
      </c>
      <c r="L1470" s="13" t="s">
        <v>1716</v>
      </c>
      <c r="M1470" s="17">
        <v>139900</v>
      </c>
      <c r="N1470" s="15">
        <v>0.75</v>
      </c>
      <c r="O1470" s="16">
        <f t="shared" si="101"/>
        <v>34975</v>
      </c>
      <c r="P1470" s="11" t="s">
        <v>20</v>
      </c>
    </row>
    <row r="1471" spans="1:16" x14ac:dyDescent="0.25">
      <c r="A1471" s="9" t="str">
        <f t="shared" si="105"/>
        <v>2024 ALL D75</v>
      </c>
      <c r="B1471" s="10">
        <f t="shared" si="105"/>
        <v>46104</v>
      </c>
      <c r="C1471" s="10">
        <v>46113</v>
      </c>
      <c r="D1471" s="11">
        <v>3273</v>
      </c>
      <c r="E1471" s="11">
        <v>336</v>
      </c>
      <c r="F1471" s="11">
        <v>4</v>
      </c>
      <c r="G1471" s="19">
        <v>6</v>
      </c>
      <c r="H1471" s="13">
        <v>81588</v>
      </c>
      <c r="I1471" s="13" t="str">
        <f t="shared" si="106"/>
        <v>DISNEY</v>
      </c>
      <c r="J1471" s="13">
        <v>16100873</v>
      </c>
      <c r="K1471" s="13" t="s">
        <v>1713</v>
      </c>
      <c r="L1471" s="13" t="s">
        <v>1717</v>
      </c>
      <c r="M1471" s="17">
        <v>139900</v>
      </c>
      <c r="N1471" s="15">
        <v>0.75</v>
      </c>
      <c r="O1471" s="16">
        <f t="shared" si="101"/>
        <v>34975</v>
      </c>
      <c r="P1471" s="11" t="s">
        <v>20</v>
      </c>
    </row>
    <row r="1472" spans="1:16" x14ac:dyDescent="0.25">
      <c r="A1472" s="9" t="str">
        <f t="shared" si="105"/>
        <v>2024 ALL D75</v>
      </c>
      <c r="B1472" s="10">
        <f t="shared" si="105"/>
        <v>46104</v>
      </c>
      <c r="C1472" s="10">
        <v>46113</v>
      </c>
      <c r="D1472" s="11">
        <v>3273</v>
      </c>
      <c r="E1472" s="11">
        <v>336</v>
      </c>
      <c r="F1472" s="11">
        <v>4</v>
      </c>
      <c r="G1472" s="19">
        <v>6</v>
      </c>
      <c r="H1472" s="13">
        <v>81588</v>
      </c>
      <c r="I1472" s="13" t="str">
        <f t="shared" si="106"/>
        <v>DISNEY</v>
      </c>
      <c r="J1472" s="13">
        <v>16100882</v>
      </c>
      <c r="K1472" s="13" t="s">
        <v>1713</v>
      </c>
      <c r="L1472" s="13" t="s">
        <v>1718</v>
      </c>
      <c r="M1472" s="17">
        <v>139900</v>
      </c>
      <c r="N1472" s="15">
        <v>0.75</v>
      </c>
      <c r="O1472" s="16">
        <f t="shared" si="101"/>
        <v>34975</v>
      </c>
      <c r="P1472" s="11" t="s">
        <v>20</v>
      </c>
    </row>
    <row r="1473" spans="1:16" x14ac:dyDescent="0.25">
      <c r="A1473" s="9" t="str">
        <f t="shared" si="105"/>
        <v>2024 ALL D75</v>
      </c>
      <c r="B1473" s="10">
        <f t="shared" si="105"/>
        <v>46104</v>
      </c>
      <c r="C1473" s="10">
        <v>46113</v>
      </c>
      <c r="D1473" s="11">
        <v>3273</v>
      </c>
      <c r="E1473" s="11">
        <v>336</v>
      </c>
      <c r="F1473" s="11">
        <v>4</v>
      </c>
      <c r="G1473" s="19">
        <v>6</v>
      </c>
      <c r="H1473" s="13">
        <v>81588</v>
      </c>
      <c r="I1473" s="13" t="str">
        <f t="shared" si="106"/>
        <v>DISNEY</v>
      </c>
      <c r="J1473" s="13">
        <v>16100891</v>
      </c>
      <c r="K1473" s="13" t="s">
        <v>1713</v>
      </c>
      <c r="L1473" s="13" t="s">
        <v>1719</v>
      </c>
      <c r="M1473" s="17">
        <v>139900</v>
      </c>
      <c r="N1473" s="15">
        <v>0.75</v>
      </c>
      <c r="O1473" s="16">
        <f t="shared" si="101"/>
        <v>34975</v>
      </c>
      <c r="P1473" s="11" t="s">
        <v>20</v>
      </c>
    </row>
    <row r="1474" spans="1:16" x14ac:dyDescent="0.25">
      <c r="A1474" s="9" t="str">
        <f t="shared" si="105"/>
        <v>2024 ALL D75</v>
      </c>
      <c r="B1474" s="10">
        <f t="shared" si="105"/>
        <v>46104</v>
      </c>
      <c r="C1474" s="10">
        <v>46113</v>
      </c>
      <c r="D1474" s="11">
        <v>3273</v>
      </c>
      <c r="E1474" s="11">
        <v>336</v>
      </c>
      <c r="F1474" s="11">
        <v>4</v>
      </c>
      <c r="G1474" s="19">
        <v>6</v>
      </c>
      <c r="H1474" s="13">
        <v>81588</v>
      </c>
      <c r="I1474" s="13" t="str">
        <f t="shared" si="106"/>
        <v>DISNEY</v>
      </c>
      <c r="J1474" s="13">
        <v>16100908</v>
      </c>
      <c r="K1474" s="13" t="s">
        <v>1713</v>
      </c>
      <c r="L1474" s="13" t="s">
        <v>1720</v>
      </c>
      <c r="M1474" s="17">
        <v>139900</v>
      </c>
      <c r="N1474" s="15">
        <v>0.75</v>
      </c>
      <c r="O1474" s="16">
        <f t="shared" ref="O1474:O1537" si="107">M1474*(1-N1474)</f>
        <v>34975</v>
      </c>
      <c r="P1474" s="11" t="s">
        <v>20</v>
      </c>
    </row>
    <row r="1475" spans="1:16" x14ac:dyDescent="0.25">
      <c r="A1475" s="9" t="str">
        <f t="shared" si="105"/>
        <v>2024 ALL D75</v>
      </c>
      <c r="B1475" s="10">
        <f t="shared" si="105"/>
        <v>46104</v>
      </c>
      <c r="C1475" s="10">
        <v>46113</v>
      </c>
      <c r="D1475" s="11">
        <v>3273</v>
      </c>
      <c r="E1475" s="11">
        <v>336</v>
      </c>
      <c r="F1475" s="11">
        <v>4</v>
      </c>
      <c r="G1475" s="19">
        <v>6</v>
      </c>
      <c r="H1475" s="13">
        <v>81588</v>
      </c>
      <c r="I1475" s="13" t="str">
        <f t="shared" si="106"/>
        <v>DISNEY</v>
      </c>
      <c r="J1475" s="13">
        <v>16100917</v>
      </c>
      <c r="K1475" s="13" t="s">
        <v>1713</v>
      </c>
      <c r="L1475" s="13" t="s">
        <v>1721</v>
      </c>
      <c r="M1475" s="17">
        <v>139900</v>
      </c>
      <c r="N1475" s="15">
        <v>0.75</v>
      </c>
      <c r="O1475" s="16">
        <f t="shared" si="107"/>
        <v>34975</v>
      </c>
      <c r="P1475" s="11" t="s">
        <v>20</v>
      </c>
    </row>
    <row r="1476" spans="1:16" x14ac:dyDescent="0.25">
      <c r="A1476" s="9" t="str">
        <f t="shared" ref="A1476:B1491" si="108">A1475</f>
        <v>2024 ALL D75</v>
      </c>
      <c r="B1476" s="10">
        <f t="shared" si="108"/>
        <v>46104</v>
      </c>
      <c r="C1476" s="10">
        <v>46113</v>
      </c>
      <c r="D1476" s="11">
        <v>3273</v>
      </c>
      <c r="E1476" s="11">
        <v>336</v>
      </c>
      <c r="F1476" s="11">
        <v>4</v>
      </c>
      <c r="G1476" s="19">
        <v>6</v>
      </c>
      <c r="H1476" s="13">
        <v>81588</v>
      </c>
      <c r="I1476" s="13" t="str">
        <f t="shared" si="106"/>
        <v>DISNEY</v>
      </c>
      <c r="J1476" s="13">
        <v>25703017</v>
      </c>
      <c r="K1476" s="13" t="s">
        <v>1722</v>
      </c>
      <c r="L1476" s="13" t="s">
        <v>1723</v>
      </c>
      <c r="M1476" s="17">
        <v>149900</v>
      </c>
      <c r="N1476" s="15">
        <v>0.75</v>
      </c>
      <c r="O1476" s="16">
        <f t="shared" si="107"/>
        <v>37475</v>
      </c>
      <c r="P1476" s="11" t="s">
        <v>20</v>
      </c>
    </row>
    <row r="1477" spans="1:16" x14ac:dyDescent="0.25">
      <c r="A1477" s="9" t="str">
        <f t="shared" si="108"/>
        <v>2024 ALL D75</v>
      </c>
      <c r="B1477" s="10">
        <f t="shared" si="108"/>
        <v>46104</v>
      </c>
      <c r="C1477" s="10">
        <v>46113</v>
      </c>
      <c r="D1477" s="11">
        <v>3273</v>
      </c>
      <c r="E1477" s="11">
        <v>336</v>
      </c>
      <c r="F1477" s="11">
        <v>4</v>
      </c>
      <c r="G1477" s="19">
        <v>6</v>
      </c>
      <c r="H1477" s="13">
        <v>81588</v>
      </c>
      <c r="I1477" s="13" t="str">
        <f t="shared" si="106"/>
        <v>DISNEY</v>
      </c>
      <c r="J1477" s="13">
        <v>25703026</v>
      </c>
      <c r="K1477" s="13" t="s">
        <v>1722</v>
      </c>
      <c r="L1477" s="13" t="s">
        <v>1724</v>
      </c>
      <c r="M1477" s="17">
        <v>149900</v>
      </c>
      <c r="N1477" s="15">
        <v>0.75</v>
      </c>
      <c r="O1477" s="16">
        <f t="shared" si="107"/>
        <v>37475</v>
      </c>
      <c r="P1477" s="11" t="s">
        <v>20</v>
      </c>
    </row>
    <row r="1478" spans="1:16" x14ac:dyDescent="0.25">
      <c r="A1478" s="9" t="str">
        <f t="shared" si="108"/>
        <v>2024 ALL D75</v>
      </c>
      <c r="B1478" s="10">
        <f t="shared" si="108"/>
        <v>46104</v>
      </c>
      <c r="C1478" s="10">
        <v>46113</v>
      </c>
      <c r="D1478" s="11">
        <v>3273</v>
      </c>
      <c r="E1478" s="11">
        <v>336</v>
      </c>
      <c r="F1478" s="11">
        <v>4</v>
      </c>
      <c r="G1478" s="19">
        <v>6</v>
      </c>
      <c r="H1478" s="13">
        <v>81588</v>
      </c>
      <c r="I1478" s="13" t="str">
        <f t="shared" si="106"/>
        <v>DISNEY</v>
      </c>
      <c r="J1478" s="13">
        <v>25703035</v>
      </c>
      <c r="K1478" s="13" t="s">
        <v>1722</v>
      </c>
      <c r="L1478" s="13" t="s">
        <v>1725</v>
      </c>
      <c r="M1478" s="17">
        <v>149900</v>
      </c>
      <c r="N1478" s="15">
        <v>0.75</v>
      </c>
      <c r="O1478" s="16">
        <f t="shared" si="107"/>
        <v>37475</v>
      </c>
      <c r="P1478" s="11" t="s">
        <v>20</v>
      </c>
    </row>
    <row r="1479" spans="1:16" x14ac:dyDescent="0.25">
      <c r="A1479" s="9" t="str">
        <f t="shared" si="108"/>
        <v>2024 ALL D75</v>
      </c>
      <c r="B1479" s="10">
        <f t="shared" si="108"/>
        <v>46104</v>
      </c>
      <c r="C1479" s="10">
        <v>46113</v>
      </c>
      <c r="D1479" s="11">
        <v>3273</v>
      </c>
      <c r="E1479" s="11">
        <v>336</v>
      </c>
      <c r="F1479" s="11">
        <v>4</v>
      </c>
      <c r="G1479" s="19">
        <v>6</v>
      </c>
      <c r="H1479" s="13">
        <v>81588</v>
      </c>
      <c r="I1479" s="13" t="str">
        <f t="shared" si="106"/>
        <v>DISNEY</v>
      </c>
      <c r="J1479" s="13">
        <v>25703044</v>
      </c>
      <c r="K1479" s="13" t="s">
        <v>1722</v>
      </c>
      <c r="L1479" s="13" t="s">
        <v>1726</v>
      </c>
      <c r="M1479" s="17">
        <v>149900</v>
      </c>
      <c r="N1479" s="15">
        <v>0.75</v>
      </c>
      <c r="O1479" s="16">
        <f t="shared" si="107"/>
        <v>37475</v>
      </c>
      <c r="P1479" s="11" t="s">
        <v>20</v>
      </c>
    </row>
    <row r="1480" spans="1:16" x14ac:dyDescent="0.25">
      <c r="A1480" s="9" t="str">
        <f t="shared" si="108"/>
        <v>2024 ALL D75</v>
      </c>
      <c r="B1480" s="10">
        <f t="shared" si="108"/>
        <v>46104</v>
      </c>
      <c r="C1480" s="10">
        <v>46113</v>
      </c>
      <c r="D1480" s="11">
        <v>3273</v>
      </c>
      <c r="E1480" s="11">
        <v>336</v>
      </c>
      <c r="F1480" s="11">
        <v>4</v>
      </c>
      <c r="G1480" s="19">
        <v>6</v>
      </c>
      <c r="H1480" s="13">
        <v>81588</v>
      </c>
      <c r="I1480" s="13" t="str">
        <f t="shared" si="106"/>
        <v>DISNEY</v>
      </c>
      <c r="J1480" s="13">
        <v>25703053</v>
      </c>
      <c r="K1480" s="13" t="s">
        <v>1722</v>
      </c>
      <c r="L1480" s="13" t="s">
        <v>1727</v>
      </c>
      <c r="M1480" s="17">
        <v>149900</v>
      </c>
      <c r="N1480" s="15">
        <v>0.75</v>
      </c>
      <c r="O1480" s="16">
        <f t="shared" si="107"/>
        <v>37475</v>
      </c>
      <c r="P1480" s="11" t="s">
        <v>20</v>
      </c>
    </row>
    <row r="1481" spans="1:16" x14ac:dyDescent="0.25">
      <c r="A1481" s="9" t="str">
        <f t="shared" si="108"/>
        <v>2024 ALL D75</v>
      </c>
      <c r="B1481" s="10">
        <f t="shared" si="108"/>
        <v>46104</v>
      </c>
      <c r="C1481" s="10">
        <v>46113</v>
      </c>
      <c r="D1481" s="11">
        <v>3273</v>
      </c>
      <c r="E1481" s="11">
        <v>336</v>
      </c>
      <c r="F1481" s="11">
        <v>4</v>
      </c>
      <c r="G1481" s="19">
        <v>6</v>
      </c>
      <c r="H1481" s="13">
        <v>81588</v>
      </c>
      <c r="I1481" s="13" t="str">
        <f t="shared" si="106"/>
        <v>DISNEY</v>
      </c>
      <c r="J1481" s="13">
        <v>25703062</v>
      </c>
      <c r="K1481" s="13" t="s">
        <v>1722</v>
      </c>
      <c r="L1481" s="13" t="s">
        <v>1728</v>
      </c>
      <c r="M1481" s="17">
        <v>149900</v>
      </c>
      <c r="N1481" s="15">
        <v>0.75</v>
      </c>
      <c r="O1481" s="16">
        <f t="shared" si="107"/>
        <v>37475</v>
      </c>
      <c r="P1481" s="11" t="s">
        <v>20</v>
      </c>
    </row>
    <row r="1482" spans="1:16" x14ac:dyDescent="0.25">
      <c r="A1482" s="9" t="str">
        <f t="shared" si="108"/>
        <v>2024 ALL D75</v>
      </c>
      <c r="B1482" s="10">
        <f t="shared" si="108"/>
        <v>46104</v>
      </c>
      <c r="C1482" s="10">
        <v>46113</v>
      </c>
      <c r="D1482" s="11">
        <v>3273</v>
      </c>
      <c r="E1482" s="11">
        <v>336</v>
      </c>
      <c r="F1482" s="11">
        <v>4</v>
      </c>
      <c r="G1482" s="19">
        <v>6</v>
      </c>
      <c r="H1482" s="13">
        <v>81588</v>
      </c>
      <c r="I1482" s="13" t="str">
        <f t="shared" si="106"/>
        <v>DISNEY</v>
      </c>
      <c r="J1482" s="13">
        <v>25703071</v>
      </c>
      <c r="K1482" s="13" t="s">
        <v>1722</v>
      </c>
      <c r="L1482" s="13" t="s">
        <v>1729</v>
      </c>
      <c r="M1482" s="17">
        <v>149900</v>
      </c>
      <c r="N1482" s="15">
        <v>0.75</v>
      </c>
      <c r="O1482" s="16">
        <f t="shared" si="107"/>
        <v>37475</v>
      </c>
      <c r="P1482" s="11" t="s">
        <v>20</v>
      </c>
    </row>
    <row r="1483" spans="1:16" x14ac:dyDescent="0.25">
      <c r="A1483" s="9" t="str">
        <f t="shared" si="108"/>
        <v>2024 ALL D75</v>
      </c>
      <c r="B1483" s="10">
        <f t="shared" si="108"/>
        <v>46104</v>
      </c>
      <c r="C1483" s="10">
        <v>46113</v>
      </c>
      <c r="D1483" s="11">
        <v>3273</v>
      </c>
      <c r="E1483" s="11">
        <v>336</v>
      </c>
      <c r="F1483" s="11">
        <v>4</v>
      </c>
      <c r="G1483" s="19">
        <v>6</v>
      </c>
      <c r="H1483" s="13">
        <v>81588</v>
      </c>
      <c r="I1483" s="13" t="str">
        <f t="shared" si="106"/>
        <v>DISNEY</v>
      </c>
      <c r="J1483" s="13">
        <v>25703080</v>
      </c>
      <c r="K1483" s="13" t="s">
        <v>1722</v>
      </c>
      <c r="L1483" s="13" t="s">
        <v>1730</v>
      </c>
      <c r="M1483" s="17">
        <v>149900</v>
      </c>
      <c r="N1483" s="15">
        <v>0.75</v>
      </c>
      <c r="O1483" s="16">
        <f t="shared" si="107"/>
        <v>37475</v>
      </c>
      <c r="P1483" s="11" t="s">
        <v>20</v>
      </c>
    </row>
    <row r="1484" spans="1:16" x14ac:dyDescent="0.25">
      <c r="A1484" s="9" t="str">
        <f t="shared" si="108"/>
        <v>2024 ALL D75</v>
      </c>
      <c r="B1484" s="10">
        <f t="shared" si="108"/>
        <v>46104</v>
      </c>
      <c r="C1484" s="10">
        <v>46113</v>
      </c>
      <c r="D1484" s="11">
        <v>3273</v>
      </c>
      <c r="E1484" s="11">
        <v>336</v>
      </c>
      <c r="F1484" s="11">
        <v>4</v>
      </c>
      <c r="G1484" s="19">
        <v>6</v>
      </c>
      <c r="H1484" s="13">
        <v>81588</v>
      </c>
      <c r="I1484" s="13" t="str">
        <f t="shared" si="106"/>
        <v>DISNEY</v>
      </c>
      <c r="J1484" s="13">
        <v>25703099</v>
      </c>
      <c r="K1484" s="13" t="s">
        <v>1731</v>
      </c>
      <c r="L1484" s="13" t="s">
        <v>1732</v>
      </c>
      <c r="M1484" s="17">
        <v>149900</v>
      </c>
      <c r="N1484" s="15">
        <v>0.75</v>
      </c>
      <c r="O1484" s="16">
        <f t="shared" si="107"/>
        <v>37475</v>
      </c>
      <c r="P1484" s="11" t="s">
        <v>20</v>
      </c>
    </row>
    <row r="1485" spans="1:16" x14ac:dyDescent="0.25">
      <c r="A1485" s="9" t="str">
        <f t="shared" si="108"/>
        <v>2024 ALL D75</v>
      </c>
      <c r="B1485" s="10">
        <f t="shared" si="108"/>
        <v>46104</v>
      </c>
      <c r="C1485" s="10">
        <v>46113</v>
      </c>
      <c r="D1485" s="11">
        <v>3273</v>
      </c>
      <c r="E1485" s="11">
        <v>336</v>
      </c>
      <c r="F1485" s="11">
        <v>4</v>
      </c>
      <c r="G1485" s="19">
        <v>6</v>
      </c>
      <c r="H1485" s="13">
        <v>81588</v>
      </c>
      <c r="I1485" s="13" t="str">
        <f t="shared" si="106"/>
        <v>DISNEY</v>
      </c>
      <c r="J1485" s="13">
        <v>25703106</v>
      </c>
      <c r="K1485" s="13" t="s">
        <v>1731</v>
      </c>
      <c r="L1485" s="13" t="s">
        <v>1733</v>
      </c>
      <c r="M1485" s="17">
        <v>149900</v>
      </c>
      <c r="N1485" s="15">
        <v>0.75</v>
      </c>
      <c r="O1485" s="16">
        <f t="shared" si="107"/>
        <v>37475</v>
      </c>
      <c r="P1485" s="11" t="s">
        <v>20</v>
      </c>
    </row>
    <row r="1486" spans="1:16" x14ac:dyDescent="0.25">
      <c r="A1486" s="9" t="str">
        <f t="shared" si="108"/>
        <v>2024 ALL D75</v>
      </c>
      <c r="B1486" s="10">
        <f t="shared" si="108"/>
        <v>46104</v>
      </c>
      <c r="C1486" s="10">
        <v>46113</v>
      </c>
      <c r="D1486" s="11">
        <v>3273</v>
      </c>
      <c r="E1486" s="11">
        <v>336</v>
      </c>
      <c r="F1486" s="11">
        <v>4</v>
      </c>
      <c r="G1486" s="19">
        <v>6</v>
      </c>
      <c r="H1486" s="13">
        <v>81588</v>
      </c>
      <c r="I1486" s="13" t="str">
        <f t="shared" si="106"/>
        <v>DISNEY</v>
      </c>
      <c r="J1486" s="13">
        <v>25703115</v>
      </c>
      <c r="K1486" s="13" t="s">
        <v>1731</v>
      </c>
      <c r="L1486" s="13" t="s">
        <v>1734</v>
      </c>
      <c r="M1486" s="17">
        <v>149900</v>
      </c>
      <c r="N1486" s="15">
        <v>0.75</v>
      </c>
      <c r="O1486" s="16">
        <f t="shared" si="107"/>
        <v>37475</v>
      </c>
      <c r="P1486" s="11" t="s">
        <v>20</v>
      </c>
    </row>
    <row r="1487" spans="1:16" x14ac:dyDescent="0.25">
      <c r="A1487" s="9" t="str">
        <f t="shared" si="108"/>
        <v>2024 ALL D75</v>
      </c>
      <c r="B1487" s="10">
        <f t="shared" si="108"/>
        <v>46104</v>
      </c>
      <c r="C1487" s="10">
        <v>46113</v>
      </c>
      <c r="D1487" s="11">
        <v>3273</v>
      </c>
      <c r="E1487" s="11">
        <v>336</v>
      </c>
      <c r="F1487" s="11">
        <v>4</v>
      </c>
      <c r="G1487" s="19">
        <v>6</v>
      </c>
      <c r="H1487" s="13">
        <v>81588</v>
      </c>
      <c r="I1487" s="13" t="str">
        <f t="shared" si="106"/>
        <v>DISNEY</v>
      </c>
      <c r="J1487" s="13">
        <v>25703124</v>
      </c>
      <c r="K1487" s="13" t="s">
        <v>1731</v>
      </c>
      <c r="L1487" s="13" t="s">
        <v>1735</v>
      </c>
      <c r="M1487" s="17">
        <v>149900</v>
      </c>
      <c r="N1487" s="15">
        <v>0.75</v>
      </c>
      <c r="O1487" s="16">
        <f t="shared" si="107"/>
        <v>37475</v>
      </c>
      <c r="P1487" s="11" t="s">
        <v>20</v>
      </c>
    </row>
    <row r="1488" spans="1:16" x14ac:dyDescent="0.25">
      <c r="A1488" s="9" t="str">
        <f t="shared" si="108"/>
        <v>2024 ALL D75</v>
      </c>
      <c r="B1488" s="10">
        <f t="shared" si="108"/>
        <v>46104</v>
      </c>
      <c r="C1488" s="10">
        <v>46113</v>
      </c>
      <c r="D1488" s="11">
        <v>3273</v>
      </c>
      <c r="E1488" s="11">
        <v>336</v>
      </c>
      <c r="F1488" s="11">
        <v>4</v>
      </c>
      <c r="G1488" s="19">
        <v>6</v>
      </c>
      <c r="H1488" s="13">
        <v>81588</v>
      </c>
      <c r="I1488" s="13" t="str">
        <f t="shared" si="106"/>
        <v>DISNEY</v>
      </c>
      <c r="J1488" s="13">
        <v>25703133</v>
      </c>
      <c r="K1488" s="13" t="s">
        <v>1731</v>
      </c>
      <c r="L1488" s="13" t="s">
        <v>1736</v>
      </c>
      <c r="M1488" s="17">
        <v>149900</v>
      </c>
      <c r="N1488" s="15">
        <v>0.75</v>
      </c>
      <c r="O1488" s="16">
        <f t="shared" si="107"/>
        <v>37475</v>
      </c>
      <c r="P1488" s="11" t="s">
        <v>20</v>
      </c>
    </row>
    <row r="1489" spans="1:16" x14ac:dyDescent="0.25">
      <c r="A1489" s="9" t="str">
        <f t="shared" si="108"/>
        <v>2024 ALL D75</v>
      </c>
      <c r="B1489" s="10">
        <f t="shared" si="108"/>
        <v>46104</v>
      </c>
      <c r="C1489" s="10">
        <v>46113</v>
      </c>
      <c r="D1489" s="11">
        <v>3273</v>
      </c>
      <c r="E1489" s="11">
        <v>336</v>
      </c>
      <c r="F1489" s="11">
        <v>4</v>
      </c>
      <c r="G1489" s="19">
        <v>6</v>
      </c>
      <c r="H1489" s="13">
        <v>81588</v>
      </c>
      <c r="I1489" s="13" t="str">
        <f t="shared" si="106"/>
        <v>DISNEY</v>
      </c>
      <c r="J1489" s="13">
        <v>25703142</v>
      </c>
      <c r="K1489" s="13" t="s">
        <v>1731</v>
      </c>
      <c r="L1489" s="13" t="s">
        <v>1737</v>
      </c>
      <c r="M1489" s="17">
        <v>149900</v>
      </c>
      <c r="N1489" s="15">
        <v>0.75</v>
      </c>
      <c r="O1489" s="16">
        <f t="shared" si="107"/>
        <v>37475</v>
      </c>
      <c r="P1489" s="11" t="s">
        <v>20</v>
      </c>
    </row>
    <row r="1490" spans="1:16" x14ac:dyDescent="0.25">
      <c r="A1490" s="9" t="str">
        <f t="shared" si="108"/>
        <v>2024 ALL D75</v>
      </c>
      <c r="B1490" s="10">
        <f t="shared" si="108"/>
        <v>46104</v>
      </c>
      <c r="C1490" s="10">
        <v>46113</v>
      </c>
      <c r="D1490" s="11">
        <v>3273</v>
      </c>
      <c r="E1490" s="11">
        <v>336</v>
      </c>
      <c r="F1490" s="11">
        <v>4</v>
      </c>
      <c r="G1490" s="19">
        <v>6</v>
      </c>
      <c r="H1490" s="13">
        <v>81588</v>
      </c>
      <c r="I1490" s="13" t="str">
        <f t="shared" si="106"/>
        <v>DISNEY</v>
      </c>
      <c r="J1490" s="13">
        <v>25703151</v>
      </c>
      <c r="K1490" s="13" t="s">
        <v>1738</v>
      </c>
      <c r="L1490" s="13" t="s">
        <v>1739</v>
      </c>
      <c r="M1490" s="17">
        <v>149900</v>
      </c>
      <c r="N1490" s="15">
        <v>0.75</v>
      </c>
      <c r="O1490" s="16">
        <f t="shared" si="107"/>
        <v>37475</v>
      </c>
      <c r="P1490" s="11" t="s">
        <v>20</v>
      </c>
    </row>
    <row r="1491" spans="1:16" x14ac:dyDescent="0.25">
      <c r="A1491" s="9" t="str">
        <f t="shared" si="108"/>
        <v>2024 ALL D75</v>
      </c>
      <c r="B1491" s="10">
        <f t="shared" si="108"/>
        <v>46104</v>
      </c>
      <c r="C1491" s="10">
        <v>46113</v>
      </c>
      <c r="D1491" s="11">
        <v>3273</v>
      </c>
      <c r="E1491" s="11">
        <v>336</v>
      </c>
      <c r="F1491" s="11">
        <v>4</v>
      </c>
      <c r="G1491" s="19">
        <v>6</v>
      </c>
      <c r="H1491" s="13">
        <v>81588</v>
      </c>
      <c r="I1491" s="13" t="str">
        <f t="shared" si="106"/>
        <v>DISNEY</v>
      </c>
      <c r="J1491" s="13">
        <v>25703160</v>
      </c>
      <c r="K1491" s="13" t="s">
        <v>1738</v>
      </c>
      <c r="L1491" s="13" t="s">
        <v>1740</v>
      </c>
      <c r="M1491" s="17">
        <v>149900</v>
      </c>
      <c r="N1491" s="15">
        <v>0.75</v>
      </c>
      <c r="O1491" s="16">
        <f t="shared" si="107"/>
        <v>37475</v>
      </c>
      <c r="P1491" s="11" t="s">
        <v>20</v>
      </c>
    </row>
    <row r="1492" spans="1:16" x14ac:dyDescent="0.25">
      <c r="A1492" s="9" t="str">
        <f t="shared" ref="A1492:B1507" si="109">A1491</f>
        <v>2024 ALL D75</v>
      </c>
      <c r="B1492" s="10">
        <f t="shared" si="109"/>
        <v>46104</v>
      </c>
      <c r="C1492" s="10">
        <v>46113</v>
      </c>
      <c r="D1492" s="11">
        <v>3273</v>
      </c>
      <c r="E1492" s="11">
        <v>336</v>
      </c>
      <c r="F1492" s="11">
        <v>4</v>
      </c>
      <c r="G1492" s="19">
        <v>6</v>
      </c>
      <c r="H1492" s="13">
        <v>81588</v>
      </c>
      <c r="I1492" s="13" t="str">
        <f t="shared" si="106"/>
        <v>DISNEY</v>
      </c>
      <c r="J1492" s="13">
        <v>25703179</v>
      </c>
      <c r="K1492" s="13" t="s">
        <v>1738</v>
      </c>
      <c r="L1492" s="13" t="s">
        <v>1741</v>
      </c>
      <c r="M1492" s="17">
        <v>149900</v>
      </c>
      <c r="N1492" s="15">
        <v>0.75</v>
      </c>
      <c r="O1492" s="16">
        <f t="shared" si="107"/>
        <v>37475</v>
      </c>
      <c r="P1492" s="11" t="s">
        <v>20</v>
      </c>
    </row>
    <row r="1493" spans="1:16" x14ac:dyDescent="0.25">
      <c r="A1493" s="9" t="str">
        <f t="shared" si="109"/>
        <v>2024 ALL D75</v>
      </c>
      <c r="B1493" s="10">
        <f t="shared" si="109"/>
        <v>46104</v>
      </c>
      <c r="C1493" s="10">
        <v>46113</v>
      </c>
      <c r="D1493" s="11">
        <v>3273</v>
      </c>
      <c r="E1493" s="11">
        <v>336</v>
      </c>
      <c r="F1493" s="11">
        <v>4</v>
      </c>
      <c r="G1493" s="19">
        <v>6</v>
      </c>
      <c r="H1493" s="13">
        <v>81588</v>
      </c>
      <c r="I1493" s="13" t="str">
        <f t="shared" si="106"/>
        <v>DISNEY</v>
      </c>
      <c r="J1493" s="13">
        <v>25703188</v>
      </c>
      <c r="K1493" s="13" t="s">
        <v>1738</v>
      </c>
      <c r="L1493" s="13" t="s">
        <v>1742</v>
      </c>
      <c r="M1493" s="17">
        <v>149900</v>
      </c>
      <c r="N1493" s="15">
        <v>0.75</v>
      </c>
      <c r="O1493" s="16">
        <f t="shared" si="107"/>
        <v>37475</v>
      </c>
      <c r="P1493" s="11" t="s">
        <v>20</v>
      </c>
    </row>
    <row r="1494" spans="1:16" x14ac:dyDescent="0.25">
      <c r="A1494" s="9" t="str">
        <f t="shared" si="109"/>
        <v>2024 ALL D75</v>
      </c>
      <c r="B1494" s="10">
        <f t="shared" si="109"/>
        <v>46104</v>
      </c>
      <c r="C1494" s="10">
        <v>46113</v>
      </c>
      <c r="D1494" s="11">
        <v>3273</v>
      </c>
      <c r="E1494" s="11">
        <v>336</v>
      </c>
      <c r="F1494" s="11">
        <v>4</v>
      </c>
      <c r="G1494" s="19">
        <v>6</v>
      </c>
      <c r="H1494" s="13">
        <v>81588</v>
      </c>
      <c r="I1494" s="13" t="str">
        <f t="shared" si="106"/>
        <v>DISNEY</v>
      </c>
      <c r="J1494" s="13">
        <v>25703197</v>
      </c>
      <c r="K1494" s="13" t="s">
        <v>1738</v>
      </c>
      <c r="L1494" s="13" t="s">
        <v>1743</v>
      </c>
      <c r="M1494" s="17">
        <v>149900</v>
      </c>
      <c r="N1494" s="15">
        <v>0.75</v>
      </c>
      <c r="O1494" s="16">
        <f t="shared" si="107"/>
        <v>37475</v>
      </c>
      <c r="P1494" s="11" t="s">
        <v>20</v>
      </c>
    </row>
    <row r="1495" spans="1:16" x14ac:dyDescent="0.25">
      <c r="A1495" s="9" t="str">
        <f t="shared" si="109"/>
        <v>2024 ALL D75</v>
      </c>
      <c r="B1495" s="10">
        <f t="shared" si="109"/>
        <v>46104</v>
      </c>
      <c r="C1495" s="10">
        <v>46113</v>
      </c>
      <c r="D1495" s="11">
        <v>3273</v>
      </c>
      <c r="E1495" s="11">
        <v>336</v>
      </c>
      <c r="F1495" s="11">
        <v>4</v>
      </c>
      <c r="G1495" s="19">
        <v>6</v>
      </c>
      <c r="H1495" s="13">
        <v>81588</v>
      </c>
      <c r="I1495" s="13" t="str">
        <f t="shared" si="106"/>
        <v>DISNEY</v>
      </c>
      <c r="J1495" s="13">
        <v>25703204</v>
      </c>
      <c r="K1495" s="13" t="s">
        <v>1738</v>
      </c>
      <c r="L1495" s="13" t="s">
        <v>1744</v>
      </c>
      <c r="M1495" s="17">
        <v>149900</v>
      </c>
      <c r="N1495" s="15">
        <v>0.75</v>
      </c>
      <c r="O1495" s="16">
        <f t="shared" si="107"/>
        <v>37475</v>
      </c>
      <c r="P1495" s="11" t="s">
        <v>20</v>
      </c>
    </row>
    <row r="1496" spans="1:16" x14ac:dyDescent="0.25">
      <c r="A1496" s="9" t="str">
        <f t="shared" si="109"/>
        <v>2024 ALL D75</v>
      </c>
      <c r="B1496" s="10">
        <f t="shared" si="109"/>
        <v>46104</v>
      </c>
      <c r="C1496" s="10">
        <v>46113</v>
      </c>
      <c r="D1496" s="11">
        <v>3273</v>
      </c>
      <c r="E1496" s="11">
        <v>336</v>
      </c>
      <c r="F1496" s="11">
        <v>4</v>
      </c>
      <c r="G1496" s="19">
        <v>6</v>
      </c>
      <c r="H1496" s="13">
        <v>81588</v>
      </c>
      <c r="I1496" s="13" t="str">
        <f t="shared" si="106"/>
        <v>DISNEY</v>
      </c>
      <c r="J1496" s="13">
        <v>25703213</v>
      </c>
      <c r="K1496" s="13" t="s">
        <v>1738</v>
      </c>
      <c r="L1496" s="13" t="s">
        <v>1745</v>
      </c>
      <c r="M1496" s="17">
        <v>149900</v>
      </c>
      <c r="N1496" s="15">
        <v>0.75</v>
      </c>
      <c r="O1496" s="16">
        <f t="shared" si="107"/>
        <v>37475</v>
      </c>
      <c r="P1496" s="11" t="s">
        <v>20</v>
      </c>
    </row>
    <row r="1497" spans="1:16" x14ac:dyDescent="0.25">
      <c r="A1497" s="9" t="str">
        <f t="shared" si="109"/>
        <v>2024 ALL D75</v>
      </c>
      <c r="B1497" s="10">
        <f t="shared" si="109"/>
        <v>46104</v>
      </c>
      <c r="C1497" s="10">
        <v>46113</v>
      </c>
      <c r="D1497" s="11">
        <v>3273</v>
      </c>
      <c r="E1497" s="11">
        <v>336</v>
      </c>
      <c r="F1497" s="11">
        <v>4</v>
      </c>
      <c r="G1497" s="19">
        <v>6</v>
      </c>
      <c r="H1497" s="13">
        <v>81588</v>
      </c>
      <c r="I1497" s="13" t="str">
        <f t="shared" si="106"/>
        <v>DISNEY</v>
      </c>
      <c r="J1497" s="13">
        <v>25703222</v>
      </c>
      <c r="K1497" s="13" t="s">
        <v>1738</v>
      </c>
      <c r="L1497" s="13" t="s">
        <v>1746</v>
      </c>
      <c r="M1497" s="17">
        <v>149900</v>
      </c>
      <c r="N1497" s="15">
        <v>0.75</v>
      </c>
      <c r="O1497" s="16">
        <f t="shared" si="107"/>
        <v>37475</v>
      </c>
      <c r="P1497" s="11" t="s">
        <v>20</v>
      </c>
    </row>
    <row r="1498" spans="1:16" x14ac:dyDescent="0.25">
      <c r="A1498" s="9" t="str">
        <f t="shared" si="109"/>
        <v>2024 ALL D75</v>
      </c>
      <c r="B1498" s="10">
        <f t="shared" si="109"/>
        <v>46104</v>
      </c>
      <c r="C1498" s="10">
        <v>46113</v>
      </c>
      <c r="D1498" s="11">
        <v>3273</v>
      </c>
      <c r="E1498" s="11">
        <v>336</v>
      </c>
      <c r="F1498" s="11">
        <v>4</v>
      </c>
      <c r="G1498" s="19">
        <v>6</v>
      </c>
      <c r="H1498" s="13">
        <v>81588</v>
      </c>
      <c r="I1498" s="13" t="str">
        <f t="shared" si="106"/>
        <v>DISNEY</v>
      </c>
      <c r="J1498" s="13">
        <v>25703231</v>
      </c>
      <c r="K1498" s="13" t="s">
        <v>1747</v>
      </c>
      <c r="L1498" s="13" t="s">
        <v>1748</v>
      </c>
      <c r="M1498" s="17">
        <v>149900</v>
      </c>
      <c r="N1498" s="15">
        <v>0.75</v>
      </c>
      <c r="O1498" s="16">
        <f t="shared" si="107"/>
        <v>37475</v>
      </c>
      <c r="P1498" s="11" t="s">
        <v>20</v>
      </c>
    </row>
    <row r="1499" spans="1:16" x14ac:dyDescent="0.25">
      <c r="A1499" s="9" t="str">
        <f t="shared" si="109"/>
        <v>2024 ALL D75</v>
      </c>
      <c r="B1499" s="10">
        <f t="shared" si="109"/>
        <v>46104</v>
      </c>
      <c r="C1499" s="10">
        <v>46113</v>
      </c>
      <c r="D1499" s="11">
        <v>3273</v>
      </c>
      <c r="E1499" s="11">
        <v>336</v>
      </c>
      <c r="F1499" s="11">
        <v>4</v>
      </c>
      <c r="G1499" s="19">
        <v>6</v>
      </c>
      <c r="H1499" s="13">
        <v>81588</v>
      </c>
      <c r="I1499" s="13" t="str">
        <f t="shared" si="106"/>
        <v>DISNEY</v>
      </c>
      <c r="J1499" s="13">
        <v>25703240</v>
      </c>
      <c r="K1499" s="13" t="s">
        <v>1747</v>
      </c>
      <c r="L1499" s="13" t="s">
        <v>1749</v>
      </c>
      <c r="M1499" s="17">
        <v>149900</v>
      </c>
      <c r="N1499" s="15">
        <v>0.75</v>
      </c>
      <c r="O1499" s="16">
        <f t="shared" si="107"/>
        <v>37475</v>
      </c>
      <c r="P1499" s="11" t="s">
        <v>20</v>
      </c>
    </row>
    <row r="1500" spans="1:16" x14ac:dyDescent="0.25">
      <c r="A1500" s="9" t="str">
        <f t="shared" si="109"/>
        <v>2024 ALL D75</v>
      </c>
      <c r="B1500" s="10">
        <f t="shared" si="109"/>
        <v>46104</v>
      </c>
      <c r="C1500" s="10">
        <v>46113</v>
      </c>
      <c r="D1500" s="11">
        <v>3273</v>
      </c>
      <c r="E1500" s="11">
        <v>336</v>
      </c>
      <c r="F1500" s="11">
        <v>4</v>
      </c>
      <c r="G1500" s="19">
        <v>6</v>
      </c>
      <c r="H1500" s="13">
        <v>81588</v>
      </c>
      <c r="I1500" s="13" t="str">
        <f t="shared" si="106"/>
        <v>DISNEY</v>
      </c>
      <c r="J1500" s="13">
        <v>25703259</v>
      </c>
      <c r="K1500" s="13" t="s">
        <v>1747</v>
      </c>
      <c r="L1500" s="13" t="s">
        <v>1750</v>
      </c>
      <c r="M1500" s="17">
        <v>149900</v>
      </c>
      <c r="N1500" s="15">
        <v>0.75</v>
      </c>
      <c r="O1500" s="16">
        <f t="shared" si="107"/>
        <v>37475</v>
      </c>
      <c r="P1500" s="11" t="s">
        <v>20</v>
      </c>
    </row>
    <row r="1501" spans="1:16" x14ac:dyDescent="0.25">
      <c r="A1501" s="9" t="str">
        <f t="shared" si="109"/>
        <v>2024 ALL D75</v>
      </c>
      <c r="B1501" s="10">
        <f t="shared" si="109"/>
        <v>46104</v>
      </c>
      <c r="C1501" s="10">
        <v>46113</v>
      </c>
      <c r="D1501" s="11">
        <v>3273</v>
      </c>
      <c r="E1501" s="11">
        <v>336</v>
      </c>
      <c r="F1501" s="11">
        <v>4</v>
      </c>
      <c r="G1501" s="19">
        <v>6</v>
      </c>
      <c r="H1501" s="13">
        <v>81588</v>
      </c>
      <c r="I1501" s="13" t="str">
        <f t="shared" si="106"/>
        <v>DISNEY</v>
      </c>
      <c r="J1501" s="13">
        <v>25703268</v>
      </c>
      <c r="K1501" s="13" t="s">
        <v>1747</v>
      </c>
      <c r="L1501" s="13" t="s">
        <v>1751</v>
      </c>
      <c r="M1501" s="17">
        <v>149900</v>
      </c>
      <c r="N1501" s="15">
        <v>0.75</v>
      </c>
      <c r="O1501" s="16">
        <f t="shared" si="107"/>
        <v>37475</v>
      </c>
      <c r="P1501" s="11" t="s">
        <v>20</v>
      </c>
    </row>
    <row r="1502" spans="1:16" x14ac:dyDescent="0.25">
      <c r="A1502" s="9" t="str">
        <f t="shared" si="109"/>
        <v>2024 ALL D75</v>
      </c>
      <c r="B1502" s="10">
        <f t="shared" si="109"/>
        <v>46104</v>
      </c>
      <c r="C1502" s="10">
        <v>46113</v>
      </c>
      <c r="D1502" s="11">
        <v>3273</v>
      </c>
      <c r="E1502" s="11">
        <v>336</v>
      </c>
      <c r="F1502" s="11">
        <v>4</v>
      </c>
      <c r="G1502" s="19">
        <v>6</v>
      </c>
      <c r="H1502" s="13">
        <v>81588</v>
      </c>
      <c r="I1502" s="13" t="str">
        <f t="shared" si="106"/>
        <v>DISNEY</v>
      </c>
      <c r="J1502" s="13">
        <v>25703277</v>
      </c>
      <c r="K1502" s="13" t="s">
        <v>1747</v>
      </c>
      <c r="L1502" s="13" t="s">
        <v>1752</v>
      </c>
      <c r="M1502" s="17">
        <v>149900</v>
      </c>
      <c r="N1502" s="15">
        <v>0.75</v>
      </c>
      <c r="O1502" s="16">
        <f t="shared" si="107"/>
        <v>37475</v>
      </c>
      <c r="P1502" s="11" t="s">
        <v>20</v>
      </c>
    </row>
    <row r="1503" spans="1:16" x14ac:dyDescent="0.25">
      <c r="A1503" s="9" t="str">
        <f t="shared" si="109"/>
        <v>2024 ALL D75</v>
      </c>
      <c r="B1503" s="10">
        <f t="shared" si="109"/>
        <v>46104</v>
      </c>
      <c r="C1503" s="10">
        <v>46113</v>
      </c>
      <c r="D1503" s="11">
        <v>3273</v>
      </c>
      <c r="E1503" s="11">
        <v>336</v>
      </c>
      <c r="F1503" s="11">
        <v>4</v>
      </c>
      <c r="G1503" s="19">
        <v>6</v>
      </c>
      <c r="H1503" s="13">
        <v>81588</v>
      </c>
      <c r="I1503" s="13" t="str">
        <f t="shared" si="106"/>
        <v>DISNEY</v>
      </c>
      <c r="J1503" s="13">
        <v>25703286</v>
      </c>
      <c r="K1503" s="13" t="s">
        <v>1747</v>
      </c>
      <c r="L1503" s="13" t="s">
        <v>1753</v>
      </c>
      <c r="M1503" s="17">
        <v>149900</v>
      </c>
      <c r="N1503" s="15">
        <v>0.75</v>
      </c>
      <c r="O1503" s="16">
        <f t="shared" si="107"/>
        <v>37475</v>
      </c>
      <c r="P1503" s="11" t="s">
        <v>20</v>
      </c>
    </row>
    <row r="1504" spans="1:16" x14ac:dyDescent="0.25">
      <c r="A1504" s="9" t="str">
        <f t="shared" si="109"/>
        <v>2024 ALL D75</v>
      </c>
      <c r="B1504" s="10">
        <f t="shared" si="109"/>
        <v>46104</v>
      </c>
      <c r="C1504" s="10">
        <v>46113</v>
      </c>
      <c r="D1504" s="11">
        <v>3273</v>
      </c>
      <c r="E1504" s="11">
        <v>336</v>
      </c>
      <c r="F1504" s="11">
        <v>4</v>
      </c>
      <c r="G1504" s="19">
        <v>6</v>
      </c>
      <c r="H1504" s="13">
        <v>81588</v>
      </c>
      <c r="I1504" s="13" t="str">
        <f t="shared" si="106"/>
        <v>DISNEY</v>
      </c>
      <c r="J1504" s="13">
        <v>25703295</v>
      </c>
      <c r="K1504" s="13" t="s">
        <v>1747</v>
      </c>
      <c r="L1504" s="13" t="s">
        <v>1754</v>
      </c>
      <c r="M1504" s="17">
        <v>149900</v>
      </c>
      <c r="N1504" s="15">
        <v>0.75</v>
      </c>
      <c r="O1504" s="16">
        <f t="shared" si="107"/>
        <v>37475</v>
      </c>
      <c r="P1504" s="11" t="s">
        <v>20</v>
      </c>
    </row>
    <row r="1505" spans="1:16" x14ac:dyDescent="0.25">
      <c r="A1505" s="9" t="str">
        <f t="shared" si="109"/>
        <v>2024 ALL D75</v>
      </c>
      <c r="B1505" s="10">
        <f t="shared" si="109"/>
        <v>46104</v>
      </c>
      <c r="C1505" s="10">
        <v>46113</v>
      </c>
      <c r="D1505" s="11">
        <v>3273</v>
      </c>
      <c r="E1505" s="11">
        <v>336</v>
      </c>
      <c r="F1505" s="11">
        <v>4</v>
      </c>
      <c r="G1505" s="19">
        <v>6</v>
      </c>
      <c r="H1505" s="13">
        <v>81588</v>
      </c>
      <c r="I1505" s="13" t="str">
        <f t="shared" si="106"/>
        <v>DISNEY</v>
      </c>
      <c r="J1505" s="13">
        <v>25703302</v>
      </c>
      <c r="K1505" s="13" t="s">
        <v>1747</v>
      </c>
      <c r="L1505" s="13" t="s">
        <v>1755</v>
      </c>
      <c r="M1505" s="17">
        <v>149900</v>
      </c>
      <c r="N1505" s="15">
        <v>0.75</v>
      </c>
      <c r="O1505" s="16">
        <f t="shared" si="107"/>
        <v>37475</v>
      </c>
      <c r="P1505" s="11" t="s">
        <v>20</v>
      </c>
    </row>
    <row r="1506" spans="1:16" x14ac:dyDescent="0.25">
      <c r="A1506" s="9" t="str">
        <f t="shared" si="109"/>
        <v>2024 ALL D75</v>
      </c>
      <c r="B1506" s="10">
        <f t="shared" si="109"/>
        <v>46104</v>
      </c>
      <c r="C1506" s="10">
        <v>46113</v>
      </c>
      <c r="D1506" s="11">
        <v>3273</v>
      </c>
      <c r="E1506" s="11">
        <v>336</v>
      </c>
      <c r="F1506" s="11">
        <v>4</v>
      </c>
      <c r="G1506" s="19">
        <v>6</v>
      </c>
      <c r="H1506" s="13">
        <v>81574</v>
      </c>
      <c r="I1506" s="13" t="str">
        <f t="shared" si="106"/>
        <v>DISNEY</v>
      </c>
      <c r="J1506" s="13">
        <v>25703311</v>
      </c>
      <c r="K1506" s="13" t="s">
        <v>1756</v>
      </c>
      <c r="L1506" s="13" t="s">
        <v>1757</v>
      </c>
      <c r="M1506" s="17">
        <v>149900</v>
      </c>
      <c r="N1506" s="15">
        <v>0.75</v>
      </c>
      <c r="O1506" s="16">
        <f t="shared" si="107"/>
        <v>37475</v>
      </c>
      <c r="P1506" s="11" t="s">
        <v>20</v>
      </c>
    </row>
    <row r="1507" spans="1:16" x14ac:dyDescent="0.25">
      <c r="A1507" s="9" t="str">
        <f t="shared" si="109"/>
        <v>2024 ALL D75</v>
      </c>
      <c r="B1507" s="10">
        <f t="shared" si="109"/>
        <v>46104</v>
      </c>
      <c r="C1507" s="10">
        <v>46113</v>
      </c>
      <c r="D1507" s="11">
        <v>3273</v>
      </c>
      <c r="E1507" s="11">
        <v>336</v>
      </c>
      <c r="F1507" s="11">
        <v>4</v>
      </c>
      <c r="G1507" s="19">
        <v>6</v>
      </c>
      <c r="H1507" s="13">
        <v>81574</v>
      </c>
      <c r="I1507" s="13" t="str">
        <f t="shared" si="106"/>
        <v>DISNEY</v>
      </c>
      <c r="J1507" s="13">
        <v>25703320</v>
      </c>
      <c r="K1507" s="13" t="s">
        <v>1756</v>
      </c>
      <c r="L1507" s="13" t="s">
        <v>1758</v>
      </c>
      <c r="M1507" s="17">
        <v>149900</v>
      </c>
      <c r="N1507" s="15">
        <v>0.75</v>
      </c>
      <c r="O1507" s="16">
        <f t="shared" si="107"/>
        <v>37475</v>
      </c>
      <c r="P1507" s="11" t="s">
        <v>20</v>
      </c>
    </row>
    <row r="1508" spans="1:16" x14ac:dyDescent="0.25">
      <c r="A1508" s="9" t="str">
        <f t="shared" ref="A1508:B1523" si="110">A1507</f>
        <v>2024 ALL D75</v>
      </c>
      <c r="B1508" s="10">
        <f t="shared" si="110"/>
        <v>46104</v>
      </c>
      <c r="C1508" s="10">
        <v>46113</v>
      </c>
      <c r="D1508" s="11">
        <v>3273</v>
      </c>
      <c r="E1508" s="11">
        <v>336</v>
      </c>
      <c r="F1508" s="11">
        <v>4</v>
      </c>
      <c r="G1508" s="19">
        <v>6</v>
      </c>
      <c r="H1508" s="13">
        <v>81574</v>
      </c>
      <c r="I1508" s="13" t="str">
        <f t="shared" si="106"/>
        <v>DISNEY</v>
      </c>
      <c r="J1508" s="13">
        <v>25703339</v>
      </c>
      <c r="K1508" s="13" t="s">
        <v>1756</v>
      </c>
      <c r="L1508" s="13" t="s">
        <v>1759</v>
      </c>
      <c r="M1508" s="17">
        <v>149900</v>
      </c>
      <c r="N1508" s="15">
        <v>0.75</v>
      </c>
      <c r="O1508" s="16">
        <f t="shared" si="107"/>
        <v>37475</v>
      </c>
      <c r="P1508" s="11" t="s">
        <v>20</v>
      </c>
    </row>
    <row r="1509" spans="1:16" x14ac:dyDescent="0.25">
      <c r="A1509" s="9" t="str">
        <f t="shared" si="110"/>
        <v>2024 ALL D75</v>
      </c>
      <c r="B1509" s="10">
        <f t="shared" si="110"/>
        <v>46104</v>
      </c>
      <c r="C1509" s="10">
        <v>46113</v>
      </c>
      <c r="D1509" s="11">
        <v>3273</v>
      </c>
      <c r="E1509" s="11">
        <v>336</v>
      </c>
      <c r="F1509" s="11">
        <v>4</v>
      </c>
      <c r="G1509" s="19">
        <v>6</v>
      </c>
      <c r="H1509" s="13">
        <v>81574</v>
      </c>
      <c r="I1509" s="13" t="str">
        <f t="shared" si="106"/>
        <v>DISNEY</v>
      </c>
      <c r="J1509" s="13">
        <v>25703348</v>
      </c>
      <c r="K1509" s="13" t="s">
        <v>1756</v>
      </c>
      <c r="L1509" s="13" t="s">
        <v>1760</v>
      </c>
      <c r="M1509" s="17">
        <v>149900</v>
      </c>
      <c r="N1509" s="15">
        <v>0.75</v>
      </c>
      <c r="O1509" s="16">
        <f t="shared" si="107"/>
        <v>37475</v>
      </c>
      <c r="P1509" s="11" t="s">
        <v>20</v>
      </c>
    </row>
    <row r="1510" spans="1:16" x14ac:dyDescent="0.25">
      <c r="A1510" s="9" t="str">
        <f t="shared" si="110"/>
        <v>2024 ALL D75</v>
      </c>
      <c r="B1510" s="10">
        <f t="shared" si="110"/>
        <v>46104</v>
      </c>
      <c r="C1510" s="10">
        <v>46113</v>
      </c>
      <c r="D1510" s="11">
        <v>3273</v>
      </c>
      <c r="E1510" s="11">
        <v>336</v>
      </c>
      <c r="F1510" s="11">
        <v>4</v>
      </c>
      <c r="G1510" s="19">
        <v>6</v>
      </c>
      <c r="H1510" s="13">
        <v>81574</v>
      </c>
      <c r="I1510" s="13" t="str">
        <f t="shared" si="106"/>
        <v>DISNEY</v>
      </c>
      <c r="J1510" s="13">
        <v>25703357</v>
      </c>
      <c r="K1510" s="13" t="s">
        <v>1756</v>
      </c>
      <c r="L1510" s="13" t="s">
        <v>1761</v>
      </c>
      <c r="M1510" s="17">
        <v>149900</v>
      </c>
      <c r="N1510" s="15">
        <v>0.75</v>
      </c>
      <c r="O1510" s="16">
        <f t="shared" si="107"/>
        <v>37475</v>
      </c>
      <c r="P1510" s="11" t="s">
        <v>20</v>
      </c>
    </row>
    <row r="1511" spans="1:16" x14ac:dyDescent="0.25">
      <c r="A1511" s="9" t="str">
        <f t="shared" si="110"/>
        <v>2024 ALL D75</v>
      </c>
      <c r="B1511" s="10">
        <f t="shared" si="110"/>
        <v>46104</v>
      </c>
      <c r="C1511" s="10">
        <v>46113</v>
      </c>
      <c r="D1511" s="11">
        <v>3273</v>
      </c>
      <c r="E1511" s="11">
        <v>336</v>
      </c>
      <c r="F1511" s="11">
        <v>4</v>
      </c>
      <c r="G1511" s="19">
        <v>6</v>
      </c>
      <c r="H1511" s="13">
        <v>81574</v>
      </c>
      <c r="I1511" s="13" t="str">
        <f t="shared" si="106"/>
        <v>DISNEY</v>
      </c>
      <c r="J1511" s="13">
        <v>25703366</v>
      </c>
      <c r="K1511" s="13" t="s">
        <v>1756</v>
      </c>
      <c r="L1511" s="13" t="s">
        <v>1762</v>
      </c>
      <c r="M1511" s="17">
        <v>149900</v>
      </c>
      <c r="N1511" s="15">
        <v>0.75</v>
      </c>
      <c r="O1511" s="16">
        <f t="shared" si="107"/>
        <v>37475</v>
      </c>
      <c r="P1511" s="11" t="s">
        <v>20</v>
      </c>
    </row>
    <row r="1512" spans="1:16" x14ac:dyDescent="0.25">
      <c r="A1512" s="9" t="str">
        <f t="shared" si="110"/>
        <v>2024 ALL D75</v>
      </c>
      <c r="B1512" s="10">
        <f t="shared" si="110"/>
        <v>46104</v>
      </c>
      <c r="C1512" s="10">
        <v>46113</v>
      </c>
      <c r="D1512" s="11">
        <v>3273</v>
      </c>
      <c r="E1512" s="11">
        <v>336</v>
      </c>
      <c r="F1512" s="11">
        <v>4</v>
      </c>
      <c r="G1512" s="19">
        <v>6</v>
      </c>
      <c r="H1512" s="13">
        <v>81574</v>
      </c>
      <c r="I1512" s="13" t="str">
        <f t="shared" si="106"/>
        <v>DISNEY</v>
      </c>
      <c r="J1512" s="13">
        <v>25703375</v>
      </c>
      <c r="K1512" s="13" t="s">
        <v>1756</v>
      </c>
      <c r="L1512" s="13" t="s">
        <v>1763</v>
      </c>
      <c r="M1512" s="17">
        <v>149900</v>
      </c>
      <c r="N1512" s="15">
        <v>0.75</v>
      </c>
      <c r="O1512" s="16">
        <f t="shared" si="107"/>
        <v>37475</v>
      </c>
      <c r="P1512" s="11" t="s">
        <v>20</v>
      </c>
    </row>
    <row r="1513" spans="1:16" x14ac:dyDescent="0.25">
      <c r="A1513" s="9" t="str">
        <f t="shared" si="110"/>
        <v>2024 ALL D75</v>
      </c>
      <c r="B1513" s="10">
        <f t="shared" si="110"/>
        <v>46104</v>
      </c>
      <c r="C1513" s="10">
        <v>46113</v>
      </c>
      <c r="D1513" s="11">
        <v>3273</v>
      </c>
      <c r="E1513" s="11">
        <v>336</v>
      </c>
      <c r="F1513" s="11">
        <v>4</v>
      </c>
      <c r="G1513" s="19">
        <v>6</v>
      </c>
      <c r="H1513" s="13">
        <v>81574</v>
      </c>
      <c r="I1513" s="13" t="str">
        <f t="shared" si="106"/>
        <v>DISNEY</v>
      </c>
      <c r="J1513" s="13">
        <v>25703384</v>
      </c>
      <c r="K1513" s="13" t="s">
        <v>1756</v>
      </c>
      <c r="L1513" s="13" t="s">
        <v>1764</v>
      </c>
      <c r="M1513" s="17">
        <v>149900</v>
      </c>
      <c r="N1513" s="15">
        <v>0.75</v>
      </c>
      <c r="O1513" s="16">
        <f t="shared" si="107"/>
        <v>37475</v>
      </c>
      <c r="P1513" s="11" t="s">
        <v>20</v>
      </c>
    </row>
    <row r="1514" spans="1:16" x14ac:dyDescent="0.25">
      <c r="A1514" s="9" t="str">
        <f t="shared" si="110"/>
        <v>2024 ALL D75</v>
      </c>
      <c r="B1514" s="10">
        <f t="shared" si="110"/>
        <v>46104</v>
      </c>
      <c r="C1514" s="10">
        <v>46113</v>
      </c>
      <c r="D1514" s="11">
        <v>3273</v>
      </c>
      <c r="E1514" s="11">
        <v>336</v>
      </c>
      <c r="F1514" s="11">
        <v>4</v>
      </c>
      <c r="G1514" s="19">
        <v>6</v>
      </c>
      <c r="H1514" s="13">
        <v>81588</v>
      </c>
      <c r="I1514" s="13" t="str">
        <f t="shared" si="106"/>
        <v>DISNEY</v>
      </c>
      <c r="J1514" s="13">
        <v>25703393</v>
      </c>
      <c r="K1514" s="13" t="s">
        <v>1765</v>
      </c>
      <c r="L1514" s="13" t="s">
        <v>1766</v>
      </c>
      <c r="M1514" s="17">
        <v>149900</v>
      </c>
      <c r="N1514" s="15">
        <v>0.75</v>
      </c>
      <c r="O1514" s="16">
        <f t="shared" si="107"/>
        <v>37475</v>
      </c>
      <c r="P1514" s="11" t="s">
        <v>20</v>
      </c>
    </row>
    <row r="1515" spans="1:16" x14ac:dyDescent="0.25">
      <c r="A1515" s="9" t="str">
        <f t="shared" si="110"/>
        <v>2024 ALL D75</v>
      </c>
      <c r="B1515" s="10">
        <f t="shared" si="110"/>
        <v>46104</v>
      </c>
      <c r="C1515" s="10">
        <v>46113</v>
      </c>
      <c r="D1515" s="11">
        <v>3273</v>
      </c>
      <c r="E1515" s="11">
        <v>336</v>
      </c>
      <c r="F1515" s="11">
        <v>4</v>
      </c>
      <c r="G1515" s="19">
        <v>6</v>
      </c>
      <c r="H1515" s="13">
        <v>81588</v>
      </c>
      <c r="I1515" s="13" t="str">
        <f t="shared" si="106"/>
        <v>DISNEY</v>
      </c>
      <c r="J1515" s="13">
        <v>25703400</v>
      </c>
      <c r="K1515" s="13" t="s">
        <v>1765</v>
      </c>
      <c r="L1515" s="13" t="s">
        <v>1767</v>
      </c>
      <c r="M1515" s="17">
        <v>149900</v>
      </c>
      <c r="N1515" s="15">
        <v>0.75</v>
      </c>
      <c r="O1515" s="16">
        <f t="shared" si="107"/>
        <v>37475</v>
      </c>
      <c r="P1515" s="11" t="s">
        <v>20</v>
      </c>
    </row>
    <row r="1516" spans="1:16" x14ac:dyDescent="0.25">
      <c r="A1516" s="9" t="str">
        <f t="shared" si="110"/>
        <v>2024 ALL D75</v>
      </c>
      <c r="B1516" s="10">
        <f t="shared" si="110"/>
        <v>46104</v>
      </c>
      <c r="C1516" s="10">
        <v>46113</v>
      </c>
      <c r="D1516" s="11">
        <v>3273</v>
      </c>
      <c r="E1516" s="11">
        <v>336</v>
      </c>
      <c r="F1516" s="11">
        <v>4</v>
      </c>
      <c r="G1516" s="19">
        <v>6</v>
      </c>
      <c r="H1516" s="13">
        <v>81588</v>
      </c>
      <c r="I1516" s="13" t="str">
        <f t="shared" si="106"/>
        <v>DISNEY</v>
      </c>
      <c r="J1516" s="13">
        <v>25703419</v>
      </c>
      <c r="K1516" s="13" t="s">
        <v>1765</v>
      </c>
      <c r="L1516" s="13" t="s">
        <v>1768</v>
      </c>
      <c r="M1516" s="17">
        <v>149900</v>
      </c>
      <c r="N1516" s="15">
        <v>0.75</v>
      </c>
      <c r="O1516" s="16">
        <f t="shared" si="107"/>
        <v>37475</v>
      </c>
      <c r="P1516" s="11" t="s">
        <v>20</v>
      </c>
    </row>
    <row r="1517" spans="1:16" x14ac:dyDescent="0.25">
      <c r="A1517" s="9" t="str">
        <f t="shared" si="110"/>
        <v>2024 ALL D75</v>
      </c>
      <c r="B1517" s="10">
        <f t="shared" si="110"/>
        <v>46104</v>
      </c>
      <c r="C1517" s="10">
        <v>46113</v>
      </c>
      <c r="D1517" s="11">
        <v>3273</v>
      </c>
      <c r="E1517" s="11">
        <v>336</v>
      </c>
      <c r="F1517" s="11">
        <v>4</v>
      </c>
      <c r="G1517" s="19">
        <v>6</v>
      </c>
      <c r="H1517" s="13">
        <v>81588</v>
      </c>
      <c r="I1517" s="13" t="str">
        <f t="shared" si="106"/>
        <v>DISNEY</v>
      </c>
      <c r="J1517" s="13">
        <v>25703428</v>
      </c>
      <c r="K1517" s="13" t="s">
        <v>1765</v>
      </c>
      <c r="L1517" s="13" t="s">
        <v>1769</v>
      </c>
      <c r="M1517" s="17">
        <v>149900</v>
      </c>
      <c r="N1517" s="15">
        <v>0.75</v>
      </c>
      <c r="O1517" s="16">
        <f t="shared" si="107"/>
        <v>37475</v>
      </c>
      <c r="P1517" s="11" t="s">
        <v>20</v>
      </c>
    </row>
    <row r="1518" spans="1:16" x14ac:dyDescent="0.25">
      <c r="A1518" s="9" t="str">
        <f t="shared" si="110"/>
        <v>2024 ALL D75</v>
      </c>
      <c r="B1518" s="10">
        <f t="shared" si="110"/>
        <v>46104</v>
      </c>
      <c r="C1518" s="10">
        <v>46113</v>
      </c>
      <c r="D1518" s="11">
        <v>3273</v>
      </c>
      <c r="E1518" s="11">
        <v>336</v>
      </c>
      <c r="F1518" s="11">
        <v>4</v>
      </c>
      <c r="G1518" s="19">
        <v>6</v>
      </c>
      <c r="H1518" s="13">
        <v>81588</v>
      </c>
      <c r="I1518" s="13" t="str">
        <f t="shared" si="106"/>
        <v>DISNEY</v>
      </c>
      <c r="J1518" s="13">
        <v>25703437</v>
      </c>
      <c r="K1518" s="13" t="s">
        <v>1765</v>
      </c>
      <c r="L1518" s="13" t="s">
        <v>1770</v>
      </c>
      <c r="M1518" s="17">
        <v>149900</v>
      </c>
      <c r="N1518" s="15">
        <v>0.75</v>
      </c>
      <c r="O1518" s="16">
        <f t="shared" si="107"/>
        <v>37475</v>
      </c>
      <c r="P1518" s="11" t="s">
        <v>20</v>
      </c>
    </row>
    <row r="1519" spans="1:16" x14ac:dyDescent="0.25">
      <c r="A1519" s="9" t="str">
        <f t="shared" si="110"/>
        <v>2024 ALL D75</v>
      </c>
      <c r="B1519" s="10">
        <f t="shared" si="110"/>
        <v>46104</v>
      </c>
      <c r="C1519" s="10">
        <v>46113</v>
      </c>
      <c r="D1519" s="11">
        <v>3273</v>
      </c>
      <c r="E1519" s="11">
        <v>336</v>
      </c>
      <c r="F1519" s="11">
        <v>4</v>
      </c>
      <c r="G1519" s="19">
        <v>6</v>
      </c>
      <c r="H1519" s="13">
        <v>81588</v>
      </c>
      <c r="I1519" s="13" t="str">
        <f t="shared" si="106"/>
        <v>DISNEY</v>
      </c>
      <c r="J1519" s="13">
        <v>25703446</v>
      </c>
      <c r="K1519" s="13" t="s">
        <v>1765</v>
      </c>
      <c r="L1519" s="13" t="s">
        <v>1771</v>
      </c>
      <c r="M1519" s="17">
        <v>149900</v>
      </c>
      <c r="N1519" s="15">
        <v>0.75</v>
      </c>
      <c r="O1519" s="16">
        <f t="shared" si="107"/>
        <v>37475</v>
      </c>
      <c r="P1519" s="11" t="s">
        <v>20</v>
      </c>
    </row>
    <row r="1520" spans="1:16" x14ac:dyDescent="0.25">
      <c r="A1520" s="9" t="str">
        <f t="shared" si="110"/>
        <v>2024 ALL D75</v>
      </c>
      <c r="B1520" s="10">
        <f t="shared" si="110"/>
        <v>46104</v>
      </c>
      <c r="C1520" s="10">
        <v>46113</v>
      </c>
      <c r="D1520" s="11">
        <v>3273</v>
      </c>
      <c r="E1520" s="11">
        <v>336</v>
      </c>
      <c r="F1520" s="11">
        <v>4</v>
      </c>
      <c r="G1520" s="19">
        <v>6</v>
      </c>
      <c r="H1520" s="13">
        <v>81588</v>
      </c>
      <c r="I1520" s="13" t="str">
        <f t="shared" si="106"/>
        <v>DISNEY</v>
      </c>
      <c r="J1520" s="13">
        <v>25703455</v>
      </c>
      <c r="K1520" s="13" t="s">
        <v>1765</v>
      </c>
      <c r="L1520" s="13" t="s">
        <v>1772</v>
      </c>
      <c r="M1520" s="17">
        <v>149900</v>
      </c>
      <c r="N1520" s="15">
        <v>0.75</v>
      </c>
      <c r="O1520" s="16">
        <f t="shared" si="107"/>
        <v>37475</v>
      </c>
      <c r="P1520" s="11" t="s">
        <v>20</v>
      </c>
    </row>
    <row r="1521" spans="1:16" x14ac:dyDescent="0.25">
      <c r="A1521" s="9" t="str">
        <f t="shared" si="110"/>
        <v>2024 ALL D75</v>
      </c>
      <c r="B1521" s="10">
        <f t="shared" si="110"/>
        <v>46104</v>
      </c>
      <c r="C1521" s="10">
        <v>46113</v>
      </c>
      <c r="D1521" s="11">
        <v>3273</v>
      </c>
      <c r="E1521" s="11">
        <v>336</v>
      </c>
      <c r="F1521" s="11">
        <v>4</v>
      </c>
      <c r="G1521" s="19">
        <v>6</v>
      </c>
      <c r="H1521" s="13">
        <v>81588</v>
      </c>
      <c r="I1521" s="13" t="str">
        <f t="shared" si="106"/>
        <v>DISNEY</v>
      </c>
      <c r="J1521" s="13">
        <v>25703464</v>
      </c>
      <c r="K1521" s="13" t="s">
        <v>1765</v>
      </c>
      <c r="L1521" s="13" t="s">
        <v>1773</v>
      </c>
      <c r="M1521" s="17">
        <v>149900</v>
      </c>
      <c r="N1521" s="15">
        <v>0.75</v>
      </c>
      <c r="O1521" s="16">
        <f t="shared" si="107"/>
        <v>37475</v>
      </c>
      <c r="P1521" s="11" t="s">
        <v>20</v>
      </c>
    </row>
    <row r="1522" spans="1:16" x14ac:dyDescent="0.25">
      <c r="A1522" s="9" t="str">
        <f t="shared" si="110"/>
        <v>2024 ALL D75</v>
      </c>
      <c r="B1522" s="10">
        <f t="shared" si="110"/>
        <v>46104</v>
      </c>
      <c r="C1522" s="10">
        <v>46113</v>
      </c>
      <c r="D1522" s="11">
        <v>3273</v>
      </c>
      <c r="E1522" s="11">
        <v>336</v>
      </c>
      <c r="F1522" s="11">
        <v>4</v>
      </c>
      <c r="G1522" s="19">
        <v>6</v>
      </c>
      <c r="H1522" s="13">
        <v>81588</v>
      </c>
      <c r="I1522" s="13" t="str">
        <f t="shared" si="106"/>
        <v>DISNEY</v>
      </c>
      <c r="J1522" s="13">
        <v>25703473</v>
      </c>
      <c r="K1522" s="13" t="s">
        <v>1774</v>
      </c>
      <c r="L1522" s="13" t="s">
        <v>1775</v>
      </c>
      <c r="M1522" s="17">
        <v>149900</v>
      </c>
      <c r="N1522" s="15">
        <v>0.75</v>
      </c>
      <c r="O1522" s="16">
        <f t="shared" si="107"/>
        <v>37475</v>
      </c>
      <c r="P1522" s="11" t="s">
        <v>20</v>
      </c>
    </row>
    <row r="1523" spans="1:16" x14ac:dyDescent="0.25">
      <c r="A1523" s="9" t="str">
        <f t="shared" si="110"/>
        <v>2024 ALL D75</v>
      </c>
      <c r="B1523" s="10">
        <f t="shared" si="110"/>
        <v>46104</v>
      </c>
      <c r="C1523" s="10">
        <v>46113</v>
      </c>
      <c r="D1523" s="11">
        <v>3273</v>
      </c>
      <c r="E1523" s="11">
        <v>336</v>
      </c>
      <c r="F1523" s="11">
        <v>4</v>
      </c>
      <c r="G1523" s="19">
        <v>6</v>
      </c>
      <c r="H1523" s="13">
        <v>81588</v>
      </c>
      <c r="I1523" s="13" t="str">
        <f t="shared" si="106"/>
        <v>DISNEY</v>
      </c>
      <c r="J1523" s="13">
        <v>25703482</v>
      </c>
      <c r="K1523" s="13" t="s">
        <v>1774</v>
      </c>
      <c r="L1523" s="13" t="s">
        <v>1776</v>
      </c>
      <c r="M1523" s="17">
        <v>149900</v>
      </c>
      <c r="N1523" s="15">
        <v>0.75</v>
      </c>
      <c r="O1523" s="16">
        <f t="shared" si="107"/>
        <v>37475</v>
      </c>
      <c r="P1523" s="11" t="s">
        <v>20</v>
      </c>
    </row>
    <row r="1524" spans="1:16" x14ac:dyDescent="0.25">
      <c r="A1524" s="9" t="str">
        <f t="shared" ref="A1524:B1539" si="111">A1523</f>
        <v>2024 ALL D75</v>
      </c>
      <c r="B1524" s="10">
        <f t="shared" si="111"/>
        <v>46104</v>
      </c>
      <c r="C1524" s="10">
        <v>46113</v>
      </c>
      <c r="D1524" s="11">
        <v>3273</v>
      </c>
      <c r="E1524" s="11">
        <v>336</v>
      </c>
      <c r="F1524" s="11">
        <v>4</v>
      </c>
      <c r="G1524" s="19">
        <v>6</v>
      </c>
      <c r="H1524" s="13">
        <v>81588</v>
      </c>
      <c r="I1524" s="13" t="str">
        <f t="shared" si="106"/>
        <v>DISNEY</v>
      </c>
      <c r="J1524" s="13">
        <v>25703491</v>
      </c>
      <c r="K1524" s="13" t="s">
        <v>1774</v>
      </c>
      <c r="L1524" s="13" t="s">
        <v>1777</v>
      </c>
      <c r="M1524" s="17">
        <v>149900</v>
      </c>
      <c r="N1524" s="15">
        <v>0.75</v>
      </c>
      <c r="O1524" s="16">
        <f t="shared" si="107"/>
        <v>37475</v>
      </c>
      <c r="P1524" s="11" t="s">
        <v>20</v>
      </c>
    </row>
    <row r="1525" spans="1:16" x14ac:dyDescent="0.25">
      <c r="A1525" s="9" t="str">
        <f t="shared" si="111"/>
        <v>2024 ALL D75</v>
      </c>
      <c r="B1525" s="10">
        <f t="shared" si="111"/>
        <v>46104</v>
      </c>
      <c r="C1525" s="10">
        <v>46113</v>
      </c>
      <c r="D1525" s="11">
        <v>3273</v>
      </c>
      <c r="E1525" s="11">
        <v>336</v>
      </c>
      <c r="F1525" s="11">
        <v>4</v>
      </c>
      <c r="G1525" s="19">
        <v>6</v>
      </c>
      <c r="H1525" s="13">
        <v>81588</v>
      </c>
      <c r="I1525" s="13" t="str">
        <f t="shared" ref="I1525:I1585" si="112">I1524</f>
        <v>DISNEY</v>
      </c>
      <c r="J1525" s="13">
        <v>25703508</v>
      </c>
      <c r="K1525" s="13" t="s">
        <v>1774</v>
      </c>
      <c r="L1525" s="13" t="s">
        <v>1778</v>
      </c>
      <c r="M1525" s="17">
        <v>149900</v>
      </c>
      <c r="N1525" s="15">
        <v>0.75</v>
      </c>
      <c r="O1525" s="16">
        <f t="shared" si="107"/>
        <v>37475</v>
      </c>
      <c r="P1525" s="11" t="s">
        <v>20</v>
      </c>
    </row>
    <row r="1526" spans="1:16" x14ac:dyDescent="0.25">
      <c r="A1526" s="9" t="str">
        <f t="shared" si="111"/>
        <v>2024 ALL D75</v>
      </c>
      <c r="B1526" s="10">
        <f t="shared" si="111"/>
        <v>46104</v>
      </c>
      <c r="C1526" s="10">
        <v>46113</v>
      </c>
      <c r="D1526" s="11">
        <v>3273</v>
      </c>
      <c r="E1526" s="11">
        <v>336</v>
      </c>
      <c r="F1526" s="11">
        <v>4</v>
      </c>
      <c r="G1526" s="19">
        <v>6</v>
      </c>
      <c r="H1526" s="13">
        <v>81588</v>
      </c>
      <c r="I1526" s="13" t="str">
        <f t="shared" si="112"/>
        <v>DISNEY</v>
      </c>
      <c r="J1526" s="13">
        <v>25703517</v>
      </c>
      <c r="K1526" s="13" t="s">
        <v>1774</v>
      </c>
      <c r="L1526" s="13" t="s">
        <v>1779</v>
      </c>
      <c r="M1526" s="17">
        <v>149900</v>
      </c>
      <c r="N1526" s="15">
        <v>0.75</v>
      </c>
      <c r="O1526" s="16">
        <f t="shared" si="107"/>
        <v>37475</v>
      </c>
      <c r="P1526" s="11" t="s">
        <v>20</v>
      </c>
    </row>
    <row r="1527" spans="1:16" x14ac:dyDescent="0.25">
      <c r="A1527" s="9" t="str">
        <f t="shared" si="111"/>
        <v>2024 ALL D75</v>
      </c>
      <c r="B1527" s="10">
        <f t="shared" si="111"/>
        <v>46104</v>
      </c>
      <c r="C1527" s="10">
        <v>46113</v>
      </c>
      <c r="D1527" s="11">
        <v>3273</v>
      </c>
      <c r="E1527" s="11">
        <v>336</v>
      </c>
      <c r="F1527" s="11">
        <v>4</v>
      </c>
      <c r="G1527" s="19">
        <v>6</v>
      </c>
      <c r="H1527" s="13">
        <v>81588</v>
      </c>
      <c r="I1527" s="13" t="str">
        <f t="shared" si="112"/>
        <v>DISNEY</v>
      </c>
      <c r="J1527" s="13">
        <v>25703526</v>
      </c>
      <c r="K1527" s="13" t="s">
        <v>1774</v>
      </c>
      <c r="L1527" s="13" t="s">
        <v>1780</v>
      </c>
      <c r="M1527" s="17">
        <v>149900</v>
      </c>
      <c r="N1527" s="15">
        <v>0.75</v>
      </c>
      <c r="O1527" s="16">
        <f t="shared" si="107"/>
        <v>37475</v>
      </c>
      <c r="P1527" s="11" t="s">
        <v>20</v>
      </c>
    </row>
    <row r="1528" spans="1:16" x14ac:dyDescent="0.25">
      <c r="A1528" s="9" t="str">
        <f t="shared" si="111"/>
        <v>2024 ALL D75</v>
      </c>
      <c r="B1528" s="10">
        <f t="shared" si="111"/>
        <v>46104</v>
      </c>
      <c r="C1528" s="10">
        <v>46113</v>
      </c>
      <c r="D1528" s="11">
        <v>3273</v>
      </c>
      <c r="E1528" s="11">
        <v>336</v>
      </c>
      <c r="F1528" s="11">
        <v>4</v>
      </c>
      <c r="G1528" s="19">
        <v>6</v>
      </c>
      <c r="H1528" s="13">
        <v>81588</v>
      </c>
      <c r="I1528" s="13" t="str">
        <f t="shared" si="112"/>
        <v>DISNEY</v>
      </c>
      <c r="J1528" s="13">
        <v>25703535</v>
      </c>
      <c r="K1528" s="13" t="s">
        <v>1774</v>
      </c>
      <c r="L1528" s="13" t="s">
        <v>1781</v>
      </c>
      <c r="M1528" s="17">
        <v>149900</v>
      </c>
      <c r="N1528" s="15">
        <v>0.75</v>
      </c>
      <c r="O1528" s="16">
        <f t="shared" si="107"/>
        <v>37475</v>
      </c>
      <c r="P1528" s="11" t="s">
        <v>20</v>
      </c>
    </row>
    <row r="1529" spans="1:16" x14ac:dyDescent="0.25">
      <c r="A1529" s="9" t="str">
        <f t="shared" si="111"/>
        <v>2024 ALL D75</v>
      </c>
      <c r="B1529" s="10">
        <f t="shared" si="111"/>
        <v>46104</v>
      </c>
      <c r="C1529" s="10">
        <v>46113</v>
      </c>
      <c r="D1529" s="11">
        <v>3273</v>
      </c>
      <c r="E1529" s="11">
        <v>336</v>
      </c>
      <c r="F1529" s="11">
        <v>4</v>
      </c>
      <c r="G1529" s="19">
        <v>6</v>
      </c>
      <c r="H1529" s="13">
        <v>81588</v>
      </c>
      <c r="I1529" s="13" t="str">
        <f t="shared" si="112"/>
        <v>DISNEY</v>
      </c>
      <c r="J1529" s="13">
        <v>25703544</v>
      </c>
      <c r="K1529" s="13" t="s">
        <v>1774</v>
      </c>
      <c r="L1529" s="13" t="s">
        <v>1782</v>
      </c>
      <c r="M1529" s="17">
        <v>149900</v>
      </c>
      <c r="N1529" s="15">
        <v>0.75</v>
      </c>
      <c r="O1529" s="16">
        <f t="shared" si="107"/>
        <v>37475</v>
      </c>
      <c r="P1529" s="11" t="s">
        <v>20</v>
      </c>
    </row>
    <row r="1530" spans="1:16" x14ac:dyDescent="0.25">
      <c r="A1530" s="9" t="str">
        <f t="shared" si="111"/>
        <v>2024 ALL D75</v>
      </c>
      <c r="B1530" s="10">
        <f t="shared" si="111"/>
        <v>46104</v>
      </c>
      <c r="C1530" s="10">
        <v>46113</v>
      </c>
      <c r="D1530" s="11">
        <v>3273</v>
      </c>
      <c r="E1530" s="11">
        <v>336</v>
      </c>
      <c r="F1530" s="11">
        <v>4</v>
      </c>
      <c r="G1530" s="19">
        <v>6</v>
      </c>
      <c r="H1530" s="13">
        <v>81588</v>
      </c>
      <c r="I1530" s="13" t="str">
        <f t="shared" si="112"/>
        <v>DISNEY</v>
      </c>
      <c r="J1530" s="13">
        <v>25703553</v>
      </c>
      <c r="K1530" s="13" t="s">
        <v>1783</v>
      </c>
      <c r="L1530" s="13" t="s">
        <v>1784</v>
      </c>
      <c r="M1530" s="17">
        <v>149900</v>
      </c>
      <c r="N1530" s="15">
        <v>0.75</v>
      </c>
      <c r="O1530" s="16">
        <f t="shared" si="107"/>
        <v>37475</v>
      </c>
      <c r="P1530" s="11" t="s">
        <v>20</v>
      </c>
    </row>
    <row r="1531" spans="1:16" x14ac:dyDescent="0.25">
      <c r="A1531" s="9" t="str">
        <f t="shared" si="111"/>
        <v>2024 ALL D75</v>
      </c>
      <c r="B1531" s="10">
        <f t="shared" si="111"/>
        <v>46104</v>
      </c>
      <c r="C1531" s="10">
        <v>46113</v>
      </c>
      <c r="D1531" s="11">
        <v>3273</v>
      </c>
      <c r="E1531" s="11">
        <v>336</v>
      </c>
      <c r="F1531" s="11">
        <v>4</v>
      </c>
      <c r="G1531" s="19">
        <v>6</v>
      </c>
      <c r="H1531" s="13">
        <v>81588</v>
      </c>
      <c r="I1531" s="13" t="str">
        <f t="shared" si="112"/>
        <v>DISNEY</v>
      </c>
      <c r="J1531" s="13">
        <v>25703562</v>
      </c>
      <c r="K1531" s="13" t="s">
        <v>1783</v>
      </c>
      <c r="L1531" s="13" t="s">
        <v>1785</v>
      </c>
      <c r="M1531" s="17">
        <v>149900</v>
      </c>
      <c r="N1531" s="15">
        <v>0.75</v>
      </c>
      <c r="O1531" s="16">
        <f t="shared" si="107"/>
        <v>37475</v>
      </c>
      <c r="P1531" s="11" t="s">
        <v>20</v>
      </c>
    </row>
    <row r="1532" spans="1:16" x14ac:dyDescent="0.25">
      <c r="A1532" s="9" t="str">
        <f t="shared" si="111"/>
        <v>2024 ALL D75</v>
      </c>
      <c r="B1532" s="10">
        <f t="shared" si="111"/>
        <v>46104</v>
      </c>
      <c r="C1532" s="10">
        <v>46113</v>
      </c>
      <c r="D1532" s="11">
        <v>3273</v>
      </c>
      <c r="E1532" s="11">
        <v>336</v>
      </c>
      <c r="F1532" s="11">
        <v>4</v>
      </c>
      <c r="G1532" s="19">
        <v>6</v>
      </c>
      <c r="H1532" s="13">
        <v>81588</v>
      </c>
      <c r="I1532" s="13" t="str">
        <f t="shared" si="112"/>
        <v>DISNEY</v>
      </c>
      <c r="J1532" s="13">
        <v>25703571</v>
      </c>
      <c r="K1532" s="13" t="s">
        <v>1783</v>
      </c>
      <c r="L1532" s="13" t="s">
        <v>1786</v>
      </c>
      <c r="M1532" s="17">
        <v>149900</v>
      </c>
      <c r="N1532" s="15">
        <v>0.75</v>
      </c>
      <c r="O1532" s="16">
        <f t="shared" si="107"/>
        <v>37475</v>
      </c>
      <c r="P1532" s="11" t="s">
        <v>20</v>
      </c>
    </row>
    <row r="1533" spans="1:16" x14ac:dyDescent="0.25">
      <c r="A1533" s="9" t="str">
        <f t="shared" si="111"/>
        <v>2024 ALL D75</v>
      </c>
      <c r="B1533" s="10">
        <f t="shared" si="111"/>
        <v>46104</v>
      </c>
      <c r="C1533" s="10">
        <v>46113</v>
      </c>
      <c r="D1533" s="11">
        <v>3273</v>
      </c>
      <c r="E1533" s="11">
        <v>336</v>
      </c>
      <c r="F1533" s="11">
        <v>4</v>
      </c>
      <c r="G1533" s="19">
        <v>6</v>
      </c>
      <c r="H1533" s="13">
        <v>81588</v>
      </c>
      <c r="I1533" s="13" t="str">
        <f t="shared" si="112"/>
        <v>DISNEY</v>
      </c>
      <c r="J1533" s="13">
        <v>25703580</v>
      </c>
      <c r="K1533" s="13" t="s">
        <v>1783</v>
      </c>
      <c r="L1533" s="13" t="s">
        <v>1787</v>
      </c>
      <c r="M1533" s="17">
        <v>149900</v>
      </c>
      <c r="N1533" s="15">
        <v>0.75</v>
      </c>
      <c r="O1533" s="16">
        <f t="shared" si="107"/>
        <v>37475</v>
      </c>
      <c r="P1533" s="11" t="s">
        <v>20</v>
      </c>
    </row>
    <row r="1534" spans="1:16" x14ac:dyDescent="0.25">
      <c r="A1534" s="9" t="str">
        <f t="shared" si="111"/>
        <v>2024 ALL D75</v>
      </c>
      <c r="B1534" s="10">
        <f t="shared" si="111"/>
        <v>46104</v>
      </c>
      <c r="C1534" s="10">
        <v>46113</v>
      </c>
      <c r="D1534" s="11">
        <v>3273</v>
      </c>
      <c r="E1534" s="11">
        <v>336</v>
      </c>
      <c r="F1534" s="11">
        <v>4</v>
      </c>
      <c r="G1534" s="19">
        <v>6</v>
      </c>
      <c r="H1534" s="13">
        <v>81588</v>
      </c>
      <c r="I1534" s="13" t="str">
        <f t="shared" si="112"/>
        <v>DISNEY</v>
      </c>
      <c r="J1534" s="13">
        <v>25703599</v>
      </c>
      <c r="K1534" s="13" t="s">
        <v>1783</v>
      </c>
      <c r="L1534" s="13" t="s">
        <v>1788</v>
      </c>
      <c r="M1534" s="17">
        <v>149900</v>
      </c>
      <c r="N1534" s="15">
        <v>0.75</v>
      </c>
      <c r="O1534" s="16">
        <f t="shared" si="107"/>
        <v>37475</v>
      </c>
      <c r="P1534" s="11" t="s">
        <v>20</v>
      </c>
    </row>
    <row r="1535" spans="1:16" x14ac:dyDescent="0.25">
      <c r="A1535" s="9" t="str">
        <f t="shared" si="111"/>
        <v>2024 ALL D75</v>
      </c>
      <c r="B1535" s="10">
        <f t="shared" si="111"/>
        <v>46104</v>
      </c>
      <c r="C1535" s="10">
        <v>46113</v>
      </c>
      <c r="D1535" s="11">
        <v>3273</v>
      </c>
      <c r="E1535" s="11">
        <v>336</v>
      </c>
      <c r="F1535" s="11">
        <v>4</v>
      </c>
      <c r="G1535" s="19">
        <v>6</v>
      </c>
      <c r="H1535" s="13">
        <v>81588</v>
      </c>
      <c r="I1535" s="13" t="str">
        <f t="shared" si="112"/>
        <v>DISNEY</v>
      </c>
      <c r="J1535" s="13">
        <v>25703606</v>
      </c>
      <c r="K1535" s="13" t="s">
        <v>1783</v>
      </c>
      <c r="L1535" s="13" t="s">
        <v>1789</v>
      </c>
      <c r="M1535" s="17">
        <v>149900</v>
      </c>
      <c r="N1535" s="15">
        <v>0.75</v>
      </c>
      <c r="O1535" s="16">
        <f t="shared" si="107"/>
        <v>37475</v>
      </c>
      <c r="P1535" s="11" t="s">
        <v>20</v>
      </c>
    </row>
    <row r="1536" spans="1:16" x14ac:dyDescent="0.25">
      <c r="A1536" s="9" t="str">
        <f t="shared" si="111"/>
        <v>2024 ALL D75</v>
      </c>
      <c r="B1536" s="10">
        <f t="shared" si="111"/>
        <v>46104</v>
      </c>
      <c r="C1536" s="10">
        <v>46113</v>
      </c>
      <c r="D1536" s="11">
        <v>3273</v>
      </c>
      <c r="E1536" s="11">
        <v>336</v>
      </c>
      <c r="F1536" s="11">
        <v>4</v>
      </c>
      <c r="G1536" s="19">
        <v>6</v>
      </c>
      <c r="H1536" s="13">
        <v>81588</v>
      </c>
      <c r="I1536" s="13" t="str">
        <f t="shared" si="112"/>
        <v>DISNEY</v>
      </c>
      <c r="J1536" s="13">
        <v>25703615</v>
      </c>
      <c r="K1536" s="13" t="s">
        <v>1783</v>
      </c>
      <c r="L1536" s="13" t="s">
        <v>1790</v>
      </c>
      <c r="M1536" s="17">
        <v>149900</v>
      </c>
      <c r="N1536" s="15">
        <v>0.75</v>
      </c>
      <c r="O1536" s="16">
        <f t="shared" si="107"/>
        <v>37475</v>
      </c>
      <c r="P1536" s="11" t="s">
        <v>20</v>
      </c>
    </row>
    <row r="1537" spans="1:16" x14ac:dyDescent="0.25">
      <c r="A1537" s="9" t="str">
        <f t="shared" si="111"/>
        <v>2024 ALL D75</v>
      </c>
      <c r="B1537" s="10">
        <f t="shared" si="111"/>
        <v>46104</v>
      </c>
      <c r="C1537" s="10">
        <v>46113</v>
      </c>
      <c r="D1537" s="11">
        <v>3273</v>
      </c>
      <c r="E1537" s="11">
        <v>336</v>
      </c>
      <c r="F1537" s="11">
        <v>4</v>
      </c>
      <c r="G1537" s="19">
        <v>6</v>
      </c>
      <c r="H1537" s="13">
        <v>81588</v>
      </c>
      <c r="I1537" s="13" t="str">
        <f t="shared" si="112"/>
        <v>DISNEY</v>
      </c>
      <c r="J1537" s="13">
        <v>25703624</v>
      </c>
      <c r="K1537" s="13" t="s">
        <v>1783</v>
      </c>
      <c r="L1537" s="13" t="s">
        <v>1791</v>
      </c>
      <c r="M1537" s="17">
        <v>149900</v>
      </c>
      <c r="N1537" s="15">
        <v>0.75</v>
      </c>
      <c r="O1537" s="16">
        <f t="shared" si="107"/>
        <v>37475</v>
      </c>
      <c r="P1537" s="11" t="s">
        <v>20</v>
      </c>
    </row>
    <row r="1538" spans="1:16" x14ac:dyDescent="0.25">
      <c r="A1538" s="9" t="str">
        <f t="shared" si="111"/>
        <v>2024 ALL D75</v>
      </c>
      <c r="B1538" s="10">
        <f t="shared" si="111"/>
        <v>46104</v>
      </c>
      <c r="C1538" s="10">
        <v>46113</v>
      </c>
      <c r="D1538" s="11">
        <v>3273</v>
      </c>
      <c r="E1538" s="11">
        <v>336</v>
      </c>
      <c r="F1538" s="11">
        <v>4</v>
      </c>
      <c r="G1538" s="19">
        <v>6</v>
      </c>
      <c r="H1538" s="13">
        <v>81588</v>
      </c>
      <c r="I1538" s="13" t="str">
        <f t="shared" si="112"/>
        <v>DISNEY</v>
      </c>
      <c r="J1538" s="13">
        <v>25703633</v>
      </c>
      <c r="K1538" s="13" t="s">
        <v>1792</v>
      </c>
      <c r="L1538" s="13" t="s">
        <v>1793</v>
      </c>
      <c r="M1538" s="17">
        <v>149900</v>
      </c>
      <c r="N1538" s="15">
        <v>0.75</v>
      </c>
      <c r="O1538" s="16">
        <f t="shared" ref="O1538:O1601" si="113">M1538*(1-N1538)</f>
        <v>37475</v>
      </c>
      <c r="P1538" s="11" t="s">
        <v>20</v>
      </c>
    </row>
    <row r="1539" spans="1:16" x14ac:dyDescent="0.25">
      <c r="A1539" s="9" t="str">
        <f t="shared" si="111"/>
        <v>2024 ALL D75</v>
      </c>
      <c r="B1539" s="10">
        <f t="shared" si="111"/>
        <v>46104</v>
      </c>
      <c r="C1539" s="10">
        <v>46113</v>
      </c>
      <c r="D1539" s="11">
        <v>3273</v>
      </c>
      <c r="E1539" s="11">
        <v>336</v>
      </c>
      <c r="F1539" s="11">
        <v>4</v>
      </c>
      <c r="G1539" s="19">
        <v>6</v>
      </c>
      <c r="H1539" s="13">
        <v>81588</v>
      </c>
      <c r="I1539" s="13" t="str">
        <f t="shared" si="112"/>
        <v>DISNEY</v>
      </c>
      <c r="J1539" s="13">
        <v>25703642</v>
      </c>
      <c r="K1539" s="13" t="s">
        <v>1792</v>
      </c>
      <c r="L1539" s="13" t="s">
        <v>1794</v>
      </c>
      <c r="M1539" s="17">
        <v>149900</v>
      </c>
      <c r="N1539" s="15">
        <v>0.75</v>
      </c>
      <c r="O1539" s="16">
        <f t="shared" si="113"/>
        <v>37475</v>
      </c>
      <c r="P1539" s="11" t="s">
        <v>20</v>
      </c>
    </row>
    <row r="1540" spans="1:16" x14ac:dyDescent="0.25">
      <c r="A1540" s="9" t="str">
        <f t="shared" ref="A1540:B1555" si="114">A1539</f>
        <v>2024 ALL D75</v>
      </c>
      <c r="B1540" s="10">
        <f t="shared" si="114"/>
        <v>46104</v>
      </c>
      <c r="C1540" s="10">
        <v>46113</v>
      </c>
      <c r="D1540" s="11">
        <v>3273</v>
      </c>
      <c r="E1540" s="11">
        <v>336</v>
      </c>
      <c r="F1540" s="11">
        <v>4</v>
      </c>
      <c r="G1540" s="19">
        <v>6</v>
      </c>
      <c r="H1540" s="13">
        <v>81588</v>
      </c>
      <c r="I1540" s="13" t="str">
        <f t="shared" si="112"/>
        <v>DISNEY</v>
      </c>
      <c r="J1540" s="13">
        <v>25703651</v>
      </c>
      <c r="K1540" s="13" t="s">
        <v>1792</v>
      </c>
      <c r="L1540" s="13" t="s">
        <v>1795</v>
      </c>
      <c r="M1540" s="17">
        <v>149900</v>
      </c>
      <c r="N1540" s="15">
        <v>0.75</v>
      </c>
      <c r="O1540" s="16">
        <f t="shared" si="113"/>
        <v>37475</v>
      </c>
      <c r="P1540" s="11" t="s">
        <v>20</v>
      </c>
    </row>
    <row r="1541" spans="1:16" x14ac:dyDescent="0.25">
      <c r="A1541" s="9" t="str">
        <f t="shared" si="114"/>
        <v>2024 ALL D75</v>
      </c>
      <c r="B1541" s="10">
        <f t="shared" si="114"/>
        <v>46104</v>
      </c>
      <c r="C1541" s="10">
        <v>46113</v>
      </c>
      <c r="D1541" s="11">
        <v>3273</v>
      </c>
      <c r="E1541" s="11">
        <v>336</v>
      </c>
      <c r="F1541" s="11">
        <v>4</v>
      </c>
      <c r="G1541" s="19">
        <v>6</v>
      </c>
      <c r="H1541" s="13">
        <v>81588</v>
      </c>
      <c r="I1541" s="13" t="str">
        <f t="shared" si="112"/>
        <v>DISNEY</v>
      </c>
      <c r="J1541" s="13">
        <v>25703660</v>
      </c>
      <c r="K1541" s="13" t="s">
        <v>1792</v>
      </c>
      <c r="L1541" s="13" t="s">
        <v>1796</v>
      </c>
      <c r="M1541" s="17">
        <v>149900</v>
      </c>
      <c r="N1541" s="15">
        <v>0.75</v>
      </c>
      <c r="O1541" s="16">
        <f t="shared" si="113"/>
        <v>37475</v>
      </c>
      <c r="P1541" s="11" t="s">
        <v>20</v>
      </c>
    </row>
    <row r="1542" spans="1:16" x14ac:dyDescent="0.25">
      <c r="A1542" s="9" t="str">
        <f t="shared" si="114"/>
        <v>2024 ALL D75</v>
      </c>
      <c r="B1542" s="10">
        <f t="shared" si="114"/>
        <v>46104</v>
      </c>
      <c r="C1542" s="10">
        <v>46113</v>
      </c>
      <c r="D1542" s="11">
        <v>3273</v>
      </c>
      <c r="E1542" s="11">
        <v>336</v>
      </c>
      <c r="F1542" s="11">
        <v>4</v>
      </c>
      <c r="G1542" s="19">
        <v>6</v>
      </c>
      <c r="H1542" s="13">
        <v>81588</v>
      </c>
      <c r="I1542" s="13" t="str">
        <f t="shared" si="112"/>
        <v>DISNEY</v>
      </c>
      <c r="J1542" s="13">
        <v>25703679</v>
      </c>
      <c r="K1542" s="13" t="s">
        <v>1792</v>
      </c>
      <c r="L1542" s="13" t="s">
        <v>1797</v>
      </c>
      <c r="M1542" s="17">
        <v>149900</v>
      </c>
      <c r="N1542" s="15">
        <v>0.75</v>
      </c>
      <c r="O1542" s="16">
        <f t="shared" si="113"/>
        <v>37475</v>
      </c>
      <c r="P1542" s="11" t="s">
        <v>20</v>
      </c>
    </row>
    <row r="1543" spans="1:16" x14ac:dyDescent="0.25">
      <c r="A1543" s="9" t="str">
        <f t="shared" si="114"/>
        <v>2024 ALL D75</v>
      </c>
      <c r="B1543" s="10">
        <f t="shared" si="114"/>
        <v>46104</v>
      </c>
      <c r="C1543" s="10">
        <v>46113</v>
      </c>
      <c r="D1543" s="11">
        <v>3273</v>
      </c>
      <c r="E1543" s="11">
        <v>336</v>
      </c>
      <c r="F1543" s="11">
        <v>4</v>
      </c>
      <c r="G1543" s="19">
        <v>6</v>
      </c>
      <c r="H1543" s="13">
        <v>81588</v>
      </c>
      <c r="I1543" s="13" t="str">
        <f t="shared" si="112"/>
        <v>DISNEY</v>
      </c>
      <c r="J1543" s="13">
        <v>25703688</v>
      </c>
      <c r="K1543" s="13" t="s">
        <v>1792</v>
      </c>
      <c r="L1543" s="13" t="s">
        <v>1798</v>
      </c>
      <c r="M1543" s="17">
        <v>149900</v>
      </c>
      <c r="N1543" s="15">
        <v>0.75</v>
      </c>
      <c r="O1543" s="16">
        <f t="shared" si="113"/>
        <v>37475</v>
      </c>
      <c r="P1543" s="11" t="s">
        <v>20</v>
      </c>
    </row>
    <row r="1544" spans="1:16" x14ac:dyDescent="0.25">
      <c r="A1544" s="9" t="str">
        <f t="shared" si="114"/>
        <v>2024 ALL D75</v>
      </c>
      <c r="B1544" s="10">
        <f t="shared" si="114"/>
        <v>46104</v>
      </c>
      <c r="C1544" s="10">
        <v>46113</v>
      </c>
      <c r="D1544" s="11">
        <v>3273</v>
      </c>
      <c r="E1544" s="11">
        <v>336</v>
      </c>
      <c r="F1544" s="11">
        <v>4</v>
      </c>
      <c r="G1544" s="19">
        <v>6</v>
      </c>
      <c r="H1544" s="13">
        <v>81588</v>
      </c>
      <c r="I1544" s="13" t="str">
        <f t="shared" si="112"/>
        <v>DISNEY</v>
      </c>
      <c r="J1544" s="13">
        <v>25703697</v>
      </c>
      <c r="K1544" s="13" t="s">
        <v>1792</v>
      </c>
      <c r="L1544" s="13" t="s">
        <v>1799</v>
      </c>
      <c r="M1544" s="17">
        <v>149900</v>
      </c>
      <c r="N1544" s="15">
        <v>0.75</v>
      </c>
      <c r="O1544" s="16">
        <f t="shared" si="113"/>
        <v>37475</v>
      </c>
      <c r="P1544" s="11" t="s">
        <v>20</v>
      </c>
    </row>
    <row r="1545" spans="1:16" x14ac:dyDescent="0.25">
      <c r="A1545" s="9" t="str">
        <f t="shared" si="114"/>
        <v>2024 ALL D75</v>
      </c>
      <c r="B1545" s="10">
        <f t="shared" si="114"/>
        <v>46104</v>
      </c>
      <c r="C1545" s="10">
        <v>46113</v>
      </c>
      <c r="D1545" s="11">
        <v>3273</v>
      </c>
      <c r="E1545" s="11">
        <v>336</v>
      </c>
      <c r="F1545" s="11">
        <v>4</v>
      </c>
      <c r="G1545" s="19">
        <v>6</v>
      </c>
      <c r="H1545" s="13">
        <v>81588</v>
      </c>
      <c r="I1545" s="13" t="str">
        <f t="shared" si="112"/>
        <v>DISNEY</v>
      </c>
      <c r="J1545" s="13">
        <v>25703704</v>
      </c>
      <c r="K1545" s="13" t="s">
        <v>1792</v>
      </c>
      <c r="L1545" s="13" t="s">
        <v>1800</v>
      </c>
      <c r="M1545" s="17">
        <v>149900</v>
      </c>
      <c r="N1545" s="15">
        <v>0.75</v>
      </c>
      <c r="O1545" s="16">
        <f t="shared" si="113"/>
        <v>37475</v>
      </c>
      <c r="P1545" s="11" t="s">
        <v>20</v>
      </c>
    </row>
    <row r="1546" spans="1:16" x14ac:dyDescent="0.25">
      <c r="A1546" s="9" t="str">
        <f t="shared" si="114"/>
        <v>2024 ALL D75</v>
      </c>
      <c r="B1546" s="10">
        <f t="shared" si="114"/>
        <v>46104</v>
      </c>
      <c r="C1546" s="10">
        <v>46113</v>
      </c>
      <c r="D1546" s="11">
        <v>3273</v>
      </c>
      <c r="E1546" s="11">
        <v>336</v>
      </c>
      <c r="F1546" s="11">
        <v>4</v>
      </c>
      <c r="G1546" s="19">
        <v>6</v>
      </c>
      <c r="H1546" s="13">
        <v>81588</v>
      </c>
      <c r="I1546" s="13" t="str">
        <f t="shared" si="112"/>
        <v>DISNEY</v>
      </c>
      <c r="J1546" s="13">
        <v>25703713</v>
      </c>
      <c r="K1546" s="13" t="s">
        <v>1801</v>
      </c>
      <c r="L1546" s="13" t="s">
        <v>1802</v>
      </c>
      <c r="M1546" s="17">
        <v>149900</v>
      </c>
      <c r="N1546" s="15">
        <v>0.75</v>
      </c>
      <c r="O1546" s="16">
        <f t="shared" si="113"/>
        <v>37475</v>
      </c>
      <c r="P1546" s="11" t="s">
        <v>20</v>
      </c>
    </row>
    <row r="1547" spans="1:16" x14ac:dyDescent="0.25">
      <c r="A1547" s="9" t="str">
        <f t="shared" si="114"/>
        <v>2024 ALL D75</v>
      </c>
      <c r="B1547" s="10">
        <f t="shared" si="114"/>
        <v>46104</v>
      </c>
      <c r="C1547" s="10">
        <v>46113</v>
      </c>
      <c r="D1547" s="11">
        <v>3273</v>
      </c>
      <c r="E1547" s="11">
        <v>336</v>
      </c>
      <c r="F1547" s="11">
        <v>4</v>
      </c>
      <c r="G1547" s="19">
        <v>6</v>
      </c>
      <c r="H1547" s="13">
        <v>81588</v>
      </c>
      <c r="I1547" s="13" t="str">
        <f t="shared" si="112"/>
        <v>DISNEY</v>
      </c>
      <c r="J1547" s="13">
        <v>25703722</v>
      </c>
      <c r="K1547" s="13" t="s">
        <v>1801</v>
      </c>
      <c r="L1547" s="13" t="s">
        <v>1803</v>
      </c>
      <c r="M1547" s="17">
        <v>149900</v>
      </c>
      <c r="N1547" s="15">
        <v>0.75</v>
      </c>
      <c r="O1547" s="16">
        <f t="shared" si="113"/>
        <v>37475</v>
      </c>
      <c r="P1547" s="11" t="s">
        <v>20</v>
      </c>
    </row>
    <row r="1548" spans="1:16" x14ac:dyDescent="0.25">
      <c r="A1548" s="9" t="str">
        <f t="shared" si="114"/>
        <v>2024 ALL D75</v>
      </c>
      <c r="B1548" s="10">
        <f t="shared" si="114"/>
        <v>46104</v>
      </c>
      <c r="C1548" s="10">
        <v>46113</v>
      </c>
      <c r="D1548" s="11">
        <v>3273</v>
      </c>
      <c r="E1548" s="11">
        <v>336</v>
      </c>
      <c r="F1548" s="11">
        <v>4</v>
      </c>
      <c r="G1548" s="19">
        <v>6</v>
      </c>
      <c r="H1548" s="13">
        <v>81588</v>
      </c>
      <c r="I1548" s="13" t="str">
        <f t="shared" si="112"/>
        <v>DISNEY</v>
      </c>
      <c r="J1548" s="13">
        <v>25703731</v>
      </c>
      <c r="K1548" s="13" t="s">
        <v>1801</v>
      </c>
      <c r="L1548" s="13" t="s">
        <v>1804</v>
      </c>
      <c r="M1548" s="17">
        <v>149900</v>
      </c>
      <c r="N1548" s="15">
        <v>0.75</v>
      </c>
      <c r="O1548" s="16">
        <f t="shared" si="113"/>
        <v>37475</v>
      </c>
      <c r="P1548" s="11" t="s">
        <v>20</v>
      </c>
    </row>
    <row r="1549" spans="1:16" x14ac:dyDescent="0.25">
      <c r="A1549" s="9" t="str">
        <f t="shared" si="114"/>
        <v>2024 ALL D75</v>
      </c>
      <c r="B1549" s="10">
        <f t="shared" si="114"/>
        <v>46104</v>
      </c>
      <c r="C1549" s="10">
        <v>46113</v>
      </c>
      <c r="D1549" s="11">
        <v>3273</v>
      </c>
      <c r="E1549" s="11">
        <v>336</v>
      </c>
      <c r="F1549" s="11">
        <v>4</v>
      </c>
      <c r="G1549" s="19">
        <v>6</v>
      </c>
      <c r="H1549" s="13">
        <v>81588</v>
      </c>
      <c r="I1549" s="13" t="str">
        <f t="shared" si="112"/>
        <v>DISNEY</v>
      </c>
      <c r="J1549" s="13">
        <v>25703740</v>
      </c>
      <c r="K1549" s="13" t="s">
        <v>1801</v>
      </c>
      <c r="L1549" s="13" t="s">
        <v>1805</v>
      </c>
      <c r="M1549" s="17">
        <v>149900</v>
      </c>
      <c r="N1549" s="15">
        <v>0.75</v>
      </c>
      <c r="O1549" s="16">
        <f t="shared" si="113"/>
        <v>37475</v>
      </c>
      <c r="P1549" s="11" t="s">
        <v>20</v>
      </c>
    </row>
    <row r="1550" spans="1:16" x14ac:dyDescent="0.25">
      <c r="A1550" s="9" t="str">
        <f t="shared" si="114"/>
        <v>2024 ALL D75</v>
      </c>
      <c r="B1550" s="10">
        <f t="shared" si="114"/>
        <v>46104</v>
      </c>
      <c r="C1550" s="10">
        <v>46113</v>
      </c>
      <c r="D1550" s="11">
        <v>3273</v>
      </c>
      <c r="E1550" s="11">
        <v>336</v>
      </c>
      <c r="F1550" s="11">
        <v>4</v>
      </c>
      <c r="G1550" s="19">
        <v>6</v>
      </c>
      <c r="H1550" s="13">
        <v>81588</v>
      </c>
      <c r="I1550" s="13" t="str">
        <f t="shared" si="112"/>
        <v>DISNEY</v>
      </c>
      <c r="J1550" s="13">
        <v>25703759</v>
      </c>
      <c r="K1550" s="13" t="s">
        <v>1801</v>
      </c>
      <c r="L1550" s="13" t="s">
        <v>1806</v>
      </c>
      <c r="M1550" s="17">
        <v>149900</v>
      </c>
      <c r="N1550" s="15">
        <v>0.75</v>
      </c>
      <c r="O1550" s="16">
        <f t="shared" si="113"/>
        <v>37475</v>
      </c>
      <c r="P1550" s="11" t="s">
        <v>20</v>
      </c>
    </row>
    <row r="1551" spans="1:16" x14ac:dyDescent="0.25">
      <c r="A1551" s="9" t="str">
        <f t="shared" si="114"/>
        <v>2024 ALL D75</v>
      </c>
      <c r="B1551" s="10">
        <f t="shared" si="114"/>
        <v>46104</v>
      </c>
      <c r="C1551" s="10">
        <v>46113</v>
      </c>
      <c r="D1551" s="11">
        <v>3273</v>
      </c>
      <c r="E1551" s="11">
        <v>336</v>
      </c>
      <c r="F1551" s="11">
        <v>4</v>
      </c>
      <c r="G1551" s="19">
        <v>6</v>
      </c>
      <c r="H1551" s="13">
        <v>81588</v>
      </c>
      <c r="I1551" s="13" t="str">
        <f t="shared" si="112"/>
        <v>DISNEY</v>
      </c>
      <c r="J1551" s="13">
        <v>25703768</v>
      </c>
      <c r="K1551" s="13" t="s">
        <v>1801</v>
      </c>
      <c r="L1551" s="13" t="s">
        <v>1807</v>
      </c>
      <c r="M1551" s="17">
        <v>149900</v>
      </c>
      <c r="N1551" s="15">
        <v>0.75</v>
      </c>
      <c r="O1551" s="16">
        <f t="shared" si="113"/>
        <v>37475</v>
      </c>
      <c r="P1551" s="11" t="s">
        <v>20</v>
      </c>
    </row>
    <row r="1552" spans="1:16" x14ac:dyDescent="0.25">
      <c r="A1552" s="9" t="str">
        <f t="shared" si="114"/>
        <v>2024 ALL D75</v>
      </c>
      <c r="B1552" s="10">
        <f t="shared" si="114"/>
        <v>46104</v>
      </c>
      <c r="C1552" s="10">
        <v>46113</v>
      </c>
      <c r="D1552" s="11">
        <v>3273</v>
      </c>
      <c r="E1552" s="11">
        <v>336</v>
      </c>
      <c r="F1552" s="11">
        <v>4</v>
      </c>
      <c r="G1552" s="19">
        <v>6</v>
      </c>
      <c r="H1552" s="13">
        <v>81588</v>
      </c>
      <c r="I1552" s="13" t="str">
        <f t="shared" si="112"/>
        <v>DISNEY</v>
      </c>
      <c r="J1552" s="13">
        <v>25703777</v>
      </c>
      <c r="K1552" s="13" t="s">
        <v>1801</v>
      </c>
      <c r="L1552" s="13" t="s">
        <v>1808</v>
      </c>
      <c r="M1552" s="17">
        <v>149900</v>
      </c>
      <c r="N1552" s="15">
        <v>0.75</v>
      </c>
      <c r="O1552" s="16">
        <f t="shared" si="113"/>
        <v>37475</v>
      </c>
      <c r="P1552" s="11" t="s">
        <v>20</v>
      </c>
    </row>
    <row r="1553" spans="1:16" x14ac:dyDescent="0.25">
      <c r="A1553" s="9" t="str">
        <f t="shared" si="114"/>
        <v>2024 ALL D75</v>
      </c>
      <c r="B1553" s="10">
        <f t="shared" si="114"/>
        <v>46104</v>
      </c>
      <c r="C1553" s="10">
        <v>46113</v>
      </c>
      <c r="D1553" s="11">
        <v>3273</v>
      </c>
      <c r="E1553" s="11">
        <v>336</v>
      </c>
      <c r="F1553" s="11">
        <v>4</v>
      </c>
      <c r="G1553" s="19">
        <v>6</v>
      </c>
      <c r="H1553" s="13">
        <v>81588</v>
      </c>
      <c r="I1553" s="13" t="str">
        <f t="shared" si="112"/>
        <v>DISNEY</v>
      </c>
      <c r="J1553" s="13">
        <v>25703786</v>
      </c>
      <c r="K1553" s="13" t="s">
        <v>1801</v>
      </c>
      <c r="L1553" s="13" t="s">
        <v>1809</v>
      </c>
      <c r="M1553" s="17">
        <v>149900</v>
      </c>
      <c r="N1553" s="15">
        <v>0.75</v>
      </c>
      <c r="O1553" s="16">
        <f t="shared" si="113"/>
        <v>37475</v>
      </c>
      <c r="P1553" s="11" t="s">
        <v>20</v>
      </c>
    </row>
    <row r="1554" spans="1:16" x14ac:dyDescent="0.25">
      <c r="A1554" s="9" t="str">
        <f t="shared" si="114"/>
        <v>2024 ALL D75</v>
      </c>
      <c r="B1554" s="10">
        <f t="shared" si="114"/>
        <v>46104</v>
      </c>
      <c r="C1554" s="10">
        <v>46113</v>
      </c>
      <c r="D1554" s="11">
        <v>3273</v>
      </c>
      <c r="E1554" s="11">
        <v>336</v>
      </c>
      <c r="F1554" s="11">
        <v>4</v>
      </c>
      <c r="G1554" s="19">
        <v>6</v>
      </c>
      <c r="H1554" s="13">
        <v>81588</v>
      </c>
      <c r="I1554" s="13" t="str">
        <f t="shared" si="112"/>
        <v>DISNEY</v>
      </c>
      <c r="J1554" s="13">
        <v>45247803</v>
      </c>
      <c r="K1554" s="13" t="s">
        <v>1810</v>
      </c>
      <c r="L1554" s="13" t="s">
        <v>1811</v>
      </c>
      <c r="M1554" s="17">
        <v>139900</v>
      </c>
      <c r="N1554" s="15">
        <v>0.75</v>
      </c>
      <c r="O1554" s="16">
        <f t="shared" si="113"/>
        <v>34975</v>
      </c>
      <c r="P1554" s="11" t="s">
        <v>20</v>
      </c>
    </row>
    <row r="1555" spans="1:16" x14ac:dyDescent="0.25">
      <c r="A1555" s="9" t="str">
        <f t="shared" si="114"/>
        <v>2024 ALL D75</v>
      </c>
      <c r="B1555" s="10">
        <f t="shared" si="114"/>
        <v>46104</v>
      </c>
      <c r="C1555" s="10">
        <v>46113</v>
      </c>
      <c r="D1555" s="11">
        <v>3273</v>
      </c>
      <c r="E1555" s="11">
        <v>336</v>
      </c>
      <c r="F1555" s="11">
        <v>4</v>
      </c>
      <c r="G1555" s="19">
        <v>6</v>
      </c>
      <c r="H1555" s="13">
        <v>81588</v>
      </c>
      <c r="I1555" s="13" t="str">
        <f t="shared" si="112"/>
        <v>DISNEY</v>
      </c>
      <c r="J1555" s="13">
        <v>45247812</v>
      </c>
      <c r="K1555" s="13" t="s">
        <v>1810</v>
      </c>
      <c r="L1555" s="13" t="s">
        <v>1812</v>
      </c>
      <c r="M1555" s="17">
        <v>139900</v>
      </c>
      <c r="N1555" s="15">
        <v>0.75</v>
      </c>
      <c r="O1555" s="16">
        <f t="shared" si="113"/>
        <v>34975</v>
      </c>
      <c r="P1555" s="11" t="s">
        <v>20</v>
      </c>
    </row>
    <row r="1556" spans="1:16" x14ac:dyDescent="0.25">
      <c r="A1556" s="9" t="str">
        <f t="shared" ref="A1556:B1571" si="115">A1555</f>
        <v>2024 ALL D75</v>
      </c>
      <c r="B1556" s="10">
        <f t="shared" si="115"/>
        <v>46104</v>
      </c>
      <c r="C1556" s="10">
        <v>46113</v>
      </c>
      <c r="D1556" s="11">
        <v>3273</v>
      </c>
      <c r="E1556" s="11">
        <v>336</v>
      </c>
      <c r="F1556" s="11">
        <v>4</v>
      </c>
      <c r="G1556" s="19">
        <v>6</v>
      </c>
      <c r="H1556" s="13">
        <v>81588</v>
      </c>
      <c r="I1556" s="13" t="str">
        <f t="shared" si="112"/>
        <v>DISNEY</v>
      </c>
      <c r="J1556" s="13">
        <v>45247821</v>
      </c>
      <c r="K1556" s="13" t="s">
        <v>1810</v>
      </c>
      <c r="L1556" s="13" t="s">
        <v>1813</v>
      </c>
      <c r="M1556" s="17">
        <v>139900</v>
      </c>
      <c r="N1556" s="15">
        <v>0.75</v>
      </c>
      <c r="O1556" s="16">
        <f t="shared" si="113"/>
        <v>34975</v>
      </c>
      <c r="P1556" s="11" t="s">
        <v>20</v>
      </c>
    </row>
    <row r="1557" spans="1:16" x14ac:dyDescent="0.25">
      <c r="A1557" s="9" t="str">
        <f t="shared" si="115"/>
        <v>2024 ALL D75</v>
      </c>
      <c r="B1557" s="10">
        <f t="shared" si="115"/>
        <v>46104</v>
      </c>
      <c r="C1557" s="10">
        <v>46113</v>
      </c>
      <c r="D1557" s="11">
        <v>3273</v>
      </c>
      <c r="E1557" s="11">
        <v>336</v>
      </c>
      <c r="F1557" s="11">
        <v>4</v>
      </c>
      <c r="G1557" s="19">
        <v>6</v>
      </c>
      <c r="H1557" s="13">
        <v>81588</v>
      </c>
      <c r="I1557" s="13" t="str">
        <f t="shared" si="112"/>
        <v>DISNEY</v>
      </c>
      <c r="J1557" s="13">
        <v>45247830</v>
      </c>
      <c r="K1557" s="13" t="s">
        <v>1810</v>
      </c>
      <c r="L1557" s="13" t="s">
        <v>1814</v>
      </c>
      <c r="M1557" s="17">
        <v>139900</v>
      </c>
      <c r="N1557" s="15">
        <v>0.75</v>
      </c>
      <c r="O1557" s="16">
        <f t="shared" si="113"/>
        <v>34975</v>
      </c>
      <c r="P1557" s="11" t="s">
        <v>20</v>
      </c>
    </row>
    <row r="1558" spans="1:16" x14ac:dyDescent="0.25">
      <c r="A1558" s="9" t="str">
        <f t="shared" si="115"/>
        <v>2024 ALL D75</v>
      </c>
      <c r="B1558" s="10">
        <f t="shared" si="115"/>
        <v>46104</v>
      </c>
      <c r="C1558" s="10">
        <v>46113</v>
      </c>
      <c r="D1558" s="11">
        <v>3273</v>
      </c>
      <c r="E1558" s="11">
        <v>336</v>
      </c>
      <c r="F1558" s="11">
        <v>4</v>
      </c>
      <c r="G1558" s="19">
        <v>6</v>
      </c>
      <c r="H1558" s="13">
        <v>81588</v>
      </c>
      <c r="I1558" s="13" t="str">
        <f t="shared" si="112"/>
        <v>DISNEY</v>
      </c>
      <c r="J1558" s="13">
        <v>45247849</v>
      </c>
      <c r="K1558" s="13" t="s">
        <v>1810</v>
      </c>
      <c r="L1558" s="13" t="s">
        <v>1815</v>
      </c>
      <c r="M1558" s="17">
        <v>139900</v>
      </c>
      <c r="N1558" s="15">
        <v>0.75</v>
      </c>
      <c r="O1558" s="16">
        <f t="shared" si="113"/>
        <v>34975</v>
      </c>
      <c r="P1558" s="11" t="s">
        <v>20</v>
      </c>
    </row>
    <row r="1559" spans="1:16" x14ac:dyDescent="0.25">
      <c r="A1559" s="9" t="str">
        <f t="shared" si="115"/>
        <v>2024 ALL D75</v>
      </c>
      <c r="B1559" s="10">
        <f t="shared" si="115"/>
        <v>46104</v>
      </c>
      <c r="C1559" s="10">
        <v>46113</v>
      </c>
      <c r="D1559" s="11">
        <v>3273</v>
      </c>
      <c r="E1559" s="11">
        <v>336</v>
      </c>
      <c r="F1559" s="11">
        <v>4</v>
      </c>
      <c r="G1559" s="19">
        <v>6</v>
      </c>
      <c r="H1559" s="13">
        <v>81588</v>
      </c>
      <c r="I1559" s="13" t="str">
        <f t="shared" si="112"/>
        <v>DISNEY</v>
      </c>
      <c r="J1559" s="13">
        <v>45247858</v>
      </c>
      <c r="K1559" s="13" t="s">
        <v>1810</v>
      </c>
      <c r="L1559" s="13" t="s">
        <v>1816</v>
      </c>
      <c r="M1559" s="17">
        <v>139900</v>
      </c>
      <c r="N1559" s="15">
        <v>0.75</v>
      </c>
      <c r="O1559" s="16">
        <f t="shared" si="113"/>
        <v>34975</v>
      </c>
      <c r="P1559" s="11" t="s">
        <v>20</v>
      </c>
    </row>
    <row r="1560" spans="1:16" x14ac:dyDescent="0.25">
      <c r="A1560" s="9" t="str">
        <f t="shared" si="115"/>
        <v>2024 ALL D75</v>
      </c>
      <c r="B1560" s="10">
        <f t="shared" si="115"/>
        <v>46104</v>
      </c>
      <c r="C1560" s="10">
        <v>46113</v>
      </c>
      <c r="D1560" s="11">
        <v>3273</v>
      </c>
      <c r="E1560" s="11">
        <v>336</v>
      </c>
      <c r="F1560" s="11">
        <v>4</v>
      </c>
      <c r="G1560" s="19">
        <v>6</v>
      </c>
      <c r="H1560" s="13">
        <v>81588</v>
      </c>
      <c r="I1560" s="13" t="str">
        <f t="shared" si="112"/>
        <v>DISNEY</v>
      </c>
      <c r="J1560" s="13">
        <v>45247867</v>
      </c>
      <c r="K1560" s="13" t="s">
        <v>1810</v>
      </c>
      <c r="L1560" s="13" t="s">
        <v>1817</v>
      </c>
      <c r="M1560" s="17">
        <v>139900</v>
      </c>
      <c r="N1560" s="15">
        <v>0.75</v>
      </c>
      <c r="O1560" s="16">
        <f t="shared" si="113"/>
        <v>34975</v>
      </c>
      <c r="P1560" s="11" t="s">
        <v>20</v>
      </c>
    </row>
    <row r="1561" spans="1:16" x14ac:dyDescent="0.25">
      <c r="A1561" s="9" t="str">
        <f t="shared" si="115"/>
        <v>2024 ALL D75</v>
      </c>
      <c r="B1561" s="10">
        <f t="shared" si="115"/>
        <v>46104</v>
      </c>
      <c r="C1561" s="10">
        <v>46113</v>
      </c>
      <c r="D1561" s="11">
        <v>3273</v>
      </c>
      <c r="E1561" s="11">
        <v>336</v>
      </c>
      <c r="F1561" s="11">
        <v>4</v>
      </c>
      <c r="G1561" s="19">
        <v>6</v>
      </c>
      <c r="H1561" s="13">
        <v>81588</v>
      </c>
      <c r="I1561" s="13" t="str">
        <f t="shared" si="112"/>
        <v>DISNEY</v>
      </c>
      <c r="J1561" s="13">
        <v>45247876</v>
      </c>
      <c r="K1561" s="13" t="s">
        <v>1810</v>
      </c>
      <c r="L1561" s="13" t="s">
        <v>1818</v>
      </c>
      <c r="M1561" s="17">
        <v>139900</v>
      </c>
      <c r="N1561" s="15">
        <v>0.75</v>
      </c>
      <c r="O1561" s="16">
        <f t="shared" si="113"/>
        <v>34975</v>
      </c>
      <c r="P1561" s="11" t="s">
        <v>20</v>
      </c>
    </row>
    <row r="1562" spans="1:16" x14ac:dyDescent="0.25">
      <c r="A1562" s="9" t="str">
        <f t="shared" si="115"/>
        <v>2024 ALL D75</v>
      </c>
      <c r="B1562" s="10">
        <f t="shared" si="115"/>
        <v>46104</v>
      </c>
      <c r="C1562" s="10">
        <v>46113</v>
      </c>
      <c r="D1562" s="11">
        <v>3273</v>
      </c>
      <c r="E1562" s="11">
        <v>336</v>
      </c>
      <c r="F1562" s="11">
        <v>4</v>
      </c>
      <c r="G1562" s="19">
        <v>6</v>
      </c>
      <c r="H1562" s="13">
        <v>81676</v>
      </c>
      <c r="I1562" s="13" t="str">
        <f t="shared" si="112"/>
        <v>DISNEY</v>
      </c>
      <c r="J1562" s="13">
        <v>45247885</v>
      </c>
      <c r="K1562" s="13" t="s">
        <v>1819</v>
      </c>
      <c r="L1562" s="13" t="s">
        <v>1820</v>
      </c>
      <c r="M1562" s="17">
        <v>129900</v>
      </c>
      <c r="N1562" s="15">
        <v>0.75</v>
      </c>
      <c r="O1562" s="16">
        <f t="shared" si="113"/>
        <v>32475</v>
      </c>
      <c r="P1562" s="11" t="s">
        <v>20</v>
      </c>
    </row>
    <row r="1563" spans="1:16" x14ac:dyDescent="0.25">
      <c r="A1563" s="9" t="str">
        <f t="shared" si="115"/>
        <v>2024 ALL D75</v>
      </c>
      <c r="B1563" s="10">
        <f t="shared" si="115"/>
        <v>46104</v>
      </c>
      <c r="C1563" s="10">
        <v>46113</v>
      </c>
      <c r="D1563" s="11">
        <v>3273</v>
      </c>
      <c r="E1563" s="11">
        <v>336</v>
      </c>
      <c r="F1563" s="11">
        <v>4</v>
      </c>
      <c r="G1563" s="19">
        <v>6</v>
      </c>
      <c r="H1563" s="13">
        <v>81676</v>
      </c>
      <c r="I1563" s="13" t="str">
        <f t="shared" si="112"/>
        <v>DISNEY</v>
      </c>
      <c r="J1563" s="13">
        <v>45247894</v>
      </c>
      <c r="K1563" s="13" t="s">
        <v>1819</v>
      </c>
      <c r="L1563" s="13" t="s">
        <v>1821</v>
      </c>
      <c r="M1563" s="17">
        <v>129900</v>
      </c>
      <c r="N1563" s="15">
        <v>0.75</v>
      </c>
      <c r="O1563" s="16">
        <f t="shared" si="113"/>
        <v>32475</v>
      </c>
      <c r="P1563" s="11" t="s">
        <v>20</v>
      </c>
    </row>
    <row r="1564" spans="1:16" x14ac:dyDescent="0.25">
      <c r="A1564" s="9" t="str">
        <f t="shared" si="115"/>
        <v>2024 ALL D75</v>
      </c>
      <c r="B1564" s="10">
        <f t="shared" si="115"/>
        <v>46104</v>
      </c>
      <c r="C1564" s="10">
        <v>46113</v>
      </c>
      <c r="D1564" s="11">
        <v>3273</v>
      </c>
      <c r="E1564" s="11">
        <v>336</v>
      </c>
      <c r="F1564" s="11">
        <v>4</v>
      </c>
      <c r="G1564" s="19">
        <v>6</v>
      </c>
      <c r="H1564" s="13">
        <v>81676</v>
      </c>
      <c r="I1564" s="13" t="str">
        <f t="shared" si="112"/>
        <v>DISNEY</v>
      </c>
      <c r="J1564" s="13">
        <v>45247901</v>
      </c>
      <c r="K1564" s="13" t="s">
        <v>1819</v>
      </c>
      <c r="L1564" s="13" t="s">
        <v>1822</v>
      </c>
      <c r="M1564" s="17">
        <v>129900</v>
      </c>
      <c r="N1564" s="15">
        <v>0.75</v>
      </c>
      <c r="O1564" s="16">
        <f t="shared" si="113"/>
        <v>32475</v>
      </c>
      <c r="P1564" s="11" t="s">
        <v>20</v>
      </c>
    </row>
    <row r="1565" spans="1:16" x14ac:dyDescent="0.25">
      <c r="A1565" s="9" t="str">
        <f t="shared" si="115"/>
        <v>2024 ALL D75</v>
      </c>
      <c r="B1565" s="10">
        <f t="shared" si="115"/>
        <v>46104</v>
      </c>
      <c r="C1565" s="10">
        <v>46113</v>
      </c>
      <c r="D1565" s="11">
        <v>3273</v>
      </c>
      <c r="E1565" s="11">
        <v>336</v>
      </c>
      <c r="F1565" s="11">
        <v>4</v>
      </c>
      <c r="G1565" s="19">
        <v>6</v>
      </c>
      <c r="H1565" s="13">
        <v>81676</v>
      </c>
      <c r="I1565" s="13" t="str">
        <f t="shared" si="112"/>
        <v>DISNEY</v>
      </c>
      <c r="J1565" s="13">
        <v>45247910</v>
      </c>
      <c r="K1565" s="13" t="s">
        <v>1819</v>
      </c>
      <c r="L1565" s="13" t="s">
        <v>1823</v>
      </c>
      <c r="M1565" s="17">
        <v>129900</v>
      </c>
      <c r="N1565" s="15">
        <v>0.75</v>
      </c>
      <c r="O1565" s="16">
        <f t="shared" si="113"/>
        <v>32475</v>
      </c>
      <c r="P1565" s="11" t="s">
        <v>20</v>
      </c>
    </row>
    <row r="1566" spans="1:16" x14ac:dyDescent="0.25">
      <c r="A1566" s="9" t="str">
        <f t="shared" si="115"/>
        <v>2024 ALL D75</v>
      </c>
      <c r="B1566" s="10">
        <f t="shared" si="115"/>
        <v>46104</v>
      </c>
      <c r="C1566" s="10">
        <v>46113</v>
      </c>
      <c r="D1566" s="11">
        <v>3273</v>
      </c>
      <c r="E1566" s="11">
        <v>336</v>
      </c>
      <c r="F1566" s="11">
        <v>4</v>
      </c>
      <c r="G1566" s="19">
        <v>6</v>
      </c>
      <c r="H1566" s="13">
        <v>81676</v>
      </c>
      <c r="I1566" s="13" t="str">
        <f t="shared" si="112"/>
        <v>DISNEY</v>
      </c>
      <c r="J1566" s="13">
        <v>45247929</v>
      </c>
      <c r="K1566" s="13" t="s">
        <v>1819</v>
      </c>
      <c r="L1566" s="13" t="s">
        <v>1824</v>
      </c>
      <c r="M1566" s="17">
        <v>129900</v>
      </c>
      <c r="N1566" s="15">
        <v>0.75</v>
      </c>
      <c r="O1566" s="16">
        <f t="shared" si="113"/>
        <v>32475</v>
      </c>
      <c r="P1566" s="11" t="s">
        <v>20</v>
      </c>
    </row>
    <row r="1567" spans="1:16" x14ac:dyDescent="0.25">
      <c r="A1567" s="9" t="str">
        <f t="shared" si="115"/>
        <v>2024 ALL D75</v>
      </c>
      <c r="B1567" s="10">
        <f t="shared" si="115"/>
        <v>46104</v>
      </c>
      <c r="C1567" s="10">
        <v>46113</v>
      </c>
      <c r="D1567" s="11">
        <v>3273</v>
      </c>
      <c r="E1567" s="11">
        <v>336</v>
      </c>
      <c r="F1567" s="11">
        <v>4</v>
      </c>
      <c r="G1567" s="19">
        <v>6</v>
      </c>
      <c r="H1567" s="13">
        <v>81676</v>
      </c>
      <c r="I1567" s="13" t="str">
        <f t="shared" si="112"/>
        <v>DISNEY</v>
      </c>
      <c r="J1567" s="13">
        <v>45247938</v>
      </c>
      <c r="K1567" s="13" t="s">
        <v>1819</v>
      </c>
      <c r="L1567" s="13" t="s">
        <v>1825</v>
      </c>
      <c r="M1567" s="17">
        <v>129900</v>
      </c>
      <c r="N1567" s="15">
        <v>0.75</v>
      </c>
      <c r="O1567" s="16">
        <f t="shared" si="113"/>
        <v>32475</v>
      </c>
      <c r="P1567" s="11" t="s">
        <v>20</v>
      </c>
    </row>
    <row r="1568" spans="1:16" x14ac:dyDescent="0.25">
      <c r="A1568" s="9" t="str">
        <f t="shared" si="115"/>
        <v>2024 ALL D75</v>
      </c>
      <c r="B1568" s="10">
        <f t="shared" si="115"/>
        <v>46104</v>
      </c>
      <c r="C1568" s="10">
        <v>46113</v>
      </c>
      <c r="D1568" s="11">
        <v>3273</v>
      </c>
      <c r="E1568" s="11">
        <v>336</v>
      </c>
      <c r="F1568" s="11">
        <v>4</v>
      </c>
      <c r="G1568" s="19">
        <v>6</v>
      </c>
      <c r="H1568" s="13">
        <v>81676</v>
      </c>
      <c r="I1568" s="13" t="str">
        <f t="shared" si="112"/>
        <v>DISNEY</v>
      </c>
      <c r="J1568" s="13">
        <v>45247947</v>
      </c>
      <c r="K1568" s="13" t="s">
        <v>1819</v>
      </c>
      <c r="L1568" s="13" t="s">
        <v>1826</v>
      </c>
      <c r="M1568" s="17">
        <v>129900</v>
      </c>
      <c r="N1568" s="15">
        <v>0.75</v>
      </c>
      <c r="O1568" s="16">
        <f t="shared" si="113"/>
        <v>32475</v>
      </c>
      <c r="P1568" s="11" t="s">
        <v>20</v>
      </c>
    </row>
    <row r="1569" spans="1:16" x14ac:dyDescent="0.25">
      <c r="A1569" s="9" t="str">
        <f t="shared" si="115"/>
        <v>2024 ALL D75</v>
      </c>
      <c r="B1569" s="10">
        <f t="shared" si="115"/>
        <v>46104</v>
      </c>
      <c r="C1569" s="10">
        <v>46113</v>
      </c>
      <c r="D1569" s="11">
        <v>3273</v>
      </c>
      <c r="E1569" s="11">
        <v>336</v>
      </c>
      <c r="F1569" s="11">
        <v>4</v>
      </c>
      <c r="G1569" s="19">
        <v>6</v>
      </c>
      <c r="H1569" s="13">
        <v>81676</v>
      </c>
      <c r="I1569" s="13" t="str">
        <f t="shared" si="112"/>
        <v>DISNEY</v>
      </c>
      <c r="J1569" s="13">
        <v>45247956</v>
      </c>
      <c r="K1569" s="13" t="s">
        <v>1819</v>
      </c>
      <c r="L1569" s="13" t="s">
        <v>1827</v>
      </c>
      <c r="M1569" s="17">
        <v>129900</v>
      </c>
      <c r="N1569" s="15">
        <v>0.75</v>
      </c>
      <c r="O1569" s="16">
        <f t="shared" si="113"/>
        <v>32475</v>
      </c>
      <c r="P1569" s="11" t="s">
        <v>20</v>
      </c>
    </row>
    <row r="1570" spans="1:16" x14ac:dyDescent="0.25">
      <c r="A1570" s="9" t="str">
        <f t="shared" si="115"/>
        <v>2024 ALL D75</v>
      </c>
      <c r="B1570" s="10">
        <f t="shared" si="115"/>
        <v>46104</v>
      </c>
      <c r="C1570" s="10">
        <v>46113</v>
      </c>
      <c r="D1570" s="11">
        <v>3273</v>
      </c>
      <c r="E1570" s="11">
        <v>336</v>
      </c>
      <c r="F1570" s="11">
        <v>4</v>
      </c>
      <c r="G1570" s="19">
        <v>6</v>
      </c>
      <c r="H1570" s="13">
        <v>81676</v>
      </c>
      <c r="I1570" s="13" t="str">
        <f t="shared" si="112"/>
        <v>DISNEY</v>
      </c>
      <c r="J1570" s="13">
        <v>45248204</v>
      </c>
      <c r="K1570" s="13" t="s">
        <v>1828</v>
      </c>
      <c r="L1570" s="13" t="s">
        <v>1829</v>
      </c>
      <c r="M1570" s="17">
        <v>129900</v>
      </c>
      <c r="N1570" s="15">
        <v>0.75</v>
      </c>
      <c r="O1570" s="16">
        <f t="shared" si="113"/>
        <v>32475</v>
      </c>
      <c r="P1570" s="11" t="s">
        <v>20</v>
      </c>
    </row>
    <row r="1571" spans="1:16" x14ac:dyDescent="0.25">
      <c r="A1571" s="9" t="str">
        <f t="shared" si="115"/>
        <v>2024 ALL D75</v>
      </c>
      <c r="B1571" s="10">
        <f t="shared" si="115"/>
        <v>46104</v>
      </c>
      <c r="C1571" s="10">
        <v>46113</v>
      </c>
      <c r="D1571" s="11">
        <v>3273</v>
      </c>
      <c r="E1571" s="11">
        <v>336</v>
      </c>
      <c r="F1571" s="11">
        <v>4</v>
      </c>
      <c r="G1571" s="19">
        <v>6</v>
      </c>
      <c r="H1571" s="13">
        <v>81676</v>
      </c>
      <c r="I1571" s="13" t="str">
        <f t="shared" si="112"/>
        <v>DISNEY</v>
      </c>
      <c r="J1571" s="13">
        <v>45248213</v>
      </c>
      <c r="K1571" s="13" t="s">
        <v>1828</v>
      </c>
      <c r="L1571" s="13" t="s">
        <v>1830</v>
      </c>
      <c r="M1571" s="17">
        <v>129900</v>
      </c>
      <c r="N1571" s="15">
        <v>0.75</v>
      </c>
      <c r="O1571" s="16">
        <f t="shared" si="113"/>
        <v>32475</v>
      </c>
      <c r="P1571" s="11" t="s">
        <v>20</v>
      </c>
    </row>
    <row r="1572" spans="1:16" x14ac:dyDescent="0.25">
      <c r="A1572" s="9" t="str">
        <f t="shared" ref="A1572:F1587" si="116">A1571</f>
        <v>2024 ALL D75</v>
      </c>
      <c r="B1572" s="10">
        <f t="shared" si="116"/>
        <v>46104</v>
      </c>
      <c r="C1572" s="10">
        <v>46113</v>
      </c>
      <c r="D1572" s="11">
        <v>3273</v>
      </c>
      <c r="E1572" s="11">
        <v>336</v>
      </c>
      <c r="F1572" s="11">
        <v>4</v>
      </c>
      <c r="G1572" s="19">
        <v>6</v>
      </c>
      <c r="H1572" s="13">
        <v>81676</v>
      </c>
      <c r="I1572" s="13" t="str">
        <f t="shared" si="112"/>
        <v>DISNEY</v>
      </c>
      <c r="J1572" s="13">
        <v>45248222</v>
      </c>
      <c r="K1572" s="13" t="s">
        <v>1828</v>
      </c>
      <c r="L1572" s="13" t="s">
        <v>1831</v>
      </c>
      <c r="M1572" s="17">
        <v>129900</v>
      </c>
      <c r="N1572" s="15">
        <v>0.75</v>
      </c>
      <c r="O1572" s="16">
        <f t="shared" si="113"/>
        <v>32475</v>
      </c>
      <c r="P1572" s="11" t="s">
        <v>20</v>
      </c>
    </row>
    <row r="1573" spans="1:16" x14ac:dyDescent="0.25">
      <c r="A1573" s="9" t="str">
        <f t="shared" si="116"/>
        <v>2024 ALL D75</v>
      </c>
      <c r="B1573" s="10">
        <f t="shared" si="116"/>
        <v>46104</v>
      </c>
      <c r="C1573" s="10">
        <v>46113</v>
      </c>
      <c r="D1573" s="11">
        <v>3273</v>
      </c>
      <c r="E1573" s="11">
        <v>336</v>
      </c>
      <c r="F1573" s="11">
        <v>4</v>
      </c>
      <c r="G1573" s="19">
        <v>6</v>
      </c>
      <c r="H1573" s="13">
        <v>81676</v>
      </c>
      <c r="I1573" s="13" t="str">
        <f t="shared" si="112"/>
        <v>DISNEY</v>
      </c>
      <c r="J1573" s="13">
        <v>45248231</v>
      </c>
      <c r="K1573" s="13" t="s">
        <v>1828</v>
      </c>
      <c r="L1573" s="13" t="s">
        <v>1832</v>
      </c>
      <c r="M1573" s="17">
        <v>129900</v>
      </c>
      <c r="N1573" s="15">
        <v>0.75</v>
      </c>
      <c r="O1573" s="16">
        <f t="shared" si="113"/>
        <v>32475</v>
      </c>
      <c r="P1573" s="11" t="s">
        <v>20</v>
      </c>
    </row>
    <row r="1574" spans="1:16" x14ac:dyDescent="0.25">
      <c r="A1574" s="9" t="str">
        <f t="shared" si="116"/>
        <v>2024 ALL D75</v>
      </c>
      <c r="B1574" s="10">
        <f t="shared" si="116"/>
        <v>46104</v>
      </c>
      <c r="C1574" s="10">
        <v>46113</v>
      </c>
      <c r="D1574" s="11">
        <v>3273</v>
      </c>
      <c r="E1574" s="11">
        <v>336</v>
      </c>
      <c r="F1574" s="11">
        <v>4</v>
      </c>
      <c r="G1574" s="19">
        <v>6</v>
      </c>
      <c r="H1574" s="13">
        <v>81676</v>
      </c>
      <c r="I1574" s="13" t="str">
        <f t="shared" si="112"/>
        <v>DISNEY</v>
      </c>
      <c r="J1574" s="13">
        <v>45248240</v>
      </c>
      <c r="K1574" s="13" t="s">
        <v>1828</v>
      </c>
      <c r="L1574" s="13" t="s">
        <v>1833</v>
      </c>
      <c r="M1574" s="17">
        <v>129900</v>
      </c>
      <c r="N1574" s="15">
        <v>0.75</v>
      </c>
      <c r="O1574" s="16">
        <f t="shared" si="113"/>
        <v>32475</v>
      </c>
      <c r="P1574" s="11" t="s">
        <v>20</v>
      </c>
    </row>
    <row r="1575" spans="1:16" x14ac:dyDescent="0.25">
      <c r="A1575" s="9" t="str">
        <f t="shared" si="116"/>
        <v>2024 ALL D75</v>
      </c>
      <c r="B1575" s="10">
        <f t="shared" si="116"/>
        <v>46104</v>
      </c>
      <c r="C1575" s="10">
        <v>46113</v>
      </c>
      <c r="D1575" s="11">
        <v>3273</v>
      </c>
      <c r="E1575" s="11">
        <v>336</v>
      </c>
      <c r="F1575" s="11">
        <v>4</v>
      </c>
      <c r="G1575" s="19">
        <v>6</v>
      </c>
      <c r="H1575" s="13">
        <v>81676</v>
      </c>
      <c r="I1575" s="13" t="str">
        <f t="shared" si="112"/>
        <v>DISNEY</v>
      </c>
      <c r="J1575" s="13">
        <v>45248259</v>
      </c>
      <c r="K1575" s="13" t="s">
        <v>1828</v>
      </c>
      <c r="L1575" s="13" t="s">
        <v>1834</v>
      </c>
      <c r="M1575" s="17">
        <v>129900</v>
      </c>
      <c r="N1575" s="15">
        <v>0.75</v>
      </c>
      <c r="O1575" s="16">
        <f t="shared" si="113"/>
        <v>32475</v>
      </c>
      <c r="P1575" s="11" t="s">
        <v>20</v>
      </c>
    </row>
    <row r="1576" spans="1:16" x14ac:dyDescent="0.25">
      <c r="A1576" s="9" t="str">
        <f t="shared" si="116"/>
        <v>2024 ALL D75</v>
      </c>
      <c r="B1576" s="10">
        <f t="shared" si="116"/>
        <v>46104</v>
      </c>
      <c r="C1576" s="10">
        <v>46113</v>
      </c>
      <c r="D1576" s="11">
        <v>3273</v>
      </c>
      <c r="E1576" s="11">
        <v>336</v>
      </c>
      <c r="F1576" s="11">
        <v>4</v>
      </c>
      <c r="G1576" s="19">
        <v>6</v>
      </c>
      <c r="H1576" s="13">
        <v>81676</v>
      </c>
      <c r="I1576" s="13" t="str">
        <f t="shared" si="112"/>
        <v>DISNEY</v>
      </c>
      <c r="J1576" s="13">
        <v>45248268</v>
      </c>
      <c r="K1576" s="13" t="s">
        <v>1828</v>
      </c>
      <c r="L1576" s="13" t="s">
        <v>1835</v>
      </c>
      <c r="M1576" s="17">
        <v>129900</v>
      </c>
      <c r="N1576" s="15">
        <v>0.75</v>
      </c>
      <c r="O1576" s="16">
        <f t="shared" si="113"/>
        <v>32475</v>
      </c>
      <c r="P1576" s="11" t="s">
        <v>20</v>
      </c>
    </row>
    <row r="1577" spans="1:16" x14ac:dyDescent="0.25">
      <c r="A1577" s="9" t="str">
        <f t="shared" si="116"/>
        <v>2024 ALL D75</v>
      </c>
      <c r="B1577" s="10">
        <f t="shared" si="116"/>
        <v>46104</v>
      </c>
      <c r="C1577" s="10">
        <v>46113</v>
      </c>
      <c r="D1577" s="11">
        <v>3273</v>
      </c>
      <c r="E1577" s="11">
        <v>336</v>
      </c>
      <c r="F1577" s="11">
        <v>4</v>
      </c>
      <c r="G1577" s="19">
        <v>6</v>
      </c>
      <c r="H1577" s="13">
        <v>81676</v>
      </c>
      <c r="I1577" s="13" t="str">
        <f t="shared" si="112"/>
        <v>DISNEY</v>
      </c>
      <c r="J1577" s="13">
        <v>45248277</v>
      </c>
      <c r="K1577" s="13" t="s">
        <v>1828</v>
      </c>
      <c r="L1577" s="13" t="s">
        <v>1836</v>
      </c>
      <c r="M1577" s="17">
        <v>129900</v>
      </c>
      <c r="N1577" s="15">
        <v>0.75</v>
      </c>
      <c r="O1577" s="16">
        <f t="shared" si="113"/>
        <v>32475</v>
      </c>
      <c r="P1577" s="11" t="s">
        <v>20</v>
      </c>
    </row>
    <row r="1578" spans="1:16" x14ac:dyDescent="0.25">
      <c r="A1578" s="9" t="str">
        <f t="shared" si="116"/>
        <v>2024 ALL D75</v>
      </c>
      <c r="B1578" s="10">
        <f t="shared" si="116"/>
        <v>46104</v>
      </c>
      <c r="C1578" s="10">
        <v>46113</v>
      </c>
      <c r="D1578" s="11">
        <v>3273</v>
      </c>
      <c r="E1578" s="11">
        <v>336</v>
      </c>
      <c r="F1578" s="11">
        <v>4</v>
      </c>
      <c r="G1578" s="19">
        <v>6</v>
      </c>
      <c r="H1578" s="13">
        <v>81676</v>
      </c>
      <c r="I1578" s="13" t="str">
        <f t="shared" si="112"/>
        <v>DISNEY</v>
      </c>
      <c r="J1578" s="13">
        <v>82609816</v>
      </c>
      <c r="K1578" s="13" t="s">
        <v>1837</v>
      </c>
      <c r="L1578" s="13" t="s">
        <v>1838</v>
      </c>
      <c r="M1578" s="17">
        <v>139900</v>
      </c>
      <c r="N1578" s="15">
        <v>0.75</v>
      </c>
      <c r="O1578" s="16">
        <f t="shared" si="113"/>
        <v>34975</v>
      </c>
      <c r="P1578" s="11" t="s">
        <v>20</v>
      </c>
    </row>
    <row r="1579" spans="1:16" x14ac:dyDescent="0.25">
      <c r="A1579" s="9" t="str">
        <f t="shared" si="116"/>
        <v>2024 ALL D75</v>
      </c>
      <c r="B1579" s="10">
        <f t="shared" si="116"/>
        <v>46104</v>
      </c>
      <c r="C1579" s="10">
        <v>46113</v>
      </c>
      <c r="D1579" s="11">
        <v>3273</v>
      </c>
      <c r="E1579" s="11">
        <v>336</v>
      </c>
      <c r="F1579" s="11">
        <v>4</v>
      </c>
      <c r="G1579" s="19">
        <v>6</v>
      </c>
      <c r="H1579" s="13">
        <v>81676</v>
      </c>
      <c r="I1579" s="13" t="str">
        <f t="shared" si="112"/>
        <v>DISNEY</v>
      </c>
      <c r="J1579" s="13">
        <v>82609825</v>
      </c>
      <c r="K1579" s="13" t="s">
        <v>1837</v>
      </c>
      <c r="L1579" s="13" t="s">
        <v>1839</v>
      </c>
      <c r="M1579" s="17">
        <v>139900</v>
      </c>
      <c r="N1579" s="15">
        <v>0.75</v>
      </c>
      <c r="O1579" s="16">
        <f t="shared" si="113"/>
        <v>34975</v>
      </c>
      <c r="P1579" s="11" t="s">
        <v>20</v>
      </c>
    </row>
    <row r="1580" spans="1:16" x14ac:dyDescent="0.25">
      <c r="A1580" s="9" t="str">
        <f t="shared" si="116"/>
        <v>2024 ALL D75</v>
      </c>
      <c r="B1580" s="10">
        <f t="shared" si="116"/>
        <v>46104</v>
      </c>
      <c r="C1580" s="10">
        <v>46113</v>
      </c>
      <c r="D1580" s="11">
        <v>3273</v>
      </c>
      <c r="E1580" s="11">
        <v>336</v>
      </c>
      <c r="F1580" s="11">
        <v>4</v>
      </c>
      <c r="G1580" s="19">
        <v>6</v>
      </c>
      <c r="H1580" s="13">
        <v>81676</v>
      </c>
      <c r="I1580" s="13" t="str">
        <f t="shared" si="112"/>
        <v>DISNEY</v>
      </c>
      <c r="J1580" s="13">
        <v>82609834</v>
      </c>
      <c r="K1580" s="13" t="s">
        <v>1837</v>
      </c>
      <c r="L1580" s="13" t="s">
        <v>1840</v>
      </c>
      <c r="M1580" s="17">
        <v>139900</v>
      </c>
      <c r="N1580" s="15">
        <v>0.75</v>
      </c>
      <c r="O1580" s="16">
        <f t="shared" si="113"/>
        <v>34975</v>
      </c>
      <c r="P1580" s="11" t="s">
        <v>20</v>
      </c>
    </row>
    <row r="1581" spans="1:16" x14ac:dyDescent="0.25">
      <c r="A1581" s="9" t="str">
        <f t="shared" si="116"/>
        <v>2024 ALL D75</v>
      </c>
      <c r="B1581" s="10">
        <f t="shared" si="116"/>
        <v>46104</v>
      </c>
      <c r="C1581" s="10">
        <v>46113</v>
      </c>
      <c r="D1581" s="11">
        <v>3273</v>
      </c>
      <c r="E1581" s="11">
        <v>336</v>
      </c>
      <c r="F1581" s="11">
        <v>4</v>
      </c>
      <c r="G1581" s="19">
        <v>6</v>
      </c>
      <c r="H1581" s="13">
        <v>81676</v>
      </c>
      <c r="I1581" s="13" t="str">
        <f t="shared" si="112"/>
        <v>DISNEY</v>
      </c>
      <c r="J1581" s="13">
        <v>82609843</v>
      </c>
      <c r="K1581" s="13" t="s">
        <v>1837</v>
      </c>
      <c r="L1581" s="13" t="s">
        <v>1841</v>
      </c>
      <c r="M1581" s="17">
        <v>139900</v>
      </c>
      <c r="N1581" s="15">
        <v>0.75</v>
      </c>
      <c r="O1581" s="16">
        <f t="shared" si="113"/>
        <v>34975</v>
      </c>
      <c r="P1581" s="11" t="s">
        <v>20</v>
      </c>
    </row>
    <row r="1582" spans="1:16" x14ac:dyDescent="0.25">
      <c r="A1582" s="9" t="str">
        <f t="shared" si="116"/>
        <v>2024 ALL D75</v>
      </c>
      <c r="B1582" s="10">
        <f t="shared" si="116"/>
        <v>46104</v>
      </c>
      <c r="C1582" s="10">
        <v>46113</v>
      </c>
      <c r="D1582" s="11">
        <v>3273</v>
      </c>
      <c r="E1582" s="11">
        <v>336</v>
      </c>
      <c r="F1582" s="11">
        <v>4</v>
      </c>
      <c r="G1582" s="19">
        <v>6</v>
      </c>
      <c r="H1582" s="13">
        <v>81676</v>
      </c>
      <c r="I1582" s="13" t="str">
        <f t="shared" si="112"/>
        <v>DISNEY</v>
      </c>
      <c r="J1582" s="13">
        <v>82609852</v>
      </c>
      <c r="K1582" s="13" t="s">
        <v>1837</v>
      </c>
      <c r="L1582" s="13" t="s">
        <v>1842</v>
      </c>
      <c r="M1582" s="17">
        <v>139900</v>
      </c>
      <c r="N1582" s="15">
        <v>0.75</v>
      </c>
      <c r="O1582" s="16">
        <f t="shared" si="113"/>
        <v>34975</v>
      </c>
      <c r="P1582" s="11" t="s">
        <v>20</v>
      </c>
    </row>
    <row r="1583" spans="1:16" x14ac:dyDescent="0.25">
      <c r="A1583" s="9" t="str">
        <f t="shared" si="116"/>
        <v>2024 ALL D75</v>
      </c>
      <c r="B1583" s="10">
        <f t="shared" si="116"/>
        <v>46104</v>
      </c>
      <c r="C1583" s="10">
        <v>46113</v>
      </c>
      <c r="D1583" s="11">
        <v>3273</v>
      </c>
      <c r="E1583" s="11">
        <v>336</v>
      </c>
      <c r="F1583" s="11">
        <v>4</v>
      </c>
      <c r="G1583" s="19">
        <v>6</v>
      </c>
      <c r="H1583" s="13">
        <v>81676</v>
      </c>
      <c r="I1583" s="13" t="str">
        <f t="shared" si="112"/>
        <v>DISNEY</v>
      </c>
      <c r="J1583" s="13">
        <v>82609861</v>
      </c>
      <c r="K1583" s="13" t="s">
        <v>1837</v>
      </c>
      <c r="L1583" s="13" t="s">
        <v>1843</v>
      </c>
      <c r="M1583" s="17">
        <v>139900</v>
      </c>
      <c r="N1583" s="15">
        <v>0.75</v>
      </c>
      <c r="O1583" s="16">
        <f t="shared" si="113"/>
        <v>34975</v>
      </c>
      <c r="P1583" s="11" t="s">
        <v>20</v>
      </c>
    </row>
    <row r="1584" spans="1:16" x14ac:dyDescent="0.25">
      <c r="A1584" s="9" t="str">
        <f t="shared" si="116"/>
        <v>2024 ALL D75</v>
      </c>
      <c r="B1584" s="10">
        <f t="shared" si="116"/>
        <v>46104</v>
      </c>
      <c r="C1584" s="10">
        <v>46113</v>
      </c>
      <c r="D1584" s="11">
        <v>3273</v>
      </c>
      <c r="E1584" s="11">
        <v>336</v>
      </c>
      <c r="F1584" s="11">
        <v>4</v>
      </c>
      <c r="G1584" s="19">
        <v>6</v>
      </c>
      <c r="H1584" s="13">
        <v>81676</v>
      </c>
      <c r="I1584" s="13" t="str">
        <f t="shared" si="112"/>
        <v>DISNEY</v>
      </c>
      <c r="J1584" s="13">
        <v>82609870</v>
      </c>
      <c r="K1584" s="13" t="s">
        <v>1837</v>
      </c>
      <c r="L1584" s="13" t="s">
        <v>1844</v>
      </c>
      <c r="M1584" s="17">
        <v>139900</v>
      </c>
      <c r="N1584" s="15">
        <v>0.75</v>
      </c>
      <c r="O1584" s="16">
        <f t="shared" si="113"/>
        <v>34975</v>
      </c>
      <c r="P1584" s="11" t="s">
        <v>20</v>
      </c>
    </row>
    <row r="1585" spans="1:16" x14ac:dyDescent="0.25">
      <c r="A1585" s="9" t="str">
        <f t="shared" si="116"/>
        <v>2024 ALL D75</v>
      </c>
      <c r="B1585" s="10">
        <f t="shared" si="116"/>
        <v>46104</v>
      </c>
      <c r="C1585" s="10">
        <v>46113</v>
      </c>
      <c r="D1585" s="11">
        <v>3273</v>
      </c>
      <c r="E1585" s="11">
        <v>336</v>
      </c>
      <c r="F1585" s="11">
        <v>4</v>
      </c>
      <c r="G1585" s="19">
        <v>6</v>
      </c>
      <c r="H1585" s="13">
        <v>81676</v>
      </c>
      <c r="I1585" s="13" t="str">
        <f t="shared" si="112"/>
        <v>DISNEY</v>
      </c>
      <c r="J1585" s="13">
        <v>82609889</v>
      </c>
      <c r="K1585" s="13" t="s">
        <v>1837</v>
      </c>
      <c r="L1585" s="13" t="s">
        <v>1845</v>
      </c>
      <c r="M1585" s="17">
        <v>139900</v>
      </c>
      <c r="N1585" s="15">
        <v>0.75</v>
      </c>
      <c r="O1585" s="16">
        <f t="shared" si="113"/>
        <v>34975</v>
      </c>
      <c r="P1585" s="11" t="s">
        <v>20</v>
      </c>
    </row>
    <row r="1586" spans="1:16" x14ac:dyDescent="0.25">
      <c r="A1586" s="9" t="str">
        <f t="shared" si="116"/>
        <v>2024 ALL D75</v>
      </c>
      <c r="B1586" s="10">
        <f t="shared" si="116"/>
        <v>46104</v>
      </c>
      <c r="C1586" s="10">
        <v>46113</v>
      </c>
      <c r="D1586" s="11">
        <v>3273</v>
      </c>
      <c r="E1586" s="11">
        <v>336</v>
      </c>
      <c r="F1586" s="11">
        <v>4</v>
      </c>
      <c r="G1586" s="19">
        <v>10</v>
      </c>
      <c r="H1586" s="13">
        <v>81574</v>
      </c>
      <c r="I1586" s="13" t="s">
        <v>17</v>
      </c>
      <c r="J1586" s="13">
        <v>45920503</v>
      </c>
      <c r="K1586" s="13" t="s">
        <v>1846</v>
      </c>
      <c r="L1586" s="13" t="s">
        <v>1847</v>
      </c>
      <c r="M1586" s="17">
        <v>149900</v>
      </c>
      <c r="N1586" s="15">
        <v>0.75</v>
      </c>
      <c r="O1586" s="16">
        <f t="shared" si="113"/>
        <v>37475</v>
      </c>
      <c r="P1586" s="11" t="s">
        <v>20</v>
      </c>
    </row>
    <row r="1587" spans="1:16" x14ac:dyDescent="0.25">
      <c r="A1587" s="9" t="str">
        <f t="shared" si="116"/>
        <v>2024 ALL D75</v>
      </c>
      <c r="B1587" s="10">
        <f t="shared" si="116"/>
        <v>46104</v>
      </c>
      <c r="C1587" s="10">
        <v>46113</v>
      </c>
      <c r="D1587" s="11">
        <f t="shared" si="116"/>
        <v>3273</v>
      </c>
      <c r="E1587" s="11">
        <f t="shared" si="116"/>
        <v>336</v>
      </c>
      <c r="F1587" s="11">
        <f t="shared" si="116"/>
        <v>4</v>
      </c>
      <c r="G1587" s="19">
        <v>10</v>
      </c>
      <c r="H1587" s="13">
        <v>81574</v>
      </c>
      <c r="I1587" s="13" t="str">
        <f t="shared" ref="I1587:I1650" si="117">I1586</f>
        <v>DISNEY</v>
      </c>
      <c r="J1587" s="13">
        <v>45920512</v>
      </c>
      <c r="K1587" s="13" t="s">
        <v>1848</v>
      </c>
      <c r="L1587" s="13" t="s">
        <v>1849</v>
      </c>
      <c r="M1587" s="17">
        <v>149900</v>
      </c>
      <c r="N1587" s="15">
        <v>0.75</v>
      </c>
      <c r="O1587" s="16">
        <f t="shared" si="113"/>
        <v>37475</v>
      </c>
      <c r="P1587" s="11" t="s">
        <v>20</v>
      </c>
    </row>
    <row r="1588" spans="1:16" x14ac:dyDescent="0.25">
      <c r="A1588" s="9" t="str">
        <f t="shared" ref="A1588:F1603" si="118">A1587</f>
        <v>2024 ALL D75</v>
      </c>
      <c r="B1588" s="10">
        <f t="shared" si="118"/>
        <v>46104</v>
      </c>
      <c r="C1588" s="10">
        <v>46113</v>
      </c>
      <c r="D1588" s="11">
        <f t="shared" si="118"/>
        <v>3273</v>
      </c>
      <c r="E1588" s="11">
        <f t="shared" si="118"/>
        <v>336</v>
      </c>
      <c r="F1588" s="11">
        <f t="shared" si="118"/>
        <v>4</v>
      </c>
      <c r="G1588" s="19">
        <v>10</v>
      </c>
      <c r="H1588" s="13">
        <v>81574</v>
      </c>
      <c r="I1588" s="13" t="str">
        <f t="shared" si="117"/>
        <v>DISNEY</v>
      </c>
      <c r="J1588" s="13">
        <v>45921360</v>
      </c>
      <c r="K1588" s="13" t="s">
        <v>1850</v>
      </c>
      <c r="L1588" s="13" t="s">
        <v>1851</v>
      </c>
      <c r="M1588" s="17">
        <v>139900</v>
      </c>
      <c r="N1588" s="15">
        <v>0.75</v>
      </c>
      <c r="O1588" s="16">
        <f t="shared" si="113"/>
        <v>34975</v>
      </c>
      <c r="P1588" s="11" t="s">
        <v>20</v>
      </c>
    </row>
    <row r="1589" spans="1:16" x14ac:dyDescent="0.25">
      <c r="A1589" s="9" t="str">
        <f t="shared" si="118"/>
        <v>2024 ALL D75</v>
      </c>
      <c r="B1589" s="10">
        <f t="shared" si="118"/>
        <v>46104</v>
      </c>
      <c r="C1589" s="10">
        <v>46113</v>
      </c>
      <c r="D1589" s="11">
        <f t="shared" si="118"/>
        <v>3273</v>
      </c>
      <c r="E1589" s="11">
        <f t="shared" si="118"/>
        <v>336</v>
      </c>
      <c r="F1589" s="11">
        <f t="shared" si="118"/>
        <v>4</v>
      </c>
      <c r="G1589" s="19">
        <v>10</v>
      </c>
      <c r="H1589" s="13">
        <v>81574</v>
      </c>
      <c r="I1589" s="13" t="str">
        <f t="shared" si="117"/>
        <v>DISNEY</v>
      </c>
      <c r="J1589" s="13">
        <v>48258359</v>
      </c>
      <c r="K1589" s="13" t="s">
        <v>1852</v>
      </c>
      <c r="L1589" s="13" t="s">
        <v>1853</v>
      </c>
      <c r="M1589" s="17">
        <v>149900</v>
      </c>
      <c r="N1589" s="15">
        <v>0.75</v>
      </c>
      <c r="O1589" s="16">
        <f t="shared" si="113"/>
        <v>37475</v>
      </c>
      <c r="P1589" s="11" t="s">
        <v>20</v>
      </c>
    </row>
    <row r="1590" spans="1:16" x14ac:dyDescent="0.25">
      <c r="A1590" s="9" t="str">
        <f t="shared" si="118"/>
        <v>2024 ALL D75</v>
      </c>
      <c r="B1590" s="10">
        <f t="shared" si="118"/>
        <v>46104</v>
      </c>
      <c r="C1590" s="10">
        <v>46113</v>
      </c>
      <c r="D1590" s="11">
        <f t="shared" si="118"/>
        <v>3273</v>
      </c>
      <c r="E1590" s="11">
        <f t="shared" si="118"/>
        <v>336</v>
      </c>
      <c r="F1590" s="11">
        <f t="shared" si="118"/>
        <v>4</v>
      </c>
      <c r="G1590" s="19">
        <v>10</v>
      </c>
      <c r="H1590" s="13">
        <v>81574</v>
      </c>
      <c r="I1590" s="13" t="str">
        <f t="shared" si="117"/>
        <v>DISNEY</v>
      </c>
      <c r="J1590" s="13">
        <v>48258368</v>
      </c>
      <c r="K1590" s="13" t="s">
        <v>1854</v>
      </c>
      <c r="L1590" s="13" t="s">
        <v>1855</v>
      </c>
      <c r="M1590" s="17">
        <v>139900</v>
      </c>
      <c r="N1590" s="15">
        <v>0.75</v>
      </c>
      <c r="O1590" s="16">
        <f t="shared" si="113"/>
        <v>34975</v>
      </c>
      <c r="P1590" s="11" t="s">
        <v>20</v>
      </c>
    </row>
    <row r="1591" spans="1:16" x14ac:dyDescent="0.25">
      <c r="A1591" s="9" t="str">
        <f t="shared" si="118"/>
        <v>2024 ALL D75</v>
      </c>
      <c r="B1591" s="10">
        <f t="shared" si="118"/>
        <v>46104</v>
      </c>
      <c r="C1591" s="10">
        <v>46113</v>
      </c>
      <c r="D1591" s="11">
        <f t="shared" si="118"/>
        <v>3273</v>
      </c>
      <c r="E1591" s="11">
        <f t="shared" si="118"/>
        <v>336</v>
      </c>
      <c r="F1591" s="11">
        <f t="shared" si="118"/>
        <v>4</v>
      </c>
      <c r="G1591" s="19">
        <v>9</v>
      </c>
      <c r="H1591" s="13">
        <v>81588</v>
      </c>
      <c r="I1591" s="13" t="str">
        <f t="shared" si="117"/>
        <v>DISNEY</v>
      </c>
      <c r="J1591" s="13">
        <v>45920683</v>
      </c>
      <c r="K1591" s="13" t="s">
        <v>1856</v>
      </c>
      <c r="L1591" s="13" t="s">
        <v>1857</v>
      </c>
      <c r="M1591" s="17">
        <v>239900</v>
      </c>
      <c r="N1591" s="15">
        <v>0.75</v>
      </c>
      <c r="O1591" s="16">
        <f t="shared" si="113"/>
        <v>59975</v>
      </c>
      <c r="P1591" s="11" t="s">
        <v>20</v>
      </c>
    </row>
    <row r="1592" spans="1:16" x14ac:dyDescent="0.25">
      <c r="A1592" s="9" t="str">
        <f t="shared" si="118"/>
        <v>2024 ALL D75</v>
      </c>
      <c r="B1592" s="10">
        <f t="shared" si="118"/>
        <v>46104</v>
      </c>
      <c r="C1592" s="10">
        <v>46113</v>
      </c>
      <c r="D1592" s="11">
        <f t="shared" si="118"/>
        <v>3273</v>
      </c>
      <c r="E1592" s="11">
        <f t="shared" si="118"/>
        <v>336</v>
      </c>
      <c r="F1592" s="11">
        <f t="shared" si="118"/>
        <v>4</v>
      </c>
      <c r="G1592" s="19">
        <v>9</v>
      </c>
      <c r="H1592" s="13">
        <v>81588</v>
      </c>
      <c r="I1592" s="13" t="str">
        <f t="shared" si="117"/>
        <v>DISNEY</v>
      </c>
      <c r="J1592" s="13">
        <v>45920692</v>
      </c>
      <c r="K1592" s="13" t="s">
        <v>1856</v>
      </c>
      <c r="L1592" s="13" t="s">
        <v>1858</v>
      </c>
      <c r="M1592" s="17">
        <v>239900</v>
      </c>
      <c r="N1592" s="15">
        <v>0.75</v>
      </c>
      <c r="O1592" s="16">
        <f t="shared" si="113"/>
        <v>59975</v>
      </c>
      <c r="P1592" s="11" t="s">
        <v>20</v>
      </c>
    </row>
    <row r="1593" spans="1:16" x14ac:dyDescent="0.25">
      <c r="A1593" s="9" t="str">
        <f t="shared" si="118"/>
        <v>2024 ALL D75</v>
      </c>
      <c r="B1593" s="10">
        <f t="shared" si="118"/>
        <v>46104</v>
      </c>
      <c r="C1593" s="10">
        <v>46113</v>
      </c>
      <c r="D1593" s="11">
        <f t="shared" si="118"/>
        <v>3273</v>
      </c>
      <c r="E1593" s="11">
        <f t="shared" si="118"/>
        <v>336</v>
      </c>
      <c r="F1593" s="11">
        <f t="shared" si="118"/>
        <v>4</v>
      </c>
      <c r="G1593" s="19">
        <v>9</v>
      </c>
      <c r="H1593" s="13">
        <v>81588</v>
      </c>
      <c r="I1593" s="13" t="str">
        <f t="shared" si="117"/>
        <v>DISNEY</v>
      </c>
      <c r="J1593" s="13">
        <v>45920709</v>
      </c>
      <c r="K1593" s="13" t="s">
        <v>1856</v>
      </c>
      <c r="L1593" s="13" t="s">
        <v>1859</v>
      </c>
      <c r="M1593" s="17">
        <v>239900</v>
      </c>
      <c r="N1593" s="15">
        <v>0.75</v>
      </c>
      <c r="O1593" s="16">
        <f t="shared" si="113"/>
        <v>59975</v>
      </c>
      <c r="P1593" s="11" t="s">
        <v>20</v>
      </c>
    </row>
    <row r="1594" spans="1:16" x14ac:dyDescent="0.25">
      <c r="A1594" s="9" t="str">
        <f t="shared" si="118"/>
        <v>2024 ALL D75</v>
      </c>
      <c r="B1594" s="10">
        <f t="shared" si="118"/>
        <v>46104</v>
      </c>
      <c r="C1594" s="10">
        <v>46113</v>
      </c>
      <c r="D1594" s="11">
        <f t="shared" si="118"/>
        <v>3273</v>
      </c>
      <c r="E1594" s="11">
        <f t="shared" si="118"/>
        <v>336</v>
      </c>
      <c r="F1594" s="11">
        <f t="shared" si="118"/>
        <v>4</v>
      </c>
      <c r="G1594" s="19">
        <v>9</v>
      </c>
      <c r="H1594" s="13">
        <v>81588</v>
      </c>
      <c r="I1594" s="13" t="str">
        <f t="shared" si="117"/>
        <v>DISNEY</v>
      </c>
      <c r="J1594" s="13">
        <v>45920718</v>
      </c>
      <c r="K1594" s="13" t="s">
        <v>1856</v>
      </c>
      <c r="L1594" s="13" t="s">
        <v>1860</v>
      </c>
      <c r="M1594" s="17">
        <v>239900</v>
      </c>
      <c r="N1594" s="15">
        <v>0.75</v>
      </c>
      <c r="O1594" s="16">
        <f t="shared" si="113"/>
        <v>59975</v>
      </c>
      <c r="P1594" s="11" t="s">
        <v>20</v>
      </c>
    </row>
    <row r="1595" spans="1:16" x14ac:dyDescent="0.25">
      <c r="A1595" s="9" t="str">
        <f t="shared" si="118"/>
        <v>2024 ALL D75</v>
      </c>
      <c r="B1595" s="10">
        <f t="shared" si="118"/>
        <v>46104</v>
      </c>
      <c r="C1595" s="10">
        <v>46113</v>
      </c>
      <c r="D1595" s="11">
        <f t="shared" si="118"/>
        <v>3273</v>
      </c>
      <c r="E1595" s="11">
        <f t="shared" si="118"/>
        <v>336</v>
      </c>
      <c r="F1595" s="11">
        <f t="shared" si="118"/>
        <v>4</v>
      </c>
      <c r="G1595" s="19">
        <v>9</v>
      </c>
      <c r="H1595" s="13">
        <v>81588</v>
      </c>
      <c r="I1595" s="13" t="str">
        <f t="shared" si="117"/>
        <v>DISNEY</v>
      </c>
      <c r="J1595" s="13">
        <v>45920727</v>
      </c>
      <c r="K1595" s="13" t="s">
        <v>1856</v>
      </c>
      <c r="L1595" s="13" t="s">
        <v>1861</v>
      </c>
      <c r="M1595" s="17">
        <v>239900</v>
      </c>
      <c r="N1595" s="15">
        <v>0.75</v>
      </c>
      <c r="O1595" s="16">
        <f t="shared" si="113"/>
        <v>59975</v>
      </c>
      <c r="P1595" s="11" t="s">
        <v>20</v>
      </c>
    </row>
    <row r="1596" spans="1:16" x14ac:dyDescent="0.25">
      <c r="A1596" s="9" t="str">
        <f t="shared" si="118"/>
        <v>2024 ALL D75</v>
      </c>
      <c r="B1596" s="10">
        <f t="shared" si="118"/>
        <v>46104</v>
      </c>
      <c r="C1596" s="10">
        <v>46113</v>
      </c>
      <c r="D1596" s="11">
        <f t="shared" si="118"/>
        <v>3273</v>
      </c>
      <c r="E1596" s="11">
        <f t="shared" si="118"/>
        <v>336</v>
      </c>
      <c r="F1596" s="11">
        <f t="shared" si="118"/>
        <v>4</v>
      </c>
      <c r="G1596" s="19">
        <v>9</v>
      </c>
      <c r="H1596" s="13">
        <v>81588</v>
      </c>
      <c r="I1596" s="13" t="str">
        <f t="shared" si="117"/>
        <v>DISNEY</v>
      </c>
      <c r="J1596" s="13">
        <v>45920736</v>
      </c>
      <c r="K1596" s="13" t="s">
        <v>1856</v>
      </c>
      <c r="L1596" s="13" t="s">
        <v>1862</v>
      </c>
      <c r="M1596" s="17">
        <v>239900</v>
      </c>
      <c r="N1596" s="15">
        <v>0.75</v>
      </c>
      <c r="O1596" s="16">
        <f t="shared" si="113"/>
        <v>59975</v>
      </c>
      <c r="P1596" s="11" t="s">
        <v>20</v>
      </c>
    </row>
    <row r="1597" spans="1:16" x14ac:dyDescent="0.25">
      <c r="A1597" s="9" t="str">
        <f t="shared" si="118"/>
        <v>2024 ALL D75</v>
      </c>
      <c r="B1597" s="10">
        <f t="shared" si="118"/>
        <v>46104</v>
      </c>
      <c r="C1597" s="10">
        <v>46113</v>
      </c>
      <c r="D1597" s="11">
        <f t="shared" si="118"/>
        <v>3273</v>
      </c>
      <c r="E1597" s="11">
        <f t="shared" si="118"/>
        <v>336</v>
      </c>
      <c r="F1597" s="11">
        <f t="shared" si="118"/>
        <v>4</v>
      </c>
      <c r="G1597" s="19">
        <v>9</v>
      </c>
      <c r="H1597" s="13">
        <v>81588</v>
      </c>
      <c r="I1597" s="13" t="str">
        <f t="shared" si="117"/>
        <v>DISNEY</v>
      </c>
      <c r="J1597" s="13">
        <v>45920745</v>
      </c>
      <c r="K1597" s="13" t="s">
        <v>1856</v>
      </c>
      <c r="L1597" s="13" t="s">
        <v>1863</v>
      </c>
      <c r="M1597" s="17">
        <v>239900</v>
      </c>
      <c r="N1597" s="15">
        <v>0.75</v>
      </c>
      <c r="O1597" s="16">
        <f t="shared" si="113"/>
        <v>59975</v>
      </c>
      <c r="P1597" s="11" t="s">
        <v>20</v>
      </c>
    </row>
    <row r="1598" spans="1:16" x14ac:dyDescent="0.25">
      <c r="A1598" s="9" t="str">
        <f t="shared" si="118"/>
        <v>2024 ALL D75</v>
      </c>
      <c r="B1598" s="10">
        <f t="shared" si="118"/>
        <v>46104</v>
      </c>
      <c r="C1598" s="10">
        <v>46113</v>
      </c>
      <c r="D1598" s="11">
        <f t="shared" si="118"/>
        <v>3273</v>
      </c>
      <c r="E1598" s="11">
        <f t="shared" si="118"/>
        <v>336</v>
      </c>
      <c r="F1598" s="11">
        <f t="shared" si="118"/>
        <v>4</v>
      </c>
      <c r="G1598" s="19">
        <v>9</v>
      </c>
      <c r="H1598" s="13">
        <v>81588</v>
      </c>
      <c r="I1598" s="13" t="str">
        <f t="shared" si="117"/>
        <v>DISNEY</v>
      </c>
      <c r="J1598" s="13">
        <v>45920754</v>
      </c>
      <c r="K1598" s="13" t="s">
        <v>1856</v>
      </c>
      <c r="L1598" s="13" t="s">
        <v>1864</v>
      </c>
      <c r="M1598" s="17">
        <v>239900</v>
      </c>
      <c r="N1598" s="15">
        <v>0.75</v>
      </c>
      <c r="O1598" s="16">
        <f t="shared" si="113"/>
        <v>59975</v>
      </c>
      <c r="P1598" s="11" t="s">
        <v>20</v>
      </c>
    </row>
    <row r="1599" spans="1:16" x14ac:dyDescent="0.25">
      <c r="A1599" s="9" t="str">
        <f t="shared" si="118"/>
        <v>2024 ALL D75</v>
      </c>
      <c r="B1599" s="10">
        <f t="shared" si="118"/>
        <v>46104</v>
      </c>
      <c r="C1599" s="10">
        <v>46113</v>
      </c>
      <c r="D1599" s="11">
        <f t="shared" si="118"/>
        <v>3273</v>
      </c>
      <c r="E1599" s="11">
        <f t="shared" si="118"/>
        <v>336</v>
      </c>
      <c r="F1599" s="11">
        <f t="shared" si="118"/>
        <v>4</v>
      </c>
      <c r="G1599" s="19">
        <v>9</v>
      </c>
      <c r="H1599" s="13">
        <v>81588</v>
      </c>
      <c r="I1599" s="13" t="str">
        <f t="shared" si="117"/>
        <v>DISNEY</v>
      </c>
      <c r="J1599" s="13">
        <v>45921280</v>
      </c>
      <c r="K1599" s="13" t="s">
        <v>1865</v>
      </c>
      <c r="L1599" s="13" t="s">
        <v>1866</v>
      </c>
      <c r="M1599" s="17">
        <v>159900</v>
      </c>
      <c r="N1599" s="15">
        <v>0.75</v>
      </c>
      <c r="O1599" s="16">
        <f t="shared" si="113"/>
        <v>39975</v>
      </c>
      <c r="P1599" s="11" t="s">
        <v>20</v>
      </c>
    </row>
    <row r="1600" spans="1:16" x14ac:dyDescent="0.25">
      <c r="A1600" s="9" t="str">
        <f t="shared" si="118"/>
        <v>2024 ALL D75</v>
      </c>
      <c r="B1600" s="10">
        <f t="shared" si="118"/>
        <v>46104</v>
      </c>
      <c r="C1600" s="10">
        <v>46113</v>
      </c>
      <c r="D1600" s="11">
        <f t="shared" si="118"/>
        <v>3273</v>
      </c>
      <c r="E1600" s="11">
        <f t="shared" si="118"/>
        <v>336</v>
      </c>
      <c r="F1600" s="11">
        <f t="shared" si="118"/>
        <v>4</v>
      </c>
      <c r="G1600" s="19">
        <v>9</v>
      </c>
      <c r="H1600" s="13">
        <v>81588</v>
      </c>
      <c r="I1600" s="13" t="str">
        <f t="shared" si="117"/>
        <v>DISNEY</v>
      </c>
      <c r="J1600" s="13">
        <v>45921299</v>
      </c>
      <c r="K1600" s="13" t="s">
        <v>1865</v>
      </c>
      <c r="L1600" s="13" t="s">
        <v>1867</v>
      </c>
      <c r="M1600" s="17">
        <v>159900</v>
      </c>
      <c r="N1600" s="15">
        <v>0.75</v>
      </c>
      <c r="O1600" s="16">
        <f t="shared" si="113"/>
        <v>39975</v>
      </c>
      <c r="P1600" s="11" t="s">
        <v>20</v>
      </c>
    </row>
    <row r="1601" spans="1:16" x14ac:dyDescent="0.25">
      <c r="A1601" s="9" t="str">
        <f t="shared" si="118"/>
        <v>2024 ALL D75</v>
      </c>
      <c r="B1601" s="10">
        <f t="shared" si="118"/>
        <v>46104</v>
      </c>
      <c r="C1601" s="10">
        <v>46113</v>
      </c>
      <c r="D1601" s="11">
        <f t="shared" si="118"/>
        <v>3273</v>
      </c>
      <c r="E1601" s="11">
        <f t="shared" si="118"/>
        <v>336</v>
      </c>
      <c r="F1601" s="11">
        <f t="shared" si="118"/>
        <v>4</v>
      </c>
      <c r="G1601" s="19">
        <v>9</v>
      </c>
      <c r="H1601" s="13">
        <v>81588</v>
      </c>
      <c r="I1601" s="13" t="str">
        <f t="shared" si="117"/>
        <v>DISNEY</v>
      </c>
      <c r="J1601" s="13">
        <v>45921306</v>
      </c>
      <c r="K1601" s="13" t="s">
        <v>1865</v>
      </c>
      <c r="L1601" s="13" t="s">
        <v>1868</v>
      </c>
      <c r="M1601" s="17">
        <v>159900</v>
      </c>
      <c r="N1601" s="15">
        <v>0.75</v>
      </c>
      <c r="O1601" s="16">
        <f t="shared" si="113"/>
        <v>39975</v>
      </c>
      <c r="P1601" s="11" t="s">
        <v>20</v>
      </c>
    </row>
    <row r="1602" spans="1:16" x14ac:dyDescent="0.25">
      <c r="A1602" s="9" t="str">
        <f t="shared" si="118"/>
        <v>2024 ALL D75</v>
      </c>
      <c r="B1602" s="10">
        <f t="shared" si="118"/>
        <v>46104</v>
      </c>
      <c r="C1602" s="10">
        <v>46113</v>
      </c>
      <c r="D1602" s="11">
        <f t="shared" si="118"/>
        <v>3273</v>
      </c>
      <c r="E1602" s="11">
        <f t="shared" si="118"/>
        <v>336</v>
      </c>
      <c r="F1602" s="11">
        <f t="shared" si="118"/>
        <v>4</v>
      </c>
      <c r="G1602" s="19">
        <v>9</v>
      </c>
      <c r="H1602" s="13">
        <v>81588</v>
      </c>
      <c r="I1602" s="13" t="str">
        <f t="shared" si="117"/>
        <v>DISNEY</v>
      </c>
      <c r="J1602" s="13">
        <v>45921315</v>
      </c>
      <c r="K1602" s="13" t="s">
        <v>1865</v>
      </c>
      <c r="L1602" s="13" t="s">
        <v>1869</v>
      </c>
      <c r="M1602" s="17">
        <v>159900</v>
      </c>
      <c r="N1602" s="15">
        <v>0.75</v>
      </c>
      <c r="O1602" s="16">
        <f t="shared" ref="O1602:O1665" si="119">M1602*(1-N1602)</f>
        <v>39975</v>
      </c>
      <c r="P1602" s="11" t="s">
        <v>20</v>
      </c>
    </row>
    <row r="1603" spans="1:16" x14ac:dyDescent="0.25">
      <c r="A1603" s="9" t="str">
        <f t="shared" si="118"/>
        <v>2024 ALL D75</v>
      </c>
      <c r="B1603" s="10">
        <f t="shared" si="118"/>
        <v>46104</v>
      </c>
      <c r="C1603" s="10">
        <v>46113</v>
      </c>
      <c r="D1603" s="11">
        <f t="shared" si="118"/>
        <v>3273</v>
      </c>
      <c r="E1603" s="11">
        <f t="shared" si="118"/>
        <v>336</v>
      </c>
      <c r="F1603" s="11">
        <f t="shared" si="118"/>
        <v>4</v>
      </c>
      <c r="G1603" s="19">
        <v>9</v>
      </c>
      <c r="H1603" s="13">
        <v>81588</v>
      </c>
      <c r="I1603" s="13" t="str">
        <f t="shared" si="117"/>
        <v>DISNEY</v>
      </c>
      <c r="J1603" s="13">
        <v>45921324</v>
      </c>
      <c r="K1603" s="13" t="s">
        <v>1865</v>
      </c>
      <c r="L1603" s="13" t="s">
        <v>1870</v>
      </c>
      <c r="M1603" s="17">
        <v>159900</v>
      </c>
      <c r="N1603" s="15">
        <v>0.75</v>
      </c>
      <c r="O1603" s="16">
        <f t="shared" si="119"/>
        <v>39975</v>
      </c>
      <c r="P1603" s="11" t="s">
        <v>20</v>
      </c>
    </row>
    <row r="1604" spans="1:16" x14ac:dyDescent="0.25">
      <c r="A1604" s="9" t="str">
        <f t="shared" ref="A1604:F1619" si="120">A1603</f>
        <v>2024 ALL D75</v>
      </c>
      <c r="B1604" s="10">
        <f t="shared" si="120"/>
        <v>46104</v>
      </c>
      <c r="C1604" s="10">
        <v>46113</v>
      </c>
      <c r="D1604" s="11">
        <f t="shared" si="120"/>
        <v>3273</v>
      </c>
      <c r="E1604" s="11">
        <f t="shared" si="120"/>
        <v>336</v>
      </c>
      <c r="F1604" s="11">
        <f t="shared" si="120"/>
        <v>4</v>
      </c>
      <c r="G1604" s="19">
        <v>9</v>
      </c>
      <c r="H1604" s="13">
        <v>81588</v>
      </c>
      <c r="I1604" s="13" t="str">
        <f t="shared" si="117"/>
        <v>DISNEY</v>
      </c>
      <c r="J1604" s="13">
        <v>45921333</v>
      </c>
      <c r="K1604" s="13" t="s">
        <v>1865</v>
      </c>
      <c r="L1604" s="13" t="s">
        <v>1871</v>
      </c>
      <c r="M1604" s="17">
        <v>159900</v>
      </c>
      <c r="N1604" s="15">
        <v>0.75</v>
      </c>
      <c r="O1604" s="16">
        <f t="shared" si="119"/>
        <v>39975</v>
      </c>
      <c r="P1604" s="11" t="s">
        <v>20</v>
      </c>
    </row>
    <row r="1605" spans="1:16" x14ac:dyDescent="0.25">
      <c r="A1605" s="9" t="str">
        <f t="shared" si="120"/>
        <v>2024 ALL D75</v>
      </c>
      <c r="B1605" s="10">
        <f t="shared" si="120"/>
        <v>46104</v>
      </c>
      <c r="C1605" s="10">
        <v>46113</v>
      </c>
      <c r="D1605" s="11">
        <f t="shared" si="120"/>
        <v>3273</v>
      </c>
      <c r="E1605" s="11">
        <f t="shared" si="120"/>
        <v>336</v>
      </c>
      <c r="F1605" s="11">
        <f t="shared" si="120"/>
        <v>4</v>
      </c>
      <c r="G1605" s="19">
        <v>9</v>
      </c>
      <c r="H1605" s="13">
        <v>81588</v>
      </c>
      <c r="I1605" s="13" t="str">
        <f t="shared" si="117"/>
        <v>DISNEY</v>
      </c>
      <c r="J1605" s="13">
        <v>45921342</v>
      </c>
      <c r="K1605" s="13" t="s">
        <v>1865</v>
      </c>
      <c r="L1605" s="13" t="s">
        <v>1872</v>
      </c>
      <c r="M1605" s="17">
        <v>159900</v>
      </c>
      <c r="N1605" s="15">
        <v>0.75</v>
      </c>
      <c r="O1605" s="16">
        <f t="shared" si="119"/>
        <v>39975</v>
      </c>
      <c r="P1605" s="11" t="s">
        <v>20</v>
      </c>
    </row>
    <row r="1606" spans="1:16" x14ac:dyDescent="0.25">
      <c r="A1606" s="9" t="str">
        <f t="shared" si="120"/>
        <v>2024 ALL D75</v>
      </c>
      <c r="B1606" s="10">
        <f t="shared" si="120"/>
        <v>46104</v>
      </c>
      <c r="C1606" s="10">
        <v>46113</v>
      </c>
      <c r="D1606" s="11">
        <f t="shared" si="120"/>
        <v>3273</v>
      </c>
      <c r="E1606" s="11">
        <f t="shared" si="120"/>
        <v>336</v>
      </c>
      <c r="F1606" s="11">
        <f t="shared" si="120"/>
        <v>4</v>
      </c>
      <c r="G1606" s="19">
        <v>9</v>
      </c>
      <c r="H1606" s="13">
        <v>81588</v>
      </c>
      <c r="I1606" s="13" t="str">
        <f t="shared" si="117"/>
        <v>DISNEY</v>
      </c>
      <c r="J1606" s="13">
        <v>45921351</v>
      </c>
      <c r="K1606" s="13" t="s">
        <v>1865</v>
      </c>
      <c r="L1606" s="13" t="s">
        <v>1873</v>
      </c>
      <c r="M1606" s="17">
        <v>159900</v>
      </c>
      <c r="N1606" s="15">
        <v>0.75</v>
      </c>
      <c r="O1606" s="16">
        <f t="shared" si="119"/>
        <v>39975</v>
      </c>
      <c r="P1606" s="11" t="s">
        <v>20</v>
      </c>
    </row>
    <row r="1607" spans="1:16" x14ac:dyDescent="0.25">
      <c r="A1607" s="9" t="str">
        <f t="shared" si="120"/>
        <v>2024 ALL D75</v>
      </c>
      <c r="B1607" s="10">
        <f t="shared" si="120"/>
        <v>46104</v>
      </c>
      <c r="C1607" s="10">
        <v>46113</v>
      </c>
      <c r="D1607" s="11">
        <f t="shared" si="120"/>
        <v>3273</v>
      </c>
      <c r="E1607" s="11">
        <f t="shared" si="120"/>
        <v>336</v>
      </c>
      <c r="F1607" s="11">
        <f t="shared" si="120"/>
        <v>4</v>
      </c>
      <c r="G1607" s="19">
        <v>9</v>
      </c>
      <c r="H1607" s="13">
        <v>81676</v>
      </c>
      <c r="I1607" s="13" t="str">
        <f t="shared" si="117"/>
        <v>DISNEY</v>
      </c>
      <c r="J1607" s="13">
        <v>50037253</v>
      </c>
      <c r="K1607" s="13" t="s">
        <v>1874</v>
      </c>
      <c r="L1607" s="13" t="s">
        <v>1875</v>
      </c>
      <c r="M1607" s="17">
        <v>159900</v>
      </c>
      <c r="N1607" s="15">
        <v>0.75</v>
      </c>
      <c r="O1607" s="16">
        <f t="shared" si="119"/>
        <v>39975</v>
      </c>
      <c r="P1607" s="11" t="s">
        <v>20</v>
      </c>
    </row>
    <row r="1608" spans="1:16" x14ac:dyDescent="0.25">
      <c r="A1608" s="9" t="str">
        <f t="shared" si="120"/>
        <v>2024 ALL D75</v>
      </c>
      <c r="B1608" s="10">
        <f t="shared" si="120"/>
        <v>46104</v>
      </c>
      <c r="C1608" s="10">
        <v>46113</v>
      </c>
      <c r="D1608" s="11">
        <f t="shared" si="120"/>
        <v>3273</v>
      </c>
      <c r="E1608" s="11">
        <f t="shared" si="120"/>
        <v>336</v>
      </c>
      <c r="F1608" s="11">
        <f t="shared" si="120"/>
        <v>4</v>
      </c>
      <c r="G1608" s="19">
        <v>9</v>
      </c>
      <c r="H1608" s="13">
        <v>81676</v>
      </c>
      <c r="I1608" s="13" t="str">
        <f t="shared" si="117"/>
        <v>DISNEY</v>
      </c>
      <c r="J1608" s="13">
        <v>50037262</v>
      </c>
      <c r="K1608" s="13" t="s">
        <v>1874</v>
      </c>
      <c r="L1608" s="13" t="s">
        <v>1876</v>
      </c>
      <c r="M1608" s="17">
        <v>159900</v>
      </c>
      <c r="N1608" s="15">
        <v>0.75</v>
      </c>
      <c r="O1608" s="16">
        <f t="shared" si="119"/>
        <v>39975</v>
      </c>
      <c r="P1608" s="11" t="s">
        <v>20</v>
      </c>
    </row>
    <row r="1609" spans="1:16" x14ac:dyDescent="0.25">
      <c r="A1609" s="9" t="str">
        <f t="shared" si="120"/>
        <v>2024 ALL D75</v>
      </c>
      <c r="B1609" s="10">
        <f t="shared" si="120"/>
        <v>46104</v>
      </c>
      <c r="C1609" s="10">
        <v>46113</v>
      </c>
      <c r="D1609" s="11">
        <f t="shared" si="120"/>
        <v>3273</v>
      </c>
      <c r="E1609" s="11">
        <f t="shared" si="120"/>
        <v>336</v>
      </c>
      <c r="F1609" s="11">
        <f t="shared" si="120"/>
        <v>4</v>
      </c>
      <c r="G1609" s="19">
        <v>9</v>
      </c>
      <c r="H1609" s="13">
        <v>81676</v>
      </c>
      <c r="I1609" s="13" t="str">
        <f t="shared" si="117"/>
        <v>DISNEY</v>
      </c>
      <c r="J1609" s="13">
        <v>50037271</v>
      </c>
      <c r="K1609" s="13" t="s">
        <v>1874</v>
      </c>
      <c r="L1609" s="13" t="s">
        <v>1877</v>
      </c>
      <c r="M1609" s="17">
        <v>159900</v>
      </c>
      <c r="N1609" s="15">
        <v>0.75</v>
      </c>
      <c r="O1609" s="16">
        <f t="shared" si="119"/>
        <v>39975</v>
      </c>
      <c r="P1609" s="11" t="s">
        <v>20</v>
      </c>
    </row>
    <row r="1610" spans="1:16" x14ac:dyDescent="0.25">
      <c r="A1610" s="9" t="str">
        <f t="shared" si="120"/>
        <v>2024 ALL D75</v>
      </c>
      <c r="B1610" s="10">
        <f t="shared" si="120"/>
        <v>46104</v>
      </c>
      <c r="C1610" s="10">
        <v>46113</v>
      </c>
      <c r="D1610" s="11">
        <f t="shared" si="120"/>
        <v>3273</v>
      </c>
      <c r="E1610" s="11">
        <f t="shared" si="120"/>
        <v>336</v>
      </c>
      <c r="F1610" s="11">
        <f t="shared" si="120"/>
        <v>4</v>
      </c>
      <c r="G1610" s="19">
        <v>9</v>
      </c>
      <c r="H1610" s="13">
        <v>81676</v>
      </c>
      <c r="I1610" s="13" t="str">
        <f t="shared" si="117"/>
        <v>DISNEY</v>
      </c>
      <c r="J1610" s="13">
        <v>50037280</v>
      </c>
      <c r="K1610" s="13" t="s">
        <v>1874</v>
      </c>
      <c r="L1610" s="13" t="s">
        <v>1878</v>
      </c>
      <c r="M1610" s="17">
        <v>159900</v>
      </c>
      <c r="N1610" s="15">
        <v>0.75</v>
      </c>
      <c r="O1610" s="16">
        <f t="shared" si="119"/>
        <v>39975</v>
      </c>
      <c r="P1610" s="11" t="s">
        <v>20</v>
      </c>
    </row>
    <row r="1611" spans="1:16" x14ac:dyDescent="0.25">
      <c r="A1611" s="9" t="str">
        <f t="shared" si="120"/>
        <v>2024 ALL D75</v>
      </c>
      <c r="B1611" s="10">
        <f t="shared" si="120"/>
        <v>46104</v>
      </c>
      <c r="C1611" s="10">
        <v>46113</v>
      </c>
      <c r="D1611" s="11">
        <f t="shared" si="120"/>
        <v>3273</v>
      </c>
      <c r="E1611" s="11">
        <f t="shared" si="120"/>
        <v>336</v>
      </c>
      <c r="F1611" s="11">
        <f t="shared" si="120"/>
        <v>4</v>
      </c>
      <c r="G1611" s="19">
        <v>9</v>
      </c>
      <c r="H1611" s="13">
        <v>81676</v>
      </c>
      <c r="I1611" s="13" t="str">
        <f t="shared" si="117"/>
        <v>DISNEY</v>
      </c>
      <c r="J1611" s="13">
        <v>50037299</v>
      </c>
      <c r="K1611" s="13" t="s">
        <v>1874</v>
      </c>
      <c r="L1611" s="13" t="s">
        <v>1879</v>
      </c>
      <c r="M1611" s="17">
        <v>159900</v>
      </c>
      <c r="N1611" s="15">
        <v>0.75</v>
      </c>
      <c r="O1611" s="16">
        <f t="shared" si="119"/>
        <v>39975</v>
      </c>
      <c r="P1611" s="11" t="s">
        <v>20</v>
      </c>
    </row>
    <row r="1612" spans="1:16" x14ac:dyDescent="0.25">
      <c r="A1612" s="9" t="str">
        <f t="shared" si="120"/>
        <v>2024 ALL D75</v>
      </c>
      <c r="B1612" s="10">
        <f t="shared" si="120"/>
        <v>46104</v>
      </c>
      <c r="C1612" s="10">
        <v>46113</v>
      </c>
      <c r="D1612" s="11">
        <f t="shared" si="120"/>
        <v>3273</v>
      </c>
      <c r="E1612" s="11">
        <f t="shared" si="120"/>
        <v>336</v>
      </c>
      <c r="F1612" s="11">
        <f t="shared" si="120"/>
        <v>4</v>
      </c>
      <c r="G1612" s="19">
        <v>9</v>
      </c>
      <c r="H1612" s="13">
        <v>81676</v>
      </c>
      <c r="I1612" s="13" t="str">
        <f t="shared" si="117"/>
        <v>DISNEY</v>
      </c>
      <c r="J1612" s="13">
        <v>50037306</v>
      </c>
      <c r="K1612" s="13" t="s">
        <v>1874</v>
      </c>
      <c r="L1612" s="13" t="s">
        <v>1880</v>
      </c>
      <c r="M1612" s="17">
        <v>159900</v>
      </c>
      <c r="N1612" s="15">
        <v>0.75</v>
      </c>
      <c r="O1612" s="16">
        <f t="shared" si="119"/>
        <v>39975</v>
      </c>
      <c r="P1612" s="11" t="s">
        <v>20</v>
      </c>
    </row>
    <row r="1613" spans="1:16" x14ac:dyDescent="0.25">
      <c r="A1613" s="9" t="str">
        <f t="shared" si="120"/>
        <v>2024 ALL D75</v>
      </c>
      <c r="B1613" s="10">
        <f t="shared" si="120"/>
        <v>46104</v>
      </c>
      <c r="C1613" s="10">
        <v>46113</v>
      </c>
      <c r="D1613" s="11">
        <f t="shared" si="120"/>
        <v>3273</v>
      </c>
      <c r="E1613" s="11">
        <f t="shared" si="120"/>
        <v>336</v>
      </c>
      <c r="F1613" s="11">
        <f t="shared" si="120"/>
        <v>4</v>
      </c>
      <c r="G1613" s="19">
        <v>9</v>
      </c>
      <c r="H1613" s="13">
        <v>81676</v>
      </c>
      <c r="I1613" s="13" t="str">
        <f t="shared" si="117"/>
        <v>DISNEY</v>
      </c>
      <c r="J1613" s="13">
        <v>50037315</v>
      </c>
      <c r="K1613" s="13" t="s">
        <v>1874</v>
      </c>
      <c r="L1613" s="13" t="s">
        <v>1881</v>
      </c>
      <c r="M1613" s="17">
        <v>159900</v>
      </c>
      <c r="N1613" s="15">
        <v>0.75</v>
      </c>
      <c r="O1613" s="16">
        <f t="shared" si="119"/>
        <v>39975</v>
      </c>
      <c r="P1613" s="11" t="s">
        <v>20</v>
      </c>
    </row>
    <row r="1614" spans="1:16" x14ac:dyDescent="0.25">
      <c r="A1614" s="9" t="str">
        <f t="shared" si="120"/>
        <v>2024 ALL D75</v>
      </c>
      <c r="B1614" s="10">
        <f t="shared" si="120"/>
        <v>46104</v>
      </c>
      <c r="C1614" s="10">
        <v>46113</v>
      </c>
      <c r="D1614" s="11">
        <f t="shared" si="120"/>
        <v>3273</v>
      </c>
      <c r="E1614" s="11">
        <f t="shared" si="120"/>
        <v>336</v>
      </c>
      <c r="F1614" s="11">
        <f t="shared" si="120"/>
        <v>4</v>
      </c>
      <c r="G1614" s="19">
        <v>9</v>
      </c>
      <c r="H1614" s="13">
        <v>81676</v>
      </c>
      <c r="I1614" s="13" t="str">
        <f t="shared" si="117"/>
        <v>DISNEY</v>
      </c>
      <c r="J1614" s="13">
        <v>50037324</v>
      </c>
      <c r="K1614" s="13" t="s">
        <v>1874</v>
      </c>
      <c r="L1614" s="13" t="s">
        <v>1882</v>
      </c>
      <c r="M1614" s="17">
        <v>159900</v>
      </c>
      <c r="N1614" s="15">
        <v>0.75</v>
      </c>
      <c r="O1614" s="16">
        <f t="shared" si="119"/>
        <v>39975</v>
      </c>
      <c r="P1614" s="11" t="s">
        <v>20</v>
      </c>
    </row>
    <row r="1615" spans="1:16" x14ac:dyDescent="0.25">
      <c r="A1615" s="9" t="str">
        <f t="shared" si="120"/>
        <v>2024 ALL D75</v>
      </c>
      <c r="B1615" s="10">
        <f t="shared" si="120"/>
        <v>46104</v>
      </c>
      <c r="C1615" s="10">
        <v>46113</v>
      </c>
      <c r="D1615" s="11">
        <f t="shared" si="120"/>
        <v>3273</v>
      </c>
      <c r="E1615" s="11">
        <f t="shared" si="120"/>
        <v>336</v>
      </c>
      <c r="F1615" s="11">
        <f t="shared" si="120"/>
        <v>4</v>
      </c>
      <c r="G1615" s="19">
        <v>8</v>
      </c>
      <c r="H1615" s="13">
        <v>81676</v>
      </c>
      <c r="I1615" s="13" t="str">
        <f t="shared" si="117"/>
        <v>DISNEY</v>
      </c>
      <c r="J1615" s="13">
        <v>45920263</v>
      </c>
      <c r="K1615" s="13" t="s">
        <v>1883</v>
      </c>
      <c r="L1615" s="13" t="s">
        <v>1884</v>
      </c>
      <c r="M1615" s="17">
        <v>229900</v>
      </c>
      <c r="N1615" s="15">
        <v>0.75</v>
      </c>
      <c r="O1615" s="16">
        <f t="shared" si="119"/>
        <v>57475</v>
      </c>
      <c r="P1615" s="11" t="s">
        <v>20</v>
      </c>
    </row>
    <row r="1616" spans="1:16" x14ac:dyDescent="0.25">
      <c r="A1616" s="9" t="str">
        <f t="shared" si="120"/>
        <v>2024 ALL D75</v>
      </c>
      <c r="B1616" s="10">
        <f t="shared" si="120"/>
        <v>46104</v>
      </c>
      <c r="C1616" s="10">
        <v>46113</v>
      </c>
      <c r="D1616" s="11">
        <f t="shared" si="120"/>
        <v>3273</v>
      </c>
      <c r="E1616" s="11">
        <f t="shared" si="120"/>
        <v>336</v>
      </c>
      <c r="F1616" s="11">
        <f t="shared" si="120"/>
        <v>4</v>
      </c>
      <c r="G1616" s="19">
        <v>8</v>
      </c>
      <c r="H1616" s="13">
        <v>81676</v>
      </c>
      <c r="I1616" s="13" t="str">
        <f t="shared" si="117"/>
        <v>DISNEY</v>
      </c>
      <c r="J1616" s="13">
        <v>45920272</v>
      </c>
      <c r="K1616" s="13" t="s">
        <v>1883</v>
      </c>
      <c r="L1616" s="13" t="s">
        <v>1885</v>
      </c>
      <c r="M1616" s="17">
        <v>229900</v>
      </c>
      <c r="N1616" s="15">
        <v>0.75</v>
      </c>
      <c r="O1616" s="16">
        <f t="shared" si="119"/>
        <v>57475</v>
      </c>
      <c r="P1616" s="11" t="s">
        <v>20</v>
      </c>
    </row>
    <row r="1617" spans="1:16" x14ac:dyDescent="0.25">
      <c r="A1617" s="9" t="str">
        <f t="shared" si="120"/>
        <v>2024 ALL D75</v>
      </c>
      <c r="B1617" s="10">
        <f t="shared" si="120"/>
        <v>46104</v>
      </c>
      <c r="C1617" s="10">
        <v>46113</v>
      </c>
      <c r="D1617" s="11">
        <f t="shared" si="120"/>
        <v>3273</v>
      </c>
      <c r="E1617" s="11">
        <f t="shared" si="120"/>
        <v>336</v>
      </c>
      <c r="F1617" s="11">
        <f t="shared" si="120"/>
        <v>4</v>
      </c>
      <c r="G1617" s="19">
        <v>8</v>
      </c>
      <c r="H1617" s="13">
        <v>81676</v>
      </c>
      <c r="I1617" s="13" t="str">
        <f t="shared" si="117"/>
        <v>DISNEY</v>
      </c>
      <c r="J1617" s="13">
        <v>45920281</v>
      </c>
      <c r="K1617" s="13" t="s">
        <v>1883</v>
      </c>
      <c r="L1617" s="13" t="s">
        <v>1886</v>
      </c>
      <c r="M1617" s="17">
        <v>229900</v>
      </c>
      <c r="N1617" s="15">
        <v>0.75</v>
      </c>
      <c r="O1617" s="16">
        <f t="shared" si="119"/>
        <v>57475</v>
      </c>
      <c r="P1617" s="11" t="s">
        <v>20</v>
      </c>
    </row>
    <row r="1618" spans="1:16" x14ac:dyDescent="0.25">
      <c r="A1618" s="9" t="str">
        <f t="shared" si="120"/>
        <v>2024 ALL D75</v>
      </c>
      <c r="B1618" s="10">
        <f t="shared" si="120"/>
        <v>46104</v>
      </c>
      <c r="C1618" s="10">
        <v>46113</v>
      </c>
      <c r="D1618" s="11">
        <f t="shared" si="120"/>
        <v>3273</v>
      </c>
      <c r="E1618" s="11">
        <f t="shared" si="120"/>
        <v>336</v>
      </c>
      <c r="F1618" s="11">
        <f t="shared" si="120"/>
        <v>4</v>
      </c>
      <c r="G1618" s="19">
        <v>8</v>
      </c>
      <c r="H1618" s="13">
        <v>81676</v>
      </c>
      <c r="I1618" s="13" t="str">
        <f t="shared" si="117"/>
        <v>DISNEY</v>
      </c>
      <c r="J1618" s="13">
        <v>45920290</v>
      </c>
      <c r="K1618" s="13" t="s">
        <v>1883</v>
      </c>
      <c r="L1618" s="13" t="s">
        <v>1887</v>
      </c>
      <c r="M1618" s="17">
        <v>229900</v>
      </c>
      <c r="N1618" s="15">
        <v>0.75</v>
      </c>
      <c r="O1618" s="16">
        <f t="shared" si="119"/>
        <v>57475</v>
      </c>
      <c r="P1618" s="11" t="s">
        <v>20</v>
      </c>
    </row>
    <row r="1619" spans="1:16" x14ac:dyDescent="0.25">
      <c r="A1619" s="9" t="str">
        <f t="shared" si="120"/>
        <v>2024 ALL D75</v>
      </c>
      <c r="B1619" s="10">
        <f t="shared" si="120"/>
        <v>46104</v>
      </c>
      <c r="C1619" s="10">
        <v>46113</v>
      </c>
      <c r="D1619" s="11">
        <f t="shared" si="120"/>
        <v>3273</v>
      </c>
      <c r="E1619" s="11">
        <f t="shared" si="120"/>
        <v>336</v>
      </c>
      <c r="F1619" s="11">
        <f t="shared" si="120"/>
        <v>4</v>
      </c>
      <c r="G1619" s="19">
        <v>8</v>
      </c>
      <c r="H1619" s="13">
        <v>81676</v>
      </c>
      <c r="I1619" s="13" t="str">
        <f t="shared" si="117"/>
        <v>DISNEY</v>
      </c>
      <c r="J1619" s="13">
        <v>45920307</v>
      </c>
      <c r="K1619" s="13" t="s">
        <v>1883</v>
      </c>
      <c r="L1619" s="13" t="s">
        <v>1888</v>
      </c>
      <c r="M1619" s="17">
        <v>229900</v>
      </c>
      <c r="N1619" s="15">
        <v>0.75</v>
      </c>
      <c r="O1619" s="16">
        <f t="shared" si="119"/>
        <v>57475</v>
      </c>
      <c r="P1619" s="11" t="s">
        <v>20</v>
      </c>
    </row>
    <row r="1620" spans="1:16" x14ac:dyDescent="0.25">
      <c r="A1620" s="9" t="str">
        <f t="shared" ref="A1620:F1635" si="121">A1619</f>
        <v>2024 ALL D75</v>
      </c>
      <c r="B1620" s="10">
        <f t="shared" si="121"/>
        <v>46104</v>
      </c>
      <c r="C1620" s="10">
        <v>46113</v>
      </c>
      <c r="D1620" s="11">
        <f t="shared" si="121"/>
        <v>3273</v>
      </c>
      <c r="E1620" s="11">
        <f t="shared" si="121"/>
        <v>336</v>
      </c>
      <c r="F1620" s="11">
        <f t="shared" si="121"/>
        <v>4</v>
      </c>
      <c r="G1620" s="19">
        <v>8</v>
      </c>
      <c r="H1620" s="13">
        <v>81676</v>
      </c>
      <c r="I1620" s="13" t="str">
        <f t="shared" si="117"/>
        <v>DISNEY</v>
      </c>
      <c r="J1620" s="13">
        <v>45920316</v>
      </c>
      <c r="K1620" s="13" t="s">
        <v>1883</v>
      </c>
      <c r="L1620" s="13" t="s">
        <v>1889</v>
      </c>
      <c r="M1620" s="17">
        <v>229900</v>
      </c>
      <c r="N1620" s="15">
        <v>0.75</v>
      </c>
      <c r="O1620" s="16">
        <f t="shared" si="119"/>
        <v>57475</v>
      </c>
      <c r="P1620" s="11" t="s">
        <v>20</v>
      </c>
    </row>
    <row r="1621" spans="1:16" x14ac:dyDescent="0.25">
      <c r="A1621" s="9" t="str">
        <f t="shared" si="121"/>
        <v>2024 ALL D75</v>
      </c>
      <c r="B1621" s="10">
        <f t="shared" si="121"/>
        <v>46104</v>
      </c>
      <c r="C1621" s="10">
        <v>46113</v>
      </c>
      <c r="D1621" s="11">
        <f t="shared" si="121"/>
        <v>3273</v>
      </c>
      <c r="E1621" s="11">
        <f t="shared" si="121"/>
        <v>336</v>
      </c>
      <c r="F1621" s="11">
        <f t="shared" si="121"/>
        <v>4</v>
      </c>
      <c r="G1621" s="19">
        <v>8</v>
      </c>
      <c r="H1621" s="13">
        <v>81676</v>
      </c>
      <c r="I1621" s="13" t="str">
        <f t="shared" si="117"/>
        <v>DISNEY</v>
      </c>
      <c r="J1621" s="13">
        <v>45920325</v>
      </c>
      <c r="K1621" s="13" t="s">
        <v>1883</v>
      </c>
      <c r="L1621" s="13" t="s">
        <v>1890</v>
      </c>
      <c r="M1621" s="17">
        <v>229900</v>
      </c>
      <c r="N1621" s="15">
        <v>0.75</v>
      </c>
      <c r="O1621" s="16">
        <f t="shared" si="119"/>
        <v>57475</v>
      </c>
      <c r="P1621" s="11" t="s">
        <v>20</v>
      </c>
    </row>
    <row r="1622" spans="1:16" x14ac:dyDescent="0.25">
      <c r="A1622" s="9" t="str">
        <f t="shared" si="121"/>
        <v>2024 ALL D75</v>
      </c>
      <c r="B1622" s="10">
        <f t="shared" si="121"/>
        <v>46104</v>
      </c>
      <c r="C1622" s="10">
        <v>46113</v>
      </c>
      <c r="D1622" s="11">
        <f t="shared" si="121"/>
        <v>3273</v>
      </c>
      <c r="E1622" s="11">
        <f t="shared" si="121"/>
        <v>336</v>
      </c>
      <c r="F1622" s="11">
        <f t="shared" si="121"/>
        <v>4</v>
      </c>
      <c r="G1622" s="19">
        <v>8</v>
      </c>
      <c r="H1622" s="13">
        <v>81676</v>
      </c>
      <c r="I1622" s="13" t="str">
        <f t="shared" si="117"/>
        <v>DISNEY</v>
      </c>
      <c r="J1622" s="13">
        <v>45920334</v>
      </c>
      <c r="K1622" s="13" t="s">
        <v>1883</v>
      </c>
      <c r="L1622" s="13" t="s">
        <v>1891</v>
      </c>
      <c r="M1622" s="17">
        <v>229900</v>
      </c>
      <c r="N1622" s="15">
        <v>0.75</v>
      </c>
      <c r="O1622" s="16">
        <f t="shared" si="119"/>
        <v>57475</v>
      </c>
      <c r="P1622" s="11" t="s">
        <v>20</v>
      </c>
    </row>
    <row r="1623" spans="1:16" x14ac:dyDescent="0.25">
      <c r="A1623" s="9" t="str">
        <f t="shared" si="121"/>
        <v>2024 ALL D75</v>
      </c>
      <c r="B1623" s="10">
        <f t="shared" si="121"/>
        <v>46104</v>
      </c>
      <c r="C1623" s="10">
        <v>46113</v>
      </c>
      <c r="D1623" s="11">
        <f t="shared" si="121"/>
        <v>3273</v>
      </c>
      <c r="E1623" s="11">
        <f t="shared" si="121"/>
        <v>336</v>
      </c>
      <c r="F1623" s="11">
        <f t="shared" si="121"/>
        <v>4</v>
      </c>
      <c r="G1623" s="19">
        <v>8</v>
      </c>
      <c r="H1623" s="13">
        <v>81588</v>
      </c>
      <c r="I1623" s="13" t="str">
        <f t="shared" si="117"/>
        <v>DISNEY</v>
      </c>
      <c r="J1623" s="13">
        <v>45920601</v>
      </c>
      <c r="K1623" s="13" t="s">
        <v>1892</v>
      </c>
      <c r="L1623" s="13" t="s">
        <v>1893</v>
      </c>
      <c r="M1623" s="17">
        <v>299900</v>
      </c>
      <c r="N1623" s="15">
        <v>0.75</v>
      </c>
      <c r="O1623" s="16">
        <f t="shared" si="119"/>
        <v>74975</v>
      </c>
      <c r="P1623" s="11" t="s">
        <v>20</v>
      </c>
    </row>
    <row r="1624" spans="1:16" x14ac:dyDescent="0.25">
      <c r="A1624" s="9" t="str">
        <f t="shared" si="121"/>
        <v>2024 ALL D75</v>
      </c>
      <c r="B1624" s="10">
        <f t="shared" si="121"/>
        <v>46104</v>
      </c>
      <c r="C1624" s="10">
        <v>46113</v>
      </c>
      <c r="D1624" s="11">
        <f t="shared" si="121"/>
        <v>3273</v>
      </c>
      <c r="E1624" s="11">
        <f t="shared" si="121"/>
        <v>336</v>
      </c>
      <c r="F1624" s="11">
        <f t="shared" si="121"/>
        <v>4</v>
      </c>
      <c r="G1624" s="19">
        <v>8</v>
      </c>
      <c r="H1624" s="13">
        <v>81588</v>
      </c>
      <c r="I1624" s="13" t="str">
        <f t="shared" si="117"/>
        <v>DISNEY</v>
      </c>
      <c r="J1624" s="13">
        <v>45920610</v>
      </c>
      <c r="K1624" s="13" t="s">
        <v>1892</v>
      </c>
      <c r="L1624" s="13" t="s">
        <v>1894</v>
      </c>
      <c r="M1624" s="17">
        <v>299900</v>
      </c>
      <c r="N1624" s="15">
        <v>0.75</v>
      </c>
      <c r="O1624" s="16">
        <f t="shared" si="119"/>
        <v>74975</v>
      </c>
      <c r="P1624" s="11" t="s">
        <v>20</v>
      </c>
    </row>
    <row r="1625" spans="1:16" x14ac:dyDescent="0.25">
      <c r="A1625" s="9" t="str">
        <f t="shared" si="121"/>
        <v>2024 ALL D75</v>
      </c>
      <c r="B1625" s="10">
        <f t="shared" si="121"/>
        <v>46104</v>
      </c>
      <c r="C1625" s="10">
        <v>46113</v>
      </c>
      <c r="D1625" s="11">
        <f t="shared" si="121"/>
        <v>3273</v>
      </c>
      <c r="E1625" s="11">
        <f t="shared" si="121"/>
        <v>336</v>
      </c>
      <c r="F1625" s="11">
        <f t="shared" si="121"/>
        <v>4</v>
      </c>
      <c r="G1625" s="19">
        <v>8</v>
      </c>
      <c r="H1625" s="13">
        <v>81588</v>
      </c>
      <c r="I1625" s="13" t="str">
        <f t="shared" si="117"/>
        <v>DISNEY</v>
      </c>
      <c r="J1625" s="13">
        <v>45920629</v>
      </c>
      <c r="K1625" s="13" t="s">
        <v>1892</v>
      </c>
      <c r="L1625" s="13" t="s">
        <v>1895</v>
      </c>
      <c r="M1625" s="17">
        <v>299900</v>
      </c>
      <c r="N1625" s="15">
        <v>0.75</v>
      </c>
      <c r="O1625" s="16">
        <f t="shared" si="119"/>
        <v>74975</v>
      </c>
      <c r="P1625" s="11" t="s">
        <v>20</v>
      </c>
    </row>
    <row r="1626" spans="1:16" x14ac:dyDescent="0.25">
      <c r="A1626" s="9" t="str">
        <f t="shared" si="121"/>
        <v>2024 ALL D75</v>
      </c>
      <c r="B1626" s="10">
        <f t="shared" si="121"/>
        <v>46104</v>
      </c>
      <c r="C1626" s="10">
        <v>46113</v>
      </c>
      <c r="D1626" s="11">
        <f t="shared" si="121"/>
        <v>3273</v>
      </c>
      <c r="E1626" s="11">
        <f t="shared" si="121"/>
        <v>336</v>
      </c>
      <c r="F1626" s="11">
        <f t="shared" si="121"/>
        <v>4</v>
      </c>
      <c r="G1626" s="19">
        <v>8</v>
      </c>
      <c r="H1626" s="13">
        <v>81588</v>
      </c>
      <c r="I1626" s="13" t="str">
        <f t="shared" si="117"/>
        <v>DISNEY</v>
      </c>
      <c r="J1626" s="13">
        <v>45920638</v>
      </c>
      <c r="K1626" s="13" t="s">
        <v>1892</v>
      </c>
      <c r="L1626" s="13" t="s">
        <v>1896</v>
      </c>
      <c r="M1626" s="17">
        <v>299900</v>
      </c>
      <c r="N1626" s="15">
        <v>0.75</v>
      </c>
      <c r="O1626" s="16">
        <f t="shared" si="119"/>
        <v>74975</v>
      </c>
      <c r="P1626" s="11" t="s">
        <v>20</v>
      </c>
    </row>
    <row r="1627" spans="1:16" x14ac:dyDescent="0.25">
      <c r="A1627" s="9" t="str">
        <f t="shared" si="121"/>
        <v>2024 ALL D75</v>
      </c>
      <c r="B1627" s="10">
        <f t="shared" si="121"/>
        <v>46104</v>
      </c>
      <c r="C1627" s="10">
        <v>46113</v>
      </c>
      <c r="D1627" s="11">
        <f t="shared" si="121"/>
        <v>3273</v>
      </c>
      <c r="E1627" s="11">
        <f t="shared" si="121"/>
        <v>336</v>
      </c>
      <c r="F1627" s="11">
        <f t="shared" si="121"/>
        <v>4</v>
      </c>
      <c r="G1627" s="19">
        <v>8</v>
      </c>
      <c r="H1627" s="13">
        <v>81588</v>
      </c>
      <c r="I1627" s="13" t="str">
        <f t="shared" si="117"/>
        <v>DISNEY</v>
      </c>
      <c r="J1627" s="13">
        <v>45920647</v>
      </c>
      <c r="K1627" s="13" t="s">
        <v>1892</v>
      </c>
      <c r="L1627" s="13" t="s">
        <v>1897</v>
      </c>
      <c r="M1627" s="17">
        <v>299900</v>
      </c>
      <c r="N1627" s="15">
        <v>0.75</v>
      </c>
      <c r="O1627" s="16">
        <f t="shared" si="119"/>
        <v>74975</v>
      </c>
      <c r="P1627" s="11" t="s">
        <v>20</v>
      </c>
    </row>
    <row r="1628" spans="1:16" x14ac:dyDescent="0.25">
      <c r="A1628" s="9" t="str">
        <f t="shared" si="121"/>
        <v>2024 ALL D75</v>
      </c>
      <c r="B1628" s="10">
        <f t="shared" si="121"/>
        <v>46104</v>
      </c>
      <c r="C1628" s="10">
        <v>46113</v>
      </c>
      <c r="D1628" s="11">
        <f t="shared" si="121"/>
        <v>3273</v>
      </c>
      <c r="E1628" s="11">
        <f t="shared" si="121"/>
        <v>336</v>
      </c>
      <c r="F1628" s="11">
        <f t="shared" si="121"/>
        <v>4</v>
      </c>
      <c r="G1628" s="19">
        <v>8</v>
      </c>
      <c r="H1628" s="13">
        <v>81588</v>
      </c>
      <c r="I1628" s="13" t="str">
        <f t="shared" si="117"/>
        <v>DISNEY</v>
      </c>
      <c r="J1628" s="13">
        <v>45920656</v>
      </c>
      <c r="K1628" s="13" t="s">
        <v>1892</v>
      </c>
      <c r="L1628" s="13" t="s">
        <v>1898</v>
      </c>
      <c r="M1628" s="17">
        <v>299900</v>
      </c>
      <c r="N1628" s="15">
        <v>0.75</v>
      </c>
      <c r="O1628" s="16">
        <f t="shared" si="119"/>
        <v>74975</v>
      </c>
      <c r="P1628" s="11" t="s">
        <v>20</v>
      </c>
    </row>
    <row r="1629" spans="1:16" x14ac:dyDescent="0.25">
      <c r="A1629" s="9" t="str">
        <f t="shared" si="121"/>
        <v>2024 ALL D75</v>
      </c>
      <c r="B1629" s="10">
        <f t="shared" si="121"/>
        <v>46104</v>
      </c>
      <c r="C1629" s="10">
        <v>46113</v>
      </c>
      <c r="D1629" s="11">
        <f t="shared" si="121"/>
        <v>3273</v>
      </c>
      <c r="E1629" s="11">
        <f t="shared" si="121"/>
        <v>336</v>
      </c>
      <c r="F1629" s="11">
        <f t="shared" si="121"/>
        <v>4</v>
      </c>
      <c r="G1629" s="19">
        <v>8</v>
      </c>
      <c r="H1629" s="13">
        <v>81588</v>
      </c>
      <c r="I1629" s="13" t="str">
        <f t="shared" si="117"/>
        <v>DISNEY</v>
      </c>
      <c r="J1629" s="13">
        <v>45920665</v>
      </c>
      <c r="K1629" s="13" t="s">
        <v>1892</v>
      </c>
      <c r="L1629" s="13" t="s">
        <v>1899</v>
      </c>
      <c r="M1629" s="17">
        <v>299900</v>
      </c>
      <c r="N1629" s="15">
        <v>0.75</v>
      </c>
      <c r="O1629" s="16">
        <f t="shared" si="119"/>
        <v>74975</v>
      </c>
      <c r="P1629" s="11" t="s">
        <v>20</v>
      </c>
    </row>
    <row r="1630" spans="1:16" x14ac:dyDescent="0.25">
      <c r="A1630" s="9" t="str">
        <f t="shared" si="121"/>
        <v>2024 ALL D75</v>
      </c>
      <c r="B1630" s="10">
        <f t="shared" si="121"/>
        <v>46104</v>
      </c>
      <c r="C1630" s="10">
        <v>46113</v>
      </c>
      <c r="D1630" s="11">
        <f t="shared" si="121"/>
        <v>3273</v>
      </c>
      <c r="E1630" s="11">
        <f t="shared" si="121"/>
        <v>336</v>
      </c>
      <c r="F1630" s="11">
        <f t="shared" si="121"/>
        <v>4</v>
      </c>
      <c r="G1630" s="19">
        <v>8</v>
      </c>
      <c r="H1630" s="13">
        <v>81588</v>
      </c>
      <c r="I1630" s="13" t="str">
        <f t="shared" si="117"/>
        <v>DISNEY</v>
      </c>
      <c r="J1630" s="13">
        <v>45920674</v>
      </c>
      <c r="K1630" s="13" t="s">
        <v>1892</v>
      </c>
      <c r="L1630" s="13" t="s">
        <v>1900</v>
      </c>
      <c r="M1630" s="17">
        <v>299900</v>
      </c>
      <c r="N1630" s="15">
        <v>0.75</v>
      </c>
      <c r="O1630" s="16">
        <f t="shared" si="119"/>
        <v>74975</v>
      </c>
      <c r="P1630" s="11" t="s">
        <v>20</v>
      </c>
    </row>
    <row r="1631" spans="1:16" x14ac:dyDescent="0.25">
      <c r="A1631" s="9" t="str">
        <f t="shared" si="121"/>
        <v>2024 ALL D75</v>
      </c>
      <c r="B1631" s="10">
        <f t="shared" si="121"/>
        <v>46104</v>
      </c>
      <c r="C1631" s="10">
        <v>46113</v>
      </c>
      <c r="D1631" s="11">
        <f t="shared" si="121"/>
        <v>3273</v>
      </c>
      <c r="E1631" s="11">
        <f t="shared" si="121"/>
        <v>336</v>
      </c>
      <c r="F1631" s="11">
        <f t="shared" si="121"/>
        <v>4</v>
      </c>
      <c r="G1631" s="19">
        <v>15</v>
      </c>
      <c r="H1631" s="13">
        <v>81574</v>
      </c>
      <c r="I1631" s="13" t="str">
        <f t="shared" si="117"/>
        <v>DISNEY</v>
      </c>
      <c r="J1631" s="13">
        <v>48258297</v>
      </c>
      <c r="K1631" s="13" t="s">
        <v>1901</v>
      </c>
      <c r="L1631" s="13" t="s">
        <v>1902</v>
      </c>
      <c r="M1631" s="17">
        <v>149900</v>
      </c>
      <c r="N1631" s="15">
        <v>0.75</v>
      </c>
      <c r="O1631" s="16">
        <f t="shared" si="119"/>
        <v>37475</v>
      </c>
      <c r="P1631" s="11" t="s">
        <v>20</v>
      </c>
    </row>
    <row r="1632" spans="1:16" x14ac:dyDescent="0.25">
      <c r="A1632" s="9" t="str">
        <f t="shared" si="121"/>
        <v>2024 ALL D75</v>
      </c>
      <c r="B1632" s="10">
        <f t="shared" si="121"/>
        <v>46104</v>
      </c>
      <c r="C1632" s="10">
        <v>46113</v>
      </c>
      <c r="D1632" s="11">
        <f t="shared" si="121"/>
        <v>3273</v>
      </c>
      <c r="E1632" s="11">
        <f t="shared" si="121"/>
        <v>336</v>
      </c>
      <c r="F1632" s="11">
        <f t="shared" si="121"/>
        <v>4</v>
      </c>
      <c r="G1632" s="19">
        <v>4</v>
      </c>
      <c r="H1632" s="13">
        <v>81588</v>
      </c>
      <c r="I1632" s="13" t="str">
        <f t="shared" si="117"/>
        <v>DISNEY</v>
      </c>
      <c r="J1632" s="13">
        <v>45919748</v>
      </c>
      <c r="K1632" s="13" t="s">
        <v>1903</v>
      </c>
      <c r="L1632" s="13" t="s">
        <v>1904</v>
      </c>
      <c r="M1632" s="17">
        <v>239900</v>
      </c>
      <c r="N1632" s="15">
        <v>0.75</v>
      </c>
      <c r="O1632" s="16">
        <f t="shared" si="119"/>
        <v>59975</v>
      </c>
      <c r="P1632" s="11" t="s">
        <v>20</v>
      </c>
    </row>
    <row r="1633" spans="1:16" x14ac:dyDescent="0.25">
      <c r="A1633" s="9" t="str">
        <f t="shared" si="121"/>
        <v>2024 ALL D75</v>
      </c>
      <c r="B1633" s="10">
        <f t="shared" si="121"/>
        <v>46104</v>
      </c>
      <c r="C1633" s="10">
        <v>46113</v>
      </c>
      <c r="D1633" s="11">
        <f t="shared" si="121"/>
        <v>3273</v>
      </c>
      <c r="E1633" s="11">
        <f t="shared" si="121"/>
        <v>336</v>
      </c>
      <c r="F1633" s="11">
        <f t="shared" si="121"/>
        <v>4</v>
      </c>
      <c r="G1633" s="19">
        <v>4</v>
      </c>
      <c r="H1633" s="13">
        <v>81588</v>
      </c>
      <c r="I1633" s="13" t="str">
        <f t="shared" si="117"/>
        <v>DISNEY</v>
      </c>
      <c r="J1633" s="13">
        <v>45919757</v>
      </c>
      <c r="K1633" s="13" t="s">
        <v>1903</v>
      </c>
      <c r="L1633" s="13" t="s">
        <v>1905</v>
      </c>
      <c r="M1633" s="17">
        <v>239900</v>
      </c>
      <c r="N1633" s="15">
        <v>0.75</v>
      </c>
      <c r="O1633" s="16">
        <f t="shared" si="119"/>
        <v>59975</v>
      </c>
      <c r="P1633" s="11" t="s">
        <v>20</v>
      </c>
    </row>
    <row r="1634" spans="1:16" x14ac:dyDescent="0.25">
      <c r="A1634" s="9" t="str">
        <f t="shared" si="121"/>
        <v>2024 ALL D75</v>
      </c>
      <c r="B1634" s="10">
        <f t="shared" si="121"/>
        <v>46104</v>
      </c>
      <c r="C1634" s="10">
        <v>46113</v>
      </c>
      <c r="D1634" s="11">
        <f t="shared" si="121"/>
        <v>3273</v>
      </c>
      <c r="E1634" s="11">
        <f t="shared" si="121"/>
        <v>336</v>
      </c>
      <c r="F1634" s="11">
        <f t="shared" si="121"/>
        <v>4</v>
      </c>
      <c r="G1634" s="19">
        <v>4</v>
      </c>
      <c r="H1634" s="13">
        <v>81588</v>
      </c>
      <c r="I1634" s="13" t="str">
        <f t="shared" si="117"/>
        <v>DISNEY</v>
      </c>
      <c r="J1634" s="13">
        <v>45919766</v>
      </c>
      <c r="K1634" s="13" t="s">
        <v>1903</v>
      </c>
      <c r="L1634" s="13" t="s">
        <v>1906</v>
      </c>
      <c r="M1634" s="17">
        <v>239900</v>
      </c>
      <c r="N1634" s="15">
        <v>0.75</v>
      </c>
      <c r="O1634" s="16">
        <f t="shared" si="119"/>
        <v>59975</v>
      </c>
      <c r="P1634" s="11" t="s">
        <v>20</v>
      </c>
    </row>
    <row r="1635" spans="1:16" x14ac:dyDescent="0.25">
      <c r="A1635" s="9" t="str">
        <f t="shared" si="121"/>
        <v>2024 ALL D75</v>
      </c>
      <c r="B1635" s="10">
        <f t="shared" si="121"/>
        <v>46104</v>
      </c>
      <c r="C1635" s="10">
        <v>46113</v>
      </c>
      <c r="D1635" s="11">
        <f t="shared" si="121"/>
        <v>3273</v>
      </c>
      <c r="E1635" s="11">
        <f t="shared" si="121"/>
        <v>336</v>
      </c>
      <c r="F1635" s="11">
        <f t="shared" si="121"/>
        <v>4</v>
      </c>
      <c r="G1635" s="19">
        <v>4</v>
      </c>
      <c r="H1635" s="13">
        <v>81588</v>
      </c>
      <c r="I1635" s="13" t="str">
        <f t="shared" si="117"/>
        <v>DISNEY</v>
      </c>
      <c r="J1635" s="13">
        <v>45919775</v>
      </c>
      <c r="K1635" s="13" t="s">
        <v>1903</v>
      </c>
      <c r="L1635" s="13" t="s">
        <v>1907</v>
      </c>
      <c r="M1635" s="17">
        <v>239900</v>
      </c>
      <c r="N1635" s="15">
        <v>0.75</v>
      </c>
      <c r="O1635" s="16">
        <f t="shared" si="119"/>
        <v>59975</v>
      </c>
      <c r="P1635" s="11" t="s">
        <v>20</v>
      </c>
    </row>
    <row r="1636" spans="1:16" x14ac:dyDescent="0.25">
      <c r="A1636" s="9" t="str">
        <f t="shared" ref="A1636:F1651" si="122">A1635</f>
        <v>2024 ALL D75</v>
      </c>
      <c r="B1636" s="10">
        <f t="shared" si="122"/>
        <v>46104</v>
      </c>
      <c r="C1636" s="10">
        <v>46113</v>
      </c>
      <c r="D1636" s="11">
        <f t="shared" si="122"/>
        <v>3273</v>
      </c>
      <c r="E1636" s="11">
        <f t="shared" si="122"/>
        <v>336</v>
      </c>
      <c r="F1636" s="11">
        <f t="shared" si="122"/>
        <v>4</v>
      </c>
      <c r="G1636" s="19">
        <v>4</v>
      </c>
      <c r="H1636" s="13">
        <v>81588</v>
      </c>
      <c r="I1636" s="13" t="str">
        <f t="shared" si="117"/>
        <v>DISNEY</v>
      </c>
      <c r="J1636" s="13">
        <v>45919784</v>
      </c>
      <c r="K1636" s="13" t="s">
        <v>1903</v>
      </c>
      <c r="L1636" s="13" t="s">
        <v>1908</v>
      </c>
      <c r="M1636" s="17">
        <v>239900</v>
      </c>
      <c r="N1636" s="15">
        <v>0.75</v>
      </c>
      <c r="O1636" s="16">
        <f t="shared" si="119"/>
        <v>59975</v>
      </c>
      <c r="P1636" s="11" t="s">
        <v>20</v>
      </c>
    </row>
    <row r="1637" spans="1:16" x14ac:dyDescent="0.25">
      <c r="A1637" s="9" t="str">
        <f t="shared" si="122"/>
        <v>2024 ALL D75</v>
      </c>
      <c r="B1637" s="10">
        <f t="shared" si="122"/>
        <v>46104</v>
      </c>
      <c r="C1637" s="10">
        <v>46113</v>
      </c>
      <c r="D1637" s="11">
        <f t="shared" si="122"/>
        <v>3273</v>
      </c>
      <c r="E1637" s="11">
        <f t="shared" si="122"/>
        <v>336</v>
      </c>
      <c r="F1637" s="11">
        <f t="shared" si="122"/>
        <v>4</v>
      </c>
      <c r="G1637" s="19">
        <v>4</v>
      </c>
      <c r="H1637" s="13">
        <v>81676</v>
      </c>
      <c r="I1637" s="13" t="str">
        <f t="shared" si="117"/>
        <v>DISNEY</v>
      </c>
      <c r="J1637" s="13">
        <v>45919999</v>
      </c>
      <c r="K1637" s="13" t="s">
        <v>1909</v>
      </c>
      <c r="L1637" s="13" t="s">
        <v>1910</v>
      </c>
      <c r="M1637" s="17">
        <v>159900</v>
      </c>
      <c r="N1637" s="15">
        <v>0.75</v>
      </c>
      <c r="O1637" s="16">
        <f t="shared" si="119"/>
        <v>39975</v>
      </c>
      <c r="P1637" s="11" t="s">
        <v>20</v>
      </c>
    </row>
    <row r="1638" spans="1:16" x14ac:dyDescent="0.25">
      <c r="A1638" s="9" t="str">
        <f t="shared" si="122"/>
        <v>2024 ALL D75</v>
      </c>
      <c r="B1638" s="10">
        <f t="shared" si="122"/>
        <v>46104</v>
      </c>
      <c r="C1638" s="10">
        <v>46113</v>
      </c>
      <c r="D1638" s="11">
        <f t="shared" si="122"/>
        <v>3273</v>
      </c>
      <c r="E1638" s="11">
        <f t="shared" si="122"/>
        <v>336</v>
      </c>
      <c r="F1638" s="11">
        <f t="shared" si="122"/>
        <v>4</v>
      </c>
      <c r="G1638" s="19">
        <v>4</v>
      </c>
      <c r="H1638" s="13">
        <v>81676</v>
      </c>
      <c r="I1638" s="13" t="str">
        <f t="shared" si="117"/>
        <v>DISNEY</v>
      </c>
      <c r="J1638" s="13">
        <v>45920003</v>
      </c>
      <c r="K1638" s="13" t="s">
        <v>1909</v>
      </c>
      <c r="L1638" s="13" t="s">
        <v>1911</v>
      </c>
      <c r="M1638" s="17">
        <v>159900</v>
      </c>
      <c r="N1638" s="15">
        <v>0.75</v>
      </c>
      <c r="O1638" s="16">
        <f t="shared" si="119"/>
        <v>39975</v>
      </c>
      <c r="P1638" s="11" t="s">
        <v>20</v>
      </c>
    </row>
    <row r="1639" spans="1:16" x14ac:dyDescent="0.25">
      <c r="A1639" s="9" t="str">
        <f t="shared" si="122"/>
        <v>2024 ALL D75</v>
      </c>
      <c r="B1639" s="10">
        <f t="shared" si="122"/>
        <v>46104</v>
      </c>
      <c r="C1639" s="10">
        <v>46113</v>
      </c>
      <c r="D1639" s="11">
        <f t="shared" si="122"/>
        <v>3273</v>
      </c>
      <c r="E1639" s="11">
        <f t="shared" si="122"/>
        <v>336</v>
      </c>
      <c r="F1639" s="11">
        <f t="shared" si="122"/>
        <v>4</v>
      </c>
      <c r="G1639" s="19">
        <v>4</v>
      </c>
      <c r="H1639" s="13">
        <v>81676</v>
      </c>
      <c r="I1639" s="13" t="str">
        <f t="shared" si="117"/>
        <v>DISNEY</v>
      </c>
      <c r="J1639" s="13">
        <v>45920012</v>
      </c>
      <c r="K1639" s="13" t="s">
        <v>1909</v>
      </c>
      <c r="L1639" s="13" t="s">
        <v>1912</v>
      </c>
      <c r="M1639" s="17">
        <v>159900</v>
      </c>
      <c r="N1639" s="15">
        <v>0.75</v>
      </c>
      <c r="O1639" s="16">
        <f t="shared" si="119"/>
        <v>39975</v>
      </c>
      <c r="P1639" s="11" t="s">
        <v>20</v>
      </c>
    </row>
    <row r="1640" spans="1:16" x14ac:dyDescent="0.25">
      <c r="A1640" s="9" t="str">
        <f t="shared" si="122"/>
        <v>2024 ALL D75</v>
      </c>
      <c r="B1640" s="10">
        <f t="shared" si="122"/>
        <v>46104</v>
      </c>
      <c r="C1640" s="10">
        <v>46113</v>
      </c>
      <c r="D1640" s="11">
        <f t="shared" si="122"/>
        <v>3273</v>
      </c>
      <c r="E1640" s="11">
        <f t="shared" si="122"/>
        <v>336</v>
      </c>
      <c r="F1640" s="11">
        <f t="shared" si="122"/>
        <v>4</v>
      </c>
      <c r="G1640" s="19">
        <v>4</v>
      </c>
      <c r="H1640" s="13">
        <v>81676</v>
      </c>
      <c r="I1640" s="13" t="str">
        <f t="shared" si="117"/>
        <v>DISNEY</v>
      </c>
      <c r="J1640" s="13">
        <v>45920021</v>
      </c>
      <c r="K1640" s="13" t="s">
        <v>1909</v>
      </c>
      <c r="L1640" s="13" t="s">
        <v>1913</v>
      </c>
      <c r="M1640" s="17">
        <v>159900</v>
      </c>
      <c r="N1640" s="15">
        <v>0.75</v>
      </c>
      <c r="O1640" s="16">
        <f t="shared" si="119"/>
        <v>39975</v>
      </c>
      <c r="P1640" s="11" t="s">
        <v>20</v>
      </c>
    </row>
    <row r="1641" spans="1:16" x14ac:dyDescent="0.25">
      <c r="A1641" s="9" t="str">
        <f t="shared" si="122"/>
        <v>2024 ALL D75</v>
      </c>
      <c r="B1641" s="10">
        <f t="shared" si="122"/>
        <v>46104</v>
      </c>
      <c r="C1641" s="10">
        <v>46113</v>
      </c>
      <c r="D1641" s="11">
        <f t="shared" si="122"/>
        <v>3273</v>
      </c>
      <c r="E1641" s="11">
        <f t="shared" si="122"/>
        <v>336</v>
      </c>
      <c r="F1641" s="11">
        <f t="shared" si="122"/>
        <v>4</v>
      </c>
      <c r="G1641" s="19">
        <v>4</v>
      </c>
      <c r="H1641" s="13">
        <v>81676</v>
      </c>
      <c r="I1641" s="13" t="str">
        <f t="shared" si="117"/>
        <v>DISNEY</v>
      </c>
      <c r="J1641" s="13">
        <v>45920030</v>
      </c>
      <c r="K1641" s="13" t="s">
        <v>1909</v>
      </c>
      <c r="L1641" s="13" t="s">
        <v>1914</v>
      </c>
      <c r="M1641" s="17">
        <v>159900</v>
      </c>
      <c r="N1641" s="15">
        <v>0.75</v>
      </c>
      <c r="O1641" s="16">
        <f t="shared" si="119"/>
        <v>39975</v>
      </c>
      <c r="P1641" s="11" t="s">
        <v>20</v>
      </c>
    </row>
    <row r="1642" spans="1:16" x14ac:dyDescent="0.25">
      <c r="A1642" s="9" t="str">
        <f t="shared" si="122"/>
        <v>2024 ALL D75</v>
      </c>
      <c r="B1642" s="10">
        <f t="shared" si="122"/>
        <v>46104</v>
      </c>
      <c r="C1642" s="10">
        <v>46113</v>
      </c>
      <c r="D1642" s="11">
        <f t="shared" si="122"/>
        <v>3273</v>
      </c>
      <c r="E1642" s="11">
        <f t="shared" si="122"/>
        <v>336</v>
      </c>
      <c r="F1642" s="11">
        <f t="shared" si="122"/>
        <v>4</v>
      </c>
      <c r="G1642" s="19">
        <v>14</v>
      </c>
      <c r="H1642" s="13">
        <v>81676</v>
      </c>
      <c r="I1642" s="13" t="str">
        <f t="shared" si="117"/>
        <v>DISNEY</v>
      </c>
      <c r="J1642" s="13">
        <v>45919588</v>
      </c>
      <c r="K1642" s="13" t="s">
        <v>1915</v>
      </c>
      <c r="L1642" s="13" t="s">
        <v>1916</v>
      </c>
      <c r="M1642" s="17">
        <v>239900</v>
      </c>
      <c r="N1642" s="15">
        <v>0.75</v>
      </c>
      <c r="O1642" s="16">
        <f t="shared" si="119"/>
        <v>59975</v>
      </c>
      <c r="P1642" s="11" t="s">
        <v>20</v>
      </c>
    </row>
    <row r="1643" spans="1:16" x14ac:dyDescent="0.25">
      <c r="A1643" s="9" t="str">
        <f t="shared" si="122"/>
        <v>2024 ALL D75</v>
      </c>
      <c r="B1643" s="10">
        <f t="shared" si="122"/>
        <v>46104</v>
      </c>
      <c r="C1643" s="10">
        <v>46113</v>
      </c>
      <c r="D1643" s="11">
        <f t="shared" si="122"/>
        <v>3273</v>
      </c>
      <c r="E1643" s="11">
        <f t="shared" si="122"/>
        <v>336</v>
      </c>
      <c r="F1643" s="11">
        <f t="shared" si="122"/>
        <v>4</v>
      </c>
      <c r="G1643" s="19">
        <v>14</v>
      </c>
      <c r="H1643" s="13">
        <v>81676</v>
      </c>
      <c r="I1643" s="13" t="str">
        <f t="shared" si="117"/>
        <v>DISNEY</v>
      </c>
      <c r="J1643" s="13">
        <v>45919597</v>
      </c>
      <c r="K1643" s="13" t="s">
        <v>1915</v>
      </c>
      <c r="L1643" s="13" t="s">
        <v>1917</v>
      </c>
      <c r="M1643" s="17">
        <v>239900</v>
      </c>
      <c r="N1643" s="15">
        <v>0.75</v>
      </c>
      <c r="O1643" s="16">
        <f t="shared" si="119"/>
        <v>59975</v>
      </c>
      <c r="P1643" s="11" t="s">
        <v>20</v>
      </c>
    </row>
    <row r="1644" spans="1:16" x14ac:dyDescent="0.25">
      <c r="A1644" s="9" t="str">
        <f t="shared" si="122"/>
        <v>2024 ALL D75</v>
      </c>
      <c r="B1644" s="10">
        <f t="shared" si="122"/>
        <v>46104</v>
      </c>
      <c r="C1644" s="10">
        <v>46113</v>
      </c>
      <c r="D1644" s="11">
        <f t="shared" si="122"/>
        <v>3273</v>
      </c>
      <c r="E1644" s="11">
        <f t="shared" si="122"/>
        <v>336</v>
      </c>
      <c r="F1644" s="11">
        <f t="shared" si="122"/>
        <v>4</v>
      </c>
      <c r="G1644" s="19">
        <v>14</v>
      </c>
      <c r="H1644" s="13">
        <v>81676</v>
      </c>
      <c r="I1644" s="13" t="str">
        <f t="shared" si="117"/>
        <v>DISNEY</v>
      </c>
      <c r="J1644" s="13">
        <v>45919604</v>
      </c>
      <c r="K1644" s="13" t="s">
        <v>1915</v>
      </c>
      <c r="L1644" s="13" t="s">
        <v>1918</v>
      </c>
      <c r="M1644" s="17">
        <v>239900</v>
      </c>
      <c r="N1644" s="15">
        <v>0.75</v>
      </c>
      <c r="O1644" s="16">
        <f t="shared" si="119"/>
        <v>59975</v>
      </c>
      <c r="P1644" s="11" t="s">
        <v>20</v>
      </c>
    </row>
    <row r="1645" spans="1:16" x14ac:dyDescent="0.25">
      <c r="A1645" s="9" t="str">
        <f t="shared" si="122"/>
        <v>2024 ALL D75</v>
      </c>
      <c r="B1645" s="10">
        <f t="shared" si="122"/>
        <v>46104</v>
      </c>
      <c r="C1645" s="10">
        <v>46113</v>
      </c>
      <c r="D1645" s="11">
        <f t="shared" si="122"/>
        <v>3273</v>
      </c>
      <c r="E1645" s="11">
        <f t="shared" si="122"/>
        <v>336</v>
      </c>
      <c r="F1645" s="11">
        <f t="shared" si="122"/>
        <v>4</v>
      </c>
      <c r="G1645" s="19">
        <v>14</v>
      </c>
      <c r="H1645" s="13">
        <v>81676</v>
      </c>
      <c r="I1645" s="13" t="str">
        <f t="shared" si="117"/>
        <v>DISNEY</v>
      </c>
      <c r="J1645" s="13">
        <v>45919613</v>
      </c>
      <c r="K1645" s="13" t="s">
        <v>1915</v>
      </c>
      <c r="L1645" s="13" t="s">
        <v>1919</v>
      </c>
      <c r="M1645" s="17">
        <v>239900</v>
      </c>
      <c r="N1645" s="15">
        <v>0.75</v>
      </c>
      <c r="O1645" s="16">
        <f t="shared" si="119"/>
        <v>59975</v>
      </c>
      <c r="P1645" s="11" t="s">
        <v>20</v>
      </c>
    </row>
    <row r="1646" spans="1:16" x14ac:dyDescent="0.25">
      <c r="A1646" s="9" t="str">
        <f t="shared" si="122"/>
        <v>2024 ALL D75</v>
      </c>
      <c r="B1646" s="10">
        <f t="shared" si="122"/>
        <v>46104</v>
      </c>
      <c r="C1646" s="10">
        <v>46113</v>
      </c>
      <c r="D1646" s="11">
        <f t="shared" si="122"/>
        <v>3273</v>
      </c>
      <c r="E1646" s="11">
        <f t="shared" si="122"/>
        <v>336</v>
      </c>
      <c r="F1646" s="11">
        <f t="shared" si="122"/>
        <v>4</v>
      </c>
      <c r="G1646" s="19">
        <v>14</v>
      </c>
      <c r="H1646" s="13">
        <v>81676</v>
      </c>
      <c r="I1646" s="13" t="str">
        <f t="shared" si="117"/>
        <v>DISNEY</v>
      </c>
      <c r="J1646" s="13">
        <v>45919622</v>
      </c>
      <c r="K1646" s="13" t="s">
        <v>1915</v>
      </c>
      <c r="L1646" s="13" t="s">
        <v>1920</v>
      </c>
      <c r="M1646" s="17">
        <v>239900</v>
      </c>
      <c r="N1646" s="15">
        <v>0.75</v>
      </c>
      <c r="O1646" s="16">
        <f t="shared" si="119"/>
        <v>59975</v>
      </c>
      <c r="P1646" s="11" t="s">
        <v>20</v>
      </c>
    </row>
    <row r="1647" spans="1:16" x14ac:dyDescent="0.25">
      <c r="A1647" s="9" t="str">
        <f t="shared" si="122"/>
        <v>2024 ALL D75</v>
      </c>
      <c r="B1647" s="10">
        <f t="shared" si="122"/>
        <v>46104</v>
      </c>
      <c r="C1647" s="10">
        <v>46113</v>
      </c>
      <c r="D1647" s="11">
        <f t="shared" si="122"/>
        <v>3273</v>
      </c>
      <c r="E1647" s="11">
        <f t="shared" si="122"/>
        <v>336</v>
      </c>
      <c r="F1647" s="11">
        <f t="shared" si="122"/>
        <v>4</v>
      </c>
      <c r="G1647" s="19">
        <v>14</v>
      </c>
      <c r="H1647" s="13">
        <v>81676</v>
      </c>
      <c r="I1647" s="13" t="str">
        <f t="shared" si="117"/>
        <v>DISNEY</v>
      </c>
      <c r="J1647" s="13">
        <v>45919631</v>
      </c>
      <c r="K1647" s="13" t="s">
        <v>1915</v>
      </c>
      <c r="L1647" s="13" t="s">
        <v>1921</v>
      </c>
      <c r="M1647" s="17">
        <v>239900</v>
      </c>
      <c r="N1647" s="15">
        <v>0.75</v>
      </c>
      <c r="O1647" s="16">
        <f t="shared" si="119"/>
        <v>59975</v>
      </c>
      <c r="P1647" s="11" t="s">
        <v>20</v>
      </c>
    </row>
    <row r="1648" spans="1:16" x14ac:dyDescent="0.25">
      <c r="A1648" s="9" t="str">
        <f t="shared" si="122"/>
        <v>2024 ALL D75</v>
      </c>
      <c r="B1648" s="10">
        <f t="shared" si="122"/>
        <v>46104</v>
      </c>
      <c r="C1648" s="10">
        <v>46113</v>
      </c>
      <c r="D1648" s="19">
        <f t="shared" si="122"/>
        <v>3273</v>
      </c>
      <c r="E1648" s="19">
        <f t="shared" si="122"/>
        <v>336</v>
      </c>
      <c r="F1648" s="19">
        <f t="shared" si="122"/>
        <v>4</v>
      </c>
      <c r="G1648" s="19">
        <v>1</v>
      </c>
      <c r="H1648" s="13">
        <v>81588</v>
      </c>
      <c r="I1648" s="13" t="str">
        <f t="shared" si="117"/>
        <v>DISNEY</v>
      </c>
      <c r="J1648" s="13">
        <v>45919640</v>
      </c>
      <c r="K1648" s="13" t="s">
        <v>1922</v>
      </c>
      <c r="L1648" s="13" t="s">
        <v>1923</v>
      </c>
      <c r="M1648" s="17">
        <v>139900</v>
      </c>
      <c r="N1648" s="15">
        <v>0.75</v>
      </c>
      <c r="O1648" s="16">
        <f t="shared" si="119"/>
        <v>34975</v>
      </c>
      <c r="P1648" s="11" t="s">
        <v>20</v>
      </c>
    </row>
    <row r="1649" spans="1:16" x14ac:dyDescent="0.25">
      <c r="A1649" s="9" t="str">
        <f t="shared" si="122"/>
        <v>2024 ALL D75</v>
      </c>
      <c r="B1649" s="10">
        <f t="shared" si="122"/>
        <v>46104</v>
      </c>
      <c r="C1649" s="10">
        <v>46113</v>
      </c>
      <c r="D1649" s="19">
        <f t="shared" si="122"/>
        <v>3273</v>
      </c>
      <c r="E1649" s="19">
        <f t="shared" si="122"/>
        <v>336</v>
      </c>
      <c r="F1649" s="19">
        <f t="shared" si="122"/>
        <v>4</v>
      </c>
      <c r="G1649" s="19">
        <v>1</v>
      </c>
      <c r="H1649" s="13">
        <v>81588</v>
      </c>
      <c r="I1649" s="13" t="str">
        <f t="shared" si="117"/>
        <v>DISNEY</v>
      </c>
      <c r="J1649" s="13">
        <v>45919659</v>
      </c>
      <c r="K1649" s="13" t="s">
        <v>1922</v>
      </c>
      <c r="L1649" s="13" t="s">
        <v>1924</v>
      </c>
      <c r="M1649" s="17">
        <v>139900</v>
      </c>
      <c r="N1649" s="15">
        <v>0.75</v>
      </c>
      <c r="O1649" s="16">
        <f t="shared" si="119"/>
        <v>34975</v>
      </c>
      <c r="P1649" s="11" t="s">
        <v>20</v>
      </c>
    </row>
    <row r="1650" spans="1:16" x14ac:dyDescent="0.25">
      <c r="A1650" s="9" t="str">
        <f t="shared" si="122"/>
        <v>2024 ALL D75</v>
      </c>
      <c r="B1650" s="10">
        <f t="shared" si="122"/>
        <v>46104</v>
      </c>
      <c r="C1650" s="10">
        <v>46113</v>
      </c>
      <c r="D1650" s="19">
        <f t="shared" si="122"/>
        <v>3273</v>
      </c>
      <c r="E1650" s="19">
        <f t="shared" si="122"/>
        <v>336</v>
      </c>
      <c r="F1650" s="19">
        <f t="shared" si="122"/>
        <v>4</v>
      </c>
      <c r="G1650" s="19">
        <v>1</v>
      </c>
      <c r="H1650" s="13">
        <v>81588</v>
      </c>
      <c r="I1650" s="13" t="str">
        <f t="shared" si="117"/>
        <v>DISNEY</v>
      </c>
      <c r="J1650" s="13">
        <v>45919668</v>
      </c>
      <c r="K1650" s="13" t="s">
        <v>1922</v>
      </c>
      <c r="L1650" s="13" t="s">
        <v>1925</v>
      </c>
      <c r="M1650" s="17">
        <v>139900</v>
      </c>
      <c r="N1650" s="15">
        <v>0.75</v>
      </c>
      <c r="O1650" s="16">
        <f t="shared" si="119"/>
        <v>34975</v>
      </c>
      <c r="P1650" s="11" t="s">
        <v>20</v>
      </c>
    </row>
    <row r="1651" spans="1:16" x14ac:dyDescent="0.25">
      <c r="A1651" s="9" t="str">
        <f t="shared" si="122"/>
        <v>2024 ALL D75</v>
      </c>
      <c r="B1651" s="10">
        <f t="shared" si="122"/>
        <v>46104</v>
      </c>
      <c r="C1651" s="10">
        <v>46113</v>
      </c>
      <c r="D1651" s="19">
        <f t="shared" si="122"/>
        <v>3273</v>
      </c>
      <c r="E1651" s="19">
        <f t="shared" si="122"/>
        <v>336</v>
      </c>
      <c r="F1651" s="19">
        <f t="shared" si="122"/>
        <v>4</v>
      </c>
      <c r="G1651" s="19">
        <v>1</v>
      </c>
      <c r="H1651" s="13">
        <v>81588</v>
      </c>
      <c r="I1651" s="13" t="str">
        <f t="shared" ref="I1651:I1714" si="123">I1650</f>
        <v>DISNEY</v>
      </c>
      <c r="J1651" s="13">
        <v>45919677</v>
      </c>
      <c r="K1651" s="13" t="s">
        <v>1922</v>
      </c>
      <c r="L1651" s="13" t="s">
        <v>1926</v>
      </c>
      <c r="M1651" s="17">
        <v>139900</v>
      </c>
      <c r="N1651" s="15">
        <v>0.75</v>
      </c>
      <c r="O1651" s="16">
        <f t="shared" si="119"/>
        <v>34975</v>
      </c>
      <c r="P1651" s="11" t="s">
        <v>20</v>
      </c>
    </row>
    <row r="1652" spans="1:16" x14ac:dyDescent="0.25">
      <c r="A1652" s="9" t="str">
        <f t="shared" ref="A1652:F1667" si="124">A1651</f>
        <v>2024 ALL D75</v>
      </c>
      <c r="B1652" s="10">
        <f t="shared" si="124"/>
        <v>46104</v>
      </c>
      <c r="C1652" s="10">
        <v>46113</v>
      </c>
      <c r="D1652" s="19">
        <f t="shared" si="124"/>
        <v>3273</v>
      </c>
      <c r="E1652" s="19">
        <f t="shared" si="124"/>
        <v>336</v>
      </c>
      <c r="F1652" s="19">
        <f t="shared" si="124"/>
        <v>4</v>
      </c>
      <c r="G1652" s="19">
        <v>1</v>
      </c>
      <c r="H1652" s="13">
        <v>81588</v>
      </c>
      <c r="I1652" s="13" t="str">
        <f t="shared" si="123"/>
        <v>DISNEY</v>
      </c>
      <c r="J1652" s="13">
        <v>45919686</v>
      </c>
      <c r="K1652" s="13" t="s">
        <v>1922</v>
      </c>
      <c r="L1652" s="13" t="s">
        <v>1927</v>
      </c>
      <c r="M1652" s="17">
        <v>139900</v>
      </c>
      <c r="N1652" s="15">
        <v>0.75</v>
      </c>
      <c r="O1652" s="16">
        <f t="shared" si="119"/>
        <v>34975</v>
      </c>
      <c r="P1652" s="11" t="s">
        <v>20</v>
      </c>
    </row>
    <row r="1653" spans="1:16" x14ac:dyDescent="0.25">
      <c r="A1653" s="9" t="str">
        <f t="shared" si="124"/>
        <v>2024 ALL D75</v>
      </c>
      <c r="B1653" s="10">
        <f t="shared" si="124"/>
        <v>46104</v>
      </c>
      <c r="C1653" s="10">
        <v>46113</v>
      </c>
      <c r="D1653" s="19">
        <f t="shared" si="124"/>
        <v>3273</v>
      </c>
      <c r="E1653" s="19">
        <f t="shared" si="124"/>
        <v>336</v>
      </c>
      <c r="F1653" s="19">
        <f t="shared" si="124"/>
        <v>4</v>
      </c>
      <c r="G1653" s="19">
        <v>1</v>
      </c>
      <c r="H1653" s="13">
        <v>81588</v>
      </c>
      <c r="I1653" s="13" t="str">
        <f t="shared" si="123"/>
        <v>DISNEY</v>
      </c>
      <c r="J1653" s="13">
        <v>45919695</v>
      </c>
      <c r="K1653" s="13" t="s">
        <v>1928</v>
      </c>
      <c r="L1653" s="13" t="s">
        <v>1929</v>
      </c>
      <c r="M1653" s="17">
        <v>139900</v>
      </c>
      <c r="N1653" s="15">
        <v>0.75</v>
      </c>
      <c r="O1653" s="16">
        <f t="shared" si="119"/>
        <v>34975</v>
      </c>
      <c r="P1653" s="11" t="s">
        <v>20</v>
      </c>
    </row>
    <row r="1654" spans="1:16" x14ac:dyDescent="0.25">
      <c r="A1654" s="9" t="str">
        <f t="shared" si="124"/>
        <v>2024 ALL D75</v>
      </c>
      <c r="B1654" s="10">
        <f t="shared" si="124"/>
        <v>46104</v>
      </c>
      <c r="C1654" s="10">
        <v>46113</v>
      </c>
      <c r="D1654" s="19">
        <f t="shared" si="124"/>
        <v>3273</v>
      </c>
      <c r="E1654" s="19">
        <f t="shared" si="124"/>
        <v>336</v>
      </c>
      <c r="F1654" s="19">
        <f t="shared" si="124"/>
        <v>4</v>
      </c>
      <c r="G1654" s="19">
        <v>1</v>
      </c>
      <c r="H1654" s="13">
        <v>81588</v>
      </c>
      <c r="I1654" s="13" t="str">
        <f t="shared" si="123"/>
        <v>DISNEY</v>
      </c>
      <c r="J1654" s="13">
        <v>45919702</v>
      </c>
      <c r="K1654" s="13" t="s">
        <v>1928</v>
      </c>
      <c r="L1654" s="13" t="s">
        <v>1930</v>
      </c>
      <c r="M1654" s="17">
        <v>139900</v>
      </c>
      <c r="N1654" s="15">
        <v>0.75</v>
      </c>
      <c r="O1654" s="16">
        <f t="shared" si="119"/>
        <v>34975</v>
      </c>
      <c r="P1654" s="11" t="s">
        <v>20</v>
      </c>
    </row>
    <row r="1655" spans="1:16" x14ac:dyDescent="0.25">
      <c r="A1655" s="9" t="str">
        <f t="shared" si="124"/>
        <v>2024 ALL D75</v>
      </c>
      <c r="B1655" s="10">
        <f t="shared" si="124"/>
        <v>46104</v>
      </c>
      <c r="C1655" s="10">
        <v>46113</v>
      </c>
      <c r="D1655" s="19">
        <f t="shared" si="124"/>
        <v>3273</v>
      </c>
      <c r="E1655" s="19">
        <f t="shared" si="124"/>
        <v>336</v>
      </c>
      <c r="F1655" s="19">
        <f t="shared" si="124"/>
        <v>4</v>
      </c>
      <c r="G1655" s="19">
        <v>1</v>
      </c>
      <c r="H1655" s="13">
        <v>81588</v>
      </c>
      <c r="I1655" s="13" t="str">
        <f t="shared" si="123"/>
        <v>DISNEY</v>
      </c>
      <c r="J1655" s="13">
        <v>45919711</v>
      </c>
      <c r="K1655" s="13" t="s">
        <v>1928</v>
      </c>
      <c r="L1655" s="13" t="s">
        <v>1931</v>
      </c>
      <c r="M1655" s="17">
        <v>139900</v>
      </c>
      <c r="N1655" s="15">
        <v>0.75</v>
      </c>
      <c r="O1655" s="16">
        <f t="shared" si="119"/>
        <v>34975</v>
      </c>
      <c r="P1655" s="11" t="s">
        <v>20</v>
      </c>
    </row>
    <row r="1656" spans="1:16" x14ac:dyDescent="0.25">
      <c r="A1656" s="9" t="str">
        <f t="shared" si="124"/>
        <v>2024 ALL D75</v>
      </c>
      <c r="B1656" s="10">
        <f t="shared" si="124"/>
        <v>46104</v>
      </c>
      <c r="C1656" s="10">
        <v>46113</v>
      </c>
      <c r="D1656" s="19">
        <f t="shared" si="124"/>
        <v>3273</v>
      </c>
      <c r="E1656" s="19">
        <f t="shared" si="124"/>
        <v>336</v>
      </c>
      <c r="F1656" s="19">
        <f t="shared" si="124"/>
        <v>4</v>
      </c>
      <c r="G1656" s="19">
        <v>1</v>
      </c>
      <c r="H1656" s="13">
        <v>81588</v>
      </c>
      <c r="I1656" s="13" t="str">
        <f t="shared" si="123"/>
        <v>DISNEY</v>
      </c>
      <c r="J1656" s="13">
        <v>45919720</v>
      </c>
      <c r="K1656" s="13" t="s">
        <v>1928</v>
      </c>
      <c r="L1656" s="13" t="s">
        <v>1932</v>
      </c>
      <c r="M1656" s="17">
        <v>139900</v>
      </c>
      <c r="N1656" s="15">
        <v>0.75</v>
      </c>
      <c r="O1656" s="16">
        <f t="shared" si="119"/>
        <v>34975</v>
      </c>
      <c r="P1656" s="11" t="s">
        <v>20</v>
      </c>
    </row>
    <row r="1657" spans="1:16" x14ac:dyDescent="0.25">
      <c r="A1657" s="9" t="str">
        <f t="shared" si="124"/>
        <v>2024 ALL D75</v>
      </c>
      <c r="B1657" s="10">
        <f t="shared" si="124"/>
        <v>46104</v>
      </c>
      <c r="C1657" s="10">
        <v>46113</v>
      </c>
      <c r="D1657" s="19">
        <f t="shared" si="124"/>
        <v>3273</v>
      </c>
      <c r="E1657" s="19">
        <f t="shared" si="124"/>
        <v>336</v>
      </c>
      <c r="F1657" s="19">
        <f t="shared" si="124"/>
        <v>4</v>
      </c>
      <c r="G1657" s="19">
        <v>1</v>
      </c>
      <c r="H1657" s="13">
        <v>81588</v>
      </c>
      <c r="I1657" s="13" t="str">
        <f t="shared" si="123"/>
        <v>DISNEY</v>
      </c>
      <c r="J1657" s="13">
        <v>45919739</v>
      </c>
      <c r="K1657" s="13" t="s">
        <v>1928</v>
      </c>
      <c r="L1657" s="13" t="s">
        <v>1933</v>
      </c>
      <c r="M1657" s="17">
        <v>139900</v>
      </c>
      <c r="N1657" s="15">
        <v>0.75</v>
      </c>
      <c r="O1657" s="16">
        <f t="shared" si="119"/>
        <v>34975</v>
      </c>
      <c r="P1657" s="11" t="s">
        <v>20</v>
      </c>
    </row>
    <row r="1658" spans="1:16" x14ac:dyDescent="0.25">
      <c r="A1658" s="9" t="str">
        <f t="shared" si="124"/>
        <v>2024 ALL D75</v>
      </c>
      <c r="B1658" s="10">
        <f t="shared" si="124"/>
        <v>46104</v>
      </c>
      <c r="C1658" s="10">
        <v>46113</v>
      </c>
      <c r="D1658" s="19">
        <f t="shared" si="124"/>
        <v>3273</v>
      </c>
      <c r="E1658" s="19">
        <f t="shared" si="124"/>
        <v>336</v>
      </c>
      <c r="F1658" s="19">
        <f t="shared" si="124"/>
        <v>4</v>
      </c>
      <c r="G1658" s="19">
        <v>1</v>
      </c>
      <c r="H1658" s="13">
        <v>81676</v>
      </c>
      <c r="I1658" s="13" t="str">
        <f t="shared" si="123"/>
        <v>DISNEY</v>
      </c>
      <c r="J1658" s="13">
        <v>45919793</v>
      </c>
      <c r="K1658" s="13" t="s">
        <v>1934</v>
      </c>
      <c r="L1658" s="13" t="s">
        <v>1935</v>
      </c>
      <c r="M1658" s="17">
        <v>129900</v>
      </c>
      <c r="N1658" s="15">
        <v>0.75</v>
      </c>
      <c r="O1658" s="16">
        <f t="shared" si="119"/>
        <v>32475</v>
      </c>
      <c r="P1658" s="11" t="s">
        <v>20</v>
      </c>
    </row>
    <row r="1659" spans="1:16" x14ac:dyDescent="0.25">
      <c r="A1659" s="9" t="str">
        <f t="shared" si="124"/>
        <v>2024 ALL D75</v>
      </c>
      <c r="B1659" s="10">
        <f t="shared" si="124"/>
        <v>46104</v>
      </c>
      <c r="C1659" s="10">
        <v>46113</v>
      </c>
      <c r="D1659" s="19">
        <f t="shared" si="124"/>
        <v>3273</v>
      </c>
      <c r="E1659" s="19">
        <f t="shared" si="124"/>
        <v>336</v>
      </c>
      <c r="F1659" s="19">
        <f t="shared" si="124"/>
        <v>4</v>
      </c>
      <c r="G1659" s="19">
        <v>1</v>
      </c>
      <c r="H1659" s="13">
        <v>81676</v>
      </c>
      <c r="I1659" s="13" t="str">
        <f t="shared" si="123"/>
        <v>DISNEY</v>
      </c>
      <c r="J1659" s="13">
        <v>45919800</v>
      </c>
      <c r="K1659" s="13" t="s">
        <v>1934</v>
      </c>
      <c r="L1659" s="13" t="s">
        <v>1936</v>
      </c>
      <c r="M1659" s="17">
        <v>129900</v>
      </c>
      <c r="N1659" s="15">
        <v>0.75</v>
      </c>
      <c r="O1659" s="16">
        <f t="shared" si="119"/>
        <v>32475</v>
      </c>
      <c r="P1659" s="11" t="s">
        <v>20</v>
      </c>
    </row>
    <row r="1660" spans="1:16" x14ac:dyDescent="0.25">
      <c r="A1660" s="9" t="str">
        <f t="shared" si="124"/>
        <v>2024 ALL D75</v>
      </c>
      <c r="B1660" s="10">
        <f t="shared" si="124"/>
        <v>46104</v>
      </c>
      <c r="C1660" s="10">
        <v>46113</v>
      </c>
      <c r="D1660" s="19">
        <f t="shared" si="124"/>
        <v>3273</v>
      </c>
      <c r="E1660" s="19">
        <f t="shared" si="124"/>
        <v>336</v>
      </c>
      <c r="F1660" s="19">
        <f t="shared" si="124"/>
        <v>4</v>
      </c>
      <c r="G1660" s="19">
        <v>1</v>
      </c>
      <c r="H1660" s="13">
        <v>81676</v>
      </c>
      <c r="I1660" s="13" t="str">
        <f t="shared" si="123"/>
        <v>DISNEY</v>
      </c>
      <c r="J1660" s="13">
        <v>45919819</v>
      </c>
      <c r="K1660" s="13" t="s">
        <v>1934</v>
      </c>
      <c r="L1660" s="13" t="s">
        <v>1937</v>
      </c>
      <c r="M1660" s="17">
        <v>129900</v>
      </c>
      <c r="N1660" s="15">
        <v>0.75</v>
      </c>
      <c r="O1660" s="16">
        <f t="shared" si="119"/>
        <v>32475</v>
      </c>
      <c r="P1660" s="11" t="s">
        <v>20</v>
      </c>
    </row>
    <row r="1661" spans="1:16" x14ac:dyDescent="0.25">
      <c r="A1661" s="9" t="str">
        <f t="shared" si="124"/>
        <v>2024 ALL D75</v>
      </c>
      <c r="B1661" s="10">
        <f t="shared" si="124"/>
        <v>46104</v>
      </c>
      <c r="C1661" s="10">
        <v>46113</v>
      </c>
      <c r="D1661" s="19">
        <f t="shared" si="124"/>
        <v>3273</v>
      </c>
      <c r="E1661" s="19">
        <f t="shared" si="124"/>
        <v>336</v>
      </c>
      <c r="F1661" s="19">
        <f t="shared" si="124"/>
        <v>4</v>
      </c>
      <c r="G1661" s="19">
        <v>1</v>
      </c>
      <c r="H1661" s="13">
        <v>81676</v>
      </c>
      <c r="I1661" s="13" t="str">
        <f t="shared" si="123"/>
        <v>DISNEY</v>
      </c>
      <c r="J1661" s="13">
        <v>45919828</v>
      </c>
      <c r="K1661" s="13" t="s">
        <v>1934</v>
      </c>
      <c r="L1661" s="13" t="s">
        <v>1938</v>
      </c>
      <c r="M1661" s="17">
        <v>129900</v>
      </c>
      <c r="N1661" s="15">
        <v>0.75</v>
      </c>
      <c r="O1661" s="16">
        <f t="shared" si="119"/>
        <v>32475</v>
      </c>
      <c r="P1661" s="11" t="s">
        <v>20</v>
      </c>
    </row>
    <row r="1662" spans="1:16" x14ac:dyDescent="0.25">
      <c r="A1662" s="9" t="str">
        <f t="shared" si="124"/>
        <v>2024 ALL D75</v>
      </c>
      <c r="B1662" s="10">
        <f t="shared" si="124"/>
        <v>46104</v>
      </c>
      <c r="C1662" s="10">
        <v>46113</v>
      </c>
      <c r="D1662" s="19">
        <f t="shared" si="124"/>
        <v>3273</v>
      </c>
      <c r="E1662" s="19">
        <f t="shared" si="124"/>
        <v>336</v>
      </c>
      <c r="F1662" s="19">
        <f t="shared" si="124"/>
        <v>4</v>
      </c>
      <c r="G1662" s="19">
        <v>1</v>
      </c>
      <c r="H1662" s="13">
        <v>81676</v>
      </c>
      <c r="I1662" s="13" t="str">
        <f t="shared" si="123"/>
        <v>DISNEY</v>
      </c>
      <c r="J1662" s="13">
        <v>45919837</v>
      </c>
      <c r="K1662" s="13" t="s">
        <v>1934</v>
      </c>
      <c r="L1662" s="13" t="s">
        <v>1939</v>
      </c>
      <c r="M1662" s="17">
        <v>129900</v>
      </c>
      <c r="N1662" s="15">
        <v>0.75</v>
      </c>
      <c r="O1662" s="16">
        <f t="shared" si="119"/>
        <v>32475</v>
      </c>
      <c r="P1662" s="11" t="s">
        <v>20</v>
      </c>
    </row>
    <row r="1663" spans="1:16" x14ac:dyDescent="0.25">
      <c r="A1663" s="9" t="str">
        <f t="shared" si="124"/>
        <v>2024 ALL D75</v>
      </c>
      <c r="B1663" s="10">
        <f t="shared" si="124"/>
        <v>46104</v>
      </c>
      <c r="C1663" s="10">
        <v>46113</v>
      </c>
      <c r="D1663" s="19">
        <f t="shared" si="124"/>
        <v>3273</v>
      </c>
      <c r="E1663" s="19">
        <f t="shared" si="124"/>
        <v>336</v>
      </c>
      <c r="F1663" s="19">
        <f t="shared" si="124"/>
        <v>4</v>
      </c>
      <c r="G1663" s="19">
        <v>1</v>
      </c>
      <c r="H1663" s="13">
        <v>81676</v>
      </c>
      <c r="I1663" s="13" t="str">
        <f t="shared" si="123"/>
        <v>DISNEY</v>
      </c>
      <c r="J1663" s="13">
        <v>45919846</v>
      </c>
      <c r="K1663" s="13" t="s">
        <v>1940</v>
      </c>
      <c r="L1663" s="13" t="s">
        <v>1941</v>
      </c>
      <c r="M1663" s="17">
        <v>129900</v>
      </c>
      <c r="N1663" s="15">
        <v>0.75</v>
      </c>
      <c r="O1663" s="16">
        <f t="shared" si="119"/>
        <v>32475</v>
      </c>
      <c r="P1663" s="11" t="s">
        <v>20</v>
      </c>
    </row>
    <row r="1664" spans="1:16" x14ac:dyDescent="0.25">
      <c r="A1664" s="9" t="str">
        <f t="shared" si="124"/>
        <v>2024 ALL D75</v>
      </c>
      <c r="B1664" s="10">
        <f t="shared" si="124"/>
        <v>46104</v>
      </c>
      <c r="C1664" s="10">
        <v>46113</v>
      </c>
      <c r="D1664" s="19">
        <f t="shared" si="124"/>
        <v>3273</v>
      </c>
      <c r="E1664" s="19">
        <f t="shared" si="124"/>
        <v>336</v>
      </c>
      <c r="F1664" s="19">
        <f t="shared" si="124"/>
        <v>4</v>
      </c>
      <c r="G1664" s="19">
        <v>1</v>
      </c>
      <c r="H1664" s="13">
        <v>81676</v>
      </c>
      <c r="I1664" s="13" t="str">
        <f t="shared" si="123"/>
        <v>DISNEY</v>
      </c>
      <c r="J1664" s="13">
        <v>45919855</v>
      </c>
      <c r="K1664" s="13" t="s">
        <v>1940</v>
      </c>
      <c r="L1664" s="13" t="s">
        <v>1942</v>
      </c>
      <c r="M1664" s="17">
        <v>129900</v>
      </c>
      <c r="N1664" s="15">
        <v>0.75</v>
      </c>
      <c r="O1664" s="16">
        <f t="shared" si="119"/>
        <v>32475</v>
      </c>
      <c r="P1664" s="11" t="s">
        <v>20</v>
      </c>
    </row>
    <row r="1665" spans="1:16" x14ac:dyDescent="0.25">
      <c r="A1665" s="9" t="str">
        <f t="shared" si="124"/>
        <v>2024 ALL D75</v>
      </c>
      <c r="B1665" s="10">
        <f t="shared" si="124"/>
        <v>46104</v>
      </c>
      <c r="C1665" s="10">
        <v>46113</v>
      </c>
      <c r="D1665" s="19">
        <f t="shared" si="124"/>
        <v>3273</v>
      </c>
      <c r="E1665" s="19">
        <f t="shared" si="124"/>
        <v>336</v>
      </c>
      <c r="F1665" s="19">
        <f t="shared" si="124"/>
        <v>4</v>
      </c>
      <c r="G1665" s="19">
        <v>1</v>
      </c>
      <c r="H1665" s="13">
        <v>81676</v>
      </c>
      <c r="I1665" s="13" t="str">
        <f t="shared" si="123"/>
        <v>DISNEY</v>
      </c>
      <c r="J1665" s="13">
        <v>45919864</v>
      </c>
      <c r="K1665" s="13" t="s">
        <v>1940</v>
      </c>
      <c r="L1665" s="13" t="s">
        <v>1943</v>
      </c>
      <c r="M1665" s="17">
        <v>129900</v>
      </c>
      <c r="N1665" s="15">
        <v>0.75</v>
      </c>
      <c r="O1665" s="16">
        <f t="shared" si="119"/>
        <v>32475</v>
      </c>
      <c r="P1665" s="11" t="s">
        <v>20</v>
      </c>
    </row>
    <row r="1666" spans="1:16" x14ac:dyDescent="0.25">
      <c r="A1666" s="9" t="str">
        <f t="shared" si="124"/>
        <v>2024 ALL D75</v>
      </c>
      <c r="B1666" s="10">
        <f t="shared" si="124"/>
        <v>46104</v>
      </c>
      <c r="C1666" s="10">
        <v>46113</v>
      </c>
      <c r="D1666" s="19">
        <f t="shared" si="124"/>
        <v>3273</v>
      </c>
      <c r="E1666" s="19">
        <f t="shared" si="124"/>
        <v>336</v>
      </c>
      <c r="F1666" s="19">
        <f t="shared" si="124"/>
        <v>4</v>
      </c>
      <c r="G1666" s="19">
        <v>1</v>
      </c>
      <c r="H1666" s="13">
        <v>81676</v>
      </c>
      <c r="I1666" s="13" t="str">
        <f t="shared" si="123"/>
        <v>DISNEY</v>
      </c>
      <c r="J1666" s="13">
        <v>45919873</v>
      </c>
      <c r="K1666" s="13" t="s">
        <v>1940</v>
      </c>
      <c r="L1666" s="13" t="s">
        <v>1944</v>
      </c>
      <c r="M1666" s="17">
        <v>129900</v>
      </c>
      <c r="N1666" s="15">
        <v>0.75</v>
      </c>
      <c r="O1666" s="16">
        <f t="shared" ref="O1666:O1729" si="125">M1666*(1-N1666)</f>
        <v>32475</v>
      </c>
      <c r="P1666" s="11" t="s">
        <v>20</v>
      </c>
    </row>
    <row r="1667" spans="1:16" x14ac:dyDescent="0.25">
      <c r="A1667" s="9" t="str">
        <f t="shared" si="124"/>
        <v>2024 ALL D75</v>
      </c>
      <c r="B1667" s="10">
        <f t="shared" si="124"/>
        <v>46104</v>
      </c>
      <c r="C1667" s="10">
        <v>46113</v>
      </c>
      <c r="D1667" s="19">
        <f t="shared" si="124"/>
        <v>3273</v>
      </c>
      <c r="E1667" s="19">
        <f t="shared" si="124"/>
        <v>336</v>
      </c>
      <c r="F1667" s="19">
        <f t="shared" si="124"/>
        <v>4</v>
      </c>
      <c r="G1667" s="19">
        <v>1</v>
      </c>
      <c r="H1667" s="13">
        <v>81676</v>
      </c>
      <c r="I1667" s="13" t="str">
        <f t="shared" si="123"/>
        <v>DISNEY</v>
      </c>
      <c r="J1667" s="13">
        <v>45919882</v>
      </c>
      <c r="K1667" s="13" t="s">
        <v>1940</v>
      </c>
      <c r="L1667" s="13" t="s">
        <v>1945</v>
      </c>
      <c r="M1667" s="17">
        <v>129900</v>
      </c>
      <c r="N1667" s="15">
        <v>0.75</v>
      </c>
      <c r="O1667" s="16">
        <f t="shared" si="125"/>
        <v>32475</v>
      </c>
      <c r="P1667" s="11" t="s">
        <v>20</v>
      </c>
    </row>
    <row r="1668" spans="1:16" x14ac:dyDescent="0.25">
      <c r="A1668" s="9" t="str">
        <f t="shared" ref="A1668:F1683" si="126">A1667</f>
        <v>2024 ALL D75</v>
      </c>
      <c r="B1668" s="10">
        <f t="shared" si="126"/>
        <v>46104</v>
      </c>
      <c r="C1668" s="10">
        <v>46113</v>
      </c>
      <c r="D1668" s="19">
        <f t="shared" si="126"/>
        <v>3273</v>
      </c>
      <c r="E1668" s="19">
        <f t="shared" si="126"/>
        <v>336</v>
      </c>
      <c r="F1668" s="19">
        <f t="shared" si="126"/>
        <v>4</v>
      </c>
      <c r="G1668" s="19">
        <v>1</v>
      </c>
      <c r="H1668" s="13">
        <v>81676</v>
      </c>
      <c r="I1668" s="13" t="str">
        <f t="shared" si="123"/>
        <v>DISNEY</v>
      </c>
      <c r="J1668" s="13">
        <v>45919891</v>
      </c>
      <c r="K1668" s="13" t="s">
        <v>1946</v>
      </c>
      <c r="L1668" s="13" t="s">
        <v>1947</v>
      </c>
      <c r="M1668" s="17">
        <v>129900</v>
      </c>
      <c r="N1668" s="15">
        <v>0.75</v>
      </c>
      <c r="O1668" s="16">
        <f t="shared" si="125"/>
        <v>32475</v>
      </c>
      <c r="P1668" s="11" t="s">
        <v>20</v>
      </c>
    </row>
    <row r="1669" spans="1:16" x14ac:dyDescent="0.25">
      <c r="A1669" s="9" t="str">
        <f t="shared" si="126"/>
        <v>2024 ALL D75</v>
      </c>
      <c r="B1669" s="10">
        <f t="shared" si="126"/>
        <v>46104</v>
      </c>
      <c r="C1669" s="10">
        <v>46113</v>
      </c>
      <c r="D1669" s="19">
        <f t="shared" si="126"/>
        <v>3273</v>
      </c>
      <c r="E1669" s="19">
        <f t="shared" si="126"/>
        <v>336</v>
      </c>
      <c r="F1669" s="19">
        <f t="shared" si="126"/>
        <v>4</v>
      </c>
      <c r="G1669" s="19">
        <v>1</v>
      </c>
      <c r="H1669" s="13">
        <v>81676</v>
      </c>
      <c r="I1669" s="13" t="str">
        <f t="shared" si="123"/>
        <v>DISNEY</v>
      </c>
      <c r="J1669" s="13">
        <v>45919908</v>
      </c>
      <c r="K1669" s="13" t="s">
        <v>1946</v>
      </c>
      <c r="L1669" s="13" t="s">
        <v>1948</v>
      </c>
      <c r="M1669" s="17">
        <v>129900</v>
      </c>
      <c r="N1669" s="15">
        <v>0.75</v>
      </c>
      <c r="O1669" s="16">
        <f t="shared" si="125"/>
        <v>32475</v>
      </c>
      <c r="P1669" s="11" t="s">
        <v>20</v>
      </c>
    </row>
    <row r="1670" spans="1:16" x14ac:dyDescent="0.25">
      <c r="A1670" s="9" t="str">
        <f t="shared" si="126"/>
        <v>2024 ALL D75</v>
      </c>
      <c r="B1670" s="10">
        <f t="shared" si="126"/>
        <v>46104</v>
      </c>
      <c r="C1670" s="10">
        <v>46113</v>
      </c>
      <c r="D1670" s="19">
        <f t="shared" si="126"/>
        <v>3273</v>
      </c>
      <c r="E1670" s="19">
        <f t="shared" si="126"/>
        <v>336</v>
      </c>
      <c r="F1670" s="19">
        <f t="shared" si="126"/>
        <v>4</v>
      </c>
      <c r="G1670" s="19">
        <v>1</v>
      </c>
      <c r="H1670" s="13">
        <v>81676</v>
      </c>
      <c r="I1670" s="13" t="str">
        <f t="shared" si="123"/>
        <v>DISNEY</v>
      </c>
      <c r="J1670" s="13">
        <v>45919917</v>
      </c>
      <c r="K1670" s="13" t="s">
        <v>1946</v>
      </c>
      <c r="L1670" s="13" t="s">
        <v>1949</v>
      </c>
      <c r="M1670" s="17">
        <v>129900</v>
      </c>
      <c r="N1670" s="15">
        <v>0.75</v>
      </c>
      <c r="O1670" s="16">
        <f t="shared" si="125"/>
        <v>32475</v>
      </c>
      <c r="P1670" s="11" t="s">
        <v>20</v>
      </c>
    </row>
    <row r="1671" spans="1:16" x14ac:dyDescent="0.25">
      <c r="A1671" s="9" t="str">
        <f t="shared" si="126"/>
        <v>2024 ALL D75</v>
      </c>
      <c r="B1671" s="10">
        <f t="shared" si="126"/>
        <v>46104</v>
      </c>
      <c r="C1671" s="10">
        <v>46113</v>
      </c>
      <c r="D1671" s="19">
        <f t="shared" si="126"/>
        <v>3273</v>
      </c>
      <c r="E1671" s="19">
        <f t="shared" si="126"/>
        <v>336</v>
      </c>
      <c r="F1671" s="19">
        <f t="shared" si="126"/>
        <v>4</v>
      </c>
      <c r="G1671" s="19">
        <v>1</v>
      </c>
      <c r="H1671" s="13">
        <v>81676</v>
      </c>
      <c r="I1671" s="13" t="str">
        <f t="shared" si="123"/>
        <v>DISNEY</v>
      </c>
      <c r="J1671" s="13">
        <v>45919926</v>
      </c>
      <c r="K1671" s="13" t="s">
        <v>1946</v>
      </c>
      <c r="L1671" s="13" t="s">
        <v>1950</v>
      </c>
      <c r="M1671" s="17">
        <v>129900</v>
      </c>
      <c r="N1671" s="15">
        <v>0.75</v>
      </c>
      <c r="O1671" s="16">
        <f t="shared" si="125"/>
        <v>32475</v>
      </c>
      <c r="P1671" s="11" t="s">
        <v>20</v>
      </c>
    </row>
    <row r="1672" spans="1:16" x14ac:dyDescent="0.25">
      <c r="A1672" s="9" t="str">
        <f t="shared" si="126"/>
        <v>2024 ALL D75</v>
      </c>
      <c r="B1672" s="10">
        <f t="shared" si="126"/>
        <v>46104</v>
      </c>
      <c r="C1672" s="10">
        <v>46113</v>
      </c>
      <c r="D1672" s="19">
        <f t="shared" si="126"/>
        <v>3273</v>
      </c>
      <c r="E1672" s="19">
        <f t="shared" si="126"/>
        <v>336</v>
      </c>
      <c r="F1672" s="19">
        <f t="shared" si="126"/>
        <v>4</v>
      </c>
      <c r="G1672" s="19">
        <v>1</v>
      </c>
      <c r="H1672" s="13">
        <v>81676</v>
      </c>
      <c r="I1672" s="13" t="str">
        <f t="shared" si="123"/>
        <v>DISNEY</v>
      </c>
      <c r="J1672" s="13">
        <v>45919935</v>
      </c>
      <c r="K1672" s="13" t="s">
        <v>1946</v>
      </c>
      <c r="L1672" s="13" t="s">
        <v>1951</v>
      </c>
      <c r="M1672" s="17">
        <v>129900</v>
      </c>
      <c r="N1672" s="15">
        <v>0.75</v>
      </c>
      <c r="O1672" s="16">
        <f t="shared" si="125"/>
        <v>32475</v>
      </c>
      <c r="P1672" s="11" t="s">
        <v>20</v>
      </c>
    </row>
    <row r="1673" spans="1:16" x14ac:dyDescent="0.25">
      <c r="A1673" s="9" t="str">
        <f t="shared" si="126"/>
        <v>2024 ALL D75</v>
      </c>
      <c r="B1673" s="10">
        <f t="shared" si="126"/>
        <v>46104</v>
      </c>
      <c r="C1673" s="10">
        <v>46113</v>
      </c>
      <c r="D1673" s="19">
        <f t="shared" si="126"/>
        <v>3273</v>
      </c>
      <c r="E1673" s="19">
        <f t="shared" si="126"/>
        <v>336</v>
      </c>
      <c r="F1673" s="19">
        <f t="shared" si="126"/>
        <v>4</v>
      </c>
      <c r="G1673" s="19">
        <v>1</v>
      </c>
      <c r="H1673" s="13">
        <v>81676</v>
      </c>
      <c r="I1673" s="13" t="str">
        <f t="shared" si="123"/>
        <v>DISNEY</v>
      </c>
      <c r="J1673" s="13">
        <v>45919944</v>
      </c>
      <c r="K1673" s="13" t="s">
        <v>1952</v>
      </c>
      <c r="L1673" s="13" t="s">
        <v>1953</v>
      </c>
      <c r="M1673" s="17">
        <v>139900</v>
      </c>
      <c r="N1673" s="15">
        <v>0.75</v>
      </c>
      <c r="O1673" s="16">
        <f t="shared" si="125"/>
        <v>34975</v>
      </c>
      <c r="P1673" s="11" t="s">
        <v>20</v>
      </c>
    </row>
    <row r="1674" spans="1:16" x14ac:dyDescent="0.25">
      <c r="A1674" s="9" t="str">
        <f t="shared" si="126"/>
        <v>2024 ALL D75</v>
      </c>
      <c r="B1674" s="10">
        <f t="shared" si="126"/>
        <v>46104</v>
      </c>
      <c r="C1674" s="10">
        <v>46113</v>
      </c>
      <c r="D1674" s="19">
        <f t="shared" si="126"/>
        <v>3273</v>
      </c>
      <c r="E1674" s="19">
        <f t="shared" si="126"/>
        <v>336</v>
      </c>
      <c r="F1674" s="19">
        <f t="shared" si="126"/>
        <v>4</v>
      </c>
      <c r="G1674" s="19">
        <v>1</v>
      </c>
      <c r="H1674" s="13">
        <v>81676</v>
      </c>
      <c r="I1674" s="13" t="str">
        <f t="shared" si="123"/>
        <v>DISNEY</v>
      </c>
      <c r="J1674" s="13">
        <v>45919953</v>
      </c>
      <c r="K1674" s="13" t="s">
        <v>1952</v>
      </c>
      <c r="L1674" s="13" t="s">
        <v>1954</v>
      </c>
      <c r="M1674" s="17">
        <v>139900</v>
      </c>
      <c r="N1674" s="15">
        <v>0.75</v>
      </c>
      <c r="O1674" s="16">
        <f t="shared" si="125"/>
        <v>34975</v>
      </c>
      <c r="P1674" s="11" t="s">
        <v>20</v>
      </c>
    </row>
    <row r="1675" spans="1:16" x14ac:dyDescent="0.25">
      <c r="A1675" s="9" t="str">
        <f t="shared" si="126"/>
        <v>2024 ALL D75</v>
      </c>
      <c r="B1675" s="10">
        <f t="shared" si="126"/>
        <v>46104</v>
      </c>
      <c r="C1675" s="10">
        <v>46113</v>
      </c>
      <c r="D1675" s="19">
        <f t="shared" si="126"/>
        <v>3273</v>
      </c>
      <c r="E1675" s="19">
        <f t="shared" si="126"/>
        <v>336</v>
      </c>
      <c r="F1675" s="19">
        <f t="shared" si="126"/>
        <v>4</v>
      </c>
      <c r="G1675" s="19">
        <v>1</v>
      </c>
      <c r="H1675" s="13">
        <v>81676</v>
      </c>
      <c r="I1675" s="13" t="str">
        <f t="shared" si="123"/>
        <v>DISNEY</v>
      </c>
      <c r="J1675" s="13">
        <v>45919962</v>
      </c>
      <c r="K1675" s="13" t="s">
        <v>1952</v>
      </c>
      <c r="L1675" s="13" t="s">
        <v>1955</v>
      </c>
      <c r="M1675" s="17">
        <v>139900</v>
      </c>
      <c r="N1675" s="15">
        <v>0.75</v>
      </c>
      <c r="O1675" s="16">
        <f t="shared" si="125"/>
        <v>34975</v>
      </c>
      <c r="P1675" s="11" t="s">
        <v>20</v>
      </c>
    </row>
    <row r="1676" spans="1:16" x14ac:dyDescent="0.25">
      <c r="A1676" s="9" t="str">
        <f t="shared" si="126"/>
        <v>2024 ALL D75</v>
      </c>
      <c r="B1676" s="10">
        <f t="shared" si="126"/>
        <v>46104</v>
      </c>
      <c r="C1676" s="10">
        <v>46113</v>
      </c>
      <c r="D1676" s="19">
        <f t="shared" si="126"/>
        <v>3273</v>
      </c>
      <c r="E1676" s="19">
        <f t="shared" si="126"/>
        <v>336</v>
      </c>
      <c r="F1676" s="19">
        <f t="shared" si="126"/>
        <v>4</v>
      </c>
      <c r="G1676" s="19">
        <v>1</v>
      </c>
      <c r="H1676" s="13">
        <v>81676</v>
      </c>
      <c r="I1676" s="13" t="str">
        <f t="shared" si="123"/>
        <v>DISNEY</v>
      </c>
      <c r="J1676" s="13">
        <v>45919971</v>
      </c>
      <c r="K1676" s="13" t="s">
        <v>1952</v>
      </c>
      <c r="L1676" s="13" t="s">
        <v>1956</v>
      </c>
      <c r="M1676" s="17">
        <v>139900</v>
      </c>
      <c r="N1676" s="15">
        <v>0.75</v>
      </c>
      <c r="O1676" s="16">
        <f t="shared" si="125"/>
        <v>34975</v>
      </c>
      <c r="P1676" s="11" t="s">
        <v>20</v>
      </c>
    </row>
    <row r="1677" spans="1:16" x14ac:dyDescent="0.25">
      <c r="A1677" s="9" t="str">
        <f t="shared" si="126"/>
        <v>2024 ALL D75</v>
      </c>
      <c r="B1677" s="10">
        <f t="shared" si="126"/>
        <v>46104</v>
      </c>
      <c r="C1677" s="10">
        <v>46113</v>
      </c>
      <c r="D1677" s="19">
        <f t="shared" si="126"/>
        <v>3273</v>
      </c>
      <c r="E1677" s="19">
        <f t="shared" si="126"/>
        <v>336</v>
      </c>
      <c r="F1677" s="19">
        <f t="shared" si="126"/>
        <v>4</v>
      </c>
      <c r="G1677" s="19">
        <v>1</v>
      </c>
      <c r="H1677" s="13">
        <v>81676</v>
      </c>
      <c r="I1677" s="13" t="str">
        <f t="shared" si="123"/>
        <v>DISNEY</v>
      </c>
      <c r="J1677" s="13">
        <v>45919980</v>
      </c>
      <c r="K1677" s="13" t="s">
        <v>1952</v>
      </c>
      <c r="L1677" s="13" t="s">
        <v>1957</v>
      </c>
      <c r="M1677" s="17">
        <v>139900</v>
      </c>
      <c r="N1677" s="15">
        <v>0.75</v>
      </c>
      <c r="O1677" s="16">
        <f t="shared" si="125"/>
        <v>34975</v>
      </c>
      <c r="P1677" s="11" t="s">
        <v>20</v>
      </c>
    </row>
    <row r="1678" spans="1:16" x14ac:dyDescent="0.25">
      <c r="A1678" s="9" t="str">
        <f t="shared" si="126"/>
        <v>2024 ALL D75</v>
      </c>
      <c r="B1678" s="10">
        <f t="shared" si="126"/>
        <v>46104</v>
      </c>
      <c r="C1678" s="10">
        <v>46113</v>
      </c>
      <c r="D1678" s="19">
        <f t="shared" si="126"/>
        <v>3273</v>
      </c>
      <c r="E1678" s="19">
        <f t="shared" si="126"/>
        <v>336</v>
      </c>
      <c r="F1678" s="19">
        <f t="shared" si="126"/>
        <v>4</v>
      </c>
      <c r="G1678" s="19">
        <v>1</v>
      </c>
      <c r="H1678" s="13">
        <v>81676</v>
      </c>
      <c r="I1678" s="13" t="str">
        <f t="shared" si="123"/>
        <v>DISNEY</v>
      </c>
      <c r="J1678" s="13">
        <v>48258304</v>
      </c>
      <c r="K1678" s="13" t="s">
        <v>1958</v>
      </c>
      <c r="L1678" s="13" t="s">
        <v>1959</v>
      </c>
      <c r="M1678" s="17">
        <v>149900</v>
      </c>
      <c r="N1678" s="15">
        <v>0.75</v>
      </c>
      <c r="O1678" s="16">
        <f t="shared" si="125"/>
        <v>37475</v>
      </c>
      <c r="P1678" s="11" t="s">
        <v>20</v>
      </c>
    </row>
    <row r="1679" spans="1:16" x14ac:dyDescent="0.25">
      <c r="A1679" s="9" t="str">
        <f t="shared" si="126"/>
        <v>2024 ALL D75</v>
      </c>
      <c r="B1679" s="10">
        <f t="shared" si="126"/>
        <v>46104</v>
      </c>
      <c r="C1679" s="10">
        <v>46113</v>
      </c>
      <c r="D1679" s="19">
        <f t="shared" si="126"/>
        <v>3273</v>
      </c>
      <c r="E1679" s="19">
        <f t="shared" si="126"/>
        <v>336</v>
      </c>
      <c r="F1679" s="19">
        <f t="shared" si="126"/>
        <v>4</v>
      </c>
      <c r="G1679" s="19">
        <v>1</v>
      </c>
      <c r="H1679" s="13">
        <v>81676</v>
      </c>
      <c r="I1679" s="13" t="str">
        <f t="shared" si="123"/>
        <v>DISNEY</v>
      </c>
      <c r="J1679" s="13">
        <v>48258313</v>
      </c>
      <c r="K1679" s="13" t="s">
        <v>1958</v>
      </c>
      <c r="L1679" s="13" t="s">
        <v>1960</v>
      </c>
      <c r="M1679" s="17">
        <v>149900</v>
      </c>
      <c r="N1679" s="15">
        <v>0.75</v>
      </c>
      <c r="O1679" s="16">
        <f t="shared" si="125"/>
        <v>37475</v>
      </c>
      <c r="P1679" s="11" t="s">
        <v>20</v>
      </c>
    </row>
    <row r="1680" spans="1:16" x14ac:dyDescent="0.25">
      <c r="A1680" s="9" t="str">
        <f t="shared" si="126"/>
        <v>2024 ALL D75</v>
      </c>
      <c r="B1680" s="10">
        <f t="shared" si="126"/>
        <v>46104</v>
      </c>
      <c r="C1680" s="10">
        <v>46113</v>
      </c>
      <c r="D1680" s="19">
        <f t="shared" si="126"/>
        <v>3273</v>
      </c>
      <c r="E1680" s="19">
        <f t="shared" si="126"/>
        <v>336</v>
      </c>
      <c r="F1680" s="19">
        <f t="shared" si="126"/>
        <v>4</v>
      </c>
      <c r="G1680" s="19">
        <v>1</v>
      </c>
      <c r="H1680" s="13">
        <v>81676</v>
      </c>
      <c r="I1680" s="13" t="str">
        <f t="shared" si="123"/>
        <v>DISNEY</v>
      </c>
      <c r="J1680" s="13">
        <v>48258322</v>
      </c>
      <c r="K1680" s="13" t="s">
        <v>1958</v>
      </c>
      <c r="L1680" s="13" t="s">
        <v>1961</v>
      </c>
      <c r="M1680" s="17">
        <v>149900</v>
      </c>
      <c r="N1680" s="15">
        <v>0.75</v>
      </c>
      <c r="O1680" s="16">
        <f t="shared" si="125"/>
        <v>37475</v>
      </c>
      <c r="P1680" s="11" t="s">
        <v>20</v>
      </c>
    </row>
    <row r="1681" spans="1:16" x14ac:dyDescent="0.25">
      <c r="A1681" s="9" t="str">
        <f t="shared" si="126"/>
        <v>2024 ALL D75</v>
      </c>
      <c r="B1681" s="10">
        <f t="shared" si="126"/>
        <v>46104</v>
      </c>
      <c r="C1681" s="10">
        <v>46113</v>
      </c>
      <c r="D1681" s="19">
        <f t="shared" si="126"/>
        <v>3273</v>
      </c>
      <c r="E1681" s="19">
        <f t="shared" si="126"/>
        <v>336</v>
      </c>
      <c r="F1681" s="19">
        <f t="shared" si="126"/>
        <v>4</v>
      </c>
      <c r="G1681" s="19">
        <v>1</v>
      </c>
      <c r="H1681" s="13">
        <v>81676</v>
      </c>
      <c r="I1681" s="13" t="str">
        <f t="shared" si="123"/>
        <v>DISNEY</v>
      </c>
      <c r="J1681" s="13">
        <v>48258331</v>
      </c>
      <c r="K1681" s="13" t="s">
        <v>1958</v>
      </c>
      <c r="L1681" s="13" t="s">
        <v>1962</v>
      </c>
      <c r="M1681" s="17">
        <v>149900</v>
      </c>
      <c r="N1681" s="15">
        <v>0.75</v>
      </c>
      <c r="O1681" s="16">
        <f t="shared" si="125"/>
        <v>37475</v>
      </c>
      <c r="P1681" s="11" t="s">
        <v>20</v>
      </c>
    </row>
    <row r="1682" spans="1:16" x14ac:dyDescent="0.25">
      <c r="A1682" s="9" t="str">
        <f t="shared" si="126"/>
        <v>2024 ALL D75</v>
      </c>
      <c r="B1682" s="10">
        <f t="shared" si="126"/>
        <v>46104</v>
      </c>
      <c r="C1682" s="10">
        <v>46113</v>
      </c>
      <c r="D1682" s="19">
        <f t="shared" si="126"/>
        <v>3273</v>
      </c>
      <c r="E1682" s="19">
        <f t="shared" si="126"/>
        <v>336</v>
      </c>
      <c r="F1682" s="19">
        <f t="shared" si="126"/>
        <v>4</v>
      </c>
      <c r="G1682" s="19">
        <v>1</v>
      </c>
      <c r="H1682" s="13">
        <v>81676</v>
      </c>
      <c r="I1682" s="13" t="str">
        <f t="shared" si="123"/>
        <v>DISNEY</v>
      </c>
      <c r="J1682" s="13">
        <v>48258340</v>
      </c>
      <c r="K1682" s="13" t="s">
        <v>1958</v>
      </c>
      <c r="L1682" s="13" t="s">
        <v>1963</v>
      </c>
      <c r="M1682" s="17">
        <v>149900</v>
      </c>
      <c r="N1682" s="15">
        <v>0.75</v>
      </c>
      <c r="O1682" s="16">
        <f t="shared" si="125"/>
        <v>37475</v>
      </c>
      <c r="P1682" s="11" t="s">
        <v>20</v>
      </c>
    </row>
    <row r="1683" spans="1:16" x14ac:dyDescent="0.25">
      <c r="A1683" s="9" t="str">
        <f t="shared" si="126"/>
        <v>2024 ALL D75</v>
      </c>
      <c r="B1683" s="10">
        <f t="shared" si="126"/>
        <v>46104</v>
      </c>
      <c r="C1683" s="10">
        <v>46113</v>
      </c>
      <c r="D1683" s="19">
        <f t="shared" si="126"/>
        <v>3273</v>
      </c>
      <c r="E1683" s="19">
        <f t="shared" si="126"/>
        <v>336</v>
      </c>
      <c r="F1683" s="19">
        <f t="shared" si="126"/>
        <v>4</v>
      </c>
      <c r="G1683" s="19">
        <v>1</v>
      </c>
      <c r="H1683" s="13">
        <v>81588</v>
      </c>
      <c r="I1683" s="13" t="str">
        <f t="shared" si="123"/>
        <v>DISNEY</v>
      </c>
      <c r="J1683" s="13">
        <v>50037137</v>
      </c>
      <c r="K1683" s="13" t="s">
        <v>1964</v>
      </c>
      <c r="L1683" s="13" t="s">
        <v>1965</v>
      </c>
      <c r="M1683" s="17">
        <v>149900</v>
      </c>
      <c r="N1683" s="15">
        <v>0.75</v>
      </c>
      <c r="O1683" s="16">
        <f t="shared" si="125"/>
        <v>37475</v>
      </c>
      <c r="P1683" s="11" t="s">
        <v>20</v>
      </c>
    </row>
    <row r="1684" spans="1:16" x14ac:dyDescent="0.25">
      <c r="A1684" s="9" t="str">
        <f t="shared" ref="A1684:F1699" si="127">A1683</f>
        <v>2024 ALL D75</v>
      </c>
      <c r="B1684" s="10">
        <f t="shared" si="127"/>
        <v>46104</v>
      </c>
      <c r="C1684" s="10">
        <v>46113</v>
      </c>
      <c r="D1684" s="19">
        <f t="shared" si="127"/>
        <v>3273</v>
      </c>
      <c r="E1684" s="19">
        <f t="shared" si="127"/>
        <v>336</v>
      </c>
      <c r="F1684" s="19">
        <f t="shared" si="127"/>
        <v>4</v>
      </c>
      <c r="G1684" s="19">
        <v>1</v>
      </c>
      <c r="H1684" s="13">
        <v>81588</v>
      </c>
      <c r="I1684" s="13" t="str">
        <f t="shared" si="123"/>
        <v>DISNEY</v>
      </c>
      <c r="J1684" s="13">
        <v>50037146</v>
      </c>
      <c r="K1684" s="13" t="s">
        <v>1964</v>
      </c>
      <c r="L1684" s="13" t="s">
        <v>1966</v>
      </c>
      <c r="M1684" s="17">
        <v>149900</v>
      </c>
      <c r="N1684" s="15">
        <v>0.75</v>
      </c>
      <c r="O1684" s="16">
        <f t="shared" si="125"/>
        <v>37475</v>
      </c>
      <c r="P1684" s="11" t="s">
        <v>20</v>
      </c>
    </row>
    <row r="1685" spans="1:16" x14ac:dyDescent="0.25">
      <c r="A1685" s="9" t="str">
        <f t="shared" si="127"/>
        <v>2024 ALL D75</v>
      </c>
      <c r="B1685" s="10">
        <f t="shared" si="127"/>
        <v>46104</v>
      </c>
      <c r="C1685" s="10">
        <v>46113</v>
      </c>
      <c r="D1685" s="19">
        <f t="shared" si="127"/>
        <v>3273</v>
      </c>
      <c r="E1685" s="19">
        <f t="shared" si="127"/>
        <v>336</v>
      </c>
      <c r="F1685" s="19">
        <f t="shared" si="127"/>
        <v>4</v>
      </c>
      <c r="G1685" s="19">
        <v>1</v>
      </c>
      <c r="H1685" s="13">
        <v>81588</v>
      </c>
      <c r="I1685" s="13" t="str">
        <f t="shared" si="123"/>
        <v>DISNEY</v>
      </c>
      <c r="J1685" s="13">
        <v>50037155</v>
      </c>
      <c r="K1685" s="13" t="s">
        <v>1964</v>
      </c>
      <c r="L1685" s="13" t="s">
        <v>1967</v>
      </c>
      <c r="M1685" s="17">
        <v>149900</v>
      </c>
      <c r="N1685" s="15">
        <v>0.75</v>
      </c>
      <c r="O1685" s="16">
        <f t="shared" si="125"/>
        <v>37475</v>
      </c>
      <c r="P1685" s="11" t="s">
        <v>20</v>
      </c>
    </row>
    <row r="1686" spans="1:16" x14ac:dyDescent="0.25">
      <c r="A1686" s="9" t="str">
        <f t="shared" si="127"/>
        <v>2024 ALL D75</v>
      </c>
      <c r="B1686" s="10">
        <f t="shared" si="127"/>
        <v>46104</v>
      </c>
      <c r="C1686" s="10">
        <v>46113</v>
      </c>
      <c r="D1686" s="19">
        <f t="shared" si="127"/>
        <v>3273</v>
      </c>
      <c r="E1686" s="19">
        <f t="shared" si="127"/>
        <v>336</v>
      </c>
      <c r="F1686" s="19">
        <f t="shared" si="127"/>
        <v>4</v>
      </c>
      <c r="G1686" s="19">
        <v>1</v>
      </c>
      <c r="H1686" s="13">
        <v>81588</v>
      </c>
      <c r="I1686" s="13" t="str">
        <f t="shared" si="123"/>
        <v>DISNEY</v>
      </c>
      <c r="J1686" s="13">
        <v>50037164</v>
      </c>
      <c r="K1686" s="13" t="s">
        <v>1964</v>
      </c>
      <c r="L1686" s="13" t="s">
        <v>1968</v>
      </c>
      <c r="M1686" s="17">
        <v>149900</v>
      </c>
      <c r="N1686" s="15">
        <v>0.75</v>
      </c>
      <c r="O1686" s="16">
        <f t="shared" si="125"/>
        <v>37475</v>
      </c>
      <c r="P1686" s="11" t="s">
        <v>20</v>
      </c>
    </row>
    <row r="1687" spans="1:16" x14ac:dyDescent="0.25">
      <c r="A1687" s="9" t="str">
        <f t="shared" si="127"/>
        <v>2024 ALL D75</v>
      </c>
      <c r="B1687" s="10">
        <f t="shared" si="127"/>
        <v>46104</v>
      </c>
      <c r="C1687" s="10">
        <v>46113</v>
      </c>
      <c r="D1687" s="19">
        <f t="shared" si="127"/>
        <v>3273</v>
      </c>
      <c r="E1687" s="19">
        <f t="shared" si="127"/>
        <v>336</v>
      </c>
      <c r="F1687" s="19">
        <f t="shared" si="127"/>
        <v>4</v>
      </c>
      <c r="G1687" s="19">
        <v>1</v>
      </c>
      <c r="H1687" s="13">
        <v>81588</v>
      </c>
      <c r="I1687" s="13" t="str">
        <f t="shared" si="123"/>
        <v>DISNEY</v>
      </c>
      <c r="J1687" s="13">
        <v>50037173</v>
      </c>
      <c r="K1687" s="13" t="s">
        <v>1964</v>
      </c>
      <c r="L1687" s="13" t="s">
        <v>1969</v>
      </c>
      <c r="M1687" s="17">
        <v>149900</v>
      </c>
      <c r="N1687" s="15">
        <v>0.75</v>
      </c>
      <c r="O1687" s="16">
        <f t="shared" si="125"/>
        <v>37475</v>
      </c>
      <c r="P1687" s="11" t="s">
        <v>20</v>
      </c>
    </row>
    <row r="1688" spans="1:16" x14ac:dyDescent="0.25">
      <c r="A1688" s="9" t="str">
        <f t="shared" si="127"/>
        <v>2024 ALL D75</v>
      </c>
      <c r="B1688" s="10">
        <f t="shared" si="127"/>
        <v>46104</v>
      </c>
      <c r="C1688" s="10">
        <v>46113</v>
      </c>
      <c r="D1688" s="19">
        <f t="shared" si="127"/>
        <v>3273</v>
      </c>
      <c r="E1688" s="19">
        <f t="shared" si="127"/>
        <v>336</v>
      </c>
      <c r="F1688" s="19">
        <f t="shared" si="127"/>
        <v>4</v>
      </c>
      <c r="G1688" s="19">
        <v>1</v>
      </c>
      <c r="H1688" s="13">
        <v>81588</v>
      </c>
      <c r="I1688" s="13" t="str">
        <f t="shared" si="123"/>
        <v>DISNEY</v>
      </c>
      <c r="J1688" s="13">
        <v>50037182</v>
      </c>
      <c r="K1688" s="13" t="s">
        <v>1964</v>
      </c>
      <c r="L1688" s="13" t="s">
        <v>1970</v>
      </c>
      <c r="M1688" s="17">
        <v>149900</v>
      </c>
      <c r="N1688" s="15">
        <v>0.75</v>
      </c>
      <c r="O1688" s="16">
        <f t="shared" si="125"/>
        <v>37475</v>
      </c>
      <c r="P1688" s="11" t="s">
        <v>20</v>
      </c>
    </row>
    <row r="1689" spans="1:16" x14ac:dyDescent="0.25">
      <c r="A1689" s="9" t="str">
        <f t="shared" si="127"/>
        <v>2024 ALL D75</v>
      </c>
      <c r="B1689" s="10">
        <f t="shared" si="127"/>
        <v>46104</v>
      </c>
      <c r="C1689" s="10">
        <v>46113</v>
      </c>
      <c r="D1689" s="19">
        <f t="shared" si="127"/>
        <v>3273</v>
      </c>
      <c r="E1689" s="19">
        <f t="shared" si="127"/>
        <v>336</v>
      </c>
      <c r="F1689" s="19">
        <f t="shared" si="127"/>
        <v>4</v>
      </c>
      <c r="G1689" s="19">
        <v>1</v>
      </c>
      <c r="H1689" s="13">
        <v>81588</v>
      </c>
      <c r="I1689" s="13" t="str">
        <f t="shared" si="123"/>
        <v>DISNEY</v>
      </c>
      <c r="J1689" s="13">
        <v>50037191</v>
      </c>
      <c r="K1689" s="13" t="s">
        <v>1971</v>
      </c>
      <c r="L1689" s="13" t="s">
        <v>1972</v>
      </c>
      <c r="M1689" s="17">
        <v>139900</v>
      </c>
      <c r="N1689" s="15">
        <v>0.75</v>
      </c>
      <c r="O1689" s="16">
        <f t="shared" si="125"/>
        <v>34975</v>
      </c>
      <c r="P1689" s="11" t="s">
        <v>20</v>
      </c>
    </row>
    <row r="1690" spans="1:16" x14ac:dyDescent="0.25">
      <c r="A1690" s="9" t="str">
        <f t="shared" si="127"/>
        <v>2024 ALL D75</v>
      </c>
      <c r="B1690" s="10">
        <f t="shared" si="127"/>
        <v>46104</v>
      </c>
      <c r="C1690" s="10">
        <v>46113</v>
      </c>
      <c r="D1690" s="19">
        <f t="shared" si="127"/>
        <v>3273</v>
      </c>
      <c r="E1690" s="19">
        <f t="shared" si="127"/>
        <v>336</v>
      </c>
      <c r="F1690" s="19">
        <f t="shared" si="127"/>
        <v>4</v>
      </c>
      <c r="G1690" s="19">
        <v>1</v>
      </c>
      <c r="H1690" s="13">
        <v>81588</v>
      </c>
      <c r="I1690" s="13" t="str">
        <f t="shared" si="123"/>
        <v>DISNEY</v>
      </c>
      <c r="J1690" s="13">
        <v>50037208</v>
      </c>
      <c r="K1690" s="13" t="s">
        <v>1971</v>
      </c>
      <c r="L1690" s="13" t="s">
        <v>1973</v>
      </c>
      <c r="M1690" s="17">
        <v>139900</v>
      </c>
      <c r="N1690" s="15">
        <v>0.75</v>
      </c>
      <c r="O1690" s="16">
        <f t="shared" si="125"/>
        <v>34975</v>
      </c>
      <c r="P1690" s="11" t="s">
        <v>20</v>
      </c>
    </row>
    <row r="1691" spans="1:16" x14ac:dyDescent="0.25">
      <c r="A1691" s="9" t="str">
        <f t="shared" si="127"/>
        <v>2024 ALL D75</v>
      </c>
      <c r="B1691" s="10">
        <f t="shared" si="127"/>
        <v>46104</v>
      </c>
      <c r="C1691" s="10">
        <v>46113</v>
      </c>
      <c r="D1691" s="19">
        <f t="shared" si="127"/>
        <v>3273</v>
      </c>
      <c r="E1691" s="19">
        <f t="shared" si="127"/>
        <v>336</v>
      </c>
      <c r="F1691" s="19">
        <f t="shared" si="127"/>
        <v>4</v>
      </c>
      <c r="G1691" s="19">
        <v>1</v>
      </c>
      <c r="H1691" s="13">
        <v>81588</v>
      </c>
      <c r="I1691" s="13" t="str">
        <f t="shared" si="123"/>
        <v>DISNEY</v>
      </c>
      <c r="J1691" s="13">
        <v>50037217</v>
      </c>
      <c r="K1691" s="13" t="s">
        <v>1971</v>
      </c>
      <c r="L1691" s="13" t="s">
        <v>1974</v>
      </c>
      <c r="M1691" s="17">
        <v>139900</v>
      </c>
      <c r="N1691" s="15">
        <v>0.75</v>
      </c>
      <c r="O1691" s="16">
        <f t="shared" si="125"/>
        <v>34975</v>
      </c>
      <c r="P1691" s="11" t="s">
        <v>20</v>
      </c>
    </row>
    <row r="1692" spans="1:16" x14ac:dyDescent="0.25">
      <c r="A1692" s="9" t="str">
        <f t="shared" si="127"/>
        <v>2024 ALL D75</v>
      </c>
      <c r="B1692" s="10">
        <f t="shared" si="127"/>
        <v>46104</v>
      </c>
      <c r="C1692" s="10">
        <v>46113</v>
      </c>
      <c r="D1692" s="19">
        <f t="shared" si="127"/>
        <v>3273</v>
      </c>
      <c r="E1692" s="19">
        <f t="shared" si="127"/>
        <v>336</v>
      </c>
      <c r="F1692" s="19">
        <f t="shared" si="127"/>
        <v>4</v>
      </c>
      <c r="G1692" s="19">
        <v>1</v>
      </c>
      <c r="H1692" s="13">
        <v>81588</v>
      </c>
      <c r="I1692" s="13" t="str">
        <f t="shared" si="123"/>
        <v>DISNEY</v>
      </c>
      <c r="J1692" s="13">
        <v>50037226</v>
      </c>
      <c r="K1692" s="13" t="s">
        <v>1971</v>
      </c>
      <c r="L1692" s="13" t="s">
        <v>1975</v>
      </c>
      <c r="M1692" s="17">
        <v>139900</v>
      </c>
      <c r="N1692" s="15">
        <v>0.75</v>
      </c>
      <c r="O1692" s="16">
        <f t="shared" si="125"/>
        <v>34975</v>
      </c>
      <c r="P1692" s="11" t="s">
        <v>20</v>
      </c>
    </row>
    <row r="1693" spans="1:16" x14ac:dyDescent="0.25">
      <c r="A1693" s="9" t="str">
        <f t="shared" si="127"/>
        <v>2024 ALL D75</v>
      </c>
      <c r="B1693" s="10">
        <f t="shared" si="127"/>
        <v>46104</v>
      </c>
      <c r="C1693" s="10">
        <v>46113</v>
      </c>
      <c r="D1693" s="19">
        <f t="shared" si="127"/>
        <v>3273</v>
      </c>
      <c r="E1693" s="19">
        <f t="shared" si="127"/>
        <v>336</v>
      </c>
      <c r="F1693" s="19">
        <f t="shared" si="127"/>
        <v>4</v>
      </c>
      <c r="G1693" s="19">
        <v>1</v>
      </c>
      <c r="H1693" s="13">
        <v>81588</v>
      </c>
      <c r="I1693" s="13" t="str">
        <f t="shared" si="123"/>
        <v>DISNEY</v>
      </c>
      <c r="J1693" s="13">
        <v>50037235</v>
      </c>
      <c r="K1693" s="13" t="s">
        <v>1971</v>
      </c>
      <c r="L1693" s="13" t="s">
        <v>1976</v>
      </c>
      <c r="M1693" s="17">
        <v>139900</v>
      </c>
      <c r="N1693" s="15">
        <v>0.75</v>
      </c>
      <c r="O1693" s="16">
        <f t="shared" si="125"/>
        <v>34975</v>
      </c>
      <c r="P1693" s="11" t="s">
        <v>20</v>
      </c>
    </row>
    <row r="1694" spans="1:16" x14ac:dyDescent="0.25">
      <c r="A1694" s="9" t="str">
        <f t="shared" si="127"/>
        <v>2024 ALL D75</v>
      </c>
      <c r="B1694" s="10">
        <f t="shared" si="127"/>
        <v>46104</v>
      </c>
      <c r="C1694" s="10">
        <v>46113</v>
      </c>
      <c r="D1694" s="19">
        <f t="shared" si="127"/>
        <v>3273</v>
      </c>
      <c r="E1694" s="19">
        <f t="shared" si="127"/>
        <v>336</v>
      </c>
      <c r="F1694" s="19">
        <f t="shared" si="127"/>
        <v>4</v>
      </c>
      <c r="G1694" s="19">
        <v>1</v>
      </c>
      <c r="H1694" s="13">
        <v>81588</v>
      </c>
      <c r="I1694" s="13" t="str">
        <f t="shared" si="123"/>
        <v>DISNEY</v>
      </c>
      <c r="J1694" s="13">
        <v>50037244</v>
      </c>
      <c r="K1694" s="13" t="s">
        <v>1971</v>
      </c>
      <c r="L1694" s="13" t="s">
        <v>1977</v>
      </c>
      <c r="M1694" s="17">
        <v>139900</v>
      </c>
      <c r="N1694" s="15">
        <v>0.75</v>
      </c>
      <c r="O1694" s="16">
        <f t="shared" si="125"/>
        <v>34975</v>
      </c>
      <c r="P1694" s="11" t="s">
        <v>20</v>
      </c>
    </row>
    <row r="1695" spans="1:16" x14ac:dyDescent="0.25">
      <c r="A1695" s="9" t="str">
        <f t="shared" si="127"/>
        <v>2024 ALL D75</v>
      </c>
      <c r="B1695" s="10">
        <f t="shared" si="127"/>
        <v>46104</v>
      </c>
      <c r="C1695" s="10">
        <v>46113</v>
      </c>
      <c r="D1695" s="19">
        <f t="shared" si="127"/>
        <v>3273</v>
      </c>
      <c r="E1695" s="19">
        <f t="shared" si="127"/>
        <v>336</v>
      </c>
      <c r="F1695" s="19">
        <f t="shared" si="127"/>
        <v>4</v>
      </c>
      <c r="G1695" s="19">
        <v>11</v>
      </c>
      <c r="H1695" s="13">
        <v>81676</v>
      </c>
      <c r="I1695" s="13" t="str">
        <f t="shared" si="123"/>
        <v>DISNEY</v>
      </c>
      <c r="J1695" s="13">
        <v>45919462</v>
      </c>
      <c r="K1695" s="13" t="s">
        <v>1978</v>
      </c>
      <c r="L1695" s="13" t="s">
        <v>1979</v>
      </c>
      <c r="M1695" s="17">
        <v>149900</v>
      </c>
      <c r="N1695" s="15">
        <v>0.75</v>
      </c>
      <c r="O1695" s="16">
        <f t="shared" si="125"/>
        <v>37475</v>
      </c>
      <c r="P1695" s="11" t="s">
        <v>20</v>
      </c>
    </row>
    <row r="1696" spans="1:16" x14ac:dyDescent="0.25">
      <c r="A1696" s="9" t="str">
        <f t="shared" si="127"/>
        <v>2024 ALL D75</v>
      </c>
      <c r="B1696" s="10">
        <f t="shared" si="127"/>
        <v>46104</v>
      </c>
      <c r="C1696" s="10">
        <v>46113</v>
      </c>
      <c r="D1696" s="19">
        <f t="shared" si="127"/>
        <v>3273</v>
      </c>
      <c r="E1696" s="19">
        <f t="shared" si="127"/>
        <v>336</v>
      </c>
      <c r="F1696" s="19">
        <f t="shared" si="127"/>
        <v>4</v>
      </c>
      <c r="G1696" s="19">
        <v>11</v>
      </c>
      <c r="H1696" s="13">
        <v>81676</v>
      </c>
      <c r="I1696" s="13" t="str">
        <f t="shared" si="123"/>
        <v>DISNEY</v>
      </c>
      <c r="J1696" s="13">
        <v>45919471</v>
      </c>
      <c r="K1696" s="13" t="s">
        <v>1978</v>
      </c>
      <c r="L1696" s="13" t="s">
        <v>1980</v>
      </c>
      <c r="M1696" s="17">
        <v>149900</v>
      </c>
      <c r="N1696" s="15">
        <v>0.75</v>
      </c>
      <c r="O1696" s="16">
        <f t="shared" si="125"/>
        <v>37475</v>
      </c>
      <c r="P1696" s="11" t="s">
        <v>20</v>
      </c>
    </row>
    <row r="1697" spans="1:16" x14ac:dyDescent="0.25">
      <c r="A1697" s="9" t="str">
        <f t="shared" si="127"/>
        <v>2024 ALL D75</v>
      </c>
      <c r="B1697" s="10">
        <f t="shared" si="127"/>
        <v>46104</v>
      </c>
      <c r="C1697" s="10">
        <v>46113</v>
      </c>
      <c r="D1697" s="19">
        <f t="shared" si="127"/>
        <v>3273</v>
      </c>
      <c r="E1697" s="19">
        <f t="shared" si="127"/>
        <v>336</v>
      </c>
      <c r="F1697" s="19">
        <f t="shared" si="127"/>
        <v>4</v>
      </c>
      <c r="G1697" s="19">
        <v>11</v>
      </c>
      <c r="H1697" s="13">
        <v>81676</v>
      </c>
      <c r="I1697" s="13" t="str">
        <f t="shared" si="123"/>
        <v>DISNEY</v>
      </c>
      <c r="J1697" s="13">
        <v>45919480</v>
      </c>
      <c r="K1697" s="13" t="s">
        <v>1978</v>
      </c>
      <c r="L1697" s="13" t="s">
        <v>1981</v>
      </c>
      <c r="M1697" s="17">
        <v>149900</v>
      </c>
      <c r="N1697" s="15">
        <v>0.75</v>
      </c>
      <c r="O1697" s="16">
        <f t="shared" si="125"/>
        <v>37475</v>
      </c>
      <c r="P1697" s="11" t="s">
        <v>20</v>
      </c>
    </row>
    <row r="1698" spans="1:16" x14ac:dyDescent="0.25">
      <c r="A1698" s="9" t="str">
        <f t="shared" si="127"/>
        <v>2024 ALL D75</v>
      </c>
      <c r="B1698" s="10">
        <f t="shared" si="127"/>
        <v>46104</v>
      </c>
      <c r="C1698" s="10">
        <v>46113</v>
      </c>
      <c r="D1698" s="19">
        <f t="shared" si="127"/>
        <v>3273</v>
      </c>
      <c r="E1698" s="19">
        <f t="shared" si="127"/>
        <v>336</v>
      </c>
      <c r="F1698" s="19">
        <f t="shared" si="127"/>
        <v>4</v>
      </c>
      <c r="G1698" s="19">
        <v>11</v>
      </c>
      <c r="H1698" s="13">
        <v>81676</v>
      </c>
      <c r="I1698" s="13" t="str">
        <f t="shared" si="123"/>
        <v>DISNEY</v>
      </c>
      <c r="J1698" s="13">
        <v>45919499</v>
      </c>
      <c r="K1698" s="13" t="s">
        <v>1978</v>
      </c>
      <c r="L1698" s="13" t="s">
        <v>1982</v>
      </c>
      <c r="M1698" s="17">
        <v>149900</v>
      </c>
      <c r="N1698" s="15">
        <v>0.75</v>
      </c>
      <c r="O1698" s="16">
        <f t="shared" si="125"/>
        <v>37475</v>
      </c>
      <c r="P1698" s="11" t="s">
        <v>20</v>
      </c>
    </row>
    <row r="1699" spans="1:16" x14ac:dyDescent="0.25">
      <c r="A1699" s="9" t="str">
        <f t="shared" si="127"/>
        <v>2024 ALL D75</v>
      </c>
      <c r="B1699" s="10">
        <f t="shared" si="127"/>
        <v>46104</v>
      </c>
      <c r="C1699" s="10">
        <v>46113</v>
      </c>
      <c r="D1699" s="19">
        <f t="shared" si="127"/>
        <v>3273</v>
      </c>
      <c r="E1699" s="19">
        <f t="shared" si="127"/>
        <v>336</v>
      </c>
      <c r="F1699" s="19">
        <f t="shared" si="127"/>
        <v>4</v>
      </c>
      <c r="G1699" s="19">
        <v>11</v>
      </c>
      <c r="H1699" s="13">
        <v>81676</v>
      </c>
      <c r="I1699" s="13" t="str">
        <f t="shared" si="123"/>
        <v>DISNEY</v>
      </c>
      <c r="J1699" s="13">
        <v>45919506</v>
      </c>
      <c r="K1699" s="13" t="s">
        <v>1978</v>
      </c>
      <c r="L1699" s="13" t="s">
        <v>1983</v>
      </c>
      <c r="M1699" s="17">
        <v>149900</v>
      </c>
      <c r="N1699" s="15">
        <v>0.75</v>
      </c>
      <c r="O1699" s="16">
        <f t="shared" si="125"/>
        <v>37475</v>
      </c>
      <c r="P1699" s="11" t="s">
        <v>20</v>
      </c>
    </row>
    <row r="1700" spans="1:16" x14ac:dyDescent="0.25">
      <c r="A1700" s="9" t="str">
        <f t="shared" ref="A1700:F1715" si="128">A1699</f>
        <v>2024 ALL D75</v>
      </c>
      <c r="B1700" s="10">
        <f t="shared" si="128"/>
        <v>46104</v>
      </c>
      <c r="C1700" s="10">
        <v>46113</v>
      </c>
      <c r="D1700" s="19">
        <f t="shared" si="128"/>
        <v>3273</v>
      </c>
      <c r="E1700" s="19">
        <f t="shared" si="128"/>
        <v>336</v>
      </c>
      <c r="F1700" s="19">
        <f t="shared" si="128"/>
        <v>4</v>
      </c>
      <c r="G1700" s="19">
        <v>11</v>
      </c>
      <c r="H1700" s="13">
        <v>81676</v>
      </c>
      <c r="I1700" s="13" t="str">
        <f t="shared" si="123"/>
        <v>DISNEY</v>
      </c>
      <c r="J1700" s="13">
        <v>45919515</v>
      </c>
      <c r="K1700" s="13" t="s">
        <v>1978</v>
      </c>
      <c r="L1700" s="13" t="s">
        <v>1984</v>
      </c>
      <c r="M1700" s="17">
        <v>149900</v>
      </c>
      <c r="N1700" s="15">
        <v>0.75</v>
      </c>
      <c r="O1700" s="16">
        <f t="shared" si="125"/>
        <v>37475</v>
      </c>
      <c r="P1700" s="11" t="s">
        <v>20</v>
      </c>
    </row>
    <row r="1701" spans="1:16" x14ac:dyDescent="0.25">
      <c r="A1701" s="9" t="str">
        <f t="shared" si="128"/>
        <v>2024 ALL D75</v>
      </c>
      <c r="B1701" s="10">
        <f t="shared" si="128"/>
        <v>46104</v>
      </c>
      <c r="C1701" s="10">
        <v>46113</v>
      </c>
      <c r="D1701" s="19">
        <f t="shared" si="128"/>
        <v>3273</v>
      </c>
      <c r="E1701" s="19">
        <f t="shared" si="128"/>
        <v>336</v>
      </c>
      <c r="F1701" s="19">
        <f t="shared" si="128"/>
        <v>4</v>
      </c>
      <c r="G1701" s="19">
        <v>11</v>
      </c>
      <c r="H1701" s="13">
        <v>81676</v>
      </c>
      <c r="I1701" s="13" t="str">
        <f t="shared" si="123"/>
        <v>DISNEY</v>
      </c>
      <c r="J1701" s="13">
        <v>45919524</v>
      </c>
      <c r="K1701" s="13" t="s">
        <v>1985</v>
      </c>
      <c r="L1701" s="13" t="s">
        <v>1986</v>
      </c>
      <c r="M1701" s="17">
        <v>139900</v>
      </c>
      <c r="N1701" s="15">
        <v>0.75</v>
      </c>
      <c r="O1701" s="16">
        <f t="shared" si="125"/>
        <v>34975</v>
      </c>
      <c r="P1701" s="11" t="s">
        <v>20</v>
      </c>
    </row>
    <row r="1702" spans="1:16" x14ac:dyDescent="0.25">
      <c r="A1702" s="9" t="str">
        <f t="shared" si="128"/>
        <v>2024 ALL D75</v>
      </c>
      <c r="B1702" s="10">
        <f t="shared" si="128"/>
        <v>46104</v>
      </c>
      <c r="C1702" s="10">
        <v>46113</v>
      </c>
      <c r="D1702" s="19">
        <f t="shared" si="128"/>
        <v>3273</v>
      </c>
      <c r="E1702" s="19">
        <f t="shared" si="128"/>
        <v>336</v>
      </c>
      <c r="F1702" s="19">
        <f t="shared" si="128"/>
        <v>4</v>
      </c>
      <c r="G1702" s="19">
        <v>11</v>
      </c>
      <c r="H1702" s="13">
        <v>81676</v>
      </c>
      <c r="I1702" s="13" t="str">
        <f t="shared" si="123"/>
        <v>DISNEY</v>
      </c>
      <c r="J1702" s="13">
        <v>45919533</v>
      </c>
      <c r="K1702" s="13" t="s">
        <v>1985</v>
      </c>
      <c r="L1702" s="13" t="s">
        <v>1987</v>
      </c>
      <c r="M1702" s="17">
        <v>139900</v>
      </c>
      <c r="N1702" s="15">
        <v>0.75</v>
      </c>
      <c r="O1702" s="16">
        <f t="shared" si="125"/>
        <v>34975</v>
      </c>
      <c r="P1702" s="11" t="s">
        <v>20</v>
      </c>
    </row>
    <row r="1703" spans="1:16" x14ac:dyDescent="0.25">
      <c r="A1703" s="9" t="str">
        <f t="shared" si="128"/>
        <v>2024 ALL D75</v>
      </c>
      <c r="B1703" s="10">
        <f t="shared" si="128"/>
        <v>46104</v>
      </c>
      <c r="C1703" s="10">
        <v>46113</v>
      </c>
      <c r="D1703" s="19">
        <f t="shared" si="128"/>
        <v>3273</v>
      </c>
      <c r="E1703" s="19">
        <f t="shared" si="128"/>
        <v>336</v>
      </c>
      <c r="F1703" s="19">
        <f t="shared" si="128"/>
        <v>4</v>
      </c>
      <c r="G1703" s="19">
        <v>11</v>
      </c>
      <c r="H1703" s="13">
        <v>81676</v>
      </c>
      <c r="I1703" s="13" t="str">
        <f t="shared" si="123"/>
        <v>DISNEY</v>
      </c>
      <c r="J1703" s="13">
        <v>45919542</v>
      </c>
      <c r="K1703" s="13" t="s">
        <v>1985</v>
      </c>
      <c r="L1703" s="13" t="s">
        <v>1988</v>
      </c>
      <c r="M1703" s="17">
        <v>139900</v>
      </c>
      <c r="N1703" s="15">
        <v>0.75</v>
      </c>
      <c r="O1703" s="16">
        <f t="shared" si="125"/>
        <v>34975</v>
      </c>
      <c r="P1703" s="11" t="s">
        <v>20</v>
      </c>
    </row>
    <row r="1704" spans="1:16" x14ac:dyDescent="0.25">
      <c r="A1704" s="9" t="str">
        <f t="shared" si="128"/>
        <v>2024 ALL D75</v>
      </c>
      <c r="B1704" s="10">
        <f t="shared" si="128"/>
        <v>46104</v>
      </c>
      <c r="C1704" s="10">
        <v>46113</v>
      </c>
      <c r="D1704" s="19">
        <f t="shared" si="128"/>
        <v>3273</v>
      </c>
      <c r="E1704" s="19">
        <f t="shared" si="128"/>
        <v>336</v>
      </c>
      <c r="F1704" s="19">
        <f t="shared" si="128"/>
        <v>4</v>
      </c>
      <c r="G1704" s="19">
        <v>11</v>
      </c>
      <c r="H1704" s="13">
        <v>81676</v>
      </c>
      <c r="I1704" s="13" t="str">
        <f t="shared" si="123"/>
        <v>DISNEY</v>
      </c>
      <c r="J1704" s="13">
        <v>45919551</v>
      </c>
      <c r="K1704" s="13" t="s">
        <v>1985</v>
      </c>
      <c r="L1704" s="13" t="s">
        <v>1989</v>
      </c>
      <c r="M1704" s="17">
        <v>139900</v>
      </c>
      <c r="N1704" s="15">
        <v>0.75</v>
      </c>
      <c r="O1704" s="16">
        <f t="shared" si="125"/>
        <v>34975</v>
      </c>
      <c r="P1704" s="11" t="s">
        <v>20</v>
      </c>
    </row>
    <row r="1705" spans="1:16" x14ac:dyDescent="0.25">
      <c r="A1705" s="9" t="str">
        <f t="shared" si="128"/>
        <v>2024 ALL D75</v>
      </c>
      <c r="B1705" s="10">
        <f t="shared" si="128"/>
        <v>46104</v>
      </c>
      <c r="C1705" s="10">
        <v>46113</v>
      </c>
      <c r="D1705" s="19">
        <f t="shared" si="128"/>
        <v>3273</v>
      </c>
      <c r="E1705" s="19">
        <f t="shared" si="128"/>
        <v>336</v>
      </c>
      <c r="F1705" s="19">
        <f t="shared" si="128"/>
        <v>4</v>
      </c>
      <c r="G1705" s="19">
        <v>11</v>
      </c>
      <c r="H1705" s="13">
        <v>81676</v>
      </c>
      <c r="I1705" s="13" t="str">
        <f t="shared" si="123"/>
        <v>DISNEY</v>
      </c>
      <c r="J1705" s="13">
        <v>45919560</v>
      </c>
      <c r="K1705" s="13" t="s">
        <v>1985</v>
      </c>
      <c r="L1705" s="13" t="s">
        <v>1990</v>
      </c>
      <c r="M1705" s="17">
        <v>139900</v>
      </c>
      <c r="N1705" s="15">
        <v>0.75</v>
      </c>
      <c r="O1705" s="16">
        <f t="shared" si="125"/>
        <v>34975</v>
      </c>
      <c r="P1705" s="11" t="s">
        <v>20</v>
      </c>
    </row>
    <row r="1706" spans="1:16" x14ac:dyDescent="0.25">
      <c r="A1706" s="9" t="str">
        <f t="shared" si="128"/>
        <v>2024 ALL D75</v>
      </c>
      <c r="B1706" s="10">
        <f t="shared" si="128"/>
        <v>46104</v>
      </c>
      <c r="C1706" s="10">
        <v>46113</v>
      </c>
      <c r="D1706" s="19">
        <f t="shared" si="128"/>
        <v>3273</v>
      </c>
      <c r="E1706" s="19">
        <f t="shared" si="128"/>
        <v>336</v>
      </c>
      <c r="F1706" s="19">
        <f t="shared" si="128"/>
        <v>4</v>
      </c>
      <c r="G1706" s="19">
        <v>11</v>
      </c>
      <c r="H1706" s="13">
        <v>81676</v>
      </c>
      <c r="I1706" s="13" t="str">
        <f t="shared" si="123"/>
        <v>DISNEY</v>
      </c>
      <c r="J1706" s="13">
        <v>45919579</v>
      </c>
      <c r="K1706" s="13" t="s">
        <v>1985</v>
      </c>
      <c r="L1706" s="13" t="s">
        <v>1991</v>
      </c>
      <c r="M1706" s="17">
        <v>139900</v>
      </c>
      <c r="N1706" s="15">
        <v>0.75</v>
      </c>
      <c r="O1706" s="16">
        <f t="shared" si="125"/>
        <v>34975</v>
      </c>
      <c r="P1706" s="11" t="s">
        <v>20</v>
      </c>
    </row>
    <row r="1707" spans="1:16" x14ac:dyDescent="0.25">
      <c r="A1707" s="9" t="str">
        <f t="shared" si="128"/>
        <v>2024 ALL D75</v>
      </c>
      <c r="B1707" s="10">
        <f t="shared" si="128"/>
        <v>46104</v>
      </c>
      <c r="C1707" s="10">
        <v>46113</v>
      </c>
      <c r="D1707" s="19">
        <f t="shared" si="128"/>
        <v>3273</v>
      </c>
      <c r="E1707" s="19">
        <f t="shared" si="128"/>
        <v>336</v>
      </c>
      <c r="F1707" s="19">
        <f t="shared" si="128"/>
        <v>4</v>
      </c>
      <c r="G1707" s="19">
        <v>6</v>
      </c>
      <c r="H1707" s="13">
        <v>81676</v>
      </c>
      <c r="I1707" s="13" t="str">
        <f t="shared" si="123"/>
        <v>DISNEY</v>
      </c>
      <c r="J1707" s="13">
        <v>18633464</v>
      </c>
      <c r="K1707" s="13" t="s">
        <v>1992</v>
      </c>
      <c r="L1707" s="13" t="s">
        <v>1993</v>
      </c>
      <c r="M1707" s="17">
        <v>149900</v>
      </c>
      <c r="N1707" s="15">
        <v>0.75</v>
      </c>
      <c r="O1707" s="16">
        <f t="shared" si="125"/>
        <v>37475</v>
      </c>
      <c r="P1707" s="11" t="s">
        <v>20</v>
      </c>
    </row>
    <row r="1708" spans="1:16" x14ac:dyDescent="0.25">
      <c r="A1708" s="9" t="str">
        <f t="shared" si="128"/>
        <v>2024 ALL D75</v>
      </c>
      <c r="B1708" s="10">
        <f t="shared" si="128"/>
        <v>46104</v>
      </c>
      <c r="C1708" s="10">
        <v>46113</v>
      </c>
      <c r="D1708" s="19">
        <f t="shared" si="128"/>
        <v>3273</v>
      </c>
      <c r="E1708" s="19">
        <f t="shared" si="128"/>
        <v>336</v>
      </c>
      <c r="F1708" s="19">
        <f t="shared" si="128"/>
        <v>4</v>
      </c>
      <c r="G1708" s="19">
        <v>6</v>
      </c>
      <c r="H1708" s="13">
        <v>81676</v>
      </c>
      <c r="I1708" s="13" t="str">
        <f t="shared" si="123"/>
        <v>DISNEY</v>
      </c>
      <c r="J1708" s="13">
        <v>18633473</v>
      </c>
      <c r="K1708" s="13" t="s">
        <v>1992</v>
      </c>
      <c r="L1708" s="13" t="s">
        <v>1994</v>
      </c>
      <c r="M1708" s="17">
        <v>149900</v>
      </c>
      <c r="N1708" s="15">
        <v>0.75</v>
      </c>
      <c r="O1708" s="16">
        <f t="shared" si="125"/>
        <v>37475</v>
      </c>
      <c r="P1708" s="11" t="s">
        <v>20</v>
      </c>
    </row>
    <row r="1709" spans="1:16" x14ac:dyDescent="0.25">
      <c r="A1709" s="9" t="str">
        <f t="shared" si="128"/>
        <v>2024 ALL D75</v>
      </c>
      <c r="B1709" s="10">
        <f t="shared" si="128"/>
        <v>46104</v>
      </c>
      <c r="C1709" s="10">
        <v>46113</v>
      </c>
      <c r="D1709" s="19">
        <f t="shared" si="128"/>
        <v>3273</v>
      </c>
      <c r="E1709" s="19">
        <f t="shared" si="128"/>
        <v>336</v>
      </c>
      <c r="F1709" s="19">
        <f t="shared" si="128"/>
        <v>4</v>
      </c>
      <c r="G1709" s="19">
        <v>6</v>
      </c>
      <c r="H1709" s="13">
        <v>81676</v>
      </c>
      <c r="I1709" s="13" t="str">
        <f t="shared" si="123"/>
        <v>DISNEY</v>
      </c>
      <c r="J1709" s="13">
        <v>18633482</v>
      </c>
      <c r="K1709" s="13" t="s">
        <v>1992</v>
      </c>
      <c r="L1709" s="13" t="s">
        <v>1995</v>
      </c>
      <c r="M1709" s="17">
        <v>149900</v>
      </c>
      <c r="N1709" s="15">
        <v>0.75</v>
      </c>
      <c r="O1709" s="16">
        <f t="shared" si="125"/>
        <v>37475</v>
      </c>
      <c r="P1709" s="11" t="s">
        <v>20</v>
      </c>
    </row>
    <row r="1710" spans="1:16" x14ac:dyDescent="0.25">
      <c r="A1710" s="9" t="str">
        <f t="shared" si="128"/>
        <v>2024 ALL D75</v>
      </c>
      <c r="B1710" s="10">
        <f t="shared" si="128"/>
        <v>46104</v>
      </c>
      <c r="C1710" s="10">
        <v>46113</v>
      </c>
      <c r="D1710" s="19">
        <f t="shared" si="128"/>
        <v>3273</v>
      </c>
      <c r="E1710" s="19">
        <f t="shared" si="128"/>
        <v>336</v>
      </c>
      <c r="F1710" s="19">
        <f t="shared" si="128"/>
        <v>4</v>
      </c>
      <c r="G1710" s="19">
        <v>6</v>
      </c>
      <c r="H1710" s="13">
        <v>81676</v>
      </c>
      <c r="I1710" s="13" t="str">
        <f t="shared" si="123"/>
        <v>DISNEY</v>
      </c>
      <c r="J1710" s="13">
        <v>18633491</v>
      </c>
      <c r="K1710" s="13" t="s">
        <v>1992</v>
      </c>
      <c r="L1710" s="13" t="s">
        <v>1996</v>
      </c>
      <c r="M1710" s="17">
        <v>149900</v>
      </c>
      <c r="N1710" s="15">
        <v>0.75</v>
      </c>
      <c r="O1710" s="16">
        <f t="shared" si="125"/>
        <v>37475</v>
      </c>
      <c r="P1710" s="11" t="s">
        <v>20</v>
      </c>
    </row>
    <row r="1711" spans="1:16" x14ac:dyDescent="0.25">
      <c r="A1711" s="9" t="str">
        <f t="shared" si="128"/>
        <v>2024 ALL D75</v>
      </c>
      <c r="B1711" s="10">
        <f t="shared" si="128"/>
        <v>46104</v>
      </c>
      <c r="C1711" s="10">
        <v>46113</v>
      </c>
      <c r="D1711" s="19">
        <f t="shared" si="128"/>
        <v>3273</v>
      </c>
      <c r="E1711" s="19">
        <f t="shared" si="128"/>
        <v>336</v>
      </c>
      <c r="F1711" s="19">
        <f t="shared" si="128"/>
        <v>4</v>
      </c>
      <c r="G1711" s="19">
        <v>6</v>
      </c>
      <c r="H1711" s="13">
        <v>81676</v>
      </c>
      <c r="I1711" s="13" t="str">
        <f t="shared" si="123"/>
        <v>DISNEY</v>
      </c>
      <c r="J1711" s="13">
        <v>18633508</v>
      </c>
      <c r="K1711" s="13" t="s">
        <v>1992</v>
      </c>
      <c r="L1711" s="13" t="s">
        <v>1997</v>
      </c>
      <c r="M1711" s="17">
        <v>149900</v>
      </c>
      <c r="N1711" s="15">
        <v>0.75</v>
      </c>
      <c r="O1711" s="16">
        <f t="shared" si="125"/>
        <v>37475</v>
      </c>
      <c r="P1711" s="11" t="s">
        <v>20</v>
      </c>
    </row>
    <row r="1712" spans="1:16" x14ac:dyDescent="0.25">
      <c r="A1712" s="9" t="str">
        <f t="shared" si="128"/>
        <v>2024 ALL D75</v>
      </c>
      <c r="B1712" s="10">
        <f t="shared" si="128"/>
        <v>46104</v>
      </c>
      <c r="C1712" s="10">
        <v>46113</v>
      </c>
      <c r="D1712" s="19">
        <f t="shared" si="128"/>
        <v>3273</v>
      </c>
      <c r="E1712" s="19">
        <f t="shared" si="128"/>
        <v>336</v>
      </c>
      <c r="F1712" s="19">
        <f t="shared" si="128"/>
        <v>4</v>
      </c>
      <c r="G1712" s="19">
        <v>6</v>
      </c>
      <c r="H1712" s="13">
        <v>81676</v>
      </c>
      <c r="I1712" s="13" t="str">
        <f t="shared" si="123"/>
        <v>DISNEY</v>
      </c>
      <c r="J1712" s="13">
        <v>18633517</v>
      </c>
      <c r="K1712" s="13" t="s">
        <v>1992</v>
      </c>
      <c r="L1712" s="13" t="s">
        <v>1998</v>
      </c>
      <c r="M1712" s="17">
        <v>149900</v>
      </c>
      <c r="N1712" s="15">
        <v>0.75</v>
      </c>
      <c r="O1712" s="16">
        <f t="shared" si="125"/>
        <v>37475</v>
      </c>
      <c r="P1712" s="11" t="s">
        <v>20</v>
      </c>
    </row>
    <row r="1713" spans="1:16" x14ac:dyDescent="0.25">
      <c r="A1713" s="9" t="str">
        <f t="shared" si="128"/>
        <v>2024 ALL D75</v>
      </c>
      <c r="B1713" s="10">
        <f t="shared" si="128"/>
        <v>46104</v>
      </c>
      <c r="C1713" s="10">
        <v>46113</v>
      </c>
      <c r="D1713" s="19">
        <f t="shared" si="128"/>
        <v>3273</v>
      </c>
      <c r="E1713" s="19">
        <f t="shared" si="128"/>
        <v>336</v>
      </c>
      <c r="F1713" s="19">
        <f t="shared" si="128"/>
        <v>4</v>
      </c>
      <c r="G1713" s="19">
        <v>6</v>
      </c>
      <c r="H1713" s="13">
        <v>81676</v>
      </c>
      <c r="I1713" s="13" t="str">
        <f t="shared" si="123"/>
        <v>DISNEY</v>
      </c>
      <c r="J1713" s="13">
        <v>18633526</v>
      </c>
      <c r="K1713" s="13" t="s">
        <v>1992</v>
      </c>
      <c r="L1713" s="13" t="s">
        <v>1999</v>
      </c>
      <c r="M1713" s="17">
        <v>149900</v>
      </c>
      <c r="N1713" s="15">
        <v>0.75</v>
      </c>
      <c r="O1713" s="16">
        <f t="shared" si="125"/>
        <v>37475</v>
      </c>
      <c r="P1713" s="11" t="s">
        <v>20</v>
      </c>
    </row>
    <row r="1714" spans="1:16" x14ac:dyDescent="0.25">
      <c r="A1714" s="9" t="str">
        <f t="shared" si="128"/>
        <v>2024 ALL D75</v>
      </c>
      <c r="B1714" s="10">
        <f t="shared" si="128"/>
        <v>46104</v>
      </c>
      <c r="C1714" s="10">
        <v>46113</v>
      </c>
      <c r="D1714" s="19">
        <f t="shared" si="128"/>
        <v>3273</v>
      </c>
      <c r="E1714" s="19">
        <f t="shared" si="128"/>
        <v>336</v>
      </c>
      <c r="F1714" s="19">
        <f t="shared" si="128"/>
        <v>4</v>
      </c>
      <c r="G1714" s="19">
        <v>6</v>
      </c>
      <c r="H1714" s="13">
        <v>81676</v>
      </c>
      <c r="I1714" s="13" t="str">
        <f t="shared" si="123"/>
        <v>DISNEY</v>
      </c>
      <c r="J1714" s="13">
        <v>18633535</v>
      </c>
      <c r="K1714" s="13" t="s">
        <v>1992</v>
      </c>
      <c r="L1714" s="13" t="s">
        <v>2000</v>
      </c>
      <c r="M1714" s="17">
        <v>149900</v>
      </c>
      <c r="N1714" s="15">
        <v>0.75</v>
      </c>
      <c r="O1714" s="16">
        <f t="shared" si="125"/>
        <v>37475</v>
      </c>
      <c r="P1714" s="11" t="s">
        <v>20</v>
      </c>
    </row>
    <row r="1715" spans="1:16" x14ac:dyDescent="0.25">
      <c r="A1715" s="9" t="str">
        <f t="shared" si="128"/>
        <v>2024 ALL D75</v>
      </c>
      <c r="B1715" s="10">
        <f t="shared" si="128"/>
        <v>46104</v>
      </c>
      <c r="C1715" s="10">
        <v>46113</v>
      </c>
      <c r="D1715" s="19">
        <f t="shared" si="128"/>
        <v>3273</v>
      </c>
      <c r="E1715" s="19">
        <f t="shared" si="128"/>
        <v>336</v>
      </c>
      <c r="F1715" s="19">
        <f t="shared" si="128"/>
        <v>4</v>
      </c>
      <c r="G1715" s="19">
        <v>6</v>
      </c>
      <c r="H1715" s="13">
        <v>81588</v>
      </c>
      <c r="I1715" s="13" t="str">
        <f t="shared" ref="I1715:I1778" si="129">I1714</f>
        <v>DISNEY</v>
      </c>
      <c r="J1715" s="13">
        <v>45920049</v>
      </c>
      <c r="K1715" s="13" t="s">
        <v>2001</v>
      </c>
      <c r="L1715" s="13" t="s">
        <v>2002</v>
      </c>
      <c r="M1715" s="17">
        <v>149900</v>
      </c>
      <c r="N1715" s="15">
        <v>0.75</v>
      </c>
      <c r="O1715" s="16">
        <f t="shared" si="125"/>
        <v>37475</v>
      </c>
      <c r="P1715" s="11" t="s">
        <v>20</v>
      </c>
    </row>
    <row r="1716" spans="1:16" x14ac:dyDescent="0.25">
      <c r="A1716" s="9" t="str">
        <f t="shared" ref="A1716:F1731" si="130">A1715</f>
        <v>2024 ALL D75</v>
      </c>
      <c r="B1716" s="10">
        <f t="shared" si="130"/>
        <v>46104</v>
      </c>
      <c r="C1716" s="10">
        <v>46113</v>
      </c>
      <c r="D1716" s="19">
        <f t="shared" si="130"/>
        <v>3273</v>
      </c>
      <c r="E1716" s="19">
        <f t="shared" si="130"/>
        <v>336</v>
      </c>
      <c r="F1716" s="19">
        <f t="shared" si="130"/>
        <v>4</v>
      </c>
      <c r="G1716" s="19">
        <v>6</v>
      </c>
      <c r="H1716" s="13">
        <v>81588</v>
      </c>
      <c r="I1716" s="13" t="str">
        <f t="shared" si="129"/>
        <v>DISNEY</v>
      </c>
      <c r="J1716" s="13">
        <v>45920058</v>
      </c>
      <c r="K1716" s="13" t="s">
        <v>2001</v>
      </c>
      <c r="L1716" s="13" t="s">
        <v>2003</v>
      </c>
      <c r="M1716" s="17">
        <v>149900</v>
      </c>
      <c r="N1716" s="15">
        <v>0.75</v>
      </c>
      <c r="O1716" s="16">
        <f t="shared" si="125"/>
        <v>37475</v>
      </c>
      <c r="P1716" s="11" t="s">
        <v>20</v>
      </c>
    </row>
    <row r="1717" spans="1:16" x14ac:dyDescent="0.25">
      <c r="A1717" s="9" t="str">
        <f t="shared" si="130"/>
        <v>2024 ALL D75</v>
      </c>
      <c r="B1717" s="10">
        <f t="shared" si="130"/>
        <v>46104</v>
      </c>
      <c r="C1717" s="10">
        <v>46113</v>
      </c>
      <c r="D1717" s="19">
        <f t="shared" si="130"/>
        <v>3273</v>
      </c>
      <c r="E1717" s="19">
        <f t="shared" si="130"/>
        <v>336</v>
      </c>
      <c r="F1717" s="19">
        <f t="shared" si="130"/>
        <v>4</v>
      </c>
      <c r="G1717" s="19">
        <v>6</v>
      </c>
      <c r="H1717" s="13">
        <v>81588</v>
      </c>
      <c r="I1717" s="13" t="str">
        <f t="shared" si="129"/>
        <v>DISNEY</v>
      </c>
      <c r="J1717" s="13">
        <v>45920067</v>
      </c>
      <c r="K1717" s="13" t="s">
        <v>2001</v>
      </c>
      <c r="L1717" s="13" t="s">
        <v>2004</v>
      </c>
      <c r="M1717" s="17">
        <v>149900</v>
      </c>
      <c r="N1717" s="15">
        <v>0.75</v>
      </c>
      <c r="O1717" s="16">
        <f t="shared" si="125"/>
        <v>37475</v>
      </c>
      <c r="P1717" s="11" t="s">
        <v>20</v>
      </c>
    </row>
    <row r="1718" spans="1:16" x14ac:dyDescent="0.25">
      <c r="A1718" s="9" t="str">
        <f t="shared" si="130"/>
        <v>2024 ALL D75</v>
      </c>
      <c r="B1718" s="10">
        <f t="shared" si="130"/>
        <v>46104</v>
      </c>
      <c r="C1718" s="10">
        <v>46113</v>
      </c>
      <c r="D1718" s="19">
        <f t="shared" si="130"/>
        <v>3273</v>
      </c>
      <c r="E1718" s="19">
        <f t="shared" si="130"/>
        <v>336</v>
      </c>
      <c r="F1718" s="19">
        <f t="shared" si="130"/>
        <v>4</v>
      </c>
      <c r="G1718" s="19">
        <v>6</v>
      </c>
      <c r="H1718" s="13">
        <v>81588</v>
      </c>
      <c r="I1718" s="13" t="str">
        <f t="shared" si="129"/>
        <v>DISNEY</v>
      </c>
      <c r="J1718" s="13">
        <v>45920076</v>
      </c>
      <c r="K1718" s="13" t="s">
        <v>2001</v>
      </c>
      <c r="L1718" s="13" t="s">
        <v>2005</v>
      </c>
      <c r="M1718" s="17">
        <v>149900</v>
      </c>
      <c r="N1718" s="15">
        <v>0.75</v>
      </c>
      <c r="O1718" s="16">
        <f t="shared" si="125"/>
        <v>37475</v>
      </c>
      <c r="P1718" s="11" t="s">
        <v>20</v>
      </c>
    </row>
    <row r="1719" spans="1:16" x14ac:dyDescent="0.25">
      <c r="A1719" s="9" t="str">
        <f t="shared" si="130"/>
        <v>2024 ALL D75</v>
      </c>
      <c r="B1719" s="10">
        <f t="shared" si="130"/>
        <v>46104</v>
      </c>
      <c r="C1719" s="10">
        <v>46113</v>
      </c>
      <c r="D1719" s="19">
        <f t="shared" si="130"/>
        <v>3273</v>
      </c>
      <c r="E1719" s="19">
        <f t="shared" si="130"/>
        <v>336</v>
      </c>
      <c r="F1719" s="19">
        <f t="shared" si="130"/>
        <v>4</v>
      </c>
      <c r="G1719" s="19">
        <v>6</v>
      </c>
      <c r="H1719" s="13">
        <v>81588</v>
      </c>
      <c r="I1719" s="13" t="str">
        <f t="shared" si="129"/>
        <v>DISNEY</v>
      </c>
      <c r="J1719" s="13">
        <v>45920085</v>
      </c>
      <c r="K1719" s="13" t="s">
        <v>2001</v>
      </c>
      <c r="L1719" s="13" t="s">
        <v>2006</v>
      </c>
      <c r="M1719" s="17">
        <v>149900</v>
      </c>
      <c r="N1719" s="15">
        <v>0.75</v>
      </c>
      <c r="O1719" s="16">
        <f t="shared" si="125"/>
        <v>37475</v>
      </c>
      <c r="P1719" s="11" t="s">
        <v>20</v>
      </c>
    </row>
    <row r="1720" spans="1:16" x14ac:dyDescent="0.25">
      <c r="A1720" s="9" t="str">
        <f t="shared" si="130"/>
        <v>2024 ALL D75</v>
      </c>
      <c r="B1720" s="10">
        <f t="shared" si="130"/>
        <v>46104</v>
      </c>
      <c r="C1720" s="10">
        <v>46113</v>
      </c>
      <c r="D1720" s="19">
        <f t="shared" si="130"/>
        <v>3273</v>
      </c>
      <c r="E1720" s="19">
        <f t="shared" si="130"/>
        <v>336</v>
      </c>
      <c r="F1720" s="19">
        <f t="shared" si="130"/>
        <v>4</v>
      </c>
      <c r="G1720" s="19">
        <v>6</v>
      </c>
      <c r="H1720" s="13">
        <v>81588</v>
      </c>
      <c r="I1720" s="13" t="str">
        <f t="shared" si="129"/>
        <v>DISNEY</v>
      </c>
      <c r="J1720" s="13">
        <v>45920094</v>
      </c>
      <c r="K1720" s="13" t="s">
        <v>2001</v>
      </c>
      <c r="L1720" s="13" t="s">
        <v>2007</v>
      </c>
      <c r="M1720" s="17">
        <v>149900</v>
      </c>
      <c r="N1720" s="15">
        <v>0.75</v>
      </c>
      <c r="O1720" s="16">
        <f t="shared" si="125"/>
        <v>37475</v>
      </c>
      <c r="P1720" s="11" t="s">
        <v>20</v>
      </c>
    </row>
    <row r="1721" spans="1:16" x14ac:dyDescent="0.25">
      <c r="A1721" s="9" t="str">
        <f t="shared" si="130"/>
        <v>2024 ALL D75</v>
      </c>
      <c r="B1721" s="10">
        <f t="shared" si="130"/>
        <v>46104</v>
      </c>
      <c r="C1721" s="10">
        <v>46113</v>
      </c>
      <c r="D1721" s="19">
        <f t="shared" si="130"/>
        <v>3273</v>
      </c>
      <c r="E1721" s="19">
        <f t="shared" si="130"/>
        <v>336</v>
      </c>
      <c r="F1721" s="19">
        <f t="shared" si="130"/>
        <v>4</v>
      </c>
      <c r="G1721" s="19">
        <v>6</v>
      </c>
      <c r="H1721" s="13">
        <v>81588</v>
      </c>
      <c r="I1721" s="13" t="str">
        <f t="shared" si="129"/>
        <v>DISNEY</v>
      </c>
      <c r="J1721" s="13">
        <v>45920101</v>
      </c>
      <c r="K1721" s="13" t="s">
        <v>2001</v>
      </c>
      <c r="L1721" s="13" t="s">
        <v>2008</v>
      </c>
      <c r="M1721" s="17">
        <v>149900</v>
      </c>
      <c r="N1721" s="15">
        <v>0.75</v>
      </c>
      <c r="O1721" s="16">
        <f t="shared" si="125"/>
        <v>37475</v>
      </c>
      <c r="P1721" s="11" t="s">
        <v>20</v>
      </c>
    </row>
    <row r="1722" spans="1:16" x14ac:dyDescent="0.25">
      <c r="A1722" s="9" t="str">
        <f t="shared" si="130"/>
        <v>2024 ALL D75</v>
      </c>
      <c r="B1722" s="10">
        <f t="shared" si="130"/>
        <v>46104</v>
      </c>
      <c r="C1722" s="10">
        <v>46113</v>
      </c>
      <c r="D1722" s="19">
        <f t="shared" si="130"/>
        <v>3273</v>
      </c>
      <c r="E1722" s="19">
        <f t="shared" si="130"/>
        <v>336</v>
      </c>
      <c r="F1722" s="19">
        <f t="shared" si="130"/>
        <v>4</v>
      </c>
      <c r="G1722" s="19">
        <v>6</v>
      </c>
      <c r="H1722" s="13">
        <v>81588</v>
      </c>
      <c r="I1722" s="13" t="str">
        <f t="shared" si="129"/>
        <v>DISNEY</v>
      </c>
      <c r="J1722" s="13">
        <v>45920110</v>
      </c>
      <c r="K1722" s="13" t="s">
        <v>2001</v>
      </c>
      <c r="L1722" s="13" t="s">
        <v>2009</v>
      </c>
      <c r="M1722" s="17">
        <v>149900</v>
      </c>
      <c r="N1722" s="15">
        <v>0.75</v>
      </c>
      <c r="O1722" s="16">
        <f t="shared" si="125"/>
        <v>37475</v>
      </c>
      <c r="P1722" s="11" t="s">
        <v>20</v>
      </c>
    </row>
    <row r="1723" spans="1:16" x14ac:dyDescent="0.25">
      <c r="A1723" s="9" t="str">
        <f t="shared" si="130"/>
        <v>2024 ALL D75</v>
      </c>
      <c r="B1723" s="10">
        <f t="shared" si="130"/>
        <v>46104</v>
      </c>
      <c r="C1723" s="10">
        <v>46113</v>
      </c>
      <c r="D1723" s="19">
        <f t="shared" si="130"/>
        <v>3273</v>
      </c>
      <c r="E1723" s="19">
        <f t="shared" si="130"/>
        <v>336</v>
      </c>
      <c r="F1723" s="19">
        <f t="shared" si="130"/>
        <v>4</v>
      </c>
      <c r="G1723" s="19">
        <v>6</v>
      </c>
      <c r="H1723" s="13">
        <v>81588</v>
      </c>
      <c r="I1723" s="13" t="str">
        <f t="shared" si="129"/>
        <v>DISNEY</v>
      </c>
      <c r="J1723" s="13">
        <v>45920129</v>
      </c>
      <c r="K1723" s="13" t="s">
        <v>2010</v>
      </c>
      <c r="L1723" s="13" t="s">
        <v>2011</v>
      </c>
      <c r="M1723" s="17">
        <v>139900</v>
      </c>
      <c r="N1723" s="15">
        <v>0.75</v>
      </c>
      <c r="O1723" s="16">
        <f t="shared" si="125"/>
        <v>34975</v>
      </c>
      <c r="P1723" s="11" t="s">
        <v>20</v>
      </c>
    </row>
    <row r="1724" spans="1:16" x14ac:dyDescent="0.25">
      <c r="A1724" s="9" t="str">
        <f t="shared" si="130"/>
        <v>2024 ALL D75</v>
      </c>
      <c r="B1724" s="10">
        <f t="shared" si="130"/>
        <v>46104</v>
      </c>
      <c r="C1724" s="10">
        <v>46113</v>
      </c>
      <c r="D1724" s="19">
        <f t="shared" si="130"/>
        <v>3273</v>
      </c>
      <c r="E1724" s="19">
        <f t="shared" si="130"/>
        <v>336</v>
      </c>
      <c r="F1724" s="19">
        <f t="shared" si="130"/>
        <v>4</v>
      </c>
      <c r="G1724" s="19">
        <v>6</v>
      </c>
      <c r="H1724" s="13">
        <v>81588</v>
      </c>
      <c r="I1724" s="13" t="str">
        <f t="shared" si="129"/>
        <v>DISNEY</v>
      </c>
      <c r="J1724" s="13">
        <v>45920138</v>
      </c>
      <c r="K1724" s="13" t="s">
        <v>2010</v>
      </c>
      <c r="L1724" s="13" t="s">
        <v>2012</v>
      </c>
      <c r="M1724" s="17">
        <v>139900</v>
      </c>
      <c r="N1724" s="15">
        <v>0.75</v>
      </c>
      <c r="O1724" s="16">
        <f t="shared" si="125"/>
        <v>34975</v>
      </c>
      <c r="P1724" s="11" t="s">
        <v>20</v>
      </c>
    </row>
    <row r="1725" spans="1:16" x14ac:dyDescent="0.25">
      <c r="A1725" s="9" t="str">
        <f t="shared" si="130"/>
        <v>2024 ALL D75</v>
      </c>
      <c r="B1725" s="10">
        <f t="shared" si="130"/>
        <v>46104</v>
      </c>
      <c r="C1725" s="10">
        <v>46113</v>
      </c>
      <c r="D1725" s="19">
        <f t="shared" si="130"/>
        <v>3273</v>
      </c>
      <c r="E1725" s="19">
        <f t="shared" si="130"/>
        <v>336</v>
      </c>
      <c r="F1725" s="19">
        <f t="shared" si="130"/>
        <v>4</v>
      </c>
      <c r="G1725" s="19">
        <v>6</v>
      </c>
      <c r="H1725" s="13">
        <v>81588</v>
      </c>
      <c r="I1725" s="13" t="str">
        <f t="shared" si="129"/>
        <v>DISNEY</v>
      </c>
      <c r="J1725" s="13">
        <v>45920147</v>
      </c>
      <c r="K1725" s="13" t="s">
        <v>2010</v>
      </c>
      <c r="L1725" s="13" t="s">
        <v>2013</v>
      </c>
      <c r="M1725" s="17">
        <v>139900</v>
      </c>
      <c r="N1725" s="15">
        <v>0.75</v>
      </c>
      <c r="O1725" s="16">
        <f t="shared" si="125"/>
        <v>34975</v>
      </c>
      <c r="P1725" s="11" t="s">
        <v>20</v>
      </c>
    </row>
    <row r="1726" spans="1:16" x14ac:dyDescent="0.25">
      <c r="A1726" s="9" t="str">
        <f t="shared" si="130"/>
        <v>2024 ALL D75</v>
      </c>
      <c r="B1726" s="10">
        <f t="shared" si="130"/>
        <v>46104</v>
      </c>
      <c r="C1726" s="10">
        <v>46113</v>
      </c>
      <c r="D1726" s="19">
        <f t="shared" si="130"/>
        <v>3273</v>
      </c>
      <c r="E1726" s="19">
        <f t="shared" si="130"/>
        <v>336</v>
      </c>
      <c r="F1726" s="19">
        <f t="shared" si="130"/>
        <v>4</v>
      </c>
      <c r="G1726" s="19">
        <v>6</v>
      </c>
      <c r="H1726" s="13">
        <v>81588</v>
      </c>
      <c r="I1726" s="13" t="str">
        <f t="shared" si="129"/>
        <v>DISNEY</v>
      </c>
      <c r="J1726" s="13">
        <v>45920156</v>
      </c>
      <c r="K1726" s="13" t="s">
        <v>2010</v>
      </c>
      <c r="L1726" s="13" t="s">
        <v>2014</v>
      </c>
      <c r="M1726" s="17">
        <v>139900</v>
      </c>
      <c r="N1726" s="15">
        <v>0.75</v>
      </c>
      <c r="O1726" s="16">
        <f t="shared" si="125"/>
        <v>34975</v>
      </c>
      <c r="P1726" s="11" t="s">
        <v>20</v>
      </c>
    </row>
    <row r="1727" spans="1:16" x14ac:dyDescent="0.25">
      <c r="A1727" s="9" t="str">
        <f t="shared" si="130"/>
        <v>2024 ALL D75</v>
      </c>
      <c r="B1727" s="10">
        <f t="shared" si="130"/>
        <v>46104</v>
      </c>
      <c r="C1727" s="10">
        <v>46113</v>
      </c>
      <c r="D1727" s="19">
        <f t="shared" si="130"/>
        <v>3273</v>
      </c>
      <c r="E1727" s="19">
        <f t="shared" si="130"/>
        <v>336</v>
      </c>
      <c r="F1727" s="19">
        <f t="shared" si="130"/>
        <v>4</v>
      </c>
      <c r="G1727" s="19">
        <v>6</v>
      </c>
      <c r="H1727" s="13">
        <v>81588</v>
      </c>
      <c r="I1727" s="13" t="str">
        <f t="shared" si="129"/>
        <v>DISNEY</v>
      </c>
      <c r="J1727" s="13">
        <v>45920165</v>
      </c>
      <c r="K1727" s="13" t="s">
        <v>2010</v>
      </c>
      <c r="L1727" s="13" t="s">
        <v>2015</v>
      </c>
      <c r="M1727" s="17">
        <v>139900</v>
      </c>
      <c r="N1727" s="15">
        <v>0.75</v>
      </c>
      <c r="O1727" s="16">
        <f t="shared" si="125"/>
        <v>34975</v>
      </c>
      <c r="P1727" s="11" t="s">
        <v>20</v>
      </c>
    </row>
    <row r="1728" spans="1:16" x14ac:dyDescent="0.25">
      <c r="A1728" s="9" t="str">
        <f t="shared" si="130"/>
        <v>2024 ALL D75</v>
      </c>
      <c r="B1728" s="10">
        <f t="shared" si="130"/>
        <v>46104</v>
      </c>
      <c r="C1728" s="10">
        <v>46113</v>
      </c>
      <c r="D1728" s="19">
        <f t="shared" si="130"/>
        <v>3273</v>
      </c>
      <c r="E1728" s="19">
        <f t="shared" si="130"/>
        <v>336</v>
      </c>
      <c r="F1728" s="19">
        <f t="shared" si="130"/>
        <v>4</v>
      </c>
      <c r="G1728" s="19">
        <v>6</v>
      </c>
      <c r="H1728" s="13">
        <v>81588</v>
      </c>
      <c r="I1728" s="13" t="str">
        <f t="shared" si="129"/>
        <v>DISNEY</v>
      </c>
      <c r="J1728" s="13">
        <v>45920174</v>
      </c>
      <c r="K1728" s="13" t="s">
        <v>2010</v>
      </c>
      <c r="L1728" s="13" t="s">
        <v>2016</v>
      </c>
      <c r="M1728" s="17">
        <v>139900</v>
      </c>
      <c r="N1728" s="15">
        <v>0.75</v>
      </c>
      <c r="O1728" s="16">
        <f t="shared" si="125"/>
        <v>34975</v>
      </c>
      <c r="P1728" s="11" t="s">
        <v>20</v>
      </c>
    </row>
    <row r="1729" spans="1:16" x14ac:dyDescent="0.25">
      <c r="A1729" s="9" t="str">
        <f t="shared" si="130"/>
        <v>2024 ALL D75</v>
      </c>
      <c r="B1729" s="10">
        <f t="shared" si="130"/>
        <v>46104</v>
      </c>
      <c r="C1729" s="10">
        <v>46113</v>
      </c>
      <c r="D1729" s="19">
        <f t="shared" si="130"/>
        <v>3273</v>
      </c>
      <c r="E1729" s="19">
        <f t="shared" si="130"/>
        <v>336</v>
      </c>
      <c r="F1729" s="19">
        <f t="shared" si="130"/>
        <v>4</v>
      </c>
      <c r="G1729" s="19">
        <v>6</v>
      </c>
      <c r="H1729" s="13">
        <v>81588</v>
      </c>
      <c r="I1729" s="13" t="str">
        <f t="shared" si="129"/>
        <v>DISNEY</v>
      </c>
      <c r="J1729" s="13">
        <v>45920183</v>
      </c>
      <c r="K1729" s="13" t="s">
        <v>2010</v>
      </c>
      <c r="L1729" s="13" t="s">
        <v>2017</v>
      </c>
      <c r="M1729" s="17">
        <v>139900</v>
      </c>
      <c r="N1729" s="15">
        <v>0.75</v>
      </c>
      <c r="O1729" s="16">
        <f t="shared" si="125"/>
        <v>34975</v>
      </c>
      <c r="P1729" s="11" t="s">
        <v>20</v>
      </c>
    </row>
    <row r="1730" spans="1:16" x14ac:dyDescent="0.25">
      <c r="A1730" s="9" t="str">
        <f t="shared" si="130"/>
        <v>2024 ALL D75</v>
      </c>
      <c r="B1730" s="10">
        <f t="shared" si="130"/>
        <v>46104</v>
      </c>
      <c r="C1730" s="10">
        <v>46113</v>
      </c>
      <c r="D1730" s="19">
        <f t="shared" si="130"/>
        <v>3273</v>
      </c>
      <c r="E1730" s="19">
        <f t="shared" si="130"/>
        <v>336</v>
      </c>
      <c r="F1730" s="19">
        <f t="shared" si="130"/>
        <v>4</v>
      </c>
      <c r="G1730" s="19">
        <v>6</v>
      </c>
      <c r="H1730" s="13">
        <v>81588</v>
      </c>
      <c r="I1730" s="13" t="str">
        <f t="shared" si="129"/>
        <v>DISNEY</v>
      </c>
      <c r="J1730" s="13">
        <v>45920192</v>
      </c>
      <c r="K1730" s="13" t="s">
        <v>2010</v>
      </c>
      <c r="L1730" s="13" t="s">
        <v>2018</v>
      </c>
      <c r="M1730" s="17">
        <v>139900</v>
      </c>
      <c r="N1730" s="15">
        <v>0.75</v>
      </c>
      <c r="O1730" s="16">
        <f t="shared" ref="O1730:O1793" si="131">M1730*(1-N1730)</f>
        <v>34975</v>
      </c>
      <c r="P1730" s="11" t="s">
        <v>20</v>
      </c>
    </row>
    <row r="1731" spans="1:16" x14ac:dyDescent="0.25">
      <c r="A1731" s="9" t="str">
        <f t="shared" si="130"/>
        <v>2024 ALL D75</v>
      </c>
      <c r="B1731" s="10">
        <f t="shared" si="130"/>
        <v>46104</v>
      </c>
      <c r="C1731" s="10">
        <v>46113</v>
      </c>
      <c r="D1731" s="19">
        <f t="shared" si="130"/>
        <v>3273</v>
      </c>
      <c r="E1731" s="19">
        <f t="shared" si="130"/>
        <v>336</v>
      </c>
      <c r="F1731" s="19">
        <f t="shared" si="130"/>
        <v>4</v>
      </c>
      <c r="G1731" s="19">
        <v>6</v>
      </c>
      <c r="H1731" s="13">
        <v>81588</v>
      </c>
      <c r="I1731" s="13" t="str">
        <f t="shared" si="129"/>
        <v>DISNEY</v>
      </c>
      <c r="J1731" s="13">
        <v>45920209</v>
      </c>
      <c r="K1731" s="13" t="s">
        <v>2019</v>
      </c>
      <c r="L1731" s="13" t="s">
        <v>2020</v>
      </c>
      <c r="M1731" s="17">
        <v>139900</v>
      </c>
      <c r="N1731" s="15">
        <v>0.75</v>
      </c>
      <c r="O1731" s="16">
        <f t="shared" si="131"/>
        <v>34975</v>
      </c>
      <c r="P1731" s="11" t="s">
        <v>20</v>
      </c>
    </row>
    <row r="1732" spans="1:16" x14ac:dyDescent="0.25">
      <c r="A1732" s="9" t="str">
        <f t="shared" ref="A1732:F1747" si="132">A1731</f>
        <v>2024 ALL D75</v>
      </c>
      <c r="B1732" s="10">
        <f t="shared" si="132"/>
        <v>46104</v>
      </c>
      <c r="C1732" s="10">
        <v>46113</v>
      </c>
      <c r="D1732" s="19">
        <f t="shared" si="132"/>
        <v>3273</v>
      </c>
      <c r="E1732" s="19">
        <f t="shared" si="132"/>
        <v>336</v>
      </c>
      <c r="F1732" s="19">
        <f t="shared" si="132"/>
        <v>4</v>
      </c>
      <c r="G1732" s="19">
        <v>6</v>
      </c>
      <c r="H1732" s="13">
        <v>81588</v>
      </c>
      <c r="I1732" s="13" t="str">
        <f t="shared" si="129"/>
        <v>DISNEY</v>
      </c>
      <c r="J1732" s="13">
        <v>45920218</v>
      </c>
      <c r="K1732" s="13" t="s">
        <v>2019</v>
      </c>
      <c r="L1732" s="13" t="s">
        <v>2021</v>
      </c>
      <c r="M1732" s="17">
        <v>139900</v>
      </c>
      <c r="N1732" s="15">
        <v>0.75</v>
      </c>
      <c r="O1732" s="16">
        <f t="shared" si="131"/>
        <v>34975</v>
      </c>
      <c r="P1732" s="11" t="s">
        <v>20</v>
      </c>
    </row>
    <row r="1733" spans="1:16" x14ac:dyDescent="0.25">
      <c r="A1733" s="9" t="str">
        <f t="shared" si="132"/>
        <v>2024 ALL D75</v>
      </c>
      <c r="B1733" s="10">
        <f t="shared" si="132"/>
        <v>46104</v>
      </c>
      <c r="C1733" s="10">
        <v>46113</v>
      </c>
      <c r="D1733" s="19">
        <f t="shared" si="132"/>
        <v>3273</v>
      </c>
      <c r="E1733" s="19">
        <f t="shared" si="132"/>
        <v>336</v>
      </c>
      <c r="F1733" s="19">
        <f t="shared" si="132"/>
        <v>4</v>
      </c>
      <c r="G1733" s="19">
        <v>6</v>
      </c>
      <c r="H1733" s="13">
        <v>81588</v>
      </c>
      <c r="I1733" s="13" t="str">
        <f t="shared" si="129"/>
        <v>DISNEY</v>
      </c>
      <c r="J1733" s="13">
        <v>45920227</v>
      </c>
      <c r="K1733" s="13" t="s">
        <v>2019</v>
      </c>
      <c r="L1733" s="13" t="s">
        <v>2022</v>
      </c>
      <c r="M1733" s="17">
        <v>139900</v>
      </c>
      <c r="N1733" s="15">
        <v>0.75</v>
      </c>
      <c r="O1733" s="16">
        <f t="shared" si="131"/>
        <v>34975</v>
      </c>
      <c r="P1733" s="11" t="s">
        <v>20</v>
      </c>
    </row>
    <row r="1734" spans="1:16" x14ac:dyDescent="0.25">
      <c r="A1734" s="9" t="str">
        <f t="shared" si="132"/>
        <v>2024 ALL D75</v>
      </c>
      <c r="B1734" s="10">
        <f t="shared" si="132"/>
        <v>46104</v>
      </c>
      <c r="C1734" s="10">
        <v>46113</v>
      </c>
      <c r="D1734" s="19">
        <f t="shared" si="132"/>
        <v>3273</v>
      </c>
      <c r="E1734" s="19">
        <f t="shared" si="132"/>
        <v>336</v>
      </c>
      <c r="F1734" s="19">
        <f t="shared" si="132"/>
        <v>4</v>
      </c>
      <c r="G1734" s="19">
        <v>6</v>
      </c>
      <c r="H1734" s="13">
        <v>81588</v>
      </c>
      <c r="I1734" s="13" t="str">
        <f t="shared" si="129"/>
        <v>DISNEY</v>
      </c>
      <c r="J1734" s="13">
        <v>45920236</v>
      </c>
      <c r="K1734" s="13" t="s">
        <v>2019</v>
      </c>
      <c r="L1734" s="13" t="s">
        <v>2023</v>
      </c>
      <c r="M1734" s="17">
        <v>139900</v>
      </c>
      <c r="N1734" s="15">
        <v>0.75</v>
      </c>
      <c r="O1734" s="16">
        <f t="shared" si="131"/>
        <v>34975</v>
      </c>
      <c r="P1734" s="11" t="s">
        <v>20</v>
      </c>
    </row>
    <row r="1735" spans="1:16" x14ac:dyDescent="0.25">
      <c r="A1735" s="9" t="str">
        <f t="shared" si="132"/>
        <v>2024 ALL D75</v>
      </c>
      <c r="B1735" s="10">
        <f t="shared" si="132"/>
        <v>46104</v>
      </c>
      <c r="C1735" s="10">
        <v>46113</v>
      </c>
      <c r="D1735" s="19">
        <f t="shared" si="132"/>
        <v>3273</v>
      </c>
      <c r="E1735" s="19">
        <f t="shared" si="132"/>
        <v>336</v>
      </c>
      <c r="F1735" s="19">
        <f t="shared" si="132"/>
        <v>4</v>
      </c>
      <c r="G1735" s="19">
        <v>6</v>
      </c>
      <c r="H1735" s="13">
        <v>81588</v>
      </c>
      <c r="I1735" s="13" t="str">
        <f t="shared" si="129"/>
        <v>DISNEY</v>
      </c>
      <c r="J1735" s="13">
        <v>45920245</v>
      </c>
      <c r="K1735" s="13" t="s">
        <v>2019</v>
      </c>
      <c r="L1735" s="13" t="s">
        <v>2024</v>
      </c>
      <c r="M1735" s="17">
        <v>139900</v>
      </c>
      <c r="N1735" s="15">
        <v>0.75</v>
      </c>
      <c r="O1735" s="16">
        <f t="shared" si="131"/>
        <v>34975</v>
      </c>
      <c r="P1735" s="11" t="s">
        <v>20</v>
      </c>
    </row>
    <row r="1736" spans="1:16" x14ac:dyDescent="0.25">
      <c r="A1736" s="9" t="str">
        <f t="shared" si="132"/>
        <v>2024 ALL D75</v>
      </c>
      <c r="B1736" s="10">
        <f t="shared" si="132"/>
        <v>46104</v>
      </c>
      <c r="C1736" s="10">
        <v>46113</v>
      </c>
      <c r="D1736" s="19">
        <f t="shared" si="132"/>
        <v>3273</v>
      </c>
      <c r="E1736" s="19">
        <f t="shared" si="132"/>
        <v>336</v>
      </c>
      <c r="F1736" s="19">
        <f t="shared" si="132"/>
        <v>4</v>
      </c>
      <c r="G1736" s="19">
        <v>6</v>
      </c>
      <c r="H1736" s="13">
        <v>81588</v>
      </c>
      <c r="I1736" s="13" t="str">
        <f t="shared" si="129"/>
        <v>DISNEY</v>
      </c>
      <c r="J1736" s="13">
        <v>45920254</v>
      </c>
      <c r="K1736" s="13" t="s">
        <v>2019</v>
      </c>
      <c r="L1736" s="13" t="s">
        <v>2025</v>
      </c>
      <c r="M1736" s="17">
        <v>139900</v>
      </c>
      <c r="N1736" s="15">
        <v>0.75</v>
      </c>
      <c r="O1736" s="16">
        <f t="shared" si="131"/>
        <v>34975</v>
      </c>
      <c r="P1736" s="11" t="s">
        <v>20</v>
      </c>
    </row>
    <row r="1737" spans="1:16" x14ac:dyDescent="0.25">
      <c r="A1737" s="9" t="str">
        <f t="shared" si="132"/>
        <v>2024 ALL D75</v>
      </c>
      <c r="B1737" s="10">
        <f t="shared" si="132"/>
        <v>46104</v>
      </c>
      <c r="C1737" s="10">
        <v>46113</v>
      </c>
      <c r="D1737" s="19">
        <f t="shared" si="132"/>
        <v>3273</v>
      </c>
      <c r="E1737" s="19">
        <f t="shared" si="132"/>
        <v>336</v>
      </c>
      <c r="F1737" s="19">
        <f t="shared" si="132"/>
        <v>4</v>
      </c>
      <c r="G1737" s="19">
        <v>6</v>
      </c>
      <c r="H1737" s="13">
        <v>81574</v>
      </c>
      <c r="I1737" s="13" t="str">
        <f t="shared" si="129"/>
        <v>DISNEY</v>
      </c>
      <c r="J1737" s="13">
        <v>45920343</v>
      </c>
      <c r="K1737" s="13" t="s">
        <v>2026</v>
      </c>
      <c r="L1737" s="13" t="s">
        <v>2027</v>
      </c>
      <c r="M1737" s="17">
        <v>149900</v>
      </c>
      <c r="N1737" s="15">
        <v>0.75</v>
      </c>
      <c r="O1737" s="16">
        <f t="shared" si="131"/>
        <v>37475</v>
      </c>
      <c r="P1737" s="11" t="s">
        <v>20</v>
      </c>
    </row>
    <row r="1738" spans="1:16" x14ac:dyDescent="0.25">
      <c r="A1738" s="9" t="str">
        <f t="shared" si="132"/>
        <v>2024 ALL D75</v>
      </c>
      <c r="B1738" s="10">
        <f t="shared" si="132"/>
        <v>46104</v>
      </c>
      <c r="C1738" s="10">
        <v>46113</v>
      </c>
      <c r="D1738" s="19">
        <f t="shared" si="132"/>
        <v>3273</v>
      </c>
      <c r="E1738" s="19">
        <f t="shared" si="132"/>
        <v>336</v>
      </c>
      <c r="F1738" s="19">
        <f t="shared" si="132"/>
        <v>4</v>
      </c>
      <c r="G1738" s="19">
        <v>6</v>
      </c>
      <c r="H1738" s="13">
        <v>81574</v>
      </c>
      <c r="I1738" s="13" t="str">
        <f t="shared" si="129"/>
        <v>DISNEY</v>
      </c>
      <c r="J1738" s="13">
        <v>45920352</v>
      </c>
      <c r="K1738" s="13" t="s">
        <v>2026</v>
      </c>
      <c r="L1738" s="13" t="s">
        <v>2028</v>
      </c>
      <c r="M1738" s="17">
        <v>149900</v>
      </c>
      <c r="N1738" s="15">
        <v>0.75</v>
      </c>
      <c r="O1738" s="16">
        <f t="shared" si="131"/>
        <v>37475</v>
      </c>
      <c r="P1738" s="11" t="s">
        <v>20</v>
      </c>
    </row>
    <row r="1739" spans="1:16" x14ac:dyDescent="0.25">
      <c r="A1739" s="9" t="str">
        <f t="shared" si="132"/>
        <v>2024 ALL D75</v>
      </c>
      <c r="B1739" s="10">
        <f t="shared" si="132"/>
        <v>46104</v>
      </c>
      <c r="C1739" s="10">
        <v>46113</v>
      </c>
      <c r="D1739" s="19">
        <f t="shared" si="132"/>
        <v>3273</v>
      </c>
      <c r="E1739" s="19">
        <f t="shared" si="132"/>
        <v>336</v>
      </c>
      <c r="F1739" s="19">
        <f t="shared" si="132"/>
        <v>4</v>
      </c>
      <c r="G1739" s="19">
        <v>6</v>
      </c>
      <c r="H1739" s="13">
        <v>81574</v>
      </c>
      <c r="I1739" s="13" t="str">
        <f t="shared" si="129"/>
        <v>DISNEY</v>
      </c>
      <c r="J1739" s="13">
        <v>45920361</v>
      </c>
      <c r="K1739" s="13" t="s">
        <v>2026</v>
      </c>
      <c r="L1739" s="13" t="s">
        <v>2029</v>
      </c>
      <c r="M1739" s="17">
        <v>149900</v>
      </c>
      <c r="N1739" s="15">
        <v>0.75</v>
      </c>
      <c r="O1739" s="16">
        <f t="shared" si="131"/>
        <v>37475</v>
      </c>
      <c r="P1739" s="11" t="s">
        <v>20</v>
      </c>
    </row>
    <row r="1740" spans="1:16" x14ac:dyDescent="0.25">
      <c r="A1740" s="9" t="str">
        <f t="shared" si="132"/>
        <v>2024 ALL D75</v>
      </c>
      <c r="B1740" s="10">
        <f t="shared" si="132"/>
        <v>46104</v>
      </c>
      <c r="C1740" s="10">
        <v>46113</v>
      </c>
      <c r="D1740" s="19">
        <f t="shared" si="132"/>
        <v>3273</v>
      </c>
      <c r="E1740" s="19">
        <f t="shared" si="132"/>
        <v>336</v>
      </c>
      <c r="F1740" s="19">
        <f t="shared" si="132"/>
        <v>4</v>
      </c>
      <c r="G1740" s="19">
        <v>6</v>
      </c>
      <c r="H1740" s="13">
        <v>81574</v>
      </c>
      <c r="I1740" s="13" t="str">
        <f t="shared" si="129"/>
        <v>DISNEY</v>
      </c>
      <c r="J1740" s="13">
        <v>45920370</v>
      </c>
      <c r="K1740" s="13" t="s">
        <v>2026</v>
      </c>
      <c r="L1740" s="13" t="s">
        <v>2030</v>
      </c>
      <c r="M1740" s="17">
        <v>149900</v>
      </c>
      <c r="N1740" s="15">
        <v>0.75</v>
      </c>
      <c r="O1740" s="16">
        <f t="shared" si="131"/>
        <v>37475</v>
      </c>
      <c r="P1740" s="11" t="s">
        <v>20</v>
      </c>
    </row>
    <row r="1741" spans="1:16" x14ac:dyDescent="0.25">
      <c r="A1741" s="9" t="str">
        <f t="shared" si="132"/>
        <v>2024 ALL D75</v>
      </c>
      <c r="B1741" s="10">
        <f t="shared" si="132"/>
        <v>46104</v>
      </c>
      <c r="C1741" s="10">
        <v>46113</v>
      </c>
      <c r="D1741" s="19">
        <f t="shared" si="132"/>
        <v>3273</v>
      </c>
      <c r="E1741" s="19">
        <f t="shared" si="132"/>
        <v>336</v>
      </c>
      <c r="F1741" s="19">
        <f t="shared" si="132"/>
        <v>4</v>
      </c>
      <c r="G1741" s="19">
        <v>6</v>
      </c>
      <c r="H1741" s="13">
        <v>81574</v>
      </c>
      <c r="I1741" s="13" t="str">
        <f t="shared" si="129"/>
        <v>DISNEY</v>
      </c>
      <c r="J1741" s="13">
        <v>45920389</v>
      </c>
      <c r="K1741" s="13" t="s">
        <v>2026</v>
      </c>
      <c r="L1741" s="13" t="s">
        <v>2031</v>
      </c>
      <c r="M1741" s="17">
        <v>149900</v>
      </c>
      <c r="N1741" s="15">
        <v>0.75</v>
      </c>
      <c r="O1741" s="16">
        <f t="shared" si="131"/>
        <v>37475</v>
      </c>
      <c r="P1741" s="11" t="s">
        <v>20</v>
      </c>
    </row>
    <row r="1742" spans="1:16" x14ac:dyDescent="0.25">
      <c r="A1742" s="9" t="str">
        <f t="shared" si="132"/>
        <v>2024 ALL D75</v>
      </c>
      <c r="B1742" s="10">
        <f t="shared" si="132"/>
        <v>46104</v>
      </c>
      <c r="C1742" s="10">
        <v>46113</v>
      </c>
      <c r="D1742" s="19">
        <f t="shared" si="132"/>
        <v>3273</v>
      </c>
      <c r="E1742" s="19">
        <f t="shared" si="132"/>
        <v>336</v>
      </c>
      <c r="F1742" s="19">
        <f t="shared" si="132"/>
        <v>4</v>
      </c>
      <c r="G1742" s="19">
        <v>6</v>
      </c>
      <c r="H1742" s="13">
        <v>81574</v>
      </c>
      <c r="I1742" s="13" t="str">
        <f t="shared" si="129"/>
        <v>DISNEY</v>
      </c>
      <c r="J1742" s="13">
        <v>45920398</v>
      </c>
      <c r="K1742" s="13" t="s">
        <v>2026</v>
      </c>
      <c r="L1742" s="13" t="s">
        <v>2032</v>
      </c>
      <c r="M1742" s="17">
        <v>149900</v>
      </c>
      <c r="N1742" s="15">
        <v>0.75</v>
      </c>
      <c r="O1742" s="16">
        <f t="shared" si="131"/>
        <v>37475</v>
      </c>
      <c r="P1742" s="11" t="s">
        <v>20</v>
      </c>
    </row>
    <row r="1743" spans="1:16" x14ac:dyDescent="0.25">
      <c r="A1743" s="9" t="str">
        <f t="shared" si="132"/>
        <v>2024 ALL D75</v>
      </c>
      <c r="B1743" s="10">
        <f t="shared" si="132"/>
        <v>46104</v>
      </c>
      <c r="C1743" s="10">
        <v>46113</v>
      </c>
      <c r="D1743" s="19">
        <f t="shared" si="132"/>
        <v>3273</v>
      </c>
      <c r="E1743" s="19">
        <f t="shared" si="132"/>
        <v>336</v>
      </c>
      <c r="F1743" s="19">
        <f t="shared" si="132"/>
        <v>4</v>
      </c>
      <c r="G1743" s="19">
        <v>6</v>
      </c>
      <c r="H1743" s="13">
        <v>81574</v>
      </c>
      <c r="I1743" s="13" t="str">
        <f t="shared" si="129"/>
        <v>DISNEY</v>
      </c>
      <c r="J1743" s="13">
        <v>45920405</v>
      </c>
      <c r="K1743" s="13" t="s">
        <v>2026</v>
      </c>
      <c r="L1743" s="13" t="s">
        <v>2033</v>
      </c>
      <c r="M1743" s="17">
        <v>149900</v>
      </c>
      <c r="N1743" s="15">
        <v>0.75</v>
      </c>
      <c r="O1743" s="16">
        <f t="shared" si="131"/>
        <v>37475</v>
      </c>
      <c r="P1743" s="11" t="s">
        <v>20</v>
      </c>
    </row>
    <row r="1744" spans="1:16" x14ac:dyDescent="0.25">
      <c r="A1744" s="9" t="str">
        <f t="shared" si="132"/>
        <v>2024 ALL D75</v>
      </c>
      <c r="B1744" s="10">
        <f t="shared" si="132"/>
        <v>46104</v>
      </c>
      <c r="C1744" s="10">
        <v>46113</v>
      </c>
      <c r="D1744" s="19">
        <f t="shared" si="132"/>
        <v>3273</v>
      </c>
      <c r="E1744" s="19">
        <f t="shared" si="132"/>
        <v>336</v>
      </c>
      <c r="F1744" s="19">
        <f t="shared" si="132"/>
        <v>4</v>
      </c>
      <c r="G1744" s="19">
        <v>6</v>
      </c>
      <c r="H1744" s="13">
        <v>81574</v>
      </c>
      <c r="I1744" s="13" t="str">
        <f t="shared" si="129"/>
        <v>DISNEY</v>
      </c>
      <c r="J1744" s="13">
        <v>45920414</v>
      </c>
      <c r="K1744" s="13" t="s">
        <v>2026</v>
      </c>
      <c r="L1744" s="13" t="s">
        <v>2034</v>
      </c>
      <c r="M1744" s="17">
        <v>149900</v>
      </c>
      <c r="N1744" s="15">
        <v>0.75</v>
      </c>
      <c r="O1744" s="16">
        <f t="shared" si="131"/>
        <v>37475</v>
      </c>
      <c r="P1744" s="11" t="s">
        <v>20</v>
      </c>
    </row>
    <row r="1745" spans="1:16" x14ac:dyDescent="0.25">
      <c r="A1745" s="9" t="str">
        <f t="shared" si="132"/>
        <v>2024 ALL D75</v>
      </c>
      <c r="B1745" s="10">
        <f t="shared" si="132"/>
        <v>46104</v>
      </c>
      <c r="C1745" s="10">
        <v>46113</v>
      </c>
      <c r="D1745" s="19">
        <f t="shared" si="132"/>
        <v>3273</v>
      </c>
      <c r="E1745" s="19">
        <f t="shared" si="132"/>
        <v>336</v>
      </c>
      <c r="F1745" s="19">
        <f t="shared" si="132"/>
        <v>4</v>
      </c>
      <c r="G1745" s="19">
        <v>6</v>
      </c>
      <c r="H1745" s="13">
        <v>81574</v>
      </c>
      <c r="I1745" s="13" t="str">
        <f t="shared" si="129"/>
        <v>DISNEY</v>
      </c>
      <c r="J1745" s="13">
        <v>45920423</v>
      </c>
      <c r="K1745" s="13" t="s">
        <v>2035</v>
      </c>
      <c r="L1745" s="13" t="s">
        <v>2036</v>
      </c>
      <c r="M1745" s="17">
        <v>149900</v>
      </c>
      <c r="N1745" s="15">
        <v>0.75</v>
      </c>
      <c r="O1745" s="16">
        <f t="shared" si="131"/>
        <v>37475</v>
      </c>
      <c r="P1745" s="11" t="s">
        <v>20</v>
      </c>
    </row>
    <row r="1746" spans="1:16" x14ac:dyDescent="0.25">
      <c r="A1746" s="9" t="str">
        <f t="shared" si="132"/>
        <v>2024 ALL D75</v>
      </c>
      <c r="B1746" s="10">
        <f t="shared" si="132"/>
        <v>46104</v>
      </c>
      <c r="C1746" s="10">
        <v>46113</v>
      </c>
      <c r="D1746" s="19">
        <f t="shared" si="132"/>
        <v>3273</v>
      </c>
      <c r="E1746" s="19">
        <f t="shared" si="132"/>
        <v>336</v>
      </c>
      <c r="F1746" s="19">
        <f t="shared" si="132"/>
        <v>4</v>
      </c>
      <c r="G1746" s="19">
        <v>6</v>
      </c>
      <c r="H1746" s="13">
        <v>81574</v>
      </c>
      <c r="I1746" s="13" t="str">
        <f t="shared" si="129"/>
        <v>DISNEY</v>
      </c>
      <c r="J1746" s="13">
        <v>45920432</v>
      </c>
      <c r="K1746" s="13" t="s">
        <v>2035</v>
      </c>
      <c r="L1746" s="13" t="s">
        <v>2037</v>
      </c>
      <c r="M1746" s="17">
        <v>149900</v>
      </c>
      <c r="N1746" s="15">
        <v>0.75</v>
      </c>
      <c r="O1746" s="16">
        <f t="shared" si="131"/>
        <v>37475</v>
      </c>
      <c r="P1746" s="11" t="s">
        <v>20</v>
      </c>
    </row>
    <row r="1747" spans="1:16" x14ac:dyDescent="0.25">
      <c r="A1747" s="9" t="str">
        <f t="shared" si="132"/>
        <v>2024 ALL D75</v>
      </c>
      <c r="B1747" s="10">
        <f t="shared" si="132"/>
        <v>46104</v>
      </c>
      <c r="C1747" s="10">
        <v>46113</v>
      </c>
      <c r="D1747" s="19">
        <f t="shared" si="132"/>
        <v>3273</v>
      </c>
      <c r="E1747" s="19">
        <f t="shared" si="132"/>
        <v>336</v>
      </c>
      <c r="F1747" s="19">
        <f t="shared" si="132"/>
        <v>4</v>
      </c>
      <c r="G1747" s="19">
        <v>6</v>
      </c>
      <c r="H1747" s="13">
        <v>81574</v>
      </c>
      <c r="I1747" s="13" t="str">
        <f t="shared" si="129"/>
        <v>DISNEY</v>
      </c>
      <c r="J1747" s="13">
        <v>45920441</v>
      </c>
      <c r="K1747" s="13" t="s">
        <v>2035</v>
      </c>
      <c r="L1747" s="13" t="s">
        <v>2038</v>
      </c>
      <c r="M1747" s="17">
        <v>149900</v>
      </c>
      <c r="N1747" s="15">
        <v>0.75</v>
      </c>
      <c r="O1747" s="16">
        <f t="shared" si="131"/>
        <v>37475</v>
      </c>
      <c r="P1747" s="11" t="s">
        <v>20</v>
      </c>
    </row>
    <row r="1748" spans="1:16" x14ac:dyDescent="0.25">
      <c r="A1748" s="9" t="str">
        <f t="shared" ref="A1748:F1763" si="133">A1747</f>
        <v>2024 ALL D75</v>
      </c>
      <c r="B1748" s="10">
        <f t="shared" si="133"/>
        <v>46104</v>
      </c>
      <c r="C1748" s="10">
        <v>46113</v>
      </c>
      <c r="D1748" s="19">
        <f t="shared" si="133"/>
        <v>3273</v>
      </c>
      <c r="E1748" s="19">
        <f t="shared" si="133"/>
        <v>336</v>
      </c>
      <c r="F1748" s="19">
        <f t="shared" si="133"/>
        <v>4</v>
      </c>
      <c r="G1748" s="19">
        <v>6</v>
      </c>
      <c r="H1748" s="13">
        <v>81574</v>
      </c>
      <c r="I1748" s="13" t="str">
        <f t="shared" si="129"/>
        <v>DISNEY</v>
      </c>
      <c r="J1748" s="13">
        <v>45920450</v>
      </c>
      <c r="K1748" s="13" t="s">
        <v>2035</v>
      </c>
      <c r="L1748" s="13" t="s">
        <v>2039</v>
      </c>
      <c r="M1748" s="17">
        <v>149900</v>
      </c>
      <c r="N1748" s="15">
        <v>0.75</v>
      </c>
      <c r="O1748" s="16">
        <f t="shared" si="131"/>
        <v>37475</v>
      </c>
      <c r="P1748" s="11" t="s">
        <v>20</v>
      </c>
    </row>
    <row r="1749" spans="1:16" x14ac:dyDescent="0.25">
      <c r="A1749" s="9" t="str">
        <f t="shared" si="133"/>
        <v>2024 ALL D75</v>
      </c>
      <c r="B1749" s="10">
        <f t="shared" si="133"/>
        <v>46104</v>
      </c>
      <c r="C1749" s="10">
        <v>46113</v>
      </c>
      <c r="D1749" s="19">
        <f t="shared" si="133"/>
        <v>3273</v>
      </c>
      <c r="E1749" s="19">
        <f t="shared" si="133"/>
        <v>336</v>
      </c>
      <c r="F1749" s="19">
        <f t="shared" si="133"/>
        <v>4</v>
      </c>
      <c r="G1749" s="19">
        <v>6</v>
      </c>
      <c r="H1749" s="13">
        <v>81574</v>
      </c>
      <c r="I1749" s="13" t="str">
        <f t="shared" si="129"/>
        <v>DISNEY</v>
      </c>
      <c r="J1749" s="13">
        <v>45920469</v>
      </c>
      <c r="K1749" s="13" t="s">
        <v>2035</v>
      </c>
      <c r="L1749" s="13" t="s">
        <v>2040</v>
      </c>
      <c r="M1749" s="17">
        <v>149900</v>
      </c>
      <c r="N1749" s="15">
        <v>0.75</v>
      </c>
      <c r="O1749" s="16">
        <f t="shared" si="131"/>
        <v>37475</v>
      </c>
      <c r="P1749" s="11" t="s">
        <v>20</v>
      </c>
    </row>
    <row r="1750" spans="1:16" x14ac:dyDescent="0.25">
      <c r="A1750" s="9" t="str">
        <f t="shared" si="133"/>
        <v>2024 ALL D75</v>
      </c>
      <c r="B1750" s="10">
        <f t="shared" si="133"/>
        <v>46104</v>
      </c>
      <c r="C1750" s="10">
        <v>46113</v>
      </c>
      <c r="D1750" s="19">
        <f t="shared" si="133"/>
        <v>3273</v>
      </c>
      <c r="E1750" s="19">
        <f t="shared" si="133"/>
        <v>336</v>
      </c>
      <c r="F1750" s="19">
        <f t="shared" si="133"/>
        <v>4</v>
      </c>
      <c r="G1750" s="19">
        <v>6</v>
      </c>
      <c r="H1750" s="13">
        <v>81574</v>
      </c>
      <c r="I1750" s="13" t="str">
        <f t="shared" si="129"/>
        <v>DISNEY</v>
      </c>
      <c r="J1750" s="13">
        <v>45920478</v>
      </c>
      <c r="K1750" s="13" t="s">
        <v>2035</v>
      </c>
      <c r="L1750" s="13" t="s">
        <v>2041</v>
      </c>
      <c r="M1750" s="17">
        <v>149900</v>
      </c>
      <c r="N1750" s="15">
        <v>0.75</v>
      </c>
      <c r="O1750" s="16">
        <f t="shared" si="131"/>
        <v>37475</v>
      </c>
      <c r="P1750" s="11" t="s">
        <v>20</v>
      </c>
    </row>
    <row r="1751" spans="1:16" x14ac:dyDescent="0.25">
      <c r="A1751" s="9" t="str">
        <f t="shared" si="133"/>
        <v>2024 ALL D75</v>
      </c>
      <c r="B1751" s="10">
        <f t="shared" si="133"/>
        <v>46104</v>
      </c>
      <c r="C1751" s="10">
        <v>46113</v>
      </c>
      <c r="D1751" s="19">
        <f t="shared" si="133"/>
        <v>3273</v>
      </c>
      <c r="E1751" s="19">
        <f t="shared" si="133"/>
        <v>336</v>
      </c>
      <c r="F1751" s="19">
        <f t="shared" si="133"/>
        <v>4</v>
      </c>
      <c r="G1751" s="19">
        <v>6</v>
      </c>
      <c r="H1751" s="13">
        <v>81574</v>
      </c>
      <c r="I1751" s="13" t="str">
        <f t="shared" si="129"/>
        <v>DISNEY</v>
      </c>
      <c r="J1751" s="13">
        <v>45920487</v>
      </c>
      <c r="K1751" s="13" t="s">
        <v>2035</v>
      </c>
      <c r="L1751" s="13" t="s">
        <v>2042</v>
      </c>
      <c r="M1751" s="17">
        <v>149900</v>
      </c>
      <c r="N1751" s="15">
        <v>0.75</v>
      </c>
      <c r="O1751" s="16">
        <f t="shared" si="131"/>
        <v>37475</v>
      </c>
      <c r="P1751" s="11" t="s">
        <v>20</v>
      </c>
    </row>
    <row r="1752" spans="1:16" x14ac:dyDescent="0.25">
      <c r="A1752" s="9" t="str">
        <f t="shared" si="133"/>
        <v>2024 ALL D75</v>
      </c>
      <c r="B1752" s="10">
        <f t="shared" si="133"/>
        <v>46104</v>
      </c>
      <c r="C1752" s="10">
        <v>46113</v>
      </c>
      <c r="D1752" s="19">
        <f t="shared" si="133"/>
        <v>3273</v>
      </c>
      <c r="E1752" s="19">
        <f t="shared" si="133"/>
        <v>336</v>
      </c>
      <c r="F1752" s="19">
        <f t="shared" si="133"/>
        <v>4</v>
      </c>
      <c r="G1752" s="19">
        <v>6</v>
      </c>
      <c r="H1752" s="13">
        <v>81574</v>
      </c>
      <c r="I1752" s="13" t="str">
        <f t="shared" si="129"/>
        <v>DISNEY</v>
      </c>
      <c r="J1752" s="13">
        <v>45920496</v>
      </c>
      <c r="K1752" s="13" t="s">
        <v>2035</v>
      </c>
      <c r="L1752" s="13" t="s">
        <v>2043</v>
      </c>
      <c r="M1752" s="17">
        <v>149900</v>
      </c>
      <c r="N1752" s="15">
        <v>0.75</v>
      </c>
      <c r="O1752" s="16">
        <f t="shared" si="131"/>
        <v>37475</v>
      </c>
      <c r="P1752" s="11" t="s">
        <v>20</v>
      </c>
    </row>
    <row r="1753" spans="1:16" x14ac:dyDescent="0.25">
      <c r="A1753" s="9" t="str">
        <f t="shared" si="133"/>
        <v>2024 ALL D75</v>
      </c>
      <c r="B1753" s="10">
        <f t="shared" si="133"/>
        <v>46104</v>
      </c>
      <c r="C1753" s="10">
        <v>46113</v>
      </c>
      <c r="D1753" s="19">
        <f t="shared" si="133"/>
        <v>3273</v>
      </c>
      <c r="E1753" s="19">
        <f t="shared" si="133"/>
        <v>336</v>
      </c>
      <c r="F1753" s="19">
        <f t="shared" si="133"/>
        <v>4</v>
      </c>
      <c r="G1753" s="19">
        <v>6</v>
      </c>
      <c r="H1753" s="13">
        <v>81588</v>
      </c>
      <c r="I1753" s="13" t="str">
        <f t="shared" si="129"/>
        <v>DISNEY</v>
      </c>
      <c r="J1753" s="13">
        <v>45920521</v>
      </c>
      <c r="K1753" s="13" t="s">
        <v>2044</v>
      </c>
      <c r="L1753" s="13" t="s">
        <v>2045</v>
      </c>
      <c r="M1753" s="17">
        <v>149900</v>
      </c>
      <c r="N1753" s="15">
        <v>0.75</v>
      </c>
      <c r="O1753" s="16">
        <f t="shared" si="131"/>
        <v>37475</v>
      </c>
      <c r="P1753" s="11" t="s">
        <v>20</v>
      </c>
    </row>
    <row r="1754" spans="1:16" x14ac:dyDescent="0.25">
      <c r="A1754" s="9" t="str">
        <f t="shared" si="133"/>
        <v>2024 ALL D75</v>
      </c>
      <c r="B1754" s="10">
        <f t="shared" si="133"/>
        <v>46104</v>
      </c>
      <c r="C1754" s="10">
        <v>46113</v>
      </c>
      <c r="D1754" s="19">
        <f t="shared" si="133"/>
        <v>3273</v>
      </c>
      <c r="E1754" s="19">
        <f t="shared" si="133"/>
        <v>336</v>
      </c>
      <c r="F1754" s="19">
        <f t="shared" si="133"/>
        <v>4</v>
      </c>
      <c r="G1754" s="19">
        <v>6</v>
      </c>
      <c r="H1754" s="13">
        <v>81588</v>
      </c>
      <c r="I1754" s="13" t="str">
        <f t="shared" si="129"/>
        <v>DISNEY</v>
      </c>
      <c r="J1754" s="13">
        <v>45920530</v>
      </c>
      <c r="K1754" s="13" t="s">
        <v>2044</v>
      </c>
      <c r="L1754" s="13" t="s">
        <v>2046</v>
      </c>
      <c r="M1754" s="17">
        <v>149900</v>
      </c>
      <c r="N1754" s="15">
        <v>0.75</v>
      </c>
      <c r="O1754" s="16">
        <f t="shared" si="131"/>
        <v>37475</v>
      </c>
      <c r="P1754" s="11" t="s">
        <v>20</v>
      </c>
    </row>
    <row r="1755" spans="1:16" x14ac:dyDescent="0.25">
      <c r="A1755" s="9" t="str">
        <f t="shared" si="133"/>
        <v>2024 ALL D75</v>
      </c>
      <c r="B1755" s="10">
        <f t="shared" si="133"/>
        <v>46104</v>
      </c>
      <c r="C1755" s="10">
        <v>46113</v>
      </c>
      <c r="D1755" s="19">
        <f t="shared" si="133"/>
        <v>3273</v>
      </c>
      <c r="E1755" s="19">
        <f t="shared" si="133"/>
        <v>336</v>
      </c>
      <c r="F1755" s="19">
        <f t="shared" si="133"/>
        <v>4</v>
      </c>
      <c r="G1755" s="19">
        <v>6</v>
      </c>
      <c r="H1755" s="13">
        <v>81588</v>
      </c>
      <c r="I1755" s="13" t="str">
        <f t="shared" si="129"/>
        <v>DISNEY</v>
      </c>
      <c r="J1755" s="13">
        <v>45920549</v>
      </c>
      <c r="K1755" s="13" t="s">
        <v>2044</v>
      </c>
      <c r="L1755" s="13" t="s">
        <v>2047</v>
      </c>
      <c r="M1755" s="17">
        <v>149900</v>
      </c>
      <c r="N1755" s="15">
        <v>0.75</v>
      </c>
      <c r="O1755" s="16">
        <f t="shared" si="131"/>
        <v>37475</v>
      </c>
      <c r="P1755" s="11" t="s">
        <v>20</v>
      </c>
    </row>
    <row r="1756" spans="1:16" x14ac:dyDescent="0.25">
      <c r="A1756" s="9" t="str">
        <f t="shared" si="133"/>
        <v>2024 ALL D75</v>
      </c>
      <c r="B1756" s="10">
        <f t="shared" si="133"/>
        <v>46104</v>
      </c>
      <c r="C1756" s="10">
        <v>46113</v>
      </c>
      <c r="D1756" s="19">
        <f t="shared" si="133"/>
        <v>3273</v>
      </c>
      <c r="E1756" s="19">
        <f t="shared" si="133"/>
        <v>336</v>
      </c>
      <c r="F1756" s="19">
        <f t="shared" si="133"/>
        <v>4</v>
      </c>
      <c r="G1756" s="19">
        <v>6</v>
      </c>
      <c r="H1756" s="13">
        <v>81588</v>
      </c>
      <c r="I1756" s="13" t="str">
        <f t="shared" si="129"/>
        <v>DISNEY</v>
      </c>
      <c r="J1756" s="13">
        <v>45920558</v>
      </c>
      <c r="K1756" s="13" t="s">
        <v>2044</v>
      </c>
      <c r="L1756" s="13" t="s">
        <v>2048</v>
      </c>
      <c r="M1756" s="17">
        <v>149900</v>
      </c>
      <c r="N1756" s="15">
        <v>0.75</v>
      </c>
      <c r="O1756" s="16">
        <f t="shared" si="131"/>
        <v>37475</v>
      </c>
      <c r="P1756" s="11" t="s">
        <v>20</v>
      </c>
    </row>
    <row r="1757" spans="1:16" x14ac:dyDescent="0.25">
      <c r="A1757" s="9" t="str">
        <f t="shared" si="133"/>
        <v>2024 ALL D75</v>
      </c>
      <c r="B1757" s="10">
        <f t="shared" si="133"/>
        <v>46104</v>
      </c>
      <c r="C1757" s="10">
        <v>46113</v>
      </c>
      <c r="D1757" s="19">
        <f t="shared" si="133"/>
        <v>3273</v>
      </c>
      <c r="E1757" s="19">
        <f t="shared" si="133"/>
        <v>336</v>
      </c>
      <c r="F1757" s="19">
        <f t="shared" si="133"/>
        <v>4</v>
      </c>
      <c r="G1757" s="19">
        <v>6</v>
      </c>
      <c r="H1757" s="13">
        <v>81588</v>
      </c>
      <c r="I1757" s="13" t="str">
        <f t="shared" si="129"/>
        <v>DISNEY</v>
      </c>
      <c r="J1757" s="13">
        <v>45920567</v>
      </c>
      <c r="K1757" s="13" t="s">
        <v>2044</v>
      </c>
      <c r="L1757" s="13" t="s">
        <v>2049</v>
      </c>
      <c r="M1757" s="17">
        <v>149900</v>
      </c>
      <c r="N1757" s="15">
        <v>0.75</v>
      </c>
      <c r="O1757" s="16">
        <f t="shared" si="131"/>
        <v>37475</v>
      </c>
      <c r="P1757" s="11" t="s">
        <v>20</v>
      </c>
    </row>
    <row r="1758" spans="1:16" x14ac:dyDescent="0.25">
      <c r="A1758" s="9" t="str">
        <f t="shared" si="133"/>
        <v>2024 ALL D75</v>
      </c>
      <c r="B1758" s="10">
        <f t="shared" si="133"/>
        <v>46104</v>
      </c>
      <c r="C1758" s="10">
        <v>46113</v>
      </c>
      <c r="D1758" s="19">
        <f t="shared" si="133"/>
        <v>3273</v>
      </c>
      <c r="E1758" s="19">
        <f t="shared" si="133"/>
        <v>336</v>
      </c>
      <c r="F1758" s="19">
        <f t="shared" si="133"/>
        <v>4</v>
      </c>
      <c r="G1758" s="19">
        <v>6</v>
      </c>
      <c r="H1758" s="13">
        <v>81588</v>
      </c>
      <c r="I1758" s="13" t="str">
        <f t="shared" si="129"/>
        <v>DISNEY</v>
      </c>
      <c r="J1758" s="13">
        <v>45920576</v>
      </c>
      <c r="K1758" s="13" t="s">
        <v>2044</v>
      </c>
      <c r="L1758" s="13" t="s">
        <v>2050</v>
      </c>
      <c r="M1758" s="17">
        <v>149900</v>
      </c>
      <c r="N1758" s="15">
        <v>0.75</v>
      </c>
      <c r="O1758" s="16">
        <f t="shared" si="131"/>
        <v>37475</v>
      </c>
      <c r="P1758" s="11" t="s">
        <v>20</v>
      </c>
    </row>
    <row r="1759" spans="1:16" x14ac:dyDescent="0.25">
      <c r="A1759" s="9" t="str">
        <f t="shared" si="133"/>
        <v>2024 ALL D75</v>
      </c>
      <c r="B1759" s="10">
        <f t="shared" si="133"/>
        <v>46104</v>
      </c>
      <c r="C1759" s="10">
        <v>46113</v>
      </c>
      <c r="D1759" s="19">
        <f t="shared" si="133"/>
        <v>3273</v>
      </c>
      <c r="E1759" s="19">
        <f t="shared" si="133"/>
        <v>336</v>
      </c>
      <c r="F1759" s="19">
        <f t="shared" si="133"/>
        <v>4</v>
      </c>
      <c r="G1759" s="19">
        <v>6</v>
      </c>
      <c r="H1759" s="13">
        <v>81588</v>
      </c>
      <c r="I1759" s="13" t="str">
        <f t="shared" si="129"/>
        <v>DISNEY</v>
      </c>
      <c r="J1759" s="13">
        <v>45920585</v>
      </c>
      <c r="K1759" s="13" t="s">
        <v>2044</v>
      </c>
      <c r="L1759" s="13" t="s">
        <v>2051</v>
      </c>
      <c r="M1759" s="17">
        <v>149900</v>
      </c>
      <c r="N1759" s="15">
        <v>0.75</v>
      </c>
      <c r="O1759" s="16">
        <f t="shared" si="131"/>
        <v>37475</v>
      </c>
      <c r="P1759" s="11" t="s">
        <v>20</v>
      </c>
    </row>
    <row r="1760" spans="1:16" x14ac:dyDescent="0.25">
      <c r="A1760" s="9" t="str">
        <f t="shared" si="133"/>
        <v>2024 ALL D75</v>
      </c>
      <c r="B1760" s="10">
        <f t="shared" si="133"/>
        <v>46104</v>
      </c>
      <c r="C1760" s="10">
        <v>46113</v>
      </c>
      <c r="D1760" s="19">
        <f t="shared" si="133"/>
        <v>3273</v>
      </c>
      <c r="E1760" s="19">
        <f t="shared" si="133"/>
        <v>336</v>
      </c>
      <c r="F1760" s="19">
        <f t="shared" si="133"/>
        <v>4</v>
      </c>
      <c r="G1760" s="19">
        <v>6</v>
      </c>
      <c r="H1760" s="13">
        <v>81588</v>
      </c>
      <c r="I1760" s="13" t="str">
        <f t="shared" si="129"/>
        <v>DISNEY</v>
      </c>
      <c r="J1760" s="13">
        <v>45920594</v>
      </c>
      <c r="K1760" s="13" t="s">
        <v>2044</v>
      </c>
      <c r="L1760" s="13" t="s">
        <v>2052</v>
      </c>
      <c r="M1760" s="17">
        <v>149900</v>
      </c>
      <c r="N1760" s="15">
        <v>0.75</v>
      </c>
      <c r="O1760" s="16">
        <f t="shared" si="131"/>
        <v>37475</v>
      </c>
      <c r="P1760" s="11" t="s">
        <v>20</v>
      </c>
    </row>
    <row r="1761" spans="1:16" x14ac:dyDescent="0.25">
      <c r="A1761" s="9" t="str">
        <f t="shared" si="133"/>
        <v>2024 ALL D75</v>
      </c>
      <c r="B1761" s="10">
        <f t="shared" si="133"/>
        <v>46104</v>
      </c>
      <c r="C1761" s="10">
        <v>46113</v>
      </c>
      <c r="D1761" s="19">
        <f t="shared" si="133"/>
        <v>3273</v>
      </c>
      <c r="E1761" s="19">
        <f t="shared" si="133"/>
        <v>336</v>
      </c>
      <c r="F1761" s="19">
        <f t="shared" si="133"/>
        <v>4</v>
      </c>
      <c r="G1761" s="19">
        <v>6</v>
      </c>
      <c r="H1761" s="13">
        <v>81588</v>
      </c>
      <c r="I1761" s="13" t="str">
        <f t="shared" si="129"/>
        <v>DISNEY</v>
      </c>
      <c r="J1761" s="13">
        <v>45920763</v>
      </c>
      <c r="K1761" s="13" t="s">
        <v>2053</v>
      </c>
      <c r="L1761" s="13" t="s">
        <v>2054</v>
      </c>
      <c r="M1761" s="17">
        <v>149900</v>
      </c>
      <c r="N1761" s="15">
        <v>0.75</v>
      </c>
      <c r="O1761" s="16">
        <f t="shared" si="131"/>
        <v>37475</v>
      </c>
      <c r="P1761" s="11" t="s">
        <v>20</v>
      </c>
    </row>
    <row r="1762" spans="1:16" x14ac:dyDescent="0.25">
      <c r="A1762" s="9" t="str">
        <f t="shared" si="133"/>
        <v>2024 ALL D75</v>
      </c>
      <c r="B1762" s="10">
        <f t="shared" si="133"/>
        <v>46104</v>
      </c>
      <c r="C1762" s="10">
        <v>46113</v>
      </c>
      <c r="D1762" s="19">
        <f t="shared" si="133"/>
        <v>3273</v>
      </c>
      <c r="E1762" s="19">
        <f t="shared" si="133"/>
        <v>336</v>
      </c>
      <c r="F1762" s="19">
        <f t="shared" si="133"/>
        <v>4</v>
      </c>
      <c r="G1762" s="19">
        <v>6</v>
      </c>
      <c r="H1762" s="13">
        <v>81588</v>
      </c>
      <c r="I1762" s="13" t="str">
        <f t="shared" si="129"/>
        <v>DISNEY</v>
      </c>
      <c r="J1762" s="13">
        <v>45920772</v>
      </c>
      <c r="K1762" s="13" t="s">
        <v>2053</v>
      </c>
      <c r="L1762" s="13" t="s">
        <v>2055</v>
      </c>
      <c r="M1762" s="17">
        <v>149900</v>
      </c>
      <c r="N1762" s="15">
        <v>0.75</v>
      </c>
      <c r="O1762" s="16">
        <f t="shared" si="131"/>
        <v>37475</v>
      </c>
      <c r="P1762" s="11" t="s">
        <v>20</v>
      </c>
    </row>
    <row r="1763" spans="1:16" x14ac:dyDescent="0.25">
      <c r="A1763" s="9" t="str">
        <f t="shared" si="133"/>
        <v>2024 ALL D75</v>
      </c>
      <c r="B1763" s="10">
        <f t="shared" si="133"/>
        <v>46104</v>
      </c>
      <c r="C1763" s="10">
        <v>46113</v>
      </c>
      <c r="D1763" s="19">
        <f t="shared" si="133"/>
        <v>3273</v>
      </c>
      <c r="E1763" s="19">
        <f t="shared" si="133"/>
        <v>336</v>
      </c>
      <c r="F1763" s="19">
        <f t="shared" si="133"/>
        <v>4</v>
      </c>
      <c r="G1763" s="19">
        <v>6</v>
      </c>
      <c r="H1763" s="13">
        <v>81588</v>
      </c>
      <c r="I1763" s="13" t="str">
        <f t="shared" si="129"/>
        <v>DISNEY</v>
      </c>
      <c r="J1763" s="13">
        <v>45920781</v>
      </c>
      <c r="K1763" s="13" t="s">
        <v>2053</v>
      </c>
      <c r="L1763" s="13" t="s">
        <v>2056</v>
      </c>
      <c r="M1763" s="17">
        <v>149900</v>
      </c>
      <c r="N1763" s="15">
        <v>0.75</v>
      </c>
      <c r="O1763" s="16">
        <f t="shared" si="131"/>
        <v>37475</v>
      </c>
      <c r="P1763" s="11" t="s">
        <v>20</v>
      </c>
    </row>
    <row r="1764" spans="1:16" x14ac:dyDescent="0.25">
      <c r="A1764" s="9" t="str">
        <f t="shared" ref="A1764:F1779" si="134">A1763</f>
        <v>2024 ALL D75</v>
      </c>
      <c r="B1764" s="10">
        <f t="shared" si="134"/>
        <v>46104</v>
      </c>
      <c r="C1764" s="10">
        <v>46113</v>
      </c>
      <c r="D1764" s="19">
        <f t="shared" si="134"/>
        <v>3273</v>
      </c>
      <c r="E1764" s="19">
        <f t="shared" si="134"/>
        <v>336</v>
      </c>
      <c r="F1764" s="19">
        <f t="shared" si="134"/>
        <v>4</v>
      </c>
      <c r="G1764" s="19">
        <v>6</v>
      </c>
      <c r="H1764" s="13">
        <v>81588</v>
      </c>
      <c r="I1764" s="13" t="str">
        <f t="shared" si="129"/>
        <v>DISNEY</v>
      </c>
      <c r="J1764" s="13">
        <v>45920790</v>
      </c>
      <c r="K1764" s="13" t="s">
        <v>2053</v>
      </c>
      <c r="L1764" s="13" t="s">
        <v>2057</v>
      </c>
      <c r="M1764" s="17">
        <v>149900</v>
      </c>
      <c r="N1764" s="15">
        <v>0.75</v>
      </c>
      <c r="O1764" s="16">
        <f t="shared" si="131"/>
        <v>37475</v>
      </c>
      <c r="P1764" s="11" t="s">
        <v>20</v>
      </c>
    </row>
    <row r="1765" spans="1:16" x14ac:dyDescent="0.25">
      <c r="A1765" s="9" t="str">
        <f t="shared" si="134"/>
        <v>2024 ALL D75</v>
      </c>
      <c r="B1765" s="10">
        <f t="shared" si="134"/>
        <v>46104</v>
      </c>
      <c r="C1765" s="10">
        <v>46113</v>
      </c>
      <c r="D1765" s="19">
        <f t="shared" si="134"/>
        <v>3273</v>
      </c>
      <c r="E1765" s="19">
        <f t="shared" si="134"/>
        <v>336</v>
      </c>
      <c r="F1765" s="19">
        <f t="shared" si="134"/>
        <v>4</v>
      </c>
      <c r="G1765" s="19">
        <v>6</v>
      </c>
      <c r="H1765" s="13">
        <v>81588</v>
      </c>
      <c r="I1765" s="13" t="str">
        <f t="shared" si="129"/>
        <v>DISNEY</v>
      </c>
      <c r="J1765" s="13">
        <v>45920807</v>
      </c>
      <c r="K1765" s="13" t="s">
        <v>2053</v>
      </c>
      <c r="L1765" s="13" t="s">
        <v>2058</v>
      </c>
      <c r="M1765" s="17">
        <v>149900</v>
      </c>
      <c r="N1765" s="15">
        <v>0.75</v>
      </c>
      <c r="O1765" s="16">
        <f t="shared" si="131"/>
        <v>37475</v>
      </c>
      <c r="P1765" s="11" t="s">
        <v>20</v>
      </c>
    </row>
    <row r="1766" spans="1:16" x14ac:dyDescent="0.25">
      <c r="A1766" s="9" t="str">
        <f t="shared" si="134"/>
        <v>2024 ALL D75</v>
      </c>
      <c r="B1766" s="10">
        <f t="shared" si="134"/>
        <v>46104</v>
      </c>
      <c r="C1766" s="10">
        <v>46113</v>
      </c>
      <c r="D1766" s="19">
        <f t="shared" si="134"/>
        <v>3273</v>
      </c>
      <c r="E1766" s="19">
        <f t="shared" si="134"/>
        <v>336</v>
      </c>
      <c r="F1766" s="19">
        <f t="shared" si="134"/>
        <v>4</v>
      </c>
      <c r="G1766" s="19">
        <v>6</v>
      </c>
      <c r="H1766" s="13">
        <v>81588</v>
      </c>
      <c r="I1766" s="13" t="str">
        <f t="shared" si="129"/>
        <v>DISNEY</v>
      </c>
      <c r="J1766" s="13">
        <v>45920816</v>
      </c>
      <c r="K1766" s="13" t="s">
        <v>2053</v>
      </c>
      <c r="L1766" s="13" t="s">
        <v>2059</v>
      </c>
      <c r="M1766" s="17">
        <v>149900</v>
      </c>
      <c r="N1766" s="15">
        <v>0.75</v>
      </c>
      <c r="O1766" s="16">
        <f t="shared" si="131"/>
        <v>37475</v>
      </c>
      <c r="P1766" s="11" t="s">
        <v>20</v>
      </c>
    </row>
    <row r="1767" spans="1:16" x14ac:dyDescent="0.25">
      <c r="A1767" s="9" t="str">
        <f t="shared" si="134"/>
        <v>2024 ALL D75</v>
      </c>
      <c r="B1767" s="10">
        <f t="shared" si="134"/>
        <v>46104</v>
      </c>
      <c r="C1767" s="10">
        <v>46113</v>
      </c>
      <c r="D1767" s="19">
        <f t="shared" si="134"/>
        <v>3273</v>
      </c>
      <c r="E1767" s="19">
        <f t="shared" si="134"/>
        <v>336</v>
      </c>
      <c r="F1767" s="19">
        <f t="shared" si="134"/>
        <v>4</v>
      </c>
      <c r="G1767" s="19">
        <v>6</v>
      </c>
      <c r="H1767" s="13">
        <v>81588</v>
      </c>
      <c r="I1767" s="13" t="str">
        <f t="shared" si="129"/>
        <v>DISNEY</v>
      </c>
      <c r="J1767" s="13">
        <v>45920825</v>
      </c>
      <c r="K1767" s="13" t="s">
        <v>2053</v>
      </c>
      <c r="L1767" s="13" t="s">
        <v>2060</v>
      </c>
      <c r="M1767" s="17">
        <v>149900</v>
      </c>
      <c r="N1767" s="15">
        <v>0.75</v>
      </c>
      <c r="O1767" s="16">
        <f t="shared" si="131"/>
        <v>37475</v>
      </c>
      <c r="P1767" s="11" t="s">
        <v>20</v>
      </c>
    </row>
    <row r="1768" spans="1:16" x14ac:dyDescent="0.25">
      <c r="A1768" s="9" t="str">
        <f t="shared" si="134"/>
        <v>2024 ALL D75</v>
      </c>
      <c r="B1768" s="10">
        <f t="shared" si="134"/>
        <v>46104</v>
      </c>
      <c r="C1768" s="10">
        <v>46113</v>
      </c>
      <c r="D1768" s="19">
        <f t="shared" si="134"/>
        <v>3273</v>
      </c>
      <c r="E1768" s="19">
        <f t="shared" si="134"/>
        <v>336</v>
      </c>
      <c r="F1768" s="19">
        <f t="shared" si="134"/>
        <v>4</v>
      </c>
      <c r="G1768" s="19">
        <v>6</v>
      </c>
      <c r="H1768" s="13">
        <v>81588</v>
      </c>
      <c r="I1768" s="13" t="str">
        <f t="shared" si="129"/>
        <v>DISNEY</v>
      </c>
      <c r="J1768" s="13">
        <v>45920834</v>
      </c>
      <c r="K1768" s="13" t="s">
        <v>2053</v>
      </c>
      <c r="L1768" s="13" t="s">
        <v>2061</v>
      </c>
      <c r="M1768" s="17">
        <v>149900</v>
      </c>
      <c r="N1768" s="15">
        <v>0.75</v>
      </c>
      <c r="O1768" s="16">
        <f t="shared" si="131"/>
        <v>37475</v>
      </c>
      <c r="P1768" s="11" t="s">
        <v>20</v>
      </c>
    </row>
    <row r="1769" spans="1:16" x14ac:dyDescent="0.25">
      <c r="A1769" s="9" t="str">
        <f t="shared" si="134"/>
        <v>2024 ALL D75</v>
      </c>
      <c r="B1769" s="10">
        <f t="shared" si="134"/>
        <v>46104</v>
      </c>
      <c r="C1769" s="10">
        <v>46113</v>
      </c>
      <c r="D1769" s="19">
        <f t="shared" si="134"/>
        <v>3273</v>
      </c>
      <c r="E1769" s="19">
        <f t="shared" si="134"/>
        <v>336</v>
      </c>
      <c r="F1769" s="19">
        <f t="shared" si="134"/>
        <v>4</v>
      </c>
      <c r="G1769" s="19">
        <v>6</v>
      </c>
      <c r="H1769" s="13">
        <v>81588</v>
      </c>
      <c r="I1769" s="13" t="str">
        <f t="shared" si="129"/>
        <v>DISNEY</v>
      </c>
      <c r="J1769" s="13">
        <v>45920843</v>
      </c>
      <c r="K1769" s="13" t="s">
        <v>2062</v>
      </c>
      <c r="L1769" s="13" t="s">
        <v>2063</v>
      </c>
      <c r="M1769" s="17">
        <v>149900</v>
      </c>
      <c r="N1769" s="15">
        <v>0.75</v>
      </c>
      <c r="O1769" s="16">
        <f t="shared" si="131"/>
        <v>37475</v>
      </c>
      <c r="P1769" s="11" t="s">
        <v>20</v>
      </c>
    </row>
    <row r="1770" spans="1:16" x14ac:dyDescent="0.25">
      <c r="A1770" s="9" t="str">
        <f t="shared" si="134"/>
        <v>2024 ALL D75</v>
      </c>
      <c r="B1770" s="10">
        <f t="shared" si="134"/>
        <v>46104</v>
      </c>
      <c r="C1770" s="10">
        <v>46113</v>
      </c>
      <c r="D1770" s="19">
        <f t="shared" si="134"/>
        <v>3273</v>
      </c>
      <c r="E1770" s="19">
        <f t="shared" si="134"/>
        <v>336</v>
      </c>
      <c r="F1770" s="19">
        <f t="shared" si="134"/>
        <v>4</v>
      </c>
      <c r="G1770" s="19">
        <v>6</v>
      </c>
      <c r="H1770" s="13">
        <v>81588</v>
      </c>
      <c r="I1770" s="13" t="str">
        <f t="shared" si="129"/>
        <v>DISNEY</v>
      </c>
      <c r="J1770" s="13">
        <v>45920852</v>
      </c>
      <c r="K1770" s="13" t="s">
        <v>2062</v>
      </c>
      <c r="L1770" s="13" t="s">
        <v>2064</v>
      </c>
      <c r="M1770" s="17">
        <v>149900</v>
      </c>
      <c r="N1770" s="15">
        <v>0.75</v>
      </c>
      <c r="O1770" s="16">
        <f t="shared" si="131"/>
        <v>37475</v>
      </c>
      <c r="P1770" s="11" t="s">
        <v>20</v>
      </c>
    </row>
    <row r="1771" spans="1:16" x14ac:dyDescent="0.25">
      <c r="A1771" s="9" t="str">
        <f t="shared" si="134"/>
        <v>2024 ALL D75</v>
      </c>
      <c r="B1771" s="10">
        <f t="shared" si="134"/>
        <v>46104</v>
      </c>
      <c r="C1771" s="10">
        <v>46113</v>
      </c>
      <c r="D1771" s="19">
        <f t="shared" si="134"/>
        <v>3273</v>
      </c>
      <c r="E1771" s="19">
        <f t="shared" si="134"/>
        <v>336</v>
      </c>
      <c r="F1771" s="19">
        <f t="shared" si="134"/>
        <v>4</v>
      </c>
      <c r="G1771" s="19">
        <v>6</v>
      </c>
      <c r="H1771" s="13">
        <v>81588</v>
      </c>
      <c r="I1771" s="13" t="str">
        <f t="shared" si="129"/>
        <v>DISNEY</v>
      </c>
      <c r="J1771" s="13">
        <v>45920861</v>
      </c>
      <c r="K1771" s="13" t="s">
        <v>2062</v>
      </c>
      <c r="L1771" s="13" t="s">
        <v>2065</v>
      </c>
      <c r="M1771" s="17">
        <v>149900</v>
      </c>
      <c r="N1771" s="15">
        <v>0.75</v>
      </c>
      <c r="O1771" s="16">
        <f t="shared" si="131"/>
        <v>37475</v>
      </c>
      <c r="P1771" s="11" t="s">
        <v>20</v>
      </c>
    </row>
    <row r="1772" spans="1:16" x14ac:dyDescent="0.25">
      <c r="A1772" s="9" t="str">
        <f t="shared" si="134"/>
        <v>2024 ALL D75</v>
      </c>
      <c r="B1772" s="10">
        <f t="shared" si="134"/>
        <v>46104</v>
      </c>
      <c r="C1772" s="10">
        <v>46113</v>
      </c>
      <c r="D1772" s="19">
        <f t="shared" si="134"/>
        <v>3273</v>
      </c>
      <c r="E1772" s="19">
        <f t="shared" si="134"/>
        <v>336</v>
      </c>
      <c r="F1772" s="19">
        <f t="shared" si="134"/>
        <v>4</v>
      </c>
      <c r="G1772" s="19">
        <v>6</v>
      </c>
      <c r="H1772" s="13">
        <v>81588</v>
      </c>
      <c r="I1772" s="13" t="str">
        <f t="shared" si="129"/>
        <v>DISNEY</v>
      </c>
      <c r="J1772" s="13">
        <v>45920870</v>
      </c>
      <c r="K1772" s="13" t="s">
        <v>2062</v>
      </c>
      <c r="L1772" s="13" t="s">
        <v>2066</v>
      </c>
      <c r="M1772" s="17">
        <v>149900</v>
      </c>
      <c r="N1772" s="15">
        <v>0.75</v>
      </c>
      <c r="O1772" s="16">
        <f t="shared" si="131"/>
        <v>37475</v>
      </c>
      <c r="P1772" s="11" t="s">
        <v>20</v>
      </c>
    </row>
    <row r="1773" spans="1:16" x14ac:dyDescent="0.25">
      <c r="A1773" s="9" t="str">
        <f t="shared" si="134"/>
        <v>2024 ALL D75</v>
      </c>
      <c r="B1773" s="10">
        <f t="shared" si="134"/>
        <v>46104</v>
      </c>
      <c r="C1773" s="10">
        <v>46113</v>
      </c>
      <c r="D1773" s="19">
        <f t="shared" si="134"/>
        <v>3273</v>
      </c>
      <c r="E1773" s="19">
        <f t="shared" si="134"/>
        <v>336</v>
      </c>
      <c r="F1773" s="19">
        <f t="shared" si="134"/>
        <v>4</v>
      </c>
      <c r="G1773" s="19">
        <v>6</v>
      </c>
      <c r="H1773" s="13">
        <v>81588</v>
      </c>
      <c r="I1773" s="13" t="str">
        <f t="shared" si="129"/>
        <v>DISNEY</v>
      </c>
      <c r="J1773" s="13">
        <v>45920889</v>
      </c>
      <c r="K1773" s="13" t="s">
        <v>2062</v>
      </c>
      <c r="L1773" s="13" t="s">
        <v>2067</v>
      </c>
      <c r="M1773" s="17">
        <v>149900</v>
      </c>
      <c r="N1773" s="15">
        <v>0.75</v>
      </c>
      <c r="O1773" s="16">
        <f t="shared" si="131"/>
        <v>37475</v>
      </c>
      <c r="P1773" s="11" t="s">
        <v>20</v>
      </c>
    </row>
    <row r="1774" spans="1:16" x14ac:dyDescent="0.25">
      <c r="A1774" s="9" t="str">
        <f t="shared" si="134"/>
        <v>2024 ALL D75</v>
      </c>
      <c r="B1774" s="10">
        <f t="shared" si="134"/>
        <v>46104</v>
      </c>
      <c r="C1774" s="10">
        <v>46113</v>
      </c>
      <c r="D1774" s="19">
        <f t="shared" si="134"/>
        <v>3273</v>
      </c>
      <c r="E1774" s="19">
        <f t="shared" si="134"/>
        <v>336</v>
      </c>
      <c r="F1774" s="19">
        <f t="shared" si="134"/>
        <v>4</v>
      </c>
      <c r="G1774" s="19">
        <v>6</v>
      </c>
      <c r="H1774" s="13">
        <v>81588</v>
      </c>
      <c r="I1774" s="13" t="str">
        <f t="shared" si="129"/>
        <v>DISNEY</v>
      </c>
      <c r="J1774" s="13">
        <v>45920898</v>
      </c>
      <c r="K1774" s="13" t="s">
        <v>2062</v>
      </c>
      <c r="L1774" s="13" t="s">
        <v>2068</v>
      </c>
      <c r="M1774" s="17">
        <v>149900</v>
      </c>
      <c r="N1774" s="15">
        <v>0.75</v>
      </c>
      <c r="O1774" s="16">
        <f t="shared" si="131"/>
        <v>37475</v>
      </c>
      <c r="P1774" s="11" t="s">
        <v>20</v>
      </c>
    </row>
    <row r="1775" spans="1:16" x14ac:dyDescent="0.25">
      <c r="A1775" s="9" t="str">
        <f t="shared" si="134"/>
        <v>2024 ALL D75</v>
      </c>
      <c r="B1775" s="10">
        <f t="shared" si="134"/>
        <v>46104</v>
      </c>
      <c r="C1775" s="10">
        <v>46113</v>
      </c>
      <c r="D1775" s="19">
        <f t="shared" si="134"/>
        <v>3273</v>
      </c>
      <c r="E1775" s="19">
        <f t="shared" si="134"/>
        <v>336</v>
      </c>
      <c r="F1775" s="19">
        <f t="shared" si="134"/>
        <v>4</v>
      </c>
      <c r="G1775" s="19">
        <v>6</v>
      </c>
      <c r="H1775" s="13">
        <v>81588</v>
      </c>
      <c r="I1775" s="13" t="str">
        <f t="shared" si="129"/>
        <v>DISNEY</v>
      </c>
      <c r="J1775" s="13">
        <v>45920905</v>
      </c>
      <c r="K1775" s="13" t="s">
        <v>2062</v>
      </c>
      <c r="L1775" s="13" t="s">
        <v>2069</v>
      </c>
      <c r="M1775" s="17">
        <v>149900</v>
      </c>
      <c r="N1775" s="15">
        <v>0.75</v>
      </c>
      <c r="O1775" s="16">
        <f t="shared" si="131"/>
        <v>37475</v>
      </c>
      <c r="P1775" s="11" t="s">
        <v>20</v>
      </c>
    </row>
    <row r="1776" spans="1:16" x14ac:dyDescent="0.25">
      <c r="A1776" s="9" t="str">
        <f t="shared" si="134"/>
        <v>2024 ALL D75</v>
      </c>
      <c r="B1776" s="10">
        <f t="shared" si="134"/>
        <v>46104</v>
      </c>
      <c r="C1776" s="10">
        <v>46113</v>
      </c>
      <c r="D1776" s="19">
        <f t="shared" si="134"/>
        <v>3273</v>
      </c>
      <c r="E1776" s="19">
        <f t="shared" si="134"/>
        <v>336</v>
      </c>
      <c r="F1776" s="19">
        <f t="shared" si="134"/>
        <v>4</v>
      </c>
      <c r="G1776" s="19">
        <v>6</v>
      </c>
      <c r="H1776" s="13">
        <v>81588</v>
      </c>
      <c r="I1776" s="13" t="str">
        <f t="shared" si="129"/>
        <v>DISNEY</v>
      </c>
      <c r="J1776" s="13">
        <v>45920914</v>
      </c>
      <c r="K1776" s="13" t="s">
        <v>2062</v>
      </c>
      <c r="L1776" s="13" t="s">
        <v>2070</v>
      </c>
      <c r="M1776" s="17">
        <v>149900</v>
      </c>
      <c r="N1776" s="15">
        <v>0.75</v>
      </c>
      <c r="O1776" s="16">
        <f t="shared" si="131"/>
        <v>37475</v>
      </c>
      <c r="P1776" s="11" t="s">
        <v>20</v>
      </c>
    </row>
    <row r="1777" spans="1:16" x14ac:dyDescent="0.25">
      <c r="A1777" s="9" t="str">
        <f t="shared" si="134"/>
        <v>2024 ALL D75</v>
      </c>
      <c r="B1777" s="10">
        <f t="shared" si="134"/>
        <v>46104</v>
      </c>
      <c r="C1777" s="10">
        <v>46113</v>
      </c>
      <c r="D1777" s="19">
        <f t="shared" si="134"/>
        <v>3273</v>
      </c>
      <c r="E1777" s="19">
        <f t="shared" si="134"/>
        <v>336</v>
      </c>
      <c r="F1777" s="19">
        <f t="shared" si="134"/>
        <v>4</v>
      </c>
      <c r="G1777" s="19">
        <v>6</v>
      </c>
      <c r="H1777" s="13">
        <v>81588</v>
      </c>
      <c r="I1777" s="13" t="str">
        <f t="shared" si="129"/>
        <v>DISNEY</v>
      </c>
      <c r="J1777" s="13">
        <v>45920923</v>
      </c>
      <c r="K1777" s="13" t="s">
        <v>2071</v>
      </c>
      <c r="L1777" s="13" t="s">
        <v>2072</v>
      </c>
      <c r="M1777" s="17">
        <v>149900</v>
      </c>
      <c r="N1777" s="15">
        <v>0.75</v>
      </c>
      <c r="O1777" s="16">
        <f t="shared" si="131"/>
        <v>37475</v>
      </c>
      <c r="P1777" s="11" t="s">
        <v>20</v>
      </c>
    </row>
    <row r="1778" spans="1:16" x14ac:dyDescent="0.25">
      <c r="A1778" s="9" t="str">
        <f t="shared" si="134"/>
        <v>2024 ALL D75</v>
      </c>
      <c r="B1778" s="10">
        <f t="shared" si="134"/>
        <v>46104</v>
      </c>
      <c r="C1778" s="10">
        <v>46113</v>
      </c>
      <c r="D1778" s="19">
        <f t="shared" si="134"/>
        <v>3273</v>
      </c>
      <c r="E1778" s="19">
        <f t="shared" si="134"/>
        <v>336</v>
      </c>
      <c r="F1778" s="19">
        <f t="shared" si="134"/>
        <v>4</v>
      </c>
      <c r="G1778" s="19">
        <v>6</v>
      </c>
      <c r="H1778" s="13">
        <v>81588</v>
      </c>
      <c r="I1778" s="13" t="str">
        <f t="shared" si="129"/>
        <v>DISNEY</v>
      </c>
      <c r="J1778" s="13">
        <v>45920932</v>
      </c>
      <c r="K1778" s="13" t="s">
        <v>2071</v>
      </c>
      <c r="L1778" s="13" t="s">
        <v>2073</v>
      </c>
      <c r="M1778" s="17">
        <v>149900</v>
      </c>
      <c r="N1778" s="15">
        <v>0.75</v>
      </c>
      <c r="O1778" s="16">
        <f t="shared" si="131"/>
        <v>37475</v>
      </c>
      <c r="P1778" s="11" t="s">
        <v>20</v>
      </c>
    </row>
    <row r="1779" spans="1:16" x14ac:dyDescent="0.25">
      <c r="A1779" s="9" t="str">
        <f t="shared" si="134"/>
        <v>2024 ALL D75</v>
      </c>
      <c r="B1779" s="10">
        <f t="shared" si="134"/>
        <v>46104</v>
      </c>
      <c r="C1779" s="10">
        <v>46113</v>
      </c>
      <c r="D1779" s="19">
        <f t="shared" si="134"/>
        <v>3273</v>
      </c>
      <c r="E1779" s="19">
        <f t="shared" si="134"/>
        <v>336</v>
      </c>
      <c r="F1779" s="19">
        <f t="shared" si="134"/>
        <v>4</v>
      </c>
      <c r="G1779" s="19">
        <v>6</v>
      </c>
      <c r="H1779" s="13">
        <v>81588</v>
      </c>
      <c r="I1779" s="13" t="str">
        <f t="shared" ref="I1779:I1796" si="135">I1778</f>
        <v>DISNEY</v>
      </c>
      <c r="J1779" s="13">
        <v>45920941</v>
      </c>
      <c r="K1779" s="13" t="s">
        <v>2071</v>
      </c>
      <c r="L1779" s="13" t="s">
        <v>2074</v>
      </c>
      <c r="M1779" s="17">
        <v>149900</v>
      </c>
      <c r="N1779" s="15">
        <v>0.75</v>
      </c>
      <c r="O1779" s="16">
        <f t="shared" si="131"/>
        <v>37475</v>
      </c>
      <c r="P1779" s="11" t="s">
        <v>20</v>
      </c>
    </row>
    <row r="1780" spans="1:16" x14ac:dyDescent="0.25">
      <c r="A1780" s="9" t="str">
        <f t="shared" ref="A1780:F1795" si="136">A1779</f>
        <v>2024 ALL D75</v>
      </c>
      <c r="B1780" s="10">
        <f t="shared" si="136"/>
        <v>46104</v>
      </c>
      <c r="C1780" s="10">
        <v>46113</v>
      </c>
      <c r="D1780" s="19">
        <f t="shared" si="136"/>
        <v>3273</v>
      </c>
      <c r="E1780" s="19">
        <f t="shared" si="136"/>
        <v>336</v>
      </c>
      <c r="F1780" s="19">
        <f t="shared" si="136"/>
        <v>4</v>
      </c>
      <c r="G1780" s="19">
        <v>6</v>
      </c>
      <c r="H1780" s="13">
        <v>81588</v>
      </c>
      <c r="I1780" s="13" t="str">
        <f t="shared" si="135"/>
        <v>DISNEY</v>
      </c>
      <c r="J1780" s="13">
        <v>45920950</v>
      </c>
      <c r="K1780" s="13" t="s">
        <v>2071</v>
      </c>
      <c r="L1780" s="13" t="s">
        <v>2075</v>
      </c>
      <c r="M1780" s="17">
        <v>149900</v>
      </c>
      <c r="N1780" s="15">
        <v>0.75</v>
      </c>
      <c r="O1780" s="16">
        <f t="shared" si="131"/>
        <v>37475</v>
      </c>
      <c r="P1780" s="11" t="s">
        <v>20</v>
      </c>
    </row>
    <row r="1781" spans="1:16" x14ac:dyDescent="0.25">
      <c r="A1781" s="9" t="str">
        <f t="shared" si="136"/>
        <v>2024 ALL D75</v>
      </c>
      <c r="B1781" s="10">
        <f t="shared" si="136"/>
        <v>46104</v>
      </c>
      <c r="C1781" s="10">
        <v>46113</v>
      </c>
      <c r="D1781" s="19">
        <f t="shared" si="136"/>
        <v>3273</v>
      </c>
      <c r="E1781" s="19">
        <f t="shared" si="136"/>
        <v>336</v>
      </c>
      <c r="F1781" s="19">
        <f t="shared" si="136"/>
        <v>4</v>
      </c>
      <c r="G1781" s="19">
        <v>6</v>
      </c>
      <c r="H1781" s="13">
        <v>81588</v>
      </c>
      <c r="I1781" s="13" t="str">
        <f t="shared" si="135"/>
        <v>DISNEY</v>
      </c>
      <c r="J1781" s="13">
        <v>45920969</v>
      </c>
      <c r="K1781" s="13" t="s">
        <v>2071</v>
      </c>
      <c r="L1781" s="13" t="s">
        <v>2076</v>
      </c>
      <c r="M1781" s="17">
        <v>149900</v>
      </c>
      <c r="N1781" s="15">
        <v>0.75</v>
      </c>
      <c r="O1781" s="16">
        <f t="shared" si="131"/>
        <v>37475</v>
      </c>
      <c r="P1781" s="11" t="s">
        <v>20</v>
      </c>
    </row>
    <row r="1782" spans="1:16" x14ac:dyDescent="0.25">
      <c r="A1782" s="9" t="str">
        <f t="shared" si="136"/>
        <v>2024 ALL D75</v>
      </c>
      <c r="B1782" s="10">
        <f t="shared" si="136"/>
        <v>46104</v>
      </c>
      <c r="C1782" s="10">
        <v>46113</v>
      </c>
      <c r="D1782" s="19">
        <f t="shared" si="136"/>
        <v>3273</v>
      </c>
      <c r="E1782" s="19">
        <f t="shared" si="136"/>
        <v>336</v>
      </c>
      <c r="F1782" s="19">
        <f t="shared" si="136"/>
        <v>4</v>
      </c>
      <c r="G1782" s="19">
        <v>6</v>
      </c>
      <c r="H1782" s="13">
        <v>81588</v>
      </c>
      <c r="I1782" s="13" t="str">
        <f t="shared" si="135"/>
        <v>DISNEY</v>
      </c>
      <c r="J1782" s="13">
        <v>45920978</v>
      </c>
      <c r="K1782" s="13" t="s">
        <v>2071</v>
      </c>
      <c r="L1782" s="13" t="s">
        <v>2077</v>
      </c>
      <c r="M1782" s="17">
        <v>149900</v>
      </c>
      <c r="N1782" s="15">
        <v>0.75</v>
      </c>
      <c r="O1782" s="16">
        <f t="shared" si="131"/>
        <v>37475</v>
      </c>
      <c r="P1782" s="11" t="s">
        <v>20</v>
      </c>
    </row>
    <row r="1783" spans="1:16" x14ac:dyDescent="0.25">
      <c r="A1783" s="9" t="str">
        <f t="shared" si="136"/>
        <v>2024 ALL D75</v>
      </c>
      <c r="B1783" s="10">
        <f t="shared" si="136"/>
        <v>46104</v>
      </c>
      <c r="C1783" s="10">
        <v>46113</v>
      </c>
      <c r="D1783" s="19">
        <f t="shared" si="136"/>
        <v>3273</v>
      </c>
      <c r="E1783" s="19">
        <f t="shared" si="136"/>
        <v>336</v>
      </c>
      <c r="F1783" s="19">
        <f t="shared" si="136"/>
        <v>4</v>
      </c>
      <c r="G1783" s="19">
        <v>6</v>
      </c>
      <c r="H1783" s="13">
        <v>81588</v>
      </c>
      <c r="I1783" s="13" t="str">
        <f t="shared" si="135"/>
        <v>DISNEY</v>
      </c>
      <c r="J1783" s="13">
        <v>45920987</v>
      </c>
      <c r="K1783" s="13" t="s">
        <v>2071</v>
      </c>
      <c r="L1783" s="13" t="s">
        <v>2078</v>
      </c>
      <c r="M1783" s="17">
        <v>149900</v>
      </c>
      <c r="N1783" s="15">
        <v>0.75</v>
      </c>
      <c r="O1783" s="16">
        <f t="shared" si="131"/>
        <v>37475</v>
      </c>
      <c r="P1783" s="11" t="s">
        <v>20</v>
      </c>
    </row>
    <row r="1784" spans="1:16" x14ac:dyDescent="0.25">
      <c r="A1784" s="9" t="str">
        <f t="shared" si="136"/>
        <v>2024 ALL D75</v>
      </c>
      <c r="B1784" s="10">
        <f t="shared" si="136"/>
        <v>46104</v>
      </c>
      <c r="C1784" s="10">
        <v>46113</v>
      </c>
      <c r="D1784" s="19">
        <f t="shared" si="136"/>
        <v>3273</v>
      </c>
      <c r="E1784" s="19">
        <f t="shared" si="136"/>
        <v>336</v>
      </c>
      <c r="F1784" s="19">
        <f t="shared" si="136"/>
        <v>4</v>
      </c>
      <c r="G1784" s="19">
        <v>6</v>
      </c>
      <c r="H1784" s="13">
        <v>81588</v>
      </c>
      <c r="I1784" s="13" t="str">
        <f t="shared" si="135"/>
        <v>DISNEY</v>
      </c>
      <c r="J1784" s="13">
        <v>45920996</v>
      </c>
      <c r="K1784" s="13" t="s">
        <v>2071</v>
      </c>
      <c r="L1784" s="13" t="s">
        <v>2079</v>
      </c>
      <c r="M1784" s="17">
        <v>149900</v>
      </c>
      <c r="N1784" s="15">
        <v>0.75</v>
      </c>
      <c r="O1784" s="16">
        <f t="shared" si="131"/>
        <v>37475</v>
      </c>
      <c r="P1784" s="11" t="s">
        <v>20</v>
      </c>
    </row>
    <row r="1785" spans="1:16" x14ac:dyDescent="0.25">
      <c r="A1785" s="9" t="str">
        <f t="shared" si="136"/>
        <v>2024 ALL D75</v>
      </c>
      <c r="B1785" s="10">
        <f t="shared" si="136"/>
        <v>46104</v>
      </c>
      <c r="C1785" s="10">
        <v>46113</v>
      </c>
      <c r="D1785" s="19">
        <f t="shared" si="136"/>
        <v>3273</v>
      </c>
      <c r="E1785" s="19">
        <f t="shared" si="136"/>
        <v>336</v>
      </c>
      <c r="F1785" s="19">
        <f t="shared" si="136"/>
        <v>4</v>
      </c>
      <c r="G1785" s="19">
        <v>6</v>
      </c>
      <c r="H1785" s="13">
        <v>81588</v>
      </c>
      <c r="I1785" s="13" t="str">
        <f t="shared" si="135"/>
        <v>DISNEY</v>
      </c>
      <c r="J1785" s="13">
        <v>45921164</v>
      </c>
      <c r="K1785" s="13" t="s">
        <v>2080</v>
      </c>
      <c r="L1785" s="13" t="s">
        <v>2081</v>
      </c>
      <c r="M1785" s="17">
        <v>139900</v>
      </c>
      <c r="N1785" s="15">
        <v>0.75</v>
      </c>
      <c r="O1785" s="16">
        <f t="shared" si="131"/>
        <v>34975</v>
      </c>
      <c r="P1785" s="11" t="s">
        <v>20</v>
      </c>
    </row>
    <row r="1786" spans="1:16" x14ac:dyDescent="0.25">
      <c r="A1786" s="9" t="str">
        <f t="shared" si="136"/>
        <v>2024 ALL D75</v>
      </c>
      <c r="B1786" s="10">
        <f t="shared" si="136"/>
        <v>46104</v>
      </c>
      <c r="C1786" s="10">
        <v>46113</v>
      </c>
      <c r="D1786" s="19">
        <f t="shared" si="136"/>
        <v>3273</v>
      </c>
      <c r="E1786" s="19">
        <f t="shared" si="136"/>
        <v>336</v>
      </c>
      <c r="F1786" s="19">
        <f t="shared" si="136"/>
        <v>4</v>
      </c>
      <c r="G1786" s="19">
        <v>6</v>
      </c>
      <c r="H1786" s="13">
        <v>81588</v>
      </c>
      <c r="I1786" s="13" t="str">
        <f t="shared" si="135"/>
        <v>DISNEY</v>
      </c>
      <c r="J1786" s="13">
        <v>45921173</v>
      </c>
      <c r="K1786" s="13" t="s">
        <v>2080</v>
      </c>
      <c r="L1786" s="13" t="s">
        <v>2082</v>
      </c>
      <c r="M1786" s="17">
        <v>139900</v>
      </c>
      <c r="N1786" s="15">
        <v>0.75</v>
      </c>
      <c r="O1786" s="16">
        <f t="shared" si="131"/>
        <v>34975</v>
      </c>
      <c r="P1786" s="11" t="s">
        <v>20</v>
      </c>
    </row>
    <row r="1787" spans="1:16" x14ac:dyDescent="0.25">
      <c r="A1787" s="9" t="str">
        <f t="shared" si="136"/>
        <v>2024 ALL D75</v>
      </c>
      <c r="B1787" s="10">
        <f t="shared" si="136"/>
        <v>46104</v>
      </c>
      <c r="C1787" s="10">
        <v>46113</v>
      </c>
      <c r="D1787" s="19">
        <f t="shared" si="136"/>
        <v>3273</v>
      </c>
      <c r="E1787" s="19">
        <f t="shared" si="136"/>
        <v>336</v>
      </c>
      <c r="F1787" s="19">
        <f t="shared" si="136"/>
        <v>4</v>
      </c>
      <c r="G1787" s="19">
        <v>6</v>
      </c>
      <c r="H1787" s="13">
        <v>81588</v>
      </c>
      <c r="I1787" s="13" t="str">
        <f t="shared" si="135"/>
        <v>DISNEY</v>
      </c>
      <c r="J1787" s="13">
        <v>45921182</v>
      </c>
      <c r="K1787" s="13" t="s">
        <v>2080</v>
      </c>
      <c r="L1787" s="13" t="s">
        <v>2083</v>
      </c>
      <c r="M1787" s="17">
        <v>139900</v>
      </c>
      <c r="N1787" s="15">
        <v>0.75</v>
      </c>
      <c r="O1787" s="16">
        <f t="shared" si="131"/>
        <v>34975</v>
      </c>
      <c r="P1787" s="11" t="s">
        <v>20</v>
      </c>
    </row>
    <row r="1788" spans="1:16" x14ac:dyDescent="0.25">
      <c r="A1788" s="9" t="str">
        <f t="shared" si="136"/>
        <v>2024 ALL D75</v>
      </c>
      <c r="B1788" s="10">
        <f t="shared" si="136"/>
        <v>46104</v>
      </c>
      <c r="C1788" s="10">
        <v>46113</v>
      </c>
      <c r="D1788" s="19">
        <f t="shared" si="136"/>
        <v>3273</v>
      </c>
      <c r="E1788" s="19">
        <f t="shared" si="136"/>
        <v>336</v>
      </c>
      <c r="F1788" s="19">
        <f t="shared" si="136"/>
        <v>4</v>
      </c>
      <c r="G1788" s="19">
        <v>6</v>
      </c>
      <c r="H1788" s="13">
        <v>81588</v>
      </c>
      <c r="I1788" s="13" t="str">
        <f t="shared" si="135"/>
        <v>DISNEY</v>
      </c>
      <c r="J1788" s="13">
        <v>45921191</v>
      </c>
      <c r="K1788" s="13" t="s">
        <v>2080</v>
      </c>
      <c r="L1788" s="13" t="s">
        <v>2084</v>
      </c>
      <c r="M1788" s="17">
        <v>139900</v>
      </c>
      <c r="N1788" s="15">
        <v>0.75</v>
      </c>
      <c r="O1788" s="16">
        <f t="shared" si="131"/>
        <v>34975</v>
      </c>
      <c r="P1788" s="11" t="s">
        <v>20</v>
      </c>
    </row>
    <row r="1789" spans="1:16" x14ac:dyDescent="0.25">
      <c r="A1789" s="9" t="str">
        <f t="shared" si="136"/>
        <v>2024 ALL D75</v>
      </c>
      <c r="B1789" s="10">
        <f t="shared" si="136"/>
        <v>46104</v>
      </c>
      <c r="C1789" s="10">
        <v>46113</v>
      </c>
      <c r="D1789" s="19">
        <f t="shared" si="136"/>
        <v>3273</v>
      </c>
      <c r="E1789" s="19">
        <f t="shared" si="136"/>
        <v>336</v>
      </c>
      <c r="F1789" s="19">
        <f t="shared" si="136"/>
        <v>4</v>
      </c>
      <c r="G1789" s="19">
        <v>6</v>
      </c>
      <c r="H1789" s="13">
        <v>81588</v>
      </c>
      <c r="I1789" s="13" t="str">
        <f t="shared" si="135"/>
        <v>DISNEY</v>
      </c>
      <c r="J1789" s="13">
        <v>45921208</v>
      </c>
      <c r="K1789" s="13" t="s">
        <v>2080</v>
      </c>
      <c r="L1789" s="13" t="s">
        <v>2085</v>
      </c>
      <c r="M1789" s="17">
        <v>139900</v>
      </c>
      <c r="N1789" s="15">
        <v>0.75</v>
      </c>
      <c r="O1789" s="16">
        <f t="shared" si="131"/>
        <v>34975</v>
      </c>
      <c r="P1789" s="11" t="s">
        <v>20</v>
      </c>
    </row>
    <row r="1790" spans="1:16" x14ac:dyDescent="0.25">
      <c r="A1790" s="9" t="str">
        <f t="shared" si="136"/>
        <v>2024 ALL D75</v>
      </c>
      <c r="B1790" s="10">
        <f t="shared" si="136"/>
        <v>46104</v>
      </c>
      <c r="C1790" s="10">
        <v>46113</v>
      </c>
      <c r="D1790" s="19">
        <f t="shared" si="136"/>
        <v>3273</v>
      </c>
      <c r="E1790" s="19">
        <f t="shared" si="136"/>
        <v>336</v>
      </c>
      <c r="F1790" s="19">
        <f t="shared" si="136"/>
        <v>4</v>
      </c>
      <c r="G1790" s="19">
        <v>6</v>
      </c>
      <c r="H1790" s="13">
        <v>81588</v>
      </c>
      <c r="I1790" s="13" t="str">
        <f t="shared" si="135"/>
        <v>DISNEY</v>
      </c>
      <c r="J1790" s="13">
        <v>45921217</v>
      </c>
      <c r="K1790" s="13" t="s">
        <v>2080</v>
      </c>
      <c r="L1790" s="13" t="s">
        <v>2086</v>
      </c>
      <c r="M1790" s="17">
        <v>139900</v>
      </c>
      <c r="N1790" s="15">
        <v>0.75</v>
      </c>
      <c r="O1790" s="16">
        <f t="shared" si="131"/>
        <v>34975</v>
      </c>
      <c r="P1790" s="11" t="s">
        <v>20</v>
      </c>
    </row>
    <row r="1791" spans="1:16" x14ac:dyDescent="0.25">
      <c r="A1791" s="9" t="str">
        <f t="shared" si="136"/>
        <v>2024 ALL D75</v>
      </c>
      <c r="B1791" s="10">
        <f t="shared" si="136"/>
        <v>46104</v>
      </c>
      <c r="C1791" s="10">
        <v>46113</v>
      </c>
      <c r="D1791" s="19">
        <f t="shared" si="136"/>
        <v>3273</v>
      </c>
      <c r="E1791" s="19">
        <f t="shared" si="136"/>
        <v>336</v>
      </c>
      <c r="F1791" s="19">
        <f t="shared" si="136"/>
        <v>4</v>
      </c>
      <c r="G1791" s="19">
        <v>6</v>
      </c>
      <c r="H1791" s="13">
        <v>81588</v>
      </c>
      <c r="I1791" s="13" t="str">
        <f t="shared" si="135"/>
        <v>DISNEY</v>
      </c>
      <c r="J1791" s="13">
        <v>45921226</v>
      </c>
      <c r="K1791" s="13" t="s">
        <v>2087</v>
      </c>
      <c r="L1791" s="13" t="s">
        <v>2088</v>
      </c>
      <c r="M1791" s="17">
        <v>139900</v>
      </c>
      <c r="N1791" s="15">
        <v>0.75</v>
      </c>
      <c r="O1791" s="16">
        <f t="shared" si="131"/>
        <v>34975</v>
      </c>
      <c r="P1791" s="11" t="s">
        <v>20</v>
      </c>
    </row>
    <row r="1792" spans="1:16" x14ac:dyDescent="0.25">
      <c r="A1792" s="9" t="str">
        <f t="shared" si="136"/>
        <v>2024 ALL D75</v>
      </c>
      <c r="B1792" s="10">
        <f t="shared" si="136"/>
        <v>46104</v>
      </c>
      <c r="C1792" s="10">
        <v>46113</v>
      </c>
      <c r="D1792" s="19">
        <f t="shared" si="136"/>
        <v>3273</v>
      </c>
      <c r="E1792" s="19">
        <f t="shared" si="136"/>
        <v>336</v>
      </c>
      <c r="F1792" s="19">
        <f t="shared" si="136"/>
        <v>4</v>
      </c>
      <c r="G1792" s="19">
        <v>6</v>
      </c>
      <c r="H1792" s="13">
        <v>81588</v>
      </c>
      <c r="I1792" s="13" t="str">
        <f t="shared" si="135"/>
        <v>DISNEY</v>
      </c>
      <c r="J1792" s="13">
        <v>45921235</v>
      </c>
      <c r="K1792" s="13" t="s">
        <v>2087</v>
      </c>
      <c r="L1792" s="13" t="s">
        <v>2089</v>
      </c>
      <c r="M1792" s="17">
        <v>139900</v>
      </c>
      <c r="N1792" s="15">
        <v>0.75</v>
      </c>
      <c r="O1792" s="16">
        <f t="shared" si="131"/>
        <v>34975</v>
      </c>
      <c r="P1792" s="11" t="s">
        <v>20</v>
      </c>
    </row>
    <row r="1793" spans="1:16" x14ac:dyDescent="0.25">
      <c r="A1793" s="9" t="str">
        <f t="shared" si="136"/>
        <v>2024 ALL D75</v>
      </c>
      <c r="B1793" s="10">
        <f t="shared" si="136"/>
        <v>46104</v>
      </c>
      <c r="C1793" s="10">
        <v>46113</v>
      </c>
      <c r="D1793" s="19">
        <f t="shared" si="136"/>
        <v>3273</v>
      </c>
      <c r="E1793" s="19">
        <f t="shared" si="136"/>
        <v>336</v>
      </c>
      <c r="F1793" s="19">
        <f t="shared" si="136"/>
        <v>4</v>
      </c>
      <c r="G1793" s="19">
        <v>6</v>
      </c>
      <c r="H1793" s="13">
        <v>81588</v>
      </c>
      <c r="I1793" s="13" t="str">
        <f t="shared" si="135"/>
        <v>DISNEY</v>
      </c>
      <c r="J1793" s="13">
        <v>45921244</v>
      </c>
      <c r="K1793" s="13" t="s">
        <v>2087</v>
      </c>
      <c r="L1793" s="13" t="s">
        <v>2090</v>
      </c>
      <c r="M1793" s="17">
        <v>139900</v>
      </c>
      <c r="N1793" s="15">
        <v>0.75</v>
      </c>
      <c r="O1793" s="16">
        <f t="shared" si="131"/>
        <v>34975</v>
      </c>
      <c r="P1793" s="11" t="s">
        <v>20</v>
      </c>
    </row>
    <row r="1794" spans="1:16" x14ac:dyDescent="0.25">
      <c r="A1794" s="9" t="str">
        <f t="shared" si="136"/>
        <v>2024 ALL D75</v>
      </c>
      <c r="B1794" s="10">
        <f t="shared" si="136"/>
        <v>46104</v>
      </c>
      <c r="C1794" s="10">
        <v>46113</v>
      </c>
      <c r="D1794" s="19">
        <f t="shared" si="136"/>
        <v>3273</v>
      </c>
      <c r="E1794" s="19">
        <f t="shared" si="136"/>
        <v>336</v>
      </c>
      <c r="F1794" s="19">
        <f t="shared" si="136"/>
        <v>4</v>
      </c>
      <c r="G1794" s="19">
        <v>6</v>
      </c>
      <c r="H1794" s="13">
        <v>81588</v>
      </c>
      <c r="I1794" s="13" t="str">
        <f t="shared" si="135"/>
        <v>DISNEY</v>
      </c>
      <c r="J1794" s="13">
        <v>45921253</v>
      </c>
      <c r="K1794" s="13" t="s">
        <v>2087</v>
      </c>
      <c r="L1794" s="13" t="s">
        <v>2091</v>
      </c>
      <c r="M1794" s="17">
        <v>139900</v>
      </c>
      <c r="N1794" s="15">
        <v>0.75</v>
      </c>
      <c r="O1794" s="16">
        <f t="shared" ref="O1794:O1796" si="137">M1794*(1-N1794)</f>
        <v>34975</v>
      </c>
      <c r="P1794" s="11" t="s">
        <v>20</v>
      </c>
    </row>
    <row r="1795" spans="1:16" x14ac:dyDescent="0.25">
      <c r="A1795" s="9" t="str">
        <f t="shared" si="136"/>
        <v>2024 ALL D75</v>
      </c>
      <c r="B1795" s="10">
        <f t="shared" si="136"/>
        <v>46104</v>
      </c>
      <c r="C1795" s="10">
        <v>46113</v>
      </c>
      <c r="D1795" s="19">
        <f t="shared" si="136"/>
        <v>3273</v>
      </c>
      <c r="E1795" s="19">
        <f t="shared" si="136"/>
        <v>336</v>
      </c>
      <c r="F1795" s="19">
        <f t="shared" si="136"/>
        <v>4</v>
      </c>
      <c r="G1795" s="19">
        <v>6</v>
      </c>
      <c r="H1795" s="13">
        <v>81588</v>
      </c>
      <c r="I1795" s="13" t="str">
        <f t="shared" si="135"/>
        <v>DISNEY</v>
      </c>
      <c r="J1795" s="13">
        <v>45921262</v>
      </c>
      <c r="K1795" s="13" t="s">
        <v>2087</v>
      </c>
      <c r="L1795" s="13" t="s">
        <v>2092</v>
      </c>
      <c r="M1795" s="17">
        <v>139900</v>
      </c>
      <c r="N1795" s="15">
        <v>0.75</v>
      </c>
      <c r="O1795" s="16">
        <f t="shared" si="137"/>
        <v>34975</v>
      </c>
      <c r="P1795" s="11" t="s">
        <v>20</v>
      </c>
    </row>
    <row r="1796" spans="1:16" x14ac:dyDescent="0.25">
      <c r="A1796" s="9" t="str">
        <f t="shared" ref="A1796:F1796" si="138">A1795</f>
        <v>2024 ALL D75</v>
      </c>
      <c r="B1796" s="10">
        <f t="shared" si="138"/>
        <v>46104</v>
      </c>
      <c r="C1796" s="10">
        <v>46113</v>
      </c>
      <c r="D1796" s="19">
        <f t="shared" si="138"/>
        <v>3273</v>
      </c>
      <c r="E1796" s="19">
        <f t="shared" si="138"/>
        <v>336</v>
      </c>
      <c r="F1796" s="19">
        <f t="shared" si="138"/>
        <v>4</v>
      </c>
      <c r="G1796" s="19">
        <v>6</v>
      </c>
      <c r="H1796" s="13">
        <v>81588</v>
      </c>
      <c r="I1796" s="13" t="str">
        <f t="shared" si="135"/>
        <v>DISNEY</v>
      </c>
      <c r="J1796" s="13">
        <v>45921271</v>
      </c>
      <c r="K1796" s="13" t="s">
        <v>2087</v>
      </c>
      <c r="L1796" s="13" t="s">
        <v>2093</v>
      </c>
      <c r="M1796" s="17">
        <v>139900</v>
      </c>
      <c r="N1796" s="15">
        <v>0.75</v>
      </c>
      <c r="O1796" s="16">
        <f t="shared" si="137"/>
        <v>34975</v>
      </c>
      <c r="P1796" s="11" t="s">
        <v>20</v>
      </c>
    </row>
  </sheetData>
  <conditionalFormatting sqref="J1057:J1136">
    <cfRule type="duplicateValues" dxfId="56" priority="26"/>
    <cfRule type="duplicateValues" dxfId="55" priority="27"/>
    <cfRule type="duplicateValues" dxfId="54" priority="28"/>
    <cfRule type="duplicateValues" dxfId="53" priority="29"/>
  </conditionalFormatting>
  <conditionalFormatting sqref="J1057:J1298">
    <cfRule type="duplicateValues" dxfId="52" priority="18"/>
  </conditionalFormatting>
  <conditionalFormatting sqref="J1137:J1220">
    <cfRule type="duplicateValues" dxfId="51" priority="23"/>
    <cfRule type="duplicateValues" dxfId="50" priority="24"/>
    <cfRule type="duplicateValues" dxfId="49" priority="25"/>
  </conditionalFormatting>
  <conditionalFormatting sqref="J1221:J1298">
    <cfRule type="duplicateValues" dxfId="48" priority="19"/>
    <cfRule type="duplicateValues" dxfId="47" priority="20"/>
    <cfRule type="duplicateValues" dxfId="46" priority="21"/>
    <cfRule type="duplicateValues" dxfId="45" priority="22"/>
  </conditionalFormatting>
  <conditionalFormatting sqref="J1299:J1395">
    <cfRule type="duplicateValues" dxfId="44" priority="14"/>
    <cfRule type="duplicateValues" dxfId="43" priority="15"/>
    <cfRule type="duplicateValues" dxfId="42" priority="16"/>
  </conditionalFormatting>
  <conditionalFormatting sqref="J1299:J1585">
    <cfRule type="duplicateValues" dxfId="41" priority="5"/>
    <cfRule type="duplicateValues" dxfId="40" priority="17"/>
  </conditionalFormatting>
  <conditionalFormatting sqref="J1396">
    <cfRule type="duplicateValues" dxfId="39" priority="11"/>
    <cfRule type="duplicateValues" dxfId="38" priority="12"/>
    <cfRule type="duplicateValues" dxfId="37" priority="13"/>
  </conditionalFormatting>
  <conditionalFormatting sqref="J1396:J1453">
    <cfRule type="duplicateValues" dxfId="36" priority="10"/>
  </conditionalFormatting>
  <conditionalFormatting sqref="J1454:J1467">
    <cfRule type="duplicateValues" dxfId="35" priority="9"/>
  </conditionalFormatting>
  <conditionalFormatting sqref="J1468:J1475">
    <cfRule type="duplicateValues" dxfId="34" priority="8"/>
  </conditionalFormatting>
  <conditionalFormatting sqref="J1476:J1577">
    <cfRule type="duplicateValues" dxfId="33" priority="7"/>
  </conditionalFormatting>
  <conditionalFormatting sqref="J1578:J1585">
    <cfRule type="duplicateValues" dxfId="32" priority="6"/>
  </conditionalFormatting>
  <conditionalFormatting sqref="J1586:J1647">
    <cfRule type="duplicateValues" dxfId="31" priority="3"/>
  </conditionalFormatting>
  <conditionalFormatting sqref="J1586:J1796">
    <cfRule type="duplicateValues" dxfId="30" priority="1"/>
    <cfRule type="duplicateValues" dxfId="29" priority="4"/>
  </conditionalFormatting>
  <conditionalFormatting sqref="J1648:J1796">
    <cfRule type="duplicateValues" dxfId="28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E8EE-BEBC-4B7B-9FE7-57A20F979F95}">
  <sheetPr>
    <tabColor rgb="FFFFFF00"/>
  </sheetPr>
  <dimension ref="A1:P1079"/>
  <sheetViews>
    <sheetView topLeftCell="K1061" zoomScale="95" zoomScaleNormal="95" workbookViewId="0">
      <selection activeCell="O831" sqref="O831"/>
    </sheetView>
  </sheetViews>
  <sheetFormatPr defaultRowHeight="15" x14ac:dyDescent="0.25"/>
  <cols>
    <col min="1" max="1" width="26.140625" style="29" bestFit="1" customWidth="1"/>
    <col min="2" max="2" width="22.140625" style="28" bestFit="1" customWidth="1"/>
    <col min="3" max="3" width="14.140625" style="28" bestFit="1" customWidth="1"/>
    <col min="4" max="4" width="10.28515625" bestFit="1" customWidth="1"/>
    <col min="5" max="5" width="7.28515625" bestFit="1" customWidth="1"/>
    <col min="6" max="6" width="8.42578125" bestFit="1" customWidth="1"/>
    <col min="7" max="7" width="5.7109375" bestFit="1" customWidth="1"/>
    <col min="8" max="8" width="8.7109375" bestFit="1" customWidth="1"/>
    <col min="9" max="9" width="7.7109375" bestFit="1" customWidth="1"/>
    <col min="10" max="10" width="9.28515625" bestFit="1" customWidth="1"/>
    <col min="11" max="11" width="9.85546875" bestFit="1" customWidth="1"/>
    <col min="12" max="12" width="125.7109375" style="29" bestFit="1" customWidth="1"/>
    <col min="13" max="13" width="16.140625" bestFit="1" customWidth="1"/>
    <col min="14" max="14" width="11.7109375" customWidth="1"/>
    <col min="15" max="15" width="19.85546875" bestFit="1" customWidth="1"/>
    <col min="16" max="16" width="14.28515625" bestFit="1" customWidth="1"/>
  </cols>
  <sheetData>
    <row r="1" spans="1:16" s="8" customFormat="1" ht="33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2" t="s">
        <v>6</v>
      </c>
      <c r="H1" s="2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23" t="s">
        <v>3797</v>
      </c>
      <c r="B2" s="10">
        <f>'[1]2019 ALL D95'!B26</f>
        <v>46104</v>
      </c>
      <c r="C2" s="10">
        <f>'[1]2019 ALL D95'!C26</f>
        <v>46113</v>
      </c>
      <c r="D2" s="11">
        <v>3273</v>
      </c>
      <c r="E2" s="11">
        <v>336</v>
      </c>
      <c r="F2" s="11">
        <v>4</v>
      </c>
      <c r="G2" s="18">
        <v>9</v>
      </c>
      <c r="H2" s="18">
        <v>81588</v>
      </c>
      <c r="I2" s="18" t="s">
        <v>17</v>
      </c>
      <c r="J2" s="18">
        <v>51100057</v>
      </c>
      <c r="K2" s="18" t="s">
        <v>2094</v>
      </c>
      <c r="L2" s="18" t="s">
        <v>2095</v>
      </c>
      <c r="M2" s="21">
        <v>249900</v>
      </c>
      <c r="N2" s="24">
        <v>0.7</v>
      </c>
      <c r="O2" s="25">
        <f>M2-((70*M2)/100)</f>
        <v>74970</v>
      </c>
      <c r="P2" s="11" t="s">
        <v>20</v>
      </c>
    </row>
    <row r="3" spans="1:16" x14ac:dyDescent="0.25">
      <c r="A3" s="23" t="str">
        <f t="shared" ref="A3:C18" si="0">A2</f>
        <v>2025 JAN-JUN D70</v>
      </c>
      <c r="B3" s="10">
        <f t="shared" si="0"/>
        <v>46104</v>
      </c>
      <c r="C3" s="10">
        <f t="shared" si="0"/>
        <v>46113</v>
      </c>
      <c r="D3" s="11">
        <v>3273</v>
      </c>
      <c r="E3" s="11">
        <v>336</v>
      </c>
      <c r="F3" s="11">
        <v>4</v>
      </c>
      <c r="G3" s="18">
        <v>9</v>
      </c>
      <c r="H3" s="18">
        <v>81588</v>
      </c>
      <c r="I3" s="18" t="s">
        <v>17</v>
      </c>
      <c r="J3" s="18">
        <v>51100066</v>
      </c>
      <c r="K3" s="18" t="s">
        <v>2094</v>
      </c>
      <c r="L3" s="18" t="s">
        <v>2096</v>
      </c>
      <c r="M3" s="21">
        <v>249900</v>
      </c>
      <c r="N3" s="24">
        <f>N2</f>
        <v>0.7</v>
      </c>
      <c r="O3" s="25">
        <f t="shared" ref="O3:O66" si="1">M3-((70*M3)/100)</f>
        <v>74970</v>
      </c>
      <c r="P3" s="11" t="s">
        <v>20</v>
      </c>
    </row>
    <row r="4" spans="1:16" x14ac:dyDescent="0.25">
      <c r="A4" s="23" t="str">
        <f t="shared" si="0"/>
        <v>2025 JAN-JUN D70</v>
      </c>
      <c r="B4" s="10">
        <f t="shared" si="0"/>
        <v>46104</v>
      </c>
      <c r="C4" s="10">
        <f t="shared" si="0"/>
        <v>46113</v>
      </c>
      <c r="D4" s="11">
        <v>3273</v>
      </c>
      <c r="E4" s="11">
        <v>336</v>
      </c>
      <c r="F4" s="11">
        <v>4</v>
      </c>
      <c r="G4" s="18">
        <v>9</v>
      </c>
      <c r="H4" s="18">
        <v>81588</v>
      </c>
      <c r="I4" s="18" t="s">
        <v>17</v>
      </c>
      <c r="J4" s="18">
        <v>51100075</v>
      </c>
      <c r="K4" s="18" t="s">
        <v>2094</v>
      </c>
      <c r="L4" s="18" t="s">
        <v>2097</v>
      </c>
      <c r="M4" s="21">
        <v>249900</v>
      </c>
      <c r="N4" s="24">
        <f t="shared" ref="N4:N67" si="2">N3</f>
        <v>0.7</v>
      </c>
      <c r="O4" s="25">
        <f t="shared" si="1"/>
        <v>74970</v>
      </c>
      <c r="P4" s="11" t="s">
        <v>20</v>
      </c>
    </row>
    <row r="5" spans="1:16" x14ac:dyDescent="0.25">
      <c r="A5" s="23" t="str">
        <f t="shared" si="0"/>
        <v>2025 JAN-JUN D70</v>
      </c>
      <c r="B5" s="10">
        <f t="shared" si="0"/>
        <v>46104</v>
      </c>
      <c r="C5" s="10">
        <f t="shared" si="0"/>
        <v>46113</v>
      </c>
      <c r="D5" s="11">
        <v>3273</v>
      </c>
      <c r="E5" s="11">
        <v>336</v>
      </c>
      <c r="F5" s="11">
        <v>4</v>
      </c>
      <c r="G5" s="18">
        <v>9</v>
      </c>
      <c r="H5" s="18">
        <v>81588</v>
      </c>
      <c r="I5" s="18" t="s">
        <v>17</v>
      </c>
      <c r="J5" s="18">
        <v>51100084</v>
      </c>
      <c r="K5" s="18" t="s">
        <v>2094</v>
      </c>
      <c r="L5" s="18" t="s">
        <v>2098</v>
      </c>
      <c r="M5" s="21">
        <v>249900</v>
      </c>
      <c r="N5" s="24">
        <f t="shared" si="2"/>
        <v>0.7</v>
      </c>
      <c r="O5" s="25">
        <f t="shared" si="1"/>
        <v>74970</v>
      </c>
      <c r="P5" s="11" t="s">
        <v>20</v>
      </c>
    </row>
    <row r="6" spans="1:16" x14ac:dyDescent="0.25">
      <c r="A6" s="23" t="str">
        <f t="shared" si="0"/>
        <v>2025 JAN-JUN D70</v>
      </c>
      <c r="B6" s="10">
        <f t="shared" si="0"/>
        <v>46104</v>
      </c>
      <c r="C6" s="10">
        <f t="shared" si="0"/>
        <v>46113</v>
      </c>
      <c r="D6" s="11">
        <v>3273</v>
      </c>
      <c r="E6" s="11">
        <v>336</v>
      </c>
      <c r="F6" s="11">
        <v>4</v>
      </c>
      <c r="G6" s="18">
        <v>9</v>
      </c>
      <c r="H6" s="18">
        <v>81588</v>
      </c>
      <c r="I6" s="18" t="s">
        <v>17</v>
      </c>
      <c r="J6" s="18">
        <v>51100093</v>
      </c>
      <c r="K6" s="18" t="s">
        <v>2094</v>
      </c>
      <c r="L6" s="18" t="s">
        <v>2099</v>
      </c>
      <c r="M6" s="21">
        <v>249900</v>
      </c>
      <c r="N6" s="24">
        <f t="shared" si="2"/>
        <v>0.7</v>
      </c>
      <c r="O6" s="25">
        <f t="shared" si="1"/>
        <v>74970</v>
      </c>
      <c r="P6" s="11" t="s">
        <v>20</v>
      </c>
    </row>
    <row r="7" spans="1:16" x14ac:dyDescent="0.25">
      <c r="A7" s="23" t="str">
        <f t="shared" si="0"/>
        <v>2025 JAN-JUN D70</v>
      </c>
      <c r="B7" s="10">
        <f t="shared" si="0"/>
        <v>46104</v>
      </c>
      <c r="C7" s="10">
        <f t="shared" si="0"/>
        <v>46113</v>
      </c>
      <c r="D7" s="11">
        <v>3273</v>
      </c>
      <c r="E7" s="11">
        <v>336</v>
      </c>
      <c r="F7" s="11">
        <v>4</v>
      </c>
      <c r="G7" s="18">
        <v>9</v>
      </c>
      <c r="H7" s="18">
        <v>81588</v>
      </c>
      <c r="I7" s="18" t="s">
        <v>17</v>
      </c>
      <c r="J7" s="18">
        <v>51100100</v>
      </c>
      <c r="K7" s="18" t="s">
        <v>2094</v>
      </c>
      <c r="L7" s="18" t="s">
        <v>2100</v>
      </c>
      <c r="M7" s="21">
        <v>249900</v>
      </c>
      <c r="N7" s="24">
        <f t="shared" si="2"/>
        <v>0.7</v>
      </c>
      <c r="O7" s="25">
        <f t="shared" si="1"/>
        <v>74970</v>
      </c>
      <c r="P7" s="11" t="s">
        <v>20</v>
      </c>
    </row>
    <row r="8" spans="1:16" x14ac:dyDescent="0.25">
      <c r="A8" s="23" t="str">
        <f t="shared" si="0"/>
        <v>2025 JAN-JUN D70</v>
      </c>
      <c r="B8" s="10">
        <f t="shared" si="0"/>
        <v>46104</v>
      </c>
      <c r="C8" s="10">
        <f t="shared" si="0"/>
        <v>46113</v>
      </c>
      <c r="D8" s="11">
        <v>3273</v>
      </c>
      <c r="E8" s="11">
        <v>336</v>
      </c>
      <c r="F8" s="11">
        <v>4</v>
      </c>
      <c r="G8" s="18">
        <v>9</v>
      </c>
      <c r="H8" s="18">
        <v>81588</v>
      </c>
      <c r="I8" s="18" t="s">
        <v>17</v>
      </c>
      <c r="J8" s="18">
        <v>51100119</v>
      </c>
      <c r="K8" s="18" t="s">
        <v>2094</v>
      </c>
      <c r="L8" s="18" t="s">
        <v>2101</v>
      </c>
      <c r="M8" s="21">
        <v>249900</v>
      </c>
      <c r="N8" s="24">
        <f t="shared" si="2"/>
        <v>0.7</v>
      </c>
      <c r="O8" s="25">
        <f t="shared" si="1"/>
        <v>74970</v>
      </c>
      <c r="P8" s="11" t="s">
        <v>20</v>
      </c>
    </row>
    <row r="9" spans="1:16" x14ac:dyDescent="0.25">
      <c r="A9" s="23" t="str">
        <f t="shared" si="0"/>
        <v>2025 JAN-JUN D70</v>
      </c>
      <c r="B9" s="10">
        <f t="shared" si="0"/>
        <v>46104</v>
      </c>
      <c r="C9" s="10">
        <f t="shared" si="0"/>
        <v>46113</v>
      </c>
      <c r="D9" s="11">
        <v>3273</v>
      </c>
      <c r="E9" s="11">
        <v>336</v>
      </c>
      <c r="F9" s="11">
        <v>4</v>
      </c>
      <c r="G9" s="18">
        <v>9</v>
      </c>
      <c r="H9" s="18">
        <v>81588</v>
      </c>
      <c r="I9" s="18" t="s">
        <v>17</v>
      </c>
      <c r="J9" s="18">
        <v>51100128</v>
      </c>
      <c r="K9" s="18" t="s">
        <v>2094</v>
      </c>
      <c r="L9" s="18" t="s">
        <v>2102</v>
      </c>
      <c r="M9" s="21">
        <v>249900</v>
      </c>
      <c r="N9" s="24">
        <f t="shared" si="2"/>
        <v>0.7</v>
      </c>
      <c r="O9" s="25">
        <f t="shared" si="1"/>
        <v>74970</v>
      </c>
      <c r="P9" s="11" t="s">
        <v>20</v>
      </c>
    </row>
    <row r="10" spans="1:16" x14ac:dyDescent="0.25">
      <c r="A10" s="23" t="str">
        <f t="shared" si="0"/>
        <v>2025 JAN-JUN D70</v>
      </c>
      <c r="B10" s="10">
        <f t="shared" si="0"/>
        <v>46104</v>
      </c>
      <c r="C10" s="10">
        <f t="shared" si="0"/>
        <v>46113</v>
      </c>
      <c r="D10" s="11">
        <v>3273</v>
      </c>
      <c r="E10" s="11">
        <v>336</v>
      </c>
      <c r="F10" s="11">
        <v>4</v>
      </c>
      <c r="G10" s="18">
        <v>9</v>
      </c>
      <c r="H10" s="18">
        <v>81676</v>
      </c>
      <c r="I10" s="18" t="s">
        <v>17</v>
      </c>
      <c r="J10" s="18">
        <v>51101627</v>
      </c>
      <c r="K10" s="18" t="s">
        <v>2103</v>
      </c>
      <c r="L10" s="18" t="s">
        <v>2104</v>
      </c>
      <c r="M10" s="21">
        <v>169900</v>
      </c>
      <c r="N10" s="24">
        <f t="shared" si="2"/>
        <v>0.7</v>
      </c>
      <c r="O10" s="25">
        <f t="shared" si="1"/>
        <v>50970</v>
      </c>
      <c r="P10" s="11" t="s">
        <v>20</v>
      </c>
    </row>
    <row r="11" spans="1:16" x14ac:dyDescent="0.25">
      <c r="A11" s="23" t="str">
        <f t="shared" si="0"/>
        <v>2025 JAN-JUN D70</v>
      </c>
      <c r="B11" s="10">
        <f t="shared" si="0"/>
        <v>46104</v>
      </c>
      <c r="C11" s="10">
        <f t="shared" si="0"/>
        <v>46113</v>
      </c>
      <c r="D11" s="11">
        <v>3273</v>
      </c>
      <c r="E11" s="11">
        <v>336</v>
      </c>
      <c r="F11" s="11">
        <v>4</v>
      </c>
      <c r="G11" s="18">
        <v>9</v>
      </c>
      <c r="H11" s="18">
        <v>81676</v>
      </c>
      <c r="I11" s="18" t="s">
        <v>17</v>
      </c>
      <c r="J11" s="18">
        <v>51101636</v>
      </c>
      <c r="K11" s="18" t="s">
        <v>2103</v>
      </c>
      <c r="L11" s="18" t="s">
        <v>2105</v>
      </c>
      <c r="M11" s="21">
        <v>169900</v>
      </c>
      <c r="N11" s="24">
        <f t="shared" si="2"/>
        <v>0.7</v>
      </c>
      <c r="O11" s="25">
        <f t="shared" si="1"/>
        <v>50970</v>
      </c>
      <c r="P11" s="11" t="s">
        <v>20</v>
      </c>
    </row>
    <row r="12" spans="1:16" x14ac:dyDescent="0.25">
      <c r="A12" s="23" t="str">
        <f t="shared" si="0"/>
        <v>2025 JAN-JUN D70</v>
      </c>
      <c r="B12" s="10">
        <f t="shared" si="0"/>
        <v>46104</v>
      </c>
      <c r="C12" s="10">
        <f t="shared" si="0"/>
        <v>46113</v>
      </c>
      <c r="D12" s="11">
        <v>3273</v>
      </c>
      <c r="E12" s="11">
        <v>336</v>
      </c>
      <c r="F12" s="11">
        <v>4</v>
      </c>
      <c r="G12" s="18">
        <v>9</v>
      </c>
      <c r="H12" s="18">
        <v>81676</v>
      </c>
      <c r="I12" s="18" t="s">
        <v>17</v>
      </c>
      <c r="J12" s="18">
        <v>51101645</v>
      </c>
      <c r="K12" s="18" t="s">
        <v>2103</v>
      </c>
      <c r="L12" s="18" t="s">
        <v>2106</v>
      </c>
      <c r="M12" s="21">
        <v>169900</v>
      </c>
      <c r="N12" s="24">
        <f t="shared" si="2"/>
        <v>0.7</v>
      </c>
      <c r="O12" s="25">
        <f t="shared" si="1"/>
        <v>50970</v>
      </c>
      <c r="P12" s="11" t="s">
        <v>20</v>
      </c>
    </row>
    <row r="13" spans="1:16" x14ac:dyDescent="0.25">
      <c r="A13" s="23" t="str">
        <f t="shared" si="0"/>
        <v>2025 JAN-JUN D70</v>
      </c>
      <c r="B13" s="10">
        <f t="shared" si="0"/>
        <v>46104</v>
      </c>
      <c r="C13" s="10">
        <f t="shared" si="0"/>
        <v>46113</v>
      </c>
      <c r="D13" s="11">
        <v>3273</v>
      </c>
      <c r="E13" s="11">
        <v>336</v>
      </c>
      <c r="F13" s="11">
        <v>4</v>
      </c>
      <c r="G13" s="18">
        <v>9</v>
      </c>
      <c r="H13" s="18">
        <v>81676</v>
      </c>
      <c r="I13" s="18" t="s">
        <v>17</v>
      </c>
      <c r="J13" s="18">
        <v>51101654</v>
      </c>
      <c r="K13" s="18" t="s">
        <v>2103</v>
      </c>
      <c r="L13" s="18" t="s">
        <v>2107</v>
      </c>
      <c r="M13" s="21">
        <v>169900</v>
      </c>
      <c r="N13" s="24">
        <f t="shared" si="2"/>
        <v>0.7</v>
      </c>
      <c r="O13" s="25">
        <f t="shared" si="1"/>
        <v>50970</v>
      </c>
      <c r="P13" s="11" t="s">
        <v>20</v>
      </c>
    </row>
    <row r="14" spans="1:16" x14ac:dyDescent="0.25">
      <c r="A14" s="23" t="str">
        <f t="shared" si="0"/>
        <v>2025 JAN-JUN D70</v>
      </c>
      <c r="B14" s="10">
        <f t="shared" si="0"/>
        <v>46104</v>
      </c>
      <c r="C14" s="10">
        <f t="shared" si="0"/>
        <v>46113</v>
      </c>
      <c r="D14" s="11">
        <v>3273</v>
      </c>
      <c r="E14" s="11">
        <v>336</v>
      </c>
      <c r="F14" s="11">
        <v>4</v>
      </c>
      <c r="G14" s="18">
        <v>9</v>
      </c>
      <c r="H14" s="18">
        <v>81676</v>
      </c>
      <c r="I14" s="18" t="s">
        <v>17</v>
      </c>
      <c r="J14" s="18">
        <v>51101663</v>
      </c>
      <c r="K14" s="18" t="s">
        <v>2103</v>
      </c>
      <c r="L14" s="18" t="s">
        <v>2108</v>
      </c>
      <c r="M14" s="21">
        <v>169900</v>
      </c>
      <c r="N14" s="24">
        <f t="shared" si="2"/>
        <v>0.7</v>
      </c>
      <c r="O14" s="25">
        <f t="shared" si="1"/>
        <v>50970</v>
      </c>
      <c r="P14" s="11" t="s">
        <v>20</v>
      </c>
    </row>
    <row r="15" spans="1:16" x14ac:dyDescent="0.25">
      <c r="A15" s="23" t="str">
        <f t="shared" si="0"/>
        <v>2025 JAN-JUN D70</v>
      </c>
      <c r="B15" s="10">
        <f t="shared" si="0"/>
        <v>46104</v>
      </c>
      <c r="C15" s="10">
        <f t="shared" si="0"/>
        <v>46113</v>
      </c>
      <c r="D15" s="11">
        <v>3273</v>
      </c>
      <c r="E15" s="11">
        <v>336</v>
      </c>
      <c r="F15" s="11">
        <v>4</v>
      </c>
      <c r="G15" s="18">
        <v>9</v>
      </c>
      <c r="H15" s="18">
        <v>81676</v>
      </c>
      <c r="I15" s="18" t="s">
        <v>17</v>
      </c>
      <c r="J15" s="18">
        <v>51101672</v>
      </c>
      <c r="K15" s="18" t="s">
        <v>2103</v>
      </c>
      <c r="L15" s="18" t="s">
        <v>2109</v>
      </c>
      <c r="M15" s="21">
        <v>169900</v>
      </c>
      <c r="N15" s="24">
        <f t="shared" si="2"/>
        <v>0.7</v>
      </c>
      <c r="O15" s="25">
        <f t="shared" si="1"/>
        <v>50970</v>
      </c>
      <c r="P15" s="11" t="s">
        <v>20</v>
      </c>
    </row>
    <row r="16" spans="1:16" x14ac:dyDescent="0.25">
      <c r="A16" s="23" t="str">
        <f t="shared" si="0"/>
        <v>2025 JAN-JUN D70</v>
      </c>
      <c r="B16" s="10">
        <f t="shared" si="0"/>
        <v>46104</v>
      </c>
      <c r="C16" s="10">
        <f t="shared" si="0"/>
        <v>46113</v>
      </c>
      <c r="D16" s="11">
        <v>3273</v>
      </c>
      <c r="E16" s="11">
        <v>336</v>
      </c>
      <c r="F16" s="11">
        <v>4</v>
      </c>
      <c r="G16" s="18">
        <v>9</v>
      </c>
      <c r="H16" s="18">
        <v>81676</v>
      </c>
      <c r="I16" s="18" t="s">
        <v>17</v>
      </c>
      <c r="J16" s="18">
        <v>51101681</v>
      </c>
      <c r="K16" s="18" t="s">
        <v>2103</v>
      </c>
      <c r="L16" s="18" t="s">
        <v>2110</v>
      </c>
      <c r="M16" s="21">
        <v>169900</v>
      </c>
      <c r="N16" s="24">
        <f t="shared" si="2"/>
        <v>0.7</v>
      </c>
      <c r="O16" s="25">
        <f t="shared" si="1"/>
        <v>50970</v>
      </c>
      <c r="P16" s="11" t="s">
        <v>20</v>
      </c>
    </row>
    <row r="17" spans="1:16" x14ac:dyDescent="0.25">
      <c r="A17" s="23" t="str">
        <f t="shared" si="0"/>
        <v>2025 JAN-JUN D70</v>
      </c>
      <c r="B17" s="10">
        <f t="shared" si="0"/>
        <v>46104</v>
      </c>
      <c r="C17" s="10">
        <f t="shared" si="0"/>
        <v>46113</v>
      </c>
      <c r="D17" s="11">
        <v>3273</v>
      </c>
      <c r="E17" s="11">
        <v>336</v>
      </c>
      <c r="F17" s="11">
        <v>4</v>
      </c>
      <c r="G17" s="18">
        <v>9</v>
      </c>
      <c r="H17" s="18">
        <v>81676</v>
      </c>
      <c r="I17" s="18" t="s">
        <v>17</v>
      </c>
      <c r="J17" s="18">
        <v>51101690</v>
      </c>
      <c r="K17" s="18" t="s">
        <v>2103</v>
      </c>
      <c r="L17" s="18" t="s">
        <v>2111</v>
      </c>
      <c r="M17" s="21">
        <v>169900</v>
      </c>
      <c r="N17" s="24">
        <f t="shared" si="2"/>
        <v>0.7</v>
      </c>
      <c r="O17" s="25">
        <f t="shared" si="1"/>
        <v>50970</v>
      </c>
      <c r="P17" s="11" t="s">
        <v>20</v>
      </c>
    </row>
    <row r="18" spans="1:16" x14ac:dyDescent="0.25">
      <c r="A18" s="23" t="str">
        <f t="shared" si="0"/>
        <v>2025 JAN-JUN D70</v>
      </c>
      <c r="B18" s="10">
        <f t="shared" si="0"/>
        <v>46104</v>
      </c>
      <c r="C18" s="10">
        <f t="shared" si="0"/>
        <v>46113</v>
      </c>
      <c r="D18" s="11">
        <v>3273</v>
      </c>
      <c r="E18" s="11">
        <v>336</v>
      </c>
      <c r="F18" s="11">
        <v>4</v>
      </c>
      <c r="G18" s="18">
        <v>9</v>
      </c>
      <c r="H18" s="18">
        <v>81588</v>
      </c>
      <c r="I18" s="18" t="s">
        <v>17</v>
      </c>
      <c r="J18" s="18">
        <v>51102868</v>
      </c>
      <c r="K18" s="18" t="s">
        <v>2112</v>
      </c>
      <c r="L18" s="18" t="s">
        <v>2113</v>
      </c>
      <c r="M18" s="21">
        <v>169900</v>
      </c>
      <c r="N18" s="24">
        <f t="shared" si="2"/>
        <v>0.7</v>
      </c>
      <c r="O18" s="25">
        <f t="shared" si="1"/>
        <v>50970</v>
      </c>
      <c r="P18" s="11" t="s">
        <v>20</v>
      </c>
    </row>
    <row r="19" spans="1:16" x14ac:dyDescent="0.25">
      <c r="A19" s="23" t="str">
        <f t="shared" ref="A19:C34" si="3">A18</f>
        <v>2025 JAN-JUN D70</v>
      </c>
      <c r="B19" s="10">
        <f t="shared" si="3"/>
        <v>46104</v>
      </c>
      <c r="C19" s="10">
        <f t="shared" si="3"/>
        <v>46113</v>
      </c>
      <c r="D19" s="11">
        <v>3273</v>
      </c>
      <c r="E19" s="11">
        <v>336</v>
      </c>
      <c r="F19" s="11">
        <v>4</v>
      </c>
      <c r="G19" s="18">
        <v>9</v>
      </c>
      <c r="H19" s="18">
        <v>81588</v>
      </c>
      <c r="I19" s="18" t="s">
        <v>17</v>
      </c>
      <c r="J19" s="18">
        <v>51102877</v>
      </c>
      <c r="K19" s="18" t="s">
        <v>2112</v>
      </c>
      <c r="L19" s="18" t="s">
        <v>2114</v>
      </c>
      <c r="M19" s="21">
        <v>169900</v>
      </c>
      <c r="N19" s="24">
        <f t="shared" si="2"/>
        <v>0.7</v>
      </c>
      <c r="O19" s="25">
        <f t="shared" si="1"/>
        <v>50970</v>
      </c>
      <c r="P19" s="11" t="s">
        <v>20</v>
      </c>
    </row>
    <row r="20" spans="1:16" x14ac:dyDescent="0.25">
      <c r="A20" s="23" t="str">
        <f t="shared" si="3"/>
        <v>2025 JAN-JUN D70</v>
      </c>
      <c r="B20" s="10">
        <f t="shared" si="3"/>
        <v>46104</v>
      </c>
      <c r="C20" s="10">
        <f t="shared" si="3"/>
        <v>46113</v>
      </c>
      <c r="D20" s="11">
        <v>3273</v>
      </c>
      <c r="E20" s="11">
        <v>336</v>
      </c>
      <c r="F20" s="11">
        <v>4</v>
      </c>
      <c r="G20" s="18">
        <v>9</v>
      </c>
      <c r="H20" s="18">
        <v>81588</v>
      </c>
      <c r="I20" s="18" t="s">
        <v>17</v>
      </c>
      <c r="J20" s="18">
        <v>51102886</v>
      </c>
      <c r="K20" s="18" t="s">
        <v>2112</v>
      </c>
      <c r="L20" s="18" t="s">
        <v>2115</v>
      </c>
      <c r="M20" s="21">
        <v>169900</v>
      </c>
      <c r="N20" s="24">
        <f t="shared" si="2"/>
        <v>0.7</v>
      </c>
      <c r="O20" s="25">
        <f t="shared" si="1"/>
        <v>50970</v>
      </c>
      <c r="P20" s="11" t="s">
        <v>20</v>
      </c>
    </row>
    <row r="21" spans="1:16" x14ac:dyDescent="0.25">
      <c r="A21" s="23" t="str">
        <f t="shared" si="3"/>
        <v>2025 JAN-JUN D70</v>
      </c>
      <c r="B21" s="10">
        <f t="shared" si="3"/>
        <v>46104</v>
      </c>
      <c r="C21" s="10">
        <f t="shared" si="3"/>
        <v>46113</v>
      </c>
      <c r="D21" s="11">
        <v>3273</v>
      </c>
      <c r="E21" s="11">
        <v>336</v>
      </c>
      <c r="F21" s="11">
        <v>4</v>
      </c>
      <c r="G21" s="18">
        <v>9</v>
      </c>
      <c r="H21" s="18">
        <v>81588</v>
      </c>
      <c r="I21" s="18" t="s">
        <v>17</v>
      </c>
      <c r="J21" s="18">
        <v>51102895</v>
      </c>
      <c r="K21" s="18" t="s">
        <v>2112</v>
      </c>
      <c r="L21" s="18" t="s">
        <v>2116</v>
      </c>
      <c r="M21" s="21">
        <v>169900</v>
      </c>
      <c r="N21" s="24">
        <f t="shared" si="2"/>
        <v>0.7</v>
      </c>
      <c r="O21" s="25">
        <f t="shared" si="1"/>
        <v>50970</v>
      </c>
      <c r="P21" s="11" t="s">
        <v>20</v>
      </c>
    </row>
    <row r="22" spans="1:16" x14ac:dyDescent="0.25">
      <c r="A22" s="23" t="str">
        <f t="shared" si="3"/>
        <v>2025 JAN-JUN D70</v>
      </c>
      <c r="B22" s="10">
        <f t="shared" si="3"/>
        <v>46104</v>
      </c>
      <c r="C22" s="10">
        <f t="shared" si="3"/>
        <v>46113</v>
      </c>
      <c r="D22" s="11">
        <v>3273</v>
      </c>
      <c r="E22" s="11">
        <v>336</v>
      </c>
      <c r="F22" s="11">
        <v>4</v>
      </c>
      <c r="G22" s="18">
        <v>9</v>
      </c>
      <c r="H22" s="18">
        <v>81588</v>
      </c>
      <c r="I22" s="18" t="s">
        <v>17</v>
      </c>
      <c r="J22" s="18">
        <v>51102902</v>
      </c>
      <c r="K22" s="18" t="s">
        <v>2112</v>
      </c>
      <c r="L22" s="18" t="s">
        <v>2117</v>
      </c>
      <c r="M22" s="21">
        <v>169900</v>
      </c>
      <c r="N22" s="24">
        <f t="shared" si="2"/>
        <v>0.7</v>
      </c>
      <c r="O22" s="25">
        <f t="shared" si="1"/>
        <v>50970</v>
      </c>
      <c r="P22" s="11" t="s">
        <v>20</v>
      </c>
    </row>
    <row r="23" spans="1:16" x14ac:dyDescent="0.25">
      <c r="A23" s="23" t="str">
        <f t="shared" si="3"/>
        <v>2025 JAN-JUN D70</v>
      </c>
      <c r="B23" s="10">
        <f t="shared" si="3"/>
        <v>46104</v>
      </c>
      <c r="C23" s="10">
        <f t="shared" si="3"/>
        <v>46113</v>
      </c>
      <c r="D23" s="11">
        <v>3273</v>
      </c>
      <c r="E23" s="11">
        <v>336</v>
      </c>
      <c r="F23" s="11">
        <v>4</v>
      </c>
      <c r="G23" s="18">
        <v>9</v>
      </c>
      <c r="H23" s="18">
        <v>81588</v>
      </c>
      <c r="I23" s="18" t="s">
        <v>17</v>
      </c>
      <c r="J23" s="18">
        <v>51102911</v>
      </c>
      <c r="K23" s="18" t="s">
        <v>2112</v>
      </c>
      <c r="L23" s="18" t="s">
        <v>2118</v>
      </c>
      <c r="M23" s="21">
        <v>169900</v>
      </c>
      <c r="N23" s="24">
        <f t="shared" si="2"/>
        <v>0.7</v>
      </c>
      <c r="O23" s="25">
        <f t="shared" si="1"/>
        <v>50970</v>
      </c>
      <c r="P23" s="11" t="s">
        <v>20</v>
      </c>
    </row>
    <row r="24" spans="1:16" x14ac:dyDescent="0.25">
      <c r="A24" s="23" t="str">
        <f t="shared" si="3"/>
        <v>2025 JAN-JUN D70</v>
      </c>
      <c r="B24" s="10">
        <f t="shared" si="3"/>
        <v>46104</v>
      </c>
      <c r="C24" s="10">
        <f t="shared" si="3"/>
        <v>46113</v>
      </c>
      <c r="D24" s="11">
        <v>3273</v>
      </c>
      <c r="E24" s="11">
        <v>336</v>
      </c>
      <c r="F24" s="11">
        <v>4</v>
      </c>
      <c r="G24" s="18">
        <v>9</v>
      </c>
      <c r="H24" s="18">
        <v>81588</v>
      </c>
      <c r="I24" s="18" t="s">
        <v>17</v>
      </c>
      <c r="J24" s="18">
        <v>51102920</v>
      </c>
      <c r="K24" s="18" t="s">
        <v>2112</v>
      </c>
      <c r="L24" s="18" t="s">
        <v>2119</v>
      </c>
      <c r="M24" s="21">
        <v>169900</v>
      </c>
      <c r="N24" s="24">
        <f t="shared" si="2"/>
        <v>0.7</v>
      </c>
      <c r="O24" s="25">
        <f t="shared" si="1"/>
        <v>50970</v>
      </c>
      <c r="P24" s="11" t="s">
        <v>20</v>
      </c>
    </row>
    <row r="25" spans="1:16" x14ac:dyDescent="0.25">
      <c r="A25" s="23" t="str">
        <f t="shared" si="3"/>
        <v>2025 JAN-JUN D70</v>
      </c>
      <c r="B25" s="10">
        <f t="shared" si="3"/>
        <v>46104</v>
      </c>
      <c r="C25" s="10">
        <f t="shared" si="3"/>
        <v>46113</v>
      </c>
      <c r="D25" s="11">
        <v>3273</v>
      </c>
      <c r="E25" s="11">
        <v>336</v>
      </c>
      <c r="F25" s="11">
        <v>4</v>
      </c>
      <c r="G25" s="18">
        <v>9</v>
      </c>
      <c r="H25" s="18">
        <v>81588</v>
      </c>
      <c r="I25" s="18" t="s">
        <v>17</v>
      </c>
      <c r="J25" s="18">
        <v>51102939</v>
      </c>
      <c r="K25" s="18" t="s">
        <v>2112</v>
      </c>
      <c r="L25" s="18" t="s">
        <v>2120</v>
      </c>
      <c r="M25" s="21">
        <v>169900</v>
      </c>
      <c r="N25" s="24">
        <f t="shared" si="2"/>
        <v>0.7</v>
      </c>
      <c r="O25" s="25">
        <f t="shared" si="1"/>
        <v>50970</v>
      </c>
      <c r="P25" s="11" t="s">
        <v>20</v>
      </c>
    </row>
    <row r="26" spans="1:16" x14ac:dyDescent="0.25">
      <c r="A26" s="23" t="str">
        <f t="shared" si="3"/>
        <v>2025 JAN-JUN D70</v>
      </c>
      <c r="B26" s="10">
        <f t="shared" si="3"/>
        <v>46104</v>
      </c>
      <c r="C26" s="10">
        <f t="shared" si="3"/>
        <v>46113</v>
      </c>
      <c r="D26" s="11">
        <v>3273</v>
      </c>
      <c r="E26" s="11">
        <v>336</v>
      </c>
      <c r="F26" s="11">
        <v>4</v>
      </c>
      <c r="G26" s="18">
        <v>9</v>
      </c>
      <c r="H26" s="18">
        <v>81588</v>
      </c>
      <c r="I26" s="18" t="s">
        <v>17</v>
      </c>
      <c r="J26" s="18">
        <v>51102948</v>
      </c>
      <c r="K26" s="18" t="s">
        <v>2121</v>
      </c>
      <c r="L26" s="18" t="s">
        <v>2122</v>
      </c>
      <c r="M26" s="21">
        <v>249900</v>
      </c>
      <c r="N26" s="24">
        <f t="shared" si="2"/>
        <v>0.7</v>
      </c>
      <c r="O26" s="25">
        <f t="shared" si="1"/>
        <v>74970</v>
      </c>
      <c r="P26" s="11" t="s">
        <v>20</v>
      </c>
    </row>
    <row r="27" spans="1:16" x14ac:dyDescent="0.25">
      <c r="A27" s="23" t="str">
        <f t="shared" si="3"/>
        <v>2025 JAN-JUN D70</v>
      </c>
      <c r="B27" s="10">
        <f t="shared" si="3"/>
        <v>46104</v>
      </c>
      <c r="C27" s="10">
        <f t="shared" si="3"/>
        <v>46113</v>
      </c>
      <c r="D27" s="11">
        <v>3273</v>
      </c>
      <c r="E27" s="11">
        <v>336</v>
      </c>
      <c r="F27" s="11">
        <v>4</v>
      </c>
      <c r="G27" s="18">
        <v>9</v>
      </c>
      <c r="H27" s="18">
        <v>81588</v>
      </c>
      <c r="I27" s="18" t="s">
        <v>17</v>
      </c>
      <c r="J27" s="18">
        <v>51102957</v>
      </c>
      <c r="K27" s="18" t="s">
        <v>2121</v>
      </c>
      <c r="L27" s="18" t="s">
        <v>2123</v>
      </c>
      <c r="M27" s="21">
        <v>249900</v>
      </c>
      <c r="N27" s="24">
        <f t="shared" si="2"/>
        <v>0.7</v>
      </c>
      <c r="O27" s="25">
        <f t="shared" si="1"/>
        <v>74970</v>
      </c>
      <c r="P27" s="11" t="s">
        <v>20</v>
      </c>
    </row>
    <row r="28" spans="1:16" x14ac:dyDescent="0.25">
      <c r="A28" s="23" t="str">
        <f t="shared" si="3"/>
        <v>2025 JAN-JUN D70</v>
      </c>
      <c r="B28" s="10">
        <f t="shared" si="3"/>
        <v>46104</v>
      </c>
      <c r="C28" s="10">
        <f t="shared" si="3"/>
        <v>46113</v>
      </c>
      <c r="D28" s="11">
        <v>3273</v>
      </c>
      <c r="E28" s="11">
        <v>336</v>
      </c>
      <c r="F28" s="11">
        <v>4</v>
      </c>
      <c r="G28" s="18">
        <v>9</v>
      </c>
      <c r="H28" s="18">
        <v>81588</v>
      </c>
      <c r="I28" s="18" t="s">
        <v>17</v>
      </c>
      <c r="J28" s="18">
        <v>51102966</v>
      </c>
      <c r="K28" s="18" t="s">
        <v>2121</v>
      </c>
      <c r="L28" s="18" t="s">
        <v>2124</v>
      </c>
      <c r="M28" s="21">
        <v>249900</v>
      </c>
      <c r="N28" s="24">
        <f t="shared" si="2"/>
        <v>0.7</v>
      </c>
      <c r="O28" s="25">
        <f t="shared" si="1"/>
        <v>74970</v>
      </c>
      <c r="P28" s="11" t="s">
        <v>20</v>
      </c>
    </row>
    <row r="29" spans="1:16" x14ac:dyDescent="0.25">
      <c r="A29" s="23" t="str">
        <f t="shared" si="3"/>
        <v>2025 JAN-JUN D70</v>
      </c>
      <c r="B29" s="10">
        <f t="shared" si="3"/>
        <v>46104</v>
      </c>
      <c r="C29" s="10">
        <f t="shared" si="3"/>
        <v>46113</v>
      </c>
      <c r="D29" s="11">
        <v>3273</v>
      </c>
      <c r="E29" s="11">
        <v>336</v>
      </c>
      <c r="F29" s="11">
        <v>4</v>
      </c>
      <c r="G29" s="18">
        <v>9</v>
      </c>
      <c r="H29" s="18">
        <v>81588</v>
      </c>
      <c r="I29" s="18" t="s">
        <v>17</v>
      </c>
      <c r="J29" s="18">
        <v>51102975</v>
      </c>
      <c r="K29" s="18" t="s">
        <v>2121</v>
      </c>
      <c r="L29" s="18" t="s">
        <v>2125</v>
      </c>
      <c r="M29" s="21">
        <v>249900</v>
      </c>
      <c r="N29" s="24">
        <f t="shared" si="2"/>
        <v>0.7</v>
      </c>
      <c r="O29" s="25">
        <f t="shared" si="1"/>
        <v>74970</v>
      </c>
      <c r="P29" s="11" t="s">
        <v>20</v>
      </c>
    </row>
    <row r="30" spans="1:16" x14ac:dyDescent="0.25">
      <c r="A30" s="23" t="str">
        <f t="shared" si="3"/>
        <v>2025 JAN-JUN D70</v>
      </c>
      <c r="B30" s="10">
        <f t="shared" si="3"/>
        <v>46104</v>
      </c>
      <c r="C30" s="10">
        <f t="shared" si="3"/>
        <v>46113</v>
      </c>
      <c r="D30" s="11">
        <v>3273</v>
      </c>
      <c r="E30" s="11">
        <v>336</v>
      </c>
      <c r="F30" s="11">
        <v>4</v>
      </c>
      <c r="G30" s="18">
        <v>9</v>
      </c>
      <c r="H30" s="18">
        <v>81588</v>
      </c>
      <c r="I30" s="18" t="s">
        <v>17</v>
      </c>
      <c r="J30" s="18">
        <v>51102984</v>
      </c>
      <c r="K30" s="18" t="s">
        <v>2121</v>
      </c>
      <c r="L30" s="18" t="s">
        <v>2126</v>
      </c>
      <c r="M30" s="21">
        <v>249900</v>
      </c>
      <c r="N30" s="24">
        <f t="shared" si="2"/>
        <v>0.7</v>
      </c>
      <c r="O30" s="25">
        <f t="shared" si="1"/>
        <v>74970</v>
      </c>
      <c r="P30" s="11" t="s">
        <v>20</v>
      </c>
    </row>
    <row r="31" spans="1:16" x14ac:dyDescent="0.25">
      <c r="A31" s="23" t="str">
        <f t="shared" si="3"/>
        <v>2025 JAN-JUN D70</v>
      </c>
      <c r="B31" s="10">
        <f t="shared" si="3"/>
        <v>46104</v>
      </c>
      <c r="C31" s="10">
        <f t="shared" si="3"/>
        <v>46113</v>
      </c>
      <c r="D31" s="11">
        <v>3273</v>
      </c>
      <c r="E31" s="11">
        <v>336</v>
      </c>
      <c r="F31" s="11">
        <v>4</v>
      </c>
      <c r="G31" s="18">
        <v>9</v>
      </c>
      <c r="H31" s="18">
        <v>81588</v>
      </c>
      <c r="I31" s="18" t="s">
        <v>17</v>
      </c>
      <c r="J31" s="18">
        <v>51102993</v>
      </c>
      <c r="K31" s="18" t="s">
        <v>2121</v>
      </c>
      <c r="L31" s="18" t="s">
        <v>2127</v>
      </c>
      <c r="M31" s="21">
        <v>249900</v>
      </c>
      <c r="N31" s="24">
        <f t="shared" si="2"/>
        <v>0.7</v>
      </c>
      <c r="O31" s="25">
        <f t="shared" si="1"/>
        <v>74970</v>
      </c>
      <c r="P31" s="11" t="s">
        <v>20</v>
      </c>
    </row>
    <row r="32" spans="1:16" x14ac:dyDescent="0.25">
      <c r="A32" s="23" t="str">
        <f t="shared" si="3"/>
        <v>2025 JAN-JUN D70</v>
      </c>
      <c r="B32" s="10">
        <f t="shared" si="3"/>
        <v>46104</v>
      </c>
      <c r="C32" s="10">
        <f t="shared" si="3"/>
        <v>46113</v>
      </c>
      <c r="D32" s="11">
        <v>3273</v>
      </c>
      <c r="E32" s="11">
        <v>336</v>
      </c>
      <c r="F32" s="11">
        <v>4</v>
      </c>
      <c r="G32" s="18">
        <v>9</v>
      </c>
      <c r="H32" s="18">
        <v>81588</v>
      </c>
      <c r="I32" s="18" t="s">
        <v>17</v>
      </c>
      <c r="J32" s="18">
        <v>51103009</v>
      </c>
      <c r="K32" s="18" t="s">
        <v>2121</v>
      </c>
      <c r="L32" s="18" t="s">
        <v>2128</v>
      </c>
      <c r="M32" s="21">
        <v>249900</v>
      </c>
      <c r="N32" s="24">
        <f t="shared" si="2"/>
        <v>0.7</v>
      </c>
      <c r="O32" s="25">
        <f t="shared" si="1"/>
        <v>74970</v>
      </c>
      <c r="P32" s="11" t="s">
        <v>20</v>
      </c>
    </row>
    <row r="33" spans="1:16" x14ac:dyDescent="0.25">
      <c r="A33" s="23" t="str">
        <f t="shared" si="3"/>
        <v>2025 JAN-JUN D70</v>
      </c>
      <c r="B33" s="10">
        <f t="shared" si="3"/>
        <v>46104</v>
      </c>
      <c r="C33" s="10">
        <f t="shared" si="3"/>
        <v>46113</v>
      </c>
      <c r="D33" s="11">
        <v>3273</v>
      </c>
      <c r="E33" s="11">
        <v>336</v>
      </c>
      <c r="F33" s="11">
        <v>4</v>
      </c>
      <c r="G33" s="18">
        <v>9</v>
      </c>
      <c r="H33" s="18">
        <v>81588</v>
      </c>
      <c r="I33" s="18" t="s">
        <v>17</v>
      </c>
      <c r="J33" s="18">
        <v>51103018</v>
      </c>
      <c r="K33" s="18" t="s">
        <v>2121</v>
      </c>
      <c r="L33" s="18" t="s">
        <v>2129</v>
      </c>
      <c r="M33" s="21">
        <v>249900</v>
      </c>
      <c r="N33" s="24">
        <f t="shared" si="2"/>
        <v>0.7</v>
      </c>
      <c r="O33" s="25">
        <f t="shared" si="1"/>
        <v>74970</v>
      </c>
      <c r="P33" s="11" t="s">
        <v>20</v>
      </c>
    </row>
    <row r="34" spans="1:16" x14ac:dyDescent="0.25">
      <c r="A34" s="23" t="str">
        <f t="shared" si="3"/>
        <v>2025 JAN-JUN D70</v>
      </c>
      <c r="B34" s="10">
        <f t="shared" si="3"/>
        <v>46104</v>
      </c>
      <c r="C34" s="10">
        <f t="shared" si="3"/>
        <v>46113</v>
      </c>
      <c r="D34" s="11">
        <v>3273</v>
      </c>
      <c r="E34" s="11">
        <v>336</v>
      </c>
      <c r="F34" s="11">
        <v>4</v>
      </c>
      <c r="G34" s="18">
        <v>9</v>
      </c>
      <c r="H34" s="18">
        <v>81588</v>
      </c>
      <c r="I34" s="18" t="s">
        <v>17</v>
      </c>
      <c r="J34" s="18">
        <v>51104071</v>
      </c>
      <c r="K34" s="18" t="s">
        <v>2130</v>
      </c>
      <c r="L34" s="18" t="s">
        <v>2131</v>
      </c>
      <c r="M34" s="21">
        <v>169900</v>
      </c>
      <c r="N34" s="24">
        <f t="shared" si="2"/>
        <v>0.7</v>
      </c>
      <c r="O34" s="25">
        <f t="shared" si="1"/>
        <v>50970</v>
      </c>
      <c r="P34" s="11" t="s">
        <v>20</v>
      </c>
    </row>
    <row r="35" spans="1:16" x14ac:dyDescent="0.25">
      <c r="A35" s="23" t="str">
        <f t="shared" ref="A35:C50" si="4">A34</f>
        <v>2025 JAN-JUN D70</v>
      </c>
      <c r="B35" s="10">
        <f t="shared" si="4"/>
        <v>46104</v>
      </c>
      <c r="C35" s="10">
        <f t="shared" si="4"/>
        <v>46113</v>
      </c>
      <c r="D35" s="11">
        <v>3273</v>
      </c>
      <c r="E35" s="11">
        <v>336</v>
      </c>
      <c r="F35" s="11">
        <v>4</v>
      </c>
      <c r="G35" s="18">
        <v>9</v>
      </c>
      <c r="H35" s="18">
        <v>81588</v>
      </c>
      <c r="I35" s="18" t="s">
        <v>17</v>
      </c>
      <c r="J35" s="18">
        <v>51104080</v>
      </c>
      <c r="K35" s="18" t="s">
        <v>2130</v>
      </c>
      <c r="L35" s="18" t="s">
        <v>2132</v>
      </c>
      <c r="M35" s="21">
        <v>169900</v>
      </c>
      <c r="N35" s="24">
        <f t="shared" si="2"/>
        <v>0.7</v>
      </c>
      <c r="O35" s="25">
        <f t="shared" si="1"/>
        <v>50970</v>
      </c>
      <c r="P35" s="11" t="s">
        <v>20</v>
      </c>
    </row>
    <row r="36" spans="1:16" x14ac:dyDescent="0.25">
      <c r="A36" s="23" t="str">
        <f t="shared" si="4"/>
        <v>2025 JAN-JUN D70</v>
      </c>
      <c r="B36" s="10">
        <f t="shared" si="4"/>
        <v>46104</v>
      </c>
      <c r="C36" s="10">
        <f t="shared" si="4"/>
        <v>46113</v>
      </c>
      <c r="D36" s="11">
        <v>3273</v>
      </c>
      <c r="E36" s="11">
        <v>336</v>
      </c>
      <c r="F36" s="11">
        <v>4</v>
      </c>
      <c r="G36" s="18">
        <v>9</v>
      </c>
      <c r="H36" s="18">
        <v>81588</v>
      </c>
      <c r="I36" s="18" t="s">
        <v>17</v>
      </c>
      <c r="J36" s="18">
        <v>51104099</v>
      </c>
      <c r="K36" s="18" t="s">
        <v>2130</v>
      </c>
      <c r="L36" s="18" t="s">
        <v>2133</v>
      </c>
      <c r="M36" s="21">
        <v>169900</v>
      </c>
      <c r="N36" s="24">
        <f t="shared" si="2"/>
        <v>0.7</v>
      </c>
      <c r="O36" s="25">
        <f t="shared" si="1"/>
        <v>50970</v>
      </c>
      <c r="P36" s="11" t="s">
        <v>20</v>
      </c>
    </row>
    <row r="37" spans="1:16" x14ac:dyDescent="0.25">
      <c r="A37" s="23" t="str">
        <f t="shared" si="4"/>
        <v>2025 JAN-JUN D70</v>
      </c>
      <c r="B37" s="10">
        <f t="shared" si="4"/>
        <v>46104</v>
      </c>
      <c r="C37" s="10">
        <f t="shared" si="4"/>
        <v>46113</v>
      </c>
      <c r="D37" s="11">
        <v>3273</v>
      </c>
      <c r="E37" s="11">
        <v>336</v>
      </c>
      <c r="F37" s="11">
        <v>4</v>
      </c>
      <c r="G37" s="18">
        <v>9</v>
      </c>
      <c r="H37" s="18">
        <v>81588</v>
      </c>
      <c r="I37" s="18" t="s">
        <v>17</v>
      </c>
      <c r="J37" s="18">
        <v>51104106</v>
      </c>
      <c r="K37" s="18" t="s">
        <v>2130</v>
      </c>
      <c r="L37" s="18" t="s">
        <v>2134</v>
      </c>
      <c r="M37" s="21">
        <v>169900</v>
      </c>
      <c r="N37" s="24">
        <f t="shared" si="2"/>
        <v>0.7</v>
      </c>
      <c r="O37" s="25">
        <f t="shared" si="1"/>
        <v>50970</v>
      </c>
      <c r="P37" s="11" t="s">
        <v>20</v>
      </c>
    </row>
    <row r="38" spans="1:16" x14ac:dyDescent="0.25">
      <c r="A38" s="23" t="str">
        <f t="shared" si="4"/>
        <v>2025 JAN-JUN D70</v>
      </c>
      <c r="B38" s="10">
        <f t="shared" si="4"/>
        <v>46104</v>
      </c>
      <c r="C38" s="10">
        <f t="shared" si="4"/>
        <v>46113</v>
      </c>
      <c r="D38" s="11">
        <v>3273</v>
      </c>
      <c r="E38" s="11">
        <v>336</v>
      </c>
      <c r="F38" s="11">
        <v>4</v>
      </c>
      <c r="G38" s="18">
        <v>9</v>
      </c>
      <c r="H38" s="18">
        <v>81588</v>
      </c>
      <c r="I38" s="18" t="s">
        <v>17</v>
      </c>
      <c r="J38" s="18">
        <v>51104115</v>
      </c>
      <c r="K38" s="18" t="s">
        <v>2130</v>
      </c>
      <c r="L38" s="18" t="s">
        <v>2135</v>
      </c>
      <c r="M38" s="21">
        <v>169900</v>
      </c>
      <c r="N38" s="24">
        <f t="shared" si="2"/>
        <v>0.7</v>
      </c>
      <c r="O38" s="25">
        <f t="shared" si="1"/>
        <v>50970</v>
      </c>
      <c r="P38" s="11" t="s">
        <v>20</v>
      </c>
    </row>
    <row r="39" spans="1:16" x14ac:dyDescent="0.25">
      <c r="A39" s="23" t="str">
        <f t="shared" si="4"/>
        <v>2025 JAN-JUN D70</v>
      </c>
      <c r="B39" s="10">
        <f t="shared" si="4"/>
        <v>46104</v>
      </c>
      <c r="C39" s="10">
        <f t="shared" si="4"/>
        <v>46113</v>
      </c>
      <c r="D39" s="11">
        <v>3273</v>
      </c>
      <c r="E39" s="11">
        <v>336</v>
      </c>
      <c r="F39" s="11">
        <v>4</v>
      </c>
      <c r="G39" s="18">
        <v>9</v>
      </c>
      <c r="H39" s="18">
        <v>81588</v>
      </c>
      <c r="I39" s="18" t="s">
        <v>17</v>
      </c>
      <c r="J39" s="18">
        <v>51104124</v>
      </c>
      <c r="K39" s="18" t="s">
        <v>2130</v>
      </c>
      <c r="L39" s="18" t="s">
        <v>2136</v>
      </c>
      <c r="M39" s="21">
        <v>169900</v>
      </c>
      <c r="N39" s="24">
        <f t="shared" si="2"/>
        <v>0.7</v>
      </c>
      <c r="O39" s="25">
        <f t="shared" si="1"/>
        <v>50970</v>
      </c>
      <c r="P39" s="11" t="s">
        <v>20</v>
      </c>
    </row>
    <row r="40" spans="1:16" x14ac:dyDescent="0.25">
      <c r="A40" s="23" t="str">
        <f t="shared" si="4"/>
        <v>2025 JAN-JUN D70</v>
      </c>
      <c r="B40" s="10">
        <f t="shared" si="4"/>
        <v>46104</v>
      </c>
      <c r="C40" s="10">
        <f t="shared" si="4"/>
        <v>46113</v>
      </c>
      <c r="D40" s="11">
        <v>3273</v>
      </c>
      <c r="E40" s="11">
        <v>336</v>
      </c>
      <c r="F40" s="11">
        <v>4</v>
      </c>
      <c r="G40" s="18">
        <v>9</v>
      </c>
      <c r="H40" s="18">
        <v>81588</v>
      </c>
      <c r="I40" s="18" t="s">
        <v>17</v>
      </c>
      <c r="J40" s="18">
        <v>51104133</v>
      </c>
      <c r="K40" s="18" t="s">
        <v>2130</v>
      </c>
      <c r="L40" s="18" t="s">
        <v>2137</v>
      </c>
      <c r="M40" s="21">
        <v>169900</v>
      </c>
      <c r="N40" s="24">
        <f t="shared" si="2"/>
        <v>0.7</v>
      </c>
      <c r="O40" s="25">
        <f t="shared" si="1"/>
        <v>50970</v>
      </c>
      <c r="P40" s="11" t="s">
        <v>20</v>
      </c>
    </row>
    <row r="41" spans="1:16" x14ac:dyDescent="0.25">
      <c r="A41" s="23" t="str">
        <f t="shared" si="4"/>
        <v>2025 JAN-JUN D70</v>
      </c>
      <c r="B41" s="10">
        <f t="shared" si="4"/>
        <v>46104</v>
      </c>
      <c r="C41" s="10">
        <f t="shared" si="4"/>
        <v>46113</v>
      </c>
      <c r="D41" s="11">
        <v>3273</v>
      </c>
      <c r="E41" s="11">
        <v>336</v>
      </c>
      <c r="F41" s="11">
        <v>4</v>
      </c>
      <c r="G41" s="18">
        <v>9</v>
      </c>
      <c r="H41" s="18">
        <v>81588</v>
      </c>
      <c r="I41" s="18" t="s">
        <v>17</v>
      </c>
      <c r="J41" s="18">
        <v>51104142</v>
      </c>
      <c r="K41" s="18" t="s">
        <v>2130</v>
      </c>
      <c r="L41" s="18" t="s">
        <v>2138</v>
      </c>
      <c r="M41" s="21">
        <v>169900</v>
      </c>
      <c r="N41" s="24">
        <f t="shared" si="2"/>
        <v>0.7</v>
      </c>
      <c r="O41" s="25">
        <f t="shared" si="1"/>
        <v>50970</v>
      </c>
      <c r="P41" s="11" t="s">
        <v>20</v>
      </c>
    </row>
    <row r="42" spans="1:16" x14ac:dyDescent="0.25">
      <c r="A42" s="23" t="str">
        <f t="shared" si="4"/>
        <v>2025 JAN-JUN D70</v>
      </c>
      <c r="B42" s="10">
        <f t="shared" si="4"/>
        <v>46104</v>
      </c>
      <c r="C42" s="10">
        <f t="shared" si="4"/>
        <v>46113</v>
      </c>
      <c r="D42" s="11">
        <v>3273</v>
      </c>
      <c r="E42" s="11">
        <v>336</v>
      </c>
      <c r="F42" s="11">
        <v>4</v>
      </c>
      <c r="G42" s="18">
        <v>9</v>
      </c>
      <c r="H42" s="18">
        <v>81588</v>
      </c>
      <c r="I42" s="18" t="s">
        <v>17</v>
      </c>
      <c r="J42" s="18">
        <v>51104151</v>
      </c>
      <c r="K42" s="18" t="s">
        <v>2139</v>
      </c>
      <c r="L42" s="18" t="s">
        <v>2140</v>
      </c>
      <c r="M42" s="21">
        <v>159900</v>
      </c>
      <c r="N42" s="24">
        <f t="shared" si="2"/>
        <v>0.7</v>
      </c>
      <c r="O42" s="25">
        <f t="shared" si="1"/>
        <v>47970</v>
      </c>
      <c r="P42" s="11" t="s">
        <v>20</v>
      </c>
    </row>
    <row r="43" spans="1:16" x14ac:dyDescent="0.25">
      <c r="A43" s="23" t="str">
        <f t="shared" si="4"/>
        <v>2025 JAN-JUN D70</v>
      </c>
      <c r="B43" s="10">
        <f t="shared" si="4"/>
        <v>46104</v>
      </c>
      <c r="C43" s="10">
        <f t="shared" si="4"/>
        <v>46113</v>
      </c>
      <c r="D43" s="11">
        <v>3273</v>
      </c>
      <c r="E43" s="11">
        <v>336</v>
      </c>
      <c r="F43" s="11">
        <v>4</v>
      </c>
      <c r="G43" s="18">
        <v>9</v>
      </c>
      <c r="H43" s="18">
        <v>81588</v>
      </c>
      <c r="I43" s="18" t="s">
        <v>17</v>
      </c>
      <c r="J43" s="18">
        <v>51104160</v>
      </c>
      <c r="K43" s="18" t="s">
        <v>2139</v>
      </c>
      <c r="L43" s="18" t="s">
        <v>2141</v>
      </c>
      <c r="M43" s="21">
        <v>159900</v>
      </c>
      <c r="N43" s="24">
        <f t="shared" si="2"/>
        <v>0.7</v>
      </c>
      <c r="O43" s="25">
        <f t="shared" si="1"/>
        <v>47970</v>
      </c>
      <c r="P43" s="11" t="s">
        <v>20</v>
      </c>
    </row>
    <row r="44" spans="1:16" x14ac:dyDescent="0.25">
      <c r="A44" s="23" t="str">
        <f t="shared" si="4"/>
        <v>2025 JAN-JUN D70</v>
      </c>
      <c r="B44" s="10">
        <f t="shared" si="4"/>
        <v>46104</v>
      </c>
      <c r="C44" s="10">
        <f t="shared" si="4"/>
        <v>46113</v>
      </c>
      <c r="D44" s="11">
        <v>3273</v>
      </c>
      <c r="E44" s="11">
        <v>336</v>
      </c>
      <c r="F44" s="11">
        <v>4</v>
      </c>
      <c r="G44" s="18">
        <v>9</v>
      </c>
      <c r="H44" s="18">
        <v>81588</v>
      </c>
      <c r="I44" s="18" t="s">
        <v>17</v>
      </c>
      <c r="J44" s="18">
        <v>51104179</v>
      </c>
      <c r="K44" s="18" t="s">
        <v>2139</v>
      </c>
      <c r="L44" s="18" t="s">
        <v>2142</v>
      </c>
      <c r="M44" s="21">
        <v>159900</v>
      </c>
      <c r="N44" s="24">
        <f t="shared" si="2"/>
        <v>0.7</v>
      </c>
      <c r="O44" s="25">
        <f t="shared" si="1"/>
        <v>47970</v>
      </c>
      <c r="P44" s="11" t="s">
        <v>20</v>
      </c>
    </row>
    <row r="45" spans="1:16" x14ac:dyDescent="0.25">
      <c r="A45" s="23" t="str">
        <f t="shared" si="4"/>
        <v>2025 JAN-JUN D70</v>
      </c>
      <c r="B45" s="10">
        <f t="shared" si="4"/>
        <v>46104</v>
      </c>
      <c r="C45" s="10">
        <f t="shared" si="4"/>
        <v>46113</v>
      </c>
      <c r="D45" s="11">
        <v>3273</v>
      </c>
      <c r="E45" s="11">
        <v>336</v>
      </c>
      <c r="F45" s="11">
        <v>4</v>
      </c>
      <c r="G45" s="18">
        <v>9</v>
      </c>
      <c r="H45" s="18">
        <v>81588</v>
      </c>
      <c r="I45" s="18" t="s">
        <v>17</v>
      </c>
      <c r="J45" s="18">
        <v>51104188</v>
      </c>
      <c r="K45" s="18" t="s">
        <v>2139</v>
      </c>
      <c r="L45" s="18" t="s">
        <v>2143</v>
      </c>
      <c r="M45" s="21">
        <v>159900</v>
      </c>
      <c r="N45" s="24">
        <f t="shared" si="2"/>
        <v>0.7</v>
      </c>
      <c r="O45" s="25">
        <f t="shared" si="1"/>
        <v>47970</v>
      </c>
      <c r="P45" s="11" t="s">
        <v>20</v>
      </c>
    </row>
    <row r="46" spans="1:16" x14ac:dyDescent="0.25">
      <c r="A46" s="23" t="str">
        <f t="shared" si="4"/>
        <v>2025 JAN-JUN D70</v>
      </c>
      <c r="B46" s="10">
        <f t="shared" si="4"/>
        <v>46104</v>
      </c>
      <c r="C46" s="10">
        <f t="shared" si="4"/>
        <v>46113</v>
      </c>
      <c r="D46" s="11">
        <v>3273</v>
      </c>
      <c r="E46" s="11">
        <v>336</v>
      </c>
      <c r="F46" s="11">
        <v>4</v>
      </c>
      <c r="G46" s="18">
        <v>9</v>
      </c>
      <c r="H46" s="18">
        <v>81588</v>
      </c>
      <c r="I46" s="18" t="s">
        <v>17</v>
      </c>
      <c r="J46" s="18">
        <v>51104197</v>
      </c>
      <c r="K46" s="18" t="s">
        <v>2139</v>
      </c>
      <c r="L46" s="18" t="s">
        <v>2144</v>
      </c>
      <c r="M46" s="21">
        <v>159900</v>
      </c>
      <c r="N46" s="24">
        <f t="shared" si="2"/>
        <v>0.7</v>
      </c>
      <c r="O46" s="25">
        <f t="shared" si="1"/>
        <v>47970</v>
      </c>
      <c r="P46" s="11" t="s">
        <v>20</v>
      </c>
    </row>
    <row r="47" spans="1:16" x14ac:dyDescent="0.25">
      <c r="A47" s="23" t="str">
        <f t="shared" si="4"/>
        <v>2025 JAN-JUN D70</v>
      </c>
      <c r="B47" s="10">
        <f t="shared" si="4"/>
        <v>46104</v>
      </c>
      <c r="C47" s="10">
        <f t="shared" si="4"/>
        <v>46113</v>
      </c>
      <c r="D47" s="11">
        <v>3273</v>
      </c>
      <c r="E47" s="11">
        <v>336</v>
      </c>
      <c r="F47" s="11">
        <v>4</v>
      </c>
      <c r="G47" s="18">
        <v>9</v>
      </c>
      <c r="H47" s="18">
        <v>81588</v>
      </c>
      <c r="I47" s="18" t="s">
        <v>17</v>
      </c>
      <c r="J47" s="18">
        <v>51104204</v>
      </c>
      <c r="K47" s="18" t="s">
        <v>2139</v>
      </c>
      <c r="L47" s="18" t="s">
        <v>2145</v>
      </c>
      <c r="M47" s="21">
        <v>159900</v>
      </c>
      <c r="N47" s="24">
        <f t="shared" si="2"/>
        <v>0.7</v>
      </c>
      <c r="O47" s="25">
        <f t="shared" si="1"/>
        <v>47970</v>
      </c>
      <c r="P47" s="11" t="s">
        <v>20</v>
      </c>
    </row>
    <row r="48" spans="1:16" x14ac:dyDescent="0.25">
      <c r="A48" s="23" t="str">
        <f t="shared" si="4"/>
        <v>2025 JAN-JUN D70</v>
      </c>
      <c r="B48" s="10">
        <f t="shared" si="4"/>
        <v>46104</v>
      </c>
      <c r="C48" s="10">
        <f t="shared" si="4"/>
        <v>46113</v>
      </c>
      <c r="D48" s="11">
        <v>3273</v>
      </c>
      <c r="E48" s="11">
        <v>336</v>
      </c>
      <c r="F48" s="11">
        <v>4</v>
      </c>
      <c r="G48" s="18">
        <v>9</v>
      </c>
      <c r="H48" s="18">
        <v>81588</v>
      </c>
      <c r="I48" s="18" t="s">
        <v>17</v>
      </c>
      <c r="J48" s="18">
        <v>51104213</v>
      </c>
      <c r="K48" s="18" t="s">
        <v>2139</v>
      </c>
      <c r="L48" s="18" t="s">
        <v>2146</v>
      </c>
      <c r="M48" s="21">
        <v>159900</v>
      </c>
      <c r="N48" s="24">
        <f t="shared" si="2"/>
        <v>0.7</v>
      </c>
      <c r="O48" s="25">
        <f t="shared" si="1"/>
        <v>47970</v>
      </c>
      <c r="P48" s="11" t="s">
        <v>20</v>
      </c>
    </row>
    <row r="49" spans="1:16" x14ac:dyDescent="0.25">
      <c r="A49" s="23" t="str">
        <f t="shared" si="4"/>
        <v>2025 JAN-JUN D70</v>
      </c>
      <c r="B49" s="10">
        <f t="shared" si="4"/>
        <v>46104</v>
      </c>
      <c r="C49" s="10">
        <f t="shared" si="4"/>
        <v>46113</v>
      </c>
      <c r="D49" s="11">
        <v>3273</v>
      </c>
      <c r="E49" s="11">
        <v>336</v>
      </c>
      <c r="F49" s="11">
        <v>4</v>
      </c>
      <c r="G49" s="18">
        <v>9</v>
      </c>
      <c r="H49" s="18">
        <v>81588</v>
      </c>
      <c r="I49" s="18" t="s">
        <v>17</v>
      </c>
      <c r="J49" s="18">
        <v>51104222</v>
      </c>
      <c r="K49" s="18" t="s">
        <v>2139</v>
      </c>
      <c r="L49" s="18" t="s">
        <v>2147</v>
      </c>
      <c r="M49" s="21">
        <v>159900</v>
      </c>
      <c r="N49" s="24">
        <f t="shared" si="2"/>
        <v>0.7</v>
      </c>
      <c r="O49" s="25">
        <f t="shared" si="1"/>
        <v>47970</v>
      </c>
      <c r="P49" s="11" t="s">
        <v>20</v>
      </c>
    </row>
    <row r="50" spans="1:16" x14ac:dyDescent="0.25">
      <c r="A50" s="23" t="str">
        <f t="shared" si="4"/>
        <v>2025 JAN-JUN D70</v>
      </c>
      <c r="B50" s="10">
        <f t="shared" si="4"/>
        <v>46104</v>
      </c>
      <c r="C50" s="10">
        <f t="shared" si="4"/>
        <v>46113</v>
      </c>
      <c r="D50" s="11">
        <v>3273</v>
      </c>
      <c r="E50" s="11">
        <v>336</v>
      </c>
      <c r="F50" s="11">
        <v>4</v>
      </c>
      <c r="G50" s="18">
        <v>9</v>
      </c>
      <c r="H50" s="18">
        <v>81588</v>
      </c>
      <c r="I50" s="18" t="s">
        <v>17</v>
      </c>
      <c r="J50" s="18">
        <v>52290949</v>
      </c>
      <c r="K50" s="18" t="s">
        <v>2148</v>
      </c>
      <c r="L50" s="18" t="s">
        <v>2149</v>
      </c>
      <c r="M50" s="21">
        <v>169900</v>
      </c>
      <c r="N50" s="24">
        <f t="shared" si="2"/>
        <v>0.7</v>
      </c>
      <c r="O50" s="25">
        <f t="shared" si="1"/>
        <v>50970</v>
      </c>
      <c r="P50" s="11" t="s">
        <v>20</v>
      </c>
    </row>
    <row r="51" spans="1:16" x14ac:dyDescent="0.25">
      <c r="A51" s="23" t="str">
        <f t="shared" ref="A51:C66" si="5">A50</f>
        <v>2025 JAN-JUN D70</v>
      </c>
      <c r="B51" s="10">
        <f t="shared" si="5"/>
        <v>46104</v>
      </c>
      <c r="C51" s="10">
        <f t="shared" si="5"/>
        <v>46113</v>
      </c>
      <c r="D51" s="11">
        <v>3273</v>
      </c>
      <c r="E51" s="11">
        <v>336</v>
      </c>
      <c r="F51" s="11">
        <v>4</v>
      </c>
      <c r="G51" s="18">
        <v>9</v>
      </c>
      <c r="H51" s="18">
        <v>81588</v>
      </c>
      <c r="I51" s="18" t="s">
        <v>17</v>
      </c>
      <c r="J51" s="18">
        <v>52290958</v>
      </c>
      <c r="K51" s="18" t="s">
        <v>2148</v>
      </c>
      <c r="L51" s="18" t="s">
        <v>2150</v>
      </c>
      <c r="M51" s="21">
        <v>169900</v>
      </c>
      <c r="N51" s="24">
        <f t="shared" si="2"/>
        <v>0.7</v>
      </c>
      <c r="O51" s="25">
        <f t="shared" si="1"/>
        <v>50970</v>
      </c>
      <c r="P51" s="11" t="s">
        <v>20</v>
      </c>
    </row>
    <row r="52" spans="1:16" x14ac:dyDescent="0.25">
      <c r="A52" s="23" t="str">
        <f t="shared" si="5"/>
        <v>2025 JAN-JUN D70</v>
      </c>
      <c r="B52" s="10">
        <f t="shared" si="5"/>
        <v>46104</v>
      </c>
      <c r="C52" s="10">
        <f t="shared" si="5"/>
        <v>46113</v>
      </c>
      <c r="D52" s="11">
        <v>3273</v>
      </c>
      <c r="E52" s="11">
        <v>336</v>
      </c>
      <c r="F52" s="11">
        <v>4</v>
      </c>
      <c r="G52" s="18">
        <v>9</v>
      </c>
      <c r="H52" s="18">
        <v>81588</v>
      </c>
      <c r="I52" s="18" t="s">
        <v>17</v>
      </c>
      <c r="J52" s="18">
        <v>52290967</v>
      </c>
      <c r="K52" s="18" t="s">
        <v>2148</v>
      </c>
      <c r="L52" s="18" t="s">
        <v>2151</v>
      </c>
      <c r="M52" s="21">
        <v>169900</v>
      </c>
      <c r="N52" s="24">
        <f t="shared" si="2"/>
        <v>0.7</v>
      </c>
      <c r="O52" s="25">
        <f t="shared" si="1"/>
        <v>50970</v>
      </c>
      <c r="P52" s="11" t="s">
        <v>20</v>
      </c>
    </row>
    <row r="53" spans="1:16" x14ac:dyDescent="0.25">
      <c r="A53" s="23" t="str">
        <f t="shared" si="5"/>
        <v>2025 JAN-JUN D70</v>
      </c>
      <c r="B53" s="10">
        <f t="shared" si="5"/>
        <v>46104</v>
      </c>
      <c r="C53" s="10">
        <f t="shared" si="5"/>
        <v>46113</v>
      </c>
      <c r="D53" s="11">
        <v>3273</v>
      </c>
      <c r="E53" s="11">
        <v>336</v>
      </c>
      <c r="F53" s="11">
        <v>4</v>
      </c>
      <c r="G53" s="18">
        <v>9</v>
      </c>
      <c r="H53" s="18">
        <v>81588</v>
      </c>
      <c r="I53" s="18" t="s">
        <v>17</v>
      </c>
      <c r="J53" s="18">
        <v>52290976</v>
      </c>
      <c r="K53" s="18" t="s">
        <v>2148</v>
      </c>
      <c r="L53" s="18" t="s">
        <v>2152</v>
      </c>
      <c r="M53" s="21">
        <v>169900</v>
      </c>
      <c r="N53" s="24">
        <f t="shared" si="2"/>
        <v>0.7</v>
      </c>
      <c r="O53" s="25">
        <f t="shared" si="1"/>
        <v>50970</v>
      </c>
      <c r="P53" s="11" t="s">
        <v>20</v>
      </c>
    </row>
    <row r="54" spans="1:16" x14ac:dyDescent="0.25">
      <c r="A54" s="23" t="str">
        <f t="shared" si="5"/>
        <v>2025 JAN-JUN D70</v>
      </c>
      <c r="B54" s="10">
        <f t="shared" si="5"/>
        <v>46104</v>
      </c>
      <c r="C54" s="10">
        <f t="shared" si="5"/>
        <v>46113</v>
      </c>
      <c r="D54" s="11">
        <v>3273</v>
      </c>
      <c r="E54" s="11">
        <v>336</v>
      </c>
      <c r="F54" s="11">
        <v>4</v>
      </c>
      <c r="G54" s="18">
        <v>9</v>
      </c>
      <c r="H54" s="18">
        <v>81588</v>
      </c>
      <c r="I54" s="18" t="s">
        <v>17</v>
      </c>
      <c r="J54" s="18">
        <v>52290985</v>
      </c>
      <c r="K54" s="18" t="s">
        <v>2148</v>
      </c>
      <c r="L54" s="18" t="s">
        <v>2153</v>
      </c>
      <c r="M54" s="21">
        <v>169900</v>
      </c>
      <c r="N54" s="24">
        <f t="shared" si="2"/>
        <v>0.7</v>
      </c>
      <c r="O54" s="25">
        <f t="shared" si="1"/>
        <v>50970</v>
      </c>
      <c r="P54" s="11" t="s">
        <v>20</v>
      </c>
    </row>
    <row r="55" spans="1:16" x14ac:dyDescent="0.25">
      <c r="A55" s="23" t="str">
        <f t="shared" si="5"/>
        <v>2025 JAN-JUN D70</v>
      </c>
      <c r="B55" s="10">
        <f t="shared" si="5"/>
        <v>46104</v>
      </c>
      <c r="C55" s="10">
        <f t="shared" si="5"/>
        <v>46113</v>
      </c>
      <c r="D55" s="11">
        <v>3273</v>
      </c>
      <c r="E55" s="11">
        <v>336</v>
      </c>
      <c r="F55" s="11">
        <v>4</v>
      </c>
      <c r="G55" s="18">
        <v>9</v>
      </c>
      <c r="H55" s="18">
        <v>81588</v>
      </c>
      <c r="I55" s="18" t="s">
        <v>17</v>
      </c>
      <c r="J55" s="18">
        <v>52290994</v>
      </c>
      <c r="K55" s="18" t="s">
        <v>2148</v>
      </c>
      <c r="L55" s="18" t="s">
        <v>2154</v>
      </c>
      <c r="M55" s="21">
        <v>169900</v>
      </c>
      <c r="N55" s="24">
        <f t="shared" si="2"/>
        <v>0.7</v>
      </c>
      <c r="O55" s="25">
        <f t="shared" si="1"/>
        <v>50970</v>
      </c>
      <c r="P55" s="11" t="s">
        <v>20</v>
      </c>
    </row>
    <row r="56" spans="1:16" x14ac:dyDescent="0.25">
      <c r="A56" s="23" t="str">
        <f t="shared" si="5"/>
        <v>2025 JAN-JUN D70</v>
      </c>
      <c r="B56" s="10">
        <f t="shared" si="5"/>
        <v>46104</v>
      </c>
      <c r="C56" s="10">
        <f t="shared" si="5"/>
        <v>46113</v>
      </c>
      <c r="D56" s="11">
        <v>3273</v>
      </c>
      <c r="E56" s="11">
        <v>336</v>
      </c>
      <c r="F56" s="11">
        <v>4</v>
      </c>
      <c r="G56" s="18">
        <v>9</v>
      </c>
      <c r="H56" s="18">
        <v>81588</v>
      </c>
      <c r="I56" s="18" t="s">
        <v>17</v>
      </c>
      <c r="J56" s="18">
        <v>52291000</v>
      </c>
      <c r="K56" s="18" t="s">
        <v>2148</v>
      </c>
      <c r="L56" s="18" t="s">
        <v>2155</v>
      </c>
      <c r="M56" s="21">
        <v>169900</v>
      </c>
      <c r="N56" s="24">
        <f t="shared" si="2"/>
        <v>0.7</v>
      </c>
      <c r="O56" s="25">
        <f t="shared" si="1"/>
        <v>50970</v>
      </c>
      <c r="P56" s="11" t="s">
        <v>20</v>
      </c>
    </row>
    <row r="57" spans="1:16" x14ac:dyDescent="0.25">
      <c r="A57" s="23" t="str">
        <f t="shared" si="5"/>
        <v>2025 JAN-JUN D70</v>
      </c>
      <c r="B57" s="10">
        <f t="shared" si="5"/>
        <v>46104</v>
      </c>
      <c r="C57" s="10">
        <f t="shared" si="5"/>
        <v>46113</v>
      </c>
      <c r="D57" s="11">
        <v>3273</v>
      </c>
      <c r="E57" s="11">
        <v>336</v>
      </c>
      <c r="F57" s="11">
        <v>4</v>
      </c>
      <c r="G57" s="18">
        <v>9</v>
      </c>
      <c r="H57" s="18">
        <v>81588</v>
      </c>
      <c r="I57" s="18" t="s">
        <v>17</v>
      </c>
      <c r="J57" s="18">
        <v>52291019</v>
      </c>
      <c r="K57" s="18" t="s">
        <v>2148</v>
      </c>
      <c r="L57" s="18" t="s">
        <v>2156</v>
      </c>
      <c r="M57" s="21">
        <v>169900</v>
      </c>
      <c r="N57" s="24">
        <f t="shared" si="2"/>
        <v>0.7</v>
      </c>
      <c r="O57" s="25">
        <f t="shared" si="1"/>
        <v>50970</v>
      </c>
      <c r="P57" s="11" t="s">
        <v>20</v>
      </c>
    </row>
    <row r="58" spans="1:16" x14ac:dyDescent="0.25">
      <c r="A58" s="23" t="str">
        <f t="shared" si="5"/>
        <v>2025 JAN-JUN D70</v>
      </c>
      <c r="B58" s="10">
        <f t="shared" si="5"/>
        <v>46104</v>
      </c>
      <c r="C58" s="10">
        <f t="shared" si="5"/>
        <v>46113</v>
      </c>
      <c r="D58" s="11">
        <v>3273</v>
      </c>
      <c r="E58" s="11">
        <v>336</v>
      </c>
      <c r="F58" s="11">
        <v>4</v>
      </c>
      <c r="G58" s="18">
        <v>9</v>
      </c>
      <c r="H58" s="18">
        <v>81676</v>
      </c>
      <c r="I58" s="18" t="s">
        <v>17</v>
      </c>
      <c r="J58" s="18">
        <v>52291108</v>
      </c>
      <c r="K58" s="18" t="s">
        <v>2157</v>
      </c>
      <c r="L58" s="18" t="s">
        <v>2158</v>
      </c>
      <c r="M58" s="21">
        <v>249900</v>
      </c>
      <c r="N58" s="24">
        <f t="shared" si="2"/>
        <v>0.7</v>
      </c>
      <c r="O58" s="25">
        <f t="shared" si="1"/>
        <v>74970</v>
      </c>
      <c r="P58" s="11" t="s">
        <v>20</v>
      </c>
    </row>
    <row r="59" spans="1:16" x14ac:dyDescent="0.25">
      <c r="A59" s="23" t="str">
        <f t="shared" si="5"/>
        <v>2025 JAN-JUN D70</v>
      </c>
      <c r="B59" s="10">
        <f t="shared" si="5"/>
        <v>46104</v>
      </c>
      <c r="C59" s="10">
        <f t="shared" si="5"/>
        <v>46113</v>
      </c>
      <c r="D59" s="11">
        <v>3273</v>
      </c>
      <c r="E59" s="11">
        <v>336</v>
      </c>
      <c r="F59" s="11">
        <v>4</v>
      </c>
      <c r="G59" s="18">
        <v>9</v>
      </c>
      <c r="H59" s="18">
        <v>81676</v>
      </c>
      <c r="I59" s="18" t="s">
        <v>17</v>
      </c>
      <c r="J59" s="18">
        <v>52291117</v>
      </c>
      <c r="K59" s="18" t="s">
        <v>2157</v>
      </c>
      <c r="L59" s="18" t="s">
        <v>2159</v>
      </c>
      <c r="M59" s="21">
        <v>249900</v>
      </c>
      <c r="N59" s="24">
        <f t="shared" si="2"/>
        <v>0.7</v>
      </c>
      <c r="O59" s="25">
        <f t="shared" si="1"/>
        <v>74970</v>
      </c>
      <c r="P59" s="11" t="s">
        <v>20</v>
      </c>
    </row>
    <row r="60" spans="1:16" x14ac:dyDescent="0.25">
      <c r="A60" s="23" t="str">
        <f t="shared" si="5"/>
        <v>2025 JAN-JUN D70</v>
      </c>
      <c r="B60" s="10">
        <f t="shared" si="5"/>
        <v>46104</v>
      </c>
      <c r="C60" s="10">
        <f t="shared" si="5"/>
        <v>46113</v>
      </c>
      <c r="D60" s="11">
        <v>3273</v>
      </c>
      <c r="E60" s="11">
        <v>336</v>
      </c>
      <c r="F60" s="11">
        <v>4</v>
      </c>
      <c r="G60" s="18">
        <v>9</v>
      </c>
      <c r="H60" s="18">
        <v>81676</v>
      </c>
      <c r="I60" s="18" t="s">
        <v>17</v>
      </c>
      <c r="J60" s="18">
        <v>52291126</v>
      </c>
      <c r="K60" s="18" t="s">
        <v>2157</v>
      </c>
      <c r="L60" s="18" t="s">
        <v>2160</v>
      </c>
      <c r="M60" s="21">
        <v>249900</v>
      </c>
      <c r="N60" s="24">
        <f t="shared" si="2"/>
        <v>0.7</v>
      </c>
      <c r="O60" s="25">
        <f t="shared" si="1"/>
        <v>74970</v>
      </c>
      <c r="P60" s="11" t="s">
        <v>20</v>
      </c>
    </row>
    <row r="61" spans="1:16" x14ac:dyDescent="0.25">
      <c r="A61" s="23" t="str">
        <f t="shared" si="5"/>
        <v>2025 JAN-JUN D70</v>
      </c>
      <c r="B61" s="10">
        <f t="shared" si="5"/>
        <v>46104</v>
      </c>
      <c r="C61" s="10">
        <f t="shared" si="5"/>
        <v>46113</v>
      </c>
      <c r="D61" s="11">
        <v>3273</v>
      </c>
      <c r="E61" s="11">
        <v>336</v>
      </c>
      <c r="F61" s="11">
        <v>4</v>
      </c>
      <c r="G61" s="18">
        <v>9</v>
      </c>
      <c r="H61" s="18">
        <v>81676</v>
      </c>
      <c r="I61" s="18" t="s">
        <v>17</v>
      </c>
      <c r="J61" s="18">
        <v>52291135</v>
      </c>
      <c r="K61" s="18" t="s">
        <v>2157</v>
      </c>
      <c r="L61" s="18" t="s">
        <v>2161</v>
      </c>
      <c r="M61" s="21">
        <v>249900</v>
      </c>
      <c r="N61" s="24">
        <f t="shared" si="2"/>
        <v>0.7</v>
      </c>
      <c r="O61" s="25">
        <f t="shared" si="1"/>
        <v>74970</v>
      </c>
      <c r="P61" s="11" t="s">
        <v>20</v>
      </c>
    </row>
    <row r="62" spans="1:16" x14ac:dyDescent="0.25">
      <c r="A62" s="23" t="str">
        <f t="shared" si="5"/>
        <v>2025 JAN-JUN D70</v>
      </c>
      <c r="B62" s="10">
        <f t="shared" si="5"/>
        <v>46104</v>
      </c>
      <c r="C62" s="10">
        <f t="shared" si="5"/>
        <v>46113</v>
      </c>
      <c r="D62" s="11">
        <v>3273</v>
      </c>
      <c r="E62" s="11">
        <v>336</v>
      </c>
      <c r="F62" s="11">
        <v>4</v>
      </c>
      <c r="G62" s="18">
        <v>9</v>
      </c>
      <c r="H62" s="18">
        <v>81676</v>
      </c>
      <c r="I62" s="18" t="s">
        <v>17</v>
      </c>
      <c r="J62" s="18">
        <v>52291144</v>
      </c>
      <c r="K62" s="18" t="s">
        <v>2157</v>
      </c>
      <c r="L62" s="18" t="s">
        <v>2162</v>
      </c>
      <c r="M62" s="21">
        <v>249900</v>
      </c>
      <c r="N62" s="24">
        <f t="shared" si="2"/>
        <v>0.7</v>
      </c>
      <c r="O62" s="25">
        <f t="shared" si="1"/>
        <v>74970</v>
      </c>
      <c r="P62" s="11" t="s">
        <v>20</v>
      </c>
    </row>
    <row r="63" spans="1:16" x14ac:dyDescent="0.25">
      <c r="A63" s="23" t="str">
        <f t="shared" si="5"/>
        <v>2025 JAN-JUN D70</v>
      </c>
      <c r="B63" s="10">
        <f t="shared" si="5"/>
        <v>46104</v>
      </c>
      <c r="C63" s="10">
        <f t="shared" si="5"/>
        <v>46113</v>
      </c>
      <c r="D63" s="11">
        <v>3273</v>
      </c>
      <c r="E63" s="11">
        <v>336</v>
      </c>
      <c r="F63" s="11">
        <v>4</v>
      </c>
      <c r="G63" s="18">
        <v>9</v>
      </c>
      <c r="H63" s="18">
        <v>81676</v>
      </c>
      <c r="I63" s="18" t="s">
        <v>17</v>
      </c>
      <c r="J63" s="18">
        <v>52291153</v>
      </c>
      <c r="K63" s="18" t="s">
        <v>2157</v>
      </c>
      <c r="L63" s="18" t="s">
        <v>2163</v>
      </c>
      <c r="M63" s="21">
        <v>249900</v>
      </c>
      <c r="N63" s="24">
        <f t="shared" si="2"/>
        <v>0.7</v>
      </c>
      <c r="O63" s="25">
        <f t="shared" si="1"/>
        <v>74970</v>
      </c>
      <c r="P63" s="11" t="s">
        <v>20</v>
      </c>
    </row>
    <row r="64" spans="1:16" x14ac:dyDescent="0.25">
      <c r="A64" s="23" t="str">
        <f t="shared" si="5"/>
        <v>2025 JAN-JUN D70</v>
      </c>
      <c r="B64" s="10">
        <f t="shared" si="5"/>
        <v>46104</v>
      </c>
      <c r="C64" s="10">
        <f t="shared" si="5"/>
        <v>46113</v>
      </c>
      <c r="D64" s="11">
        <v>3273</v>
      </c>
      <c r="E64" s="11">
        <v>336</v>
      </c>
      <c r="F64" s="11">
        <v>4</v>
      </c>
      <c r="G64" s="18">
        <v>9</v>
      </c>
      <c r="H64" s="18">
        <v>81676</v>
      </c>
      <c r="I64" s="18" t="s">
        <v>17</v>
      </c>
      <c r="J64" s="18">
        <v>52291162</v>
      </c>
      <c r="K64" s="18" t="s">
        <v>2157</v>
      </c>
      <c r="L64" s="18" t="s">
        <v>2164</v>
      </c>
      <c r="M64" s="21">
        <v>249900</v>
      </c>
      <c r="N64" s="24">
        <f t="shared" si="2"/>
        <v>0.7</v>
      </c>
      <c r="O64" s="25">
        <f t="shared" si="1"/>
        <v>74970</v>
      </c>
      <c r="P64" s="11" t="s">
        <v>20</v>
      </c>
    </row>
    <row r="65" spans="1:16" x14ac:dyDescent="0.25">
      <c r="A65" s="23" t="str">
        <f t="shared" si="5"/>
        <v>2025 JAN-JUN D70</v>
      </c>
      <c r="B65" s="10">
        <f t="shared" si="5"/>
        <v>46104</v>
      </c>
      <c r="C65" s="10">
        <f t="shared" si="5"/>
        <v>46113</v>
      </c>
      <c r="D65" s="11">
        <v>3273</v>
      </c>
      <c r="E65" s="11">
        <v>336</v>
      </c>
      <c r="F65" s="11">
        <v>4</v>
      </c>
      <c r="G65" s="18">
        <v>9</v>
      </c>
      <c r="H65" s="18">
        <v>81676</v>
      </c>
      <c r="I65" s="18" t="s">
        <v>17</v>
      </c>
      <c r="J65" s="18">
        <v>52291171</v>
      </c>
      <c r="K65" s="18" t="s">
        <v>2157</v>
      </c>
      <c r="L65" s="18" t="s">
        <v>2165</v>
      </c>
      <c r="M65" s="21">
        <v>249900</v>
      </c>
      <c r="N65" s="24">
        <f t="shared" si="2"/>
        <v>0.7</v>
      </c>
      <c r="O65" s="25">
        <f t="shared" si="1"/>
        <v>74970</v>
      </c>
      <c r="P65" s="11" t="s">
        <v>20</v>
      </c>
    </row>
    <row r="66" spans="1:16" x14ac:dyDescent="0.25">
      <c r="A66" s="23" t="str">
        <f t="shared" si="5"/>
        <v>2025 JAN-JUN D70</v>
      </c>
      <c r="B66" s="10">
        <f>'[1]2019 ALL D95'!B66</f>
        <v>46104</v>
      </c>
      <c r="C66" s="10">
        <f>'[1]2019 ALL D95'!C66</f>
        <v>46113</v>
      </c>
      <c r="D66" s="11">
        <v>3273</v>
      </c>
      <c r="E66" s="11">
        <v>336</v>
      </c>
      <c r="F66" s="11">
        <v>4</v>
      </c>
      <c r="G66" s="18">
        <v>9</v>
      </c>
      <c r="H66" s="18">
        <v>81574</v>
      </c>
      <c r="I66" s="18" t="s">
        <v>17</v>
      </c>
      <c r="J66" s="18">
        <v>51099971</v>
      </c>
      <c r="K66" s="18" t="s">
        <v>2166</v>
      </c>
      <c r="L66" s="18" t="s">
        <v>2167</v>
      </c>
      <c r="M66" s="21">
        <v>279900</v>
      </c>
      <c r="N66" s="24">
        <f t="shared" si="2"/>
        <v>0.7</v>
      </c>
      <c r="O66" s="25">
        <f t="shared" si="1"/>
        <v>83970</v>
      </c>
      <c r="P66" s="11" t="s">
        <v>20</v>
      </c>
    </row>
    <row r="67" spans="1:16" x14ac:dyDescent="0.25">
      <c r="A67" s="23" t="str">
        <f t="shared" ref="A67:C82" si="6">A66</f>
        <v>2025 JAN-JUN D70</v>
      </c>
      <c r="B67" s="10">
        <f t="shared" si="6"/>
        <v>46104</v>
      </c>
      <c r="C67" s="10">
        <f t="shared" si="6"/>
        <v>46113</v>
      </c>
      <c r="D67" s="11">
        <v>3273</v>
      </c>
      <c r="E67" s="11">
        <v>336</v>
      </c>
      <c r="F67" s="11">
        <v>4</v>
      </c>
      <c r="G67" s="18">
        <v>9</v>
      </c>
      <c r="H67" s="18">
        <v>81574</v>
      </c>
      <c r="I67" s="18" t="s">
        <v>17</v>
      </c>
      <c r="J67" s="18">
        <v>51099980</v>
      </c>
      <c r="K67" s="18" t="s">
        <v>2166</v>
      </c>
      <c r="L67" s="18" t="s">
        <v>2168</v>
      </c>
      <c r="M67" s="21">
        <v>279900</v>
      </c>
      <c r="N67" s="24">
        <f t="shared" si="2"/>
        <v>0.7</v>
      </c>
      <c r="O67" s="25">
        <f t="shared" ref="O67:O130" si="7">M67-((70*M67)/100)</f>
        <v>83970</v>
      </c>
      <c r="P67" s="11" t="s">
        <v>20</v>
      </c>
    </row>
    <row r="68" spans="1:16" x14ac:dyDescent="0.25">
      <c r="A68" s="23" t="str">
        <f t="shared" si="6"/>
        <v>2025 JAN-JUN D70</v>
      </c>
      <c r="B68" s="10">
        <f t="shared" si="6"/>
        <v>46104</v>
      </c>
      <c r="C68" s="10">
        <f t="shared" si="6"/>
        <v>46113</v>
      </c>
      <c r="D68" s="11">
        <v>3273</v>
      </c>
      <c r="E68" s="11">
        <v>336</v>
      </c>
      <c r="F68" s="11">
        <v>4</v>
      </c>
      <c r="G68" s="18">
        <v>9</v>
      </c>
      <c r="H68" s="18">
        <v>81574</v>
      </c>
      <c r="I68" s="18" t="s">
        <v>17</v>
      </c>
      <c r="J68" s="18">
        <v>51099999</v>
      </c>
      <c r="K68" s="18" t="s">
        <v>2166</v>
      </c>
      <c r="L68" s="18" t="s">
        <v>2169</v>
      </c>
      <c r="M68" s="21">
        <v>279900</v>
      </c>
      <c r="N68" s="24">
        <f t="shared" ref="N68:N131" si="8">N67</f>
        <v>0.7</v>
      </c>
      <c r="O68" s="25">
        <f t="shared" si="7"/>
        <v>83970</v>
      </c>
      <c r="P68" s="11" t="s">
        <v>20</v>
      </c>
    </row>
    <row r="69" spans="1:16" x14ac:dyDescent="0.25">
      <c r="A69" s="23" t="str">
        <f t="shared" si="6"/>
        <v>2025 JAN-JUN D70</v>
      </c>
      <c r="B69" s="10">
        <f t="shared" si="6"/>
        <v>46104</v>
      </c>
      <c r="C69" s="10">
        <f t="shared" si="6"/>
        <v>46113</v>
      </c>
      <c r="D69" s="11">
        <v>3273</v>
      </c>
      <c r="E69" s="11">
        <v>336</v>
      </c>
      <c r="F69" s="11">
        <v>4</v>
      </c>
      <c r="G69" s="18">
        <v>9</v>
      </c>
      <c r="H69" s="18">
        <v>81574</v>
      </c>
      <c r="I69" s="18" t="s">
        <v>17</v>
      </c>
      <c r="J69" s="18">
        <v>51100002</v>
      </c>
      <c r="K69" s="18" t="s">
        <v>2166</v>
      </c>
      <c r="L69" s="18" t="s">
        <v>2170</v>
      </c>
      <c r="M69" s="21">
        <v>279900</v>
      </c>
      <c r="N69" s="24">
        <f t="shared" si="8"/>
        <v>0.7</v>
      </c>
      <c r="O69" s="25">
        <f t="shared" si="7"/>
        <v>83970</v>
      </c>
      <c r="P69" s="11" t="s">
        <v>20</v>
      </c>
    </row>
    <row r="70" spans="1:16" x14ac:dyDescent="0.25">
      <c r="A70" s="23" t="str">
        <f t="shared" si="6"/>
        <v>2025 JAN-JUN D70</v>
      </c>
      <c r="B70" s="10">
        <f t="shared" si="6"/>
        <v>46104</v>
      </c>
      <c r="C70" s="10">
        <f t="shared" si="6"/>
        <v>46113</v>
      </c>
      <c r="D70" s="11">
        <v>3273</v>
      </c>
      <c r="E70" s="11">
        <v>336</v>
      </c>
      <c r="F70" s="11">
        <v>4</v>
      </c>
      <c r="G70" s="18">
        <v>9</v>
      </c>
      <c r="H70" s="18">
        <v>81574</v>
      </c>
      <c r="I70" s="18" t="s">
        <v>17</v>
      </c>
      <c r="J70" s="18">
        <v>51100011</v>
      </c>
      <c r="K70" s="18" t="s">
        <v>2166</v>
      </c>
      <c r="L70" s="18" t="s">
        <v>2171</v>
      </c>
      <c r="M70" s="21">
        <v>279900</v>
      </c>
      <c r="N70" s="24">
        <f t="shared" si="8"/>
        <v>0.7</v>
      </c>
      <c r="O70" s="25">
        <f t="shared" si="7"/>
        <v>83970</v>
      </c>
      <c r="P70" s="11" t="s">
        <v>20</v>
      </c>
    </row>
    <row r="71" spans="1:16" x14ac:dyDescent="0.25">
      <c r="A71" s="23" t="str">
        <f t="shared" si="6"/>
        <v>2025 JAN-JUN D70</v>
      </c>
      <c r="B71" s="10">
        <f t="shared" si="6"/>
        <v>46104</v>
      </c>
      <c r="C71" s="10">
        <f t="shared" si="6"/>
        <v>46113</v>
      </c>
      <c r="D71" s="11">
        <v>3273</v>
      </c>
      <c r="E71" s="11">
        <v>336</v>
      </c>
      <c r="F71" s="11">
        <v>4</v>
      </c>
      <c r="G71" s="18">
        <v>9</v>
      </c>
      <c r="H71" s="18">
        <v>81574</v>
      </c>
      <c r="I71" s="18" t="s">
        <v>17</v>
      </c>
      <c r="J71" s="18">
        <v>51100020</v>
      </c>
      <c r="K71" s="18" t="s">
        <v>2166</v>
      </c>
      <c r="L71" s="18" t="s">
        <v>2172</v>
      </c>
      <c r="M71" s="21">
        <v>279900</v>
      </c>
      <c r="N71" s="24">
        <f t="shared" si="8"/>
        <v>0.7</v>
      </c>
      <c r="O71" s="25">
        <f t="shared" si="7"/>
        <v>83970</v>
      </c>
      <c r="P71" s="11" t="s">
        <v>20</v>
      </c>
    </row>
    <row r="72" spans="1:16" x14ac:dyDescent="0.25">
      <c r="A72" s="23" t="str">
        <f t="shared" si="6"/>
        <v>2025 JAN-JUN D70</v>
      </c>
      <c r="B72" s="10">
        <f t="shared" si="6"/>
        <v>46104</v>
      </c>
      <c r="C72" s="10">
        <f t="shared" si="6"/>
        <v>46113</v>
      </c>
      <c r="D72" s="11">
        <v>3273</v>
      </c>
      <c r="E72" s="11">
        <v>336</v>
      </c>
      <c r="F72" s="11">
        <v>4</v>
      </c>
      <c r="G72" s="18">
        <v>9</v>
      </c>
      <c r="H72" s="18">
        <v>81574</v>
      </c>
      <c r="I72" s="18" t="s">
        <v>17</v>
      </c>
      <c r="J72" s="18">
        <v>51100039</v>
      </c>
      <c r="K72" s="18" t="s">
        <v>2166</v>
      </c>
      <c r="L72" s="18" t="s">
        <v>2173</v>
      </c>
      <c r="M72" s="21">
        <v>279900</v>
      </c>
      <c r="N72" s="24">
        <f t="shared" si="8"/>
        <v>0.7</v>
      </c>
      <c r="O72" s="25">
        <f t="shared" si="7"/>
        <v>83970</v>
      </c>
      <c r="P72" s="11" t="s">
        <v>20</v>
      </c>
    </row>
    <row r="73" spans="1:16" x14ac:dyDescent="0.25">
      <c r="A73" s="23" t="str">
        <f t="shared" si="6"/>
        <v>2025 JAN-JUN D70</v>
      </c>
      <c r="B73" s="10">
        <f t="shared" si="6"/>
        <v>46104</v>
      </c>
      <c r="C73" s="10">
        <f t="shared" si="6"/>
        <v>46113</v>
      </c>
      <c r="D73" s="11">
        <v>3273</v>
      </c>
      <c r="E73" s="11">
        <v>336</v>
      </c>
      <c r="F73" s="11">
        <v>4</v>
      </c>
      <c r="G73" s="18">
        <v>9</v>
      </c>
      <c r="H73" s="18">
        <v>81574</v>
      </c>
      <c r="I73" s="18" t="s">
        <v>17</v>
      </c>
      <c r="J73" s="18">
        <v>51100048</v>
      </c>
      <c r="K73" s="18" t="s">
        <v>2166</v>
      </c>
      <c r="L73" s="18" t="s">
        <v>2174</v>
      </c>
      <c r="M73" s="21">
        <v>279900</v>
      </c>
      <c r="N73" s="24">
        <f t="shared" si="8"/>
        <v>0.7</v>
      </c>
      <c r="O73" s="25">
        <f t="shared" si="7"/>
        <v>83970</v>
      </c>
      <c r="P73" s="11" t="s">
        <v>20</v>
      </c>
    </row>
    <row r="74" spans="1:16" x14ac:dyDescent="0.25">
      <c r="A74" s="23" t="str">
        <f t="shared" si="6"/>
        <v>2025 JAN-JUN D70</v>
      </c>
      <c r="B74" s="10">
        <f t="shared" si="6"/>
        <v>46104</v>
      </c>
      <c r="C74" s="10">
        <f t="shared" si="6"/>
        <v>46113</v>
      </c>
      <c r="D74" s="11">
        <v>3273</v>
      </c>
      <c r="E74" s="11">
        <v>336</v>
      </c>
      <c r="F74" s="11">
        <v>4</v>
      </c>
      <c r="G74" s="18">
        <v>9</v>
      </c>
      <c r="H74" s="18">
        <v>81574</v>
      </c>
      <c r="I74" s="18" t="s">
        <v>17</v>
      </c>
      <c r="J74" s="18">
        <v>51102135</v>
      </c>
      <c r="K74" s="18" t="s">
        <v>2175</v>
      </c>
      <c r="L74" s="18" t="s">
        <v>2176</v>
      </c>
      <c r="M74" s="21">
        <v>319900</v>
      </c>
      <c r="N74" s="24">
        <f t="shared" si="8"/>
        <v>0.7</v>
      </c>
      <c r="O74" s="25">
        <f t="shared" si="7"/>
        <v>95970</v>
      </c>
      <c r="P74" s="11" t="s">
        <v>20</v>
      </c>
    </row>
    <row r="75" spans="1:16" x14ac:dyDescent="0.25">
      <c r="A75" s="23" t="str">
        <f t="shared" si="6"/>
        <v>2025 JAN-JUN D70</v>
      </c>
      <c r="B75" s="10">
        <f t="shared" si="6"/>
        <v>46104</v>
      </c>
      <c r="C75" s="10">
        <f t="shared" si="6"/>
        <v>46113</v>
      </c>
      <c r="D75" s="11">
        <v>3273</v>
      </c>
      <c r="E75" s="11">
        <v>336</v>
      </c>
      <c r="F75" s="11">
        <v>4</v>
      </c>
      <c r="G75" s="18">
        <v>9</v>
      </c>
      <c r="H75" s="18">
        <v>81574</v>
      </c>
      <c r="I75" s="18" t="s">
        <v>17</v>
      </c>
      <c r="J75" s="18">
        <v>51102144</v>
      </c>
      <c r="K75" s="18" t="s">
        <v>2175</v>
      </c>
      <c r="L75" s="18" t="s">
        <v>2177</v>
      </c>
      <c r="M75" s="21">
        <v>319900</v>
      </c>
      <c r="N75" s="24">
        <f t="shared" si="8"/>
        <v>0.7</v>
      </c>
      <c r="O75" s="25">
        <f t="shared" si="7"/>
        <v>95970</v>
      </c>
      <c r="P75" s="11" t="s">
        <v>20</v>
      </c>
    </row>
    <row r="76" spans="1:16" x14ac:dyDescent="0.25">
      <c r="A76" s="23" t="str">
        <f t="shared" si="6"/>
        <v>2025 JAN-JUN D70</v>
      </c>
      <c r="B76" s="10">
        <f t="shared" si="6"/>
        <v>46104</v>
      </c>
      <c r="C76" s="10">
        <f t="shared" si="6"/>
        <v>46113</v>
      </c>
      <c r="D76" s="11">
        <v>3273</v>
      </c>
      <c r="E76" s="11">
        <v>336</v>
      </c>
      <c r="F76" s="11">
        <v>4</v>
      </c>
      <c r="G76" s="18">
        <v>9</v>
      </c>
      <c r="H76" s="18">
        <v>81574</v>
      </c>
      <c r="I76" s="18" t="s">
        <v>17</v>
      </c>
      <c r="J76" s="18">
        <v>51102153</v>
      </c>
      <c r="K76" s="18" t="s">
        <v>2175</v>
      </c>
      <c r="L76" s="18" t="s">
        <v>2178</v>
      </c>
      <c r="M76" s="21">
        <v>319900</v>
      </c>
      <c r="N76" s="24">
        <f t="shared" si="8"/>
        <v>0.7</v>
      </c>
      <c r="O76" s="25">
        <f t="shared" si="7"/>
        <v>95970</v>
      </c>
      <c r="P76" s="11" t="s">
        <v>20</v>
      </c>
    </row>
    <row r="77" spans="1:16" x14ac:dyDescent="0.25">
      <c r="A77" s="23" t="str">
        <f t="shared" si="6"/>
        <v>2025 JAN-JUN D70</v>
      </c>
      <c r="B77" s="10">
        <f t="shared" si="6"/>
        <v>46104</v>
      </c>
      <c r="C77" s="10">
        <f t="shared" si="6"/>
        <v>46113</v>
      </c>
      <c r="D77" s="11">
        <v>3273</v>
      </c>
      <c r="E77" s="11">
        <v>336</v>
      </c>
      <c r="F77" s="11">
        <v>4</v>
      </c>
      <c r="G77" s="18">
        <v>9</v>
      </c>
      <c r="H77" s="18">
        <v>81574</v>
      </c>
      <c r="I77" s="18" t="s">
        <v>17</v>
      </c>
      <c r="J77" s="18">
        <v>51102162</v>
      </c>
      <c r="K77" s="18" t="s">
        <v>2175</v>
      </c>
      <c r="L77" s="18" t="s">
        <v>2179</v>
      </c>
      <c r="M77" s="21">
        <v>319900</v>
      </c>
      <c r="N77" s="24">
        <f t="shared" si="8"/>
        <v>0.7</v>
      </c>
      <c r="O77" s="25">
        <f t="shared" si="7"/>
        <v>95970</v>
      </c>
      <c r="P77" s="11" t="s">
        <v>20</v>
      </c>
    </row>
    <row r="78" spans="1:16" x14ac:dyDescent="0.25">
      <c r="A78" s="23" t="str">
        <f t="shared" si="6"/>
        <v>2025 JAN-JUN D70</v>
      </c>
      <c r="B78" s="10">
        <f t="shared" si="6"/>
        <v>46104</v>
      </c>
      <c r="C78" s="10">
        <f t="shared" si="6"/>
        <v>46113</v>
      </c>
      <c r="D78" s="11">
        <v>3273</v>
      </c>
      <c r="E78" s="11">
        <v>336</v>
      </c>
      <c r="F78" s="11">
        <v>4</v>
      </c>
      <c r="G78" s="18">
        <v>9</v>
      </c>
      <c r="H78" s="18">
        <v>81574</v>
      </c>
      <c r="I78" s="18" t="s">
        <v>17</v>
      </c>
      <c r="J78" s="18">
        <v>51102171</v>
      </c>
      <c r="K78" s="18" t="s">
        <v>2175</v>
      </c>
      <c r="L78" s="18" t="s">
        <v>2180</v>
      </c>
      <c r="M78" s="21">
        <v>319900</v>
      </c>
      <c r="N78" s="24">
        <f t="shared" si="8"/>
        <v>0.7</v>
      </c>
      <c r="O78" s="25">
        <f t="shared" si="7"/>
        <v>95970</v>
      </c>
      <c r="P78" s="11" t="s">
        <v>20</v>
      </c>
    </row>
    <row r="79" spans="1:16" x14ac:dyDescent="0.25">
      <c r="A79" s="23" t="str">
        <f t="shared" si="6"/>
        <v>2025 JAN-JUN D70</v>
      </c>
      <c r="B79" s="10">
        <f t="shared" si="6"/>
        <v>46104</v>
      </c>
      <c r="C79" s="10">
        <f t="shared" si="6"/>
        <v>46113</v>
      </c>
      <c r="D79" s="11">
        <v>3273</v>
      </c>
      <c r="E79" s="11">
        <v>336</v>
      </c>
      <c r="F79" s="11">
        <v>4</v>
      </c>
      <c r="G79" s="18">
        <v>9</v>
      </c>
      <c r="H79" s="18">
        <v>81574</v>
      </c>
      <c r="I79" s="18" t="s">
        <v>17</v>
      </c>
      <c r="J79" s="18">
        <v>51102180</v>
      </c>
      <c r="K79" s="18" t="s">
        <v>2175</v>
      </c>
      <c r="L79" s="18" t="s">
        <v>2181</v>
      </c>
      <c r="M79" s="21">
        <v>319900</v>
      </c>
      <c r="N79" s="24">
        <f t="shared" si="8"/>
        <v>0.7</v>
      </c>
      <c r="O79" s="25">
        <f t="shared" si="7"/>
        <v>95970</v>
      </c>
      <c r="P79" s="11" t="s">
        <v>20</v>
      </c>
    </row>
    <row r="80" spans="1:16" x14ac:dyDescent="0.25">
      <c r="A80" s="23" t="str">
        <f t="shared" si="6"/>
        <v>2025 JAN-JUN D70</v>
      </c>
      <c r="B80" s="10">
        <f t="shared" si="6"/>
        <v>46104</v>
      </c>
      <c r="C80" s="10">
        <f t="shared" si="6"/>
        <v>46113</v>
      </c>
      <c r="D80" s="11">
        <v>3273</v>
      </c>
      <c r="E80" s="11">
        <v>336</v>
      </c>
      <c r="F80" s="11">
        <v>4</v>
      </c>
      <c r="G80" s="18">
        <v>9</v>
      </c>
      <c r="H80" s="18">
        <v>81574</v>
      </c>
      <c r="I80" s="18" t="s">
        <v>17</v>
      </c>
      <c r="J80" s="18">
        <v>51102199</v>
      </c>
      <c r="K80" s="18" t="s">
        <v>2175</v>
      </c>
      <c r="L80" s="18" t="s">
        <v>2182</v>
      </c>
      <c r="M80" s="21">
        <v>319900</v>
      </c>
      <c r="N80" s="24">
        <f t="shared" si="8"/>
        <v>0.7</v>
      </c>
      <c r="O80" s="25">
        <f t="shared" si="7"/>
        <v>95970</v>
      </c>
      <c r="P80" s="11" t="s">
        <v>20</v>
      </c>
    </row>
    <row r="81" spans="1:16" x14ac:dyDescent="0.25">
      <c r="A81" s="23" t="str">
        <f t="shared" si="6"/>
        <v>2025 JAN-JUN D70</v>
      </c>
      <c r="B81" s="10">
        <f t="shared" si="6"/>
        <v>46104</v>
      </c>
      <c r="C81" s="10">
        <f t="shared" si="6"/>
        <v>46113</v>
      </c>
      <c r="D81" s="11">
        <v>3273</v>
      </c>
      <c r="E81" s="11">
        <v>336</v>
      </c>
      <c r="F81" s="11">
        <v>4</v>
      </c>
      <c r="G81" s="18">
        <v>9</v>
      </c>
      <c r="H81" s="18">
        <v>81574</v>
      </c>
      <c r="I81" s="18" t="s">
        <v>17</v>
      </c>
      <c r="J81" s="18">
        <v>51102206</v>
      </c>
      <c r="K81" s="18" t="s">
        <v>2175</v>
      </c>
      <c r="L81" s="18" t="s">
        <v>2183</v>
      </c>
      <c r="M81" s="21">
        <v>319900</v>
      </c>
      <c r="N81" s="24">
        <f t="shared" si="8"/>
        <v>0.7</v>
      </c>
      <c r="O81" s="25">
        <f t="shared" si="7"/>
        <v>95970</v>
      </c>
      <c r="P81" s="11" t="s">
        <v>20</v>
      </c>
    </row>
    <row r="82" spans="1:16" x14ac:dyDescent="0.25">
      <c r="A82" s="23" t="str">
        <f t="shared" si="6"/>
        <v>2025 JAN-JUN D70</v>
      </c>
      <c r="B82" s="10">
        <f t="shared" si="6"/>
        <v>46104</v>
      </c>
      <c r="C82" s="10">
        <f t="shared" si="6"/>
        <v>46113</v>
      </c>
      <c r="D82" s="11">
        <v>3273</v>
      </c>
      <c r="E82" s="11">
        <v>336</v>
      </c>
      <c r="F82" s="11">
        <v>4</v>
      </c>
      <c r="G82" s="18">
        <v>9</v>
      </c>
      <c r="H82" s="18">
        <v>81574</v>
      </c>
      <c r="I82" s="18" t="s">
        <v>17</v>
      </c>
      <c r="J82" s="18">
        <v>51102215</v>
      </c>
      <c r="K82" s="18" t="s">
        <v>2184</v>
      </c>
      <c r="L82" s="18" t="s">
        <v>2185</v>
      </c>
      <c r="M82" s="21">
        <v>329900</v>
      </c>
      <c r="N82" s="24">
        <f t="shared" si="8"/>
        <v>0.7</v>
      </c>
      <c r="O82" s="25">
        <f t="shared" si="7"/>
        <v>98970</v>
      </c>
      <c r="P82" s="11" t="s">
        <v>20</v>
      </c>
    </row>
    <row r="83" spans="1:16" x14ac:dyDescent="0.25">
      <c r="A83" s="23" t="str">
        <f t="shared" ref="A83:C98" si="9">A82</f>
        <v>2025 JAN-JUN D70</v>
      </c>
      <c r="B83" s="10">
        <f t="shared" si="9"/>
        <v>46104</v>
      </c>
      <c r="C83" s="10">
        <f t="shared" si="9"/>
        <v>46113</v>
      </c>
      <c r="D83" s="11">
        <v>3273</v>
      </c>
      <c r="E83" s="11">
        <v>336</v>
      </c>
      <c r="F83" s="11">
        <v>4</v>
      </c>
      <c r="G83" s="18">
        <v>9</v>
      </c>
      <c r="H83" s="18">
        <v>81574</v>
      </c>
      <c r="I83" s="18" t="s">
        <v>17</v>
      </c>
      <c r="J83" s="18">
        <v>51102224</v>
      </c>
      <c r="K83" s="18" t="s">
        <v>2184</v>
      </c>
      <c r="L83" s="18" t="s">
        <v>2186</v>
      </c>
      <c r="M83" s="21">
        <v>329900</v>
      </c>
      <c r="N83" s="24">
        <f t="shared" si="8"/>
        <v>0.7</v>
      </c>
      <c r="O83" s="25">
        <f t="shared" si="7"/>
        <v>98970</v>
      </c>
      <c r="P83" s="11" t="s">
        <v>20</v>
      </c>
    </row>
    <row r="84" spans="1:16" x14ac:dyDescent="0.25">
      <c r="A84" s="23" t="str">
        <f t="shared" si="9"/>
        <v>2025 JAN-JUN D70</v>
      </c>
      <c r="B84" s="10">
        <f t="shared" si="9"/>
        <v>46104</v>
      </c>
      <c r="C84" s="10">
        <f t="shared" si="9"/>
        <v>46113</v>
      </c>
      <c r="D84" s="11">
        <v>3273</v>
      </c>
      <c r="E84" s="11">
        <v>336</v>
      </c>
      <c r="F84" s="11">
        <v>4</v>
      </c>
      <c r="G84" s="18">
        <v>9</v>
      </c>
      <c r="H84" s="18">
        <v>81574</v>
      </c>
      <c r="I84" s="18" t="s">
        <v>17</v>
      </c>
      <c r="J84" s="18">
        <v>51102233</v>
      </c>
      <c r="K84" s="18" t="s">
        <v>2184</v>
      </c>
      <c r="L84" s="18" t="s">
        <v>2187</v>
      </c>
      <c r="M84" s="21">
        <v>329900</v>
      </c>
      <c r="N84" s="24">
        <f t="shared" si="8"/>
        <v>0.7</v>
      </c>
      <c r="O84" s="25">
        <f t="shared" si="7"/>
        <v>98970</v>
      </c>
      <c r="P84" s="11" t="s">
        <v>20</v>
      </c>
    </row>
    <row r="85" spans="1:16" x14ac:dyDescent="0.25">
      <c r="A85" s="23" t="str">
        <f t="shared" si="9"/>
        <v>2025 JAN-JUN D70</v>
      </c>
      <c r="B85" s="10">
        <f t="shared" si="9"/>
        <v>46104</v>
      </c>
      <c r="C85" s="10">
        <f t="shared" si="9"/>
        <v>46113</v>
      </c>
      <c r="D85" s="11">
        <v>3273</v>
      </c>
      <c r="E85" s="11">
        <v>336</v>
      </c>
      <c r="F85" s="11">
        <v>4</v>
      </c>
      <c r="G85" s="18">
        <v>9</v>
      </c>
      <c r="H85" s="18">
        <v>81574</v>
      </c>
      <c r="I85" s="18" t="s">
        <v>17</v>
      </c>
      <c r="J85" s="18">
        <v>51102242</v>
      </c>
      <c r="K85" s="18" t="s">
        <v>2184</v>
      </c>
      <c r="L85" s="18" t="s">
        <v>2188</v>
      </c>
      <c r="M85" s="21">
        <v>329900</v>
      </c>
      <c r="N85" s="24">
        <f t="shared" si="8"/>
        <v>0.7</v>
      </c>
      <c r="O85" s="25">
        <f t="shared" si="7"/>
        <v>98970</v>
      </c>
      <c r="P85" s="11" t="s">
        <v>20</v>
      </c>
    </row>
    <row r="86" spans="1:16" x14ac:dyDescent="0.25">
      <c r="A86" s="23" t="str">
        <f t="shared" si="9"/>
        <v>2025 JAN-JUN D70</v>
      </c>
      <c r="B86" s="10">
        <f t="shared" si="9"/>
        <v>46104</v>
      </c>
      <c r="C86" s="10">
        <f t="shared" si="9"/>
        <v>46113</v>
      </c>
      <c r="D86" s="11">
        <v>3273</v>
      </c>
      <c r="E86" s="11">
        <v>336</v>
      </c>
      <c r="F86" s="11">
        <v>4</v>
      </c>
      <c r="G86" s="18">
        <v>9</v>
      </c>
      <c r="H86" s="18">
        <v>81574</v>
      </c>
      <c r="I86" s="18" t="s">
        <v>17</v>
      </c>
      <c r="J86" s="18">
        <v>51102251</v>
      </c>
      <c r="K86" s="18" t="s">
        <v>2184</v>
      </c>
      <c r="L86" s="18" t="s">
        <v>2189</v>
      </c>
      <c r="M86" s="21">
        <v>329900</v>
      </c>
      <c r="N86" s="24">
        <f t="shared" si="8"/>
        <v>0.7</v>
      </c>
      <c r="O86" s="25">
        <f t="shared" si="7"/>
        <v>98970</v>
      </c>
      <c r="P86" s="11" t="s">
        <v>20</v>
      </c>
    </row>
    <row r="87" spans="1:16" x14ac:dyDescent="0.25">
      <c r="A87" s="23" t="str">
        <f t="shared" si="9"/>
        <v>2025 JAN-JUN D70</v>
      </c>
      <c r="B87" s="10">
        <f t="shared" si="9"/>
        <v>46104</v>
      </c>
      <c r="C87" s="10">
        <f t="shared" si="9"/>
        <v>46113</v>
      </c>
      <c r="D87" s="11">
        <v>3273</v>
      </c>
      <c r="E87" s="11">
        <v>336</v>
      </c>
      <c r="F87" s="11">
        <v>4</v>
      </c>
      <c r="G87" s="18">
        <v>9</v>
      </c>
      <c r="H87" s="18">
        <v>81574</v>
      </c>
      <c r="I87" s="18" t="s">
        <v>17</v>
      </c>
      <c r="J87" s="18">
        <v>51102260</v>
      </c>
      <c r="K87" s="18" t="s">
        <v>2184</v>
      </c>
      <c r="L87" s="18" t="s">
        <v>2190</v>
      </c>
      <c r="M87" s="21">
        <v>329900</v>
      </c>
      <c r="N87" s="24">
        <f t="shared" si="8"/>
        <v>0.7</v>
      </c>
      <c r="O87" s="25">
        <f t="shared" si="7"/>
        <v>98970</v>
      </c>
      <c r="P87" s="11" t="s">
        <v>20</v>
      </c>
    </row>
    <row r="88" spans="1:16" x14ac:dyDescent="0.25">
      <c r="A88" s="23" t="str">
        <f t="shared" si="9"/>
        <v>2025 JAN-JUN D70</v>
      </c>
      <c r="B88" s="10">
        <f t="shared" si="9"/>
        <v>46104</v>
      </c>
      <c r="C88" s="10">
        <f t="shared" si="9"/>
        <v>46113</v>
      </c>
      <c r="D88" s="11">
        <v>3273</v>
      </c>
      <c r="E88" s="11">
        <v>336</v>
      </c>
      <c r="F88" s="11">
        <v>4</v>
      </c>
      <c r="G88" s="18">
        <v>9</v>
      </c>
      <c r="H88" s="18">
        <v>81574</v>
      </c>
      <c r="I88" s="18" t="s">
        <v>17</v>
      </c>
      <c r="J88" s="18">
        <v>51102279</v>
      </c>
      <c r="K88" s="18" t="s">
        <v>2184</v>
      </c>
      <c r="L88" s="18" t="s">
        <v>2191</v>
      </c>
      <c r="M88" s="21">
        <v>329900</v>
      </c>
      <c r="N88" s="24">
        <f t="shared" si="8"/>
        <v>0.7</v>
      </c>
      <c r="O88" s="25">
        <f t="shared" si="7"/>
        <v>98970</v>
      </c>
      <c r="P88" s="11" t="s">
        <v>20</v>
      </c>
    </row>
    <row r="89" spans="1:16" x14ac:dyDescent="0.25">
      <c r="A89" s="23" t="str">
        <f t="shared" si="9"/>
        <v>2025 JAN-JUN D70</v>
      </c>
      <c r="B89" s="10">
        <f t="shared" si="9"/>
        <v>46104</v>
      </c>
      <c r="C89" s="10">
        <f t="shared" si="9"/>
        <v>46113</v>
      </c>
      <c r="D89" s="11">
        <v>3273</v>
      </c>
      <c r="E89" s="11">
        <v>336</v>
      </c>
      <c r="F89" s="11">
        <v>4</v>
      </c>
      <c r="G89" s="18">
        <v>9</v>
      </c>
      <c r="H89" s="18">
        <v>81574</v>
      </c>
      <c r="I89" s="18" t="s">
        <v>17</v>
      </c>
      <c r="J89" s="18">
        <v>51102288</v>
      </c>
      <c r="K89" s="18" t="s">
        <v>2184</v>
      </c>
      <c r="L89" s="18" t="s">
        <v>2192</v>
      </c>
      <c r="M89" s="21">
        <v>329900</v>
      </c>
      <c r="N89" s="24">
        <f t="shared" si="8"/>
        <v>0.7</v>
      </c>
      <c r="O89" s="25">
        <f t="shared" si="7"/>
        <v>98970</v>
      </c>
      <c r="P89" s="11" t="s">
        <v>20</v>
      </c>
    </row>
    <row r="90" spans="1:16" x14ac:dyDescent="0.25">
      <c r="A90" s="23" t="str">
        <f t="shared" si="9"/>
        <v>2025 JAN-JUN D70</v>
      </c>
      <c r="B90" s="10">
        <f t="shared" si="9"/>
        <v>46104</v>
      </c>
      <c r="C90" s="10">
        <f t="shared" si="9"/>
        <v>46113</v>
      </c>
      <c r="D90" s="11">
        <v>3273</v>
      </c>
      <c r="E90" s="11">
        <v>336</v>
      </c>
      <c r="F90" s="11">
        <v>4</v>
      </c>
      <c r="G90" s="18">
        <v>9</v>
      </c>
      <c r="H90" s="18">
        <v>81574</v>
      </c>
      <c r="I90" s="23" t="str">
        <f t="shared" ref="I90:I113" si="10">I89</f>
        <v>DISNEY</v>
      </c>
      <c r="J90" s="18">
        <v>51105221</v>
      </c>
      <c r="K90" s="18" t="s">
        <v>2193</v>
      </c>
      <c r="L90" s="18" t="s">
        <v>2194</v>
      </c>
      <c r="M90" s="21">
        <v>279900</v>
      </c>
      <c r="N90" s="24">
        <f t="shared" si="8"/>
        <v>0.7</v>
      </c>
      <c r="O90" s="25">
        <f t="shared" si="7"/>
        <v>83970</v>
      </c>
      <c r="P90" s="11" t="s">
        <v>20</v>
      </c>
    </row>
    <row r="91" spans="1:16" x14ac:dyDescent="0.25">
      <c r="A91" s="23" t="str">
        <f t="shared" si="9"/>
        <v>2025 JAN-JUN D70</v>
      </c>
      <c r="B91" s="10">
        <f t="shared" si="9"/>
        <v>46104</v>
      </c>
      <c r="C91" s="10">
        <f t="shared" si="9"/>
        <v>46113</v>
      </c>
      <c r="D91" s="11">
        <v>3273</v>
      </c>
      <c r="E91" s="11">
        <v>336</v>
      </c>
      <c r="F91" s="11">
        <v>4</v>
      </c>
      <c r="G91" s="18">
        <v>9</v>
      </c>
      <c r="H91" s="18">
        <v>81574</v>
      </c>
      <c r="I91" s="23" t="str">
        <f t="shared" si="10"/>
        <v>DISNEY</v>
      </c>
      <c r="J91" s="18">
        <v>51105230</v>
      </c>
      <c r="K91" s="18" t="s">
        <v>2193</v>
      </c>
      <c r="L91" s="18" t="s">
        <v>2195</v>
      </c>
      <c r="M91" s="21">
        <v>279900</v>
      </c>
      <c r="N91" s="24">
        <f t="shared" si="8"/>
        <v>0.7</v>
      </c>
      <c r="O91" s="25">
        <f t="shared" si="7"/>
        <v>83970</v>
      </c>
      <c r="P91" s="11" t="s">
        <v>20</v>
      </c>
    </row>
    <row r="92" spans="1:16" x14ac:dyDescent="0.25">
      <c r="A92" s="23" t="str">
        <f t="shared" si="9"/>
        <v>2025 JAN-JUN D70</v>
      </c>
      <c r="B92" s="10">
        <f t="shared" si="9"/>
        <v>46104</v>
      </c>
      <c r="C92" s="10">
        <f t="shared" si="9"/>
        <v>46113</v>
      </c>
      <c r="D92" s="11">
        <v>3273</v>
      </c>
      <c r="E92" s="11">
        <v>336</v>
      </c>
      <c r="F92" s="11">
        <v>4</v>
      </c>
      <c r="G92" s="18">
        <v>9</v>
      </c>
      <c r="H92" s="18">
        <v>81574</v>
      </c>
      <c r="I92" s="23" t="str">
        <f t="shared" si="10"/>
        <v>DISNEY</v>
      </c>
      <c r="J92" s="18">
        <v>51105249</v>
      </c>
      <c r="K92" s="18" t="s">
        <v>2193</v>
      </c>
      <c r="L92" s="18" t="s">
        <v>2196</v>
      </c>
      <c r="M92" s="21">
        <v>279900</v>
      </c>
      <c r="N92" s="24">
        <f t="shared" si="8"/>
        <v>0.7</v>
      </c>
      <c r="O92" s="25">
        <f t="shared" si="7"/>
        <v>83970</v>
      </c>
      <c r="P92" s="11" t="s">
        <v>20</v>
      </c>
    </row>
    <row r="93" spans="1:16" x14ac:dyDescent="0.25">
      <c r="A93" s="23" t="str">
        <f t="shared" si="9"/>
        <v>2025 JAN-JUN D70</v>
      </c>
      <c r="B93" s="10">
        <f t="shared" si="9"/>
        <v>46104</v>
      </c>
      <c r="C93" s="10">
        <f t="shared" si="9"/>
        <v>46113</v>
      </c>
      <c r="D93" s="11">
        <v>3273</v>
      </c>
      <c r="E93" s="11">
        <v>336</v>
      </c>
      <c r="F93" s="11">
        <v>4</v>
      </c>
      <c r="G93" s="18">
        <v>9</v>
      </c>
      <c r="H93" s="18">
        <v>81574</v>
      </c>
      <c r="I93" s="23" t="str">
        <f t="shared" si="10"/>
        <v>DISNEY</v>
      </c>
      <c r="J93" s="18">
        <v>51105258</v>
      </c>
      <c r="K93" s="18" t="s">
        <v>2193</v>
      </c>
      <c r="L93" s="18" t="s">
        <v>2197</v>
      </c>
      <c r="M93" s="21">
        <v>279900</v>
      </c>
      <c r="N93" s="24">
        <f t="shared" si="8"/>
        <v>0.7</v>
      </c>
      <c r="O93" s="25">
        <f t="shared" si="7"/>
        <v>83970</v>
      </c>
      <c r="P93" s="11" t="s">
        <v>20</v>
      </c>
    </row>
    <row r="94" spans="1:16" x14ac:dyDescent="0.25">
      <c r="A94" s="23" t="str">
        <f t="shared" si="9"/>
        <v>2025 JAN-JUN D70</v>
      </c>
      <c r="B94" s="10">
        <f t="shared" si="9"/>
        <v>46104</v>
      </c>
      <c r="C94" s="10">
        <f t="shared" si="9"/>
        <v>46113</v>
      </c>
      <c r="D94" s="11">
        <v>3273</v>
      </c>
      <c r="E94" s="11">
        <v>336</v>
      </c>
      <c r="F94" s="11">
        <v>4</v>
      </c>
      <c r="G94" s="18">
        <v>9</v>
      </c>
      <c r="H94" s="18">
        <v>81574</v>
      </c>
      <c r="I94" s="23" t="str">
        <f t="shared" si="10"/>
        <v>DISNEY</v>
      </c>
      <c r="J94" s="18">
        <v>51105267</v>
      </c>
      <c r="K94" s="18" t="s">
        <v>2193</v>
      </c>
      <c r="L94" s="18" t="s">
        <v>2198</v>
      </c>
      <c r="M94" s="21">
        <v>279900</v>
      </c>
      <c r="N94" s="24">
        <f t="shared" si="8"/>
        <v>0.7</v>
      </c>
      <c r="O94" s="25">
        <f t="shared" si="7"/>
        <v>83970</v>
      </c>
      <c r="P94" s="11" t="s">
        <v>20</v>
      </c>
    </row>
    <row r="95" spans="1:16" x14ac:dyDescent="0.25">
      <c r="A95" s="23" t="str">
        <f t="shared" si="9"/>
        <v>2025 JAN-JUN D70</v>
      </c>
      <c r="B95" s="10">
        <f t="shared" si="9"/>
        <v>46104</v>
      </c>
      <c r="C95" s="10">
        <f t="shared" si="9"/>
        <v>46113</v>
      </c>
      <c r="D95" s="11">
        <v>3273</v>
      </c>
      <c r="E95" s="11">
        <v>336</v>
      </c>
      <c r="F95" s="11">
        <v>4</v>
      </c>
      <c r="G95" s="18">
        <v>9</v>
      </c>
      <c r="H95" s="18">
        <v>81574</v>
      </c>
      <c r="I95" s="23" t="str">
        <f t="shared" si="10"/>
        <v>DISNEY</v>
      </c>
      <c r="J95" s="18">
        <v>51105276</v>
      </c>
      <c r="K95" s="18" t="s">
        <v>2193</v>
      </c>
      <c r="L95" s="18" t="s">
        <v>2199</v>
      </c>
      <c r="M95" s="21">
        <v>279900</v>
      </c>
      <c r="N95" s="24">
        <f t="shared" si="8"/>
        <v>0.7</v>
      </c>
      <c r="O95" s="25">
        <f t="shared" si="7"/>
        <v>83970</v>
      </c>
      <c r="P95" s="11" t="s">
        <v>20</v>
      </c>
    </row>
    <row r="96" spans="1:16" x14ac:dyDescent="0.25">
      <c r="A96" s="23" t="str">
        <f t="shared" si="9"/>
        <v>2025 JAN-JUN D70</v>
      </c>
      <c r="B96" s="10">
        <f t="shared" si="9"/>
        <v>46104</v>
      </c>
      <c r="C96" s="10">
        <f t="shared" si="9"/>
        <v>46113</v>
      </c>
      <c r="D96" s="11">
        <v>3273</v>
      </c>
      <c r="E96" s="11">
        <v>336</v>
      </c>
      <c r="F96" s="11">
        <v>4</v>
      </c>
      <c r="G96" s="18">
        <v>9</v>
      </c>
      <c r="H96" s="18">
        <v>81574</v>
      </c>
      <c r="I96" s="23" t="str">
        <f t="shared" si="10"/>
        <v>DISNEY</v>
      </c>
      <c r="J96" s="18">
        <v>51105285</v>
      </c>
      <c r="K96" s="18" t="s">
        <v>2193</v>
      </c>
      <c r="L96" s="18" t="s">
        <v>2200</v>
      </c>
      <c r="M96" s="21">
        <v>279900</v>
      </c>
      <c r="N96" s="24">
        <f t="shared" si="8"/>
        <v>0.7</v>
      </c>
      <c r="O96" s="25">
        <f t="shared" si="7"/>
        <v>83970</v>
      </c>
      <c r="P96" s="11" t="s">
        <v>20</v>
      </c>
    </row>
    <row r="97" spans="1:16" x14ac:dyDescent="0.25">
      <c r="A97" s="23" t="str">
        <f t="shared" si="9"/>
        <v>2025 JAN-JUN D70</v>
      </c>
      <c r="B97" s="10">
        <f t="shared" si="9"/>
        <v>46104</v>
      </c>
      <c r="C97" s="10">
        <f t="shared" si="9"/>
        <v>46113</v>
      </c>
      <c r="D97" s="11">
        <v>3273</v>
      </c>
      <c r="E97" s="11">
        <v>336</v>
      </c>
      <c r="F97" s="11">
        <v>4</v>
      </c>
      <c r="G97" s="18">
        <v>9</v>
      </c>
      <c r="H97" s="18">
        <v>81574</v>
      </c>
      <c r="I97" s="23" t="str">
        <f t="shared" si="10"/>
        <v>DISNEY</v>
      </c>
      <c r="J97" s="18">
        <v>51105294</v>
      </c>
      <c r="K97" s="18" t="s">
        <v>2193</v>
      </c>
      <c r="L97" s="18" t="s">
        <v>2201</v>
      </c>
      <c r="M97" s="21">
        <v>279900</v>
      </c>
      <c r="N97" s="24">
        <f t="shared" si="8"/>
        <v>0.7</v>
      </c>
      <c r="O97" s="25">
        <f t="shared" si="7"/>
        <v>83970</v>
      </c>
      <c r="P97" s="11" t="s">
        <v>20</v>
      </c>
    </row>
    <row r="98" spans="1:16" x14ac:dyDescent="0.25">
      <c r="A98" s="23" t="str">
        <f t="shared" si="9"/>
        <v>2025 JAN-JUN D70</v>
      </c>
      <c r="B98" s="10">
        <f t="shared" si="9"/>
        <v>46104</v>
      </c>
      <c r="C98" s="10">
        <f t="shared" si="9"/>
        <v>46113</v>
      </c>
      <c r="D98" s="11">
        <v>3273</v>
      </c>
      <c r="E98" s="11">
        <v>336</v>
      </c>
      <c r="F98" s="11">
        <v>4</v>
      </c>
      <c r="G98" s="18">
        <v>9</v>
      </c>
      <c r="H98" s="18">
        <v>81574</v>
      </c>
      <c r="I98" s="23" t="str">
        <f t="shared" si="10"/>
        <v>DISNEY</v>
      </c>
      <c r="J98" s="18">
        <v>51105301</v>
      </c>
      <c r="K98" s="18" t="s">
        <v>2202</v>
      </c>
      <c r="L98" s="18" t="s">
        <v>2203</v>
      </c>
      <c r="M98" s="21">
        <v>329900</v>
      </c>
      <c r="N98" s="24">
        <f t="shared" si="8"/>
        <v>0.7</v>
      </c>
      <c r="O98" s="25">
        <f t="shared" si="7"/>
        <v>98970</v>
      </c>
      <c r="P98" s="11" t="s">
        <v>20</v>
      </c>
    </row>
    <row r="99" spans="1:16" x14ac:dyDescent="0.25">
      <c r="A99" s="23" t="str">
        <f t="shared" ref="A99:C114" si="11">A98</f>
        <v>2025 JAN-JUN D70</v>
      </c>
      <c r="B99" s="10">
        <f t="shared" si="11"/>
        <v>46104</v>
      </c>
      <c r="C99" s="10">
        <f t="shared" si="11"/>
        <v>46113</v>
      </c>
      <c r="D99" s="11">
        <v>3273</v>
      </c>
      <c r="E99" s="11">
        <v>336</v>
      </c>
      <c r="F99" s="11">
        <v>4</v>
      </c>
      <c r="G99" s="18">
        <v>9</v>
      </c>
      <c r="H99" s="18">
        <v>81574</v>
      </c>
      <c r="I99" s="23" t="str">
        <f t="shared" si="10"/>
        <v>DISNEY</v>
      </c>
      <c r="J99" s="18">
        <v>51105310</v>
      </c>
      <c r="K99" s="18" t="s">
        <v>2202</v>
      </c>
      <c r="L99" s="18" t="s">
        <v>2204</v>
      </c>
      <c r="M99" s="21">
        <v>329900</v>
      </c>
      <c r="N99" s="24">
        <f t="shared" si="8"/>
        <v>0.7</v>
      </c>
      <c r="O99" s="25">
        <f t="shared" si="7"/>
        <v>98970</v>
      </c>
      <c r="P99" s="11" t="s">
        <v>20</v>
      </c>
    </row>
    <row r="100" spans="1:16" x14ac:dyDescent="0.25">
      <c r="A100" s="23" t="str">
        <f t="shared" si="11"/>
        <v>2025 JAN-JUN D70</v>
      </c>
      <c r="B100" s="10">
        <f t="shared" si="11"/>
        <v>46104</v>
      </c>
      <c r="C100" s="10">
        <f t="shared" si="11"/>
        <v>46113</v>
      </c>
      <c r="D100" s="11">
        <v>3273</v>
      </c>
      <c r="E100" s="11">
        <v>336</v>
      </c>
      <c r="F100" s="11">
        <v>4</v>
      </c>
      <c r="G100" s="18">
        <v>9</v>
      </c>
      <c r="H100" s="18">
        <v>81574</v>
      </c>
      <c r="I100" s="23" t="str">
        <f t="shared" si="10"/>
        <v>DISNEY</v>
      </c>
      <c r="J100" s="18">
        <v>51105329</v>
      </c>
      <c r="K100" s="18" t="s">
        <v>2202</v>
      </c>
      <c r="L100" s="18" t="s">
        <v>2205</v>
      </c>
      <c r="M100" s="21">
        <v>329900</v>
      </c>
      <c r="N100" s="24">
        <f t="shared" si="8"/>
        <v>0.7</v>
      </c>
      <c r="O100" s="25">
        <f t="shared" si="7"/>
        <v>98970</v>
      </c>
      <c r="P100" s="11" t="s">
        <v>20</v>
      </c>
    </row>
    <row r="101" spans="1:16" x14ac:dyDescent="0.25">
      <c r="A101" s="23" t="str">
        <f t="shared" si="11"/>
        <v>2025 JAN-JUN D70</v>
      </c>
      <c r="B101" s="10">
        <f t="shared" si="11"/>
        <v>46104</v>
      </c>
      <c r="C101" s="10">
        <f t="shared" si="11"/>
        <v>46113</v>
      </c>
      <c r="D101" s="11">
        <v>3273</v>
      </c>
      <c r="E101" s="11">
        <v>336</v>
      </c>
      <c r="F101" s="11">
        <v>4</v>
      </c>
      <c r="G101" s="18">
        <v>9</v>
      </c>
      <c r="H101" s="18">
        <v>81574</v>
      </c>
      <c r="I101" s="23" t="str">
        <f t="shared" si="10"/>
        <v>DISNEY</v>
      </c>
      <c r="J101" s="18">
        <v>51105338</v>
      </c>
      <c r="K101" s="18" t="s">
        <v>2202</v>
      </c>
      <c r="L101" s="18" t="s">
        <v>2206</v>
      </c>
      <c r="M101" s="21">
        <v>329900</v>
      </c>
      <c r="N101" s="24">
        <f t="shared" si="8"/>
        <v>0.7</v>
      </c>
      <c r="O101" s="25">
        <f t="shared" si="7"/>
        <v>98970</v>
      </c>
      <c r="P101" s="11" t="s">
        <v>20</v>
      </c>
    </row>
    <row r="102" spans="1:16" x14ac:dyDescent="0.25">
      <c r="A102" s="23" t="str">
        <f t="shared" si="11"/>
        <v>2025 JAN-JUN D70</v>
      </c>
      <c r="B102" s="10">
        <f t="shared" si="11"/>
        <v>46104</v>
      </c>
      <c r="C102" s="10">
        <f t="shared" si="11"/>
        <v>46113</v>
      </c>
      <c r="D102" s="11">
        <v>3273</v>
      </c>
      <c r="E102" s="11">
        <v>336</v>
      </c>
      <c r="F102" s="11">
        <v>4</v>
      </c>
      <c r="G102" s="18">
        <v>9</v>
      </c>
      <c r="H102" s="18">
        <v>81574</v>
      </c>
      <c r="I102" s="23" t="str">
        <f t="shared" si="10"/>
        <v>DISNEY</v>
      </c>
      <c r="J102" s="18">
        <v>51105347</v>
      </c>
      <c r="K102" s="18" t="s">
        <v>2202</v>
      </c>
      <c r="L102" s="18" t="s">
        <v>2207</v>
      </c>
      <c r="M102" s="21">
        <v>329900</v>
      </c>
      <c r="N102" s="24">
        <f t="shared" si="8"/>
        <v>0.7</v>
      </c>
      <c r="O102" s="25">
        <f t="shared" si="7"/>
        <v>98970</v>
      </c>
      <c r="P102" s="11" t="s">
        <v>20</v>
      </c>
    </row>
    <row r="103" spans="1:16" x14ac:dyDescent="0.25">
      <c r="A103" s="23" t="str">
        <f t="shared" si="11"/>
        <v>2025 JAN-JUN D70</v>
      </c>
      <c r="B103" s="10">
        <f t="shared" si="11"/>
        <v>46104</v>
      </c>
      <c r="C103" s="10">
        <f t="shared" si="11"/>
        <v>46113</v>
      </c>
      <c r="D103" s="11">
        <v>3273</v>
      </c>
      <c r="E103" s="11">
        <v>336</v>
      </c>
      <c r="F103" s="11">
        <v>4</v>
      </c>
      <c r="G103" s="18">
        <v>9</v>
      </c>
      <c r="H103" s="18">
        <v>81574</v>
      </c>
      <c r="I103" s="23" t="str">
        <f t="shared" si="10"/>
        <v>DISNEY</v>
      </c>
      <c r="J103" s="18">
        <v>51105356</v>
      </c>
      <c r="K103" s="18" t="s">
        <v>2202</v>
      </c>
      <c r="L103" s="18" t="s">
        <v>2208</v>
      </c>
      <c r="M103" s="21">
        <v>329900</v>
      </c>
      <c r="N103" s="24">
        <f t="shared" si="8"/>
        <v>0.7</v>
      </c>
      <c r="O103" s="25">
        <f t="shared" si="7"/>
        <v>98970</v>
      </c>
      <c r="P103" s="11" t="s">
        <v>20</v>
      </c>
    </row>
    <row r="104" spans="1:16" x14ac:dyDescent="0.25">
      <c r="A104" s="23" t="str">
        <f t="shared" si="11"/>
        <v>2025 JAN-JUN D70</v>
      </c>
      <c r="B104" s="10">
        <f t="shared" si="11"/>
        <v>46104</v>
      </c>
      <c r="C104" s="10">
        <f t="shared" si="11"/>
        <v>46113</v>
      </c>
      <c r="D104" s="11">
        <v>3273</v>
      </c>
      <c r="E104" s="11">
        <v>336</v>
      </c>
      <c r="F104" s="11">
        <v>4</v>
      </c>
      <c r="G104" s="18">
        <v>9</v>
      </c>
      <c r="H104" s="18">
        <v>81574</v>
      </c>
      <c r="I104" s="23" t="str">
        <f t="shared" si="10"/>
        <v>DISNEY</v>
      </c>
      <c r="J104" s="18">
        <v>51105365</v>
      </c>
      <c r="K104" s="18" t="s">
        <v>2202</v>
      </c>
      <c r="L104" s="18" t="s">
        <v>2209</v>
      </c>
      <c r="M104" s="21">
        <v>329900</v>
      </c>
      <c r="N104" s="24">
        <f t="shared" si="8"/>
        <v>0.7</v>
      </c>
      <c r="O104" s="25">
        <f t="shared" si="7"/>
        <v>98970</v>
      </c>
      <c r="P104" s="11" t="s">
        <v>20</v>
      </c>
    </row>
    <row r="105" spans="1:16" x14ac:dyDescent="0.25">
      <c r="A105" s="23" t="str">
        <f t="shared" si="11"/>
        <v>2025 JAN-JUN D70</v>
      </c>
      <c r="B105" s="10">
        <f t="shared" si="11"/>
        <v>46104</v>
      </c>
      <c r="C105" s="10">
        <f t="shared" si="11"/>
        <v>46113</v>
      </c>
      <c r="D105" s="11">
        <v>3273</v>
      </c>
      <c r="E105" s="11">
        <v>336</v>
      </c>
      <c r="F105" s="11">
        <v>4</v>
      </c>
      <c r="G105" s="18">
        <v>9</v>
      </c>
      <c r="H105" s="18">
        <v>81574</v>
      </c>
      <c r="I105" s="23" t="str">
        <f t="shared" si="10"/>
        <v>DISNEY</v>
      </c>
      <c r="J105" s="18">
        <v>51105374</v>
      </c>
      <c r="K105" s="18" t="s">
        <v>2202</v>
      </c>
      <c r="L105" s="18" t="s">
        <v>2210</v>
      </c>
      <c r="M105" s="21">
        <v>329900</v>
      </c>
      <c r="N105" s="24">
        <f t="shared" si="8"/>
        <v>0.7</v>
      </c>
      <c r="O105" s="25">
        <f t="shared" si="7"/>
        <v>98970</v>
      </c>
      <c r="P105" s="11" t="s">
        <v>20</v>
      </c>
    </row>
    <row r="106" spans="1:16" x14ac:dyDescent="0.25">
      <c r="A106" s="23" t="str">
        <f t="shared" si="11"/>
        <v>2025 JAN-JUN D70</v>
      </c>
      <c r="B106" s="10">
        <f t="shared" si="11"/>
        <v>46104</v>
      </c>
      <c r="C106" s="10">
        <f t="shared" si="11"/>
        <v>46113</v>
      </c>
      <c r="D106" s="11">
        <v>3273</v>
      </c>
      <c r="E106" s="11">
        <v>336</v>
      </c>
      <c r="F106" s="11">
        <v>4</v>
      </c>
      <c r="G106" s="18">
        <v>9</v>
      </c>
      <c r="H106" s="18">
        <v>81574</v>
      </c>
      <c r="I106" s="23" t="str">
        <f t="shared" si="10"/>
        <v>DISNEY</v>
      </c>
      <c r="J106" s="18">
        <v>51105383</v>
      </c>
      <c r="K106" s="18" t="s">
        <v>2211</v>
      </c>
      <c r="L106" s="18" t="s">
        <v>2212</v>
      </c>
      <c r="M106" s="21">
        <v>329900</v>
      </c>
      <c r="N106" s="24">
        <f t="shared" si="8"/>
        <v>0.7</v>
      </c>
      <c r="O106" s="25">
        <f t="shared" si="7"/>
        <v>98970</v>
      </c>
      <c r="P106" s="11" t="s">
        <v>20</v>
      </c>
    </row>
    <row r="107" spans="1:16" x14ac:dyDescent="0.25">
      <c r="A107" s="23" t="str">
        <f t="shared" si="11"/>
        <v>2025 JAN-JUN D70</v>
      </c>
      <c r="B107" s="10">
        <f t="shared" si="11"/>
        <v>46104</v>
      </c>
      <c r="C107" s="10">
        <f t="shared" si="11"/>
        <v>46113</v>
      </c>
      <c r="D107" s="11">
        <v>3273</v>
      </c>
      <c r="E107" s="11">
        <v>336</v>
      </c>
      <c r="F107" s="11">
        <v>4</v>
      </c>
      <c r="G107" s="18">
        <v>9</v>
      </c>
      <c r="H107" s="18">
        <v>81574</v>
      </c>
      <c r="I107" s="23" t="str">
        <f t="shared" si="10"/>
        <v>DISNEY</v>
      </c>
      <c r="J107" s="18">
        <v>51105392</v>
      </c>
      <c r="K107" s="18" t="s">
        <v>2211</v>
      </c>
      <c r="L107" s="18" t="s">
        <v>2213</v>
      </c>
      <c r="M107" s="21">
        <v>329900</v>
      </c>
      <c r="N107" s="24">
        <f t="shared" si="8"/>
        <v>0.7</v>
      </c>
      <c r="O107" s="25">
        <f t="shared" si="7"/>
        <v>98970</v>
      </c>
      <c r="P107" s="11" t="s">
        <v>20</v>
      </c>
    </row>
    <row r="108" spans="1:16" x14ac:dyDescent="0.25">
      <c r="A108" s="23" t="str">
        <f t="shared" si="11"/>
        <v>2025 JAN-JUN D70</v>
      </c>
      <c r="B108" s="10">
        <f t="shared" si="11"/>
        <v>46104</v>
      </c>
      <c r="C108" s="10">
        <f t="shared" si="11"/>
        <v>46113</v>
      </c>
      <c r="D108" s="11">
        <v>3273</v>
      </c>
      <c r="E108" s="11">
        <v>336</v>
      </c>
      <c r="F108" s="11">
        <v>4</v>
      </c>
      <c r="G108" s="18">
        <v>9</v>
      </c>
      <c r="H108" s="18">
        <v>81574</v>
      </c>
      <c r="I108" s="23" t="str">
        <f t="shared" si="10"/>
        <v>DISNEY</v>
      </c>
      <c r="J108" s="18">
        <v>51105409</v>
      </c>
      <c r="K108" s="18" t="s">
        <v>2211</v>
      </c>
      <c r="L108" s="18" t="s">
        <v>2214</v>
      </c>
      <c r="M108" s="21">
        <v>329900</v>
      </c>
      <c r="N108" s="24">
        <f t="shared" si="8"/>
        <v>0.7</v>
      </c>
      <c r="O108" s="25">
        <f t="shared" si="7"/>
        <v>98970</v>
      </c>
      <c r="P108" s="11" t="s">
        <v>20</v>
      </c>
    </row>
    <row r="109" spans="1:16" x14ac:dyDescent="0.25">
      <c r="A109" s="23" t="str">
        <f t="shared" si="11"/>
        <v>2025 JAN-JUN D70</v>
      </c>
      <c r="B109" s="10">
        <f t="shared" si="11"/>
        <v>46104</v>
      </c>
      <c r="C109" s="10">
        <f t="shared" si="11"/>
        <v>46113</v>
      </c>
      <c r="D109" s="11">
        <v>3273</v>
      </c>
      <c r="E109" s="11">
        <v>336</v>
      </c>
      <c r="F109" s="11">
        <v>4</v>
      </c>
      <c r="G109" s="18">
        <v>9</v>
      </c>
      <c r="H109" s="18">
        <v>81574</v>
      </c>
      <c r="I109" s="23" t="str">
        <f t="shared" si="10"/>
        <v>DISNEY</v>
      </c>
      <c r="J109" s="18">
        <v>51105418</v>
      </c>
      <c r="K109" s="18" t="s">
        <v>2211</v>
      </c>
      <c r="L109" s="18" t="s">
        <v>2215</v>
      </c>
      <c r="M109" s="21">
        <v>329900</v>
      </c>
      <c r="N109" s="24">
        <f t="shared" si="8"/>
        <v>0.7</v>
      </c>
      <c r="O109" s="25">
        <f t="shared" si="7"/>
        <v>98970</v>
      </c>
      <c r="P109" s="11" t="s">
        <v>20</v>
      </c>
    </row>
    <row r="110" spans="1:16" x14ac:dyDescent="0.25">
      <c r="A110" s="23" t="str">
        <f t="shared" si="11"/>
        <v>2025 JAN-JUN D70</v>
      </c>
      <c r="B110" s="10">
        <f t="shared" si="11"/>
        <v>46104</v>
      </c>
      <c r="C110" s="10">
        <f t="shared" si="11"/>
        <v>46113</v>
      </c>
      <c r="D110" s="11">
        <v>3273</v>
      </c>
      <c r="E110" s="11">
        <v>336</v>
      </c>
      <c r="F110" s="11">
        <v>4</v>
      </c>
      <c r="G110" s="18">
        <v>9</v>
      </c>
      <c r="H110" s="18">
        <v>81574</v>
      </c>
      <c r="I110" s="23" t="str">
        <f t="shared" si="10"/>
        <v>DISNEY</v>
      </c>
      <c r="J110" s="18">
        <v>51105427</v>
      </c>
      <c r="K110" s="18" t="s">
        <v>2211</v>
      </c>
      <c r="L110" s="18" t="s">
        <v>2216</v>
      </c>
      <c r="M110" s="21">
        <v>329900</v>
      </c>
      <c r="N110" s="24">
        <f t="shared" si="8"/>
        <v>0.7</v>
      </c>
      <c r="O110" s="25">
        <f t="shared" si="7"/>
        <v>98970</v>
      </c>
      <c r="P110" s="11" t="s">
        <v>20</v>
      </c>
    </row>
    <row r="111" spans="1:16" x14ac:dyDescent="0.25">
      <c r="A111" s="23" t="str">
        <f t="shared" si="11"/>
        <v>2025 JAN-JUN D70</v>
      </c>
      <c r="B111" s="10">
        <f t="shared" si="11"/>
        <v>46104</v>
      </c>
      <c r="C111" s="10">
        <f t="shared" si="11"/>
        <v>46113</v>
      </c>
      <c r="D111" s="11">
        <v>3273</v>
      </c>
      <c r="E111" s="11">
        <v>336</v>
      </c>
      <c r="F111" s="11">
        <v>4</v>
      </c>
      <c r="G111" s="18">
        <v>9</v>
      </c>
      <c r="H111" s="18">
        <v>81574</v>
      </c>
      <c r="I111" s="23" t="str">
        <f t="shared" si="10"/>
        <v>DISNEY</v>
      </c>
      <c r="J111" s="18">
        <v>51105436</v>
      </c>
      <c r="K111" s="18" t="s">
        <v>2211</v>
      </c>
      <c r="L111" s="18" t="s">
        <v>2217</v>
      </c>
      <c r="M111" s="21">
        <v>329900</v>
      </c>
      <c r="N111" s="24">
        <f t="shared" si="8"/>
        <v>0.7</v>
      </c>
      <c r="O111" s="25">
        <f t="shared" si="7"/>
        <v>98970</v>
      </c>
      <c r="P111" s="11" t="s">
        <v>20</v>
      </c>
    </row>
    <row r="112" spans="1:16" x14ac:dyDescent="0.25">
      <c r="A112" s="23" t="str">
        <f t="shared" si="11"/>
        <v>2025 JAN-JUN D70</v>
      </c>
      <c r="B112" s="10">
        <f t="shared" si="11"/>
        <v>46104</v>
      </c>
      <c r="C112" s="10">
        <f t="shared" si="11"/>
        <v>46113</v>
      </c>
      <c r="D112" s="11">
        <v>3273</v>
      </c>
      <c r="E112" s="11">
        <v>336</v>
      </c>
      <c r="F112" s="11">
        <v>4</v>
      </c>
      <c r="G112" s="18">
        <v>9</v>
      </c>
      <c r="H112" s="18">
        <v>81574</v>
      </c>
      <c r="I112" s="23" t="str">
        <f t="shared" si="10"/>
        <v>DISNEY</v>
      </c>
      <c r="J112" s="18">
        <v>51105445</v>
      </c>
      <c r="K112" s="18" t="s">
        <v>2211</v>
      </c>
      <c r="L112" s="18" t="s">
        <v>2218</v>
      </c>
      <c r="M112" s="21">
        <v>329900</v>
      </c>
      <c r="N112" s="24">
        <f t="shared" si="8"/>
        <v>0.7</v>
      </c>
      <c r="O112" s="25">
        <f t="shared" si="7"/>
        <v>98970</v>
      </c>
      <c r="P112" s="11" t="s">
        <v>20</v>
      </c>
    </row>
    <row r="113" spans="1:16" x14ac:dyDescent="0.25">
      <c r="A113" s="23" t="str">
        <f t="shared" si="11"/>
        <v>2025 JAN-JUN D70</v>
      </c>
      <c r="B113" s="10">
        <f t="shared" si="11"/>
        <v>46104</v>
      </c>
      <c r="C113" s="10">
        <f t="shared" si="11"/>
        <v>46113</v>
      </c>
      <c r="D113" s="11">
        <v>3273</v>
      </c>
      <c r="E113" s="11">
        <v>336</v>
      </c>
      <c r="F113" s="11">
        <v>4</v>
      </c>
      <c r="G113" s="18">
        <v>9</v>
      </c>
      <c r="H113" s="18">
        <v>81574</v>
      </c>
      <c r="I113" s="23" t="str">
        <f t="shared" si="10"/>
        <v>DISNEY</v>
      </c>
      <c r="J113" s="18">
        <v>51105454</v>
      </c>
      <c r="K113" s="18" t="s">
        <v>2211</v>
      </c>
      <c r="L113" s="18" t="s">
        <v>2219</v>
      </c>
      <c r="M113" s="21">
        <v>329900</v>
      </c>
      <c r="N113" s="24">
        <f t="shared" si="8"/>
        <v>0.7</v>
      </c>
      <c r="O113" s="25">
        <f t="shared" si="7"/>
        <v>98970</v>
      </c>
      <c r="P113" s="11" t="s">
        <v>20</v>
      </c>
    </row>
    <row r="114" spans="1:16" x14ac:dyDescent="0.25">
      <c r="A114" s="23" t="str">
        <f t="shared" si="11"/>
        <v>2025 JAN-JUN D70</v>
      </c>
      <c r="B114" s="10">
        <f>'[1]2019 ALL D95'!B114</f>
        <v>46104</v>
      </c>
      <c r="C114" s="10">
        <f>'[1]2019 ALL D95'!C114</f>
        <v>46113</v>
      </c>
      <c r="D114" s="11">
        <v>3273</v>
      </c>
      <c r="E114" s="11">
        <v>336</v>
      </c>
      <c r="F114" s="11">
        <v>4</v>
      </c>
      <c r="G114" s="18">
        <v>1</v>
      </c>
      <c r="H114" s="18">
        <v>81676</v>
      </c>
      <c r="I114" s="18" t="s">
        <v>17</v>
      </c>
      <c r="J114" s="18">
        <v>45247750</v>
      </c>
      <c r="K114" s="18" t="s">
        <v>2220</v>
      </c>
      <c r="L114" s="18" t="s">
        <v>2221</v>
      </c>
      <c r="M114" s="21">
        <v>139900</v>
      </c>
      <c r="N114" s="24">
        <f t="shared" si="8"/>
        <v>0.7</v>
      </c>
      <c r="O114" s="25">
        <f t="shared" si="7"/>
        <v>41970</v>
      </c>
      <c r="P114" s="11" t="s">
        <v>20</v>
      </c>
    </row>
    <row r="115" spans="1:16" x14ac:dyDescent="0.25">
      <c r="A115" s="23" t="str">
        <f t="shared" ref="A115:C130" si="12">A114</f>
        <v>2025 JAN-JUN D70</v>
      </c>
      <c r="B115" s="10">
        <f t="shared" si="12"/>
        <v>46104</v>
      </c>
      <c r="C115" s="10">
        <f t="shared" si="12"/>
        <v>46113</v>
      </c>
      <c r="D115" s="11">
        <v>3273</v>
      </c>
      <c r="E115" s="11">
        <v>336</v>
      </c>
      <c r="F115" s="11">
        <v>4</v>
      </c>
      <c r="G115" s="18">
        <v>1</v>
      </c>
      <c r="H115" s="18">
        <v>81676</v>
      </c>
      <c r="I115" s="18" t="s">
        <v>17</v>
      </c>
      <c r="J115" s="18">
        <v>45247769</v>
      </c>
      <c r="K115" s="18" t="s">
        <v>2220</v>
      </c>
      <c r="L115" s="18" t="s">
        <v>2222</v>
      </c>
      <c r="M115" s="21">
        <v>139900</v>
      </c>
      <c r="N115" s="24">
        <f t="shared" si="8"/>
        <v>0.7</v>
      </c>
      <c r="O115" s="25">
        <f t="shared" si="7"/>
        <v>41970</v>
      </c>
      <c r="P115" s="11" t="s">
        <v>20</v>
      </c>
    </row>
    <row r="116" spans="1:16" x14ac:dyDescent="0.25">
      <c r="A116" s="23" t="str">
        <f t="shared" si="12"/>
        <v>2025 JAN-JUN D70</v>
      </c>
      <c r="B116" s="10">
        <f t="shared" si="12"/>
        <v>46104</v>
      </c>
      <c r="C116" s="10">
        <f t="shared" si="12"/>
        <v>46113</v>
      </c>
      <c r="D116" s="11">
        <v>3273</v>
      </c>
      <c r="E116" s="11">
        <v>336</v>
      </c>
      <c r="F116" s="11">
        <v>4</v>
      </c>
      <c r="G116" s="18">
        <v>1</v>
      </c>
      <c r="H116" s="18">
        <v>81676</v>
      </c>
      <c r="I116" s="18" t="s">
        <v>17</v>
      </c>
      <c r="J116" s="18">
        <v>45247778</v>
      </c>
      <c r="K116" s="18" t="s">
        <v>2220</v>
      </c>
      <c r="L116" s="18" t="s">
        <v>2223</v>
      </c>
      <c r="M116" s="21">
        <v>139900</v>
      </c>
      <c r="N116" s="24">
        <f t="shared" si="8"/>
        <v>0.7</v>
      </c>
      <c r="O116" s="25">
        <f t="shared" si="7"/>
        <v>41970</v>
      </c>
      <c r="P116" s="11" t="s">
        <v>20</v>
      </c>
    </row>
    <row r="117" spans="1:16" x14ac:dyDescent="0.25">
      <c r="A117" s="23" t="str">
        <f t="shared" si="12"/>
        <v>2025 JAN-JUN D70</v>
      </c>
      <c r="B117" s="10">
        <f t="shared" si="12"/>
        <v>46104</v>
      </c>
      <c r="C117" s="10">
        <f t="shared" si="12"/>
        <v>46113</v>
      </c>
      <c r="D117" s="11">
        <v>3273</v>
      </c>
      <c r="E117" s="11">
        <v>336</v>
      </c>
      <c r="F117" s="11">
        <v>4</v>
      </c>
      <c r="G117" s="18">
        <v>1</v>
      </c>
      <c r="H117" s="18">
        <v>81676</v>
      </c>
      <c r="I117" s="18" t="s">
        <v>17</v>
      </c>
      <c r="J117" s="18">
        <v>45247787</v>
      </c>
      <c r="K117" s="18" t="s">
        <v>2220</v>
      </c>
      <c r="L117" s="18" t="s">
        <v>2224</v>
      </c>
      <c r="M117" s="21">
        <v>139900</v>
      </c>
      <c r="N117" s="24">
        <f t="shared" si="8"/>
        <v>0.7</v>
      </c>
      <c r="O117" s="25">
        <f t="shared" si="7"/>
        <v>41970</v>
      </c>
      <c r="P117" s="11" t="s">
        <v>20</v>
      </c>
    </row>
    <row r="118" spans="1:16" x14ac:dyDescent="0.25">
      <c r="A118" s="23" t="str">
        <f t="shared" si="12"/>
        <v>2025 JAN-JUN D70</v>
      </c>
      <c r="B118" s="10">
        <f t="shared" si="12"/>
        <v>46104</v>
      </c>
      <c r="C118" s="10">
        <f t="shared" si="12"/>
        <v>46113</v>
      </c>
      <c r="D118" s="11">
        <v>3273</v>
      </c>
      <c r="E118" s="11">
        <v>336</v>
      </c>
      <c r="F118" s="11">
        <v>4</v>
      </c>
      <c r="G118" s="18">
        <v>1</v>
      </c>
      <c r="H118" s="18">
        <v>81676</v>
      </c>
      <c r="I118" s="18" t="s">
        <v>17</v>
      </c>
      <c r="J118" s="18">
        <v>45247796</v>
      </c>
      <c r="K118" s="18" t="s">
        <v>2220</v>
      </c>
      <c r="L118" s="18" t="s">
        <v>2225</v>
      </c>
      <c r="M118" s="21">
        <v>139900</v>
      </c>
      <c r="N118" s="24">
        <f t="shared" si="8"/>
        <v>0.7</v>
      </c>
      <c r="O118" s="25">
        <f t="shared" si="7"/>
        <v>41970</v>
      </c>
      <c r="P118" s="11" t="s">
        <v>20</v>
      </c>
    </row>
    <row r="119" spans="1:16" x14ac:dyDescent="0.25">
      <c r="A119" s="23" t="str">
        <f t="shared" si="12"/>
        <v>2025 JAN-JUN D70</v>
      </c>
      <c r="B119" s="10">
        <f t="shared" si="12"/>
        <v>46104</v>
      </c>
      <c r="C119" s="10">
        <f t="shared" si="12"/>
        <v>46113</v>
      </c>
      <c r="D119" s="11">
        <v>3273</v>
      </c>
      <c r="E119" s="11">
        <v>336</v>
      </c>
      <c r="F119" s="11">
        <v>4</v>
      </c>
      <c r="G119" s="18">
        <v>1</v>
      </c>
      <c r="H119" s="18">
        <v>81588</v>
      </c>
      <c r="I119" s="18" t="s">
        <v>17</v>
      </c>
      <c r="J119" s="18">
        <v>51099355</v>
      </c>
      <c r="K119" s="18" t="s">
        <v>2226</v>
      </c>
      <c r="L119" s="18" t="s">
        <v>2227</v>
      </c>
      <c r="M119" s="21">
        <v>149900</v>
      </c>
      <c r="N119" s="24">
        <f t="shared" si="8"/>
        <v>0.7</v>
      </c>
      <c r="O119" s="25">
        <f t="shared" si="7"/>
        <v>44970</v>
      </c>
      <c r="P119" s="11" t="s">
        <v>20</v>
      </c>
    </row>
    <row r="120" spans="1:16" x14ac:dyDescent="0.25">
      <c r="A120" s="23" t="str">
        <f t="shared" si="12"/>
        <v>2025 JAN-JUN D70</v>
      </c>
      <c r="B120" s="10">
        <f t="shared" si="12"/>
        <v>46104</v>
      </c>
      <c r="C120" s="10">
        <f t="shared" si="12"/>
        <v>46113</v>
      </c>
      <c r="D120" s="11">
        <v>3273</v>
      </c>
      <c r="E120" s="11">
        <v>336</v>
      </c>
      <c r="F120" s="11">
        <v>4</v>
      </c>
      <c r="G120" s="18">
        <v>1</v>
      </c>
      <c r="H120" s="18">
        <v>81588</v>
      </c>
      <c r="I120" s="18" t="s">
        <v>17</v>
      </c>
      <c r="J120" s="18">
        <v>51099364</v>
      </c>
      <c r="K120" s="18" t="s">
        <v>2226</v>
      </c>
      <c r="L120" s="18" t="s">
        <v>2228</v>
      </c>
      <c r="M120" s="21">
        <v>149900</v>
      </c>
      <c r="N120" s="24">
        <f t="shared" si="8"/>
        <v>0.7</v>
      </c>
      <c r="O120" s="25">
        <f t="shared" si="7"/>
        <v>44970</v>
      </c>
      <c r="P120" s="11" t="s">
        <v>20</v>
      </c>
    </row>
    <row r="121" spans="1:16" x14ac:dyDescent="0.25">
      <c r="A121" s="23" t="str">
        <f t="shared" si="12"/>
        <v>2025 JAN-JUN D70</v>
      </c>
      <c r="B121" s="10">
        <f t="shared" si="12"/>
        <v>46104</v>
      </c>
      <c r="C121" s="10">
        <f t="shared" si="12"/>
        <v>46113</v>
      </c>
      <c r="D121" s="11">
        <v>3273</v>
      </c>
      <c r="E121" s="11">
        <v>336</v>
      </c>
      <c r="F121" s="11">
        <v>4</v>
      </c>
      <c r="G121" s="18">
        <v>1</v>
      </c>
      <c r="H121" s="18">
        <v>81588</v>
      </c>
      <c r="I121" s="18" t="s">
        <v>17</v>
      </c>
      <c r="J121" s="18">
        <v>51099373</v>
      </c>
      <c r="K121" s="18" t="s">
        <v>2226</v>
      </c>
      <c r="L121" s="18" t="s">
        <v>2229</v>
      </c>
      <c r="M121" s="21">
        <v>149900</v>
      </c>
      <c r="N121" s="24">
        <f t="shared" si="8"/>
        <v>0.7</v>
      </c>
      <c r="O121" s="25">
        <f t="shared" si="7"/>
        <v>44970</v>
      </c>
      <c r="P121" s="11" t="s">
        <v>20</v>
      </c>
    </row>
    <row r="122" spans="1:16" x14ac:dyDescent="0.25">
      <c r="A122" s="23" t="str">
        <f t="shared" si="12"/>
        <v>2025 JAN-JUN D70</v>
      </c>
      <c r="B122" s="10">
        <f t="shared" si="12"/>
        <v>46104</v>
      </c>
      <c r="C122" s="10">
        <f t="shared" si="12"/>
        <v>46113</v>
      </c>
      <c r="D122" s="11">
        <v>3273</v>
      </c>
      <c r="E122" s="11">
        <v>336</v>
      </c>
      <c r="F122" s="11">
        <v>4</v>
      </c>
      <c r="G122" s="18">
        <v>1</v>
      </c>
      <c r="H122" s="18">
        <v>81588</v>
      </c>
      <c r="I122" s="18" t="s">
        <v>17</v>
      </c>
      <c r="J122" s="18">
        <v>51099382</v>
      </c>
      <c r="K122" s="18" t="s">
        <v>2226</v>
      </c>
      <c r="L122" s="18" t="s">
        <v>2230</v>
      </c>
      <c r="M122" s="21">
        <v>149900</v>
      </c>
      <c r="N122" s="24">
        <f t="shared" si="8"/>
        <v>0.7</v>
      </c>
      <c r="O122" s="25">
        <f t="shared" si="7"/>
        <v>44970</v>
      </c>
      <c r="P122" s="11" t="s">
        <v>20</v>
      </c>
    </row>
    <row r="123" spans="1:16" x14ac:dyDescent="0.25">
      <c r="A123" s="23" t="str">
        <f t="shared" si="12"/>
        <v>2025 JAN-JUN D70</v>
      </c>
      <c r="B123" s="10">
        <f t="shared" si="12"/>
        <v>46104</v>
      </c>
      <c r="C123" s="10">
        <f t="shared" si="12"/>
        <v>46113</v>
      </c>
      <c r="D123" s="11">
        <v>3273</v>
      </c>
      <c r="E123" s="11">
        <v>336</v>
      </c>
      <c r="F123" s="11">
        <v>4</v>
      </c>
      <c r="G123" s="18">
        <v>1</v>
      </c>
      <c r="H123" s="18">
        <v>81588</v>
      </c>
      <c r="I123" s="18" t="s">
        <v>17</v>
      </c>
      <c r="J123" s="18">
        <v>51099391</v>
      </c>
      <c r="K123" s="18" t="s">
        <v>2226</v>
      </c>
      <c r="L123" s="18" t="s">
        <v>2231</v>
      </c>
      <c r="M123" s="21">
        <v>149900</v>
      </c>
      <c r="N123" s="24">
        <f t="shared" si="8"/>
        <v>0.7</v>
      </c>
      <c r="O123" s="25">
        <f t="shared" si="7"/>
        <v>44970</v>
      </c>
      <c r="P123" s="11" t="s">
        <v>20</v>
      </c>
    </row>
    <row r="124" spans="1:16" x14ac:dyDescent="0.25">
      <c r="A124" s="23" t="str">
        <f t="shared" si="12"/>
        <v>2025 JAN-JUN D70</v>
      </c>
      <c r="B124" s="10">
        <f t="shared" si="12"/>
        <v>46104</v>
      </c>
      <c r="C124" s="10">
        <f t="shared" si="12"/>
        <v>46113</v>
      </c>
      <c r="D124" s="11">
        <v>3273</v>
      </c>
      <c r="E124" s="11">
        <v>336</v>
      </c>
      <c r="F124" s="11">
        <v>4</v>
      </c>
      <c r="G124" s="18">
        <v>1</v>
      </c>
      <c r="H124" s="18">
        <v>81588</v>
      </c>
      <c r="I124" s="18" t="s">
        <v>17</v>
      </c>
      <c r="J124" s="18">
        <v>51099408</v>
      </c>
      <c r="K124" s="18" t="s">
        <v>2232</v>
      </c>
      <c r="L124" s="18" t="s">
        <v>2233</v>
      </c>
      <c r="M124" s="21">
        <v>149900</v>
      </c>
      <c r="N124" s="24">
        <f t="shared" si="8"/>
        <v>0.7</v>
      </c>
      <c r="O124" s="25">
        <f t="shared" si="7"/>
        <v>44970</v>
      </c>
      <c r="P124" s="11" t="s">
        <v>20</v>
      </c>
    </row>
    <row r="125" spans="1:16" x14ac:dyDescent="0.25">
      <c r="A125" s="23" t="str">
        <f t="shared" si="12"/>
        <v>2025 JAN-JUN D70</v>
      </c>
      <c r="B125" s="10">
        <f t="shared" si="12"/>
        <v>46104</v>
      </c>
      <c r="C125" s="10">
        <f t="shared" si="12"/>
        <v>46113</v>
      </c>
      <c r="D125" s="11">
        <v>3273</v>
      </c>
      <c r="E125" s="11">
        <v>336</v>
      </c>
      <c r="F125" s="11">
        <v>4</v>
      </c>
      <c r="G125" s="18">
        <v>1</v>
      </c>
      <c r="H125" s="18">
        <v>81588</v>
      </c>
      <c r="I125" s="18" t="s">
        <v>17</v>
      </c>
      <c r="J125" s="18">
        <v>51099417</v>
      </c>
      <c r="K125" s="18" t="s">
        <v>2232</v>
      </c>
      <c r="L125" s="18" t="s">
        <v>2234</v>
      </c>
      <c r="M125" s="21">
        <v>149900</v>
      </c>
      <c r="N125" s="24">
        <f t="shared" si="8"/>
        <v>0.7</v>
      </c>
      <c r="O125" s="25">
        <f t="shared" si="7"/>
        <v>44970</v>
      </c>
      <c r="P125" s="11" t="s">
        <v>20</v>
      </c>
    </row>
    <row r="126" spans="1:16" x14ac:dyDescent="0.25">
      <c r="A126" s="23" t="str">
        <f t="shared" si="12"/>
        <v>2025 JAN-JUN D70</v>
      </c>
      <c r="B126" s="10">
        <f t="shared" si="12"/>
        <v>46104</v>
      </c>
      <c r="C126" s="10">
        <f t="shared" si="12"/>
        <v>46113</v>
      </c>
      <c r="D126" s="11">
        <v>3273</v>
      </c>
      <c r="E126" s="11">
        <v>336</v>
      </c>
      <c r="F126" s="11">
        <v>4</v>
      </c>
      <c r="G126" s="18">
        <v>1</v>
      </c>
      <c r="H126" s="18">
        <v>81588</v>
      </c>
      <c r="I126" s="18" t="s">
        <v>17</v>
      </c>
      <c r="J126" s="18">
        <v>51099426</v>
      </c>
      <c r="K126" s="18" t="s">
        <v>2232</v>
      </c>
      <c r="L126" s="18" t="s">
        <v>2235</v>
      </c>
      <c r="M126" s="21">
        <v>149900</v>
      </c>
      <c r="N126" s="24">
        <f t="shared" si="8"/>
        <v>0.7</v>
      </c>
      <c r="O126" s="25">
        <f t="shared" si="7"/>
        <v>44970</v>
      </c>
      <c r="P126" s="11" t="s">
        <v>20</v>
      </c>
    </row>
    <row r="127" spans="1:16" x14ac:dyDescent="0.25">
      <c r="A127" s="23" t="str">
        <f t="shared" si="12"/>
        <v>2025 JAN-JUN D70</v>
      </c>
      <c r="B127" s="10">
        <f t="shared" si="12"/>
        <v>46104</v>
      </c>
      <c r="C127" s="10">
        <f t="shared" si="12"/>
        <v>46113</v>
      </c>
      <c r="D127" s="11">
        <v>3273</v>
      </c>
      <c r="E127" s="11">
        <v>336</v>
      </c>
      <c r="F127" s="11">
        <v>4</v>
      </c>
      <c r="G127" s="18">
        <v>1</v>
      </c>
      <c r="H127" s="18">
        <v>81588</v>
      </c>
      <c r="I127" s="18" t="s">
        <v>17</v>
      </c>
      <c r="J127" s="18">
        <v>51099435</v>
      </c>
      <c r="K127" s="18" t="s">
        <v>2232</v>
      </c>
      <c r="L127" s="18" t="s">
        <v>2236</v>
      </c>
      <c r="M127" s="21">
        <v>149900</v>
      </c>
      <c r="N127" s="24">
        <f t="shared" si="8"/>
        <v>0.7</v>
      </c>
      <c r="O127" s="25">
        <f t="shared" si="7"/>
        <v>44970</v>
      </c>
      <c r="P127" s="11" t="s">
        <v>20</v>
      </c>
    </row>
    <row r="128" spans="1:16" x14ac:dyDescent="0.25">
      <c r="A128" s="23" t="str">
        <f t="shared" si="12"/>
        <v>2025 JAN-JUN D70</v>
      </c>
      <c r="B128" s="10">
        <f t="shared" si="12"/>
        <v>46104</v>
      </c>
      <c r="C128" s="10">
        <f t="shared" si="12"/>
        <v>46113</v>
      </c>
      <c r="D128" s="11">
        <v>3273</v>
      </c>
      <c r="E128" s="11">
        <v>336</v>
      </c>
      <c r="F128" s="11">
        <v>4</v>
      </c>
      <c r="G128" s="18">
        <v>1</v>
      </c>
      <c r="H128" s="18">
        <v>81588</v>
      </c>
      <c r="I128" s="18" t="s">
        <v>17</v>
      </c>
      <c r="J128" s="18">
        <v>51099444</v>
      </c>
      <c r="K128" s="18" t="s">
        <v>2232</v>
      </c>
      <c r="L128" s="18" t="s">
        <v>2237</v>
      </c>
      <c r="M128" s="21">
        <v>149900</v>
      </c>
      <c r="N128" s="24">
        <f t="shared" si="8"/>
        <v>0.7</v>
      </c>
      <c r="O128" s="25">
        <f t="shared" si="7"/>
        <v>44970</v>
      </c>
      <c r="P128" s="11" t="s">
        <v>20</v>
      </c>
    </row>
    <row r="129" spans="1:16" x14ac:dyDescent="0.25">
      <c r="A129" s="23" t="str">
        <f t="shared" si="12"/>
        <v>2025 JAN-JUN D70</v>
      </c>
      <c r="B129" s="10">
        <f t="shared" si="12"/>
        <v>46104</v>
      </c>
      <c r="C129" s="10">
        <f t="shared" si="12"/>
        <v>46113</v>
      </c>
      <c r="D129" s="11">
        <v>3273</v>
      </c>
      <c r="E129" s="11">
        <v>336</v>
      </c>
      <c r="F129" s="11">
        <v>4</v>
      </c>
      <c r="G129" s="18">
        <v>1</v>
      </c>
      <c r="H129" s="18">
        <v>81676</v>
      </c>
      <c r="I129" s="18" t="s">
        <v>17</v>
      </c>
      <c r="J129" s="18">
        <v>51099506</v>
      </c>
      <c r="K129" s="18" t="s">
        <v>2238</v>
      </c>
      <c r="L129" s="18" t="s">
        <v>2239</v>
      </c>
      <c r="M129" s="21">
        <v>139900</v>
      </c>
      <c r="N129" s="24">
        <f t="shared" si="8"/>
        <v>0.7</v>
      </c>
      <c r="O129" s="25">
        <f t="shared" si="7"/>
        <v>41970</v>
      </c>
      <c r="P129" s="11" t="s">
        <v>20</v>
      </c>
    </row>
    <row r="130" spans="1:16" x14ac:dyDescent="0.25">
      <c r="A130" s="23" t="str">
        <f t="shared" si="12"/>
        <v>2025 JAN-JUN D70</v>
      </c>
      <c r="B130" s="10">
        <f t="shared" si="12"/>
        <v>46104</v>
      </c>
      <c r="C130" s="10">
        <f t="shared" si="12"/>
        <v>46113</v>
      </c>
      <c r="D130" s="11">
        <v>3273</v>
      </c>
      <c r="E130" s="11">
        <v>336</v>
      </c>
      <c r="F130" s="11">
        <v>4</v>
      </c>
      <c r="G130" s="18">
        <v>1</v>
      </c>
      <c r="H130" s="18">
        <v>81676</v>
      </c>
      <c r="I130" s="18" t="s">
        <v>17</v>
      </c>
      <c r="J130" s="18">
        <v>51099515</v>
      </c>
      <c r="K130" s="18" t="s">
        <v>2238</v>
      </c>
      <c r="L130" s="18" t="s">
        <v>2240</v>
      </c>
      <c r="M130" s="21">
        <v>139900</v>
      </c>
      <c r="N130" s="24">
        <f t="shared" si="8"/>
        <v>0.7</v>
      </c>
      <c r="O130" s="25">
        <f t="shared" si="7"/>
        <v>41970</v>
      </c>
      <c r="P130" s="11" t="s">
        <v>20</v>
      </c>
    </row>
    <row r="131" spans="1:16" x14ac:dyDescent="0.25">
      <c r="A131" s="23" t="str">
        <f t="shared" ref="A131:C146" si="13">A130</f>
        <v>2025 JAN-JUN D70</v>
      </c>
      <c r="B131" s="10">
        <f t="shared" si="13"/>
        <v>46104</v>
      </c>
      <c r="C131" s="10">
        <f t="shared" si="13"/>
        <v>46113</v>
      </c>
      <c r="D131" s="11">
        <v>3273</v>
      </c>
      <c r="E131" s="11">
        <v>336</v>
      </c>
      <c r="F131" s="11">
        <v>4</v>
      </c>
      <c r="G131" s="18">
        <v>1</v>
      </c>
      <c r="H131" s="18">
        <v>81676</v>
      </c>
      <c r="I131" s="18" t="s">
        <v>17</v>
      </c>
      <c r="J131" s="18">
        <v>51099524</v>
      </c>
      <c r="K131" s="18" t="s">
        <v>2238</v>
      </c>
      <c r="L131" s="18" t="s">
        <v>2241</v>
      </c>
      <c r="M131" s="21">
        <v>139900</v>
      </c>
      <c r="N131" s="24">
        <f t="shared" si="8"/>
        <v>0.7</v>
      </c>
      <c r="O131" s="25">
        <f t="shared" ref="O131:O194" si="14">M131-((70*M131)/100)</f>
        <v>41970</v>
      </c>
      <c r="P131" s="11" t="s">
        <v>20</v>
      </c>
    </row>
    <row r="132" spans="1:16" x14ac:dyDescent="0.25">
      <c r="A132" s="23" t="str">
        <f t="shared" si="13"/>
        <v>2025 JAN-JUN D70</v>
      </c>
      <c r="B132" s="10">
        <f t="shared" si="13"/>
        <v>46104</v>
      </c>
      <c r="C132" s="10">
        <f t="shared" si="13"/>
        <v>46113</v>
      </c>
      <c r="D132" s="11">
        <v>3273</v>
      </c>
      <c r="E132" s="11">
        <v>336</v>
      </c>
      <c r="F132" s="11">
        <v>4</v>
      </c>
      <c r="G132" s="18">
        <v>1</v>
      </c>
      <c r="H132" s="18">
        <v>81676</v>
      </c>
      <c r="I132" s="18" t="s">
        <v>17</v>
      </c>
      <c r="J132" s="18">
        <v>51099533</v>
      </c>
      <c r="K132" s="18" t="s">
        <v>2238</v>
      </c>
      <c r="L132" s="18" t="s">
        <v>2242</v>
      </c>
      <c r="M132" s="21">
        <v>139900</v>
      </c>
      <c r="N132" s="24">
        <f t="shared" ref="N132:N195" si="15">N131</f>
        <v>0.7</v>
      </c>
      <c r="O132" s="25">
        <f t="shared" si="14"/>
        <v>41970</v>
      </c>
      <c r="P132" s="11" t="s">
        <v>20</v>
      </c>
    </row>
    <row r="133" spans="1:16" x14ac:dyDescent="0.25">
      <c r="A133" s="23" t="str">
        <f t="shared" si="13"/>
        <v>2025 JAN-JUN D70</v>
      </c>
      <c r="B133" s="10">
        <f t="shared" si="13"/>
        <v>46104</v>
      </c>
      <c r="C133" s="10">
        <f t="shared" si="13"/>
        <v>46113</v>
      </c>
      <c r="D133" s="11">
        <v>3273</v>
      </c>
      <c r="E133" s="11">
        <v>336</v>
      </c>
      <c r="F133" s="11">
        <v>4</v>
      </c>
      <c r="G133" s="18">
        <v>1</v>
      </c>
      <c r="H133" s="18">
        <v>81676</v>
      </c>
      <c r="I133" s="18" t="s">
        <v>17</v>
      </c>
      <c r="J133" s="18">
        <v>51099542</v>
      </c>
      <c r="K133" s="18" t="s">
        <v>2238</v>
      </c>
      <c r="L133" s="18" t="s">
        <v>2243</v>
      </c>
      <c r="M133" s="21">
        <v>139900</v>
      </c>
      <c r="N133" s="24">
        <f t="shared" si="15"/>
        <v>0.7</v>
      </c>
      <c r="O133" s="25">
        <f t="shared" si="14"/>
        <v>41970</v>
      </c>
      <c r="P133" s="11" t="s">
        <v>20</v>
      </c>
    </row>
    <row r="134" spans="1:16" x14ac:dyDescent="0.25">
      <c r="A134" s="23" t="str">
        <f t="shared" si="13"/>
        <v>2025 JAN-JUN D70</v>
      </c>
      <c r="B134" s="10">
        <f t="shared" si="13"/>
        <v>46104</v>
      </c>
      <c r="C134" s="10">
        <f t="shared" si="13"/>
        <v>46113</v>
      </c>
      <c r="D134" s="11">
        <v>3273</v>
      </c>
      <c r="E134" s="11">
        <v>336</v>
      </c>
      <c r="F134" s="11">
        <v>4</v>
      </c>
      <c r="G134" s="18">
        <v>1</v>
      </c>
      <c r="H134" s="18">
        <v>81676</v>
      </c>
      <c r="I134" s="18" t="s">
        <v>17</v>
      </c>
      <c r="J134" s="18">
        <v>51099551</v>
      </c>
      <c r="K134" s="18" t="s">
        <v>2244</v>
      </c>
      <c r="L134" s="18" t="s">
        <v>2245</v>
      </c>
      <c r="M134" s="21">
        <v>139900</v>
      </c>
      <c r="N134" s="24">
        <f t="shared" si="15"/>
        <v>0.7</v>
      </c>
      <c r="O134" s="25">
        <f t="shared" si="14"/>
        <v>41970</v>
      </c>
      <c r="P134" s="11" t="s">
        <v>20</v>
      </c>
    </row>
    <row r="135" spans="1:16" x14ac:dyDescent="0.25">
      <c r="A135" s="23" t="str">
        <f t="shared" si="13"/>
        <v>2025 JAN-JUN D70</v>
      </c>
      <c r="B135" s="10">
        <f t="shared" si="13"/>
        <v>46104</v>
      </c>
      <c r="C135" s="10">
        <f t="shared" si="13"/>
        <v>46113</v>
      </c>
      <c r="D135" s="11">
        <v>3273</v>
      </c>
      <c r="E135" s="11">
        <v>336</v>
      </c>
      <c r="F135" s="11">
        <v>4</v>
      </c>
      <c r="G135" s="18">
        <v>1</v>
      </c>
      <c r="H135" s="18">
        <v>81676</v>
      </c>
      <c r="I135" s="18" t="s">
        <v>17</v>
      </c>
      <c r="J135" s="18">
        <v>51099560</v>
      </c>
      <c r="K135" s="18" t="s">
        <v>2244</v>
      </c>
      <c r="L135" s="18" t="s">
        <v>2246</v>
      </c>
      <c r="M135" s="21">
        <v>139900</v>
      </c>
      <c r="N135" s="24">
        <f t="shared" si="15"/>
        <v>0.7</v>
      </c>
      <c r="O135" s="25">
        <f t="shared" si="14"/>
        <v>41970</v>
      </c>
      <c r="P135" s="11" t="s">
        <v>20</v>
      </c>
    </row>
    <row r="136" spans="1:16" x14ac:dyDescent="0.25">
      <c r="A136" s="23" t="str">
        <f t="shared" si="13"/>
        <v>2025 JAN-JUN D70</v>
      </c>
      <c r="B136" s="10">
        <f t="shared" si="13"/>
        <v>46104</v>
      </c>
      <c r="C136" s="10">
        <f t="shared" si="13"/>
        <v>46113</v>
      </c>
      <c r="D136" s="11">
        <v>3273</v>
      </c>
      <c r="E136" s="11">
        <v>336</v>
      </c>
      <c r="F136" s="11">
        <v>4</v>
      </c>
      <c r="G136" s="18">
        <v>1</v>
      </c>
      <c r="H136" s="18">
        <v>81676</v>
      </c>
      <c r="I136" s="18" t="s">
        <v>17</v>
      </c>
      <c r="J136" s="18">
        <v>51099579</v>
      </c>
      <c r="K136" s="18" t="s">
        <v>2244</v>
      </c>
      <c r="L136" s="18" t="s">
        <v>2247</v>
      </c>
      <c r="M136" s="21">
        <v>139900</v>
      </c>
      <c r="N136" s="24">
        <f t="shared" si="15"/>
        <v>0.7</v>
      </c>
      <c r="O136" s="25">
        <f t="shared" si="14"/>
        <v>41970</v>
      </c>
      <c r="P136" s="11" t="s">
        <v>20</v>
      </c>
    </row>
    <row r="137" spans="1:16" x14ac:dyDescent="0.25">
      <c r="A137" s="23" t="str">
        <f t="shared" si="13"/>
        <v>2025 JAN-JUN D70</v>
      </c>
      <c r="B137" s="10">
        <f t="shared" si="13"/>
        <v>46104</v>
      </c>
      <c r="C137" s="10">
        <f t="shared" si="13"/>
        <v>46113</v>
      </c>
      <c r="D137" s="11">
        <v>3273</v>
      </c>
      <c r="E137" s="11">
        <v>336</v>
      </c>
      <c r="F137" s="11">
        <v>4</v>
      </c>
      <c r="G137" s="18">
        <v>1</v>
      </c>
      <c r="H137" s="18">
        <v>81676</v>
      </c>
      <c r="I137" s="18" t="s">
        <v>17</v>
      </c>
      <c r="J137" s="18">
        <v>51099588</v>
      </c>
      <c r="K137" s="18" t="s">
        <v>2244</v>
      </c>
      <c r="L137" s="18" t="s">
        <v>2248</v>
      </c>
      <c r="M137" s="21">
        <v>139900</v>
      </c>
      <c r="N137" s="24">
        <f t="shared" si="15"/>
        <v>0.7</v>
      </c>
      <c r="O137" s="25">
        <f t="shared" si="14"/>
        <v>41970</v>
      </c>
      <c r="P137" s="11" t="s">
        <v>20</v>
      </c>
    </row>
    <row r="138" spans="1:16" x14ac:dyDescent="0.25">
      <c r="A138" s="23" t="str">
        <f t="shared" si="13"/>
        <v>2025 JAN-JUN D70</v>
      </c>
      <c r="B138" s="10">
        <f t="shared" si="13"/>
        <v>46104</v>
      </c>
      <c r="C138" s="10">
        <f t="shared" si="13"/>
        <v>46113</v>
      </c>
      <c r="D138" s="11">
        <v>3273</v>
      </c>
      <c r="E138" s="11">
        <v>336</v>
      </c>
      <c r="F138" s="11">
        <v>4</v>
      </c>
      <c r="G138" s="18">
        <v>1</v>
      </c>
      <c r="H138" s="18">
        <v>81676</v>
      </c>
      <c r="I138" s="18" t="s">
        <v>17</v>
      </c>
      <c r="J138" s="18">
        <v>51099597</v>
      </c>
      <c r="K138" s="18" t="s">
        <v>2244</v>
      </c>
      <c r="L138" s="18" t="s">
        <v>2249</v>
      </c>
      <c r="M138" s="21">
        <v>139900</v>
      </c>
      <c r="N138" s="24">
        <f t="shared" si="15"/>
        <v>0.7</v>
      </c>
      <c r="O138" s="25">
        <f t="shared" si="14"/>
        <v>41970</v>
      </c>
      <c r="P138" s="11" t="s">
        <v>20</v>
      </c>
    </row>
    <row r="139" spans="1:16" x14ac:dyDescent="0.25">
      <c r="A139" s="23" t="str">
        <f t="shared" si="13"/>
        <v>2025 JAN-JUN D70</v>
      </c>
      <c r="B139" s="10">
        <f t="shared" si="13"/>
        <v>46104</v>
      </c>
      <c r="C139" s="10">
        <f t="shared" si="13"/>
        <v>46113</v>
      </c>
      <c r="D139" s="11">
        <v>3273</v>
      </c>
      <c r="E139" s="11">
        <v>336</v>
      </c>
      <c r="F139" s="11">
        <v>4</v>
      </c>
      <c r="G139" s="18">
        <v>1</v>
      </c>
      <c r="H139" s="18">
        <v>81588</v>
      </c>
      <c r="I139" s="18" t="s">
        <v>17</v>
      </c>
      <c r="J139" s="18">
        <v>51601702</v>
      </c>
      <c r="K139" s="18" t="s">
        <v>2250</v>
      </c>
      <c r="L139" s="18" t="s">
        <v>2251</v>
      </c>
      <c r="M139" s="21">
        <v>149900</v>
      </c>
      <c r="N139" s="24">
        <f t="shared" si="15"/>
        <v>0.7</v>
      </c>
      <c r="O139" s="25">
        <f t="shared" si="14"/>
        <v>44970</v>
      </c>
      <c r="P139" s="11" t="s">
        <v>20</v>
      </c>
    </row>
    <row r="140" spans="1:16" x14ac:dyDescent="0.25">
      <c r="A140" s="23" t="str">
        <f t="shared" si="13"/>
        <v>2025 JAN-JUN D70</v>
      </c>
      <c r="B140" s="10">
        <f t="shared" si="13"/>
        <v>46104</v>
      </c>
      <c r="C140" s="10">
        <f t="shared" si="13"/>
        <v>46113</v>
      </c>
      <c r="D140" s="11">
        <v>3273</v>
      </c>
      <c r="E140" s="11">
        <v>336</v>
      </c>
      <c r="F140" s="11">
        <v>4</v>
      </c>
      <c r="G140" s="18">
        <v>1</v>
      </c>
      <c r="H140" s="18">
        <v>81588</v>
      </c>
      <c r="I140" s="18" t="s">
        <v>17</v>
      </c>
      <c r="J140" s="18">
        <v>51601711</v>
      </c>
      <c r="K140" s="18" t="s">
        <v>2250</v>
      </c>
      <c r="L140" s="18" t="s">
        <v>2252</v>
      </c>
      <c r="M140" s="21">
        <v>149900</v>
      </c>
      <c r="N140" s="24">
        <f t="shared" si="15"/>
        <v>0.7</v>
      </c>
      <c r="O140" s="25">
        <f t="shared" si="14"/>
        <v>44970</v>
      </c>
      <c r="P140" s="11" t="s">
        <v>20</v>
      </c>
    </row>
    <row r="141" spans="1:16" x14ac:dyDescent="0.25">
      <c r="A141" s="23" t="str">
        <f t="shared" si="13"/>
        <v>2025 JAN-JUN D70</v>
      </c>
      <c r="B141" s="10">
        <f t="shared" si="13"/>
        <v>46104</v>
      </c>
      <c r="C141" s="10">
        <f t="shared" si="13"/>
        <v>46113</v>
      </c>
      <c r="D141" s="11">
        <v>3273</v>
      </c>
      <c r="E141" s="11">
        <v>336</v>
      </c>
      <c r="F141" s="11">
        <v>4</v>
      </c>
      <c r="G141" s="18">
        <v>1</v>
      </c>
      <c r="H141" s="18">
        <v>81588</v>
      </c>
      <c r="I141" s="18" t="s">
        <v>17</v>
      </c>
      <c r="J141" s="18">
        <v>51601720</v>
      </c>
      <c r="K141" s="18" t="s">
        <v>2250</v>
      </c>
      <c r="L141" s="18" t="s">
        <v>2253</v>
      </c>
      <c r="M141" s="21">
        <v>149900</v>
      </c>
      <c r="N141" s="24">
        <f t="shared" si="15"/>
        <v>0.7</v>
      </c>
      <c r="O141" s="25">
        <f t="shared" si="14"/>
        <v>44970</v>
      </c>
      <c r="P141" s="11" t="s">
        <v>20</v>
      </c>
    </row>
    <row r="142" spans="1:16" x14ac:dyDescent="0.25">
      <c r="A142" s="23" t="str">
        <f t="shared" si="13"/>
        <v>2025 JAN-JUN D70</v>
      </c>
      <c r="B142" s="10">
        <f t="shared" si="13"/>
        <v>46104</v>
      </c>
      <c r="C142" s="10">
        <f t="shared" si="13"/>
        <v>46113</v>
      </c>
      <c r="D142" s="11">
        <v>3273</v>
      </c>
      <c r="E142" s="11">
        <v>336</v>
      </c>
      <c r="F142" s="11">
        <v>4</v>
      </c>
      <c r="G142" s="18">
        <v>1</v>
      </c>
      <c r="H142" s="18">
        <v>81588</v>
      </c>
      <c r="I142" s="18" t="s">
        <v>17</v>
      </c>
      <c r="J142" s="18">
        <v>51601739</v>
      </c>
      <c r="K142" s="18" t="s">
        <v>2250</v>
      </c>
      <c r="L142" s="18" t="s">
        <v>2254</v>
      </c>
      <c r="M142" s="21">
        <v>149900</v>
      </c>
      <c r="N142" s="24">
        <f t="shared" si="15"/>
        <v>0.7</v>
      </c>
      <c r="O142" s="25">
        <f t="shared" si="14"/>
        <v>44970</v>
      </c>
      <c r="P142" s="11" t="s">
        <v>20</v>
      </c>
    </row>
    <row r="143" spans="1:16" x14ac:dyDescent="0.25">
      <c r="A143" s="23" t="str">
        <f t="shared" si="13"/>
        <v>2025 JAN-JUN D70</v>
      </c>
      <c r="B143" s="10">
        <f t="shared" si="13"/>
        <v>46104</v>
      </c>
      <c r="C143" s="10">
        <f t="shared" si="13"/>
        <v>46113</v>
      </c>
      <c r="D143" s="11">
        <v>3273</v>
      </c>
      <c r="E143" s="11">
        <v>336</v>
      </c>
      <c r="F143" s="11">
        <v>4</v>
      </c>
      <c r="G143" s="18">
        <v>1</v>
      </c>
      <c r="H143" s="18">
        <v>81588</v>
      </c>
      <c r="I143" s="18" t="s">
        <v>17</v>
      </c>
      <c r="J143" s="18">
        <v>51601748</v>
      </c>
      <c r="K143" s="18" t="s">
        <v>2250</v>
      </c>
      <c r="L143" s="18" t="s">
        <v>2255</v>
      </c>
      <c r="M143" s="21">
        <v>149900</v>
      </c>
      <c r="N143" s="24">
        <f t="shared" si="15"/>
        <v>0.7</v>
      </c>
      <c r="O143" s="25">
        <f t="shared" si="14"/>
        <v>44970</v>
      </c>
      <c r="P143" s="11" t="s">
        <v>20</v>
      </c>
    </row>
    <row r="144" spans="1:16" x14ac:dyDescent="0.25">
      <c r="A144" s="23" t="str">
        <f t="shared" si="13"/>
        <v>2025 JAN-JUN D70</v>
      </c>
      <c r="B144" s="10">
        <f t="shared" si="13"/>
        <v>46104</v>
      </c>
      <c r="C144" s="10">
        <f t="shared" si="13"/>
        <v>46113</v>
      </c>
      <c r="D144" s="11">
        <v>3273</v>
      </c>
      <c r="E144" s="11">
        <v>336</v>
      </c>
      <c r="F144" s="11">
        <v>4</v>
      </c>
      <c r="G144" s="18">
        <v>3</v>
      </c>
      <c r="H144" s="18">
        <v>81588</v>
      </c>
      <c r="I144" s="18" t="s">
        <v>17</v>
      </c>
      <c r="J144" s="18">
        <v>21494206</v>
      </c>
      <c r="K144" s="18" t="s">
        <v>2256</v>
      </c>
      <c r="L144" s="18" t="s">
        <v>2257</v>
      </c>
      <c r="M144" s="21">
        <v>299900</v>
      </c>
      <c r="N144" s="24">
        <f t="shared" si="15"/>
        <v>0.7</v>
      </c>
      <c r="O144" s="25">
        <f t="shared" si="14"/>
        <v>89970</v>
      </c>
      <c r="P144" s="11" t="s">
        <v>20</v>
      </c>
    </row>
    <row r="145" spans="1:16" x14ac:dyDescent="0.25">
      <c r="A145" s="23" t="str">
        <f t="shared" si="13"/>
        <v>2025 JAN-JUN D70</v>
      </c>
      <c r="B145" s="10">
        <f t="shared" si="13"/>
        <v>46104</v>
      </c>
      <c r="C145" s="10">
        <f t="shared" si="13"/>
        <v>46113</v>
      </c>
      <c r="D145" s="11">
        <v>3273</v>
      </c>
      <c r="E145" s="11">
        <v>336</v>
      </c>
      <c r="F145" s="11">
        <v>4</v>
      </c>
      <c r="G145" s="18">
        <v>3</v>
      </c>
      <c r="H145" s="18">
        <v>81588</v>
      </c>
      <c r="I145" s="18" t="s">
        <v>17</v>
      </c>
      <c r="J145" s="18">
        <v>21496124</v>
      </c>
      <c r="K145" s="18" t="s">
        <v>2256</v>
      </c>
      <c r="L145" s="18" t="s">
        <v>2258</v>
      </c>
      <c r="M145" s="21">
        <v>299900</v>
      </c>
      <c r="N145" s="24">
        <f t="shared" si="15"/>
        <v>0.7</v>
      </c>
      <c r="O145" s="25">
        <f t="shared" si="14"/>
        <v>89970</v>
      </c>
      <c r="P145" s="11" t="s">
        <v>20</v>
      </c>
    </row>
    <row r="146" spans="1:16" x14ac:dyDescent="0.25">
      <c r="A146" s="23" t="str">
        <f t="shared" si="13"/>
        <v>2025 JAN-JUN D70</v>
      </c>
      <c r="B146" s="10">
        <f t="shared" si="13"/>
        <v>46104</v>
      </c>
      <c r="C146" s="10">
        <f t="shared" si="13"/>
        <v>46113</v>
      </c>
      <c r="D146" s="11">
        <v>3273</v>
      </c>
      <c r="E146" s="11">
        <v>336</v>
      </c>
      <c r="F146" s="11">
        <v>4</v>
      </c>
      <c r="G146" s="18">
        <v>3</v>
      </c>
      <c r="H146" s="18">
        <v>81588</v>
      </c>
      <c r="I146" s="18" t="s">
        <v>17</v>
      </c>
      <c r="J146" s="18">
        <v>21496133</v>
      </c>
      <c r="K146" s="18" t="s">
        <v>2256</v>
      </c>
      <c r="L146" s="18" t="s">
        <v>2259</v>
      </c>
      <c r="M146" s="21">
        <v>299900</v>
      </c>
      <c r="N146" s="24">
        <f t="shared" si="15"/>
        <v>0.7</v>
      </c>
      <c r="O146" s="25">
        <f t="shared" si="14"/>
        <v>89970</v>
      </c>
      <c r="P146" s="11" t="s">
        <v>20</v>
      </c>
    </row>
    <row r="147" spans="1:16" x14ac:dyDescent="0.25">
      <c r="A147" s="23" t="str">
        <f t="shared" ref="A147:C162" si="16">A146</f>
        <v>2025 JAN-JUN D70</v>
      </c>
      <c r="B147" s="10">
        <f t="shared" si="16"/>
        <v>46104</v>
      </c>
      <c r="C147" s="10">
        <f t="shared" si="16"/>
        <v>46113</v>
      </c>
      <c r="D147" s="11">
        <v>3273</v>
      </c>
      <c r="E147" s="11">
        <v>336</v>
      </c>
      <c r="F147" s="11">
        <v>4</v>
      </c>
      <c r="G147" s="18">
        <v>3</v>
      </c>
      <c r="H147" s="18">
        <v>81588</v>
      </c>
      <c r="I147" s="18" t="s">
        <v>17</v>
      </c>
      <c r="J147" s="18">
        <v>21496142</v>
      </c>
      <c r="K147" s="18" t="s">
        <v>2256</v>
      </c>
      <c r="L147" s="18" t="s">
        <v>2260</v>
      </c>
      <c r="M147" s="21">
        <v>299900</v>
      </c>
      <c r="N147" s="24">
        <f t="shared" si="15"/>
        <v>0.7</v>
      </c>
      <c r="O147" s="25">
        <f t="shared" si="14"/>
        <v>89970</v>
      </c>
      <c r="P147" s="11" t="s">
        <v>20</v>
      </c>
    </row>
    <row r="148" spans="1:16" x14ac:dyDescent="0.25">
      <c r="A148" s="23" t="str">
        <f t="shared" si="16"/>
        <v>2025 JAN-JUN D70</v>
      </c>
      <c r="B148" s="10">
        <f t="shared" si="16"/>
        <v>46104</v>
      </c>
      <c r="C148" s="10">
        <f t="shared" si="16"/>
        <v>46113</v>
      </c>
      <c r="D148" s="11">
        <v>3273</v>
      </c>
      <c r="E148" s="11">
        <v>336</v>
      </c>
      <c r="F148" s="11">
        <v>4</v>
      </c>
      <c r="G148" s="18">
        <v>3</v>
      </c>
      <c r="H148" s="18">
        <v>81588</v>
      </c>
      <c r="I148" s="18" t="s">
        <v>17</v>
      </c>
      <c r="J148" s="18">
        <v>21496151</v>
      </c>
      <c r="K148" s="18" t="s">
        <v>2256</v>
      </c>
      <c r="L148" s="18" t="s">
        <v>2261</v>
      </c>
      <c r="M148" s="21">
        <v>299900</v>
      </c>
      <c r="N148" s="24">
        <f t="shared" si="15"/>
        <v>0.7</v>
      </c>
      <c r="O148" s="25">
        <f t="shared" si="14"/>
        <v>89970</v>
      </c>
      <c r="P148" s="11" t="s">
        <v>20</v>
      </c>
    </row>
    <row r="149" spans="1:16" x14ac:dyDescent="0.25">
      <c r="A149" s="23" t="str">
        <f t="shared" si="16"/>
        <v>2025 JAN-JUN D70</v>
      </c>
      <c r="B149" s="10">
        <f t="shared" si="16"/>
        <v>46104</v>
      </c>
      <c r="C149" s="10">
        <f t="shared" si="16"/>
        <v>46113</v>
      </c>
      <c r="D149" s="11">
        <v>3273</v>
      </c>
      <c r="E149" s="11">
        <v>336</v>
      </c>
      <c r="F149" s="11">
        <v>4</v>
      </c>
      <c r="G149" s="18">
        <v>11</v>
      </c>
      <c r="H149" s="18">
        <v>81588</v>
      </c>
      <c r="I149" s="18" t="s">
        <v>17</v>
      </c>
      <c r="J149" s="18">
        <v>51098712</v>
      </c>
      <c r="K149" s="18" t="s">
        <v>2262</v>
      </c>
      <c r="L149" s="18" t="s">
        <v>2263</v>
      </c>
      <c r="M149" s="21">
        <v>149900</v>
      </c>
      <c r="N149" s="24">
        <f t="shared" si="15"/>
        <v>0.7</v>
      </c>
      <c r="O149" s="25">
        <f t="shared" si="14"/>
        <v>44970</v>
      </c>
      <c r="P149" s="11" t="s">
        <v>20</v>
      </c>
    </row>
    <row r="150" spans="1:16" x14ac:dyDescent="0.25">
      <c r="A150" s="23" t="str">
        <f t="shared" si="16"/>
        <v>2025 JAN-JUN D70</v>
      </c>
      <c r="B150" s="10">
        <f t="shared" si="16"/>
        <v>46104</v>
      </c>
      <c r="C150" s="10">
        <f t="shared" si="16"/>
        <v>46113</v>
      </c>
      <c r="D150" s="11">
        <v>3273</v>
      </c>
      <c r="E150" s="11">
        <v>336</v>
      </c>
      <c r="F150" s="11">
        <v>4</v>
      </c>
      <c r="G150" s="18">
        <v>11</v>
      </c>
      <c r="H150" s="18">
        <v>81588</v>
      </c>
      <c r="I150" s="18" t="s">
        <v>17</v>
      </c>
      <c r="J150" s="18">
        <v>51098721</v>
      </c>
      <c r="K150" s="18" t="s">
        <v>2262</v>
      </c>
      <c r="L150" s="18" t="s">
        <v>2264</v>
      </c>
      <c r="M150" s="21">
        <v>149900</v>
      </c>
      <c r="N150" s="24">
        <f t="shared" si="15"/>
        <v>0.7</v>
      </c>
      <c r="O150" s="25">
        <f t="shared" si="14"/>
        <v>44970</v>
      </c>
      <c r="P150" s="11" t="s">
        <v>20</v>
      </c>
    </row>
    <row r="151" spans="1:16" x14ac:dyDescent="0.25">
      <c r="A151" s="23" t="str">
        <f t="shared" si="16"/>
        <v>2025 JAN-JUN D70</v>
      </c>
      <c r="B151" s="10">
        <f t="shared" si="16"/>
        <v>46104</v>
      </c>
      <c r="C151" s="10">
        <f t="shared" si="16"/>
        <v>46113</v>
      </c>
      <c r="D151" s="11">
        <v>3273</v>
      </c>
      <c r="E151" s="11">
        <v>336</v>
      </c>
      <c r="F151" s="11">
        <v>4</v>
      </c>
      <c r="G151" s="18">
        <v>11</v>
      </c>
      <c r="H151" s="18">
        <v>81588</v>
      </c>
      <c r="I151" s="18" t="s">
        <v>17</v>
      </c>
      <c r="J151" s="18">
        <v>51098730</v>
      </c>
      <c r="K151" s="18" t="s">
        <v>2262</v>
      </c>
      <c r="L151" s="18" t="s">
        <v>2265</v>
      </c>
      <c r="M151" s="21">
        <v>149900</v>
      </c>
      <c r="N151" s="24">
        <f t="shared" si="15"/>
        <v>0.7</v>
      </c>
      <c r="O151" s="25">
        <f t="shared" si="14"/>
        <v>44970</v>
      </c>
      <c r="P151" s="11" t="s">
        <v>20</v>
      </c>
    </row>
    <row r="152" spans="1:16" x14ac:dyDescent="0.25">
      <c r="A152" s="23" t="str">
        <f t="shared" si="16"/>
        <v>2025 JAN-JUN D70</v>
      </c>
      <c r="B152" s="10">
        <f t="shared" si="16"/>
        <v>46104</v>
      </c>
      <c r="C152" s="10">
        <f t="shared" si="16"/>
        <v>46113</v>
      </c>
      <c r="D152" s="11">
        <v>3273</v>
      </c>
      <c r="E152" s="11">
        <v>336</v>
      </c>
      <c r="F152" s="11">
        <v>4</v>
      </c>
      <c r="G152" s="18">
        <v>11</v>
      </c>
      <c r="H152" s="18">
        <v>81588</v>
      </c>
      <c r="I152" s="18" t="s">
        <v>17</v>
      </c>
      <c r="J152" s="18">
        <v>51098749</v>
      </c>
      <c r="K152" s="18" t="s">
        <v>2262</v>
      </c>
      <c r="L152" s="18" t="s">
        <v>2266</v>
      </c>
      <c r="M152" s="21">
        <v>149900</v>
      </c>
      <c r="N152" s="24">
        <f t="shared" si="15"/>
        <v>0.7</v>
      </c>
      <c r="O152" s="25">
        <f t="shared" si="14"/>
        <v>44970</v>
      </c>
      <c r="P152" s="11" t="s">
        <v>20</v>
      </c>
    </row>
    <row r="153" spans="1:16" x14ac:dyDescent="0.25">
      <c r="A153" s="23" t="str">
        <f t="shared" si="16"/>
        <v>2025 JAN-JUN D70</v>
      </c>
      <c r="B153" s="10">
        <f t="shared" si="16"/>
        <v>46104</v>
      </c>
      <c r="C153" s="10">
        <f t="shared" si="16"/>
        <v>46113</v>
      </c>
      <c r="D153" s="11">
        <v>3273</v>
      </c>
      <c r="E153" s="11">
        <v>336</v>
      </c>
      <c r="F153" s="11">
        <v>4</v>
      </c>
      <c r="G153" s="18">
        <v>11</v>
      </c>
      <c r="H153" s="18">
        <v>81588</v>
      </c>
      <c r="I153" s="18" t="s">
        <v>17</v>
      </c>
      <c r="J153" s="18">
        <v>51098758</v>
      </c>
      <c r="K153" s="18" t="s">
        <v>2262</v>
      </c>
      <c r="L153" s="18" t="s">
        <v>2267</v>
      </c>
      <c r="M153" s="21">
        <v>149900</v>
      </c>
      <c r="N153" s="24">
        <f t="shared" si="15"/>
        <v>0.7</v>
      </c>
      <c r="O153" s="25">
        <f t="shared" si="14"/>
        <v>44970</v>
      </c>
      <c r="P153" s="11" t="s">
        <v>20</v>
      </c>
    </row>
    <row r="154" spans="1:16" x14ac:dyDescent="0.25">
      <c r="A154" s="23" t="str">
        <f t="shared" si="16"/>
        <v>2025 JAN-JUN D70</v>
      </c>
      <c r="B154" s="10">
        <f t="shared" si="16"/>
        <v>46104</v>
      </c>
      <c r="C154" s="10">
        <f t="shared" si="16"/>
        <v>46113</v>
      </c>
      <c r="D154" s="11">
        <v>3273</v>
      </c>
      <c r="E154" s="11">
        <v>336</v>
      </c>
      <c r="F154" s="11">
        <v>4</v>
      </c>
      <c r="G154" s="18">
        <v>11</v>
      </c>
      <c r="H154" s="18">
        <v>81588</v>
      </c>
      <c r="I154" s="18" t="s">
        <v>17</v>
      </c>
      <c r="J154" s="18">
        <v>51098767</v>
      </c>
      <c r="K154" s="18" t="s">
        <v>2262</v>
      </c>
      <c r="L154" s="18" t="s">
        <v>2268</v>
      </c>
      <c r="M154" s="21">
        <v>149900</v>
      </c>
      <c r="N154" s="24">
        <f t="shared" si="15"/>
        <v>0.7</v>
      </c>
      <c r="O154" s="25">
        <f t="shared" si="14"/>
        <v>44970</v>
      </c>
      <c r="P154" s="11" t="s">
        <v>20</v>
      </c>
    </row>
    <row r="155" spans="1:16" x14ac:dyDescent="0.25">
      <c r="A155" s="23" t="str">
        <f t="shared" si="16"/>
        <v>2025 JAN-JUN D70</v>
      </c>
      <c r="B155" s="10">
        <f t="shared" si="16"/>
        <v>46104</v>
      </c>
      <c r="C155" s="10">
        <f t="shared" si="16"/>
        <v>46113</v>
      </c>
      <c r="D155" s="11">
        <v>3273</v>
      </c>
      <c r="E155" s="11">
        <v>336</v>
      </c>
      <c r="F155" s="11">
        <v>4</v>
      </c>
      <c r="G155" s="18">
        <v>11</v>
      </c>
      <c r="H155" s="18">
        <v>81588</v>
      </c>
      <c r="I155" s="18" t="s">
        <v>17</v>
      </c>
      <c r="J155" s="18">
        <v>51098776</v>
      </c>
      <c r="K155" s="18" t="s">
        <v>2269</v>
      </c>
      <c r="L155" s="18" t="s">
        <v>2270</v>
      </c>
      <c r="M155" s="21">
        <v>149900</v>
      </c>
      <c r="N155" s="24">
        <f t="shared" si="15"/>
        <v>0.7</v>
      </c>
      <c r="O155" s="25">
        <f t="shared" si="14"/>
        <v>44970</v>
      </c>
      <c r="P155" s="11" t="s">
        <v>20</v>
      </c>
    </row>
    <row r="156" spans="1:16" x14ac:dyDescent="0.25">
      <c r="A156" s="23" t="str">
        <f t="shared" si="16"/>
        <v>2025 JAN-JUN D70</v>
      </c>
      <c r="B156" s="10">
        <f t="shared" si="16"/>
        <v>46104</v>
      </c>
      <c r="C156" s="10">
        <f t="shared" si="16"/>
        <v>46113</v>
      </c>
      <c r="D156" s="11">
        <v>3273</v>
      </c>
      <c r="E156" s="11">
        <v>336</v>
      </c>
      <c r="F156" s="11">
        <v>4</v>
      </c>
      <c r="G156" s="18">
        <v>11</v>
      </c>
      <c r="H156" s="18">
        <v>81588</v>
      </c>
      <c r="I156" s="18" t="s">
        <v>17</v>
      </c>
      <c r="J156" s="18">
        <v>51098785</v>
      </c>
      <c r="K156" s="18" t="s">
        <v>2269</v>
      </c>
      <c r="L156" s="18" t="s">
        <v>2271</v>
      </c>
      <c r="M156" s="21">
        <v>149900</v>
      </c>
      <c r="N156" s="24">
        <f t="shared" si="15"/>
        <v>0.7</v>
      </c>
      <c r="O156" s="25">
        <f t="shared" si="14"/>
        <v>44970</v>
      </c>
      <c r="P156" s="11" t="s">
        <v>20</v>
      </c>
    </row>
    <row r="157" spans="1:16" x14ac:dyDescent="0.25">
      <c r="A157" s="23" t="str">
        <f t="shared" si="16"/>
        <v>2025 JAN-JUN D70</v>
      </c>
      <c r="B157" s="10">
        <f t="shared" si="16"/>
        <v>46104</v>
      </c>
      <c r="C157" s="10">
        <f t="shared" si="16"/>
        <v>46113</v>
      </c>
      <c r="D157" s="11">
        <v>3273</v>
      </c>
      <c r="E157" s="11">
        <v>336</v>
      </c>
      <c r="F157" s="11">
        <v>4</v>
      </c>
      <c r="G157" s="18">
        <v>11</v>
      </c>
      <c r="H157" s="18">
        <v>81588</v>
      </c>
      <c r="I157" s="18" t="s">
        <v>17</v>
      </c>
      <c r="J157" s="18">
        <v>51098794</v>
      </c>
      <c r="K157" s="18" t="s">
        <v>2269</v>
      </c>
      <c r="L157" s="18" t="s">
        <v>2272</v>
      </c>
      <c r="M157" s="21">
        <v>149900</v>
      </c>
      <c r="N157" s="24">
        <f t="shared" si="15"/>
        <v>0.7</v>
      </c>
      <c r="O157" s="25">
        <f t="shared" si="14"/>
        <v>44970</v>
      </c>
      <c r="P157" s="11" t="s">
        <v>20</v>
      </c>
    </row>
    <row r="158" spans="1:16" x14ac:dyDescent="0.25">
      <c r="A158" s="23" t="str">
        <f t="shared" si="16"/>
        <v>2025 JAN-JUN D70</v>
      </c>
      <c r="B158" s="10">
        <f t="shared" si="16"/>
        <v>46104</v>
      </c>
      <c r="C158" s="10">
        <f t="shared" si="16"/>
        <v>46113</v>
      </c>
      <c r="D158" s="11">
        <v>3273</v>
      </c>
      <c r="E158" s="11">
        <v>336</v>
      </c>
      <c r="F158" s="11">
        <v>4</v>
      </c>
      <c r="G158" s="18">
        <v>11</v>
      </c>
      <c r="H158" s="18">
        <v>81588</v>
      </c>
      <c r="I158" s="18" t="s">
        <v>17</v>
      </c>
      <c r="J158" s="18">
        <v>51098801</v>
      </c>
      <c r="K158" s="18" t="s">
        <v>2269</v>
      </c>
      <c r="L158" s="18" t="s">
        <v>2273</v>
      </c>
      <c r="M158" s="21">
        <v>149900</v>
      </c>
      <c r="N158" s="24">
        <f t="shared" si="15"/>
        <v>0.7</v>
      </c>
      <c r="O158" s="25">
        <f t="shared" si="14"/>
        <v>44970</v>
      </c>
      <c r="P158" s="11" t="s">
        <v>20</v>
      </c>
    </row>
    <row r="159" spans="1:16" x14ac:dyDescent="0.25">
      <c r="A159" s="23" t="str">
        <f t="shared" si="16"/>
        <v>2025 JAN-JUN D70</v>
      </c>
      <c r="B159" s="10">
        <f t="shared" si="16"/>
        <v>46104</v>
      </c>
      <c r="C159" s="10">
        <f t="shared" si="16"/>
        <v>46113</v>
      </c>
      <c r="D159" s="11">
        <v>3273</v>
      </c>
      <c r="E159" s="11">
        <v>336</v>
      </c>
      <c r="F159" s="11">
        <v>4</v>
      </c>
      <c r="G159" s="18">
        <v>11</v>
      </c>
      <c r="H159" s="18">
        <v>81588</v>
      </c>
      <c r="I159" s="18" t="s">
        <v>17</v>
      </c>
      <c r="J159" s="18">
        <v>51098810</v>
      </c>
      <c r="K159" s="18" t="s">
        <v>2269</v>
      </c>
      <c r="L159" s="18" t="s">
        <v>2274</v>
      </c>
      <c r="M159" s="21">
        <v>149900</v>
      </c>
      <c r="N159" s="24">
        <f t="shared" si="15"/>
        <v>0.7</v>
      </c>
      <c r="O159" s="25">
        <f t="shared" si="14"/>
        <v>44970</v>
      </c>
      <c r="P159" s="11" t="s">
        <v>20</v>
      </c>
    </row>
    <row r="160" spans="1:16" x14ac:dyDescent="0.25">
      <c r="A160" s="23" t="str">
        <f t="shared" si="16"/>
        <v>2025 JAN-JUN D70</v>
      </c>
      <c r="B160" s="10">
        <f t="shared" si="16"/>
        <v>46104</v>
      </c>
      <c r="C160" s="10">
        <f t="shared" si="16"/>
        <v>46113</v>
      </c>
      <c r="D160" s="11">
        <v>3273</v>
      </c>
      <c r="E160" s="11">
        <v>336</v>
      </c>
      <c r="F160" s="11">
        <v>4</v>
      </c>
      <c r="G160" s="18">
        <v>11</v>
      </c>
      <c r="H160" s="18">
        <v>81588</v>
      </c>
      <c r="I160" s="18" t="s">
        <v>17</v>
      </c>
      <c r="J160" s="18">
        <v>51098829</v>
      </c>
      <c r="K160" s="18" t="s">
        <v>2269</v>
      </c>
      <c r="L160" s="18" t="s">
        <v>2275</v>
      </c>
      <c r="M160" s="21">
        <v>149900</v>
      </c>
      <c r="N160" s="24">
        <f t="shared" si="15"/>
        <v>0.7</v>
      </c>
      <c r="O160" s="25">
        <f t="shared" si="14"/>
        <v>44970</v>
      </c>
      <c r="P160" s="11" t="s">
        <v>20</v>
      </c>
    </row>
    <row r="161" spans="1:16" x14ac:dyDescent="0.25">
      <c r="A161" s="23" t="str">
        <f t="shared" si="16"/>
        <v>2025 JAN-JUN D70</v>
      </c>
      <c r="B161" s="10">
        <f t="shared" si="16"/>
        <v>46104</v>
      </c>
      <c r="C161" s="10">
        <f t="shared" si="16"/>
        <v>46113</v>
      </c>
      <c r="D161" s="11">
        <v>3273</v>
      </c>
      <c r="E161" s="11">
        <v>336</v>
      </c>
      <c r="F161" s="11">
        <v>4</v>
      </c>
      <c r="G161" s="18">
        <v>11</v>
      </c>
      <c r="H161" s="18">
        <v>81588</v>
      </c>
      <c r="I161" s="18" t="s">
        <v>17</v>
      </c>
      <c r="J161" s="18">
        <v>51098838</v>
      </c>
      <c r="K161" s="18" t="s">
        <v>2276</v>
      </c>
      <c r="L161" s="18" t="s">
        <v>2277</v>
      </c>
      <c r="M161" s="21">
        <v>149900</v>
      </c>
      <c r="N161" s="24">
        <f t="shared" si="15"/>
        <v>0.7</v>
      </c>
      <c r="O161" s="25">
        <f t="shared" si="14"/>
        <v>44970</v>
      </c>
      <c r="P161" s="11" t="s">
        <v>20</v>
      </c>
    </row>
    <row r="162" spans="1:16" x14ac:dyDescent="0.25">
      <c r="A162" s="23" t="str">
        <f t="shared" si="16"/>
        <v>2025 JAN-JUN D70</v>
      </c>
      <c r="B162" s="10">
        <f t="shared" si="16"/>
        <v>46104</v>
      </c>
      <c r="C162" s="10">
        <f t="shared" si="16"/>
        <v>46113</v>
      </c>
      <c r="D162" s="11">
        <v>3273</v>
      </c>
      <c r="E162" s="11">
        <v>336</v>
      </c>
      <c r="F162" s="11">
        <v>4</v>
      </c>
      <c r="G162" s="18">
        <v>11</v>
      </c>
      <c r="H162" s="18">
        <v>81588</v>
      </c>
      <c r="I162" s="18" t="s">
        <v>17</v>
      </c>
      <c r="J162" s="18">
        <v>51098847</v>
      </c>
      <c r="K162" s="18" t="s">
        <v>2276</v>
      </c>
      <c r="L162" s="18" t="s">
        <v>2278</v>
      </c>
      <c r="M162" s="21">
        <v>149900</v>
      </c>
      <c r="N162" s="24">
        <f t="shared" si="15"/>
        <v>0.7</v>
      </c>
      <c r="O162" s="25">
        <f t="shared" si="14"/>
        <v>44970</v>
      </c>
      <c r="P162" s="11" t="s">
        <v>20</v>
      </c>
    </row>
    <row r="163" spans="1:16" x14ac:dyDescent="0.25">
      <c r="A163" s="23" t="str">
        <f t="shared" ref="A163:C178" si="17">A162</f>
        <v>2025 JAN-JUN D70</v>
      </c>
      <c r="B163" s="10">
        <f t="shared" si="17"/>
        <v>46104</v>
      </c>
      <c r="C163" s="10">
        <f t="shared" si="17"/>
        <v>46113</v>
      </c>
      <c r="D163" s="11">
        <v>3273</v>
      </c>
      <c r="E163" s="11">
        <v>336</v>
      </c>
      <c r="F163" s="11">
        <v>4</v>
      </c>
      <c r="G163" s="18">
        <v>11</v>
      </c>
      <c r="H163" s="18">
        <v>81588</v>
      </c>
      <c r="I163" s="18" t="s">
        <v>17</v>
      </c>
      <c r="J163" s="18">
        <v>51098856</v>
      </c>
      <c r="K163" s="18" t="s">
        <v>2276</v>
      </c>
      <c r="L163" s="18" t="s">
        <v>2279</v>
      </c>
      <c r="M163" s="21">
        <v>149900</v>
      </c>
      <c r="N163" s="24">
        <f t="shared" si="15"/>
        <v>0.7</v>
      </c>
      <c r="O163" s="25">
        <f t="shared" si="14"/>
        <v>44970</v>
      </c>
      <c r="P163" s="11" t="s">
        <v>20</v>
      </c>
    </row>
    <row r="164" spans="1:16" x14ac:dyDescent="0.25">
      <c r="A164" s="23" t="str">
        <f t="shared" si="17"/>
        <v>2025 JAN-JUN D70</v>
      </c>
      <c r="B164" s="10">
        <f t="shared" si="17"/>
        <v>46104</v>
      </c>
      <c r="C164" s="10">
        <f t="shared" si="17"/>
        <v>46113</v>
      </c>
      <c r="D164" s="11">
        <v>3273</v>
      </c>
      <c r="E164" s="11">
        <v>336</v>
      </c>
      <c r="F164" s="11">
        <v>4</v>
      </c>
      <c r="G164" s="18">
        <v>11</v>
      </c>
      <c r="H164" s="18">
        <v>81588</v>
      </c>
      <c r="I164" s="18" t="s">
        <v>17</v>
      </c>
      <c r="J164" s="18">
        <v>51098865</v>
      </c>
      <c r="K164" s="18" t="s">
        <v>2276</v>
      </c>
      <c r="L164" s="18" t="s">
        <v>2280</v>
      </c>
      <c r="M164" s="21">
        <v>149900</v>
      </c>
      <c r="N164" s="24">
        <f t="shared" si="15"/>
        <v>0.7</v>
      </c>
      <c r="O164" s="25">
        <f t="shared" si="14"/>
        <v>44970</v>
      </c>
      <c r="P164" s="11" t="s">
        <v>20</v>
      </c>
    </row>
    <row r="165" spans="1:16" x14ac:dyDescent="0.25">
      <c r="A165" s="23" t="str">
        <f t="shared" si="17"/>
        <v>2025 JAN-JUN D70</v>
      </c>
      <c r="B165" s="10">
        <f t="shared" si="17"/>
        <v>46104</v>
      </c>
      <c r="C165" s="10">
        <f t="shared" si="17"/>
        <v>46113</v>
      </c>
      <c r="D165" s="11">
        <v>3273</v>
      </c>
      <c r="E165" s="11">
        <v>336</v>
      </c>
      <c r="F165" s="11">
        <v>4</v>
      </c>
      <c r="G165" s="18">
        <v>11</v>
      </c>
      <c r="H165" s="18">
        <v>81588</v>
      </c>
      <c r="I165" s="18" t="s">
        <v>17</v>
      </c>
      <c r="J165" s="18">
        <v>51098874</v>
      </c>
      <c r="K165" s="18" t="s">
        <v>2276</v>
      </c>
      <c r="L165" s="18" t="s">
        <v>2281</v>
      </c>
      <c r="M165" s="21">
        <v>149900</v>
      </c>
      <c r="N165" s="24">
        <f t="shared" si="15"/>
        <v>0.7</v>
      </c>
      <c r="O165" s="25">
        <f t="shared" si="14"/>
        <v>44970</v>
      </c>
      <c r="P165" s="11" t="s">
        <v>20</v>
      </c>
    </row>
    <row r="166" spans="1:16" x14ac:dyDescent="0.25">
      <c r="A166" s="23" t="str">
        <f t="shared" si="17"/>
        <v>2025 JAN-JUN D70</v>
      </c>
      <c r="B166" s="10">
        <f t="shared" si="17"/>
        <v>46104</v>
      </c>
      <c r="C166" s="10">
        <f t="shared" si="17"/>
        <v>46113</v>
      </c>
      <c r="D166" s="11">
        <v>3273</v>
      </c>
      <c r="E166" s="11">
        <v>336</v>
      </c>
      <c r="F166" s="11">
        <v>4</v>
      </c>
      <c r="G166" s="18">
        <v>11</v>
      </c>
      <c r="H166" s="18">
        <v>81588</v>
      </c>
      <c r="I166" s="18" t="s">
        <v>17</v>
      </c>
      <c r="J166" s="18">
        <v>51098883</v>
      </c>
      <c r="K166" s="18" t="s">
        <v>2276</v>
      </c>
      <c r="L166" s="18" t="s">
        <v>2282</v>
      </c>
      <c r="M166" s="21">
        <v>149900</v>
      </c>
      <c r="N166" s="24">
        <f t="shared" si="15"/>
        <v>0.7</v>
      </c>
      <c r="O166" s="25">
        <f t="shared" si="14"/>
        <v>44970</v>
      </c>
      <c r="P166" s="11" t="s">
        <v>20</v>
      </c>
    </row>
    <row r="167" spans="1:16" x14ac:dyDescent="0.25">
      <c r="A167" s="23" t="str">
        <f t="shared" si="17"/>
        <v>2025 JAN-JUN D70</v>
      </c>
      <c r="B167" s="10">
        <f t="shared" si="17"/>
        <v>46104</v>
      </c>
      <c r="C167" s="10">
        <f t="shared" si="17"/>
        <v>46113</v>
      </c>
      <c r="D167" s="11">
        <v>3273</v>
      </c>
      <c r="E167" s="11">
        <v>336</v>
      </c>
      <c r="F167" s="11">
        <v>4</v>
      </c>
      <c r="G167" s="18">
        <v>11</v>
      </c>
      <c r="H167" s="18">
        <v>81676</v>
      </c>
      <c r="I167" s="18" t="s">
        <v>17</v>
      </c>
      <c r="J167" s="18">
        <v>51099015</v>
      </c>
      <c r="K167" s="18" t="s">
        <v>2283</v>
      </c>
      <c r="L167" s="18" t="s">
        <v>2284</v>
      </c>
      <c r="M167" s="21">
        <v>119900</v>
      </c>
      <c r="N167" s="24">
        <f t="shared" si="15"/>
        <v>0.7</v>
      </c>
      <c r="O167" s="25">
        <f t="shared" si="14"/>
        <v>35970</v>
      </c>
      <c r="P167" s="11" t="s">
        <v>20</v>
      </c>
    </row>
    <row r="168" spans="1:16" x14ac:dyDescent="0.25">
      <c r="A168" s="23" t="str">
        <f t="shared" si="17"/>
        <v>2025 JAN-JUN D70</v>
      </c>
      <c r="B168" s="10">
        <f t="shared" si="17"/>
        <v>46104</v>
      </c>
      <c r="C168" s="10">
        <f t="shared" si="17"/>
        <v>46113</v>
      </c>
      <c r="D168" s="11">
        <v>3273</v>
      </c>
      <c r="E168" s="11">
        <v>336</v>
      </c>
      <c r="F168" s="11">
        <v>4</v>
      </c>
      <c r="G168" s="18">
        <v>11</v>
      </c>
      <c r="H168" s="18">
        <v>81676</v>
      </c>
      <c r="I168" s="18" t="s">
        <v>17</v>
      </c>
      <c r="J168" s="18">
        <v>51099024</v>
      </c>
      <c r="K168" s="18" t="s">
        <v>2283</v>
      </c>
      <c r="L168" s="18" t="s">
        <v>2285</v>
      </c>
      <c r="M168" s="21">
        <v>119900</v>
      </c>
      <c r="N168" s="24">
        <f t="shared" si="15"/>
        <v>0.7</v>
      </c>
      <c r="O168" s="25">
        <f t="shared" si="14"/>
        <v>35970</v>
      </c>
      <c r="P168" s="11" t="s">
        <v>20</v>
      </c>
    </row>
    <row r="169" spans="1:16" x14ac:dyDescent="0.25">
      <c r="A169" s="23" t="str">
        <f t="shared" si="17"/>
        <v>2025 JAN-JUN D70</v>
      </c>
      <c r="B169" s="10">
        <f t="shared" si="17"/>
        <v>46104</v>
      </c>
      <c r="C169" s="10">
        <f t="shared" si="17"/>
        <v>46113</v>
      </c>
      <c r="D169" s="11">
        <v>3273</v>
      </c>
      <c r="E169" s="11">
        <v>336</v>
      </c>
      <c r="F169" s="11">
        <v>4</v>
      </c>
      <c r="G169" s="18">
        <v>11</v>
      </c>
      <c r="H169" s="18">
        <v>81676</v>
      </c>
      <c r="I169" s="18" t="s">
        <v>17</v>
      </c>
      <c r="J169" s="18">
        <v>51099033</v>
      </c>
      <c r="K169" s="18" t="s">
        <v>2283</v>
      </c>
      <c r="L169" s="18" t="s">
        <v>2286</v>
      </c>
      <c r="M169" s="21">
        <v>119900</v>
      </c>
      <c r="N169" s="24">
        <f t="shared" si="15"/>
        <v>0.7</v>
      </c>
      <c r="O169" s="25">
        <f t="shared" si="14"/>
        <v>35970</v>
      </c>
      <c r="P169" s="11" t="s">
        <v>20</v>
      </c>
    </row>
    <row r="170" spans="1:16" x14ac:dyDescent="0.25">
      <c r="A170" s="23" t="str">
        <f t="shared" si="17"/>
        <v>2025 JAN-JUN D70</v>
      </c>
      <c r="B170" s="10">
        <f t="shared" si="17"/>
        <v>46104</v>
      </c>
      <c r="C170" s="10">
        <f t="shared" si="17"/>
        <v>46113</v>
      </c>
      <c r="D170" s="11">
        <v>3273</v>
      </c>
      <c r="E170" s="11">
        <v>336</v>
      </c>
      <c r="F170" s="11">
        <v>4</v>
      </c>
      <c r="G170" s="18">
        <v>11</v>
      </c>
      <c r="H170" s="18">
        <v>81676</v>
      </c>
      <c r="I170" s="18" t="s">
        <v>17</v>
      </c>
      <c r="J170" s="18">
        <v>51099042</v>
      </c>
      <c r="K170" s="18" t="s">
        <v>2283</v>
      </c>
      <c r="L170" s="18" t="s">
        <v>2287</v>
      </c>
      <c r="M170" s="21">
        <v>119900</v>
      </c>
      <c r="N170" s="24">
        <f t="shared" si="15"/>
        <v>0.7</v>
      </c>
      <c r="O170" s="25">
        <f t="shared" si="14"/>
        <v>35970</v>
      </c>
      <c r="P170" s="11" t="s">
        <v>20</v>
      </c>
    </row>
    <row r="171" spans="1:16" x14ac:dyDescent="0.25">
      <c r="A171" s="23" t="str">
        <f t="shared" si="17"/>
        <v>2025 JAN-JUN D70</v>
      </c>
      <c r="B171" s="10">
        <f t="shared" si="17"/>
        <v>46104</v>
      </c>
      <c r="C171" s="10">
        <f t="shared" si="17"/>
        <v>46113</v>
      </c>
      <c r="D171" s="11">
        <v>3273</v>
      </c>
      <c r="E171" s="11">
        <v>336</v>
      </c>
      <c r="F171" s="11">
        <v>4</v>
      </c>
      <c r="G171" s="18">
        <v>11</v>
      </c>
      <c r="H171" s="18">
        <v>81676</v>
      </c>
      <c r="I171" s="18" t="s">
        <v>17</v>
      </c>
      <c r="J171" s="18">
        <v>51099051</v>
      </c>
      <c r="K171" s="18" t="s">
        <v>2283</v>
      </c>
      <c r="L171" s="18" t="s">
        <v>2288</v>
      </c>
      <c r="M171" s="21">
        <v>119900</v>
      </c>
      <c r="N171" s="24">
        <f t="shared" si="15"/>
        <v>0.7</v>
      </c>
      <c r="O171" s="25">
        <f t="shared" si="14"/>
        <v>35970</v>
      </c>
      <c r="P171" s="11" t="s">
        <v>20</v>
      </c>
    </row>
    <row r="172" spans="1:16" x14ac:dyDescent="0.25">
      <c r="A172" s="23" t="str">
        <f t="shared" si="17"/>
        <v>2025 JAN-JUN D70</v>
      </c>
      <c r="B172" s="10">
        <f t="shared" si="17"/>
        <v>46104</v>
      </c>
      <c r="C172" s="10">
        <f t="shared" si="17"/>
        <v>46113</v>
      </c>
      <c r="D172" s="11">
        <v>3273</v>
      </c>
      <c r="E172" s="11">
        <v>336</v>
      </c>
      <c r="F172" s="11">
        <v>4</v>
      </c>
      <c r="G172" s="18">
        <v>11</v>
      </c>
      <c r="H172" s="18">
        <v>81676</v>
      </c>
      <c r="I172" s="18" t="s">
        <v>17</v>
      </c>
      <c r="J172" s="18">
        <v>51099060</v>
      </c>
      <c r="K172" s="18" t="s">
        <v>2283</v>
      </c>
      <c r="L172" s="18" t="s">
        <v>2289</v>
      </c>
      <c r="M172" s="21">
        <v>119900</v>
      </c>
      <c r="N172" s="24">
        <f t="shared" si="15"/>
        <v>0.7</v>
      </c>
      <c r="O172" s="25">
        <f t="shared" si="14"/>
        <v>35970</v>
      </c>
      <c r="P172" s="11" t="s">
        <v>20</v>
      </c>
    </row>
    <row r="173" spans="1:16" x14ac:dyDescent="0.25">
      <c r="A173" s="23" t="str">
        <f t="shared" si="17"/>
        <v>2025 JAN-JUN D70</v>
      </c>
      <c r="B173" s="10">
        <f t="shared" si="17"/>
        <v>46104</v>
      </c>
      <c r="C173" s="10">
        <f t="shared" si="17"/>
        <v>46113</v>
      </c>
      <c r="D173" s="11">
        <v>3273</v>
      </c>
      <c r="E173" s="11">
        <v>336</v>
      </c>
      <c r="F173" s="11">
        <v>4</v>
      </c>
      <c r="G173" s="18">
        <v>11</v>
      </c>
      <c r="H173" s="18">
        <v>81676</v>
      </c>
      <c r="I173" s="18" t="s">
        <v>17</v>
      </c>
      <c r="J173" s="18">
        <v>51099079</v>
      </c>
      <c r="K173" s="18" t="s">
        <v>2290</v>
      </c>
      <c r="L173" s="18" t="s">
        <v>2291</v>
      </c>
      <c r="M173" s="21">
        <v>119900</v>
      </c>
      <c r="N173" s="24">
        <f t="shared" si="15"/>
        <v>0.7</v>
      </c>
      <c r="O173" s="25">
        <f t="shared" si="14"/>
        <v>35970</v>
      </c>
      <c r="P173" s="11" t="s">
        <v>20</v>
      </c>
    </row>
    <row r="174" spans="1:16" x14ac:dyDescent="0.25">
      <c r="A174" s="23" t="str">
        <f t="shared" si="17"/>
        <v>2025 JAN-JUN D70</v>
      </c>
      <c r="B174" s="10">
        <f t="shared" si="17"/>
        <v>46104</v>
      </c>
      <c r="C174" s="10">
        <f t="shared" si="17"/>
        <v>46113</v>
      </c>
      <c r="D174" s="11">
        <v>3273</v>
      </c>
      <c r="E174" s="11">
        <v>336</v>
      </c>
      <c r="F174" s="11">
        <v>4</v>
      </c>
      <c r="G174" s="18">
        <v>11</v>
      </c>
      <c r="H174" s="18">
        <v>81676</v>
      </c>
      <c r="I174" s="18" t="s">
        <v>17</v>
      </c>
      <c r="J174" s="18">
        <v>51099088</v>
      </c>
      <c r="K174" s="18" t="s">
        <v>2290</v>
      </c>
      <c r="L174" s="18" t="s">
        <v>2292</v>
      </c>
      <c r="M174" s="21">
        <v>119900</v>
      </c>
      <c r="N174" s="24">
        <f t="shared" si="15"/>
        <v>0.7</v>
      </c>
      <c r="O174" s="25">
        <f t="shared" si="14"/>
        <v>35970</v>
      </c>
      <c r="P174" s="11" t="s">
        <v>20</v>
      </c>
    </row>
    <row r="175" spans="1:16" x14ac:dyDescent="0.25">
      <c r="A175" s="23" t="str">
        <f t="shared" si="17"/>
        <v>2025 JAN-JUN D70</v>
      </c>
      <c r="B175" s="10">
        <f t="shared" si="17"/>
        <v>46104</v>
      </c>
      <c r="C175" s="10">
        <f t="shared" si="17"/>
        <v>46113</v>
      </c>
      <c r="D175" s="11">
        <v>3273</v>
      </c>
      <c r="E175" s="11">
        <v>336</v>
      </c>
      <c r="F175" s="11">
        <v>4</v>
      </c>
      <c r="G175" s="18">
        <v>11</v>
      </c>
      <c r="H175" s="18">
        <v>81676</v>
      </c>
      <c r="I175" s="18" t="s">
        <v>17</v>
      </c>
      <c r="J175" s="18">
        <v>51099097</v>
      </c>
      <c r="K175" s="18" t="s">
        <v>2290</v>
      </c>
      <c r="L175" s="18" t="s">
        <v>2293</v>
      </c>
      <c r="M175" s="21">
        <v>119900</v>
      </c>
      <c r="N175" s="24">
        <f t="shared" si="15"/>
        <v>0.7</v>
      </c>
      <c r="O175" s="25">
        <f t="shared" si="14"/>
        <v>35970</v>
      </c>
      <c r="P175" s="11" t="s">
        <v>20</v>
      </c>
    </row>
    <row r="176" spans="1:16" x14ac:dyDescent="0.25">
      <c r="A176" s="23" t="str">
        <f t="shared" si="17"/>
        <v>2025 JAN-JUN D70</v>
      </c>
      <c r="B176" s="10">
        <f t="shared" si="17"/>
        <v>46104</v>
      </c>
      <c r="C176" s="10">
        <f t="shared" si="17"/>
        <v>46113</v>
      </c>
      <c r="D176" s="11">
        <v>3273</v>
      </c>
      <c r="E176" s="11">
        <v>336</v>
      </c>
      <c r="F176" s="11">
        <v>4</v>
      </c>
      <c r="G176" s="18">
        <v>11</v>
      </c>
      <c r="H176" s="18">
        <v>81676</v>
      </c>
      <c r="I176" s="18" t="s">
        <v>17</v>
      </c>
      <c r="J176" s="18">
        <v>51099104</v>
      </c>
      <c r="K176" s="18" t="s">
        <v>2290</v>
      </c>
      <c r="L176" s="18" t="s">
        <v>2294</v>
      </c>
      <c r="M176" s="21">
        <v>119900</v>
      </c>
      <c r="N176" s="24">
        <f t="shared" si="15"/>
        <v>0.7</v>
      </c>
      <c r="O176" s="25">
        <f t="shared" si="14"/>
        <v>35970</v>
      </c>
      <c r="P176" s="11" t="s">
        <v>20</v>
      </c>
    </row>
    <row r="177" spans="1:16" x14ac:dyDescent="0.25">
      <c r="A177" s="23" t="str">
        <f t="shared" si="17"/>
        <v>2025 JAN-JUN D70</v>
      </c>
      <c r="B177" s="10">
        <f t="shared" si="17"/>
        <v>46104</v>
      </c>
      <c r="C177" s="10">
        <f t="shared" si="17"/>
        <v>46113</v>
      </c>
      <c r="D177" s="11">
        <v>3273</v>
      </c>
      <c r="E177" s="11">
        <v>336</v>
      </c>
      <c r="F177" s="11">
        <v>4</v>
      </c>
      <c r="G177" s="18">
        <v>11</v>
      </c>
      <c r="H177" s="18">
        <v>81676</v>
      </c>
      <c r="I177" s="18" t="s">
        <v>17</v>
      </c>
      <c r="J177" s="18">
        <v>51099113</v>
      </c>
      <c r="K177" s="18" t="s">
        <v>2290</v>
      </c>
      <c r="L177" s="18" t="s">
        <v>2295</v>
      </c>
      <c r="M177" s="21">
        <v>119900</v>
      </c>
      <c r="N177" s="24">
        <f t="shared" si="15"/>
        <v>0.7</v>
      </c>
      <c r="O177" s="25">
        <f t="shared" si="14"/>
        <v>35970</v>
      </c>
      <c r="P177" s="11" t="s">
        <v>20</v>
      </c>
    </row>
    <row r="178" spans="1:16" x14ac:dyDescent="0.25">
      <c r="A178" s="23" t="str">
        <f t="shared" si="17"/>
        <v>2025 JAN-JUN D70</v>
      </c>
      <c r="B178" s="10">
        <f t="shared" si="17"/>
        <v>46104</v>
      </c>
      <c r="C178" s="10">
        <f t="shared" si="17"/>
        <v>46113</v>
      </c>
      <c r="D178" s="11">
        <v>3273</v>
      </c>
      <c r="E178" s="11">
        <v>336</v>
      </c>
      <c r="F178" s="11">
        <v>4</v>
      </c>
      <c r="G178" s="18">
        <v>11</v>
      </c>
      <c r="H178" s="18">
        <v>81676</v>
      </c>
      <c r="I178" s="18" t="s">
        <v>17</v>
      </c>
      <c r="J178" s="18">
        <v>51099122</v>
      </c>
      <c r="K178" s="18" t="s">
        <v>2290</v>
      </c>
      <c r="L178" s="18" t="s">
        <v>2296</v>
      </c>
      <c r="M178" s="21">
        <v>119900</v>
      </c>
      <c r="N178" s="24">
        <f t="shared" si="15"/>
        <v>0.7</v>
      </c>
      <c r="O178" s="25">
        <f t="shared" si="14"/>
        <v>35970</v>
      </c>
      <c r="P178" s="11" t="s">
        <v>20</v>
      </c>
    </row>
    <row r="179" spans="1:16" x14ac:dyDescent="0.25">
      <c r="A179" s="23" t="str">
        <f t="shared" ref="A179:C194" si="18">A178</f>
        <v>2025 JAN-JUN D70</v>
      </c>
      <c r="B179" s="10">
        <f t="shared" si="18"/>
        <v>46104</v>
      </c>
      <c r="C179" s="10">
        <f t="shared" si="18"/>
        <v>46113</v>
      </c>
      <c r="D179" s="11">
        <v>3273</v>
      </c>
      <c r="E179" s="11">
        <v>336</v>
      </c>
      <c r="F179" s="11">
        <v>4</v>
      </c>
      <c r="G179" s="18">
        <v>11</v>
      </c>
      <c r="H179" s="18">
        <v>81676</v>
      </c>
      <c r="I179" s="18" t="s">
        <v>17</v>
      </c>
      <c r="J179" s="18">
        <v>51099131</v>
      </c>
      <c r="K179" s="18" t="s">
        <v>2297</v>
      </c>
      <c r="L179" s="18" t="s">
        <v>2298</v>
      </c>
      <c r="M179" s="21">
        <v>149900</v>
      </c>
      <c r="N179" s="24">
        <f t="shared" si="15"/>
        <v>0.7</v>
      </c>
      <c r="O179" s="25">
        <f t="shared" si="14"/>
        <v>44970</v>
      </c>
      <c r="P179" s="11" t="s">
        <v>20</v>
      </c>
    </row>
    <row r="180" spans="1:16" x14ac:dyDescent="0.25">
      <c r="A180" s="23" t="str">
        <f t="shared" si="18"/>
        <v>2025 JAN-JUN D70</v>
      </c>
      <c r="B180" s="10">
        <f t="shared" si="18"/>
        <v>46104</v>
      </c>
      <c r="C180" s="10">
        <f t="shared" si="18"/>
        <v>46113</v>
      </c>
      <c r="D180" s="11">
        <v>3273</v>
      </c>
      <c r="E180" s="11">
        <v>336</v>
      </c>
      <c r="F180" s="11">
        <v>4</v>
      </c>
      <c r="G180" s="18">
        <v>11</v>
      </c>
      <c r="H180" s="18">
        <v>81676</v>
      </c>
      <c r="I180" s="18" t="s">
        <v>17</v>
      </c>
      <c r="J180" s="18">
        <v>51099140</v>
      </c>
      <c r="K180" s="18" t="s">
        <v>2297</v>
      </c>
      <c r="L180" s="18" t="s">
        <v>2299</v>
      </c>
      <c r="M180" s="21">
        <v>149900</v>
      </c>
      <c r="N180" s="24">
        <f t="shared" si="15"/>
        <v>0.7</v>
      </c>
      <c r="O180" s="25">
        <f t="shared" si="14"/>
        <v>44970</v>
      </c>
      <c r="P180" s="11" t="s">
        <v>20</v>
      </c>
    </row>
    <row r="181" spans="1:16" x14ac:dyDescent="0.25">
      <c r="A181" s="23" t="str">
        <f t="shared" si="18"/>
        <v>2025 JAN-JUN D70</v>
      </c>
      <c r="B181" s="10">
        <f t="shared" si="18"/>
        <v>46104</v>
      </c>
      <c r="C181" s="10">
        <f t="shared" si="18"/>
        <v>46113</v>
      </c>
      <c r="D181" s="11">
        <v>3273</v>
      </c>
      <c r="E181" s="11">
        <v>336</v>
      </c>
      <c r="F181" s="11">
        <v>4</v>
      </c>
      <c r="G181" s="18">
        <v>11</v>
      </c>
      <c r="H181" s="18">
        <v>81676</v>
      </c>
      <c r="I181" s="18" t="s">
        <v>17</v>
      </c>
      <c r="J181" s="18">
        <v>51099159</v>
      </c>
      <c r="K181" s="18" t="s">
        <v>2297</v>
      </c>
      <c r="L181" s="18" t="s">
        <v>2300</v>
      </c>
      <c r="M181" s="21">
        <v>149900</v>
      </c>
      <c r="N181" s="24">
        <f t="shared" si="15"/>
        <v>0.7</v>
      </c>
      <c r="O181" s="25">
        <f t="shared" si="14"/>
        <v>44970</v>
      </c>
      <c r="P181" s="11" t="s">
        <v>20</v>
      </c>
    </row>
    <row r="182" spans="1:16" x14ac:dyDescent="0.25">
      <c r="A182" s="23" t="str">
        <f t="shared" si="18"/>
        <v>2025 JAN-JUN D70</v>
      </c>
      <c r="B182" s="10">
        <f t="shared" si="18"/>
        <v>46104</v>
      </c>
      <c r="C182" s="10">
        <f t="shared" si="18"/>
        <v>46113</v>
      </c>
      <c r="D182" s="11">
        <v>3273</v>
      </c>
      <c r="E182" s="11">
        <v>336</v>
      </c>
      <c r="F182" s="11">
        <v>4</v>
      </c>
      <c r="G182" s="18">
        <v>11</v>
      </c>
      <c r="H182" s="18">
        <v>81676</v>
      </c>
      <c r="I182" s="18" t="s">
        <v>17</v>
      </c>
      <c r="J182" s="18">
        <v>51099168</v>
      </c>
      <c r="K182" s="18" t="s">
        <v>2297</v>
      </c>
      <c r="L182" s="18" t="s">
        <v>2301</v>
      </c>
      <c r="M182" s="21">
        <v>149900</v>
      </c>
      <c r="N182" s="24">
        <f t="shared" si="15"/>
        <v>0.7</v>
      </c>
      <c r="O182" s="25">
        <f t="shared" si="14"/>
        <v>44970</v>
      </c>
      <c r="P182" s="11" t="s">
        <v>20</v>
      </c>
    </row>
    <row r="183" spans="1:16" x14ac:dyDescent="0.25">
      <c r="A183" s="23" t="str">
        <f t="shared" si="18"/>
        <v>2025 JAN-JUN D70</v>
      </c>
      <c r="B183" s="10">
        <f t="shared" si="18"/>
        <v>46104</v>
      </c>
      <c r="C183" s="10">
        <f t="shared" si="18"/>
        <v>46113</v>
      </c>
      <c r="D183" s="11">
        <v>3273</v>
      </c>
      <c r="E183" s="11">
        <v>336</v>
      </c>
      <c r="F183" s="11">
        <v>4</v>
      </c>
      <c r="G183" s="18">
        <v>11</v>
      </c>
      <c r="H183" s="18">
        <v>81676</v>
      </c>
      <c r="I183" s="18" t="s">
        <v>17</v>
      </c>
      <c r="J183" s="18">
        <v>51099177</v>
      </c>
      <c r="K183" s="18" t="s">
        <v>2297</v>
      </c>
      <c r="L183" s="18" t="s">
        <v>2302</v>
      </c>
      <c r="M183" s="21">
        <v>149900</v>
      </c>
      <c r="N183" s="24">
        <f t="shared" si="15"/>
        <v>0.7</v>
      </c>
      <c r="O183" s="25">
        <f t="shared" si="14"/>
        <v>44970</v>
      </c>
      <c r="P183" s="11" t="s">
        <v>20</v>
      </c>
    </row>
    <row r="184" spans="1:16" x14ac:dyDescent="0.25">
      <c r="A184" s="23" t="str">
        <f t="shared" si="18"/>
        <v>2025 JAN-JUN D70</v>
      </c>
      <c r="B184" s="10">
        <f t="shared" si="18"/>
        <v>46104</v>
      </c>
      <c r="C184" s="10">
        <f t="shared" si="18"/>
        <v>46113</v>
      </c>
      <c r="D184" s="11">
        <v>3273</v>
      </c>
      <c r="E184" s="11">
        <v>336</v>
      </c>
      <c r="F184" s="11">
        <v>4</v>
      </c>
      <c r="G184" s="18">
        <v>11</v>
      </c>
      <c r="H184" s="18">
        <v>81676</v>
      </c>
      <c r="I184" s="18" t="s">
        <v>17</v>
      </c>
      <c r="J184" s="18">
        <v>51099186</v>
      </c>
      <c r="K184" s="18" t="s">
        <v>2297</v>
      </c>
      <c r="L184" s="18" t="s">
        <v>2303</v>
      </c>
      <c r="M184" s="21">
        <v>149900</v>
      </c>
      <c r="N184" s="24">
        <f t="shared" si="15"/>
        <v>0.7</v>
      </c>
      <c r="O184" s="25">
        <f t="shared" si="14"/>
        <v>44970</v>
      </c>
      <c r="P184" s="11" t="s">
        <v>20</v>
      </c>
    </row>
    <row r="185" spans="1:16" x14ac:dyDescent="0.25">
      <c r="A185" s="23" t="str">
        <f t="shared" si="18"/>
        <v>2025 JAN-JUN D70</v>
      </c>
      <c r="B185" s="10">
        <f t="shared" si="18"/>
        <v>46104</v>
      </c>
      <c r="C185" s="10">
        <f t="shared" si="18"/>
        <v>46113</v>
      </c>
      <c r="D185" s="11">
        <v>3273</v>
      </c>
      <c r="E185" s="11">
        <v>336</v>
      </c>
      <c r="F185" s="11">
        <v>4</v>
      </c>
      <c r="G185" s="18">
        <v>11</v>
      </c>
      <c r="H185" s="18">
        <v>81676</v>
      </c>
      <c r="I185" s="18" t="s">
        <v>17</v>
      </c>
      <c r="J185" s="18">
        <v>51099195</v>
      </c>
      <c r="K185" s="18" t="s">
        <v>2304</v>
      </c>
      <c r="L185" s="18" t="s">
        <v>2305</v>
      </c>
      <c r="M185" s="21">
        <v>149900</v>
      </c>
      <c r="N185" s="24">
        <f t="shared" si="15"/>
        <v>0.7</v>
      </c>
      <c r="O185" s="25">
        <f t="shared" si="14"/>
        <v>44970</v>
      </c>
      <c r="P185" s="11" t="s">
        <v>20</v>
      </c>
    </row>
    <row r="186" spans="1:16" x14ac:dyDescent="0.25">
      <c r="A186" s="23" t="str">
        <f t="shared" si="18"/>
        <v>2025 JAN-JUN D70</v>
      </c>
      <c r="B186" s="10">
        <f t="shared" si="18"/>
        <v>46104</v>
      </c>
      <c r="C186" s="10">
        <f t="shared" si="18"/>
        <v>46113</v>
      </c>
      <c r="D186" s="11">
        <v>3273</v>
      </c>
      <c r="E186" s="11">
        <v>336</v>
      </c>
      <c r="F186" s="11">
        <v>4</v>
      </c>
      <c r="G186" s="18">
        <v>11</v>
      </c>
      <c r="H186" s="18">
        <v>81676</v>
      </c>
      <c r="I186" s="18" t="s">
        <v>17</v>
      </c>
      <c r="J186" s="18">
        <v>51099202</v>
      </c>
      <c r="K186" s="18" t="s">
        <v>2304</v>
      </c>
      <c r="L186" s="18" t="s">
        <v>2306</v>
      </c>
      <c r="M186" s="21">
        <v>149900</v>
      </c>
      <c r="N186" s="24">
        <f t="shared" si="15"/>
        <v>0.7</v>
      </c>
      <c r="O186" s="25">
        <f t="shared" si="14"/>
        <v>44970</v>
      </c>
      <c r="P186" s="11" t="s">
        <v>20</v>
      </c>
    </row>
    <row r="187" spans="1:16" x14ac:dyDescent="0.25">
      <c r="A187" s="23" t="str">
        <f t="shared" si="18"/>
        <v>2025 JAN-JUN D70</v>
      </c>
      <c r="B187" s="10">
        <f t="shared" si="18"/>
        <v>46104</v>
      </c>
      <c r="C187" s="10">
        <f t="shared" si="18"/>
        <v>46113</v>
      </c>
      <c r="D187" s="11">
        <v>3273</v>
      </c>
      <c r="E187" s="11">
        <v>336</v>
      </c>
      <c r="F187" s="11">
        <v>4</v>
      </c>
      <c r="G187" s="18">
        <v>11</v>
      </c>
      <c r="H187" s="18">
        <v>81676</v>
      </c>
      <c r="I187" s="18" t="s">
        <v>17</v>
      </c>
      <c r="J187" s="18">
        <v>51099211</v>
      </c>
      <c r="K187" s="18" t="s">
        <v>2304</v>
      </c>
      <c r="L187" s="18" t="s">
        <v>2307</v>
      </c>
      <c r="M187" s="21">
        <v>149900</v>
      </c>
      <c r="N187" s="24">
        <f t="shared" si="15"/>
        <v>0.7</v>
      </c>
      <c r="O187" s="25">
        <f t="shared" si="14"/>
        <v>44970</v>
      </c>
      <c r="P187" s="11" t="s">
        <v>20</v>
      </c>
    </row>
    <row r="188" spans="1:16" x14ac:dyDescent="0.25">
      <c r="A188" s="23" t="str">
        <f t="shared" si="18"/>
        <v>2025 JAN-JUN D70</v>
      </c>
      <c r="B188" s="10">
        <f t="shared" si="18"/>
        <v>46104</v>
      </c>
      <c r="C188" s="10">
        <f t="shared" si="18"/>
        <v>46113</v>
      </c>
      <c r="D188" s="11">
        <v>3273</v>
      </c>
      <c r="E188" s="11">
        <v>336</v>
      </c>
      <c r="F188" s="11">
        <v>4</v>
      </c>
      <c r="G188" s="18">
        <v>11</v>
      </c>
      <c r="H188" s="18">
        <v>81676</v>
      </c>
      <c r="I188" s="18" t="s">
        <v>17</v>
      </c>
      <c r="J188" s="18">
        <v>51099220</v>
      </c>
      <c r="K188" s="18" t="s">
        <v>2304</v>
      </c>
      <c r="L188" s="18" t="s">
        <v>2308</v>
      </c>
      <c r="M188" s="21">
        <v>149900</v>
      </c>
      <c r="N188" s="24">
        <f t="shared" si="15"/>
        <v>0.7</v>
      </c>
      <c r="O188" s="25">
        <f t="shared" si="14"/>
        <v>44970</v>
      </c>
      <c r="P188" s="11" t="s">
        <v>20</v>
      </c>
    </row>
    <row r="189" spans="1:16" x14ac:dyDescent="0.25">
      <c r="A189" s="23" t="str">
        <f t="shared" si="18"/>
        <v>2025 JAN-JUN D70</v>
      </c>
      <c r="B189" s="10">
        <f t="shared" si="18"/>
        <v>46104</v>
      </c>
      <c r="C189" s="10">
        <f t="shared" si="18"/>
        <v>46113</v>
      </c>
      <c r="D189" s="11">
        <v>3273</v>
      </c>
      <c r="E189" s="11">
        <v>336</v>
      </c>
      <c r="F189" s="11">
        <v>4</v>
      </c>
      <c r="G189" s="18">
        <v>11</v>
      </c>
      <c r="H189" s="18">
        <v>81676</v>
      </c>
      <c r="I189" s="18" t="s">
        <v>17</v>
      </c>
      <c r="J189" s="18">
        <v>51099239</v>
      </c>
      <c r="K189" s="18" t="s">
        <v>2304</v>
      </c>
      <c r="L189" s="18" t="s">
        <v>2309</v>
      </c>
      <c r="M189" s="21">
        <v>149900</v>
      </c>
      <c r="N189" s="24">
        <f t="shared" si="15"/>
        <v>0.7</v>
      </c>
      <c r="O189" s="25">
        <f t="shared" si="14"/>
        <v>44970</v>
      </c>
      <c r="P189" s="11" t="s">
        <v>20</v>
      </c>
    </row>
    <row r="190" spans="1:16" x14ac:dyDescent="0.25">
      <c r="A190" s="23" t="str">
        <f t="shared" si="18"/>
        <v>2025 JAN-JUN D70</v>
      </c>
      <c r="B190" s="10">
        <f t="shared" si="18"/>
        <v>46104</v>
      </c>
      <c r="C190" s="10">
        <f t="shared" si="18"/>
        <v>46113</v>
      </c>
      <c r="D190" s="11">
        <v>3273</v>
      </c>
      <c r="E190" s="11">
        <v>336</v>
      </c>
      <c r="F190" s="11">
        <v>4</v>
      </c>
      <c r="G190" s="18">
        <v>11</v>
      </c>
      <c r="H190" s="18">
        <v>81676</v>
      </c>
      <c r="I190" s="18" t="s">
        <v>17</v>
      </c>
      <c r="J190" s="18">
        <v>51099248</v>
      </c>
      <c r="K190" s="18" t="s">
        <v>2304</v>
      </c>
      <c r="L190" s="18" t="s">
        <v>2310</v>
      </c>
      <c r="M190" s="21">
        <v>149900</v>
      </c>
      <c r="N190" s="24">
        <f t="shared" si="15"/>
        <v>0.7</v>
      </c>
      <c r="O190" s="25">
        <f t="shared" si="14"/>
        <v>44970</v>
      </c>
      <c r="P190" s="11" t="s">
        <v>20</v>
      </c>
    </row>
    <row r="191" spans="1:16" x14ac:dyDescent="0.25">
      <c r="A191" s="23" t="str">
        <f t="shared" si="18"/>
        <v>2025 JAN-JUN D70</v>
      </c>
      <c r="B191" s="10">
        <f t="shared" si="18"/>
        <v>46104</v>
      </c>
      <c r="C191" s="10">
        <f t="shared" si="18"/>
        <v>46113</v>
      </c>
      <c r="D191" s="11">
        <v>3273</v>
      </c>
      <c r="E191" s="11">
        <v>336</v>
      </c>
      <c r="F191" s="11">
        <v>4</v>
      </c>
      <c r="G191" s="18">
        <v>11</v>
      </c>
      <c r="H191" s="18">
        <v>81676</v>
      </c>
      <c r="I191" s="18" t="s">
        <v>17</v>
      </c>
      <c r="J191" s="18">
        <v>51099257</v>
      </c>
      <c r="K191" s="18" t="s">
        <v>2304</v>
      </c>
      <c r="L191" s="18" t="s">
        <v>2311</v>
      </c>
      <c r="M191" s="21">
        <v>149900</v>
      </c>
      <c r="N191" s="24">
        <f t="shared" si="15"/>
        <v>0.7</v>
      </c>
      <c r="O191" s="25">
        <f t="shared" si="14"/>
        <v>44970</v>
      </c>
      <c r="P191" s="11" t="s">
        <v>20</v>
      </c>
    </row>
    <row r="192" spans="1:16" x14ac:dyDescent="0.25">
      <c r="A192" s="23" t="str">
        <f t="shared" si="18"/>
        <v>2025 JAN-JUN D70</v>
      </c>
      <c r="B192" s="10">
        <f t="shared" si="18"/>
        <v>46104</v>
      </c>
      <c r="C192" s="10">
        <f t="shared" si="18"/>
        <v>46113</v>
      </c>
      <c r="D192" s="11">
        <v>3273</v>
      </c>
      <c r="E192" s="11">
        <v>336</v>
      </c>
      <c r="F192" s="11">
        <v>4</v>
      </c>
      <c r="G192" s="18">
        <v>11</v>
      </c>
      <c r="H192" s="18">
        <v>81676</v>
      </c>
      <c r="I192" s="18" t="s">
        <v>17</v>
      </c>
      <c r="J192" s="18">
        <v>51099266</v>
      </c>
      <c r="K192" s="18" t="s">
        <v>2304</v>
      </c>
      <c r="L192" s="18" t="s">
        <v>2312</v>
      </c>
      <c r="M192" s="21">
        <v>149900</v>
      </c>
      <c r="N192" s="24">
        <f t="shared" si="15"/>
        <v>0.7</v>
      </c>
      <c r="O192" s="25">
        <f t="shared" si="14"/>
        <v>44970</v>
      </c>
      <c r="P192" s="11" t="s">
        <v>20</v>
      </c>
    </row>
    <row r="193" spans="1:16" x14ac:dyDescent="0.25">
      <c r="A193" s="23" t="str">
        <f t="shared" si="18"/>
        <v>2025 JAN-JUN D70</v>
      </c>
      <c r="B193" s="10">
        <f t="shared" si="18"/>
        <v>46104</v>
      </c>
      <c r="C193" s="10">
        <f t="shared" si="18"/>
        <v>46113</v>
      </c>
      <c r="D193" s="11">
        <v>3273</v>
      </c>
      <c r="E193" s="11">
        <v>336</v>
      </c>
      <c r="F193" s="11">
        <v>4</v>
      </c>
      <c r="G193" s="18">
        <v>6</v>
      </c>
      <c r="H193" s="18">
        <v>81588</v>
      </c>
      <c r="I193" s="18" t="s">
        <v>17</v>
      </c>
      <c r="J193" s="18">
        <v>45921002</v>
      </c>
      <c r="K193" s="18" t="s">
        <v>2313</v>
      </c>
      <c r="L193" s="18" t="s">
        <v>2314</v>
      </c>
      <c r="M193" s="21">
        <v>149900</v>
      </c>
      <c r="N193" s="24">
        <f t="shared" si="15"/>
        <v>0.7</v>
      </c>
      <c r="O193" s="25">
        <f t="shared" si="14"/>
        <v>44970</v>
      </c>
      <c r="P193" s="11" t="s">
        <v>20</v>
      </c>
    </row>
    <row r="194" spans="1:16" x14ac:dyDescent="0.25">
      <c r="A194" s="23" t="str">
        <f t="shared" si="18"/>
        <v>2025 JAN-JUN D70</v>
      </c>
      <c r="B194" s="10">
        <f t="shared" si="18"/>
        <v>46104</v>
      </c>
      <c r="C194" s="10">
        <f t="shared" si="18"/>
        <v>46113</v>
      </c>
      <c r="D194" s="11">
        <v>3273</v>
      </c>
      <c r="E194" s="11">
        <v>336</v>
      </c>
      <c r="F194" s="11">
        <v>4</v>
      </c>
      <c r="G194" s="18">
        <v>6</v>
      </c>
      <c r="H194" s="18">
        <v>81588</v>
      </c>
      <c r="I194" s="18" t="s">
        <v>17</v>
      </c>
      <c r="J194" s="18">
        <v>45921011</v>
      </c>
      <c r="K194" s="18" t="s">
        <v>2313</v>
      </c>
      <c r="L194" s="18" t="s">
        <v>2315</v>
      </c>
      <c r="M194" s="21">
        <v>149900</v>
      </c>
      <c r="N194" s="24">
        <f t="shared" si="15"/>
        <v>0.7</v>
      </c>
      <c r="O194" s="25">
        <f t="shared" si="14"/>
        <v>44970</v>
      </c>
      <c r="P194" s="11" t="s">
        <v>20</v>
      </c>
    </row>
    <row r="195" spans="1:16" x14ac:dyDescent="0.25">
      <c r="A195" s="23" t="str">
        <f t="shared" ref="A195:C210" si="19">A194</f>
        <v>2025 JAN-JUN D70</v>
      </c>
      <c r="B195" s="10">
        <f t="shared" si="19"/>
        <v>46104</v>
      </c>
      <c r="C195" s="10">
        <f t="shared" si="19"/>
        <v>46113</v>
      </c>
      <c r="D195" s="11">
        <v>3273</v>
      </c>
      <c r="E195" s="11">
        <v>336</v>
      </c>
      <c r="F195" s="11">
        <v>4</v>
      </c>
      <c r="G195" s="18">
        <v>6</v>
      </c>
      <c r="H195" s="18">
        <v>81588</v>
      </c>
      <c r="I195" s="18" t="s">
        <v>17</v>
      </c>
      <c r="J195" s="18">
        <v>45921020</v>
      </c>
      <c r="K195" s="18" t="s">
        <v>2313</v>
      </c>
      <c r="L195" s="18" t="s">
        <v>2316</v>
      </c>
      <c r="M195" s="21">
        <v>149900</v>
      </c>
      <c r="N195" s="24">
        <f t="shared" si="15"/>
        <v>0.7</v>
      </c>
      <c r="O195" s="25">
        <f t="shared" ref="O195:O258" si="20">M195-((70*M195)/100)</f>
        <v>44970</v>
      </c>
      <c r="P195" s="11" t="s">
        <v>20</v>
      </c>
    </row>
    <row r="196" spans="1:16" x14ac:dyDescent="0.25">
      <c r="A196" s="23" t="str">
        <f t="shared" si="19"/>
        <v>2025 JAN-JUN D70</v>
      </c>
      <c r="B196" s="10">
        <f t="shared" si="19"/>
        <v>46104</v>
      </c>
      <c r="C196" s="10">
        <f t="shared" si="19"/>
        <v>46113</v>
      </c>
      <c r="D196" s="11">
        <v>3273</v>
      </c>
      <c r="E196" s="11">
        <v>336</v>
      </c>
      <c r="F196" s="11">
        <v>4</v>
      </c>
      <c r="G196" s="18">
        <v>6</v>
      </c>
      <c r="H196" s="18">
        <v>81588</v>
      </c>
      <c r="I196" s="18" t="s">
        <v>17</v>
      </c>
      <c r="J196" s="18">
        <v>45921039</v>
      </c>
      <c r="K196" s="18" t="s">
        <v>2313</v>
      </c>
      <c r="L196" s="18" t="s">
        <v>2317</v>
      </c>
      <c r="M196" s="21">
        <v>149900</v>
      </c>
      <c r="N196" s="24">
        <f t="shared" ref="N196:N259" si="21">N195</f>
        <v>0.7</v>
      </c>
      <c r="O196" s="25">
        <f t="shared" si="20"/>
        <v>44970</v>
      </c>
      <c r="P196" s="11" t="s">
        <v>20</v>
      </c>
    </row>
    <row r="197" spans="1:16" x14ac:dyDescent="0.25">
      <c r="A197" s="23" t="str">
        <f t="shared" si="19"/>
        <v>2025 JAN-JUN D70</v>
      </c>
      <c r="B197" s="10">
        <f t="shared" si="19"/>
        <v>46104</v>
      </c>
      <c r="C197" s="10">
        <f t="shared" si="19"/>
        <v>46113</v>
      </c>
      <c r="D197" s="11">
        <v>3273</v>
      </c>
      <c r="E197" s="11">
        <v>336</v>
      </c>
      <c r="F197" s="11">
        <v>4</v>
      </c>
      <c r="G197" s="18">
        <v>6</v>
      </c>
      <c r="H197" s="18">
        <v>81588</v>
      </c>
      <c r="I197" s="18" t="s">
        <v>17</v>
      </c>
      <c r="J197" s="18">
        <v>45921048</v>
      </c>
      <c r="K197" s="18" t="s">
        <v>2313</v>
      </c>
      <c r="L197" s="18" t="s">
        <v>2318</v>
      </c>
      <c r="M197" s="21">
        <v>149900</v>
      </c>
      <c r="N197" s="24">
        <f t="shared" si="21"/>
        <v>0.7</v>
      </c>
      <c r="O197" s="25">
        <f t="shared" si="20"/>
        <v>44970</v>
      </c>
      <c r="P197" s="11" t="s">
        <v>20</v>
      </c>
    </row>
    <row r="198" spans="1:16" x14ac:dyDescent="0.25">
      <c r="A198" s="23" t="str">
        <f t="shared" si="19"/>
        <v>2025 JAN-JUN D70</v>
      </c>
      <c r="B198" s="10">
        <f t="shared" si="19"/>
        <v>46104</v>
      </c>
      <c r="C198" s="10">
        <f t="shared" si="19"/>
        <v>46113</v>
      </c>
      <c r="D198" s="11">
        <v>3273</v>
      </c>
      <c r="E198" s="11">
        <v>336</v>
      </c>
      <c r="F198" s="11">
        <v>4</v>
      </c>
      <c r="G198" s="18">
        <v>6</v>
      </c>
      <c r="H198" s="18">
        <v>81588</v>
      </c>
      <c r="I198" s="18" t="s">
        <v>17</v>
      </c>
      <c r="J198" s="18">
        <v>45921057</v>
      </c>
      <c r="K198" s="18" t="s">
        <v>2313</v>
      </c>
      <c r="L198" s="18" t="s">
        <v>2319</v>
      </c>
      <c r="M198" s="21">
        <v>149900</v>
      </c>
      <c r="N198" s="24">
        <f t="shared" si="21"/>
        <v>0.7</v>
      </c>
      <c r="O198" s="25">
        <f t="shared" si="20"/>
        <v>44970</v>
      </c>
      <c r="P198" s="11" t="s">
        <v>20</v>
      </c>
    </row>
    <row r="199" spans="1:16" x14ac:dyDescent="0.25">
      <c r="A199" s="23" t="str">
        <f t="shared" si="19"/>
        <v>2025 JAN-JUN D70</v>
      </c>
      <c r="B199" s="10">
        <f t="shared" si="19"/>
        <v>46104</v>
      </c>
      <c r="C199" s="10">
        <f t="shared" si="19"/>
        <v>46113</v>
      </c>
      <c r="D199" s="11">
        <v>3273</v>
      </c>
      <c r="E199" s="11">
        <v>336</v>
      </c>
      <c r="F199" s="11">
        <v>4</v>
      </c>
      <c r="G199" s="18">
        <v>6</v>
      </c>
      <c r="H199" s="18">
        <v>81588</v>
      </c>
      <c r="I199" s="18" t="s">
        <v>17</v>
      </c>
      <c r="J199" s="18">
        <v>45921066</v>
      </c>
      <c r="K199" s="18" t="s">
        <v>2313</v>
      </c>
      <c r="L199" s="18" t="s">
        <v>2320</v>
      </c>
      <c r="M199" s="21">
        <v>149900</v>
      </c>
      <c r="N199" s="24">
        <f t="shared" si="21"/>
        <v>0.7</v>
      </c>
      <c r="O199" s="25">
        <f t="shared" si="20"/>
        <v>44970</v>
      </c>
      <c r="P199" s="11" t="s">
        <v>20</v>
      </c>
    </row>
    <row r="200" spans="1:16" x14ac:dyDescent="0.25">
      <c r="A200" s="23" t="str">
        <f t="shared" si="19"/>
        <v>2025 JAN-JUN D70</v>
      </c>
      <c r="B200" s="10">
        <f t="shared" si="19"/>
        <v>46104</v>
      </c>
      <c r="C200" s="10">
        <f t="shared" si="19"/>
        <v>46113</v>
      </c>
      <c r="D200" s="11">
        <v>3273</v>
      </c>
      <c r="E200" s="11">
        <v>336</v>
      </c>
      <c r="F200" s="11">
        <v>4</v>
      </c>
      <c r="G200" s="18">
        <v>6</v>
      </c>
      <c r="H200" s="18">
        <v>81588</v>
      </c>
      <c r="I200" s="18" t="s">
        <v>17</v>
      </c>
      <c r="J200" s="18">
        <v>45921075</v>
      </c>
      <c r="K200" s="18" t="s">
        <v>2313</v>
      </c>
      <c r="L200" s="18" t="s">
        <v>2321</v>
      </c>
      <c r="M200" s="21">
        <v>149900</v>
      </c>
      <c r="N200" s="24">
        <f t="shared" si="21"/>
        <v>0.7</v>
      </c>
      <c r="O200" s="25">
        <f t="shared" si="20"/>
        <v>44970</v>
      </c>
      <c r="P200" s="11" t="s">
        <v>20</v>
      </c>
    </row>
    <row r="201" spans="1:16" x14ac:dyDescent="0.25">
      <c r="A201" s="23" t="str">
        <f t="shared" si="19"/>
        <v>2025 JAN-JUN D70</v>
      </c>
      <c r="B201" s="10">
        <f t="shared" si="19"/>
        <v>46104</v>
      </c>
      <c r="C201" s="10">
        <f t="shared" si="19"/>
        <v>46113</v>
      </c>
      <c r="D201" s="11">
        <v>3273</v>
      </c>
      <c r="E201" s="11">
        <v>336</v>
      </c>
      <c r="F201" s="11">
        <v>4</v>
      </c>
      <c r="G201" s="18">
        <v>6</v>
      </c>
      <c r="H201" s="18">
        <v>81588</v>
      </c>
      <c r="I201" s="18" t="s">
        <v>17</v>
      </c>
      <c r="J201" s="18">
        <v>45921084</v>
      </c>
      <c r="K201" s="18" t="s">
        <v>2322</v>
      </c>
      <c r="L201" s="18" t="s">
        <v>2323</v>
      </c>
      <c r="M201" s="21">
        <v>149900</v>
      </c>
      <c r="N201" s="24">
        <f t="shared" si="21"/>
        <v>0.7</v>
      </c>
      <c r="O201" s="25">
        <f t="shared" si="20"/>
        <v>44970</v>
      </c>
      <c r="P201" s="11" t="s">
        <v>20</v>
      </c>
    </row>
    <row r="202" spans="1:16" x14ac:dyDescent="0.25">
      <c r="A202" s="23" t="str">
        <f t="shared" si="19"/>
        <v>2025 JAN-JUN D70</v>
      </c>
      <c r="B202" s="10">
        <f t="shared" si="19"/>
        <v>46104</v>
      </c>
      <c r="C202" s="10">
        <f t="shared" si="19"/>
        <v>46113</v>
      </c>
      <c r="D202" s="11">
        <v>3273</v>
      </c>
      <c r="E202" s="11">
        <v>336</v>
      </c>
      <c r="F202" s="11">
        <v>4</v>
      </c>
      <c r="G202" s="18">
        <v>6</v>
      </c>
      <c r="H202" s="18">
        <v>81588</v>
      </c>
      <c r="I202" s="18" t="s">
        <v>17</v>
      </c>
      <c r="J202" s="18">
        <v>45921093</v>
      </c>
      <c r="K202" s="18" t="s">
        <v>2322</v>
      </c>
      <c r="L202" s="18" t="s">
        <v>2324</v>
      </c>
      <c r="M202" s="21">
        <v>149900</v>
      </c>
      <c r="N202" s="24">
        <f t="shared" si="21"/>
        <v>0.7</v>
      </c>
      <c r="O202" s="25">
        <f t="shared" si="20"/>
        <v>44970</v>
      </c>
      <c r="P202" s="11" t="s">
        <v>20</v>
      </c>
    </row>
    <row r="203" spans="1:16" x14ac:dyDescent="0.25">
      <c r="A203" s="23" t="str">
        <f t="shared" si="19"/>
        <v>2025 JAN-JUN D70</v>
      </c>
      <c r="B203" s="10">
        <f t="shared" si="19"/>
        <v>46104</v>
      </c>
      <c r="C203" s="10">
        <f t="shared" si="19"/>
        <v>46113</v>
      </c>
      <c r="D203" s="11">
        <v>3273</v>
      </c>
      <c r="E203" s="11">
        <v>336</v>
      </c>
      <c r="F203" s="11">
        <v>4</v>
      </c>
      <c r="G203" s="18">
        <v>6</v>
      </c>
      <c r="H203" s="18">
        <v>81588</v>
      </c>
      <c r="I203" s="18" t="s">
        <v>17</v>
      </c>
      <c r="J203" s="18">
        <v>45921100</v>
      </c>
      <c r="K203" s="18" t="s">
        <v>2322</v>
      </c>
      <c r="L203" s="18" t="s">
        <v>2325</v>
      </c>
      <c r="M203" s="21">
        <v>149900</v>
      </c>
      <c r="N203" s="24">
        <f t="shared" si="21"/>
        <v>0.7</v>
      </c>
      <c r="O203" s="25">
        <f t="shared" si="20"/>
        <v>44970</v>
      </c>
      <c r="P203" s="11" t="s">
        <v>20</v>
      </c>
    </row>
    <row r="204" spans="1:16" x14ac:dyDescent="0.25">
      <c r="A204" s="23" t="str">
        <f t="shared" si="19"/>
        <v>2025 JAN-JUN D70</v>
      </c>
      <c r="B204" s="10">
        <f t="shared" si="19"/>
        <v>46104</v>
      </c>
      <c r="C204" s="10">
        <f t="shared" si="19"/>
        <v>46113</v>
      </c>
      <c r="D204" s="11">
        <v>3273</v>
      </c>
      <c r="E204" s="11">
        <v>336</v>
      </c>
      <c r="F204" s="11">
        <v>4</v>
      </c>
      <c r="G204" s="18">
        <v>6</v>
      </c>
      <c r="H204" s="18">
        <v>81588</v>
      </c>
      <c r="I204" s="18" t="s">
        <v>17</v>
      </c>
      <c r="J204" s="18">
        <v>45921119</v>
      </c>
      <c r="K204" s="18" t="s">
        <v>2322</v>
      </c>
      <c r="L204" s="18" t="s">
        <v>2326</v>
      </c>
      <c r="M204" s="21">
        <v>149900</v>
      </c>
      <c r="N204" s="24">
        <f t="shared" si="21"/>
        <v>0.7</v>
      </c>
      <c r="O204" s="25">
        <f t="shared" si="20"/>
        <v>44970</v>
      </c>
      <c r="P204" s="11" t="s">
        <v>20</v>
      </c>
    </row>
    <row r="205" spans="1:16" x14ac:dyDescent="0.25">
      <c r="A205" s="23" t="str">
        <f t="shared" si="19"/>
        <v>2025 JAN-JUN D70</v>
      </c>
      <c r="B205" s="10">
        <f t="shared" si="19"/>
        <v>46104</v>
      </c>
      <c r="C205" s="10">
        <f t="shared" si="19"/>
        <v>46113</v>
      </c>
      <c r="D205" s="11">
        <v>3273</v>
      </c>
      <c r="E205" s="11">
        <v>336</v>
      </c>
      <c r="F205" s="11">
        <v>4</v>
      </c>
      <c r="G205" s="18">
        <v>6</v>
      </c>
      <c r="H205" s="18">
        <v>81588</v>
      </c>
      <c r="I205" s="18" t="s">
        <v>17</v>
      </c>
      <c r="J205" s="18">
        <v>45921128</v>
      </c>
      <c r="K205" s="18" t="s">
        <v>2322</v>
      </c>
      <c r="L205" s="18" t="s">
        <v>2327</v>
      </c>
      <c r="M205" s="21">
        <v>149900</v>
      </c>
      <c r="N205" s="24">
        <f t="shared" si="21"/>
        <v>0.7</v>
      </c>
      <c r="O205" s="25">
        <f t="shared" si="20"/>
        <v>44970</v>
      </c>
      <c r="P205" s="11" t="s">
        <v>20</v>
      </c>
    </row>
    <row r="206" spans="1:16" x14ac:dyDescent="0.25">
      <c r="A206" s="23" t="str">
        <f t="shared" si="19"/>
        <v>2025 JAN-JUN D70</v>
      </c>
      <c r="B206" s="10">
        <f t="shared" si="19"/>
        <v>46104</v>
      </c>
      <c r="C206" s="10">
        <f t="shared" si="19"/>
        <v>46113</v>
      </c>
      <c r="D206" s="11">
        <v>3273</v>
      </c>
      <c r="E206" s="11">
        <v>336</v>
      </c>
      <c r="F206" s="11">
        <v>4</v>
      </c>
      <c r="G206" s="18">
        <v>6</v>
      </c>
      <c r="H206" s="18">
        <v>81588</v>
      </c>
      <c r="I206" s="18" t="s">
        <v>17</v>
      </c>
      <c r="J206" s="18">
        <v>45921137</v>
      </c>
      <c r="K206" s="18" t="s">
        <v>2322</v>
      </c>
      <c r="L206" s="18" t="s">
        <v>2328</v>
      </c>
      <c r="M206" s="21">
        <v>149900</v>
      </c>
      <c r="N206" s="24">
        <f t="shared" si="21"/>
        <v>0.7</v>
      </c>
      <c r="O206" s="25">
        <f t="shared" si="20"/>
        <v>44970</v>
      </c>
      <c r="P206" s="11" t="s">
        <v>20</v>
      </c>
    </row>
    <row r="207" spans="1:16" x14ac:dyDescent="0.25">
      <c r="A207" s="23" t="str">
        <f t="shared" si="19"/>
        <v>2025 JAN-JUN D70</v>
      </c>
      <c r="B207" s="10">
        <f t="shared" si="19"/>
        <v>46104</v>
      </c>
      <c r="C207" s="10">
        <f t="shared" si="19"/>
        <v>46113</v>
      </c>
      <c r="D207" s="11">
        <v>3273</v>
      </c>
      <c r="E207" s="11">
        <v>336</v>
      </c>
      <c r="F207" s="11">
        <v>4</v>
      </c>
      <c r="G207" s="18">
        <v>6</v>
      </c>
      <c r="H207" s="18">
        <v>81588</v>
      </c>
      <c r="I207" s="18" t="s">
        <v>17</v>
      </c>
      <c r="J207" s="18">
        <v>45921146</v>
      </c>
      <c r="K207" s="18" t="s">
        <v>2322</v>
      </c>
      <c r="L207" s="18" t="s">
        <v>2329</v>
      </c>
      <c r="M207" s="21">
        <v>149900</v>
      </c>
      <c r="N207" s="24">
        <f t="shared" si="21"/>
        <v>0.7</v>
      </c>
      <c r="O207" s="25">
        <f t="shared" si="20"/>
        <v>44970</v>
      </c>
      <c r="P207" s="11" t="s">
        <v>20</v>
      </c>
    </row>
    <row r="208" spans="1:16" x14ac:dyDescent="0.25">
      <c r="A208" s="23" t="str">
        <f t="shared" si="19"/>
        <v>2025 JAN-JUN D70</v>
      </c>
      <c r="B208" s="10">
        <f t="shared" si="19"/>
        <v>46104</v>
      </c>
      <c r="C208" s="10">
        <f t="shared" si="19"/>
        <v>46113</v>
      </c>
      <c r="D208" s="11">
        <v>3273</v>
      </c>
      <c r="E208" s="11">
        <v>336</v>
      </c>
      <c r="F208" s="11">
        <v>4</v>
      </c>
      <c r="G208" s="18">
        <v>6</v>
      </c>
      <c r="H208" s="18">
        <v>81588</v>
      </c>
      <c r="I208" s="18" t="s">
        <v>17</v>
      </c>
      <c r="J208" s="18">
        <v>45921155</v>
      </c>
      <c r="K208" s="18" t="s">
        <v>2322</v>
      </c>
      <c r="L208" s="18" t="s">
        <v>2330</v>
      </c>
      <c r="M208" s="21">
        <v>149900</v>
      </c>
      <c r="N208" s="24">
        <f t="shared" si="21"/>
        <v>0.7</v>
      </c>
      <c r="O208" s="25">
        <f t="shared" si="20"/>
        <v>44970</v>
      </c>
      <c r="P208" s="11" t="s">
        <v>20</v>
      </c>
    </row>
    <row r="209" spans="1:16" x14ac:dyDescent="0.25">
      <c r="A209" s="23" t="str">
        <f t="shared" si="19"/>
        <v>2025 JAN-JUN D70</v>
      </c>
      <c r="B209" s="10">
        <f t="shared" si="19"/>
        <v>46104</v>
      </c>
      <c r="C209" s="10">
        <f t="shared" si="19"/>
        <v>46113</v>
      </c>
      <c r="D209" s="11">
        <v>3273</v>
      </c>
      <c r="E209" s="11">
        <v>336</v>
      </c>
      <c r="F209" s="11">
        <v>4</v>
      </c>
      <c r="G209" s="18">
        <v>6</v>
      </c>
      <c r="H209" s="18">
        <v>81588</v>
      </c>
      <c r="I209" s="18" t="s">
        <v>17</v>
      </c>
      <c r="J209" s="18">
        <v>51099659</v>
      </c>
      <c r="K209" s="18" t="s">
        <v>2331</v>
      </c>
      <c r="L209" s="18" t="s">
        <v>2332</v>
      </c>
      <c r="M209" s="21">
        <v>149900</v>
      </c>
      <c r="N209" s="24">
        <f t="shared" si="21"/>
        <v>0.7</v>
      </c>
      <c r="O209" s="25">
        <f t="shared" si="20"/>
        <v>44970</v>
      </c>
      <c r="P209" s="11" t="s">
        <v>20</v>
      </c>
    </row>
    <row r="210" spans="1:16" x14ac:dyDescent="0.25">
      <c r="A210" s="23" t="str">
        <f t="shared" si="19"/>
        <v>2025 JAN-JUN D70</v>
      </c>
      <c r="B210" s="10">
        <f t="shared" si="19"/>
        <v>46104</v>
      </c>
      <c r="C210" s="10">
        <f t="shared" si="19"/>
        <v>46113</v>
      </c>
      <c r="D210" s="11">
        <v>3273</v>
      </c>
      <c r="E210" s="11">
        <v>336</v>
      </c>
      <c r="F210" s="11">
        <v>4</v>
      </c>
      <c r="G210" s="18">
        <v>6</v>
      </c>
      <c r="H210" s="18">
        <v>81588</v>
      </c>
      <c r="I210" s="18" t="s">
        <v>17</v>
      </c>
      <c r="J210" s="18">
        <v>51099668</v>
      </c>
      <c r="K210" s="18" t="s">
        <v>2331</v>
      </c>
      <c r="L210" s="18" t="s">
        <v>2333</v>
      </c>
      <c r="M210" s="21">
        <v>149900</v>
      </c>
      <c r="N210" s="24">
        <f t="shared" si="21"/>
        <v>0.7</v>
      </c>
      <c r="O210" s="25">
        <f t="shared" si="20"/>
        <v>44970</v>
      </c>
      <c r="P210" s="11" t="s">
        <v>20</v>
      </c>
    </row>
    <row r="211" spans="1:16" x14ac:dyDescent="0.25">
      <c r="A211" s="23" t="str">
        <f t="shared" ref="A211:C226" si="22">A210</f>
        <v>2025 JAN-JUN D70</v>
      </c>
      <c r="B211" s="10">
        <f t="shared" si="22"/>
        <v>46104</v>
      </c>
      <c r="C211" s="10">
        <f t="shared" si="22"/>
        <v>46113</v>
      </c>
      <c r="D211" s="11">
        <v>3273</v>
      </c>
      <c r="E211" s="11">
        <v>336</v>
      </c>
      <c r="F211" s="11">
        <v>4</v>
      </c>
      <c r="G211" s="18">
        <v>6</v>
      </c>
      <c r="H211" s="18">
        <v>81588</v>
      </c>
      <c r="I211" s="18" t="s">
        <v>17</v>
      </c>
      <c r="J211" s="18">
        <v>51099677</v>
      </c>
      <c r="K211" s="18" t="s">
        <v>2331</v>
      </c>
      <c r="L211" s="18" t="s">
        <v>2334</v>
      </c>
      <c r="M211" s="21">
        <v>149900</v>
      </c>
      <c r="N211" s="24">
        <f t="shared" si="21"/>
        <v>0.7</v>
      </c>
      <c r="O211" s="25">
        <f t="shared" si="20"/>
        <v>44970</v>
      </c>
      <c r="P211" s="11" t="s">
        <v>20</v>
      </c>
    </row>
    <row r="212" spans="1:16" x14ac:dyDescent="0.25">
      <c r="A212" s="23" t="str">
        <f t="shared" si="22"/>
        <v>2025 JAN-JUN D70</v>
      </c>
      <c r="B212" s="10">
        <f t="shared" si="22"/>
        <v>46104</v>
      </c>
      <c r="C212" s="10">
        <f t="shared" si="22"/>
        <v>46113</v>
      </c>
      <c r="D212" s="11">
        <v>3273</v>
      </c>
      <c r="E212" s="11">
        <v>336</v>
      </c>
      <c r="F212" s="11">
        <v>4</v>
      </c>
      <c r="G212" s="18">
        <v>6</v>
      </c>
      <c r="H212" s="18">
        <v>81588</v>
      </c>
      <c r="I212" s="18" t="s">
        <v>17</v>
      </c>
      <c r="J212" s="18">
        <v>51099686</v>
      </c>
      <c r="K212" s="18" t="s">
        <v>2331</v>
      </c>
      <c r="L212" s="18" t="s">
        <v>2335</v>
      </c>
      <c r="M212" s="21">
        <v>149900</v>
      </c>
      <c r="N212" s="24">
        <f t="shared" si="21"/>
        <v>0.7</v>
      </c>
      <c r="O212" s="25">
        <f t="shared" si="20"/>
        <v>44970</v>
      </c>
      <c r="P212" s="11" t="s">
        <v>20</v>
      </c>
    </row>
    <row r="213" spans="1:16" x14ac:dyDescent="0.25">
      <c r="A213" s="23" t="str">
        <f t="shared" si="22"/>
        <v>2025 JAN-JUN D70</v>
      </c>
      <c r="B213" s="10">
        <f t="shared" si="22"/>
        <v>46104</v>
      </c>
      <c r="C213" s="10">
        <f t="shared" si="22"/>
        <v>46113</v>
      </c>
      <c r="D213" s="11">
        <v>3273</v>
      </c>
      <c r="E213" s="11">
        <v>336</v>
      </c>
      <c r="F213" s="11">
        <v>4</v>
      </c>
      <c r="G213" s="18">
        <v>6</v>
      </c>
      <c r="H213" s="18">
        <v>81588</v>
      </c>
      <c r="I213" s="18" t="s">
        <v>17</v>
      </c>
      <c r="J213" s="18">
        <v>51099695</v>
      </c>
      <c r="K213" s="18" t="s">
        <v>2331</v>
      </c>
      <c r="L213" s="18" t="s">
        <v>2336</v>
      </c>
      <c r="M213" s="21">
        <v>149900</v>
      </c>
      <c r="N213" s="24">
        <f t="shared" si="21"/>
        <v>0.7</v>
      </c>
      <c r="O213" s="25">
        <f t="shared" si="20"/>
        <v>44970</v>
      </c>
      <c r="P213" s="11" t="s">
        <v>20</v>
      </c>
    </row>
    <row r="214" spans="1:16" x14ac:dyDescent="0.25">
      <c r="A214" s="23" t="str">
        <f t="shared" si="22"/>
        <v>2025 JAN-JUN D70</v>
      </c>
      <c r="B214" s="10">
        <f t="shared" si="22"/>
        <v>46104</v>
      </c>
      <c r="C214" s="10">
        <f t="shared" si="22"/>
        <v>46113</v>
      </c>
      <c r="D214" s="11">
        <v>3273</v>
      </c>
      <c r="E214" s="11">
        <v>336</v>
      </c>
      <c r="F214" s="11">
        <v>4</v>
      </c>
      <c r="G214" s="18">
        <v>6</v>
      </c>
      <c r="H214" s="18">
        <v>81588</v>
      </c>
      <c r="I214" s="18" t="s">
        <v>17</v>
      </c>
      <c r="J214" s="18">
        <v>51099702</v>
      </c>
      <c r="K214" s="18" t="s">
        <v>2331</v>
      </c>
      <c r="L214" s="18" t="s">
        <v>2337</v>
      </c>
      <c r="M214" s="21">
        <v>149900</v>
      </c>
      <c r="N214" s="24">
        <f t="shared" si="21"/>
        <v>0.7</v>
      </c>
      <c r="O214" s="25">
        <f t="shared" si="20"/>
        <v>44970</v>
      </c>
      <c r="P214" s="11" t="s">
        <v>20</v>
      </c>
    </row>
    <row r="215" spans="1:16" x14ac:dyDescent="0.25">
      <c r="A215" s="23" t="str">
        <f t="shared" si="22"/>
        <v>2025 JAN-JUN D70</v>
      </c>
      <c r="B215" s="10">
        <f t="shared" si="22"/>
        <v>46104</v>
      </c>
      <c r="C215" s="10">
        <f t="shared" si="22"/>
        <v>46113</v>
      </c>
      <c r="D215" s="11">
        <v>3273</v>
      </c>
      <c r="E215" s="11">
        <v>336</v>
      </c>
      <c r="F215" s="11">
        <v>4</v>
      </c>
      <c r="G215" s="18">
        <v>6</v>
      </c>
      <c r="H215" s="18">
        <v>81588</v>
      </c>
      <c r="I215" s="18" t="s">
        <v>17</v>
      </c>
      <c r="J215" s="18">
        <v>51099711</v>
      </c>
      <c r="K215" s="18" t="s">
        <v>2331</v>
      </c>
      <c r="L215" s="18" t="s">
        <v>2338</v>
      </c>
      <c r="M215" s="21">
        <v>149900</v>
      </c>
      <c r="N215" s="24">
        <f t="shared" si="21"/>
        <v>0.7</v>
      </c>
      <c r="O215" s="25">
        <f t="shared" si="20"/>
        <v>44970</v>
      </c>
      <c r="P215" s="11" t="s">
        <v>20</v>
      </c>
    </row>
    <row r="216" spans="1:16" x14ac:dyDescent="0.25">
      <c r="A216" s="23" t="str">
        <f t="shared" si="22"/>
        <v>2025 JAN-JUN D70</v>
      </c>
      <c r="B216" s="10">
        <f t="shared" si="22"/>
        <v>46104</v>
      </c>
      <c r="C216" s="10">
        <f t="shared" si="22"/>
        <v>46113</v>
      </c>
      <c r="D216" s="11">
        <v>3273</v>
      </c>
      <c r="E216" s="11">
        <v>336</v>
      </c>
      <c r="F216" s="11">
        <v>4</v>
      </c>
      <c r="G216" s="18">
        <v>6</v>
      </c>
      <c r="H216" s="18">
        <v>81588</v>
      </c>
      <c r="I216" s="18" t="s">
        <v>17</v>
      </c>
      <c r="J216" s="18">
        <v>51099720</v>
      </c>
      <c r="K216" s="18" t="s">
        <v>2331</v>
      </c>
      <c r="L216" s="18" t="s">
        <v>2339</v>
      </c>
      <c r="M216" s="21">
        <v>149900</v>
      </c>
      <c r="N216" s="24">
        <f t="shared" si="21"/>
        <v>0.7</v>
      </c>
      <c r="O216" s="25">
        <f t="shared" si="20"/>
        <v>44970</v>
      </c>
      <c r="P216" s="11" t="s">
        <v>20</v>
      </c>
    </row>
    <row r="217" spans="1:16" x14ac:dyDescent="0.25">
      <c r="A217" s="23" t="str">
        <f t="shared" si="22"/>
        <v>2025 JAN-JUN D70</v>
      </c>
      <c r="B217" s="10">
        <f t="shared" si="22"/>
        <v>46104</v>
      </c>
      <c r="C217" s="10">
        <f t="shared" si="22"/>
        <v>46113</v>
      </c>
      <c r="D217" s="11">
        <v>3273</v>
      </c>
      <c r="E217" s="11">
        <v>336</v>
      </c>
      <c r="F217" s="11">
        <v>4</v>
      </c>
      <c r="G217" s="18">
        <v>6</v>
      </c>
      <c r="H217" s="18">
        <v>81588</v>
      </c>
      <c r="I217" s="18" t="s">
        <v>17</v>
      </c>
      <c r="J217" s="18">
        <v>51100146</v>
      </c>
      <c r="K217" s="18" t="s">
        <v>2340</v>
      </c>
      <c r="L217" s="18" t="s">
        <v>2341</v>
      </c>
      <c r="M217" s="21">
        <v>139900</v>
      </c>
      <c r="N217" s="24">
        <f t="shared" si="21"/>
        <v>0.7</v>
      </c>
      <c r="O217" s="25">
        <f t="shared" si="20"/>
        <v>41970</v>
      </c>
      <c r="P217" s="11" t="s">
        <v>20</v>
      </c>
    </row>
    <row r="218" spans="1:16" x14ac:dyDescent="0.25">
      <c r="A218" s="23" t="str">
        <f t="shared" si="22"/>
        <v>2025 JAN-JUN D70</v>
      </c>
      <c r="B218" s="10">
        <f t="shared" si="22"/>
        <v>46104</v>
      </c>
      <c r="C218" s="10">
        <f t="shared" si="22"/>
        <v>46113</v>
      </c>
      <c r="D218" s="11">
        <v>3273</v>
      </c>
      <c r="E218" s="11">
        <v>336</v>
      </c>
      <c r="F218" s="11">
        <v>4</v>
      </c>
      <c r="G218" s="18">
        <v>6</v>
      </c>
      <c r="H218" s="18">
        <v>81588</v>
      </c>
      <c r="I218" s="18" t="s">
        <v>17</v>
      </c>
      <c r="J218" s="18">
        <v>51100155</v>
      </c>
      <c r="K218" s="18" t="s">
        <v>2340</v>
      </c>
      <c r="L218" s="18" t="s">
        <v>2342</v>
      </c>
      <c r="M218" s="21">
        <v>139900</v>
      </c>
      <c r="N218" s="24">
        <f t="shared" si="21"/>
        <v>0.7</v>
      </c>
      <c r="O218" s="25">
        <f t="shared" si="20"/>
        <v>41970</v>
      </c>
      <c r="P218" s="11" t="s">
        <v>20</v>
      </c>
    </row>
    <row r="219" spans="1:16" x14ac:dyDescent="0.25">
      <c r="A219" s="23" t="str">
        <f t="shared" si="22"/>
        <v>2025 JAN-JUN D70</v>
      </c>
      <c r="B219" s="10">
        <f t="shared" si="22"/>
        <v>46104</v>
      </c>
      <c r="C219" s="10">
        <f t="shared" si="22"/>
        <v>46113</v>
      </c>
      <c r="D219" s="11">
        <v>3273</v>
      </c>
      <c r="E219" s="11">
        <v>336</v>
      </c>
      <c r="F219" s="11">
        <v>4</v>
      </c>
      <c r="G219" s="18">
        <v>6</v>
      </c>
      <c r="H219" s="18">
        <v>81588</v>
      </c>
      <c r="I219" s="18" t="s">
        <v>17</v>
      </c>
      <c r="J219" s="18">
        <v>51100164</v>
      </c>
      <c r="K219" s="18" t="s">
        <v>2340</v>
      </c>
      <c r="L219" s="18" t="s">
        <v>2343</v>
      </c>
      <c r="M219" s="21">
        <v>139900</v>
      </c>
      <c r="N219" s="24">
        <f t="shared" si="21"/>
        <v>0.7</v>
      </c>
      <c r="O219" s="25">
        <f t="shared" si="20"/>
        <v>41970</v>
      </c>
      <c r="P219" s="11" t="s">
        <v>20</v>
      </c>
    </row>
    <row r="220" spans="1:16" x14ac:dyDescent="0.25">
      <c r="A220" s="23" t="str">
        <f t="shared" si="22"/>
        <v>2025 JAN-JUN D70</v>
      </c>
      <c r="B220" s="10">
        <f t="shared" si="22"/>
        <v>46104</v>
      </c>
      <c r="C220" s="10">
        <f t="shared" si="22"/>
        <v>46113</v>
      </c>
      <c r="D220" s="11">
        <v>3273</v>
      </c>
      <c r="E220" s="11">
        <v>336</v>
      </c>
      <c r="F220" s="11">
        <v>4</v>
      </c>
      <c r="G220" s="18">
        <v>6</v>
      </c>
      <c r="H220" s="18">
        <v>81588</v>
      </c>
      <c r="I220" s="18" t="s">
        <v>17</v>
      </c>
      <c r="J220" s="18">
        <v>51100173</v>
      </c>
      <c r="K220" s="18" t="s">
        <v>2340</v>
      </c>
      <c r="L220" s="18" t="s">
        <v>2344</v>
      </c>
      <c r="M220" s="21">
        <v>139900</v>
      </c>
      <c r="N220" s="24">
        <f t="shared" si="21"/>
        <v>0.7</v>
      </c>
      <c r="O220" s="25">
        <f t="shared" si="20"/>
        <v>41970</v>
      </c>
      <c r="P220" s="11" t="s">
        <v>20</v>
      </c>
    </row>
    <row r="221" spans="1:16" x14ac:dyDescent="0.25">
      <c r="A221" s="23" t="str">
        <f t="shared" si="22"/>
        <v>2025 JAN-JUN D70</v>
      </c>
      <c r="B221" s="10">
        <f t="shared" si="22"/>
        <v>46104</v>
      </c>
      <c r="C221" s="10">
        <f t="shared" si="22"/>
        <v>46113</v>
      </c>
      <c r="D221" s="11">
        <v>3273</v>
      </c>
      <c r="E221" s="11">
        <v>336</v>
      </c>
      <c r="F221" s="11">
        <v>4</v>
      </c>
      <c r="G221" s="18">
        <v>6</v>
      </c>
      <c r="H221" s="18">
        <v>81588</v>
      </c>
      <c r="I221" s="18" t="s">
        <v>17</v>
      </c>
      <c r="J221" s="18">
        <v>51100182</v>
      </c>
      <c r="K221" s="18" t="s">
        <v>2340</v>
      </c>
      <c r="L221" s="18" t="s">
        <v>2345</v>
      </c>
      <c r="M221" s="21">
        <v>139900</v>
      </c>
      <c r="N221" s="24">
        <f t="shared" si="21"/>
        <v>0.7</v>
      </c>
      <c r="O221" s="25">
        <f t="shared" si="20"/>
        <v>41970</v>
      </c>
      <c r="P221" s="11" t="s">
        <v>20</v>
      </c>
    </row>
    <row r="222" spans="1:16" x14ac:dyDescent="0.25">
      <c r="A222" s="23" t="str">
        <f t="shared" si="22"/>
        <v>2025 JAN-JUN D70</v>
      </c>
      <c r="B222" s="10">
        <f t="shared" si="22"/>
        <v>46104</v>
      </c>
      <c r="C222" s="10">
        <f t="shared" si="22"/>
        <v>46113</v>
      </c>
      <c r="D222" s="11">
        <v>3273</v>
      </c>
      <c r="E222" s="11">
        <v>336</v>
      </c>
      <c r="F222" s="11">
        <v>4</v>
      </c>
      <c r="G222" s="18">
        <v>6</v>
      </c>
      <c r="H222" s="18">
        <v>81588</v>
      </c>
      <c r="I222" s="18" t="s">
        <v>17</v>
      </c>
      <c r="J222" s="18">
        <v>51100191</v>
      </c>
      <c r="K222" s="18" t="s">
        <v>2340</v>
      </c>
      <c r="L222" s="18" t="s">
        <v>2346</v>
      </c>
      <c r="M222" s="21">
        <v>139900</v>
      </c>
      <c r="N222" s="24">
        <f t="shared" si="21"/>
        <v>0.7</v>
      </c>
      <c r="O222" s="25">
        <f t="shared" si="20"/>
        <v>41970</v>
      </c>
      <c r="P222" s="11" t="s">
        <v>20</v>
      </c>
    </row>
    <row r="223" spans="1:16" x14ac:dyDescent="0.25">
      <c r="A223" s="23" t="str">
        <f t="shared" si="22"/>
        <v>2025 JAN-JUN D70</v>
      </c>
      <c r="B223" s="10">
        <f t="shared" si="22"/>
        <v>46104</v>
      </c>
      <c r="C223" s="10">
        <f t="shared" si="22"/>
        <v>46113</v>
      </c>
      <c r="D223" s="11">
        <v>3273</v>
      </c>
      <c r="E223" s="11">
        <v>336</v>
      </c>
      <c r="F223" s="11">
        <v>4</v>
      </c>
      <c r="G223" s="18">
        <v>6</v>
      </c>
      <c r="H223" s="18">
        <v>81588</v>
      </c>
      <c r="I223" s="18" t="s">
        <v>17</v>
      </c>
      <c r="J223" s="18">
        <v>51100208</v>
      </c>
      <c r="K223" s="18" t="s">
        <v>2340</v>
      </c>
      <c r="L223" s="18" t="s">
        <v>2347</v>
      </c>
      <c r="M223" s="21">
        <v>139900</v>
      </c>
      <c r="N223" s="24">
        <f t="shared" si="21"/>
        <v>0.7</v>
      </c>
      <c r="O223" s="25">
        <f t="shared" si="20"/>
        <v>41970</v>
      </c>
      <c r="P223" s="11" t="s">
        <v>20</v>
      </c>
    </row>
    <row r="224" spans="1:16" x14ac:dyDescent="0.25">
      <c r="A224" s="23" t="str">
        <f t="shared" si="22"/>
        <v>2025 JAN-JUN D70</v>
      </c>
      <c r="B224" s="10">
        <f t="shared" si="22"/>
        <v>46104</v>
      </c>
      <c r="C224" s="10">
        <f t="shared" si="22"/>
        <v>46113</v>
      </c>
      <c r="D224" s="11">
        <v>3273</v>
      </c>
      <c r="E224" s="11">
        <v>336</v>
      </c>
      <c r="F224" s="11">
        <v>4</v>
      </c>
      <c r="G224" s="18">
        <v>6</v>
      </c>
      <c r="H224" s="18">
        <v>81588</v>
      </c>
      <c r="I224" s="18" t="s">
        <v>17</v>
      </c>
      <c r="J224" s="18">
        <v>51100217</v>
      </c>
      <c r="K224" s="18" t="s">
        <v>2340</v>
      </c>
      <c r="L224" s="18" t="s">
        <v>2348</v>
      </c>
      <c r="M224" s="21">
        <v>139900</v>
      </c>
      <c r="N224" s="24">
        <f t="shared" si="21"/>
        <v>0.7</v>
      </c>
      <c r="O224" s="25">
        <f t="shared" si="20"/>
        <v>41970</v>
      </c>
      <c r="P224" s="11" t="s">
        <v>20</v>
      </c>
    </row>
    <row r="225" spans="1:16" x14ac:dyDescent="0.25">
      <c r="A225" s="23" t="str">
        <f t="shared" si="22"/>
        <v>2025 JAN-JUN D70</v>
      </c>
      <c r="B225" s="10">
        <f t="shared" si="22"/>
        <v>46104</v>
      </c>
      <c r="C225" s="10">
        <f t="shared" si="22"/>
        <v>46113</v>
      </c>
      <c r="D225" s="11">
        <v>3273</v>
      </c>
      <c r="E225" s="11">
        <v>336</v>
      </c>
      <c r="F225" s="11">
        <v>4</v>
      </c>
      <c r="G225" s="18">
        <v>6</v>
      </c>
      <c r="H225" s="18">
        <v>81588</v>
      </c>
      <c r="I225" s="18" t="s">
        <v>17</v>
      </c>
      <c r="J225" s="18">
        <v>51100226</v>
      </c>
      <c r="K225" s="18" t="s">
        <v>2349</v>
      </c>
      <c r="L225" s="18" t="s">
        <v>2350</v>
      </c>
      <c r="M225" s="21">
        <v>139900</v>
      </c>
      <c r="N225" s="24">
        <f t="shared" si="21"/>
        <v>0.7</v>
      </c>
      <c r="O225" s="25">
        <f t="shared" si="20"/>
        <v>41970</v>
      </c>
      <c r="P225" s="11" t="s">
        <v>20</v>
      </c>
    </row>
    <row r="226" spans="1:16" x14ac:dyDescent="0.25">
      <c r="A226" s="23" t="str">
        <f t="shared" si="22"/>
        <v>2025 JAN-JUN D70</v>
      </c>
      <c r="B226" s="10">
        <f t="shared" si="22"/>
        <v>46104</v>
      </c>
      <c r="C226" s="10">
        <f t="shared" si="22"/>
        <v>46113</v>
      </c>
      <c r="D226" s="11">
        <v>3273</v>
      </c>
      <c r="E226" s="11">
        <v>336</v>
      </c>
      <c r="F226" s="11">
        <v>4</v>
      </c>
      <c r="G226" s="18">
        <v>6</v>
      </c>
      <c r="H226" s="18">
        <v>81588</v>
      </c>
      <c r="I226" s="18" t="s">
        <v>17</v>
      </c>
      <c r="J226" s="18">
        <v>51100235</v>
      </c>
      <c r="K226" s="18" t="s">
        <v>2349</v>
      </c>
      <c r="L226" s="18" t="s">
        <v>2351</v>
      </c>
      <c r="M226" s="21">
        <v>139900</v>
      </c>
      <c r="N226" s="24">
        <f t="shared" si="21"/>
        <v>0.7</v>
      </c>
      <c r="O226" s="25">
        <f t="shared" si="20"/>
        <v>41970</v>
      </c>
      <c r="P226" s="11" t="s">
        <v>20</v>
      </c>
    </row>
    <row r="227" spans="1:16" x14ac:dyDescent="0.25">
      <c r="A227" s="23" t="str">
        <f t="shared" ref="A227:C242" si="23">A226</f>
        <v>2025 JAN-JUN D70</v>
      </c>
      <c r="B227" s="10">
        <f t="shared" si="23"/>
        <v>46104</v>
      </c>
      <c r="C227" s="10">
        <f t="shared" si="23"/>
        <v>46113</v>
      </c>
      <c r="D227" s="11">
        <v>3273</v>
      </c>
      <c r="E227" s="11">
        <v>336</v>
      </c>
      <c r="F227" s="11">
        <v>4</v>
      </c>
      <c r="G227" s="18">
        <v>6</v>
      </c>
      <c r="H227" s="18">
        <v>81588</v>
      </c>
      <c r="I227" s="18" t="s">
        <v>17</v>
      </c>
      <c r="J227" s="18">
        <v>51100244</v>
      </c>
      <c r="K227" s="18" t="s">
        <v>2349</v>
      </c>
      <c r="L227" s="18" t="s">
        <v>2352</v>
      </c>
      <c r="M227" s="21">
        <v>139900</v>
      </c>
      <c r="N227" s="24">
        <f t="shared" si="21"/>
        <v>0.7</v>
      </c>
      <c r="O227" s="25">
        <f t="shared" si="20"/>
        <v>41970</v>
      </c>
      <c r="P227" s="11" t="s">
        <v>20</v>
      </c>
    </row>
    <row r="228" spans="1:16" x14ac:dyDescent="0.25">
      <c r="A228" s="23" t="str">
        <f t="shared" si="23"/>
        <v>2025 JAN-JUN D70</v>
      </c>
      <c r="B228" s="10">
        <f t="shared" si="23"/>
        <v>46104</v>
      </c>
      <c r="C228" s="10">
        <f t="shared" si="23"/>
        <v>46113</v>
      </c>
      <c r="D228" s="11">
        <v>3273</v>
      </c>
      <c r="E228" s="11">
        <v>336</v>
      </c>
      <c r="F228" s="11">
        <v>4</v>
      </c>
      <c r="G228" s="18">
        <v>6</v>
      </c>
      <c r="H228" s="18">
        <v>81588</v>
      </c>
      <c r="I228" s="18" t="s">
        <v>17</v>
      </c>
      <c r="J228" s="18">
        <v>51100253</v>
      </c>
      <c r="K228" s="18" t="s">
        <v>2349</v>
      </c>
      <c r="L228" s="18" t="s">
        <v>2353</v>
      </c>
      <c r="M228" s="21">
        <v>139900</v>
      </c>
      <c r="N228" s="24">
        <f t="shared" si="21"/>
        <v>0.7</v>
      </c>
      <c r="O228" s="25">
        <f t="shared" si="20"/>
        <v>41970</v>
      </c>
      <c r="P228" s="11" t="s">
        <v>20</v>
      </c>
    </row>
    <row r="229" spans="1:16" x14ac:dyDescent="0.25">
      <c r="A229" s="23" t="str">
        <f t="shared" si="23"/>
        <v>2025 JAN-JUN D70</v>
      </c>
      <c r="B229" s="10">
        <f t="shared" si="23"/>
        <v>46104</v>
      </c>
      <c r="C229" s="10">
        <f t="shared" si="23"/>
        <v>46113</v>
      </c>
      <c r="D229" s="11">
        <v>3273</v>
      </c>
      <c r="E229" s="11">
        <v>336</v>
      </c>
      <c r="F229" s="11">
        <v>4</v>
      </c>
      <c r="G229" s="18">
        <v>6</v>
      </c>
      <c r="H229" s="18">
        <v>81588</v>
      </c>
      <c r="I229" s="18" t="s">
        <v>17</v>
      </c>
      <c r="J229" s="18">
        <v>51100262</v>
      </c>
      <c r="K229" s="18" t="s">
        <v>2349</v>
      </c>
      <c r="L229" s="18" t="s">
        <v>2354</v>
      </c>
      <c r="M229" s="21">
        <v>139900</v>
      </c>
      <c r="N229" s="24">
        <f t="shared" si="21"/>
        <v>0.7</v>
      </c>
      <c r="O229" s="25">
        <f t="shared" si="20"/>
        <v>41970</v>
      </c>
      <c r="P229" s="11" t="s">
        <v>20</v>
      </c>
    </row>
    <row r="230" spans="1:16" x14ac:dyDescent="0.25">
      <c r="A230" s="23" t="str">
        <f t="shared" si="23"/>
        <v>2025 JAN-JUN D70</v>
      </c>
      <c r="B230" s="10">
        <f t="shared" si="23"/>
        <v>46104</v>
      </c>
      <c r="C230" s="10">
        <f t="shared" si="23"/>
        <v>46113</v>
      </c>
      <c r="D230" s="11">
        <v>3273</v>
      </c>
      <c r="E230" s="11">
        <v>336</v>
      </c>
      <c r="F230" s="11">
        <v>4</v>
      </c>
      <c r="G230" s="18">
        <v>6</v>
      </c>
      <c r="H230" s="18">
        <v>81588</v>
      </c>
      <c r="I230" s="18" t="s">
        <v>17</v>
      </c>
      <c r="J230" s="18">
        <v>51100271</v>
      </c>
      <c r="K230" s="18" t="s">
        <v>2349</v>
      </c>
      <c r="L230" s="18" t="s">
        <v>2355</v>
      </c>
      <c r="M230" s="21">
        <v>139900</v>
      </c>
      <c r="N230" s="24">
        <f t="shared" si="21"/>
        <v>0.7</v>
      </c>
      <c r="O230" s="25">
        <f t="shared" si="20"/>
        <v>41970</v>
      </c>
      <c r="P230" s="11" t="s">
        <v>20</v>
      </c>
    </row>
    <row r="231" spans="1:16" x14ac:dyDescent="0.25">
      <c r="A231" s="23" t="str">
        <f t="shared" si="23"/>
        <v>2025 JAN-JUN D70</v>
      </c>
      <c r="B231" s="10">
        <f t="shared" si="23"/>
        <v>46104</v>
      </c>
      <c r="C231" s="10">
        <f t="shared" si="23"/>
        <v>46113</v>
      </c>
      <c r="D231" s="11">
        <v>3273</v>
      </c>
      <c r="E231" s="11">
        <v>336</v>
      </c>
      <c r="F231" s="11">
        <v>4</v>
      </c>
      <c r="G231" s="18">
        <v>6</v>
      </c>
      <c r="H231" s="18">
        <v>81588</v>
      </c>
      <c r="I231" s="18" t="s">
        <v>17</v>
      </c>
      <c r="J231" s="18">
        <v>51100280</v>
      </c>
      <c r="K231" s="18" t="s">
        <v>2349</v>
      </c>
      <c r="L231" s="18" t="s">
        <v>2356</v>
      </c>
      <c r="M231" s="21">
        <v>139900</v>
      </c>
      <c r="N231" s="24">
        <f t="shared" si="21"/>
        <v>0.7</v>
      </c>
      <c r="O231" s="25">
        <f t="shared" si="20"/>
        <v>41970</v>
      </c>
      <c r="P231" s="11" t="s">
        <v>20</v>
      </c>
    </row>
    <row r="232" spans="1:16" x14ac:dyDescent="0.25">
      <c r="A232" s="23" t="str">
        <f t="shared" si="23"/>
        <v>2025 JAN-JUN D70</v>
      </c>
      <c r="B232" s="10">
        <f t="shared" si="23"/>
        <v>46104</v>
      </c>
      <c r="C232" s="10">
        <f t="shared" si="23"/>
        <v>46113</v>
      </c>
      <c r="D232" s="11">
        <v>3273</v>
      </c>
      <c r="E232" s="11">
        <v>336</v>
      </c>
      <c r="F232" s="11">
        <v>4</v>
      </c>
      <c r="G232" s="18">
        <v>6</v>
      </c>
      <c r="H232" s="18">
        <v>81588</v>
      </c>
      <c r="I232" s="18" t="s">
        <v>17</v>
      </c>
      <c r="J232" s="18">
        <v>51100299</v>
      </c>
      <c r="K232" s="18" t="s">
        <v>2349</v>
      </c>
      <c r="L232" s="18" t="s">
        <v>2357</v>
      </c>
      <c r="M232" s="21">
        <v>139900</v>
      </c>
      <c r="N232" s="24">
        <f t="shared" si="21"/>
        <v>0.7</v>
      </c>
      <c r="O232" s="25">
        <f t="shared" si="20"/>
        <v>41970</v>
      </c>
      <c r="P232" s="11" t="s">
        <v>20</v>
      </c>
    </row>
    <row r="233" spans="1:16" x14ac:dyDescent="0.25">
      <c r="A233" s="23" t="str">
        <f t="shared" si="23"/>
        <v>2025 JAN-JUN D70</v>
      </c>
      <c r="B233" s="10">
        <f t="shared" si="23"/>
        <v>46104</v>
      </c>
      <c r="C233" s="10">
        <f t="shared" si="23"/>
        <v>46113</v>
      </c>
      <c r="D233" s="11">
        <v>3273</v>
      </c>
      <c r="E233" s="11">
        <v>336</v>
      </c>
      <c r="F233" s="11">
        <v>4</v>
      </c>
      <c r="G233" s="18">
        <v>6</v>
      </c>
      <c r="H233" s="18">
        <v>81588</v>
      </c>
      <c r="I233" s="18" t="s">
        <v>17</v>
      </c>
      <c r="J233" s="18">
        <v>51100306</v>
      </c>
      <c r="K233" s="18" t="s">
        <v>2358</v>
      </c>
      <c r="L233" s="18" t="s">
        <v>2359</v>
      </c>
      <c r="M233" s="21">
        <v>139900</v>
      </c>
      <c r="N233" s="24">
        <f t="shared" si="21"/>
        <v>0.7</v>
      </c>
      <c r="O233" s="25">
        <f t="shared" si="20"/>
        <v>41970</v>
      </c>
      <c r="P233" s="11" t="s">
        <v>20</v>
      </c>
    </row>
    <row r="234" spans="1:16" x14ac:dyDescent="0.25">
      <c r="A234" s="23" t="str">
        <f t="shared" si="23"/>
        <v>2025 JAN-JUN D70</v>
      </c>
      <c r="B234" s="10">
        <f t="shared" si="23"/>
        <v>46104</v>
      </c>
      <c r="C234" s="10">
        <f t="shared" si="23"/>
        <v>46113</v>
      </c>
      <c r="D234" s="11">
        <v>3273</v>
      </c>
      <c r="E234" s="11">
        <v>336</v>
      </c>
      <c r="F234" s="11">
        <v>4</v>
      </c>
      <c r="G234" s="18">
        <v>6</v>
      </c>
      <c r="H234" s="18">
        <v>81588</v>
      </c>
      <c r="I234" s="18" t="s">
        <v>17</v>
      </c>
      <c r="J234" s="18">
        <v>51100315</v>
      </c>
      <c r="K234" s="18" t="s">
        <v>2358</v>
      </c>
      <c r="L234" s="18" t="s">
        <v>2360</v>
      </c>
      <c r="M234" s="21">
        <v>139900</v>
      </c>
      <c r="N234" s="24">
        <f t="shared" si="21"/>
        <v>0.7</v>
      </c>
      <c r="O234" s="25">
        <f t="shared" si="20"/>
        <v>41970</v>
      </c>
      <c r="P234" s="11" t="s">
        <v>20</v>
      </c>
    </row>
    <row r="235" spans="1:16" x14ac:dyDescent="0.25">
      <c r="A235" s="23" t="str">
        <f t="shared" si="23"/>
        <v>2025 JAN-JUN D70</v>
      </c>
      <c r="B235" s="10">
        <f t="shared" si="23"/>
        <v>46104</v>
      </c>
      <c r="C235" s="10">
        <f t="shared" si="23"/>
        <v>46113</v>
      </c>
      <c r="D235" s="11">
        <v>3273</v>
      </c>
      <c r="E235" s="11">
        <v>336</v>
      </c>
      <c r="F235" s="11">
        <v>4</v>
      </c>
      <c r="G235" s="18">
        <v>6</v>
      </c>
      <c r="H235" s="18">
        <v>81588</v>
      </c>
      <c r="I235" s="18" t="s">
        <v>17</v>
      </c>
      <c r="J235" s="18">
        <v>51100324</v>
      </c>
      <c r="K235" s="18" t="s">
        <v>2358</v>
      </c>
      <c r="L235" s="18" t="s">
        <v>2361</v>
      </c>
      <c r="M235" s="21">
        <v>139900</v>
      </c>
      <c r="N235" s="24">
        <f t="shared" si="21"/>
        <v>0.7</v>
      </c>
      <c r="O235" s="25">
        <f t="shared" si="20"/>
        <v>41970</v>
      </c>
      <c r="P235" s="11" t="s">
        <v>20</v>
      </c>
    </row>
    <row r="236" spans="1:16" x14ac:dyDescent="0.25">
      <c r="A236" s="23" t="str">
        <f t="shared" si="23"/>
        <v>2025 JAN-JUN D70</v>
      </c>
      <c r="B236" s="10">
        <f t="shared" si="23"/>
        <v>46104</v>
      </c>
      <c r="C236" s="10">
        <f t="shared" si="23"/>
        <v>46113</v>
      </c>
      <c r="D236" s="11">
        <v>3273</v>
      </c>
      <c r="E236" s="11">
        <v>336</v>
      </c>
      <c r="F236" s="11">
        <v>4</v>
      </c>
      <c r="G236" s="18">
        <v>6</v>
      </c>
      <c r="H236" s="18">
        <v>81588</v>
      </c>
      <c r="I236" s="18" t="s">
        <v>17</v>
      </c>
      <c r="J236" s="18">
        <v>51100333</v>
      </c>
      <c r="K236" s="18" t="s">
        <v>2358</v>
      </c>
      <c r="L236" s="18" t="s">
        <v>2362</v>
      </c>
      <c r="M236" s="21">
        <v>139900</v>
      </c>
      <c r="N236" s="24">
        <f t="shared" si="21"/>
        <v>0.7</v>
      </c>
      <c r="O236" s="25">
        <f t="shared" si="20"/>
        <v>41970</v>
      </c>
      <c r="P236" s="11" t="s">
        <v>20</v>
      </c>
    </row>
    <row r="237" spans="1:16" x14ac:dyDescent="0.25">
      <c r="A237" s="23" t="str">
        <f t="shared" si="23"/>
        <v>2025 JAN-JUN D70</v>
      </c>
      <c r="B237" s="10">
        <f t="shared" si="23"/>
        <v>46104</v>
      </c>
      <c r="C237" s="10">
        <f t="shared" si="23"/>
        <v>46113</v>
      </c>
      <c r="D237" s="11">
        <v>3273</v>
      </c>
      <c r="E237" s="11">
        <v>336</v>
      </c>
      <c r="F237" s="11">
        <v>4</v>
      </c>
      <c r="G237" s="18">
        <v>6</v>
      </c>
      <c r="H237" s="18">
        <v>81588</v>
      </c>
      <c r="I237" s="18" t="s">
        <v>17</v>
      </c>
      <c r="J237" s="18">
        <v>51100342</v>
      </c>
      <c r="K237" s="18" t="s">
        <v>2358</v>
      </c>
      <c r="L237" s="18" t="s">
        <v>2363</v>
      </c>
      <c r="M237" s="21">
        <v>139900</v>
      </c>
      <c r="N237" s="24">
        <f t="shared" si="21"/>
        <v>0.7</v>
      </c>
      <c r="O237" s="25">
        <f t="shared" si="20"/>
        <v>41970</v>
      </c>
      <c r="P237" s="11" t="s">
        <v>20</v>
      </c>
    </row>
    <row r="238" spans="1:16" x14ac:dyDescent="0.25">
      <c r="A238" s="23" t="str">
        <f t="shared" si="23"/>
        <v>2025 JAN-JUN D70</v>
      </c>
      <c r="B238" s="10">
        <f t="shared" si="23"/>
        <v>46104</v>
      </c>
      <c r="C238" s="10">
        <f t="shared" si="23"/>
        <v>46113</v>
      </c>
      <c r="D238" s="11">
        <v>3273</v>
      </c>
      <c r="E238" s="11">
        <v>336</v>
      </c>
      <c r="F238" s="11">
        <v>4</v>
      </c>
      <c r="G238" s="18">
        <v>6</v>
      </c>
      <c r="H238" s="18">
        <v>81588</v>
      </c>
      <c r="I238" s="18" t="s">
        <v>17</v>
      </c>
      <c r="J238" s="18">
        <v>51100351</v>
      </c>
      <c r="K238" s="18" t="s">
        <v>2358</v>
      </c>
      <c r="L238" s="18" t="s">
        <v>2364</v>
      </c>
      <c r="M238" s="21">
        <v>139900</v>
      </c>
      <c r="N238" s="24">
        <f t="shared" si="21"/>
        <v>0.7</v>
      </c>
      <c r="O238" s="25">
        <f t="shared" si="20"/>
        <v>41970</v>
      </c>
      <c r="P238" s="11" t="s">
        <v>20</v>
      </c>
    </row>
    <row r="239" spans="1:16" x14ac:dyDescent="0.25">
      <c r="A239" s="23" t="str">
        <f t="shared" si="23"/>
        <v>2025 JAN-JUN D70</v>
      </c>
      <c r="B239" s="10">
        <f t="shared" si="23"/>
        <v>46104</v>
      </c>
      <c r="C239" s="10">
        <f t="shared" si="23"/>
        <v>46113</v>
      </c>
      <c r="D239" s="11">
        <v>3273</v>
      </c>
      <c r="E239" s="11">
        <v>336</v>
      </c>
      <c r="F239" s="11">
        <v>4</v>
      </c>
      <c r="G239" s="18">
        <v>6</v>
      </c>
      <c r="H239" s="18">
        <v>81588</v>
      </c>
      <c r="I239" s="18" t="s">
        <v>17</v>
      </c>
      <c r="J239" s="18">
        <v>51100360</v>
      </c>
      <c r="K239" s="18" t="s">
        <v>2358</v>
      </c>
      <c r="L239" s="18" t="s">
        <v>2365</v>
      </c>
      <c r="M239" s="21">
        <v>139900</v>
      </c>
      <c r="N239" s="24">
        <f t="shared" si="21"/>
        <v>0.7</v>
      </c>
      <c r="O239" s="25">
        <f t="shared" si="20"/>
        <v>41970</v>
      </c>
      <c r="P239" s="11" t="s">
        <v>20</v>
      </c>
    </row>
    <row r="240" spans="1:16" x14ac:dyDescent="0.25">
      <c r="A240" s="23" t="str">
        <f t="shared" si="23"/>
        <v>2025 JAN-JUN D70</v>
      </c>
      <c r="B240" s="10">
        <f t="shared" si="23"/>
        <v>46104</v>
      </c>
      <c r="C240" s="10">
        <f t="shared" si="23"/>
        <v>46113</v>
      </c>
      <c r="D240" s="11">
        <v>3273</v>
      </c>
      <c r="E240" s="11">
        <v>336</v>
      </c>
      <c r="F240" s="11">
        <v>4</v>
      </c>
      <c r="G240" s="18">
        <v>6</v>
      </c>
      <c r="H240" s="18">
        <v>81588</v>
      </c>
      <c r="I240" s="18" t="s">
        <v>17</v>
      </c>
      <c r="J240" s="18">
        <v>51100379</v>
      </c>
      <c r="K240" s="18" t="s">
        <v>2358</v>
      </c>
      <c r="L240" s="18" t="s">
        <v>2366</v>
      </c>
      <c r="M240" s="21">
        <v>139900</v>
      </c>
      <c r="N240" s="24">
        <f t="shared" si="21"/>
        <v>0.7</v>
      </c>
      <c r="O240" s="25">
        <f t="shared" si="20"/>
        <v>41970</v>
      </c>
      <c r="P240" s="11" t="s">
        <v>20</v>
      </c>
    </row>
    <row r="241" spans="1:16" x14ac:dyDescent="0.25">
      <c r="A241" s="23" t="str">
        <f t="shared" si="23"/>
        <v>2025 JAN-JUN D70</v>
      </c>
      <c r="B241" s="10">
        <f t="shared" si="23"/>
        <v>46104</v>
      </c>
      <c r="C241" s="10">
        <f t="shared" si="23"/>
        <v>46113</v>
      </c>
      <c r="D241" s="11">
        <v>3273</v>
      </c>
      <c r="E241" s="11">
        <v>336</v>
      </c>
      <c r="F241" s="11">
        <v>4</v>
      </c>
      <c r="G241" s="18">
        <v>6</v>
      </c>
      <c r="H241" s="18">
        <v>81588</v>
      </c>
      <c r="I241" s="18" t="s">
        <v>17</v>
      </c>
      <c r="J241" s="18">
        <v>51100468</v>
      </c>
      <c r="K241" s="18" t="s">
        <v>2367</v>
      </c>
      <c r="L241" s="18" t="s">
        <v>2368</v>
      </c>
      <c r="M241" s="21">
        <v>149900</v>
      </c>
      <c r="N241" s="24">
        <f t="shared" si="21"/>
        <v>0.7</v>
      </c>
      <c r="O241" s="25">
        <f t="shared" si="20"/>
        <v>44970</v>
      </c>
      <c r="P241" s="11" t="s">
        <v>20</v>
      </c>
    </row>
    <row r="242" spans="1:16" x14ac:dyDescent="0.25">
      <c r="A242" s="23" t="str">
        <f t="shared" si="23"/>
        <v>2025 JAN-JUN D70</v>
      </c>
      <c r="B242" s="10">
        <f t="shared" si="23"/>
        <v>46104</v>
      </c>
      <c r="C242" s="10">
        <f t="shared" si="23"/>
        <v>46113</v>
      </c>
      <c r="D242" s="11">
        <v>3273</v>
      </c>
      <c r="E242" s="11">
        <v>336</v>
      </c>
      <c r="F242" s="11">
        <v>4</v>
      </c>
      <c r="G242" s="18">
        <v>6</v>
      </c>
      <c r="H242" s="18">
        <v>81588</v>
      </c>
      <c r="I242" s="18" t="s">
        <v>17</v>
      </c>
      <c r="J242" s="18">
        <v>51100477</v>
      </c>
      <c r="K242" s="18" t="s">
        <v>2367</v>
      </c>
      <c r="L242" s="18" t="s">
        <v>2369</v>
      </c>
      <c r="M242" s="21">
        <v>149900</v>
      </c>
      <c r="N242" s="24">
        <f t="shared" si="21"/>
        <v>0.7</v>
      </c>
      <c r="O242" s="25">
        <f t="shared" si="20"/>
        <v>44970</v>
      </c>
      <c r="P242" s="11" t="s">
        <v>20</v>
      </c>
    </row>
    <row r="243" spans="1:16" x14ac:dyDescent="0.25">
      <c r="A243" s="23" t="str">
        <f t="shared" ref="A243:C258" si="24">A242</f>
        <v>2025 JAN-JUN D70</v>
      </c>
      <c r="B243" s="10">
        <f t="shared" si="24"/>
        <v>46104</v>
      </c>
      <c r="C243" s="10">
        <f t="shared" si="24"/>
        <v>46113</v>
      </c>
      <c r="D243" s="11">
        <v>3273</v>
      </c>
      <c r="E243" s="11">
        <v>336</v>
      </c>
      <c r="F243" s="11">
        <v>4</v>
      </c>
      <c r="G243" s="18">
        <v>6</v>
      </c>
      <c r="H243" s="18">
        <v>81588</v>
      </c>
      <c r="I243" s="18" t="s">
        <v>17</v>
      </c>
      <c r="J243" s="18">
        <v>51100486</v>
      </c>
      <c r="K243" s="18" t="s">
        <v>2367</v>
      </c>
      <c r="L243" s="18" t="s">
        <v>2370</v>
      </c>
      <c r="M243" s="21">
        <v>149900</v>
      </c>
      <c r="N243" s="24">
        <f t="shared" si="21"/>
        <v>0.7</v>
      </c>
      <c r="O243" s="25">
        <f t="shared" si="20"/>
        <v>44970</v>
      </c>
      <c r="P243" s="11" t="s">
        <v>20</v>
      </c>
    </row>
    <row r="244" spans="1:16" x14ac:dyDescent="0.25">
      <c r="A244" s="23" t="str">
        <f t="shared" si="24"/>
        <v>2025 JAN-JUN D70</v>
      </c>
      <c r="B244" s="10">
        <f t="shared" si="24"/>
        <v>46104</v>
      </c>
      <c r="C244" s="10">
        <f t="shared" si="24"/>
        <v>46113</v>
      </c>
      <c r="D244" s="11">
        <v>3273</v>
      </c>
      <c r="E244" s="11">
        <v>336</v>
      </c>
      <c r="F244" s="11">
        <v>4</v>
      </c>
      <c r="G244" s="18">
        <v>6</v>
      </c>
      <c r="H244" s="18">
        <v>81588</v>
      </c>
      <c r="I244" s="18" t="s">
        <v>17</v>
      </c>
      <c r="J244" s="18">
        <v>51100495</v>
      </c>
      <c r="K244" s="18" t="s">
        <v>2367</v>
      </c>
      <c r="L244" s="18" t="s">
        <v>2371</v>
      </c>
      <c r="M244" s="21">
        <v>149900</v>
      </c>
      <c r="N244" s="24">
        <f t="shared" si="21"/>
        <v>0.7</v>
      </c>
      <c r="O244" s="25">
        <f t="shared" si="20"/>
        <v>44970</v>
      </c>
      <c r="P244" s="11" t="s">
        <v>20</v>
      </c>
    </row>
    <row r="245" spans="1:16" x14ac:dyDescent="0.25">
      <c r="A245" s="23" t="str">
        <f t="shared" si="24"/>
        <v>2025 JAN-JUN D70</v>
      </c>
      <c r="B245" s="10">
        <f t="shared" si="24"/>
        <v>46104</v>
      </c>
      <c r="C245" s="10">
        <f t="shared" si="24"/>
        <v>46113</v>
      </c>
      <c r="D245" s="11">
        <v>3273</v>
      </c>
      <c r="E245" s="11">
        <v>336</v>
      </c>
      <c r="F245" s="11">
        <v>4</v>
      </c>
      <c r="G245" s="18">
        <v>6</v>
      </c>
      <c r="H245" s="18">
        <v>81588</v>
      </c>
      <c r="I245" s="18" t="s">
        <v>17</v>
      </c>
      <c r="J245" s="18">
        <v>51100502</v>
      </c>
      <c r="K245" s="18" t="s">
        <v>2367</v>
      </c>
      <c r="L245" s="18" t="s">
        <v>2372</v>
      </c>
      <c r="M245" s="21">
        <v>149900</v>
      </c>
      <c r="N245" s="24">
        <f t="shared" si="21"/>
        <v>0.7</v>
      </c>
      <c r="O245" s="25">
        <f t="shared" si="20"/>
        <v>44970</v>
      </c>
      <c r="P245" s="11" t="s">
        <v>20</v>
      </c>
    </row>
    <row r="246" spans="1:16" x14ac:dyDescent="0.25">
      <c r="A246" s="23" t="str">
        <f t="shared" si="24"/>
        <v>2025 JAN-JUN D70</v>
      </c>
      <c r="B246" s="10">
        <f t="shared" si="24"/>
        <v>46104</v>
      </c>
      <c r="C246" s="10">
        <f t="shared" si="24"/>
        <v>46113</v>
      </c>
      <c r="D246" s="11">
        <v>3273</v>
      </c>
      <c r="E246" s="11">
        <v>336</v>
      </c>
      <c r="F246" s="11">
        <v>4</v>
      </c>
      <c r="G246" s="18">
        <v>6</v>
      </c>
      <c r="H246" s="18">
        <v>81588</v>
      </c>
      <c r="I246" s="18" t="s">
        <v>17</v>
      </c>
      <c r="J246" s="18">
        <v>51100511</v>
      </c>
      <c r="K246" s="18" t="s">
        <v>2367</v>
      </c>
      <c r="L246" s="18" t="s">
        <v>2373</v>
      </c>
      <c r="M246" s="21">
        <v>149900</v>
      </c>
      <c r="N246" s="24">
        <f t="shared" si="21"/>
        <v>0.7</v>
      </c>
      <c r="O246" s="25">
        <f t="shared" si="20"/>
        <v>44970</v>
      </c>
      <c r="P246" s="11" t="s">
        <v>20</v>
      </c>
    </row>
    <row r="247" spans="1:16" x14ac:dyDescent="0.25">
      <c r="A247" s="23" t="str">
        <f t="shared" si="24"/>
        <v>2025 JAN-JUN D70</v>
      </c>
      <c r="B247" s="10">
        <f t="shared" si="24"/>
        <v>46104</v>
      </c>
      <c r="C247" s="10">
        <f t="shared" si="24"/>
        <v>46113</v>
      </c>
      <c r="D247" s="11">
        <v>3273</v>
      </c>
      <c r="E247" s="11">
        <v>336</v>
      </c>
      <c r="F247" s="11">
        <v>4</v>
      </c>
      <c r="G247" s="18">
        <v>6</v>
      </c>
      <c r="H247" s="18">
        <v>81588</v>
      </c>
      <c r="I247" s="18" t="s">
        <v>17</v>
      </c>
      <c r="J247" s="18">
        <v>51100520</v>
      </c>
      <c r="K247" s="18" t="s">
        <v>2367</v>
      </c>
      <c r="L247" s="18" t="s">
        <v>2374</v>
      </c>
      <c r="M247" s="21">
        <v>149900</v>
      </c>
      <c r="N247" s="24">
        <f t="shared" si="21"/>
        <v>0.7</v>
      </c>
      <c r="O247" s="25">
        <f t="shared" si="20"/>
        <v>44970</v>
      </c>
      <c r="P247" s="11" t="s">
        <v>20</v>
      </c>
    </row>
    <row r="248" spans="1:16" x14ac:dyDescent="0.25">
      <c r="A248" s="23" t="str">
        <f t="shared" si="24"/>
        <v>2025 JAN-JUN D70</v>
      </c>
      <c r="B248" s="10">
        <f t="shared" si="24"/>
        <v>46104</v>
      </c>
      <c r="C248" s="10">
        <f t="shared" si="24"/>
        <v>46113</v>
      </c>
      <c r="D248" s="11">
        <v>3273</v>
      </c>
      <c r="E248" s="11">
        <v>336</v>
      </c>
      <c r="F248" s="11">
        <v>4</v>
      </c>
      <c r="G248" s="18">
        <v>6</v>
      </c>
      <c r="H248" s="18">
        <v>81588</v>
      </c>
      <c r="I248" s="18" t="s">
        <v>17</v>
      </c>
      <c r="J248" s="18">
        <v>51100539</v>
      </c>
      <c r="K248" s="18" t="s">
        <v>2367</v>
      </c>
      <c r="L248" s="18" t="s">
        <v>2375</v>
      </c>
      <c r="M248" s="21">
        <v>149900</v>
      </c>
      <c r="N248" s="24">
        <f t="shared" si="21"/>
        <v>0.7</v>
      </c>
      <c r="O248" s="25">
        <f t="shared" si="20"/>
        <v>44970</v>
      </c>
      <c r="P248" s="11" t="s">
        <v>20</v>
      </c>
    </row>
    <row r="249" spans="1:16" x14ac:dyDescent="0.25">
      <c r="A249" s="23" t="str">
        <f t="shared" si="24"/>
        <v>2025 JAN-JUN D70</v>
      </c>
      <c r="B249" s="10">
        <f t="shared" si="24"/>
        <v>46104</v>
      </c>
      <c r="C249" s="10">
        <f t="shared" si="24"/>
        <v>46113</v>
      </c>
      <c r="D249" s="11">
        <v>3273</v>
      </c>
      <c r="E249" s="11">
        <v>336</v>
      </c>
      <c r="F249" s="11">
        <v>4</v>
      </c>
      <c r="G249" s="18">
        <v>6</v>
      </c>
      <c r="H249" s="18">
        <v>81588</v>
      </c>
      <c r="I249" s="18" t="s">
        <v>17</v>
      </c>
      <c r="J249" s="18">
        <v>51100548</v>
      </c>
      <c r="K249" s="18" t="s">
        <v>2376</v>
      </c>
      <c r="L249" s="18" t="s">
        <v>2377</v>
      </c>
      <c r="M249" s="21">
        <v>149900</v>
      </c>
      <c r="N249" s="24">
        <f t="shared" si="21"/>
        <v>0.7</v>
      </c>
      <c r="O249" s="25">
        <f t="shared" si="20"/>
        <v>44970</v>
      </c>
      <c r="P249" s="11" t="s">
        <v>20</v>
      </c>
    </row>
    <row r="250" spans="1:16" x14ac:dyDescent="0.25">
      <c r="A250" s="23" t="str">
        <f t="shared" si="24"/>
        <v>2025 JAN-JUN D70</v>
      </c>
      <c r="B250" s="10">
        <f t="shared" si="24"/>
        <v>46104</v>
      </c>
      <c r="C250" s="10">
        <f t="shared" si="24"/>
        <v>46113</v>
      </c>
      <c r="D250" s="11">
        <v>3273</v>
      </c>
      <c r="E250" s="11">
        <v>336</v>
      </c>
      <c r="F250" s="11">
        <v>4</v>
      </c>
      <c r="G250" s="18">
        <v>6</v>
      </c>
      <c r="H250" s="18">
        <v>81588</v>
      </c>
      <c r="I250" s="18" t="s">
        <v>17</v>
      </c>
      <c r="J250" s="18">
        <v>51100557</v>
      </c>
      <c r="K250" s="18" t="s">
        <v>2376</v>
      </c>
      <c r="L250" s="18" t="s">
        <v>2378</v>
      </c>
      <c r="M250" s="21">
        <v>149900</v>
      </c>
      <c r="N250" s="24">
        <f t="shared" si="21"/>
        <v>0.7</v>
      </c>
      <c r="O250" s="25">
        <f t="shared" si="20"/>
        <v>44970</v>
      </c>
      <c r="P250" s="11" t="s">
        <v>20</v>
      </c>
    </row>
    <row r="251" spans="1:16" x14ac:dyDescent="0.25">
      <c r="A251" s="23" t="str">
        <f t="shared" si="24"/>
        <v>2025 JAN-JUN D70</v>
      </c>
      <c r="B251" s="10">
        <f t="shared" si="24"/>
        <v>46104</v>
      </c>
      <c r="C251" s="10">
        <f t="shared" si="24"/>
        <v>46113</v>
      </c>
      <c r="D251" s="11">
        <v>3273</v>
      </c>
      <c r="E251" s="11">
        <v>336</v>
      </c>
      <c r="F251" s="11">
        <v>4</v>
      </c>
      <c r="G251" s="18">
        <v>6</v>
      </c>
      <c r="H251" s="18">
        <v>81588</v>
      </c>
      <c r="I251" s="18" t="s">
        <v>17</v>
      </c>
      <c r="J251" s="18">
        <v>51100566</v>
      </c>
      <c r="K251" s="18" t="s">
        <v>2376</v>
      </c>
      <c r="L251" s="18" t="s">
        <v>2379</v>
      </c>
      <c r="M251" s="21">
        <v>149900</v>
      </c>
      <c r="N251" s="24">
        <f t="shared" si="21"/>
        <v>0.7</v>
      </c>
      <c r="O251" s="25">
        <f t="shared" si="20"/>
        <v>44970</v>
      </c>
      <c r="P251" s="11" t="s">
        <v>20</v>
      </c>
    </row>
    <row r="252" spans="1:16" x14ac:dyDescent="0.25">
      <c r="A252" s="23" t="str">
        <f t="shared" si="24"/>
        <v>2025 JAN-JUN D70</v>
      </c>
      <c r="B252" s="10">
        <f t="shared" si="24"/>
        <v>46104</v>
      </c>
      <c r="C252" s="10">
        <f t="shared" si="24"/>
        <v>46113</v>
      </c>
      <c r="D252" s="11">
        <v>3273</v>
      </c>
      <c r="E252" s="11">
        <v>336</v>
      </c>
      <c r="F252" s="11">
        <v>4</v>
      </c>
      <c r="G252" s="18">
        <v>6</v>
      </c>
      <c r="H252" s="18">
        <v>81588</v>
      </c>
      <c r="I252" s="18" t="s">
        <v>17</v>
      </c>
      <c r="J252" s="18">
        <v>51100575</v>
      </c>
      <c r="K252" s="18" t="s">
        <v>2376</v>
      </c>
      <c r="L252" s="18" t="s">
        <v>2380</v>
      </c>
      <c r="M252" s="21">
        <v>149900</v>
      </c>
      <c r="N252" s="24">
        <f t="shared" si="21"/>
        <v>0.7</v>
      </c>
      <c r="O252" s="25">
        <f t="shared" si="20"/>
        <v>44970</v>
      </c>
      <c r="P252" s="11" t="s">
        <v>20</v>
      </c>
    </row>
    <row r="253" spans="1:16" x14ac:dyDescent="0.25">
      <c r="A253" s="23" t="str">
        <f t="shared" si="24"/>
        <v>2025 JAN-JUN D70</v>
      </c>
      <c r="B253" s="10">
        <f t="shared" si="24"/>
        <v>46104</v>
      </c>
      <c r="C253" s="10">
        <f t="shared" si="24"/>
        <v>46113</v>
      </c>
      <c r="D253" s="11">
        <v>3273</v>
      </c>
      <c r="E253" s="11">
        <v>336</v>
      </c>
      <c r="F253" s="11">
        <v>4</v>
      </c>
      <c r="G253" s="18">
        <v>6</v>
      </c>
      <c r="H253" s="18">
        <v>81588</v>
      </c>
      <c r="I253" s="18" t="s">
        <v>17</v>
      </c>
      <c r="J253" s="18">
        <v>51100584</v>
      </c>
      <c r="K253" s="18" t="s">
        <v>2376</v>
      </c>
      <c r="L253" s="18" t="s">
        <v>2381</v>
      </c>
      <c r="M253" s="21">
        <v>149900</v>
      </c>
      <c r="N253" s="24">
        <f t="shared" si="21"/>
        <v>0.7</v>
      </c>
      <c r="O253" s="25">
        <f t="shared" si="20"/>
        <v>44970</v>
      </c>
      <c r="P253" s="11" t="s">
        <v>20</v>
      </c>
    </row>
    <row r="254" spans="1:16" x14ac:dyDescent="0.25">
      <c r="A254" s="23" t="str">
        <f t="shared" si="24"/>
        <v>2025 JAN-JUN D70</v>
      </c>
      <c r="B254" s="10">
        <f t="shared" si="24"/>
        <v>46104</v>
      </c>
      <c r="C254" s="10">
        <f t="shared" si="24"/>
        <v>46113</v>
      </c>
      <c r="D254" s="11">
        <v>3273</v>
      </c>
      <c r="E254" s="11">
        <v>336</v>
      </c>
      <c r="F254" s="11">
        <v>4</v>
      </c>
      <c r="G254" s="18">
        <v>6</v>
      </c>
      <c r="H254" s="18">
        <v>81588</v>
      </c>
      <c r="I254" s="18" t="s">
        <v>17</v>
      </c>
      <c r="J254" s="18">
        <v>51100593</v>
      </c>
      <c r="K254" s="18" t="s">
        <v>2376</v>
      </c>
      <c r="L254" s="18" t="s">
        <v>2382</v>
      </c>
      <c r="M254" s="21">
        <v>149900</v>
      </c>
      <c r="N254" s="24">
        <f t="shared" si="21"/>
        <v>0.7</v>
      </c>
      <c r="O254" s="25">
        <f t="shared" si="20"/>
        <v>44970</v>
      </c>
      <c r="P254" s="11" t="s">
        <v>20</v>
      </c>
    </row>
    <row r="255" spans="1:16" x14ac:dyDescent="0.25">
      <c r="A255" s="23" t="str">
        <f t="shared" si="24"/>
        <v>2025 JAN-JUN D70</v>
      </c>
      <c r="B255" s="10">
        <f t="shared" si="24"/>
        <v>46104</v>
      </c>
      <c r="C255" s="10">
        <f t="shared" si="24"/>
        <v>46113</v>
      </c>
      <c r="D255" s="11">
        <v>3273</v>
      </c>
      <c r="E255" s="11">
        <v>336</v>
      </c>
      <c r="F255" s="11">
        <v>4</v>
      </c>
      <c r="G255" s="18">
        <v>6</v>
      </c>
      <c r="H255" s="18">
        <v>81588</v>
      </c>
      <c r="I255" s="18" t="s">
        <v>17</v>
      </c>
      <c r="J255" s="18">
        <v>51100600</v>
      </c>
      <c r="K255" s="18" t="s">
        <v>2376</v>
      </c>
      <c r="L255" s="18" t="s">
        <v>2383</v>
      </c>
      <c r="M255" s="21">
        <v>149900</v>
      </c>
      <c r="N255" s="24">
        <f t="shared" si="21"/>
        <v>0.7</v>
      </c>
      <c r="O255" s="25">
        <f t="shared" si="20"/>
        <v>44970</v>
      </c>
      <c r="P255" s="11" t="s">
        <v>20</v>
      </c>
    </row>
    <row r="256" spans="1:16" x14ac:dyDescent="0.25">
      <c r="A256" s="23" t="str">
        <f t="shared" si="24"/>
        <v>2025 JAN-JUN D70</v>
      </c>
      <c r="B256" s="10">
        <f t="shared" si="24"/>
        <v>46104</v>
      </c>
      <c r="C256" s="10">
        <f t="shared" si="24"/>
        <v>46113</v>
      </c>
      <c r="D256" s="11">
        <v>3273</v>
      </c>
      <c r="E256" s="11">
        <v>336</v>
      </c>
      <c r="F256" s="11">
        <v>4</v>
      </c>
      <c r="G256" s="18">
        <v>6</v>
      </c>
      <c r="H256" s="18">
        <v>81588</v>
      </c>
      <c r="I256" s="18" t="s">
        <v>17</v>
      </c>
      <c r="J256" s="18">
        <v>51100619</v>
      </c>
      <c r="K256" s="18" t="s">
        <v>2376</v>
      </c>
      <c r="L256" s="18" t="s">
        <v>2384</v>
      </c>
      <c r="M256" s="21">
        <v>149900</v>
      </c>
      <c r="N256" s="24">
        <f t="shared" si="21"/>
        <v>0.7</v>
      </c>
      <c r="O256" s="25">
        <f t="shared" si="20"/>
        <v>44970</v>
      </c>
      <c r="P256" s="11" t="s">
        <v>20</v>
      </c>
    </row>
    <row r="257" spans="1:16" x14ac:dyDescent="0.25">
      <c r="A257" s="23" t="str">
        <f t="shared" si="24"/>
        <v>2025 JAN-JUN D70</v>
      </c>
      <c r="B257" s="10">
        <f t="shared" si="24"/>
        <v>46104</v>
      </c>
      <c r="C257" s="10">
        <f t="shared" si="24"/>
        <v>46113</v>
      </c>
      <c r="D257" s="11">
        <v>3273</v>
      </c>
      <c r="E257" s="11">
        <v>336</v>
      </c>
      <c r="F257" s="11">
        <v>4</v>
      </c>
      <c r="G257" s="18">
        <v>6</v>
      </c>
      <c r="H257" s="18">
        <v>81588</v>
      </c>
      <c r="I257" s="18" t="s">
        <v>17</v>
      </c>
      <c r="J257" s="18">
        <v>51100628</v>
      </c>
      <c r="K257" s="18" t="s">
        <v>2385</v>
      </c>
      <c r="L257" s="18" t="s">
        <v>2386</v>
      </c>
      <c r="M257" s="21">
        <v>139900</v>
      </c>
      <c r="N257" s="24">
        <f t="shared" si="21"/>
        <v>0.7</v>
      </c>
      <c r="O257" s="25">
        <f t="shared" si="20"/>
        <v>41970</v>
      </c>
      <c r="P257" s="11" t="s">
        <v>20</v>
      </c>
    </row>
    <row r="258" spans="1:16" x14ac:dyDescent="0.25">
      <c r="A258" s="23" t="str">
        <f t="shared" si="24"/>
        <v>2025 JAN-JUN D70</v>
      </c>
      <c r="B258" s="10">
        <f t="shared" si="24"/>
        <v>46104</v>
      </c>
      <c r="C258" s="10">
        <f t="shared" si="24"/>
        <v>46113</v>
      </c>
      <c r="D258" s="11">
        <v>3273</v>
      </c>
      <c r="E258" s="11">
        <v>336</v>
      </c>
      <c r="F258" s="11">
        <v>4</v>
      </c>
      <c r="G258" s="18">
        <v>6</v>
      </c>
      <c r="H258" s="18">
        <v>81588</v>
      </c>
      <c r="I258" s="18" t="s">
        <v>17</v>
      </c>
      <c r="J258" s="18">
        <v>51100637</v>
      </c>
      <c r="K258" s="18" t="s">
        <v>2385</v>
      </c>
      <c r="L258" s="18" t="s">
        <v>2387</v>
      </c>
      <c r="M258" s="21">
        <v>139900</v>
      </c>
      <c r="N258" s="24">
        <f t="shared" si="21"/>
        <v>0.7</v>
      </c>
      <c r="O258" s="25">
        <f t="shared" si="20"/>
        <v>41970</v>
      </c>
      <c r="P258" s="11" t="s">
        <v>20</v>
      </c>
    </row>
    <row r="259" spans="1:16" x14ac:dyDescent="0.25">
      <c r="A259" s="23" t="str">
        <f t="shared" ref="A259:C274" si="25">A258</f>
        <v>2025 JAN-JUN D70</v>
      </c>
      <c r="B259" s="10">
        <f t="shared" si="25"/>
        <v>46104</v>
      </c>
      <c r="C259" s="10">
        <f t="shared" si="25"/>
        <v>46113</v>
      </c>
      <c r="D259" s="11">
        <v>3273</v>
      </c>
      <c r="E259" s="11">
        <v>336</v>
      </c>
      <c r="F259" s="11">
        <v>4</v>
      </c>
      <c r="G259" s="18">
        <v>6</v>
      </c>
      <c r="H259" s="18">
        <v>81588</v>
      </c>
      <c r="I259" s="18" t="s">
        <v>17</v>
      </c>
      <c r="J259" s="18">
        <v>51100646</v>
      </c>
      <c r="K259" s="18" t="s">
        <v>2385</v>
      </c>
      <c r="L259" s="18" t="s">
        <v>2388</v>
      </c>
      <c r="M259" s="21">
        <v>139900</v>
      </c>
      <c r="N259" s="24">
        <f t="shared" si="21"/>
        <v>0.7</v>
      </c>
      <c r="O259" s="25">
        <f t="shared" ref="O259:O322" si="26">M259-((70*M259)/100)</f>
        <v>41970</v>
      </c>
      <c r="P259" s="11" t="s">
        <v>20</v>
      </c>
    </row>
    <row r="260" spans="1:16" x14ac:dyDescent="0.25">
      <c r="A260" s="23" t="str">
        <f t="shared" si="25"/>
        <v>2025 JAN-JUN D70</v>
      </c>
      <c r="B260" s="10">
        <f t="shared" si="25"/>
        <v>46104</v>
      </c>
      <c r="C260" s="10">
        <f t="shared" si="25"/>
        <v>46113</v>
      </c>
      <c r="D260" s="11">
        <v>3273</v>
      </c>
      <c r="E260" s="11">
        <v>336</v>
      </c>
      <c r="F260" s="11">
        <v>4</v>
      </c>
      <c r="G260" s="18">
        <v>6</v>
      </c>
      <c r="H260" s="18">
        <v>81588</v>
      </c>
      <c r="I260" s="18" t="s">
        <v>17</v>
      </c>
      <c r="J260" s="18">
        <v>51100655</v>
      </c>
      <c r="K260" s="18" t="s">
        <v>2385</v>
      </c>
      <c r="L260" s="18" t="s">
        <v>2389</v>
      </c>
      <c r="M260" s="21">
        <v>139900</v>
      </c>
      <c r="N260" s="24">
        <f t="shared" ref="N260:N323" si="27">N259</f>
        <v>0.7</v>
      </c>
      <c r="O260" s="25">
        <f t="shared" si="26"/>
        <v>41970</v>
      </c>
      <c r="P260" s="11" t="s">
        <v>20</v>
      </c>
    </row>
    <row r="261" spans="1:16" x14ac:dyDescent="0.25">
      <c r="A261" s="23" t="str">
        <f t="shared" si="25"/>
        <v>2025 JAN-JUN D70</v>
      </c>
      <c r="B261" s="10">
        <f t="shared" si="25"/>
        <v>46104</v>
      </c>
      <c r="C261" s="10">
        <f t="shared" si="25"/>
        <v>46113</v>
      </c>
      <c r="D261" s="11">
        <v>3273</v>
      </c>
      <c r="E261" s="11">
        <v>336</v>
      </c>
      <c r="F261" s="11">
        <v>4</v>
      </c>
      <c r="G261" s="18">
        <v>6</v>
      </c>
      <c r="H261" s="18">
        <v>81588</v>
      </c>
      <c r="I261" s="18" t="s">
        <v>17</v>
      </c>
      <c r="J261" s="18">
        <v>51100664</v>
      </c>
      <c r="K261" s="18" t="s">
        <v>2385</v>
      </c>
      <c r="L261" s="18" t="s">
        <v>2390</v>
      </c>
      <c r="M261" s="21">
        <v>139900</v>
      </c>
      <c r="N261" s="24">
        <f t="shared" si="27"/>
        <v>0.7</v>
      </c>
      <c r="O261" s="25">
        <f t="shared" si="26"/>
        <v>41970</v>
      </c>
      <c r="P261" s="11" t="s">
        <v>20</v>
      </c>
    </row>
    <row r="262" spans="1:16" x14ac:dyDescent="0.25">
      <c r="A262" s="23" t="str">
        <f t="shared" si="25"/>
        <v>2025 JAN-JUN D70</v>
      </c>
      <c r="B262" s="10">
        <f t="shared" si="25"/>
        <v>46104</v>
      </c>
      <c r="C262" s="10">
        <f t="shared" si="25"/>
        <v>46113</v>
      </c>
      <c r="D262" s="11">
        <v>3273</v>
      </c>
      <c r="E262" s="11">
        <v>336</v>
      </c>
      <c r="F262" s="11">
        <v>4</v>
      </c>
      <c r="G262" s="18">
        <v>6</v>
      </c>
      <c r="H262" s="18">
        <v>81588</v>
      </c>
      <c r="I262" s="18" t="s">
        <v>17</v>
      </c>
      <c r="J262" s="18">
        <v>51100673</v>
      </c>
      <c r="K262" s="18" t="s">
        <v>2385</v>
      </c>
      <c r="L262" s="18" t="s">
        <v>2391</v>
      </c>
      <c r="M262" s="21">
        <v>139900</v>
      </c>
      <c r="N262" s="24">
        <f t="shared" si="27"/>
        <v>0.7</v>
      </c>
      <c r="O262" s="25">
        <f t="shared" si="26"/>
        <v>41970</v>
      </c>
      <c r="P262" s="11" t="s">
        <v>20</v>
      </c>
    </row>
    <row r="263" spans="1:16" x14ac:dyDescent="0.25">
      <c r="A263" s="23" t="str">
        <f t="shared" si="25"/>
        <v>2025 JAN-JUN D70</v>
      </c>
      <c r="B263" s="10">
        <f t="shared" si="25"/>
        <v>46104</v>
      </c>
      <c r="C263" s="10">
        <f t="shared" si="25"/>
        <v>46113</v>
      </c>
      <c r="D263" s="11">
        <v>3273</v>
      </c>
      <c r="E263" s="11">
        <v>336</v>
      </c>
      <c r="F263" s="11">
        <v>4</v>
      </c>
      <c r="G263" s="18">
        <v>6</v>
      </c>
      <c r="H263" s="18">
        <v>81588</v>
      </c>
      <c r="I263" s="18" t="s">
        <v>17</v>
      </c>
      <c r="J263" s="18">
        <v>51100682</v>
      </c>
      <c r="K263" s="18" t="s">
        <v>2385</v>
      </c>
      <c r="L263" s="18" t="s">
        <v>2392</v>
      </c>
      <c r="M263" s="21">
        <v>139900</v>
      </c>
      <c r="N263" s="24">
        <f t="shared" si="27"/>
        <v>0.7</v>
      </c>
      <c r="O263" s="25">
        <f t="shared" si="26"/>
        <v>41970</v>
      </c>
      <c r="P263" s="11" t="s">
        <v>20</v>
      </c>
    </row>
    <row r="264" spans="1:16" x14ac:dyDescent="0.25">
      <c r="A264" s="23" t="str">
        <f t="shared" si="25"/>
        <v>2025 JAN-JUN D70</v>
      </c>
      <c r="B264" s="10">
        <f t="shared" si="25"/>
        <v>46104</v>
      </c>
      <c r="C264" s="10">
        <f t="shared" si="25"/>
        <v>46113</v>
      </c>
      <c r="D264" s="11">
        <v>3273</v>
      </c>
      <c r="E264" s="11">
        <v>336</v>
      </c>
      <c r="F264" s="11">
        <v>4</v>
      </c>
      <c r="G264" s="18">
        <v>6</v>
      </c>
      <c r="H264" s="18">
        <v>81588</v>
      </c>
      <c r="I264" s="18" t="s">
        <v>17</v>
      </c>
      <c r="J264" s="18">
        <v>51100691</v>
      </c>
      <c r="K264" s="18" t="s">
        <v>2385</v>
      </c>
      <c r="L264" s="18" t="s">
        <v>2393</v>
      </c>
      <c r="M264" s="21">
        <v>139900</v>
      </c>
      <c r="N264" s="24">
        <f t="shared" si="27"/>
        <v>0.7</v>
      </c>
      <c r="O264" s="25">
        <f t="shared" si="26"/>
        <v>41970</v>
      </c>
      <c r="P264" s="11" t="s">
        <v>20</v>
      </c>
    </row>
    <row r="265" spans="1:16" x14ac:dyDescent="0.25">
      <c r="A265" s="23" t="str">
        <f t="shared" si="25"/>
        <v>2025 JAN-JUN D70</v>
      </c>
      <c r="B265" s="10">
        <f t="shared" si="25"/>
        <v>46104</v>
      </c>
      <c r="C265" s="10">
        <f t="shared" si="25"/>
        <v>46113</v>
      </c>
      <c r="D265" s="11">
        <v>3273</v>
      </c>
      <c r="E265" s="11">
        <v>336</v>
      </c>
      <c r="F265" s="11">
        <v>4</v>
      </c>
      <c r="G265" s="18">
        <v>6</v>
      </c>
      <c r="H265" s="18">
        <v>81588</v>
      </c>
      <c r="I265" s="18" t="s">
        <v>17</v>
      </c>
      <c r="J265" s="18">
        <v>51100708</v>
      </c>
      <c r="K265" s="18" t="s">
        <v>2394</v>
      </c>
      <c r="L265" s="18" t="s">
        <v>2395</v>
      </c>
      <c r="M265" s="21">
        <v>139900</v>
      </c>
      <c r="N265" s="24">
        <f t="shared" si="27"/>
        <v>0.7</v>
      </c>
      <c r="O265" s="25">
        <f t="shared" si="26"/>
        <v>41970</v>
      </c>
      <c r="P265" s="11" t="s">
        <v>20</v>
      </c>
    </row>
    <row r="266" spans="1:16" x14ac:dyDescent="0.25">
      <c r="A266" s="23" t="str">
        <f t="shared" si="25"/>
        <v>2025 JAN-JUN D70</v>
      </c>
      <c r="B266" s="10">
        <f t="shared" si="25"/>
        <v>46104</v>
      </c>
      <c r="C266" s="10">
        <f t="shared" si="25"/>
        <v>46113</v>
      </c>
      <c r="D266" s="11">
        <v>3273</v>
      </c>
      <c r="E266" s="11">
        <v>336</v>
      </c>
      <c r="F266" s="11">
        <v>4</v>
      </c>
      <c r="G266" s="18">
        <v>6</v>
      </c>
      <c r="H266" s="18">
        <v>81588</v>
      </c>
      <c r="I266" s="18" t="s">
        <v>17</v>
      </c>
      <c r="J266" s="18">
        <v>51100717</v>
      </c>
      <c r="K266" s="18" t="s">
        <v>2394</v>
      </c>
      <c r="L266" s="18" t="s">
        <v>2396</v>
      </c>
      <c r="M266" s="21">
        <v>139900</v>
      </c>
      <c r="N266" s="24">
        <f t="shared" si="27"/>
        <v>0.7</v>
      </c>
      <c r="O266" s="25">
        <f t="shared" si="26"/>
        <v>41970</v>
      </c>
      <c r="P266" s="11" t="s">
        <v>20</v>
      </c>
    </row>
    <row r="267" spans="1:16" x14ac:dyDescent="0.25">
      <c r="A267" s="23" t="str">
        <f t="shared" si="25"/>
        <v>2025 JAN-JUN D70</v>
      </c>
      <c r="B267" s="10">
        <f t="shared" si="25"/>
        <v>46104</v>
      </c>
      <c r="C267" s="10">
        <f t="shared" si="25"/>
        <v>46113</v>
      </c>
      <c r="D267" s="11">
        <v>3273</v>
      </c>
      <c r="E267" s="11">
        <v>336</v>
      </c>
      <c r="F267" s="11">
        <v>4</v>
      </c>
      <c r="G267" s="18">
        <v>6</v>
      </c>
      <c r="H267" s="18">
        <v>81588</v>
      </c>
      <c r="I267" s="18" t="s">
        <v>17</v>
      </c>
      <c r="J267" s="18">
        <v>51100726</v>
      </c>
      <c r="K267" s="18" t="s">
        <v>2394</v>
      </c>
      <c r="L267" s="18" t="s">
        <v>2397</v>
      </c>
      <c r="M267" s="21">
        <v>139900</v>
      </c>
      <c r="N267" s="24">
        <f t="shared" si="27"/>
        <v>0.7</v>
      </c>
      <c r="O267" s="25">
        <f t="shared" si="26"/>
        <v>41970</v>
      </c>
      <c r="P267" s="11" t="s">
        <v>20</v>
      </c>
    </row>
    <row r="268" spans="1:16" x14ac:dyDescent="0.25">
      <c r="A268" s="23" t="str">
        <f t="shared" si="25"/>
        <v>2025 JAN-JUN D70</v>
      </c>
      <c r="B268" s="10">
        <f t="shared" si="25"/>
        <v>46104</v>
      </c>
      <c r="C268" s="10">
        <f t="shared" si="25"/>
        <v>46113</v>
      </c>
      <c r="D268" s="11">
        <v>3273</v>
      </c>
      <c r="E268" s="11">
        <v>336</v>
      </c>
      <c r="F268" s="11">
        <v>4</v>
      </c>
      <c r="G268" s="18">
        <v>6</v>
      </c>
      <c r="H268" s="18">
        <v>81588</v>
      </c>
      <c r="I268" s="18" t="s">
        <v>17</v>
      </c>
      <c r="J268" s="18">
        <v>51100735</v>
      </c>
      <c r="K268" s="18" t="s">
        <v>2394</v>
      </c>
      <c r="L268" s="18" t="s">
        <v>2398</v>
      </c>
      <c r="M268" s="21">
        <v>139900</v>
      </c>
      <c r="N268" s="24">
        <f t="shared" si="27"/>
        <v>0.7</v>
      </c>
      <c r="O268" s="25">
        <f t="shared" si="26"/>
        <v>41970</v>
      </c>
      <c r="P268" s="11" t="s">
        <v>20</v>
      </c>
    </row>
    <row r="269" spans="1:16" x14ac:dyDescent="0.25">
      <c r="A269" s="23" t="str">
        <f t="shared" si="25"/>
        <v>2025 JAN-JUN D70</v>
      </c>
      <c r="B269" s="10">
        <f t="shared" si="25"/>
        <v>46104</v>
      </c>
      <c r="C269" s="10">
        <f t="shared" si="25"/>
        <v>46113</v>
      </c>
      <c r="D269" s="11">
        <v>3273</v>
      </c>
      <c r="E269" s="11">
        <v>336</v>
      </c>
      <c r="F269" s="11">
        <v>4</v>
      </c>
      <c r="G269" s="18">
        <v>6</v>
      </c>
      <c r="H269" s="18">
        <v>81588</v>
      </c>
      <c r="I269" s="18" t="s">
        <v>17</v>
      </c>
      <c r="J269" s="18">
        <v>51100744</v>
      </c>
      <c r="K269" s="18" t="s">
        <v>2394</v>
      </c>
      <c r="L269" s="18" t="s">
        <v>2399</v>
      </c>
      <c r="M269" s="21">
        <v>139900</v>
      </c>
      <c r="N269" s="24">
        <f t="shared" si="27"/>
        <v>0.7</v>
      </c>
      <c r="O269" s="25">
        <f t="shared" si="26"/>
        <v>41970</v>
      </c>
      <c r="P269" s="11" t="s">
        <v>20</v>
      </c>
    </row>
    <row r="270" spans="1:16" x14ac:dyDescent="0.25">
      <c r="A270" s="23" t="str">
        <f t="shared" si="25"/>
        <v>2025 JAN-JUN D70</v>
      </c>
      <c r="B270" s="10">
        <f t="shared" si="25"/>
        <v>46104</v>
      </c>
      <c r="C270" s="10">
        <f t="shared" si="25"/>
        <v>46113</v>
      </c>
      <c r="D270" s="11">
        <v>3273</v>
      </c>
      <c r="E270" s="11">
        <v>336</v>
      </c>
      <c r="F270" s="11">
        <v>4</v>
      </c>
      <c r="G270" s="18">
        <v>6</v>
      </c>
      <c r="H270" s="18">
        <v>81588</v>
      </c>
      <c r="I270" s="18" t="s">
        <v>17</v>
      </c>
      <c r="J270" s="18">
        <v>51100753</v>
      </c>
      <c r="K270" s="18" t="s">
        <v>2394</v>
      </c>
      <c r="L270" s="18" t="s">
        <v>2400</v>
      </c>
      <c r="M270" s="21">
        <v>139900</v>
      </c>
      <c r="N270" s="24">
        <f t="shared" si="27"/>
        <v>0.7</v>
      </c>
      <c r="O270" s="25">
        <f t="shared" si="26"/>
        <v>41970</v>
      </c>
      <c r="P270" s="11" t="s">
        <v>20</v>
      </c>
    </row>
    <row r="271" spans="1:16" x14ac:dyDescent="0.25">
      <c r="A271" s="23" t="str">
        <f t="shared" si="25"/>
        <v>2025 JAN-JUN D70</v>
      </c>
      <c r="B271" s="10">
        <f t="shared" si="25"/>
        <v>46104</v>
      </c>
      <c r="C271" s="10">
        <f t="shared" si="25"/>
        <v>46113</v>
      </c>
      <c r="D271" s="11">
        <v>3273</v>
      </c>
      <c r="E271" s="11">
        <v>336</v>
      </c>
      <c r="F271" s="11">
        <v>4</v>
      </c>
      <c r="G271" s="18">
        <v>6</v>
      </c>
      <c r="H271" s="18">
        <v>81588</v>
      </c>
      <c r="I271" s="18" t="s">
        <v>17</v>
      </c>
      <c r="J271" s="18">
        <v>51100762</v>
      </c>
      <c r="K271" s="18" t="s">
        <v>2401</v>
      </c>
      <c r="L271" s="18" t="s">
        <v>2402</v>
      </c>
      <c r="M271" s="21">
        <v>149900</v>
      </c>
      <c r="N271" s="24">
        <f t="shared" si="27"/>
        <v>0.7</v>
      </c>
      <c r="O271" s="25">
        <f t="shared" si="26"/>
        <v>44970</v>
      </c>
      <c r="P271" s="11" t="s">
        <v>20</v>
      </c>
    </row>
    <row r="272" spans="1:16" x14ac:dyDescent="0.25">
      <c r="A272" s="23" t="str">
        <f t="shared" si="25"/>
        <v>2025 JAN-JUN D70</v>
      </c>
      <c r="B272" s="10">
        <f t="shared" si="25"/>
        <v>46104</v>
      </c>
      <c r="C272" s="10">
        <f t="shared" si="25"/>
        <v>46113</v>
      </c>
      <c r="D272" s="11">
        <v>3273</v>
      </c>
      <c r="E272" s="11">
        <v>336</v>
      </c>
      <c r="F272" s="11">
        <v>4</v>
      </c>
      <c r="G272" s="18">
        <v>6</v>
      </c>
      <c r="H272" s="18">
        <v>81588</v>
      </c>
      <c r="I272" s="18" t="s">
        <v>17</v>
      </c>
      <c r="J272" s="18">
        <v>51100771</v>
      </c>
      <c r="K272" s="18" t="s">
        <v>2401</v>
      </c>
      <c r="L272" s="18" t="s">
        <v>2403</v>
      </c>
      <c r="M272" s="21">
        <v>149900</v>
      </c>
      <c r="N272" s="24">
        <f t="shared" si="27"/>
        <v>0.7</v>
      </c>
      <c r="O272" s="25">
        <f t="shared" si="26"/>
        <v>44970</v>
      </c>
      <c r="P272" s="11" t="s">
        <v>20</v>
      </c>
    </row>
    <row r="273" spans="1:16" x14ac:dyDescent="0.25">
      <c r="A273" s="23" t="str">
        <f t="shared" si="25"/>
        <v>2025 JAN-JUN D70</v>
      </c>
      <c r="B273" s="10">
        <f t="shared" si="25"/>
        <v>46104</v>
      </c>
      <c r="C273" s="10">
        <f t="shared" si="25"/>
        <v>46113</v>
      </c>
      <c r="D273" s="11">
        <v>3273</v>
      </c>
      <c r="E273" s="11">
        <v>336</v>
      </c>
      <c r="F273" s="11">
        <v>4</v>
      </c>
      <c r="G273" s="18">
        <v>6</v>
      </c>
      <c r="H273" s="18">
        <v>81588</v>
      </c>
      <c r="I273" s="18" t="s">
        <v>17</v>
      </c>
      <c r="J273" s="18">
        <v>51100780</v>
      </c>
      <c r="K273" s="18" t="s">
        <v>2401</v>
      </c>
      <c r="L273" s="18" t="s">
        <v>2404</v>
      </c>
      <c r="M273" s="21">
        <v>149900</v>
      </c>
      <c r="N273" s="24">
        <f t="shared" si="27"/>
        <v>0.7</v>
      </c>
      <c r="O273" s="25">
        <f t="shared" si="26"/>
        <v>44970</v>
      </c>
      <c r="P273" s="11" t="s">
        <v>20</v>
      </c>
    </row>
    <row r="274" spans="1:16" x14ac:dyDescent="0.25">
      <c r="A274" s="23" t="str">
        <f t="shared" si="25"/>
        <v>2025 JAN-JUN D70</v>
      </c>
      <c r="B274" s="10">
        <f t="shared" si="25"/>
        <v>46104</v>
      </c>
      <c r="C274" s="10">
        <f t="shared" si="25"/>
        <v>46113</v>
      </c>
      <c r="D274" s="11">
        <v>3273</v>
      </c>
      <c r="E274" s="11">
        <v>336</v>
      </c>
      <c r="F274" s="11">
        <v>4</v>
      </c>
      <c r="G274" s="18">
        <v>6</v>
      </c>
      <c r="H274" s="18">
        <v>81588</v>
      </c>
      <c r="I274" s="18" t="s">
        <v>17</v>
      </c>
      <c r="J274" s="18">
        <v>51100799</v>
      </c>
      <c r="K274" s="18" t="s">
        <v>2401</v>
      </c>
      <c r="L274" s="18" t="s">
        <v>2405</v>
      </c>
      <c r="M274" s="21">
        <v>149900</v>
      </c>
      <c r="N274" s="24">
        <f t="shared" si="27"/>
        <v>0.7</v>
      </c>
      <c r="O274" s="25">
        <f t="shared" si="26"/>
        <v>44970</v>
      </c>
      <c r="P274" s="11" t="s">
        <v>20</v>
      </c>
    </row>
    <row r="275" spans="1:16" x14ac:dyDescent="0.25">
      <c r="A275" s="23" t="str">
        <f t="shared" ref="A275:C290" si="28">A274</f>
        <v>2025 JAN-JUN D70</v>
      </c>
      <c r="B275" s="10">
        <f t="shared" si="28"/>
        <v>46104</v>
      </c>
      <c r="C275" s="10">
        <f t="shared" si="28"/>
        <v>46113</v>
      </c>
      <c r="D275" s="11">
        <v>3273</v>
      </c>
      <c r="E275" s="11">
        <v>336</v>
      </c>
      <c r="F275" s="11">
        <v>4</v>
      </c>
      <c r="G275" s="18">
        <v>6</v>
      </c>
      <c r="H275" s="18">
        <v>81588</v>
      </c>
      <c r="I275" s="18" t="s">
        <v>17</v>
      </c>
      <c r="J275" s="18">
        <v>51100806</v>
      </c>
      <c r="K275" s="18" t="s">
        <v>2401</v>
      </c>
      <c r="L275" s="18" t="s">
        <v>2406</v>
      </c>
      <c r="M275" s="21">
        <v>149900</v>
      </c>
      <c r="N275" s="24">
        <f t="shared" si="27"/>
        <v>0.7</v>
      </c>
      <c r="O275" s="25">
        <f t="shared" si="26"/>
        <v>44970</v>
      </c>
      <c r="P275" s="11" t="s">
        <v>20</v>
      </c>
    </row>
    <row r="276" spans="1:16" x14ac:dyDescent="0.25">
      <c r="A276" s="23" t="str">
        <f t="shared" si="28"/>
        <v>2025 JAN-JUN D70</v>
      </c>
      <c r="B276" s="10">
        <f t="shared" si="28"/>
        <v>46104</v>
      </c>
      <c r="C276" s="10">
        <f t="shared" si="28"/>
        <v>46113</v>
      </c>
      <c r="D276" s="11">
        <v>3273</v>
      </c>
      <c r="E276" s="11">
        <v>336</v>
      </c>
      <c r="F276" s="11">
        <v>4</v>
      </c>
      <c r="G276" s="18">
        <v>6</v>
      </c>
      <c r="H276" s="18">
        <v>81588</v>
      </c>
      <c r="I276" s="18" t="s">
        <v>17</v>
      </c>
      <c r="J276" s="18">
        <v>51100815</v>
      </c>
      <c r="K276" s="18" t="s">
        <v>2401</v>
      </c>
      <c r="L276" s="18" t="s">
        <v>2407</v>
      </c>
      <c r="M276" s="21">
        <v>149900</v>
      </c>
      <c r="N276" s="24">
        <f t="shared" si="27"/>
        <v>0.7</v>
      </c>
      <c r="O276" s="25">
        <f t="shared" si="26"/>
        <v>44970</v>
      </c>
      <c r="P276" s="11" t="s">
        <v>20</v>
      </c>
    </row>
    <row r="277" spans="1:16" x14ac:dyDescent="0.25">
      <c r="A277" s="23" t="str">
        <f t="shared" si="28"/>
        <v>2025 JAN-JUN D70</v>
      </c>
      <c r="B277" s="10">
        <f t="shared" si="28"/>
        <v>46104</v>
      </c>
      <c r="C277" s="10">
        <f t="shared" si="28"/>
        <v>46113</v>
      </c>
      <c r="D277" s="11">
        <v>3273</v>
      </c>
      <c r="E277" s="11">
        <v>336</v>
      </c>
      <c r="F277" s="11">
        <v>4</v>
      </c>
      <c r="G277" s="18">
        <v>6</v>
      </c>
      <c r="H277" s="18">
        <v>81588</v>
      </c>
      <c r="I277" s="18" t="s">
        <v>17</v>
      </c>
      <c r="J277" s="18">
        <v>51100824</v>
      </c>
      <c r="K277" s="18" t="s">
        <v>2401</v>
      </c>
      <c r="L277" s="18" t="s">
        <v>2408</v>
      </c>
      <c r="M277" s="21">
        <v>149900</v>
      </c>
      <c r="N277" s="24">
        <f t="shared" si="27"/>
        <v>0.7</v>
      </c>
      <c r="O277" s="25">
        <f t="shared" si="26"/>
        <v>44970</v>
      </c>
      <c r="P277" s="11" t="s">
        <v>20</v>
      </c>
    </row>
    <row r="278" spans="1:16" x14ac:dyDescent="0.25">
      <c r="A278" s="23" t="str">
        <f t="shared" si="28"/>
        <v>2025 JAN-JUN D70</v>
      </c>
      <c r="B278" s="10">
        <f t="shared" si="28"/>
        <v>46104</v>
      </c>
      <c r="C278" s="10">
        <f t="shared" si="28"/>
        <v>46113</v>
      </c>
      <c r="D278" s="11">
        <v>3273</v>
      </c>
      <c r="E278" s="11">
        <v>336</v>
      </c>
      <c r="F278" s="11">
        <v>4</v>
      </c>
      <c r="G278" s="18">
        <v>6</v>
      </c>
      <c r="H278" s="18">
        <v>81588</v>
      </c>
      <c r="I278" s="18" t="s">
        <v>17</v>
      </c>
      <c r="J278" s="18">
        <v>51100833</v>
      </c>
      <c r="K278" s="18" t="s">
        <v>2401</v>
      </c>
      <c r="L278" s="18" t="s">
        <v>2409</v>
      </c>
      <c r="M278" s="21">
        <v>149900</v>
      </c>
      <c r="N278" s="24">
        <f t="shared" si="27"/>
        <v>0.7</v>
      </c>
      <c r="O278" s="25">
        <f t="shared" si="26"/>
        <v>44970</v>
      </c>
      <c r="P278" s="11" t="s">
        <v>20</v>
      </c>
    </row>
    <row r="279" spans="1:16" x14ac:dyDescent="0.25">
      <c r="A279" s="23" t="str">
        <f t="shared" si="28"/>
        <v>2025 JAN-JUN D70</v>
      </c>
      <c r="B279" s="10">
        <f t="shared" si="28"/>
        <v>46104</v>
      </c>
      <c r="C279" s="10">
        <f t="shared" si="28"/>
        <v>46113</v>
      </c>
      <c r="D279" s="11">
        <v>3273</v>
      </c>
      <c r="E279" s="11">
        <v>336</v>
      </c>
      <c r="F279" s="11">
        <v>4</v>
      </c>
      <c r="G279" s="18">
        <v>6</v>
      </c>
      <c r="H279" s="18">
        <v>81676</v>
      </c>
      <c r="I279" s="18" t="s">
        <v>17</v>
      </c>
      <c r="J279" s="18">
        <v>51101163</v>
      </c>
      <c r="K279" s="18" t="s">
        <v>2410</v>
      </c>
      <c r="L279" s="18" t="s">
        <v>2411</v>
      </c>
      <c r="M279" s="21">
        <v>139900</v>
      </c>
      <c r="N279" s="24">
        <f t="shared" si="27"/>
        <v>0.7</v>
      </c>
      <c r="O279" s="25">
        <f t="shared" si="26"/>
        <v>41970</v>
      </c>
      <c r="P279" s="11" t="s">
        <v>20</v>
      </c>
    </row>
    <row r="280" spans="1:16" x14ac:dyDescent="0.25">
      <c r="A280" s="23" t="str">
        <f t="shared" si="28"/>
        <v>2025 JAN-JUN D70</v>
      </c>
      <c r="B280" s="10">
        <f t="shared" si="28"/>
        <v>46104</v>
      </c>
      <c r="C280" s="10">
        <f t="shared" si="28"/>
        <v>46113</v>
      </c>
      <c r="D280" s="11">
        <v>3273</v>
      </c>
      <c r="E280" s="11">
        <v>336</v>
      </c>
      <c r="F280" s="11">
        <v>4</v>
      </c>
      <c r="G280" s="18">
        <v>6</v>
      </c>
      <c r="H280" s="18">
        <v>81676</v>
      </c>
      <c r="I280" s="18" t="s">
        <v>17</v>
      </c>
      <c r="J280" s="18">
        <v>51101172</v>
      </c>
      <c r="K280" s="18" t="s">
        <v>2410</v>
      </c>
      <c r="L280" s="18" t="s">
        <v>2412</v>
      </c>
      <c r="M280" s="21">
        <v>139900</v>
      </c>
      <c r="N280" s="24">
        <f t="shared" si="27"/>
        <v>0.7</v>
      </c>
      <c r="O280" s="25">
        <f t="shared" si="26"/>
        <v>41970</v>
      </c>
      <c r="P280" s="11" t="s">
        <v>20</v>
      </c>
    </row>
    <row r="281" spans="1:16" x14ac:dyDescent="0.25">
      <c r="A281" s="23" t="str">
        <f t="shared" si="28"/>
        <v>2025 JAN-JUN D70</v>
      </c>
      <c r="B281" s="10">
        <f t="shared" si="28"/>
        <v>46104</v>
      </c>
      <c r="C281" s="10">
        <f t="shared" si="28"/>
        <v>46113</v>
      </c>
      <c r="D281" s="11">
        <v>3273</v>
      </c>
      <c r="E281" s="11">
        <v>336</v>
      </c>
      <c r="F281" s="11">
        <v>4</v>
      </c>
      <c r="G281" s="18">
        <v>6</v>
      </c>
      <c r="H281" s="18">
        <v>81676</v>
      </c>
      <c r="I281" s="18" t="s">
        <v>17</v>
      </c>
      <c r="J281" s="18">
        <v>51101181</v>
      </c>
      <c r="K281" s="18" t="s">
        <v>2410</v>
      </c>
      <c r="L281" s="18" t="s">
        <v>2413</v>
      </c>
      <c r="M281" s="21">
        <v>139900</v>
      </c>
      <c r="N281" s="24">
        <f t="shared" si="27"/>
        <v>0.7</v>
      </c>
      <c r="O281" s="25">
        <f t="shared" si="26"/>
        <v>41970</v>
      </c>
      <c r="P281" s="11" t="s">
        <v>20</v>
      </c>
    </row>
    <row r="282" spans="1:16" x14ac:dyDescent="0.25">
      <c r="A282" s="23" t="str">
        <f t="shared" si="28"/>
        <v>2025 JAN-JUN D70</v>
      </c>
      <c r="B282" s="10">
        <f t="shared" si="28"/>
        <v>46104</v>
      </c>
      <c r="C282" s="10">
        <f t="shared" si="28"/>
        <v>46113</v>
      </c>
      <c r="D282" s="11">
        <v>3273</v>
      </c>
      <c r="E282" s="11">
        <v>336</v>
      </c>
      <c r="F282" s="11">
        <v>4</v>
      </c>
      <c r="G282" s="18">
        <v>6</v>
      </c>
      <c r="H282" s="18">
        <v>81676</v>
      </c>
      <c r="I282" s="18" t="s">
        <v>17</v>
      </c>
      <c r="J282" s="18">
        <v>51101190</v>
      </c>
      <c r="K282" s="18" t="s">
        <v>2410</v>
      </c>
      <c r="L282" s="18" t="s">
        <v>2414</v>
      </c>
      <c r="M282" s="21">
        <v>139900</v>
      </c>
      <c r="N282" s="24">
        <f t="shared" si="27"/>
        <v>0.7</v>
      </c>
      <c r="O282" s="25">
        <f t="shared" si="26"/>
        <v>41970</v>
      </c>
      <c r="P282" s="11" t="s">
        <v>20</v>
      </c>
    </row>
    <row r="283" spans="1:16" x14ac:dyDescent="0.25">
      <c r="A283" s="23" t="str">
        <f t="shared" si="28"/>
        <v>2025 JAN-JUN D70</v>
      </c>
      <c r="B283" s="10">
        <f t="shared" si="28"/>
        <v>46104</v>
      </c>
      <c r="C283" s="10">
        <f t="shared" si="28"/>
        <v>46113</v>
      </c>
      <c r="D283" s="11">
        <v>3273</v>
      </c>
      <c r="E283" s="11">
        <v>336</v>
      </c>
      <c r="F283" s="11">
        <v>4</v>
      </c>
      <c r="G283" s="18">
        <v>6</v>
      </c>
      <c r="H283" s="18">
        <v>81676</v>
      </c>
      <c r="I283" s="18" t="s">
        <v>17</v>
      </c>
      <c r="J283" s="18">
        <v>51101207</v>
      </c>
      <c r="K283" s="18" t="s">
        <v>2410</v>
      </c>
      <c r="L283" s="18" t="s">
        <v>2415</v>
      </c>
      <c r="M283" s="21">
        <v>139900</v>
      </c>
      <c r="N283" s="24">
        <f t="shared" si="27"/>
        <v>0.7</v>
      </c>
      <c r="O283" s="25">
        <f t="shared" si="26"/>
        <v>41970</v>
      </c>
      <c r="P283" s="11" t="s">
        <v>20</v>
      </c>
    </row>
    <row r="284" spans="1:16" x14ac:dyDescent="0.25">
      <c r="A284" s="23" t="str">
        <f t="shared" si="28"/>
        <v>2025 JAN-JUN D70</v>
      </c>
      <c r="B284" s="10">
        <f t="shared" si="28"/>
        <v>46104</v>
      </c>
      <c r="C284" s="10">
        <f t="shared" si="28"/>
        <v>46113</v>
      </c>
      <c r="D284" s="11">
        <v>3273</v>
      </c>
      <c r="E284" s="11">
        <v>336</v>
      </c>
      <c r="F284" s="11">
        <v>4</v>
      </c>
      <c r="G284" s="18">
        <v>6</v>
      </c>
      <c r="H284" s="18">
        <v>81676</v>
      </c>
      <c r="I284" s="18" t="s">
        <v>17</v>
      </c>
      <c r="J284" s="18">
        <v>51101216</v>
      </c>
      <c r="K284" s="18" t="s">
        <v>2410</v>
      </c>
      <c r="L284" s="18" t="s">
        <v>2416</v>
      </c>
      <c r="M284" s="21">
        <v>139900</v>
      </c>
      <c r="N284" s="24">
        <f t="shared" si="27"/>
        <v>0.7</v>
      </c>
      <c r="O284" s="25">
        <f t="shared" si="26"/>
        <v>41970</v>
      </c>
      <c r="P284" s="11" t="s">
        <v>20</v>
      </c>
    </row>
    <row r="285" spans="1:16" x14ac:dyDescent="0.25">
      <c r="A285" s="23" t="str">
        <f t="shared" si="28"/>
        <v>2025 JAN-JUN D70</v>
      </c>
      <c r="B285" s="10">
        <f t="shared" si="28"/>
        <v>46104</v>
      </c>
      <c r="C285" s="10">
        <f t="shared" si="28"/>
        <v>46113</v>
      </c>
      <c r="D285" s="11">
        <v>3273</v>
      </c>
      <c r="E285" s="11">
        <v>336</v>
      </c>
      <c r="F285" s="11">
        <v>4</v>
      </c>
      <c r="G285" s="18">
        <v>6</v>
      </c>
      <c r="H285" s="18">
        <v>81676</v>
      </c>
      <c r="I285" s="18" t="s">
        <v>17</v>
      </c>
      <c r="J285" s="18">
        <v>51101225</v>
      </c>
      <c r="K285" s="18" t="s">
        <v>2417</v>
      </c>
      <c r="L285" s="18" t="s">
        <v>2418</v>
      </c>
      <c r="M285" s="21">
        <v>139900</v>
      </c>
      <c r="N285" s="24">
        <f t="shared" si="27"/>
        <v>0.7</v>
      </c>
      <c r="O285" s="25">
        <f t="shared" si="26"/>
        <v>41970</v>
      </c>
      <c r="P285" s="11" t="s">
        <v>20</v>
      </c>
    </row>
    <row r="286" spans="1:16" x14ac:dyDescent="0.25">
      <c r="A286" s="23" t="str">
        <f t="shared" si="28"/>
        <v>2025 JAN-JUN D70</v>
      </c>
      <c r="B286" s="10">
        <f t="shared" si="28"/>
        <v>46104</v>
      </c>
      <c r="C286" s="10">
        <f t="shared" si="28"/>
        <v>46113</v>
      </c>
      <c r="D286" s="11">
        <v>3273</v>
      </c>
      <c r="E286" s="11">
        <v>336</v>
      </c>
      <c r="F286" s="11">
        <v>4</v>
      </c>
      <c r="G286" s="18">
        <v>6</v>
      </c>
      <c r="H286" s="18">
        <v>81676</v>
      </c>
      <c r="I286" s="18" t="s">
        <v>17</v>
      </c>
      <c r="J286" s="18">
        <v>51101234</v>
      </c>
      <c r="K286" s="18" t="s">
        <v>2417</v>
      </c>
      <c r="L286" s="18" t="s">
        <v>2419</v>
      </c>
      <c r="M286" s="21">
        <v>139900</v>
      </c>
      <c r="N286" s="24">
        <f t="shared" si="27"/>
        <v>0.7</v>
      </c>
      <c r="O286" s="25">
        <f t="shared" si="26"/>
        <v>41970</v>
      </c>
      <c r="P286" s="11" t="s">
        <v>20</v>
      </c>
    </row>
    <row r="287" spans="1:16" x14ac:dyDescent="0.25">
      <c r="A287" s="23" t="str">
        <f t="shared" si="28"/>
        <v>2025 JAN-JUN D70</v>
      </c>
      <c r="B287" s="10">
        <f t="shared" si="28"/>
        <v>46104</v>
      </c>
      <c r="C287" s="10">
        <f t="shared" si="28"/>
        <v>46113</v>
      </c>
      <c r="D287" s="11">
        <v>3273</v>
      </c>
      <c r="E287" s="11">
        <v>336</v>
      </c>
      <c r="F287" s="11">
        <v>4</v>
      </c>
      <c r="G287" s="18">
        <v>6</v>
      </c>
      <c r="H287" s="18">
        <v>81676</v>
      </c>
      <c r="I287" s="18" t="s">
        <v>17</v>
      </c>
      <c r="J287" s="18">
        <v>51101243</v>
      </c>
      <c r="K287" s="18" t="s">
        <v>2417</v>
      </c>
      <c r="L287" s="18" t="s">
        <v>2420</v>
      </c>
      <c r="M287" s="21">
        <v>139900</v>
      </c>
      <c r="N287" s="24">
        <f t="shared" si="27"/>
        <v>0.7</v>
      </c>
      <c r="O287" s="25">
        <f t="shared" si="26"/>
        <v>41970</v>
      </c>
      <c r="P287" s="11" t="s">
        <v>20</v>
      </c>
    </row>
    <row r="288" spans="1:16" x14ac:dyDescent="0.25">
      <c r="A288" s="23" t="str">
        <f t="shared" si="28"/>
        <v>2025 JAN-JUN D70</v>
      </c>
      <c r="B288" s="10">
        <f t="shared" si="28"/>
        <v>46104</v>
      </c>
      <c r="C288" s="10">
        <f t="shared" si="28"/>
        <v>46113</v>
      </c>
      <c r="D288" s="11">
        <v>3273</v>
      </c>
      <c r="E288" s="11">
        <v>336</v>
      </c>
      <c r="F288" s="11">
        <v>4</v>
      </c>
      <c r="G288" s="18">
        <v>6</v>
      </c>
      <c r="H288" s="18">
        <v>81676</v>
      </c>
      <c r="I288" s="18" t="s">
        <v>17</v>
      </c>
      <c r="J288" s="18">
        <v>51101252</v>
      </c>
      <c r="K288" s="18" t="s">
        <v>2417</v>
      </c>
      <c r="L288" s="18" t="s">
        <v>2421</v>
      </c>
      <c r="M288" s="21">
        <v>139900</v>
      </c>
      <c r="N288" s="24">
        <f t="shared" si="27"/>
        <v>0.7</v>
      </c>
      <c r="O288" s="25">
        <f t="shared" si="26"/>
        <v>41970</v>
      </c>
      <c r="P288" s="11" t="s">
        <v>20</v>
      </c>
    </row>
    <row r="289" spans="1:16" x14ac:dyDescent="0.25">
      <c r="A289" s="23" t="str">
        <f t="shared" si="28"/>
        <v>2025 JAN-JUN D70</v>
      </c>
      <c r="B289" s="10">
        <f t="shared" si="28"/>
        <v>46104</v>
      </c>
      <c r="C289" s="10">
        <f t="shared" si="28"/>
        <v>46113</v>
      </c>
      <c r="D289" s="11">
        <v>3273</v>
      </c>
      <c r="E289" s="11">
        <v>336</v>
      </c>
      <c r="F289" s="11">
        <v>4</v>
      </c>
      <c r="G289" s="18">
        <v>6</v>
      </c>
      <c r="H289" s="18">
        <v>81676</v>
      </c>
      <c r="I289" s="18" t="s">
        <v>17</v>
      </c>
      <c r="J289" s="18">
        <v>51101261</v>
      </c>
      <c r="K289" s="18" t="s">
        <v>2417</v>
      </c>
      <c r="L289" s="18" t="s">
        <v>2422</v>
      </c>
      <c r="M289" s="21">
        <v>139900</v>
      </c>
      <c r="N289" s="24">
        <f t="shared" si="27"/>
        <v>0.7</v>
      </c>
      <c r="O289" s="25">
        <f t="shared" si="26"/>
        <v>41970</v>
      </c>
      <c r="P289" s="11" t="s">
        <v>20</v>
      </c>
    </row>
    <row r="290" spans="1:16" x14ac:dyDescent="0.25">
      <c r="A290" s="23" t="str">
        <f t="shared" si="28"/>
        <v>2025 JAN-JUN D70</v>
      </c>
      <c r="B290" s="10">
        <f t="shared" si="28"/>
        <v>46104</v>
      </c>
      <c r="C290" s="10">
        <f t="shared" si="28"/>
        <v>46113</v>
      </c>
      <c r="D290" s="11">
        <v>3273</v>
      </c>
      <c r="E290" s="11">
        <v>336</v>
      </c>
      <c r="F290" s="11">
        <v>4</v>
      </c>
      <c r="G290" s="18">
        <v>6</v>
      </c>
      <c r="H290" s="18">
        <v>81676</v>
      </c>
      <c r="I290" s="18" t="s">
        <v>17</v>
      </c>
      <c r="J290" s="18">
        <v>51101270</v>
      </c>
      <c r="K290" s="18" t="s">
        <v>2417</v>
      </c>
      <c r="L290" s="18" t="s">
        <v>2423</v>
      </c>
      <c r="M290" s="21">
        <v>139900</v>
      </c>
      <c r="N290" s="24">
        <f t="shared" si="27"/>
        <v>0.7</v>
      </c>
      <c r="O290" s="25">
        <f t="shared" si="26"/>
        <v>41970</v>
      </c>
      <c r="P290" s="11" t="s">
        <v>20</v>
      </c>
    </row>
    <row r="291" spans="1:16" x14ac:dyDescent="0.25">
      <c r="A291" s="23" t="str">
        <f t="shared" ref="A291:C306" si="29">A290</f>
        <v>2025 JAN-JUN D70</v>
      </c>
      <c r="B291" s="10">
        <f t="shared" si="29"/>
        <v>46104</v>
      </c>
      <c r="C291" s="10">
        <f t="shared" si="29"/>
        <v>46113</v>
      </c>
      <c r="D291" s="11">
        <v>3273</v>
      </c>
      <c r="E291" s="11">
        <v>336</v>
      </c>
      <c r="F291" s="11">
        <v>4</v>
      </c>
      <c r="G291" s="18">
        <v>6</v>
      </c>
      <c r="H291" s="18">
        <v>81676</v>
      </c>
      <c r="I291" s="18" t="s">
        <v>17</v>
      </c>
      <c r="J291" s="18">
        <v>51101289</v>
      </c>
      <c r="K291" s="18" t="s">
        <v>2417</v>
      </c>
      <c r="L291" s="18" t="s">
        <v>2424</v>
      </c>
      <c r="M291" s="21">
        <v>139900</v>
      </c>
      <c r="N291" s="24">
        <f t="shared" si="27"/>
        <v>0.7</v>
      </c>
      <c r="O291" s="25">
        <f t="shared" si="26"/>
        <v>41970</v>
      </c>
      <c r="P291" s="11" t="s">
        <v>20</v>
      </c>
    </row>
    <row r="292" spans="1:16" x14ac:dyDescent="0.25">
      <c r="A292" s="23" t="str">
        <f t="shared" si="29"/>
        <v>2025 JAN-JUN D70</v>
      </c>
      <c r="B292" s="10">
        <f t="shared" si="29"/>
        <v>46104</v>
      </c>
      <c r="C292" s="10">
        <f t="shared" si="29"/>
        <v>46113</v>
      </c>
      <c r="D292" s="11">
        <v>3273</v>
      </c>
      <c r="E292" s="11">
        <v>336</v>
      </c>
      <c r="F292" s="11">
        <v>4</v>
      </c>
      <c r="G292" s="18">
        <v>6</v>
      </c>
      <c r="H292" s="18">
        <v>81676</v>
      </c>
      <c r="I292" s="18" t="s">
        <v>17</v>
      </c>
      <c r="J292" s="18">
        <v>51101298</v>
      </c>
      <c r="K292" s="18" t="s">
        <v>2417</v>
      </c>
      <c r="L292" s="18" t="s">
        <v>2425</v>
      </c>
      <c r="M292" s="21">
        <v>139900</v>
      </c>
      <c r="N292" s="24">
        <f t="shared" si="27"/>
        <v>0.7</v>
      </c>
      <c r="O292" s="25">
        <f t="shared" si="26"/>
        <v>41970</v>
      </c>
      <c r="P292" s="11" t="s">
        <v>20</v>
      </c>
    </row>
    <row r="293" spans="1:16" x14ac:dyDescent="0.25">
      <c r="A293" s="23" t="str">
        <f t="shared" si="29"/>
        <v>2025 JAN-JUN D70</v>
      </c>
      <c r="B293" s="10">
        <f t="shared" si="29"/>
        <v>46104</v>
      </c>
      <c r="C293" s="10">
        <f t="shared" si="29"/>
        <v>46113</v>
      </c>
      <c r="D293" s="11">
        <v>3273</v>
      </c>
      <c r="E293" s="11">
        <v>336</v>
      </c>
      <c r="F293" s="11">
        <v>4</v>
      </c>
      <c r="G293" s="18">
        <v>6</v>
      </c>
      <c r="H293" s="18">
        <v>81588</v>
      </c>
      <c r="I293" s="18" t="s">
        <v>17</v>
      </c>
      <c r="J293" s="18">
        <v>51102386</v>
      </c>
      <c r="K293" s="18" t="s">
        <v>2426</v>
      </c>
      <c r="L293" s="18" t="s">
        <v>2427</v>
      </c>
      <c r="M293" s="21">
        <v>149900</v>
      </c>
      <c r="N293" s="24">
        <f t="shared" si="27"/>
        <v>0.7</v>
      </c>
      <c r="O293" s="25">
        <f t="shared" si="26"/>
        <v>44970</v>
      </c>
      <c r="P293" s="11" t="s">
        <v>20</v>
      </c>
    </row>
    <row r="294" spans="1:16" x14ac:dyDescent="0.25">
      <c r="A294" s="23" t="str">
        <f t="shared" si="29"/>
        <v>2025 JAN-JUN D70</v>
      </c>
      <c r="B294" s="10">
        <f t="shared" si="29"/>
        <v>46104</v>
      </c>
      <c r="C294" s="10">
        <f t="shared" si="29"/>
        <v>46113</v>
      </c>
      <c r="D294" s="11">
        <v>3273</v>
      </c>
      <c r="E294" s="11">
        <v>336</v>
      </c>
      <c r="F294" s="11">
        <v>4</v>
      </c>
      <c r="G294" s="18">
        <v>6</v>
      </c>
      <c r="H294" s="18">
        <v>81588</v>
      </c>
      <c r="I294" s="18" t="s">
        <v>17</v>
      </c>
      <c r="J294" s="18">
        <v>51102395</v>
      </c>
      <c r="K294" s="18" t="s">
        <v>2426</v>
      </c>
      <c r="L294" s="18" t="s">
        <v>2428</v>
      </c>
      <c r="M294" s="21">
        <v>149900</v>
      </c>
      <c r="N294" s="24">
        <f t="shared" si="27"/>
        <v>0.7</v>
      </c>
      <c r="O294" s="25">
        <f t="shared" si="26"/>
        <v>44970</v>
      </c>
      <c r="P294" s="11" t="s">
        <v>20</v>
      </c>
    </row>
    <row r="295" spans="1:16" x14ac:dyDescent="0.25">
      <c r="A295" s="23" t="str">
        <f t="shared" si="29"/>
        <v>2025 JAN-JUN D70</v>
      </c>
      <c r="B295" s="10">
        <f t="shared" si="29"/>
        <v>46104</v>
      </c>
      <c r="C295" s="10">
        <f t="shared" si="29"/>
        <v>46113</v>
      </c>
      <c r="D295" s="11">
        <v>3273</v>
      </c>
      <c r="E295" s="11">
        <v>336</v>
      </c>
      <c r="F295" s="11">
        <v>4</v>
      </c>
      <c r="G295" s="18">
        <v>6</v>
      </c>
      <c r="H295" s="18">
        <v>81588</v>
      </c>
      <c r="I295" s="18" t="s">
        <v>17</v>
      </c>
      <c r="J295" s="18">
        <v>51102402</v>
      </c>
      <c r="K295" s="18" t="s">
        <v>2426</v>
      </c>
      <c r="L295" s="18" t="s">
        <v>2429</v>
      </c>
      <c r="M295" s="21">
        <v>149900</v>
      </c>
      <c r="N295" s="24">
        <f t="shared" si="27"/>
        <v>0.7</v>
      </c>
      <c r="O295" s="25">
        <f t="shared" si="26"/>
        <v>44970</v>
      </c>
      <c r="P295" s="11" t="s">
        <v>20</v>
      </c>
    </row>
    <row r="296" spans="1:16" x14ac:dyDescent="0.25">
      <c r="A296" s="23" t="str">
        <f t="shared" si="29"/>
        <v>2025 JAN-JUN D70</v>
      </c>
      <c r="B296" s="10">
        <f t="shared" si="29"/>
        <v>46104</v>
      </c>
      <c r="C296" s="10">
        <f t="shared" si="29"/>
        <v>46113</v>
      </c>
      <c r="D296" s="11">
        <v>3273</v>
      </c>
      <c r="E296" s="11">
        <v>336</v>
      </c>
      <c r="F296" s="11">
        <v>4</v>
      </c>
      <c r="G296" s="18">
        <v>6</v>
      </c>
      <c r="H296" s="18">
        <v>81588</v>
      </c>
      <c r="I296" s="18" t="s">
        <v>17</v>
      </c>
      <c r="J296" s="18">
        <v>51102411</v>
      </c>
      <c r="K296" s="18" t="s">
        <v>2426</v>
      </c>
      <c r="L296" s="18" t="s">
        <v>2430</v>
      </c>
      <c r="M296" s="21">
        <v>149900</v>
      </c>
      <c r="N296" s="24">
        <f t="shared" si="27"/>
        <v>0.7</v>
      </c>
      <c r="O296" s="25">
        <f t="shared" si="26"/>
        <v>44970</v>
      </c>
      <c r="P296" s="11" t="s">
        <v>20</v>
      </c>
    </row>
    <row r="297" spans="1:16" x14ac:dyDescent="0.25">
      <c r="A297" s="23" t="str">
        <f t="shared" si="29"/>
        <v>2025 JAN-JUN D70</v>
      </c>
      <c r="B297" s="10">
        <f t="shared" si="29"/>
        <v>46104</v>
      </c>
      <c r="C297" s="10">
        <f t="shared" si="29"/>
        <v>46113</v>
      </c>
      <c r="D297" s="11">
        <v>3273</v>
      </c>
      <c r="E297" s="11">
        <v>336</v>
      </c>
      <c r="F297" s="11">
        <v>4</v>
      </c>
      <c r="G297" s="18">
        <v>6</v>
      </c>
      <c r="H297" s="18">
        <v>81588</v>
      </c>
      <c r="I297" s="18" t="s">
        <v>17</v>
      </c>
      <c r="J297" s="18">
        <v>51102420</v>
      </c>
      <c r="K297" s="18" t="s">
        <v>2426</v>
      </c>
      <c r="L297" s="18" t="s">
        <v>2431</v>
      </c>
      <c r="M297" s="21">
        <v>149900</v>
      </c>
      <c r="N297" s="24">
        <f t="shared" si="27"/>
        <v>0.7</v>
      </c>
      <c r="O297" s="25">
        <f t="shared" si="26"/>
        <v>44970</v>
      </c>
      <c r="P297" s="11" t="s">
        <v>20</v>
      </c>
    </row>
    <row r="298" spans="1:16" x14ac:dyDescent="0.25">
      <c r="A298" s="23" t="str">
        <f t="shared" si="29"/>
        <v>2025 JAN-JUN D70</v>
      </c>
      <c r="B298" s="10">
        <f t="shared" si="29"/>
        <v>46104</v>
      </c>
      <c r="C298" s="10">
        <f t="shared" si="29"/>
        <v>46113</v>
      </c>
      <c r="D298" s="11">
        <v>3273</v>
      </c>
      <c r="E298" s="11">
        <v>336</v>
      </c>
      <c r="F298" s="11">
        <v>4</v>
      </c>
      <c r="G298" s="18">
        <v>6</v>
      </c>
      <c r="H298" s="18">
        <v>81588</v>
      </c>
      <c r="I298" s="18" t="s">
        <v>17</v>
      </c>
      <c r="J298" s="18">
        <v>51102439</v>
      </c>
      <c r="K298" s="18" t="s">
        <v>2426</v>
      </c>
      <c r="L298" s="18" t="s">
        <v>2432</v>
      </c>
      <c r="M298" s="21">
        <v>149900</v>
      </c>
      <c r="N298" s="24">
        <f t="shared" si="27"/>
        <v>0.7</v>
      </c>
      <c r="O298" s="25">
        <f t="shared" si="26"/>
        <v>44970</v>
      </c>
      <c r="P298" s="11" t="s">
        <v>20</v>
      </c>
    </row>
    <row r="299" spans="1:16" x14ac:dyDescent="0.25">
      <c r="A299" s="23" t="str">
        <f t="shared" si="29"/>
        <v>2025 JAN-JUN D70</v>
      </c>
      <c r="B299" s="10">
        <f t="shared" si="29"/>
        <v>46104</v>
      </c>
      <c r="C299" s="10">
        <f t="shared" si="29"/>
        <v>46113</v>
      </c>
      <c r="D299" s="11">
        <v>3273</v>
      </c>
      <c r="E299" s="11">
        <v>336</v>
      </c>
      <c r="F299" s="11">
        <v>4</v>
      </c>
      <c r="G299" s="18">
        <v>6</v>
      </c>
      <c r="H299" s="18">
        <v>81588</v>
      </c>
      <c r="I299" s="18" t="s">
        <v>17</v>
      </c>
      <c r="J299" s="18">
        <v>51102448</v>
      </c>
      <c r="K299" s="18" t="s">
        <v>2426</v>
      </c>
      <c r="L299" s="18" t="s">
        <v>2433</v>
      </c>
      <c r="M299" s="21">
        <v>149900</v>
      </c>
      <c r="N299" s="24">
        <f t="shared" si="27"/>
        <v>0.7</v>
      </c>
      <c r="O299" s="25">
        <f t="shared" si="26"/>
        <v>44970</v>
      </c>
      <c r="P299" s="11" t="s">
        <v>20</v>
      </c>
    </row>
    <row r="300" spans="1:16" x14ac:dyDescent="0.25">
      <c r="A300" s="23" t="str">
        <f t="shared" si="29"/>
        <v>2025 JAN-JUN D70</v>
      </c>
      <c r="B300" s="10">
        <f t="shared" si="29"/>
        <v>46104</v>
      </c>
      <c r="C300" s="10">
        <f t="shared" si="29"/>
        <v>46113</v>
      </c>
      <c r="D300" s="11">
        <v>3273</v>
      </c>
      <c r="E300" s="11">
        <v>336</v>
      </c>
      <c r="F300" s="11">
        <v>4</v>
      </c>
      <c r="G300" s="18">
        <v>6</v>
      </c>
      <c r="H300" s="18">
        <v>81588</v>
      </c>
      <c r="I300" s="18" t="s">
        <v>17</v>
      </c>
      <c r="J300" s="18">
        <v>51102457</v>
      </c>
      <c r="K300" s="18" t="s">
        <v>2426</v>
      </c>
      <c r="L300" s="18" t="s">
        <v>2434</v>
      </c>
      <c r="M300" s="21">
        <v>149900</v>
      </c>
      <c r="N300" s="24">
        <f t="shared" si="27"/>
        <v>0.7</v>
      </c>
      <c r="O300" s="25">
        <f t="shared" si="26"/>
        <v>44970</v>
      </c>
      <c r="P300" s="11" t="s">
        <v>20</v>
      </c>
    </row>
    <row r="301" spans="1:16" x14ac:dyDescent="0.25">
      <c r="A301" s="23" t="str">
        <f t="shared" si="29"/>
        <v>2025 JAN-JUN D70</v>
      </c>
      <c r="B301" s="10">
        <f t="shared" si="29"/>
        <v>46104</v>
      </c>
      <c r="C301" s="10">
        <f t="shared" si="29"/>
        <v>46113</v>
      </c>
      <c r="D301" s="11">
        <v>3273</v>
      </c>
      <c r="E301" s="11">
        <v>336</v>
      </c>
      <c r="F301" s="11">
        <v>4</v>
      </c>
      <c r="G301" s="18">
        <v>6</v>
      </c>
      <c r="H301" s="18">
        <v>81588</v>
      </c>
      <c r="I301" s="18" t="s">
        <v>17</v>
      </c>
      <c r="J301" s="18">
        <v>51102466</v>
      </c>
      <c r="K301" s="18" t="s">
        <v>2435</v>
      </c>
      <c r="L301" s="18" t="s">
        <v>2436</v>
      </c>
      <c r="M301" s="21">
        <v>149900</v>
      </c>
      <c r="N301" s="24">
        <f t="shared" si="27"/>
        <v>0.7</v>
      </c>
      <c r="O301" s="25">
        <f t="shared" si="26"/>
        <v>44970</v>
      </c>
      <c r="P301" s="11" t="s">
        <v>20</v>
      </c>
    </row>
    <row r="302" spans="1:16" x14ac:dyDescent="0.25">
      <c r="A302" s="23" t="str">
        <f t="shared" si="29"/>
        <v>2025 JAN-JUN D70</v>
      </c>
      <c r="B302" s="10">
        <f t="shared" si="29"/>
        <v>46104</v>
      </c>
      <c r="C302" s="10">
        <f t="shared" si="29"/>
        <v>46113</v>
      </c>
      <c r="D302" s="11">
        <v>3273</v>
      </c>
      <c r="E302" s="11">
        <v>336</v>
      </c>
      <c r="F302" s="11">
        <v>4</v>
      </c>
      <c r="G302" s="18">
        <v>6</v>
      </c>
      <c r="H302" s="18">
        <v>81588</v>
      </c>
      <c r="I302" s="18" t="s">
        <v>17</v>
      </c>
      <c r="J302" s="18">
        <v>51102475</v>
      </c>
      <c r="K302" s="18" t="s">
        <v>2435</v>
      </c>
      <c r="L302" s="18" t="s">
        <v>2437</v>
      </c>
      <c r="M302" s="21">
        <v>149900</v>
      </c>
      <c r="N302" s="24">
        <f t="shared" si="27"/>
        <v>0.7</v>
      </c>
      <c r="O302" s="25">
        <f t="shared" si="26"/>
        <v>44970</v>
      </c>
      <c r="P302" s="11" t="s">
        <v>20</v>
      </c>
    </row>
    <row r="303" spans="1:16" x14ac:dyDescent="0.25">
      <c r="A303" s="23" t="str">
        <f t="shared" si="29"/>
        <v>2025 JAN-JUN D70</v>
      </c>
      <c r="B303" s="10">
        <f t="shared" si="29"/>
        <v>46104</v>
      </c>
      <c r="C303" s="10">
        <f t="shared" si="29"/>
        <v>46113</v>
      </c>
      <c r="D303" s="11">
        <v>3273</v>
      </c>
      <c r="E303" s="11">
        <v>336</v>
      </c>
      <c r="F303" s="11">
        <v>4</v>
      </c>
      <c r="G303" s="18">
        <v>6</v>
      </c>
      <c r="H303" s="18">
        <v>81588</v>
      </c>
      <c r="I303" s="18" t="s">
        <v>17</v>
      </c>
      <c r="J303" s="18">
        <v>51102484</v>
      </c>
      <c r="K303" s="18" t="s">
        <v>2435</v>
      </c>
      <c r="L303" s="18" t="s">
        <v>2438</v>
      </c>
      <c r="M303" s="21">
        <v>149900</v>
      </c>
      <c r="N303" s="24">
        <f t="shared" si="27"/>
        <v>0.7</v>
      </c>
      <c r="O303" s="25">
        <f t="shared" si="26"/>
        <v>44970</v>
      </c>
      <c r="P303" s="11" t="s">
        <v>20</v>
      </c>
    </row>
    <row r="304" spans="1:16" x14ac:dyDescent="0.25">
      <c r="A304" s="23" t="str">
        <f t="shared" si="29"/>
        <v>2025 JAN-JUN D70</v>
      </c>
      <c r="B304" s="10">
        <f t="shared" si="29"/>
        <v>46104</v>
      </c>
      <c r="C304" s="10">
        <f t="shared" si="29"/>
        <v>46113</v>
      </c>
      <c r="D304" s="11">
        <v>3273</v>
      </c>
      <c r="E304" s="11">
        <v>336</v>
      </c>
      <c r="F304" s="11">
        <v>4</v>
      </c>
      <c r="G304" s="18">
        <v>6</v>
      </c>
      <c r="H304" s="18">
        <v>81588</v>
      </c>
      <c r="I304" s="18" t="s">
        <v>17</v>
      </c>
      <c r="J304" s="18">
        <v>51102493</v>
      </c>
      <c r="K304" s="18" t="s">
        <v>2435</v>
      </c>
      <c r="L304" s="18" t="s">
        <v>2439</v>
      </c>
      <c r="M304" s="21">
        <v>149900</v>
      </c>
      <c r="N304" s="24">
        <f t="shared" si="27"/>
        <v>0.7</v>
      </c>
      <c r="O304" s="25">
        <f t="shared" si="26"/>
        <v>44970</v>
      </c>
      <c r="P304" s="11" t="s">
        <v>20</v>
      </c>
    </row>
    <row r="305" spans="1:16" x14ac:dyDescent="0.25">
      <c r="A305" s="23" t="str">
        <f t="shared" si="29"/>
        <v>2025 JAN-JUN D70</v>
      </c>
      <c r="B305" s="10">
        <f t="shared" si="29"/>
        <v>46104</v>
      </c>
      <c r="C305" s="10">
        <f t="shared" si="29"/>
        <v>46113</v>
      </c>
      <c r="D305" s="11">
        <v>3273</v>
      </c>
      <c r="E305" s="11">
        <v>336</v>
      </c>
      <c r="F305" s="11">
        <v>4</v>
      </c>
      <c r="G305" s="18">
        <v>6</v>
      </c>
      <c r="H305" s="18">
        <v>81588</v>
      </c>
      <c r="I305" s="18" t="s">
        <v>17</v>
      </c>
      <c r="J305" s="18">
        <v>51102500</v>
      </c>
      <c r="K305" s="18" t="s">
        <v>2435</v>
      </c>
      <c r="L305" s="18" t="s">
        <v>2440</v>
      </c>
      <c r="M305" s="21">
        <v>149900</v>
      </c>
      <c r="N305" s="24">
        <f t="shared" si="27"/>
        <v>0.7</v>
      </c>
      <c r="O305" s="25">
        <f t="shared" si="26"/>
        <v>44970</v>
      </c>
      <c r="P305" s="11" t="s">
        <v>20</v>
      </c>
    </row>
    <row r="306" spans="1:16" x14ac:dyDescent="0.25">
      <c r="A306" s="23" t="str">
        <f t="shared" si="29"/>
        <v>2025 JAN-JUN D70</v>
      </c>
      <c r="B306" s="10">
        <f t="shared" si="29"/>
        <v>46104</v>
      </c>
      <c r="C306" s="10">
        <f t="shared" si="29"/>
        <v>46113</v>
      </c>
      <c r="D306" s="11">
        <v>3273</v>
      </c>
      <c r="E306" s="11">
        <v>336</v>
      </c>
      <c r="F306" s="11">
        <v>4</v>
      </c>
      <c r="G306" s="18">
        <v>6</v>
      </c>
      <c r="H306" s="18">
        <v>81588</v>
      </c>
      <c r="I306" s="18" t="s">
        <v>17</v>
      </c>
      <c r="J306" s="18">
        <v>51102519</v>
      </c>
      <c r="K306" s="18" t="s">
        <v>2435</v>
      </c>
      <c r="L306" s="18" t="s">
        <v>2441</v>
      </c>
      <c r="M306" s="21">
        <v>149900</v>
      </c>
      <c r="N306" s="24">
        <f t="shared" si="27"/>
        <v>0.7</v>
      </c>
      <c r="O306" s="25">
        <f t="shared" si="26"/>
        <v>44970</v>
      </c>
      <c r="P306" s="11" t="s">
        <v>20</v>
      </c>
    </row>
    <row r="307" spans="1:16" x14ac:dyDescent="0.25">
      <c r="A307" s="23" t="str">
        <f t="shared" ref="A307:C322" si="30">A306</f>
        <v>2025 JAN-JUN D70</v>
      </c>
      <c r="B307" s="10">
        <f t="shared" si="30"/>
        <v>46104</v>
      </c>
      <c r="C307" s="10">
        <f t="shared" si="30"/>
        <v>46113</v>
      </c>
      <c r="D307" s="11">
        <v>3273</v>
      </c>
      <c r="E307" s="11">
        <v>336</v>
      </c>
      <c r="F307" s="11">
        <v>4</v>
      </c>
      <c r="G307" s="18">
        <v>6</v>
      </c>
      <c r="H307" s="18">
        <v>81588</v>
      </c>
      <c r="I307" s="18" t="s">
        <v>17</v>
      </c>
      <c r="J307" s="18">
        <v>51102528</v>
      </c>
      <c r="K307" s="18" t="s">
        <v>2435</v>
      </c>
      <c r="L307" s="18" t="s">
        <v>2442</v>
      </c>
      <c r="M307" s="21">
        <v>149900</v>
      </c>
      <c r="N307" s="24">
        <f t="shared" si="27"/>
        <v>0.7</v>
      </c>
      <c r="O307" s="25">
        <f t="shared" si="26"/>
        <v>44970</v>
      </c>
      <c r="P307" s="11" t="s">
        <v>20</v>
      </c>
    </row>
    <row r="308" spans="1:16" x14ac:dyDescent="0.25">
      <c r="A308" s="23" t="str">
        <f t="shared" si="30"/>
        <v>2025 JAN-JUN D70</v>
      </c>
      <c r="B308" s="10">
        <f t="shared" si="30"/>
        <v>46104</v>
      </c>
      <c r="C308" s="10">
        <f t="shared" si="30"/>
        <v>46113</v>
      </c>
      <c r="D308" s="11">
        <v>3273</v>
      </c>
      <c r="E308" s="11">
        <v>336</v>
      </c>
      <c r="F308" s="11">
        <v>4</v>
      </c>
      <c r="G308" s="18">
        <v>6</v>
      </c>
      <c r="H308" s="18">
        <v>81588</v>
      </c>
      <c r="I308" s="18" t="s">
        <v>17</v>
      </c>
      <c r="J308" s="18">
        <v>51102537</v>
      </c>
      <c r="K308" s="18" t="s">
        <v>2435</v>
      </c>
      <c r="L308" s="18" t="s">
        <v>2443</v>
      </c>
      <c r="M308" s="21">
        <v>149900</v>
      </c>
      <c r="N308" s="24">
        <f t="shared" si="27"/>
        <v>0.7</v>
      </c>
      <c r="O308" s="25">
        <f t="shared" si="26"/>
        <v>44970</v>
      </c>
      <c r="P308" s="11" t="s">
        <v>20</v>
      </c>
    </row>
    <row r="309" spans="1:16" x14ac:dyDescent="0.25">
      <c r="A309" s="23" t="str">
        <f t="shared" si="30"/>
        <v>2025 JAN-JUN D70</v>
      </c>
      <c r="B309" s="10">
        <f t="shared" si="30"/>
        <v>46104</v>
      </c>
      <c r="C309" s="10">
        <f t="shared" si="30"/>
        <v>46113</v>
      </c>
      <c r="D309" s="11">
        <v>3273</v>
      </c>
      <c r="E309" s="11">
        <v>336</v>
      </c>
      <c r="F309" s="11">
        <v>4</v>
      </c>
      <c r="G309" s="18">
        <v>6</v>
      </c>
      <c r="H309" s="18">
        <v>81588</v>
      </c>
      <c r="I309" s="18" t="s">
        <v>17</v>
      </c>
      <c r="J309" s="18">
        <v>51102546</v>
      </c>
      <c r="K309" s="18" t="s">
        <v>2444</v>
      </c>
      <c r="L309" s="18" t="s">
        <v>2445</v>
      </c>
      <c r="M309" s="21">
        <v>149900</v>
      </c>
      <c r="N309" s="24">
        <f t="shared" si="27"/>
        <v>0.7</v>
      </c>
      <c r="O309" s="25">
        <f t="shared" si="26"/>
        <v>44970</v>
      </c>
      <c r="P309" s="11" t="s">
        <v>20</v>
      </c>
    </row>
    <row r="310" spans="1:16" x14ac:dyDescent="0.25">
      <c r="A310" s="23" t="str">
        <f t="shared" si="30"/>
        <v>2025 JAN-JUN D70</v>
      </c>
      <c r="B310" s="10">
        <f t="shared" si="30"/>
        <v>46104</v>
      </c>
      <c r="C310" s="10">
        <f t="shared" si="30"/>
        <v>46113</v>
      </c>
      <c r="D310" s="11">
        <v>3273</v>
      </c>
      <c r="E310" s="11">
        <v>336</v>
      </c>
      <c r="F310" s="11">
        <v>4</v>
      </c>
      <c r="G310" s="18">
        <v>6</v>
      </c>
      <c r="H310" s="18">
        <v>81588</v>
      </c>
      <c r="I310" s="18" t="s">
        <v>17</v>
      </c>
      <c r="J310" s="18">
        <v>51102555</v>
      </c>
      <c r="K310" s="18" t="s">
        <v>2444</v>
      </c>
      <c r="L310" s="18" t="s">
        <v>2446</v>
      </c>
      <c r="M310" s="21">
        <v>149900</v>
      </c>
      <c r="N310" s="24">
        <f t="shared" si="27"/>
        <v>0.7</v>
      </c>
      <c r="O310" s="25">
        <f t="shared" si="26"/>
        <v>44970</v>
      </c>
      <c r="P310" s="11" t="s">
        <v>20</v>
      </c>
    </row>
    <row r="311" spans="1:16" x14ac:dyDescent="0.25">
      <c r="A311" s="23" t="str">
        <f t="shared" si="30"/>
        <v>2025 JAN-JUN D70</v>
      </c>
      <c r="B311" s="10">
        <f t="shared" si="30"/>
        <v>46104</v>
      </c>
      <c r="C311" s="10">
        <f t="shared" si="30"/>
        <v>46113</v>
      </c>
      <c r="D311" s="11">
        <v>3273</v>
      </c>
      <c r="E311" s="11">
        <v>336</v>
      </c>
      <c r="F311" s="11">
        <v>4</v>
      </c>
      <c r="G311" s="18">
        <v>6</v>
      </c>
      <c r="H311" s="18">
        <v>81588</v>
      </c>
      <c r="I311" s="18" t="s">
        <v>17</v>
      </c>
      <c r="J311" s="18">
        <v>51102564</v>
      </c>
      <c r="K311" s="18" t="s">
        <v>2444</v>
      </c>
      <c r="L311" s="18" t="s">
        <v>2447</v>
      </c>
      <c r="M311" s="21">
        <v>149900</v>
      </c>
      <c r="N311" s="24">
        <f t="shared" si="27"/>
        <v>0.7</v>
      </c>
      <c r="O311" s="25">
        <f t="shared" si="26"/>
        <v>44970</v>
      </c>
      <c r="P311" s="11" t="s">
        <v>20</v>
      </c>
    </row>
    <row r="312" spans="1:16" x14ac:dyDescent="0.25">
      <c r="A312" s="23" t="str">
        <f t="shared" si="30"/>
        <v>2025 JAN-JUN D70</v>
      </c>
      <c r="B312" s="10">
        <f t="shared" si="30"/>
        <v>46104</v>
      </c>
      <c r="C312" s="10">
        <f t="shared" si="30"/>
        <v>46113</v>
      </c>
      <c r="D312" s="11">
        <v>3273</v>
      </c>
      <c r="E312" s="11">
        <v>336</v>
      </c>
      <c r="F312" s="11">
        <v>4</v>
      </c>
      <c r="G312" s="18">
        <v>6</v>
      </c>
      <c r="H312" s="18">
        <v>81588</v>
      </c>
      <c r="I312" s="18" t="s">
        <v>17</v>
      </c>
      <c r="J312" s="18">
        <v>51102573</v>
      </c>
      <c r="K312" s="18" t="s">
        <v>2444</v>
      </c>
      <c r="L312" s="18" t="s">
        <v>2448</v>
      </c>
      <c r="M312" s="21">
        <v>149900</v>
      </c>
      <c r="N312" s="24">
        <f t="shared" si="27"/>
        <v>0.7</v>
      </c>
      <c r="O312" s="25">
        <f t="shared" si="26"/>
        <v>44970</v>
      </c>
      <c r="P312" s="11" t="s">
        <v>20</v>
      </c>
    </row>
    <row r="313" spans="1:16" x14ac:dyDescent="0.25">
      <c r="A313" s="23" t="str">
        <f t="shared" si="30"/>
        <v>2025 JAN-JUN D70</v>
      </c>
      <c r="B313" s="10">
        <f t="shared" si="30"/>
        <v>46104</v>
      </c>
      <c r="C313" s="10">
        <f t="shared" si="30"/>
        <v>46113</v>
      </c>
      <c r="D313" s="11">
        <v>3273</v>
      </c>
      <c r="E313" s="11">
        <v>336</v>
      </c>
      <c r="F313" s="11">
        <v>4</v>
      </c>
      <c r="G313" s="18">
        <v>6</v>
      </c>
      <c r="H313" s="18">
        <v>81588</v>
      </c>
      <c r="I313" s="18" t="s">
        <v>17</v>
      </c>
      <c r="J313" s="18">
        <v>51102582</v>
      </c>
      <c r="K313" s="18" t="s">
        <v>2444</v>
      </c>
      <c r="L313" s="18" t="s">
        <v>2449</v>
      </c>
      <c r="M313" s="21">
        <v>149900</v>
      </c>
      <c r="N313" s="24">
        <f t="shared" si="27"/>
        <v>0.7</v>
      </c>
      <c r="O313" s="25">
        <f t="shared" si="26"/>
        <v>44970</v>
      </c>
      <c r="P313" s="11" t="s">
        <v>20</v>
      </c>
    </row>
    <row r="314" spans="1:16" x14ac:dyDescent="0.25">
      <c r="A314" s="23" t="str">
        <f t="shared" si="30"/>
        <v>2025 JAN-JUN D70</v>
      </c>
      <c r="B314" s="10">
        <f t="shared" si="30"/>
        <v>46104</v>
      </c>
      <c r="C314" s="10">
        <f t="shared" si="30"/>
        <v>46113</v>
      </c>
      <c r="D314" s="11">
        <v>3273</v>
      </c>
      <c r="E314" s="11">
        <v>336</v>
      </c>
      <c r="F314" s="11">
        <v>4</v>
      </c>
      <c r="G314" s="18">
        <v>6</v>
      </c>
      <c r="H314" s="18">
        <v>81588</v>
      </c>
      <c r="I314" s="18" t="s">
        <v>17</v>
      </c>
      <c r="J314" s="18">
        <v>51102591</v>
      </c>
      <c r="K314" s="18" t="s">
        <v>2444</v>
      </c>
      <c r="L314" s="18" t="s">
        <v>2450</v>
      </c>
      <c r="M314" s="21">
        <v>149900</v>
      </c>
      <c r="N314" s="24">
        <f t="shared" si="27"/>
        <v>0.7</v>
      </c>
      <c r="O314" s="25">
        <f t="shared" si="26"/>
        <v>44970</v>
      </c>
      <c r="P314" s="11" t="s">
        <v>20</v>
      </c>
    </row>
    <row r="315" spans="1:16" x14ac:dyDescent="0.25">
      <c r="A315" s="23" t="str">
        <f t="shared" si="30"/>
        <v>2025 JAN-JUN D70</v>
      </c>
      <c r="B315" s="10">
        <f t="shared" si="30"/>
        <v>46104</v>
      </c>
      <c r="C315" s="10">
        <f t="shared" si="30"/>
        <v>46113</v>
      </c>
      <c r="D315" s="11">
        <v>3273</v>
      </c>
      <c r="E315" s="11">
        <v>336</v>
      </c>
      <c r="F315" s="11">
        <v>4</v>
      </c>
      <c r="G315" s="18">
        <v>6</v>
      </c>
      <c r="H315" s="18">
        <v>81588</v>
      </c>
      <c r="I315" s="18" t="s">
        <v>17</v>
      </c>
      <c r="J315" s="18">
        <v>51102608</v>
      </c>
      <c r="K315" s="18" t="s">
        <v>2444</v>
      </c>
      <c r="L315" s="18" t="s">
        <v>2451</v>
      </c>
      <c r="M315" s="21">
        <v>149900</v>
      </c>
      <c r="N315" s="24">
        <f t="shared" si="27"/>
        <v>0.7</v>
      </c>
      <c r="O315" s="25">
        <f t="shared" si="26"/>
        <v>44970</v>
      </c>
      <c r="P315" s="11" t="s">
        <v>20</v>
      </c>
    </row>
    <row r="316" spans="1:16" x14ac:dyDescent="0.25">
      <c r="A316" s="23" t="str">
        <f t="shared" si="30"/>
        <v>2025 JAN-JUN D70</v>
      </c>
      <c r="B316" s="10">
        <f t="shared" si="30"/>
        <v>46104</v>
      </c>
      <c r="C316" s="10">
        <f t="shared" si="30"/>
        <v>46113</v>
      </c>
      <c r="D316" s="11">
        <v>3273</v>
      </c>
      <c r="E316" s="11">
        <v>336</v>
      </c>
      <c r="F316" s="11">
        <v>4</v>
      </c>
      <c r="G316" s="18">
        <v>6</v>
      </c>
      <c r="H316" s="18">
        <v>81588</v>
      </c>
      <c r="I316" s="18" t="s">
        <v>17</v>
      </c>
      <c r="J316" s="18">
        <v>51102617</v>
      </c>
      <c r="K316" s="18" t="s">
        <v>2444</v>
      </c>
      <c r="L316" s="18" t="s">
        <v>2452</v>
      </c>
      <c r="M316" s="21">
        <v>149900</v>
      </c>
      <c r="N316" s="24">
        <f t="shared" si="27"/>
        <v>0.7</v>
      </c>
      <c r="O316" s="25">
        <f t="shared" si="26"/>
        <v>44970</v>
      </c>
      <c r="P316" s="11" t="s">
        <v>20</v>
      </c>
    </row>
    <row r="317" spans="1:16" x14ac:dyDescent="0.25">
      <c r="A317" s="23" t="str">
        <f t="shared" si="30"/>
        <v>2025 JAN-JUN D70</v>
      </c>
      <c r="B317" s="10">
        <f t="shared" si="30"/>
        <v>46104</v>
      </c>
      <c r="C317" s="10">
        <f t="shared" si="30"/>
        <v>46113</v>
      </c>
      <c r="D317" s="11">
        <v>3273</v>
      </c>
      <c r="E317" s="11">
        <v>336</v>
      </c>
      <c r="F317" s="11">
        <v>4</v>
      </c>
      <c r="G317" s="18">
        <v>6</v>
      </c>
      <c r="H317" s="18">
        <v>81588</v>
      </c>
      <c r="I317" s="18" t="s">
        <v>17</v>
      </c>
      <c r="J317" s="18">
        <v>51102626</v>
      </c>
      <c r="K317" s="18" t="s">
        <v>2453</v>
      </c>
      <c r="L317" s="18" t="s">
        <v>2454</v>
      </c>
      <c r="M317" s="21">
        <v>149900</v>
      </c>
      <c r="N317" s="24">
        <f t="shared" si="27"/>
        <v>0.7</v>
      </c>
      <c r="O317" s="25">
        <f t="shared" si="26"/>
        <v>44970</v>
      </c>
      <c r="P317" s="11" t="s">
        <v>20</v>
      </c>
    </row>
    <row r="318" spans="1:16" x14ac:dyDescent="0.25">
      <c r="A318" s="23" t="str">
        <f t="shared" si="30"/>
        <v>2025 JAN-JUN D70</v>
      </c>
      <c r="B318" s="10">
        <f t="shared" si="30"/>
        <v>46104</v>
      </c>
      <c r="C318" s="10">
        <f t="shared" si="30"/>
        <v>46113</v>
      </c>
      <c r="D318" s="11">
        <v>3273</v>
      </c>
      <c r="E318" s="11">
        <v>336</v>
      </c>
      <c r="F318" s="11">
        <v>4</v>
      </c>
      <c r="G318" s="18">
        <v>6</v>
      </c>
      <c r="H318" s="18">
        <v>81588</v>
      </c>
      <c r="I318" s="18" t="s">
        <v>17</v>
      </c>
      <c r="J318" s="18">
        <v>51102635</v>
      </c>
      <c r="K318" s="18" t="s">
        <v>2453</v>
      </c>
      <c r="L318" s="18" t="s">
        <v>2455</v>
      </c>
      <c r="M318" s="21">
        <v>149900</v>
      </c>
      <c r="N318" s="24">
        <f t="shared" si="27"/>
        <v>0.7</v>
      </c>
      <c r="O318" s="25">
        <f t="shared" si="26"/>
        <v>44970</v>
      </c>
      <c r="P318" s="11" t="s">
        <v>20</v>
      </c>
    </row>
    <row r="319" spans="1:16" x14ac:dyDescent="0.25">
      <c r="A319" s="23" t="str">
        <f t="shared" si="30"/>
        <v>2025 JAN-JUN D70</v>
      </c>
      <c r="B319" s="10">
        <f t="shared" si="30"/>
        <v>46104</v>
      </c>
      <c r="C319" s="10">
        <f t="shared" si="30"/>
        <v>46113</v>
      </c>
      <c r="D319" s="11">
        <v>3273</v>
      </c>
      <c r="E319" s="11">
        <v>336</v>
      </c>
      <c r="F319" s="11">
        <v>4</v>
      </c>
      <c r="G319" s="18">
        <v>6</v>
      </c>
      <c r="H319" s="18">
        <v>81588</v>
      </c>
      <c r="I319" s="18" t="s">
        <v>17</v>
      </c>
      <c r="J319" s="18">
        <v>51102644</v>
      </c>
      <c r="K319" s="18" t="s">
        <v>2453</v>
      </c>
      <c r="L319" s="18" t="s">
        <v>2456</v>
      </c>
      <c r="M319" s="21">
        <v>149900</v>
      </c>
      <c r="N319" s="24">
        <f t="shared" si="27"/>
        <v>0.7</v>
      </c>
      <c r="O319" s="25">
        <f t="shared" si="26"/>
        <v>44970</v>
      </c>
      <c r="P319" s="11" t="s">
        <v>20</v>
      </c>
    </row>
    <row r="320" spans="1:16" x14ac:dyDescent="0.25">
      <c r="A320" s="23" t="str">
        <f t="shared" si="30"/>
        <v>2025 JAN-JUN D70</v>
      </c>
      <c r="B320" s="10">
        <f t="shared" si="30"/>
        <v>46104</v>
      </c>
      <c r="C320" s="10">
        <f t="shared" si="30"/>
        <v>46113</v>
      </c>
      <c r="D320" s="11">
        <v>3273</v>
      </c>
      <c r="E320" s="11">
        <v>336</v>
      </c>
      <c r="F320" s="11">
        <v>4</v>
      </c>
      <c r="G320" s="18">
        <v>6</v>
      </c>
      <c r="H320" s="18">
        <v>81588</v>
      </c>
      <c r="I320" s="18" t="s">
        <v>17</v>
      </c>
      <c r="J320" s="18">
        <v>51102653</v>
      </c>
      <c r="K320" s="18" t="s">
        <v>2453</v>
      </c>
      <c r="L320" s="18" t="s">
        <v>2457</v>
      </c>
      <c r="M320" s="21">
        <v>149900</v>
      </c>
      <c r="N320" s="24">
        <f t="shared" si="27"/>
        <v>0.7</v>
      </c>
      <c r="O320" s="25">
        <f t="shared" si="26"/>
        <v>44970</v>
      </c>
      <c r="P320" s="11" t="s">
        <v>20</v>
      </c>
    </row>
    <row r="321" spans="1:16" x14ac:dyDescent="0.25">
      <c r="A321" s="23" t="str">
        <f t="shared" si="30"/>
        <v>2025 JAN-JUN D70</v>
      </c>
      <c r="B321" s="10">
        <f t="shared" si="30"/>
        <v>46104</v>
      </c>
      <c r="C321" s="10">
        <f t="shared" si="30"/>
        <v>46113</v>
      </c>
      <c r="D321" s="11">
        <v>3273</v>
      </c>
      <c r="E321" s="11">
        <v>336</v>
      </c>
      <c r="F321" s="11">
        <v>4</v>
      </c>
      <c r="G321" s="18">
        <v>6</v>
      </c>
      <c r="H321" s="18">
        <v>81588</v>
      </c>
      <c r="I321" s="18" t="s">
        <v>17</v>
      </c>
      <c r="J321" s="18">
        <v>51102662</v>
      </c>
      <c r="K321" s="18" t="s">
        <v>2453</v>
      </c>
      <c r="L321" s="18" t="s">
        <v>2458</v>
      </c>
      <c r="M321" s="21">
        <v>149900</v>
      </c>
      <c r="N321" s="24">
        <f t="shared" si="27"/>
        <v>0.7</v>
      </c>
      <c r="O321" s="25">
        <f t="shared" si="26"/>
        <v>44970</v>
      </c>
      <c r="P321" s="11" t="s">
        <v>20</v>
      </c>
    </row>
    <row r="322" spans="1:16" x14ac:dyDescent="0.25">
      <c r="A322" s="23" t="str">
        <f t="shared" si="30"/>
        <v>2025 JAN-JUN D70</v>
      </c>
      <c r="B322" s="10">
        <f t="shared" si="30"/>
        <v>46104</v>
      </c>
      <c r="C322" s="10">
        <f t="shared" si="30"/>
        <v>46113</v>
      </c>
      <c r="D322" s="11">
        <v>3273</v>
      </c>
      <c r="E322" s="11">
        <v>336</v>
      </c>
      <c r="F322" s="11">
        <v>4</v>
      </c>
      <c r="G322" s="18">
        <v>6</v>
      </c>
      <c r="H322" s="18">
        <v>81588</v>
      </c>
      <c r="I322" s="18" t="s">
        <v>17</v>
      </c>
      <c r="J322" s="18">
        <v>51102671</v>
      </c>
      <c r="K322" s="18" t="s">
        <v>2453</v>
      </c>
      <c r="L322" s="18" t="s">
        <v>2459</v>
      </c>
      <c r="M322" s="21">
        <v>149900</v>
      </c>
      <c r="N322" s="24">
        <f t="shared" si="27"/>
        <v>0.7</v>
      </c>
      <c r="O322" s="25">
        <f t="shared" si="26"/>
        <v>44970</v>
      </c>
      <c r="P322" s="11" t="s">
        <v>20</v>
      </c>
    </row>
    <row r="323" spans="1:16" x14ac:dyDescent="0.25">
      <c r="A323" s="23" t="str">
        <f t="shared" ref="A323:C338" si="31">A322</f>
        <v>2025 JAN-JUN D70</v>
      </c>
      <c r="B323" s="10">
        <f t="shared" si="31"/>
        <v>46104</v>
      </c>
      <c r="C323" s="10">
        <f t="shared" si="31"/>
        <v>46113</v>
      </c>
      <c r="D323" s="11">
        <v>3273</v>
      </c>
      <c r="E323" s="11">
        <v>336</v>
      </c>
      <c r="F323" s="11">
        <v>4</v>
      </c>
      <c r="G323" s="18">
        <v>6</v>
      </c>
      <c r="H323" s="18">
        <v>81588</v>
      </c>
      <c r="I323" s="18" t="s">
        <v>17</v>
      </c>
      <c r="J323" s="18">
        <v>51102680</v>
      </c>
      <c r="K323" s="18" t="s">
        <v>2453</v>
      </c>
      <c r="L323" s="18" t="s">
        <v>2460</v>
      </c>
      <c r="M323" s="21">
        <v>149900</v>
      </c>
      <c r="N323" s="24">
        <f t="shared" si="27"/>
        <v>0.7</v>
      </c>
      <c r="O323" s="25">
        <f t="shared" ref="O323:O386" si="32">M323-((70*M323)/100)</f>
        <v>44970</v>
      </c>
      <c r="P323" s="11" t="s">
        <v>20</v>
      </c>
    </row>
    <row r="324" spans="1:16" x14ac:dyDescent="0.25">
      <c r="A324" s="23" t="str">
        <f t="shared" si="31"/>
        <v>2025 JAN-JUN D70</v>
      </c>
      <c r="B324" s="10">
        <f t="shared" si="31"/>
        <v>46104</v>
      </c>
      <c r="C324" s="10">
        <f t="shared" si="31"/>
        <v>46113</v>
      </c>
      <c r="D324" s="11">
        <v>3273</v>
      </c>
      <c r="E324" s="11">
        <v>336</v>
      </c>
      <c r="F324" s="11">
        <v>4</v>
      </c>
      <c r="G324" s="18">
        <v>6</v>
      </c>
      <c r="H324" s="18">
        <v>81588</v>
      </c>
      <c r="I324" s="18" t="s">
        <v>17</v>
      </c>
      <c r="J324" s="18">
        <v>51102699</v>
      </c>
      <c r="K324" s="18" t="s">
        <v>2453</v>
      </c>
      <c r="L324" s="18" t="s">
        <v>2461</v>
      </c>
      <c r="M324" s="21">
        <v>149900</v>
      </c>
      <c r="N324" s="24">
        <f t="shared" ref="N324:N387" si="33">N323</f>
        <v>0.7</v>
      </c>
      <c r="O324" s="25">
        <f t="shared" si="32"/>
        <v>44970</v>
      </c>
      <c r="P324" s="11" t="s">
        <v>20</v>
      </c>
    </row>
    <row r="325" spans="1:16" x14ac:dyDescent="0.25">
      <c r="A325" s="23" t="str">
        <f t="shared" si="31"/>
        <v>2025 JAN-JUN D70</v>
      </c>
      <c r="B325" s="10">
        <f t="shared" si="31"/>
        <v>46104</v>
      </c>
      <c r="C325" s="10">
        <f t="shared" si="31"/>
        <v>46113</v>
      </c>
      <c r="D325" s="11">
        <v>3273</v>
      </c>
      <c r="E325" s="11">
        <v>336</v>
      </c>
      <c r="F325" s="11">
        <v>4</v>
      </c>
      <c r="G325" s="18">
        <v>6</v>
      </c>
      <c r="H325" s="18">
        <v>81588</v>
      </c>
      <c r="I325" s="18" t="s">
        <v>17</v>
      </c>
      <c r="J325" s="18">
        <v>51103027</v>
      </c>
      <c r="K325" s="18" t="s">
        <v>2462</v>
      </c>
      <c r="L325" s="18" t="s">
        <v>2463</v>
      </c>
      <c r="M325" s="21">
        <v>149900</v>
      </c>
      <c r="N325" s="24">
        <f t="shared" si="33"/>
        <v>0.7</v>
      </c>
      <c r="O325" s="25">
        <f t="shared" si="32"/>
        <v>44970</v>
      </c>
      <c r="P325" s="11" t="s">
        <v>20</v>
      </c>
    </row>
    <row r="326" spans="1:16" x14ac:dyDescent="0.25">
      <c r="A326" s="23" t="str">
        <f t="shared" si="31"/>
        <v>2025 JAN-JUN D70</v>
      </c>
      <c r="B326" s="10">
        <f t="shared" si="31"/>
        <v>46104</v>
      </c>
      <c r="C326" s="10">
        <f t="shared" si="31"/>
        <v>46113</v>
      </c>
      <c r="D326" s="11">
        <v>3273</v>
      </c>
      <c r="E326" s="11">
        <v>336</v>
      </c>
      <c r="F326" s="11">
        <v>4</v>
      </c>
      <c r="G326" s="18">
        <v>6</v>
      </c>
      <c r="H326" s="18">
        <v>81588</v>
      </c>
      <c r="I326" s="18" t="s">
        <v>17</v>
      </c>
      <c r="J326" s="18">
        <v>51103036</v>
      </c>
      <c r="K326" s="18" t="s">
        <v>2462</v>
      </c>
      <c r="L326" s="18" t="s">
        <v>2464</v>
      </c>
      <c r="M326" s="21">
        <v>149900</v>
      </c>
      <c r="N326" s="24">
        <f t="shared" si="33"/>
        <v>0.7</v>
      </c>
      <c r="O326" s="25">
        <f t="shared" si="32"/>
        <v>44970</v>
      </c>
      <c r="P326" s="11" t="s">
        <v>20</v>
      </c>
    </row>
    <row r="327" spans="1:16" x14ac:dyDescent="0.25">
      <c r="A327" s="23" t="str">
        <f t="shared" si="31"/>
        <v>2025 JAN-JUN D70</v>
      </c>
      <c r="B327" s="10">
        <f t="shared" si="31"/>
        <v>46104</v>
      </c>
      <c r="C327" s="10">
        <f t="shared" si="31"/>
        <v>46113</v>
      </c>
      <c r="D327" s="11">
        <v>3273</v>
      </c>
      <c r="E327" s="11">
        <v>336</v>
      </c>
      <c r="F327" s="11">
        <v>4</v>
      </c>
      <c r="G327" s="18">
        <v>6</v>
      </c>
      <c r="H327" s="18">
        <v>81588</v>
      </c>
      <c r="I327" s="18" t="s">
        <v>17</v>
      </c>
      <c r="J327" s="18">
        <v>51103045</v>
      </c>
      <c r="K327" s="18" t="s">
        <v>2462</v>
      </c>
      <c r="L327" s="18" t="s">
        <v>2465</v>
      </c>
      <c r="M327" s="21">
        <v>149900</v>
      </c>
      <c r="N327" s="24">
        <f t="shared" si="33"/>
        <v>0.7</v>
      </c>
      <c r="O327" s="25">
        <f t="shared" si="32"/>
        <v>44970</v>
      </c>
      <c r="P327" s="11" t="s">
        <v>20</v>
      </c>
    </row>
    <row r="328" spans="1:16" x14ac:dyDescent="0.25">
      <c r="A328" s="23" t="str">
        <f t="shared" si="31"/>
        <v>2025 JAN-JUN D70</v>
      </c>
      <c r="B328" s="10">
        <f t="shared" si="31"/>
        <v>46104</v>
      </c>
      <c r="C328" s="10">
        <f t="shared" si="31"/>
        <v>46113</v>
      </c>
      <c r="D328" s="11">
        <v>3273</v>
      </c>
      <c r="E328" s="11">
        <v>336</v>
      </c>
      <c r="F328" s="11">
        <v>4</v>
      </c>
      <c r="G328" s="18">
        <v>6</v>
      </c>
      <c r="H328" s="18">
        <v>81588</v>
      </c>
      <c r="I328" s="18" t="s">
        <v>17</v>
      </c>
      <c r="J328" s="18">
        <v>51103054</v>
      </c>
      <c r="K328" s="18" t="s">
        <v>2462</v>
      </c>
      <c r="L328" s="18" t="s">
        <v>2466</v>
      </c>
      <c r="M328" s="21">
        <v>149900</v>
      </c>
      <c r="N328" s="24">
        <f t="shared" si="33"/>
        <v>0.7</v>
      </c>
      <c r="O328" s="25">
        <f t="shared" si="32"/>
        <v>44970</v>
      </c>
      <c r="P328" s="11" t="s">
        <v>20</v>
      </c>
    </row>
    <row r="329" spans="1:16" x14ac:dyDescent="0.25">
      <c r="A329" s="23" t="str">
        <f t="shared" si="31"/>
        <v>2025 JAN-JUN D70</v>
      </c>
      <c r="B329" s="10">
        <f t="shared" si="31"/>
        <v>46104</v>
      </c>
      <c r="C329" s="10">
        <f t="shared" si="31"/>
        <v>46113</v>
      </c>
      <c r="D329" s="11">
        <v>3273</v>
      </c>
      <c r="E329" s="11">
        <v>336</v>
      </c>
      <c r="F329" s="11">
        <v>4</v>
      </c>
      <c r="G329" s="18">
        <v>6</v>
      </c>
      <c r="H329" s="18">
        <v>81588</v>
      </c>
      <c r="I329" s="18" t="s">
        <v>17</v>
      </c>
      <c r="J329" s="18">
        <v>51103063</v>
      </c>
      <c r="K329" s="18" t="s">
        <v>2462</v>
      </c>
      <c r="L329" s="18" t="s">
        <v>2467</v>
      </c>
      <c r="M329" s="21">
        <v>149900</v>
      </c>
      <c r="N329" s="24">
        <f t="shared" si="33"/>
        <v>0.7</v>
      </c>
      <c r="O329" s="25">
        <f t="shared" si="32"/>
        <v>44970</v>
      </c>
      <c r="P329" s="11" t="s">
        <v>20</v>
      </c>
    </row>
    <row r="330" spans="1:16" x14ac:dyDescent="0.25">
      <c r="A330" s="23" t="str">
        <f t="shared" si="31"/>
        <v>2025 JAN-JUN D70</v>
      </c>
      <c r="B330" s="10">
        <f t="shared" si="31"/>
        <v>46104</v>
      </c>
      <c r="C330" s="10">
        <f t="shared" si="31"/>
        <v>46113</v>
      </c>
      <c r="D330" s="11">
        <v>3273</v>
      </c>
      <c r="E330" s="11">
        <v>336</v>
      </c>
      <c r="F330" s="11">
        <v>4</v>
      </c>
      <c r="G330" s="18">
        <v>6</v>
      </c>
      <c r="H330" s="18">
        <v>81588</v>
      </c>
      <c r="I330" s="18" t="s">
        <v>17</v>
      </c>
      <c r="J330" s="18">
        <v>51103072</v>
      </c>
      <c r="K330" s="18" t="s">
        <v>2462</v>
      </c>
      <c r="L330" s="18" t="s">
        <v>2468</v>
      </c>
      <c r="M330" s="21">
        <v>149900</v>
      </c>
      <c r="N330" s="24">
        <f t="shared" si="33"/>
        <v>0.7</v>
      </c>
      <c r="O330" s="25">
        <f t="shared" si="32"/>
        <v>44970</v>
      </c>
      <c r="P330" s="11" t="s">
        <v>20</v>
      </c>
    </row>
    <row r="331" spans="1:16" x14ac:dyDescent="0.25">
      <c r="A331" s="23" t="str">
        <f t="shared" si="31"/>
        <v>2025 JAN-JUN D70</v>
      </c>
      <c r="B331" s="10">
        <f t="shared" si="31"/>
        <v>46104</v>
      </c>
      <c r="C331" s="10">
        <f t="shared" si="31"/>
        <v>46113</v>
      </c>
      <c r="D331" s="11">
        <v>3273</v>
      </c>
      <c r="E331" s="11">
        <v>336</v>
      </c>
      <c r="F331" s="11">
        <v>4</v>
      </c>
      <c r="G331" s="18">
        <v>6</v>
      </c>
      <c r="H331" s="18">
        <v>81588</v>
      </c>
      <c r="I331" s="18" t="s">
        <v>17</v>
      </c>
      <c r="J331" s="18">
        <v>51103081</v>
      </c>
      <c r="K331" s="18" t="s">
        <v>2462</v>
      </c>
      <c r="L331" s="18" t="s">
        <v>2469</v>
      </c>
      <c r="M331" s="21">
        <v>149900</v>
      </c>
      <c r="N331" s="24">
        <f t="shared" si="33"/>
        <v>0.7</v>
      </c>
      <c r="O331" s="25">
        <f t="shared" si="32"/>
        <v>44970</v>
      </c>
      <c r="P331" s="11" t="s">
        <v>20</v>
      </c>
    </row>
    <row r="332" spans="1:16" x14ac:dyDescent="0.25">
      <c r="A332" s="23" t="str">
        <f t="shared" si="31"/>
        <v>2025 JAN-JUN D70</v>
      </c>
      <c r="B332" s="10">
        <f t="shared" si="31"/>
        <v>46104</v>
      </c>
      <c r="C332" s="10">
        <f t="shared" si="31"/>
        <v>46113</v>
      </c>
      <c r="D332" s="11">
        <v>3273</v>
      </c>
      <c r="E332" s="11">
        <v>336</v>
      </c>
      <c r="F332" s="11">
        <v>4</v>
      </c>
      <c r="G332" s="18">
        <v>6</v>
      </c>
      <c r="H332" s="18">
        <v>81588</v>
      </c>
      <c r="I332" s="18" t="s">
        <v>17</v>
      </c>
      <c r="J332" s="18">
        <v>51103090</v>
      </c>
      <c r="K332" s="18" t="s">
        <v>2462</v>
      </c>
      <c r="L332" s="18" t="s">
        <v>2470</v>
      </c>
      <c r="M332" s="21">
        <v>149900</v>
      </c>
      <c r="N332" s="24">
        <f t="shared" si="33"/>
        <v>0.7</v>
      </c>
      <c r="O332" s="25">
        <f t="shared" si="32"/>
        <v>44970</v>
      </c>
      <c r="P332" s="11" t="s">
        <v>20</v>
      </c>
    </row>
    <row r="333" spans="1:16" x14ac:dyDescent="0.25">
      <c r="A333" s="23" t="str">
        <f t="shared" si="31"/>
        <v>2025 JAN-JUN D70</v>
      </c>
      <c r="B333" s="10">
        <f t="shared" si="31"/>
        <v>46104</v>
      </c>
      <c r="C333" s="10">
        <f t="shared" si="31"/>
        <v>46113</v>
      </c>
      <c r="D333" s="11">
        <v>3273</v>
      </c>
      <c r="E333" s="11">
        <v>336</v>
      </c>
      <c r="F333" s="11">
        <v>4</v>
      </c>
      <c r="G333" s="18">
        <v>6</v>
      </c>
      <c r="H333" s="18">
        <v>81588</v>
      </c>
      <c r="I333" s="18" t="s">
        <v>17</v>
      </c>
      <c r="J333" s="18">
        <v>51103107</v>
      </c>
      <c r="K333" s="18" t="s">
        <v>2471</v>
      </c>
      <c r="L333" s="18" t="s">
        <v>2472</v>
      </c>
      <c r="M333" s="21">
        <v>149900</v>
      </c>
      <c r="N333" s="24">
        <f t="shared" si="33"/>
        <v>0.7</v>
      </c>
      <c r="O333" s="25">
        <f t="shared" si="32"/>
        <v>44970</v>
      </c>
      <c r="P333" s="11" t="s">
        <v>20</v>
      </c>
    </row>
    <row r="334" spans="1:16" x14ac:dyDescent="0.25">
      <c r="A334" s="23" t="str">
        <f t="shared" si="31"/>
        <v>2025 JAN-JUN D70</v>
      </c>
      <c r="B334" s="10">
        <f t="shared" si="31"/>
        <v>46104</v>
      </c>
      <c r="C334" s="10">
        <f t="shared" si="31"/>
        <v>46113</v>
      </c>
      <c r="D334" s="11">
        <v>3273</v>
      </c>
      <c r="E334" s="11">
        <v>336</v>
      </c>
      <c r="F334" s="11">
        <v>4</v>
      </c>
      <c r="G334" s="18">
        <v>6</v>
      </c>
      <c r="H334" s="18">
        <v>81588</v>
      </c>
      <c r="I334" s="18" t="s">
        <v>17</v>
      </c>
      <c r="J334" s="18">
        <v>51103116</v>
      </c>
      <c r="K334" s="18" t="s">
        <v>2471</v>
      </c>
      <c r="L334" s="18" t="s">
        <v>2473</v>
      </c>
      <c r="M334" s="21">
        <v>149900</v>
      </c>
      <c r="N334" s="24">
        <f t="shared" si="33"/>
        <v>0.7</v>
      </c>
      <c r="O334" s="25">
        <f t="shared" si="32"/>
        <v>44970</v>
      </c>
      <c r="P334" s="11" t="s">
        <v>20</v>
      </c>
    </row>
    <row r="335" spans="1:16" x14ac:dyDescent="0.25">
      <c r="A335" s="23" t="str">
        <f t="shared" si="31"/>
        <v>2025 JAN-JUN D70</v>
      </c>
      <c r="B335" s="10">
        <f t="shared" si="31"/>
        <v>46104</v>
      </c>
      <c r="C335" s="10">
        <f t="shared" si="31"/>
        <v>46113</v>
      </c>
      <c r="D335" s="11">
        <v>3273</v>
      </c>
      <c r="E335" s="11">
        <v>336</v>
      </c>
      <c r="F335" s="11">
        <v>4</v>
      </c>
      <c r="G335" s="18">
        <v>6</v>
      </c>
      <c r="H335" s="18">
        <v>81588</v>
      </c>
      <c r="I335" s="18" t="s">
        <v>17</v>
      </c>
      <c r="J335" s="18">
        <v>51103125</v>
      </c>
      <c r="K335" s="18" t="s">
        <v>2471</v>
      </c>
      <c r="L335" s="18" t="s">
        <v>2474</v>
      </c>
      <c r="M335" s="21">
        <v>149900</v>
      </c>
      <c r="N335" s="24">
        <f t="shared" si="33"/>
        <v>0.7</v>
      </c>
      <c r="O335" s="25">
        <f t="shared" si="32"/>
        <v>44970</v>
      </c>
      <c r="P335" s="11" t="s">
        <v>20</v>
      </c>
    </row>
    <row r="336" spans="1:16" x14ac:dyDescent="0.25">
      <c r="A336" s="23" t="str">
        <f t="shared" si="31"/>
        <v>2025 JAN-JUN D70</v>
      </c>
      <c r="B336" s="10">
        <f t="shared" si="31"/>
        <v>46104</v>
      </c>
      <c r="C336" s="10">
        <f t="shared" si="31"/>
        <v>46113</v>
      </c>
      <c r="D336" s="11">
        <v>3273</v>
      </c>
      <c r="E336" s="11">
        <v>336</v>
      </c>
      <c r="F336" s="11">
        <v>4</v>
      </c>
      <c r="G336" s="18">
        <v>6</v>
      </c>
      <c r="H336" s="18">
        <v>81588</v>
      </c>
      <c r="I336" s="18" t="s">
        <v>17</v>
      </c>
      <c r="J336" s="18">
        <v>51103134</v>
      </c>
      <c r="K336" s="18" t="s">
        <v>2471</v>
      </c>
      <c r="L336" s="18" t="s">
        <v>2475</v>
      </c>
      <c r="M336" s="21">
        <v>149900</v>
      </c>
      <c r="N336" s="24">
        <f t="shared" si="33"/>
        <v>0.7</v>
      </c>
      <c r="O336" s="25">
        <f t="shared" si="32"/>
        <v>44970</v>
      </c>
      <c r="P336" s="11" t="s">
        <v>20</v>
      </c>
    </row>
    <row r="337" spans="1:16" x14ac:dyDescent="0.25">
      <c r="A337" s="23" t="str">
        <f t="shared" si="31"/>
        <v>2025 JAN-JUN D70</v>
      </c>
      <c r="B337" s="10">
        <f t="shared" si="31"/>
        <v>46104</v>
      </c>
      <c r="C337" s="10">
        <f t="shared" si="31"/>
        <v>46113</v>
      </c>
      <c r="D337" s="11">
        <v>3273</v>
      </c>
      <c r="E337" s="11">
        <v>336</v>
      </c>
      <c r="F337" s="11">
        <v>4</v>
      </c>
      <c r="G337" s="18">
        <v>6</v>
      </c>
      <c r="H337" s="18">
        <v>81588</v>
      </c>
      <c r="I337" s="18" t="s">
        <v>17</v>
      </c>
      <c r="J337" s="18">
        <v>51103143</v>
      </c>
      <c r="K337" s="18" t="s">
        <v>2471</v>
      </c>
      <c r="L337" s="18" t="s">
        <v>2476</v>
      </c>
      <c r="M337" s="21">
        <v>149900</v>
      </c>
      <c r="N337" s="24">
        <f t="shared" si="33"/>
        <v>0.7</v>
      </c>
      <c r="O337" s="25">
        <f t="shared" si="32"/>
        <v>44970</v>
      </c>
      <c r="P337" s="11" t="s">
        <v>20</v>
      </c>
    </row>
    <row r="338" spans="1:16" x14ac:dyDescent="0.25">
      <c r="A338" s="23" t="str">
        <f t="shared" si="31"/>
        <v>2025 JAN-JUN D70</v>
      </c>
      <c r="B338" s="10">
        <f t="shared" si="31"/>
        <v>46104</v>
      </c>
      <c r="C338" s="10">
        <f t="shared" si="31"/>
        <v>46113</v>
      </c>
      <c r="D338" s="11">
        <v>3273</v>
      </c>
      <c r="E338" s="11">
        <v>336</v>
      </c>
      <c r="F338" s="11">
        <v>4</v>
      </c>
      <c r="G338" s="18">
        <v>6</v>
      </c>
      <c r="H338" s="18">
        <v>81588</v>
      </c>
      <c r="I338" s="18" t="s">
        <v>17</v>
      </c>
      <c r="J338" s="18">
        <v>51103152</v>
      </c>
      <c r="K338" s="18" t="s">
        <v>2471</v>
      </c>
      <c r="L338" s="18" t="s">
        <v>2477</v>
      </c>
      <c r="M338" s="21">
        <v>149900</v>
      </c>
      <c r="N338" s="24">
        <f t="shared" si="33"/>
        <v>0.7</v>
      </c>
      <c r="O338" s="25">
        <f t="shared" si="32"/>
        <v>44970</v>
      </c>
      <c r="P338" s="11" t="s">
        <v>20</v>
      </c>
    </row>
    <row r="339" spans="1:16" x14ac:dyDescent="0.25">
      <c r="A339" s="23" t="str">
        <f t="shared" ref="A339:C354" si="34">A338</f>
        <v>2025 JAN-JUN D70</v>
      </c>
      <c r="B339" s="10">
        <f t="shared" si="34"/>
        <v>46104</v>
      </c>
      <c r="C339" s="10">
        <f t="shared" si="34"/>
        <v>46113</v>
      </c>
      <c r="D339" s="11">
        <v>3273</v>
      </c>
      <c r="E339" s="11">
        <v>336</v>
      </c>
      <c r="F339" s="11">
        <v>4</v>
      </c>
      <c r="G339" s="18">
        <v>6</v>
      </c>
      <c r="H339" s="18">
        <v>81588</v>
      </c>
      <c r="I339" s="18" t="s">
        <v>17</v>
      </c>
      <c r="J339" s="18">
        <v>51103161</v>
      </c>
      <c r="K339" s="18" t="s">
        <v>2471</v>
      </c>
      <c r="L339" s="18" t="s">
        <v>2478</v>
      </c>
      <c r="M339" s="21">
        <v>149900</v>
      </c>
      <c r="N339" s="24">
        <f t="shared" si="33"/>
        <v>0.7</v>
      </c>
      <c r="O339" s="25">
        <f t="shared" si="32"/>
        <v>44970</v>
      </c>
      <c r="P339" s="11" t="s">
        <v>20</v>
      </c>
    </row>
    <row r="340" spans="1:16" x14ac:dyDescent="0.25">
      <c r="A340" s="23" t="str">
        <f t="shared" si="34"/>
        <v>2025 JAN-JUN D70</v>
      </c>
      <c r="B340" s="10">
        <f t="shared" si="34"/>
        <v>46104</v>
      </c>
      <c r="C340" s="10">
        <f t="shared" si="34"/>
        <v>46113</v>
      </c>
      <c r="D340" s="11">
        <v>3273</v>
      </c>
      <c r="E340" s="11">
        <v>336</v>
      </c>
      <c r="F340" s="11">
        <v>4</v>
      </c>
      <c r="G340" s="18">
        <v>6</v>
      </c>
      <c r="H340" s="18">
        <v>81588</v>
      </c>
      <c r="I340" s="18" t="s">
        <v>17</v>
      </c>
      <c r="J340" s="18">
        <v>51103170</v>
      </c>
      <c r="K340" s="18" t="s">
        <v>2471</v>
      </c>
      <c r="L340" s="18" t="s">
        <v>2479</v>
      </c>
      <c r="M340" s="21">
        <v>149900</v>
      </c>
      <c r="N340" s="24">
        <f t="shared" si="33"/>
        <v>0.7</v>
      </c>
      <c r="O340" s="25">
        <f t="shared" si="32"/>
        <v>44970</v>
      </c>
      <c r="P340" s="11" t="s">
        <v>20</v>
      </c>
    </row>
    <row r="341" spans="1:16" x14ac:dyDescent="0.25">
      <c r="A341" s="23" t="str">
        <f t="shared" si="34"/>
        <v>2025 JAN-JUN D70</v>
      </c>
      <c r="B341" s="10">
        <f t="shared" si="34"/>
        <v>46104</v>
      </c>
      <c r="C341" s="10">
        <f t="shared" si="34"/>
        <v>46113</v>
      </c>
      <c r="D341" s="11">
        <v>3273</v>
      </c>
      <c r="E341" s="11">
        <v>336</v>
      </c>
      <c r="F341" s="11">
        <v>4</v>
      </c>
      <c r="G341" s="18">
        <v>6</v>
      </c>
      <c r="H341" s="18">
        <v>81588</v>
      </c>
      <c r="I341" s="18" t="s">
        <v>17</v>
      </c>
      <c r="J341" s="18">
        <v>51103269</v>
      </c>
      <c r="K341" s="18" t="s">
        <v>2480</v>
      </c>
      <c r="L341" s="18" t="s">
        <v>2481</v>
      </c>
      <c r="M341" s="21">
        <v>149900</v>
      </c>
      <c r="N341" s="24">
        <f t="shared" si="33"/>
        <v>0.7</v>
      </c>
      <c r="O341" s="25">
        <f t="shared" si="32"/>
        <v>44970</v>
      </c>
      <c r="P341" s="11" t="s">
        <v>20</v>
      </c>
    </row>
    <row r="342" spans="1:16" x14ac:dyDescent="0.25">
      <c r="A342" s="23" t="str">
        <f t="shared" si="34"/>
        <v>2025 JAN-JUN D70</v>
      </c>
      <c r="B342" s="10">
        <f t="shared" si="34"/>
        <v>46104</v>
      </c>
      <c r="C342" s="10">
        <f t="shared" si="34"/>
        <v>46113</v>
      </c>
      <c r="D342" s="11">
        <v>3273</v>
      </c>
      <c r="E342" s="11">
        <v>336</v>
      </c>
      <c r="F342" s="11">
        <v>4</v>
      </c>
      <c r="G342" s="18">
        <v>6</v>
      </c>
      <c r="H342" s="18">
        <v>81588</v>
      </c>
      <c r="I342" s="18" t="s">
        <v>17</v>
      </c>
      <c r="J342" s="18">
        <v>51103278</v>
      </c>
      <c r="K342" s="18" t="s">
        <v>2480</v>
      </c>
      <c r="L342" s="18" t="s">
        <v>2482</v>
      </c>
      <c r="M342" s="21">
        <v>149900</v>
      </c>
      <c r="N342" s="24">
        <f t="shared" si="33"/>
        <v>0.7</v>
      </c>
      <c r="O342" s="25">
        <f t="shared" si="32"/>
        <v>44970</v>
      </c>
      <c r="P342" s="11" t="s">
        <v>20</v>
      </c>
    </row>
    <row r="343" spans="1:16" x14ac:dyDescent="0.25">
      <c r="A343" s="23" t="str">
        <f t="shared" si="34"/>
        <v>2025 JAN-JUN D70</v>
      </c>
      <c r="B343" s="10">
        <f t="shared" si="34"/>
        <v>46104</v>
      </c>
      <c r="C343" s="10">
        <f t="shared" si="34"/>
        <v>46113</v>
      </c>
      <c r="D343" s="11">
        <v>3273</v>
      </c>
      <c r="E343" s="11">
        <v>336</v>
      </c>
      <c r="F343" s="11">
        <v>4</v>
      </c>
      <c r="G343" s="18">
        <v>6</v>
      </c>
      <c r="H343" s="18">
        <v>81588</v>
      </c>
      <c r="I343" s="18" t="s">
        <v>17</v>
      </c>
      <c r="J343" s="18">
        <v>51103287</v>
      </c>
      <c r="K343" s="18" t="s">
        <v>2480</v>
      </c>
      <c r="L343" s="18" t="s">
        <v>2483</v>
      </c>
      <c r="M343" s="21">
        <v>149900</v>
      </c>
      <c r="N343" s="24">
        <f t="shared" si="33"/>
        <v>0.7</v>
      </c>
      <c r="O343" s="25">
        <f t="shared" si="32"/>
        <v>44970</v>
      </c>
      <c r="P343" s="11" t="s">
        <v>20</v>
      </c>
    </row>
    <row r="344" spans="1:16" x14ac:dyDescent="0.25">
      <c r="A344" s="23" t="str">
        <f t="shared" si="34"/>
        <v>2025 JAN-JUN D70</v>
      </c>
      <c r="B344" s="10">
        <f t="shared" si="34"/>
        <v>46104</v>
      </c>
      <c r="C344" s="10">
        <f t="shared" si="34"/>
        <v>46113</v>
      </c>
      <c r="D344" s="11">
        <v>3273</v>
      </c>
      <c r="E344" s="11">
        <v>336</v>
      </c>
      <c r="F344" s="11">
        <v>4</v>
      </c>
      <c r="G344" s="18">
        <v>6</v>
      </c>
      <c r="H344" s="18">
        <v>81588</v>
      </c>
      <c r="I344" s="18" t="s">
        <v>17</v>
      </c>
      <c r="J344" s="18">
        <v>51103296</v>
      </c>
      <c r="K344" s="18" t="s">
        <v>2480</v>
      </c>
      <c r="L344" s="18" t="s">
        <v>2484</v>
      </c>
      <c r="M344" s="21">
        <v>149900</v>
      </c>
      <c r="N344" s="24">
        <f t="shared" si="33"/>
        <v>0.7</v>
      </c>
      <c r="O344" s="25">
        <f t="shared" si="32"/>
        <v>44970</v>
      </c>
      <c r="P344" s="11" t="s">
        <v>20</v>
      </c>
    </row>
    <row r="345" spans="1:16" x14ac:dyDescent="0.25">
      <c r="A345" s="23" t="str">
        <f t="shared" si="34"/>
        <v>2025 JAN-JUN D70</v>
      </c>
      <c r="B345" s="10">
        <f t="shared" si="34"/>
        <v>46104</v>
      </c>
      <c r="C345" s="10">
        <f t="shared" si="34"/>
        <v>46113</v>
      </c>
      <c r="D345" s="11">
        <v>3273</v>
      </c>
      <c r="E345" s="11">
        <v>336</v>
      </c>
      <c r="F345" s="11">
        <v>4</v>
      </c>
      <c r="G345" s="18">
        <v>6</v>
      </c>
      <c r="H345" s="18">
        <v>81588</v>
      </c>
      <c r="I345" s="18" t="s">
        <v>17</v>
      </c>
      <c r="J345" s="18">
        <v>51103303</v>
      </c>
      <c r="K345" s="18" t="s">
        <v>2480</v>
      </c>
      <c r="L345" s="18" t="s">
        <v>2485</v>
      </c>
      <c r="M345" s="21">
        <v>149900</v>
      </c>
      <c r="N345" s="24">
        <f t="shared" si="33"/>
        <v>0.7</v>
      </c>
      <c r="O345" s="25">
        <f t="shared" si="32"/>
        <v>44970</v>
      </c>
      <c r="P345" s="11" t="s">
        <v>20</v>
      </c>
    </row>
    <row r="346" spans="1:16" x14ac:dyDescent="0.25">
      <c r="A346" s="23" t="str">
        <f t="shared" si="34"/>
        <v>2025 JAN-JUN D70</v>
      </c>
      <c r="B346" s="10">
        <f t="shared" si="34"/>
        <v>46104</v>
      </c>
      <c r="C346" s="10">
        <f t="shared" si="34"/>
        <v>46113</v>
      </c>
      <c r="D346" s="11">
        <v>3273</v>
      </c>
      <c r="E346" s="11">
        <v>336</v>
      </c>
      <c r="F346" s="11">
        <v>4</v>
      </c>
      <c r="G346" s="18">
        <v>6</v>
      </c>
      <c r="H346" s="18">
        <v>81588</v>
      </c>
      <c r="I346" s="18" t="s">
        <v>17</v>
      </c>
      <c r="J346" s="18">
        <v>51103312</v>
      </c>
      <c r="K346" s="18" t="s">
        <v>2486</v>
      </c>
      <c r="L346" s="18" t="s">
        <v>2487</v>
      </c>
      <c r="M346" s="21">
        <v>139900</v>
      </c>
      <c r="N346" s="24">
        <f t="shared" si="33"/>
        <v>0.7</v>
      </c>
      <c r="O346" s="25">
        <f t="shared" si="32"/>
        <v>41970</v>
      </c>
      <c r="P346" s="11" t="s">
        <v>20</v>
      </c>
    </row>
    <row r="347" spans="1:16" x14ac:dyDescent="0.25">
      <c r="A347" s="23" t="str">
        <f t="shared" si="34"/>
        <v>2025 JAN-JUN D70</v>
      </c>
      <c r="B347" s="10">
        <f t="shared" si="34"/>
        <v>46104</v>
      </c>
      <c r="C347" s="10">
        <f t="shared" si="34"/>
        <v>46113</v>
      </c>
      <c r="D347" s="11">
        <v>3273</v>
      </c>
      <c r="E347" s="11">
        <v>336</v>
      </c>
      <c r="F347" s="11">
        <v>4</v>
      </c>
      <c r="G347" s="18">
        <v>6</v>
      </c>
      <c r="H347" s="18">
        <v>81588</v>
      </c>
      <c r="I347" s="18" t="s">
        <v>17</v>
      </c>
      <c r="J347" s="18">
        <v>51103321</v>
      </c>
      <c r="K347" s="18" t="s">
        <v>2486</v>
      </c>
      <c r="L347" s="18" t="s">
        <v>2488</v>
      </c>
      <c r="M347" s="21">
        <v>139900</v>
      </c>
      <c r="N347" s="24">
        <f t="shared" si="33"/>
        <v>0.7</v>
      </c>
      <c r="O347" s="25">
        <f t="shared" si="32"/>
        <v>41970</v>
      </c>
      <c r="P347" s="11" t="s">
        <v>20</v>
      </c>
    </row>
    <row r="348" spans="1:16" x14ac:dyDescent="0.25">
      <c r="A348" s="23" t="str">
        <f t="shared" si="34"/>
        <v>2025 JAN-JUN D70</v>
      </c>
      <c r="B348" s="10">
        <f t="shared" si="34"/>
        <v>46104</v>
      </c>
      <c r="C348" s="10">
        <f t="shared" si="34"/>
        <v>46113</v>
      </c>
      <c r="D348" s="11">
        <v>3273</v>
      </c>
      <c r="E348" s="11">
        <v>336</v>
      </c>
      <c r="F348" s="11">
        <v>4</v>
      </c>
      <c r="G348" s="18">
        <v>6</v>
      </c>
      <c r="H348" s="18">
        <v>81588</v>
      </c>
      <c r="I348" s="18" t="s">
        <v>17</v>
      </c>
      <c r="J348" s="18">
        <v>51103330</v>
      </c>
      <c r="K348" s="18" t="s">
        <v>2486</v>
      </c>
      <c r="L348" s="18" t="s">
        <v>2489</v>
      </c>
      <c r="M348" s="21">
        <v>139900</v>
      </c>
      <c r="N348" s="24">
        <f t="shared" si="33"/>
        <v>0.7</v>
      </c>
      <c r="O348" s="25">
        <f t="shared" si="32"/>
        <v>41970</v>
      </c>
      <c r="P348" s="11" t="s">
        <v>20</v>
      </c>
    </row>
    <row r="349" spans="1:16" x14ac:dyDescent="0.25">
      <c r="A349" s="23" t="str">
        <f t="shared" si="34"/>
        <v>2025 JAN-JUN D70</v>
      </c>
      <c r="B349" s="10">
        <f t="shared" si="34"/>
        <v>46104</v>
      </c>
      <c r="C349" s="10">
        <f t="shared" si="34"/>
        <v>46113</v>
      </c>
      <c r="D349" s="11">
        <v>3273</v>
      </c>
      <c r="E349" s="11">
        <v>336</v>
      </c>
      <c r="F349" s="11">
        <v>4</v>
      </c>
      <c r="G349" s="18">
        <v>6</v>
      </c>
      <c r="H349" s="18">
        <v>81588</v>
      </c>
      <c r="I349" s="18" t="s">
        <v>17</v>
      </c>
      <c r="J349" s="18">
        <v>51103349</v>
      </c>
      <c r="K349" s="18" t="s">
        <v>2486</v>
      </c>
      <c r="L349" s="18" t="s">
        <v>2490</v>
      </c>
      <c r="M349" s="21">
        <v>139900</v>
      </c>
      <c r="N349" s="24">
        <f t="shared" si="33"/>
        <v>0.7</v>
      </c>
      <c r="O349" s="25">
        <f t="shared" si="32"/>
        <v>41970</v>
      </c>
      <c r="P349" s="11" t="s">
        <v>20</v>
      </c>
    </row>
    <row r="350" spans="1:16" x14ac:dyDescent="0.25">
      <c r="A350" s="23" t="str">
        <f t="shared" si="34"/>
        <v>2025 JAN-JUN D70</v>
      </c>
      <c r="B350" s="10">
        <f t="shared" si="34"/>
        <v>46104</v>
      </c>
      <c r="C350" s="10">
        <f t="shared" si="34"/>
        <v>46113</v>
      </c>
      <c r="D350" s="11">
        <v>3273</v>
      </c>
      <c r="E350" s="11">
        <v>336</v>
      </c>
      <c r="F350" s="11">
        <v>4</v>
      </c>
      <c r="G350" s="18">
        <v>6</v>
      </c>
      <c r="H350" s="18">
        <v>81588</v>
      </c>
      <c r="I350" s="18" t="s">
        <v>17</v>
      </c>
      <c r="J350" s="18">
        <v>51103358</v>
      </c>
      <c r="K350" s="18" t="s">
        <v>2486</v>
      </c>
      <c r="L350" s="18" t="s">
        <v>2491</v>
      </c>
      <c r="M350" s="21">
        <v>139900</v>
      </c>
      <c r="N350" s="24">
        <f t="shared" si="33"/>
        <v>0.7</v>
      </c>
      <c r="O350" s="25">
        <f t="shared" si="32"/>
        <v>41970</v>
      </c>
      <c r="P350" s="11" t="s">
        <v>20</v>
      </c>
    </row>
    <row r="351" spans="1:16" x14ac:dyDescent="0.25">
      <c r="A351" s="23" t="str">
        <f t="shared" si="34"/>
        <v>2025 JAN-JUN D70</v>
      </c>
      <c r="B351" s="10">
        <f t="shared" si="34"/>
        <v>46104</v>
      </c>
      <c r="C351" s="10">
        <f t="shared" si="34"/>
        <v>46113</v>
      </c>
      <c r="D351" s="11">
        <v>3273</v>
      </c>
      <c r="E351" s="11">
        <v>336</v>
      </c>
      <c r="F351" s="11">
        <v>4</v>
      </c>
      <c r="G351" s="18">
        <v>6</v>
      </c>
      <c r="H351" s="18">
        <v>81588</v>
      </c>
      <c r="I351" s="18" t="s">
        <v>17</v>
      </c>
      <c r="J351" s="18">
        <v>51103367</v>
      </c>
      <c r="K351" s="18" t="s">
        <v>2486</v>
      </c>
      <c r="L351" s="18" t="s">
        <v>2492</v>
      </c>
      <c r="M351" s="21">
        <v>139900</v>
      </c>
      <c r="N351" s="24">
        <f t="shared" si="33"/>
        <v>0.7</v>
      </c>
      <c r="O351" s="25">
        <f t="shared" si="32"/>
        <v>41970</v>
      </c>
      <c r="P351" s="11" t="s">
        <v>20</v>
      </c>
    </row>
    <row r="352" spans="1:16" x14ac:dyDescent="0.25">
      <c r="A352" s="23" t="str">
        <f t="shared" si="34"/>
        <v>2025 JAN-JUN D70</v>
      </c>
      <c r="B352" s="10">
        <f t="shared" si="34"/>
        <v>46104</v>
      </c>
      <c r="C352" s="10">
        <f t="shared" si="34"/>
        <v>46113</v>
      </c>
      <c r="D352" s="11">
        <v>3273</v>
      </c>
      <c r="E352" s="11">
        <v>336</v>
      </c>
      <c r="F352" s="11">
        <v>4</v>
      </c>
      <c r="G352" s="18">
        <v>6</v>
      </c>
      <c r="H352" s="18">
        <v>81588</v>
      </c>
      <c r="I352" s="18" t="s">
        <v>17</v>
      </c>
      <c r="J352" s="18">
        <v>51103376</v>
      </c>
      <c r="K352" s="18" t="s">
        <v>2493</v>
      </c>
      <c r="L352" s="18" t="s">
        <v>2494</v>
      </c>
      <c r="M352" s="21">
        <v>149900</v>
      </c>
      <c r="N352" s="24">
        <f t="shared" si="33"/>
        <v>0.7</v>
      </c>
      <c r="O352" s="25">
        <f t="shared" si="32"/>
        <v>44970</v>
      </c>
      <c r="P352" s="11" t="s">
        <v>20</v>
      </c>
    </row>
    <row r="353" spans="1:16" x14ac:dyDescent="0.25">
      <c r="A353" s="23" t="str">
        <f t="shared" si="34"/>
        <v>2025 JAN-JUN D70</v>
      </c>
      <c r="B353" s="10">
        <f t="shared" si="34"/>
        <v>46104</v>
      </c>
      <c r="C353" s="10">
        <f t="shared" si="34"/>
        <v>46113</v>
      </c>
      <c r="D353" s="11">
        <v>3273</v>
      </c>
      <c r="E353" s="11">
        <v>336</v>
      </c>
      <c r="F353" s="11">
        <v>4</v>
      </c>
      <c r="G353" s="18">
        <v>6</v>
      </c>
      <c r="H353" s="18">
        <v>81588</v>
      </c>
      <c r="I353" s="18" t="s">
        <v>17</v>
      </c>
      <c r="J353" s="18">
        <v>51103385</v>
      </c>
      <c r="K353" s="18" t="s">
        <v>2493</v>
      </c>
      <c r="L353" s="18" t="s">
        <v>2495</v>
      </c>
      <c r="M353" s="21">
        <v>149900</v>
      </c>
      <c r="N353" s="24">
        <f t="shared" si="33"/>
        <v>0.7</v>
      </c>
      <c r="O353" s="25">
        <f t="shared" si="32"/>
        <v>44970</v>
      </c>
      <c r="P353" s="11" t="s">
        <v>20</v>
      </c>
    </row>
    <row r="354" spans="1:16" x14ac:dyDescent="0.25">
      <c r="A354" s="23" t="str">
        <f t="shared" si="34"/>
        <v>2025 JAN-JUN D70</v>
      </c>
      <c r="B354" s="10">
        <f t="shared" si="34"/>
        <v>46104</v>
      </c>
      <c r="C354" s="10">
        <f t="shared" si="34"/>
        <v>46113</v>
      </c>
      <c r="D354" s="11">
        <v>3273</v>
      </c>
      <c r="E354" s="11">
        <v>336</v>
      </c>
      <c r="F354" s="11">
        <v>4</v>
      </c>
      <c r="G354" s="18">
        <v>6</v>
      </c>
      <c r="H354" s="18">
        <v>81588</v>
      </c>
      <c r="I354" s="18" t="s">
        <v>17</v>
      </c>
      <c r="J354" s="18">
        <v>51103394</v>
      </c>
      <c r="K354" s="18" t="s">
        <v>2493</v>
      </c>
      <c r="L354" s="18" t="s">
        <v>2496</v>
      </c>
      <c r="M354" s="21">
        <v>149900</v>
      </c>
      <c r="N354" s="24">
        <f t="shared" si="33"/>
        <v>0.7</v>
      </c>
      <c r="O354" s="25">
        <f t="shared" si="32"/>
        <v>44970</v>
      </c>
      <c r="P354" s="11" t="s">
        <v>20</v>
      </c>
    </row>
    <row r="355" spans="1:16" x14ac:dyDescent="0.25">
      <c r="A355" s="23" t="str">
        <f t="shared" ref="A355:C370" si="35">A354</f>
        <v>2025 JAN-JUN D70</v>
      </c>
      <c r="B355" s="10">
        <f t="shared" si="35"/>
        <v>46104</v>
      </c>
      <c r="C355" s="10">
        <f t="shared" si="35"/>
        <v>46113</v>
      </c>
      <c r="D355" s="11">
        <v>3273</v>
      </c>
      <c r="E355" s="11">
        <v>336</v>
      </c>
      <c r="F355" s="11">
        <v>4</v>
      </c>
      <c r="G355" s="18">
        <v>6</v>
      </c>
      <c r="H355" s="18">
        <v>81588</v>
      </c>
      <c r="I355" s="18" t="s">
        <v>17</v>
      </c>
      <c r="J355" s="18">
        <v>51103401</v>
      </c>
      <c r="K355" s="18" t="s">
        <v>2493</v>
      </c>
      <c r="L355" s="18" t="s">
        <v>2497</v>
      </c>
      <c r="M355" s="21">
        <v>149900</v>
      </c>
      <c r="N355" s="24">
        <f t="shared" si="33"/>
        <v>0.7</v>
      </c>
      <c r="O355" s="25">
        <f t="shared" si="32"/>
        <v>44970</v>
      </c>
      <c r="P355" s="11" t="s">
        <v>20</v>
      </c>
    </row>
    <row r="356" spans="1:16" x14ac:dyDescent="0.25">
      <c r="A356" s="23" t="str">
        <f t="shared" si="35"/>
        <v>2025 JAN-JUN D70</v>
      </c>
      <c r="B356" s="10">
        <f t="shared" si="35"/>
        <v>46104</v>
      </c>
      <c r="C356" s="10">
        <f t="shared" si="35"/>
        <v>46113</v>
      </c>
      <c r="D356" s="11">
        <v>3273</v>
      </c>
      <c r="E356" s="11">
        <v>336</v>
      </c>
      <c r="F356" s="11">
        <v>4</v>
      </c>
      <c r="G356" s="18">
        <v>6</v>
      </c>
      <c r="H356" s="18">
        <v>81588</v>
      </c>
      <c r="I356" s="18" t="s">
        <v>17</v>
      </c>
      <c r="J356" s="18">
        <v>51103410</v>
      </c>
      <c r="K356" s="18" t="s">
        <v>2493</v>
      </c>
      <c r="L356" s="18" t="s">
        <v>2498</v>
      </c>
      <c r="M356" s="21">
        <v>149900</v>
      </c>
      <c r="N356" s="24">
        <f t="shared" si="33"/>
        <v>0.7</v>
      </c>
      <c r="O356" s="25">
        <f t="shared" si="32"/>
        <v>44970</v>
      </c>
      <c r="P356" s="11" t="s">
        <v>20</v>
      </c>
    </row>
    <row r="357" spans="1:16" x14ac:dyDescent="0.25">
      <c r="A357" s="23" t="str">
        <f t="shared" si="35"/>
        <v>2025 JAN-JUN D70</v>
      </c>
      <c r="B357" s="10">
        <f t="shared" si="35"/>
        <v>46104</v>
      </c>
      <c r="C357" s="10">
        <f t="shared" si="35"/>
        <v>46113</v>
      </c>
      <c r="D357" s="11">
        <v>3273</v>
      </c>
      <c r="E357" s="11">
        <v>336</v>
      </c>
      <c r="F357" s="11">
        <v>4</v>
      </c>
      <c r="G357" s="18">
        <v>6</v>
      </c>
      <c r="H357" s="18">
        <v>81588</v>
      </c>
      <c r="I357" s="18" t="s">
        <v>17</v>
      </c>
      <c r="J357" s="18">
        <v>51103429</v>
      </c>
      <c r="K357" s="18" t="s">
        <v>2493</v>
      </c>
      <c r="L357" s="18" t="s">
        <v>2499</v>
      </c>
      <c r="M357" s="21">
        <v>149900</v>
      </c>
      <c r="N357" s="24">
        <f t="shared" si="33"/>
        <v>0.7</v>
      </c>
      <c r="O357" s="25">
        <f t="shared" si="32"/>
        <v>44970</v>
      </c>
      <c r="P357" s="11" t="s">
        <v>20</v>
      </c>
    </row>
    <row r="358" spans="1:16" x14ac:dyDescent="0.25">
      <c r="A358" s="23" t="str">
        <f t="shared" si="35"/>
        <v>2025 JAN-JUN D70</v>
      </c>
      <c r="B358" s="10">
        <f t="shared" si="35"/>
        <v>46104</v>
      </c>
      <c r="C358" s="10">
        <f t="shared" si="35"/>
        <v>46113</v>
      </c>
      <c r="D358" s="11">
        <v>3273</v>
      </c>
      <c r="E358" s="11">
        <v>336</v>
      </c>
      <c r="F358" s="11">
        <v>4</v>
      </c>
      <c r="G358" s="18">
        <v>6</v>
      </c>
      <c r="H358" s="18">
        <v>81588</v>
      </c>
      <c r="I358" s="18" t="s">
        <v>17</v>
      </c>
      <c r="J358" s="18">
        <v>51103438</v>
      </c>
      <c r="K358" s="18" t="s">
        <v>2493</v>
      </c>
      <c r="L358" s="18" t="s">
        <v>2500</v>
      </c>
      <c r="M358" s="21">
        <v>149900</v>
      </c>
      <c r="N358" s="24">
        <f t="shared" si="33"/>
        <v>0.7</v>
      </c>
      <c r="O358" s="25">
        <f t="shared" si="32"/>
        <v>44970</v>
      </c>
      <c r="P358" s="11" t="s">
        <v>20</v>
      </c>
    </row>
    <row r="359" spans="1:16" x14ac:dyDescent="0.25">
      <c r="A359" s="23" t="str">
        <f t="shared" si="35"/>
        <v>2025 JAN-JUN D70</v>
      </c>
      <c r="B359" s="10">
        <f t="shared" si="35"/>
        <v>46104</v>
      </c>
      <c r="C359" s="10">
        <f t="shared" si="35"/>
        <v>46113</v>
      </c>
      <c r="D359" s="11">
        <v>3273</v>
      </c>
      <c r="E359" s="11">
        <v>336</v>
      </c>
      <c r="F359" s="11">
        <v>4</v>
      </c>
      <c r="G359" s="18">
        <v>6</v>
      </c>
      <c r="H359" s="18">
        <v>81588</v>
      </c>
      <c r="I359" s="18" t="s">
        <v>17</v>
      </c>
      <c r="J359" s="18">
        <v>51103447</v>
      </c>
      <c r="K359" s="18" t="s">
        <v>2493</v>
      </c>
      <c r="L359" s="18" t="s">
        <v>2501</v>
      </c>
      <c r="M359" s="21">
        <v>149900</v>
      </c>
      <c r="N359" s="24">
        <f t="shared" si="33"/>
        <v>0.7</v>
      </c>
      <c r="O359" s="25">
        <f t="shared" si="32"/>
        <v>44970</v>
      </c>
      <c r="P359" s="11" t="s">
        <v>20</v>
      </c>
    </row>
    <row r="360" spans="1:16" x14ac:dyDescent="0.25">
      <c r="A360" s="23" t="str">
        <f t="shared" si="35"/>
        <v>2025 JAN-JUN D70</v>
      </c>
      <c r="B360" s="10">
        <f t="shared" si="35"/>
        <v>46104</v>
      </c>
      <c r="C360" s="10">
        <f t="shared" si="35"/>
        <v>46113</v>
      </c>
      <c r="D360" s="11">
        <v>3273</v>
      </c>
      <c r="E360" s="11">
        <v>336</v>
      </c>
      <c r="F360" s="11">
        <v>4</v>
      </c>
      <c r="G360" s="18">
        <v>6</v>
      </c>
      <c r="H360" s="18">
        <v>81588</v>
      </c>
      <c r="I360" s="18" t="s">
        <v>17</v>
      </c>
      <c r="J360" s="18">
        <v>51103536</v>
      </c>
      <c r="K360" s="18" t="s">
        <v>2502</v>
      </c>
      <c r="L360" s="18" t="s">
        <v>2503</v>
      </c>
      <c r="M360" s="21">
        <v>139900</v>
      </c>
      <c r="N360" s="24">
        <f t="shared" si="33"/>
        <v>0.7</v>
      </c>
      <c r="O360" s="25">
        <f t="shared" si="32"/>
        <v>41970</v>
      </c>
      <c r="P360" s="11" t="s">
        <v>20</v>
      </c>
    </row>
    <row r="361" spans="1:16" x14ac:dyDescent="0.25">
      <c r="A361" s="23" t="str">
        <f t="shared" si="35"/>
        <v>2025 JAN-JUN D70</v>
      </c>
      <c r="B361" s="10">
        <f t="shared" si="35"/>
        <v>46104</v>
      </c>
      <c r="C361" s="10">
        <f t="shared" si="35"/>
        <v>46113</v>
      </c>
      <c r="D361" s="11">
        <v>3273</v>
      </c>
      <c r="E361" s="11">
        <v>336</v>
      </c>
      <c r="F361" s="11">
        <v>4</v>
      </c>
      <c r="G361" s="18">
        <v>6</v>
      </c>
      <c r="H361" s="18">
        <v>81588</v>
      </c>
      <c r="I361" s="18" t="s">
        <v>17</v>
      </c>
      <c r="J361" s="18">
        <v>51103545</v>
      </c>
      <c r="K361" s="18" t="s">
        <v>2502</v>
      </c>
      <c r="L361" s="18" t="s">
        <v>2504</v>
      </c>
      <c r="M361" s="21">
        <v>139900</v>
      </c>
      <c r="N361" s="24">
        <f t="shared" si="33"/>
        <v>0.7</v>
      </c>
      <c r="O361" s="25">
        <f t="shared" si="32"/>
        <v>41970</v>
      </c>
      <c r="P361" s="11" t="s">
        <v>20</v>
      </c>
    </row>
    <row r="362" spans="1:16" x14ac:dyDescent="0.25">
      <c r="A362" s="23" t="str">
        <f t="shared" si="35"/>
        <v>2025 JAN-JUN D70</v>
      </c>
      <c r="B362" s="10">
        <f t="shared" si="35"/>
        <v>46104</v>
      </c>
      <c r="C362" s="10">
        <f t="shared" si="35"/>
        <v>46113</v>
      </c>
      <c r="D362" s="11">
        <v>3273</v>
      </c>
      <c r="E362" s="11">
        <v>336</v>
      </c>
      <c r="F362" s="11">
        <v>4</v>
      </c>
      <c r="G362" s="18">
        <v>6</v>
      </c>
      <c r="H362" s="18">
        <v>81588</v>
      </c>
      <c r="I362" s="18" t="s">
        <v>17</v>
      </c>
      <c r="J362" s="18">
        <v>51103554</v>
      </c>
      <c r="K362" s="18" t="s">
        <v>2502</v>
      </c>
      <c r="L362" s="18" t="s">
        <v>2505</v>
      </c>
      <c r="M362" s="21">
        <v>139900</v>
      </c>
      <c r="N362" s="24">
        <f t="shared" si="33"/>
        <v>0.7</v>
      </c>
      <c r="O362" s="25">
        <f t="shared" si="32"/>
        <v>41970</v>
      </c>
      <c r="P362" s="11" t="s">
        <v>20</v>
      </c>
    </row>
    <row r="363" spans="1:16" x14ac:dyDescent="0.25">
      <c r="A363" s="23" t="str">
        <f t="shared" si="35"/>
        <v>2025 JAN-JUN D70</v>
      </c>
      <c r="B363" s="10">
        <f t="shared" si="35"/>
        <v>46104</v>
      </c>
      <c r="C363" s="10">
        <f t="shared" si="35"/>
        <v>46113</v>
      </c>
      <c r="D363" s="11">
        <v>3273</v>
      </c>
      <c r="E363" s="11">
        <v>336</v>
      </c>
      <c r="F363" s="11">
        <v>4</v>
      </c>
      <c r="G363" s="18">
        <v>6</v>
      </c>
      <c r="H363" s="18">
        <v>81588</v>
      </c>
      <c r="I363" s="18" t="s">
        <v>17</v>
      </c>
      <c r="J363" s="18">
        <v>51103563</v>
      </c>
      <c r="K363" s="18" t="s">
        <v>2502</v>
      </c>
      <c r="L363" s="18" t="s">
        <v>2506</v>
      </c>
      <c r="M363" s="21">
        <v>139900</v>
      </c>
      <c r="N363" s="24">
        <f t="shared" si="33"/>
        <v>0.7</v>
      </c>
      <c r="O363" s="25">
        <f t="shared" si="32"/>
        <v>41970</v>
      </c>
      <c r="P363" s="11" t="s">
        <v>20</v>
      </c>
    </row>
    <row r="364" spans="1:16" x14ac:dyDescent="0.25">
      <c r="A364" s="23" t="str">
        <f t="shared" si="35"/>
        <v>2025 JAN-JUN D70</v>
      </c>
      <c r="B364" s="10">
        <f t="shared" si="35"/>
        <v>46104</v>
      </c>
      <c r="C364" s="10">
        <f t="shared" si="35"/>
        <v>46113</v>
      </c>
      <c r="D364" s="11">
        <v>3273</v>
      </c>
      <c r="E364" s="11">
        <v>336</v>
      </c>
      <c r="F364" s="11">
        <v>4</v>
      </c>
      <c r="G364" s="18">
        <v>6</v>
      </c>
      <c r="H364" s="18">
        <v>81588</v>
      </c>
      <c r="I364" s="18" t="s">
        <v>17</v>
      </c>
      <c r="J364" s="18">
        <v>51103572</v>
      </c>
      <c r="K364" s="18" t="s">
        <v>2502</v>
      </c>
      <c r="L364" s="18" t="s">
        <v>2507</v>
      </c>
      <c r="M364" s="21">
        <v>139900</v>
      </c>
      <c r="N364" s="24">
        <f t="shared" si="33"/>
        <v>0.7</v>
      </c>
      <c r="O364" s="25">
        <f t="shared" si="32"/>
        <v>41970</v>
      </c>
      <c r="P364" s="11" t="s">
        <v>20</v>
      </c>
    </row>
    <row r="365" spans="1:16" x14ac:dyDescent="0.25">
      <c r="A365" s="23" t="str">
        <f t="shared" si="35"/>
        <v>2025 JAN-JUN D70</v>
      </c>
      <c r="B365" s="10">
        <f t="shared" si="35"/>
        <v>46104</v>
      </c>
      <c r="C365" s="10">
        <f t="shared" si="35"/>
        <v>46113</v>
      </c>
      <c r="D365" s="11">
        <v>3273</v>
      </c>
      <c r="E365" s="11">
        <v>336</v>
      </c>
      <c r="F365" s="11">
        <v>4</v>
      </c>
      <c r="G365" s="18">
        <v>6</v>
      </c>
      <c r="H365" s="18">
        <v>81588</v>
      </c>
      <c r="I365" s="18" t="s">
        <v>17</v>
      </c>
      <c r="J365" s="18">
        <v>51103581</v>
      </c>
      <c r="K365" s="18" t="s">
        <v>2502</v>
      </c>
      <c r="L365" s="18" t="s">
        <v>2508</v>
      </c>
      <c r="M365" s="21">
        <v>139900</v>
      </c>
      <c r="N365" s="24">
        <f t="shared" si="33"/>
        <v>0.7</v>
      </c>
      <c r="O365" s="25">
        <f t="shared" si="32"/>
        <v>41970</v>
      </c>
      <c r="P365" s="11" t="s">
        <v>20</v>
      </c>
    </row>
    <row r="366" spans="1:16" x14ac:dyDescent="0.25">
      <c r="A366" s="23" t="str">
        <f t="shared" si="35"/>
        <v>2025 JAN-JUN D70</v>
      </c>
      <c r="B366" s="10">
        <f t="shared" si="35"/>
        <v>46104</v>
      </c>
      <c r="C366" s="10">
        <f t="shared" si="35"/>
        <v>46113</v>
      </c>
      <c r="D366" s="11">
        <v>3273</v>
      </c>
      <c r="E366" s="11">
        <v>336</v>
      </c>
      <c r="F366" s="11">
        <v>4</v>
      </c>
      <c r="G366" s="18">
        <v>6</v>
      </c>
      <c r="H366" s="18">
        <v>81588</v>
      </c>
      <c r="I366" s="18" t="s">
        <v>17</v>
      </c>
      <c r="J366" s="18">
        <v>51103590</v>
      </c>
      <c r="K366" s="18" t="s">
        <v>2509</v>
      </c>
      <c r="L366" s="18" t="s">
        <v>2510</v>
      </c>
      <c r="M366" s="21">
        <v>149900</v>
      </c>
      <c r="N366" s="24">
        <f t="shared" si="33"/>
        <v>0.7</v>
      </c>
      <c r="O366" s="25">
        <f t="shared" si="32"/>
        <v>44970</v>
      </c>
      <c r="P366" s="11" t="s">
        <v>20</v>
      </c>
    </row>
    <row r="367" spans="1:16" x14ac:dyDescent="0.25">
      <c r="A367" s="23" t="str">
        <f t="shared" si="35"/>
        <v>2025 JAN-JUN D70</v>
      </c>
      <c r="B367" s="10">
        <f t="shared" si="35"/>
        <v>46104</v>
      </c>
      <c r="C367" s="10">
        <f t="shared" si="35"/>
        <v>46113</v>
      </c>
      <c r="D367" s="11">
        <v>3273</v>
      </c>
      <c r="E367" s="11">
        <v>336</v>
      </c>
      <c r="F367" s="11">
        <v>4</v>
      </c>
      <c r="G367" s="18">
        <v>6</v>
      </c>
      <c r="H367" s="18">
        <v>81588</v>
      </c>
      <c r="I367" s="18" t="s">
        <v>17</v>
      </c>
      <c r="J367" s="18">
        <v>51103607</v>
      </c>
      <c r="K367" s="18" t="s">
        <v>2509</v>
      </c>
      <c r="L367" s="18" t="s">
        <v>2511</v>
      </c>
      <c r="M367" s="21">
        <v>149900</v>
      </c>
      <c r="N367" s="24">
        <f t="shared" si="33"/>
        <v>0.7</v>
      </c>
      <c r="O367" s="25">
        <f t="shared" si="32"/>
        <v>44970</v>
      </c>
      <c r="P367" s="11" t="s">
        <v>20</v>
      </c>
    </row>
    <row r="368" spans="1:16" x14ac:dyDescent="0.25">
      <c r="A368" s="23" t="str">
        <f t="shared" si="35"/>
        <v>2025 JAN-JUN D70</v>
      </c>
      <c r="B368" s="10">
        <f t="shared" si="35"/>
        <v>46104</v>
      </c>
      <c r="C368" s="10">
        <f t="shared" si="35"/>
        <v>46113</v>
      </c>
      <c r="D368" s="11">
        <v>3273</v>
      </c>
      <c r="E368" s="11">
        <v>336</v>
      </c>
      <c r="F368" s="11">
        <v>4</v>
      </c>
      <c r="G368" s="18">
        <v>6</v>
      </c>
      <c r="H368" s="18">
        <v>81588</v>
      </c>
      <c r="I368" s="18" t="s">
        <v>17</v>
      </c>
      <c r="J368" s="18">
        <v>51103616</v>
      </c>
      <c r="K368" s="18" t="s">
        <v>2509</v>
      </c>
      <c r="L368" s="18" t="s">
        <v>2512</v>
      </c>
      <c r="M368" s="21">
        <v>149900</v>
      </c>
      <c r="N368" s="24">
        <f t="shared" si="33"/>
        <v>0.7</v>
      </c>
      <c r="O368" s="25">
        <f t="shared" si="32"/>
        <v>44970</v>
      </c>
      <c r="P368" s="11" t="s">
        <v>20</v>
      </c>
    </row>
    <row r="369" spans="1:16" x14ac:dyDescent="0.25">
      <c r="A369" s="23" t="str">
        <f t="shared" si="35"/>
        <v>2025 JAN-JUN D70</v>
      </c>
      <c r="B369" s="10">
        <f t="shared" si="35"/>
        <v>46104</v>
      </c>
      <c r="C369" s="10">
        <f t="shared" si="35"/>
        <v>46113</v>
      </c>
      <c r="D369" s="11">
        <v>3273</v>
      </c>
      <c r="E369" s="11">
        <v>336</v>
      </c>
      <c r="F369" s="11">
        <v>4</v>
      </c>
      <c r="G369" s="18">
        <v>6</v>
      </c>
      <c r="H369" s="18">
        <v>81588</v>
      </c>
      <c r="I369" s="18" t="s">
        <v>17</v>
      </c>
      <c r="J369" s="18">
        <v>51103625</v>
      </c>
      <c r="K369" s="18" t="s">
        <v>2509</v>
      </c>
      <c r="L369" s="18" t="s">
        <v>2513</v>
      </c>
      <c r="M369" s="21">
        <v>149900</v>
      </c>
      <c r="N369" s="24">
        <f t="shared" si="33"/>
        <v>0.7</v>
      </c>
      <c r="O369" s="25">
        <f t="shared" si="32"/>
        <v>44970</v>
      </c>
      <c r="P369" s="11" t="s">
        <v>20</v>
      </c>
    </row>
    <row r="370" spans="1:16" x14ac:dyDescent="0.25">
      <c r="A370" s="23" t="str">
        <f t="shared" si="35"/>
        <v>2025 JAN-JUN D70</v>
      </c>
      <c r="B370" s="10">
        <f t="shared" si="35"/>
        <v>46104</v>
      </c>
      <c r="C370" s="10">
        <f t="shared" si="35"/>
        <v>46113</v>
      </c>
      <c r="D370" s="11">
        <v>3273</v>
      </c>
      <c r="E370" s="11">
        <v>336</v>
      </c>
      <c r="F370" s="11">
        <v>4</v>
      </c>
      <c r="G370" s="18">
        <v>6</v>
      </c>
      <c r="H370" s="18">
        <v>81588</v>
      </c>
      <c r="I370" s="18" t="s">
        <v>17</v>
      </c>
      <c r="J370" s="18">
        <v>51103634</v>
      </c>
      <c r="K370" s="18" t="s">
        <v>2509</v>
      </c>
      <c r="L370" s="18" t="s">
        <v>2514</v>
      </c>
      <c r="M370" s="21">
        <v>149900</v>
      </c>
      <c r="N370" s="24">
        <f t="shared" si="33"/>
        <v>0.7</v>
      </c>
      <c r="O370" s="25">
        <f t="shared" si="32"/>
        <v>44970</v>
      </c>
      <c r="P370" s="11" t="s">
        <v>20</v>
      </c>
    </row>
    <row r="371" spans="1:16" x14ac:dyDescent="0.25">
      <c r="A371" s="23" t="str">
        <f t="shared" ref="A371:C386" si="36">A370</f>
        <v>2025 JAN-JUN D70</v>
      </c>
      <c r="B371" s="10">
        <f t="shared" si="36"/>
        <v>46104</v>
      </c>
      <c r="C371" s="10">
        <f t="shared" si="36"/>
        <v>46113</v>
      </c>
      <c r="D371" s="11">
        <v>3273</v>
      </c>
      <c r="E371" s="11">
        <v>336</v>
      </c>
      <c r="F371" s="11">
        <v>4</v>
      </c>
      <c r="G371" s="18">
        <v>6</v>
      </c>
      <c r="H371" s="18">
        <v>81588</v>
      </c>
      <c r="I371" s="18" t="s">
        <v>17</v>
      </c>
      <c r="J371" s="18">
        <v>51103643</v>
      </c>
      <c r="K371" s="18" t="s">
        <v>2509</v>
      </c>
      <c r="L371" s="18" t="s">
        <v>2515</v>
      </c>
      <c r="M371" s="21">
        <v>149900</v>
      </c>
      <c r="N371" s="24">
        <f t="shared" si="33"/>
        <v>0.7</v>
      </c>
      <c r="O371" s="25">
        <f t="shared" si="32"/>
        <v>44970</v>
      </c>
      <c r="P371" s="11" t="s">
        <v>20</v>
      </c>
    </row>
    <row r="372" spans="1:16" x14ac:dyDescent="0.25">
      <c r="A372" s="23" t="str">
        <f t="shared" si="36"/>
        <v>2025 JAN-JUN D70</v>
      </c>
      <c r="B372" s="10">
        <f t="shared" si="36"/>
        <v>46104</v>
      </c>
      <c r="C372" s="10">
        <f t="shared" si="36"/>
        <v>46113</v>
      </c>
      <c r="D372" s="11">
        <v>3273</v>
      </c>
      <c r="E372" s="11">
        <v>336</v>
      </c>
      <c r="F372" s="11">
        <v>4</v>
      </c>
      <c r="G372" s="18">
        <v>6</v>
      </c>
      <c r="H372" s="18">
        <v>81588</v>
      </c>
      <c r="I372" s="18" t="s">
        <v>17</v>
      </c>
      <c r="J372" s="18">
        <v>51103652</v>
      </c>
      <c r="K372" s="18" t="s">
        <v>2509</v>
      </c>
      <c r="L372" s="18" t="s">
        <v>2516</v>
      </c>
      <c r="M372" s="21">
        <v>149900</v>
      </c>
      <c r="N372" s="24">
        <f t="shared" si="33"/>
        <v>0.7</v>
      </c>
      <c r="O372" s="25">
        <f t="shared" si="32"/>
        <v>44970</v>
      </c>
      <c r="P372" s="11" t="s">
        <v>20</v>
      </c>
    </row>
    <row r="373" spans="1:16" x14ac:dyDescent="0.25">
      <c r="A373" s="23" t="str">
        <f t="shared" si="36"/>
        <v>2025 JAN-JUN D70</v>
      </c>
      <c r="B373" s="10">
        <f t="shared" si="36"/>
        <v>46104</v>
      </c>
      <c r="C373" s="10">
        <f t="shared" si="36"/>
        <v>46113</v>
      </c>
      <c r="D373" s="11">
        <v>3273</v>
      </c>
      <c r="E373" s="11">
        <v>336</v>
      </c>
      <c r="F373" s="11">
        <v>4</v>
      </c>
      <c r="G373" s="18">
        <v>6</v>
      </c>
      <c r="H373" s="18">
        <v>81588</v>
      </c>
      <c r="I373" s="18" t="s">
        <v>17</v>
      </c>
      <c r="J373" s="18">
        <v>51103661</v>
      </c>
      <c r="K373" s="18" t="s">
        <v>2509</v>
      </c>
      <c r="L373" s="18" t="s">
        <v>2517</v>
      </c>
      <c r="M373" s="21">
        <v>149900</v>
      </c>
      <c r="N373" s="24">
        <f t="shared" si="33"/>
        <v>0.7</v>
      </c>
      <c r="O373" s="25">
        <f t="shared" si="32"/>
        <v>44970</v>
      </c>
      <c r="P373" s="11" t="s">
        <v>20</v>
      </c>
    </row>
    <row r="374" spans="1:16" x14ac:dyDescent="0.25">
      <c r="A374" s="23" t="str">
        <f t="shared" si="36"/>
        <v>2025 JAN-JUN D70</v>
      </c>
      <c r="B374" s="10">
        <f t="shared" si="36"/>
        <v>46104</v>
      </c>
      <c r="C374" s="10">
        <f t="shared" si="36"/>
        <v>46113</v>
      </c>
      <c r="D374" s="11">
        <v>3273</v>
      </c>
      <c r="E374" s="11">
        <v>336</v>
      </c>
      <c r="F374" s="11">
        <v>4</v>
      </c>
      <c r="G374" s="18">
        <v>6</v>
      </c>
      <c r="H374" s="18">
        <v>81588</v>
      </c>
      <c r="I374" s="18" t="s">
        <v>17</v>
      </c>
      <c r="J374" s="18">
        <v>51103670</v>
      </c>
      <c r="K374" s="18" t="s">
        <v>2518</v>
      </c>
      <c r="L374" s="18" t="s">
        <v>2519</v>
      </c>
      <c r="M374" s="21">
        <v>149900</v>
      </c>
      <c r="N374" s="24">
        <f t="shared" si="33"/>
        <v>0.7</v>
      </c>
      <c r="O374" s="25">
        <f t="shared" si="32"/>
        <v>44970</v>
      </c>
      <c r="P374" s="11" t="s">
        <v>20</v>
      </c>
    </row>
    <row r="375" spans="1:16" x14ac:dyDescent="0.25">
      <c r="A375" s="23" t="str">
        <f t="shared" si="36"/>
        <v>2025 JAN-JUN D70</v>
      </c>
      <c r="B375" s="10">
        <f t="shared" si="36"/>
        <v>46104</v>
      </c>
      <c r="C375" s="10">
        <f t="shared" si="36"/>
        <v>46113</v>
      </c>
      <c r="D375" s="11">
        <v>3273</v>
      </c>
      <c r="E375" s="11">
        <v>336</v>
      </c>
      <c r="F375" s="11">
        <v>4</v>
      </c>
      <c r="G375" s="18">
        <v>6</v>
      </c>
      <c r="H375" s="18">
        <v>81588</v>
      </c>
      <c r="I375" s="18" t="s">
        <v>17</v>
      </c>
      <c r="J375" s="18">
        <v>51103689</v>
      </c>
      <c r="K375" s="18" t="s">
        <v>2518</v>
      </c>
      <c r="L375" s="18" t="s">
        <v>2520</v>
      </c>
      <c r="M375" s="21">
        <v>149900</v>
      </c>
      <c r="N375" s="24">
        <f t="shared" si="33"/>
        <v>0.7</v>
      </c>
      <c r="O375" s="25">
        <f t="shared" si="32"/>
        <v>44970</v>
      </c>
      <c r="P375" s="11" t="s">
        <v>20</v>
      </c>
    </row>
    <row r="376" spans="1:16" x14ac:dyDescent="0.25">
      <c r="A376" s="23" t="str">
        <f t="shared" si="36"/>
        <v>2025 JAN-JUN D70</v>
      </c>
      <c r="B376" s="10">
        <f t="shared" si="36"/>
        <v>46104</v>
      </c>
      <c r="C376" s="10">
        <f t="shared" si="36"/>
        <v>46113</v>
      </c>
      <c r="D376" s="11">
        <v>3273</v>
      </c>
      <c r="E376" s="11">
        <v>336</v>
      </c>
      <c r="F376" s="11">
        <v>4</v>
      </c>
      <c r="G376" s="18">
        <v>6</v>
      </c>
      <c r="H376" s="18">
        <v>81588</v>
      </c>
      <c r="I376" s="18" t="s">
        <v>17</v>
      </c>
      <c r="J376" s="18">
        <v>51103698</v>
      </c>
      <c r="K376" s="18" t="s">
        <v>2518</v>
      </c>
      <c r="L376" s="18" t="s">
        <v>2521</v>
      </c>
      <c r="M376" s="21">
        <v>149900</v>
      </c>
      <c r="N376" s="24">
        <f t="shared" si="33"/>
        <v>0.7</v>
      </c>
      <c r="O376" s="25">
        <f t="shared" si="32"/>
        <v>44970</v>
      </c>
      <c r="P376" s="11" t="s">
        <v>20</v>
      </c>
    </row>
    <row r="377" spans="1:16" x14ac:dyDescent="0.25">
      <c r="A377" s="23" t="str">
        <f t="shared" si="36"/>
        <v>2025 JAN-JUN D70</v>
      </c>
      <c r="B377" s="10">
        <f t="shared" si="36"/>
        <v>46104</v>
      </c>
      <c r="C377" s="10">
        <f t="shared" si="36"/>
        <v>46113</v>
      </c>
      <c r="D377" s="11">
        <v>3273</v>
      </c>
      <c r="E377" s="11">
        <v>336</v>
      </c>
      <c r="F377" s="11">
        <v>4</v>
      </c>
      <c r="G377" s="18">
        <v>6</v>
      </c>
      <c r="H377" s="18">
        <v>81588</v>
      </c>
      <c r="I377" s="18" t="s">
        <v>17</v>
      </c>
      <c r="J377" s="18">
        <v>51103705</v>
      </c>
      <c r="K377" s="18" t="s">
        <v>2518</v>
      </c>
      <c r="L377" s="18" t="s">
        <v>2522</v>
      </c>
      <c r="M377" s="21">
        <v>149900</v>
      </c>
      <c r="N377" s="24">
        <f t="shared" si="33"/>
        <v>0.7</v>
      </c>
      <c r="O377" s="25">
        <f t="shared" si="32"/>
        <v>44970</v>
      </c>
      <c r="P377" s="11" t="s">
        <v>20</v>
      </c>
    </row>
    <row r="378" spans="1:16" x14ac:dyDescent="0.25">
      <c r="A378" s="23" t="str">
        <f t="shared" si="36"/>
        <v>2025 JAN-JUN D70</v>
      </c>
      <c r="B378" s="10">
        <f t="shared" si="36"/>
        <v>46104</v>
      </c>
      <c r="C378" s="10">
        <f t="shared" si="36"/>
        <v>46113</v>
      </c>
      <c r="D378" s="11">
        <v>3273</v>
      </c>
      <c r="E378" s="11">
        <v>336</v>
      </c>
      <c r="F378" s="11">
        <v>4</v>
      </c>
      <c r="G378" s="18">
        <v>6</v>
      </c>
      <c r="H378" s="18">
        <v>81588</v>
      </c>
      <c r="I378" s="18" t="s">
        <v>17</v>
      </c>
      <c r="J378" s="18">
        <v>51103714</v>
      </c>
      <c r="K378" s="18" t="s">
        <v>2518</v>
      </c>
      <c r="L378" s="18" t="s">
        <v>2523</v>
      </c>
      <c r="M378" s="21">
        <v>149900</v>
      </c>
      <c r="N378" s="24">
        <f t="shared" si="33"/>
        <v>0.7</v>
      </c>
      <c r="O378" s="25">
        <f t="shared" si="32"/>
        <v>44970</v>
      </c>
      <c r="P378" s="11" t="s">
        <v>20</v>
      </c>
    </row>
    <row r="379" spans="1:16" x14ac:dyDescent="0.25">
      <c r="A379" s="23" t="str">
        <f t="shared" si="36"/>
        <v>2025 JAN-JUN D70</v>
      </c>
      <c r="B379" s="10">
        <f t="shared" si="36"/>
        <v>46104</v>
      </c>
      <c r="C379" s="10">
        <f t="shared" si="36"/>
        <v>46113</v>
      </c>
      <c r="D379" s="11">
        <v>3273</v>
      </c>
      <c r="E379" s="11">
        <v>336</v>
      </c>
      <c r="F379" s="11">
        <v>4</v>
      </c>
      <c r="G379" s="18">
        <v>6</v>
      </c>
      <c r="H379" s="18">
        <v>81588</v>
      </c>
      <c r="I379" s="18" t="s">
        <v>17</v>
      </c>
      <c r="J379" s="18">
        <v>51103723</v>
      </c>
      <c r="K379" s="18" t="s">
        <v>2518</v>
      </c>
      <c r="L379" s="18" t="s">
        <v>2524</v>
      </c>
      <c r="M379" s="21">
        <v>149900</v>
      </c>
      <c r="N379" s="24">
        <f t="shared" si="33"/>
        <v>0.7</v>
      </c>
      <c r="O379" s="25">
        <f t="shared" si="32"/>
        <v>44970</v>
      </c>
      <c r="P379" s="11" t="s">
        <v>20</v>
      </c>
    </row>
    <row r="380" spans="1:16" x14ac:dyDescent="0.25">
      <c r="A380" s="23" t="str">
        <f t="shared" si="36"/>
        <v>2025 JAN-JUN D70</v>
      </c>
      <c r="B380" s="10">
        <f t="shared" si="36"/>
        <v>46104</v>
      </c>
      <c r="C380" s="10">
        <f t="shared" si="36"/>
        <v>46113</v>
      </c>
      <c r="D380" s="11">
        <v>3273</v>
      </c>
      <c r="E380" s="11">
        <v>336</v>
      </c>
      <c r="F380" s="11">
        <v>4</v>
      </c>
      <c r="G380" s="18">
        <v>6</v>
      </c>
      <c r="H380" s="18">
        <v>81588</v>
      </c>
      <c r="I380" s="18" t="s">
        <v>17</v>
      </c>
      <c r="J380" s="18">
        <v>51103732</v>
      </c>
      <c r="K380" s="18" t="s">
        <v>2518</v>
      </c>
      <c r="L380" s="18" t="s">
        <v>2525</v>
      </c>
      <c r="M380" s="21">
        <v>149900</v>
      </c>
      <c r="N380" s="24">
        <f t="shared" si="33"/>
        <v>0.7</v>
      </c>
      <c r="O380" s="25">
        <f t="shared" si="32"/>
        <v>44970</v>
      </c>
      <c r="P380" s="11" t="s">
        <v>20</v>
      </c>
    </row>
    <row r="381" spans="1:16" x14ac:dyDescent="0.25">
      <c r="A381" s="23" t="str">
        <f t="shared" si="36"/>
        <v>2025 JAN-JUN D70</v>
      </c>
      <c r="B381" s="10">
        <f t="shared" si="36"/>
        <v>46104</v>
      </c>
      <c r="C381" s="10">
        <f t="shared" si="36"/>
        <v>46113</v>
      </c>
      <c r="D381" s="11">
        <v>3273</v>
      </c>
      <c r="E381" s="11">
        <v>336</v>
      </c>
      <c r="F381" s="11">
        <v>4</v>
      </c>
      <c r="G381" s="18">
        <v>6</v>
      </c>
      <c r="H381" s="18">
        <v>81588</v>
      </c>
      <c r="I381" s="18" t="s">
        <v>17</v>
      </c>
      <c r="J381" s="18">
        <v>51103741</v>
      </c>
      <c r="K381" s="18" t="s">
        <v>2518</v>
      </c>
      <c r="L381" s="18" t="s">
        <v>2526</v>
      </c>
      <c r="M381" s="21">
        <v>149900</v>
      </c>
      <c r="N381" s="24">
        <f t="shared" si="33"/>
        <v>0.7</v>
      </c>
      <c r="O381" s="25">
        <f t="shared" si="32"/>
        <v>44970</v>
      </c>
      <c r="P381" s="11" t="s">
        <v>20</v>
      </c>
    </row>
    <row r="382" spans="1:16" x14ac:dyDescent="0.25">
      <c r="A382" s="23" t="str">
        <f t="shared" si="36"/>
        <v>2025 JAN-JUN D70</v>
      </c>
      <c r="B382" s="10">
        <f t="shared" si="36"/>
        <v>46104</v>
      </c>
      <c r="C382" s="10">
        <f t="shared" si="36"/>
        <v>46113</v>
      </c>
      <c r="D382" s="11">
        <v>3273</v>
      </c>
      <c r="E382" s="11">
        <v>336</v>
      </c>
      <c r="F382" s="11">
        <v>4</v>
      </c>
      <c r="G382" s="18">
        <v>6</v>
      </c>
      <c r="H382" s="18">
        <v>81588</v>
      </c>
      <c r="I382" s="18" t="s">
        <v>17</v>
      </c>
      <c r="J382" s="18">
        <v>51103750</v>
      </c>
      <c r="K382" s="18" t="s">
        <v>2527</v>
      </c>
      <c r="L382" s="18" t="s">
        <v>2528</v>
      </c>
      <c r="M382" s="21">
        <v>149900</v>
      </c>
      <c r="N382" s="24">
        <f t="shared" si="33"/>
        <v>0.7</v>
      </c>
      <c r="O382" s="25">
        <f t="shared" si="32"/>
        <v>44970</v>
      </c>
      <c r="P382" s="11" t="s">
        <v>20</v>
      </c>
    </row>
    <row r="383" spans="1:16" x14ac:dyDescent="0.25">
      <c r="A383" s="23" t="str">
        <f t="shared" si="36"/>
        <v>2025 JAN-JUN D70</v>
      </c>
      <c r="B383" s="10">
        <f t="shared" si="36"/>
        <v>46104</v>
      </c>
      <c r="C383" s="10">
        <f t="shared" si="36"/>
        <v>46113</v>
      </c>
      <c r="D383" s="11">
        <v>3273</v>
      </c>
      <c r="E383" s="11">
        <v>336</v>
      </c>
      <c r="F383" s="11">
        <v>4</v>
      </c>
      <c r="G383" s="18">
        <v>6</v>
      </c>
      <c r="H383" s="18">
        <v>81588</v>
      </c>
      <c r="I383" s="18" t="s">
        <v>17</v>
      </c>
      <c r="J383" s="18">
        <v>51103769</v>
      </c>
      <c r="K383" s="18" t="s">
        <v>2527</v>
      </c>
      <c r="L383" s="18" t="s">
        <v>2529</v>
      </c>
      <c r="M383" s="21">
        <v>149900</v>
      </c>
      <c r="N383" s="24">
        <f t="shared" si="33"/>
        <v>0.7</v>
      </c>
      <c r="O383" s="25">
        <f t="shared" si="32"/>
        <v>44970</v>
      </c>
      <c r="P383" s="11" t="s">
        <v>20</v>
      </c>
    </row>
    <row r="384" spans="1:16" x14ac:dyDescent="0.25">
      <c r="A384" s="23" t="str">
        <f t="shared" si="36"/>
        <v>2025 JAN-JUN D70</v>
      </c>
      <c r="B384" s="10">
        <f t="shared" si="36"/>
        <v>46104</v>
      </c>
      <c r="C384" s="10">
        <f t="shared" si="36"/>
        <v>46113</v>
      </c>
      <c r="D384" s="11">
        <v>3273</v>
      </c>
      <c r="E384" s="11">
        <v>336</v>
      </c>
      <c r="F384" s="11">
        <v>4</v>
      </c>
      <c r="G384" s="18">
        <v>6</v>
      </c>
      <c r="H384" s="18">
        <v>81588</v>
      </c>
      <c r="I384" s="18" t="s">
        <v>17</v>
      </c>
      <c r="J384" s="18">
        <v>51103778</v>
      </c>
      <c r="K384" s="18" t="s">
        <v>2527</v>
      </c>
      <c r="L384" s="18" t="s">
        <v>2530</v>
      </c>
      <c r="M384" s="21">
        <v>149900</v>
      </c>
      <c r="N384" s="24">
        <f t="shared" si="33"/>
        <v>0.7</v>
      </c>
      <c r="O384" s="25">
        <f t="shared" si="32"/>
        <v>44970</v>
      </c>
      <c r="P384" s="11" t="s">
        <v>20</v>
      </c>
    </row>
    <row r="385" spans="1:16" x14ac:dyDescent="0.25">
      <c r="A385" s="23" t="str">
        <f t="shared" si="36"/>
        <v>2025 JAN-JUN D70</v>
      </c>
      <c r="B385" s="10">
        <f t="shared" si="36"/>
        <v>46104</v>
      </c>
      <c r="C385" s="10">
        <f t="shared" si="36"/>
        <v>46113</v>
      </c>
      <c r="D385" s="11">
        <v>3273</v>
      </c>
      <c r="E385" s="11">
        <v>336</v>
      </c>
      <c r="F385" s="11">
        <v>4</v>
      </c>
      <c r="G385" s="18">
        <v>6</v>
      </c>
      <c r="H385" s="18">
        <v>81588</v>
      </c>
      <c r="I385" s="18" t="s">
        <v>17</v>
      </c>
      <c r="J385" s="18">
        <v>51103787</v>
      </c>
      <c r="K385" s="18" t="s">
        <v>2527</v>
      </c>
      <c r="L385" s="18" t="s">
        <v>2531</v>
      </c>
      <c r="M385" s="21">
        <v>149900</v>
      </c>
      <c r="N385" s="24">
        <f t="shared" si="33"/>
        <v>0.7</v>
      </c>
      <c r="O385" s="25">
        <f t="shared" si="32"/>
        <v>44970</v>
      </c>
      <c r="P385" s="11" t="s">
        <v>20</v>
      </c>
    </row>
    <row r="386" spans="1:16" x14ac:dyDescent="0.25">
      <c r="A386" s="23" t="str">
        <f t="shared" si="36"/>
        <v>2025 JAN-JUN D70</v>
      </c>
      <c r="B386" s="10">
        <f t="shared" si="36"/>
        <v>46104</v>
      </c>
      <c r="C386" s="10">
        <f t="shared" si="36"/>
        <v>46113</v>
      </c>
      <c r="D386" s="11">
        <v>3273</v>
      </c>
      <c r="E386" s="11">
        <v>336</v>
      </c>
      <c r="F386" s="11">
        <v>4</v>
      </c>
      <c r="G386" s="18">
        <v>6</v>
      </c>
      <c r="H386" s="18">
        <v>81588</v>
      </c>
      <c r="I386" s="18" t="s">
        <v>17</v>
      </c>
      <c r="J386" s="18">
        <v>51103796</v>
      </c>
      <c r="K386" s="18" t="s">
        <v>2527</v>
      </c>
      <c r="L386" s="18" t="s">
        <v>2532</v>
      </c>
      <c r="M386" s="21">
        <v>149900</v>
      </c>
      <c r="N386" s="24">
        <f t="shared" si="33"/>
        <v>0.7</v>
      </c>
      <c r="O386" s="25">
        <f t="shared" si="32"/>
        <v>44970</v>
      </c>
      <c r="P386" s="11" t="s">
        <v>20</v>
      </c>
    </row>
    <row r="387" spans="1:16" x14ac:dyDescent="0.25">
      <c r="A387" s="23" t="str">
        <f t="shared" ref="A387:C402" si="37">A386</f>
        <v>2025 JAN-JUN D70</v>
      </c>
      <c r="B387" s="10">
        <f t="shared" si="37"/>
        <v>46104</v>
      </c>
      <c r="C387" s="10">
        <f t="shared" si="37"/>
        <v>46113</v>
      </c>
      <c r="D387" s="11">
        <v>3273</v>
      </c>
      <c r="E387" s="11">
        <v>336</v>
      </c>
      <c r="F387" s="11">
        <v>4</v>
      </c>
      <c r="G387" s="18">
        <v>6</v>
      </c>
      <c r="H387" s="18">
        <v>81588</v>
      </c>
      <c r="I387" s="18" t="s">
        <v>17</v>
      </c>
      <c r="J387" s="18">
        <v>51103803</v>
      </c>
      <c r="K387" s="18" t="s">
        <v>2527</v>
      </c>
      <c r="L387" s="18" t="s">
        <v>2533</v>
      </c>
      <c r="M387" s="21">
        <v>149900</v>
      </c>
      <c r="N387" s="24">
        <f t="shared" si="33"/>
        <v>0.7</v>
      </c>
      <c r="O387" s="25">
        <f t="shared" ref="O387:O450" si="38">M387-((70*M387)/100)</f>
        <v>44970</v>
      </c>
      <c r="P387" s="11" t="s">
        <v>20</v>
      </c>
    </row>
    <row r="388" spans="1:16" x14ac:dyDescent="0.25">
      <c r="A388" s="23" t="str">
        <f t="shared" si="37"/>
        <v>2025 JAN-JUN D70</v>
      </c>
      <c r="B388" s="10">
        <f t="shared" si="37"/>
        <v>46104</v>
      </c>
      <c r="C388" s="10">
        <f t="shared" si="37"/>
        <v>46113</v>
      </c>
      <c r="D388" s="11">
        <v>3273</v>
      </c>
      <c r="E388" s="11">
        <v>336</v>
      </c>
      <c r="F388" s="11">
        <v>4</v>
      </c>
      <c r="G388" s="18">
        <v>6</v>
      </c>
      <c r="H388" s="18">
        <v>81588</v>
      </c>
      <c r="I388" s="18" t="s">
        <v>17</v>
      </c>
      <c r="J388" s="18">
        <v>51103812</v>
      </c>
      <c r="K388" s="18" t="s">
        <v>2527</v>
      </c>
      <c r="L388" s="18" t="s">
        <v>2534</v>
      </c>
      <c r="M388" s="21">
        <v>149900</v>
      </c>
      <c r="N388" s="24">
        <f t="shared" ref="N388:N451" si="39">N387</f>
        <v>0.7</v>
      </c>
      <c r="O388" s="25">
        <f t="shared" si="38"/>
        <v>44970</v>
      </c>
      <c r="P388" s="11" t="s">
        <v>20</v>
      </c>
    </row>
    <row r="389" spans="1:16" x14ac:dyDescent="0.25">
      <c r="A389" s="23" t="str">
        <f t="shared" si="37"/>
        <v>2025 JAN-JUN D70</v>
      </c>
      <c r="B389" s="10">
        <f t="shared" si="37"/>
        <v>46104</v>
      </c>
      <c r="C389" s="10">
        <f t="shared" si="37"/>
        <v>46113</v>
      </c>
      <c r="D389" s="11">
        <v>3273</v>
      </c>
      <c r="E389" s="11">
        <v>336</v>
      </c>
      <c r="F389" s="11">
        <v>4</v>
      </c>
      <c r="G389" s="18">
        <v>6</v>
      </c>
      <c r="H389" s="18">
        <v>81588</v>
      </c>
      <c r="I389" s="18" t="s">
        <v>17</v>
      </c>
      <c r="J389" s="18">
        <v>51103821</v>
      </c>
      <c r="K389" s="18" t="s">
        <v>2527</v>
      </c>
      <c r="L389" s="18" t="s">
        <v>2535</v>
      </c>
      <c r="M389" s="21">
        <v>149900</v>
      </c>
      <c r="N389" s="24">
        <f t="shared" si="39"/>
        <v>0.7</v>
      </c>
      <c r="O389" s="25">
        <f t="shared" si="38"/>
        <v>44970</v>
      </c>
      <c r="P389" s="11" t="s">
        <v>20</v>
      </c>
    </row>
    <row r="390" spans="1:16" x14ac:dyDescent="0.25">
      <c r="A390" s="23" t="str">
        <f t="shared" si="37"/>
        <v>2025 JAN-JUN D70</v>
      </c>
      <c r="B390" s="10">
        <f t="shared" si="37"/>
        <v>46104</v>
      </c>
      <c r="C390" s="10">
        <f t="shared" si="37"/>
        <v>46113</v>
      </c>
      <c r="D390" s="11">
        <v>3273</v>
      </c>
      <c r="E390" s="11">
        <v>336</v>
      </c>
      <c r="F390" s="11">
        <v>4</v>
      </c>
      <c r="G390" s="18">
        <v>6</v>
      </c>
      <c r="H390" s="18">
        <v>81588</v>
      </c>
      <c r="I390" s="18" t="s">
        <v>17</v>
      </c>
      <c r="J390" s="18">
        <v>51103830</v>
      </c>
      <c r="K390" s="18" t="s">
        <v>2536</v>
      </c>
      <c r="L390" s="18" t="s">
        <v>2537</v>
      </c>
      <c r="M390" s="21">
        <v>149900</v>
      </c>
      <c r="N390" s="24">
        <f t="shared" si="39"/>
        <v>0.7</v>
      </c>
      <c r="O390" s="25">
        <f t="shared" si="38"/>
        <v>44970</v>
      </c>
      <c r="P390" s="11" t="s">
        <v>20</v>
      </c>
    </row>
    <row r="391" spans="1:16" x14ac:dyDescent="0.25">
      <c r="A391" s="23" t="str">
        <f t="shared" si="37"/>
        <v>2025 JAN-JUN D70</v>
      </c>
      <c r="B391" s="10">
        <f t="shared" si="37"/>
        <v>46104</v>
      </c>
      <c r="C391" s="10">
        <f t="shared" si="37"/>
        <v>46113</v>
      </c>
      <c r="D391" s="11">
        <v>3273</v>
      </c>
      <c r="E391" s="11">
        <v>336</v>
      </c>
      <c r="F391" s="11">
        <v>4</v>
      </c>
      <c r="G391" s="18">
        <v>6</v>
      </c>
      <c r="H391" s="18">
        <v>81588</v>
      </c>
      <c r="I391" s="18" t="s">
        <v>17</v>
      </c>
      <c r="J391" s="18">
        <v>51103849</v>
      </c>
      <c r="K391" s="18" t="s">
        <v>2536</v>
      </c>
      <c r="L391" s="18" t="s">
        <v>2538</v>
      </c>
      <c r="M391" s="21">
        <v>149900</v>
      </c>
      <c r="N391" s="24">
        <f t="shared" si="39"/>
        <v>0.7</v>
      </c>
      <c r="O391" s="25">
        <f t="shared" si="38"/>
        <v>44970</v>
      </c>
      <c r="P391" s="11" t="s">
        <v>20</v>
      </c>
    </row>
    <row r="392" spans="1:16" x14ac:dyDescent="0.25">
      <c r="A392" s="23" t="str">
        <f t="shared" si="37"/>
        <v>2025 JAN-JUN D70</v>
      </c>
      <c r="B392" s="10">
        <f t="shared" si="37"/>
        <v>46104</v>
      </c>
      <c r="C392" s="10">
        <f t="shared" si="37"/>
        <v>46113</v>
      </c>
      <c r="D392" s="11">
        <v>3273</v>
      </c>
      <c r="E392" s="11">
        <v>336</v>
      </c>
      <c r="F392" s="11">
        <v>4</v>
      </c>
      <c r="G392" s="18">
        <v>6</v>
      </c>
      <c r="H392" s="18">
        <v>81588</v>
      </c>
      <c r="I392" s="18" t="s">
        <v>17</v>
      </c>
      <c r="J392" s="18">
        <v>51103858</v>
      </c>
      <c r="K392" s="18" t="s">
        <v>2536</v>
      </c>
      <c r="L392" s="18" t="s">
        <v>2539</v>
      </c>
      <c r="M392" s="21">
        <v>149900</v>
      </c>
      <c r="N392" s="24">
        <f t="shared" si="39"/>
        <v>0.7</v>
      </c>
      <c r="O392" s="25">
        <f t="shared" si="38"/>
        <v>44970</v>
      </c>
      <c r="P392" s="11" t="s">
        <v>20</v>
      </c>
    </row>
    <row r="393" spans="1:16" x14ac:dyDescent="0.25">
      <c r="A393" s="23" t="str">
        <f t="shared" si="37"/>
        <v>2025 JAN-JUN D70</v>
      </c>
      <c r="B393" s="10">
        <f t="shared" si="37"/>
        <v>46104</v>
      </c>
      <c r="C393" s="10">
        <f t="shared" si="37"/>
        <v>46113</v>
      </c>
      <c r="D393" s="11">
        <v>3273</v>
      </c>
      <c r="E393" s="11">
        <v>336</v>
      </c>
      <c r="F393" s="11">
        <v>4</v>
      </c>
      <c r="G393" s="18">
        <v>6</v>
      </c>
      <c r="H393" s="18">
        <v>81588</v>
      </c>
      <c r="I393" s="18" t="s">
        <v>17</v>
      </c>
      <c r="J393" s="18">
        <v>51103867</v>
      </c>
      <c r="K393" s="18" t="s">
        <v>2536</v>
      </c>
      <c r="L393" s="18" t="s">
        <v>2540</v>
      </c>
      <c r="M393" s="21">
        <v>149900</v>
      </c>
      <c r="N393" s="24">
        <f t="shared" si="39"/>
        <v>0.7</v>
      </c>
      <c r="O393" s="25">
        <f t="shared" si="38"/>
        <v>44970</v>
      </c>
      <c r="P393" s="11" t="s">
        <v>20</v>
      </c>
    </row>
    <row r="394" spans="1:16" x14ac:dyDescent="0.25">
      <c r="A394" s="23" t="str">
        <f t="shared" si="37"/>
        <v>2025 JAN-JUN D70</v>
      </c>
      <c r="B394" s="10">
        <f t="shared" si="37"/>
        <v>46104</v>
      </c>
      <c r="C394" s="10">
        <f t="shared" si="37"/>
        <v>46113</v>
      </c>
      <c r="D394" s="11">
        <v>3273</v>
      </c>
      <c r="E394" s="11">
        <v>336</v>
      </c>
      <c r="F394" s="11">
        <v>4</v>
      </c>
      <c r="G394" s="18">
        <v>6</v>
      </c>
      <c r="H394" s="18">
        <v>81588</v>
      </c>
      <c r="I394" s="18" t="s">
        <v>17</v>
      </c>
      <c r="J394" s="18">
        <v>51103876</v>
      </c>
      <c r="K394" s="18" t="s">
        <v>2536</v>
      </c>
      <c r="L394" s="18" t="s">
        <v>2541</v>
      </c>
      <c r="M394" s="21">
        <v>149900</v>
      </c>
      <c r="N394" s="24">
        <f t="shared" si="39"/>
        <v>0.7</v>
      </c>
      <c r="O394" s="25">
        <f t="shared" si="38"/>
        <v>44970</v>
      </c>
      <c r="P394" s="11" t="s">
        <v>20</v>
      </c>
    </row>
    <row r="395" spans="1:16" x14ac:dyDescent="0.25">
      <c r="A395" s="23" t="str">
        <f t="shared" si="37"/>
        <v>2025 JAN-JUN D70</v>
      </c>
      <c r="B395" s="10">
        <f t="shared" si="37"/>
        <v>46104</v>
      </c>
      <c r="C395" s="10">
        <f t="shared" si="37"/>
        <v>46113</v>
      </c>
      <c r="D395" s="11">
        <v>3273</v>
      </c>
      <c r="E395" s="11">
        <v>336</v>
      </c>
      <c r="F395" s="11">
        <v>4</v>
      </c>
      <c r="G395" s="18">
        <v>6</v>
      </c>
      <c r="H395" s="18">
        <v>81588</v>
      </c>
      <c r="I395" s="18" t="s">
        <v>17</v>
      </c>
      <c r="J395" s="18">
        <v>51103885</v>
      </c>
      <c r="K395" s="18" t="s">
        <v>2536</v>
      </c>
      <c r="L395" s="18" t="s">
        <v>2542</v>
      </c>
      <c r="M395" s="21">
        <v>149900</v>
      </c>
      <c r="N395" s="24">
        <f t="shared" si="39"/>
        <v>0.7</v>
      </c>
      <c r="O395" s="25">
        <f t="shared" si="38"/>
        <v>44970</v>
      </c>
      <c r="P395" s="11" t="s">
        <v>20</v>
      </c>
    </row>
    <row r="396" spans="1:16" x14ac:dyDescent="0.25">
      <c r="A396" s="23" t="str">
        <f t="shared" si="37"/>
        <v>2025 JAN-JUN D70</v>
      </c>
      <c r="B396" s="10">
        <f t="shared" si="37"/>
        <v>46104</v>
      </c>
      <c r="C396" s="10">
        <f t="shared" si="37"/>
        <v>46113</v>
      </c>
      <c r="D396" s="11">
        <v>3273</v>
      </c>
      <c r="E396" s="11">
        <v>336</v>
      </c>
      <c r="F396" s="11">
        <v>4</v>
      </c>
      <c r="G396" s="18">
        <v>6</v>
      </c>
      <c r="H396" s="18">
        <v>81588</v>
      </c>
      <c r="I396" s="18" t="s">
        <v>17</v>
      </c>
      <c r="J396" s="18">
        <v>51103894</v>
      </c>
      <c r="K396" s="18" t="s">
        <v>2536</v>
      </c>
      <c r="L396" s="18" t="s">
        <v>2543</v>
      </c>
      <c r="M396" s="21">
        <v>149900</v>
      </c>
      <c r="N396" s="24">
        <f t="shared" si="39"/>
        <v>0.7</v>
      </c>
      <c r="O396" s="25">
        <f t="shared" si="38"/>
        <v>44970</v>
      </c>
      <c r="P396" s="11" t="s">
        <v>20</v>
      </c>
    </row>
    <row r="397" spans="1:16" x14ac:dyDescent="0.25">
      <c r="A397" s="23" t="str">
        <f t="shared" si="37"/>
        <v>2025 JAN-JUN D70</v>
      </c>
      <c r="B397" s="10">
        <f t="shared" si="37"/>
        <v>46104</v>
      </c>
      <c r="C397" s="10">
        <f t="shared" si="37"/>
        <v>46113</v>
      </c>
      <c r="D397" s="11">
        <v>3273</v>
      </c>
      <c r="E397" s="11">
        <v>336</v>
      </c>
      <c r="F397" s="11">
        <v>4</v>
      </c>
      <c r="G397" s="18">
        <v>6</v>
      </c>
      <c r="H397" s="18">
        <v>81588</v>
      </c>
      <c r="I397" s="18" t="s">
        <v>17</v>
      </c>
      <c r="J397" s="18">
        <v>51103901</v>
      </c>
      <c r="K397" s="18" t="s">
        <v>2536</v>
      </c>
      <c r="L397" s="18" t="s">
        <v>2544</v>
      </c>
      <c r="M397" s="21">
        <v>149900</v>
      </c>
      <c r="N397" s="24">
        <f t="shared" si="39"/>
        <v>0.7</v>
      </c>
      <c r="O397" s="25">
        <f t="shared" si="38"/>
        <v>44970</v>
      </c>
      <c r="P397" s="11" t="s">
        <v>20</v>
      </c>
    </row>
    <row r="398" spans="1:16" x14ac:dyDescent="0.25">
      <c r="A398" s="23" t="str">
        <f t="shared" si="37"/>
        <v>2025 JAN-JUN D70</v>
      </c>
      <c r="B398" s="10">
        <f t="shared" si="37"/>
        <v>46104</v>
      </c>
      <c r="C398" s="10">
        <f t="shared" si="37"/>
        <v>46113</v>
      </c>
      <c r="D398" s="11">
        <v>3273</v>
      </c>
      <c r="E398" s="11">
        <v>336</v>
      </c>
      <c r="F398" s="11">
        <v>4</v>
      </c>
      <c r="G398" s="18">
        <v>6</v>
      </c>
      <c r="H398" s="18">
        <v>81676</v>
      </c>
      <c r="I398" s="18" t="s">
        <v>17</v>
      </c>
      <c r="J398" s="18">
        <v>51104311</v>
      </c>
      <c r="K398" s="18" t="s">
        <v>2545</v>
      </c>
      <c r="L398" s="18" t="s">
        <v>2546</v>
      </c>
      <c r="M398" s="21">
        <v>119900</v>
      </c>
      <c r="N398" s="24">
        <f t="shared" si="39"/>
        <v>0.7</v>
      </c>
      <c r="O398" s="25">
        <f t="shared" si="38"/>
        <v>35970</v>
      </c>
      <c r="P398" s="11" t="s">
        <v>20</v>
      </c>
    </row>
    <row r="399" spans="1:16" x14ac:dyDescent="0.25">
      <c r="A399" s="23" t="str">
        <f t="shared" si="37"/>
        <v>2025 JAN-JUN D70</v>
      </c>
      <c r="B399" s="10">
        <f t="shared" si="37"/>
        <v>46104</v>
      </c>
      <c r="C399" s="10">
        <f t="shared" si="37"/>
        <v>46113</v>
      </c>
      <c r="D399" s="11">
        <v>3273</v>
      </c>
      <c r="E399" s="11">
        <v>336</v>
      </c>
      <c r="F399" s="11">
        <v>4</v>
      </c>
      <c r="G399" s="18">
        <v>6</v>
      </c>
      <c r="H399" s="18">
        <v>81676</v>
      </c>
      <c r="I399" s="18" t="s">
        <v>17</v>
      </c>
      <c r="J399" s="18">
        <v>51104320</v>
      </c>
      <c r="K399" s="18" t="s">
        <v>2545</v>
      </c>
      <c r="L399" s="18" t="s">
        <v>2547</v>
      </c>
      <c r="M399" s="21">
        <v>119900</v>
      </c>
      <c r="N399" s="24">
        <f t="shared" si="39"/>
        <v>0.7</v>
      </c>
      <c r="O399" s="25">
        <f t="shared" si="38"/>
        <v>35970</v>
      </c>
      <c r="P399" s="11" t="s">
        <v>20</v>
      </c>
    </row>
    <row r="400" spans="1:16" x14ac:dyDescent="0.25">
      <c r="A400" s="23" t="str">
        <f t="shared" si="37"/>
        <v>2025 JAN-JUN D70</v>
      </c>
      <c r="B400" s="10">
        <f t="shared" si="37"/>
        <v>46104</v>
      </c>
      <c r="C400" s="10">
        <f t="shared" si="37"/>
        <v>46113</v>
      </c>
      <c r="D400" s="11">
        <v>3273</v>
      </c>
      <c r="E400" s="11">
        <v>336</v>
      </c>
      <c r="F400" s="11">
        <v>4</v>
      </c>
      <c r="G400" s="18">
        <v>6</v>
      </c>
      <c r="H400" s="18">
        <v>81676</v>
      </c>
      <c r="I400" s="18" t="s">
        <v>17</v>
      </c>
      <c r="J400" s="18">
        <v>51104339</v>
      </c>
      <c r="K400" s="18" t="s">
        <v>2545</v>
      </c>
      <c r="L400" s="18" t="s">
        <v>2548</v>
      </c>
      <c r="M400" s="21">
        <v>119900</v>
      </c>
      <c r="N400" s="24">
        <f t="shared" si="39"/>
        <v>0.7</v>
      </c>
      <c r="O400" s="25">
        <f t="shared" si="38"/>
        <v>35970</v>
      </c>
      <c r="P400" s="11" t="s">
        <v>20</v>
      </c>
    </row>
    <row r="401" spans="1:16" x14ac:dyDescent="0.25">
      <c r="A401" s="23" t="str">
        <f t="shared" si="37"/>
        <v>2025 JAN-JUN D70</v>
      </c>
      <c r="B401" s="10">
        <f t="shared" si="37"/>
        <v>46104</v>
      </c>
      <c r="C401" s="10">
        <f t="shared" si="37"/>
        <v>46113</v>
      </c>
      <c r="D401" s="11">
        <v>3273</v>
      </c>
      <c r="E401" s="11">
        <v>336</v>
      </c>
      <c r="F401" s="11">
        <v>4</v>
      </c>
      <c r="G401" s="18">
        <v>6</v>
      </c>
      <c r="H401" s="18">
        <v>81676</v>
      </c>
      <c r="I401" s="18" t="s">
        <v>17</v>
      </c>
      <c r="J401" s="18">
        <v>51104348</v>
      </c>
      <c r="K401" s="18" t="s">
        <v>2545</v>
      </c>
      <c r="L401" s="18" t="s">
        <v>2549</v>
      </c>
      <c r="M401" s="21">
        <v>119900</v>
      </c>
      <c r="N401" s="24">
        <f t="shared" si="39"/>
        <v>0.7</v>
      </c>
      <c r="O401" s="25">
        <f t="shared" si="38"/>
        <v>35970</v>
      </c>
      <c r="P401" s="11" t="s">
        <v>20</v>
      </c>
    </row>
    <row r="402" spans="1:16" x14ac:dyDescent="0.25">
      <c r="A402" s="23" t="str">
        <f t="shared" si="37"/>
        <v>2025 JAN-JUN D70</v>
      </c>
      <c r="B402" s="10">
        <f t="shared" si="37"/>
        <v>46104</v>
      </c>
      <c r="C402" s="10">
        <f t="shared" si="37"/>
        <v>46113</v>
      </c>
      <c r="D402" s="11">
        <v>3273</v>
      </c>
      <c r="E402" s="11">
        <v>336</v>
      </c>
      <c r="F402" s="11">
        <v>4</v>
      </c>
      <c r="G402" s="18">
        <v>6</v>
      </c>
      <c r="H402" s="18">
        <v>81676</v>
      </c>
      <c r="I402" s="18" t="s">
        <v>17</v>
      </c>
      <c r="J402" s="18">
        <v>51104357</v>
      </c>
      <c r="K402" s="18" t="s">
        <v>2545</v>
      </c>
      <c r="L402" s="18" t="s">
        <v>2550</v>
      </c>
      <c r="M402" s="21">
        <v>119900</v>
      </c>
      <c r="N402" s="24">
        <f t="shared" si="39"/>
        <v>0.7</v>
      </c>
      <c r="O402" s="25">
        <f t="shared" si="38"/>
        <v>35970</v>
      </c>
      <c r="P402" s="11" t="s">
        <v>20</v>
      </c>
    </row>
    <row r="403" spans="1:16" x14ac:dyDescent="0.25">
      <c r="A403" s="23" t="str">
        <f t="shared" ref="A403:C418" si="40">A402</f>
        <v>2025 JAN-JUN D70</v>
      </c>
      <c r="B403" s="10">
        <f t="shared" si="40"/>
        <v>46104</v>
      </c>
      <c r="C403" s="10">
        <f t="shared" si="40"/>
        <v>46113</v>
      </c>
      <c r="D403" s="11">
        <v>3273</v>
      </c>
      <c r="E403" s="11">
        <v>336</v>
      </c>
      <c r="F403" s="11">
        <v>4</v>
      </c>
      <c r="G403" s="18">
        <v>6</v>
      </c>
      <c r="H403" s="18">
        <v>81676</v>
      </c>
      <c r="I403" s="18" t="s">
        <v>17</v>
      </c>
      <c r="J403" s="18">
        <v>51104366</v>
      </c>
      <c r="K403" s="18" t="s">
        <v>2545</v>
      </c>
      <c r="L403" s="18" t="s">
        <v>2551</v>
      </c>
      <c r="M403" s="21">
        <v>119900</v>
      </c>
      <c r="N403" s="24">
        <f t="shared" si="39"/>
        <v>0.7</v>
      </c>
      <c r="O403" s="25">
        <f t="shared" si="38"/>
        <v>35970</v>
      </c>
      <c r="P403" s="11" t="s">
        <v>20</v>
      </c>
    </row>
    <row r="404" spans="1:16" x14ac:dyDescent="0.25">
      <c r="A404" s="23" t="str">
        <f t="shared" si="40"/>
        <v>2025 JAN-JUN D70</v>
      </c>
      <c r="B404" s="10">
        <f t="shared" si="40"/>
        <v>46104</v>
      </c>
      <c r="C404" s="10">
        <f t="shared" si="40"/>
        <v>46113</v>
      </c>
      <c r="D404" s="11">
        <v>3273</v>
      </c>
      <c r="E404" s="11">
        <v>336</v>
      </c>
      <c r="F404" s="11">
        <v>4</v>
      </c>
      <c r="G404" s="18">
        <v>6</v>
      </c>
      <c r="H404" s="18">
        <v>81676</v>
      </c>
      <c r="I404" s="18" t="s">
        <v>17</v>
      </c>
      <c r="J404" s="18">
        <v>51104375</v>
      </c>
      <c r="K404" s="18" t="s">
        <v>2545</v>
      </c>
      <c r="L404" s="18" t="s">
        <v>2552</v>
      </c>
      <c r="M404" s="21">
        <v>119900</v>
      </c>
      <c r="N404" s="24">
        <f t="shared" si="39"/>
        <v>0.7</v>
      </c>
      <c r="O404" s="25">
        <f t="shared" si="38"/>
        <v>35970</v>
      </c>
      <c r="P404" s="11" t="s">
        <v>20</v>
      </c>
    </row>
    <row r="405" spans="1:16" x14ac:dyDescent="0.25">
      <c r="A405" s="23" t="str">
        <f t="shared" si="40"/>
        <v>2025 JAN-JUN D70</v>
      </c>
      <c r="B405" s="10">
        <f t="shared" si="40"/>
        <v>46104</v>
      </c>
      <c r="C405" s="10">
        <f t="shared" si="40"/>
        <v>46113</v>
      </c>
      <c r="D405" s="11">
        <v>3273</v>
      </c>
      <c r="E405" s="11">
        <v>336</v>
      </c>
      <c r="F405" s="11">
        <v>4</v>
      </c>
      <c r="G405" s="18">
        <v>6</v>
      </c>
      <c r="H405" s="18">
        <v>81676</v>
      </c>
      <c r="I405" s="18" t="s">
        <v>17</v>
      </c>
      <c r="J405" s="18">
        <v>51104384</v>
      </c>
      <c r="K405" s="18" t="s">
        <v>2545</v>
      </c>
      <c r="L405" s="18" t="s">
        <v>2553</v>
      </c>
      <c r="M405" s="21">
        <v>119900</v>
      </c>
      <c r="N405" s="24">
        <f t="shared" si="39"/>
        <v>0.7</v>
      </c>
      <c r="O405" s="25">
        <f t="shared" si="38"/>
        <v>35970</v>
      </c>
      <c r="P405" s="11" t="s">
        <v>20</v>
      </c>
    </row>
    <row r="406" spans="1:16" x14ac:dyDescent="0.25">
      <c r="A406" s="23" t="str">
        <f t="shared" si="40"/>
        <v>2025 JAN-JUN D70</v>
      </c>
      <c r="B406" s="10">
        <f t="shared" si="40"/>
        <v>46104</v>
      </c>
      <c r="C406" s="10">
        <f t="shared" si="40"/>
        <v>46113</v>
      </c>
      <c r="D406" s="11">
        <v>3273</v>
      </c>
      <c r="E406" s="11">
        <v>336</v>
      </c>
      <c r="F406" s="11">
        <v>4</v>
      </c>
      <c r="G406" s="18">
        <v>6</v>
      </c>
      <c r="H406" s="18">
        <v>81676</v>
      </c>
      <c r="I406" s="18" t="s">
        <v>17</v>
      </c>
      <c r="J406" s="18">
        <v>51104393</v>
      </c>
      <c r="K406" s="18" t="s">
        <v>2554</v>
      </c>
      <c r="L406" s="18" t="s">
        <v>2555</v>
      </c>
      <c r="M406" s="21">
        <v>119900</v>
      </c>
      <c r="N406" s="24">
        <f t="shared" si="39"/>
        <v>0.7</v>
      </c>
      <c r="O406" s="25">
        <f t="shared" si="38"/>
        <v>35970</v>
      </c>
      <c r="P406" s="11" t="s">
        <v>20</v>
      </c>
    </row>
    <row r="407" spans="1:16" x14ac:dyDescent="0.25">
      <c r="A407" s="23" t="str">
        <f t="shared" si="40"/>
        <v>2025 JAN-JUN D70</v>
      </c>
      <c r="B407" s="10">
        <f t="shared" si="40"/>
        <v>46104</v>
      </c>
      <c r="C407" s="10">
        <f t="shared" si="40"/>
        <v>46113</v>
      </c>
      <c r="D407" s="11">
        <v>3273</v>
      </c>
      <c r="E407" s="11">
        <v>336</v>
      </c>
      <c r="F407" s="11">
        <v>4</v>
      </c>
      <c r="G407" s="18">
        <v>6</v>
      </c>
      <c r="H407" s="18">
        <v>81676</v>
      </c>
      <c r="I407" s="18" t="s">
        <v>17</v>
      </c>
      <c r="J407" s="18">
        <v>51104400</v>
      </c>
      <c r="K407" s="18" t="s">
        <v>2554</v>
      </c>
      <c r="L407" s="18" t="s">
        <v>2556</v>
      </c>
      <c r="M407" s="21">
        <v>119900</v>
      </c>
      <c r="N407" s="24">
        <f t="shared" si="39"/>
        <v>0.7</v>
      </c>
      <c r="O407" s="25">
        <f t="shared" si="38"/>
        <v>35970</v>
      </c>
      <c r="P407" s="11" t="s">
        <v>20</v>
      </c>
    </row>
    <row r="408" spans="1:16" x14ac:dyDescent="0.25">
      <c r="A408" s="23" t="str">
        <f t="shared" si="40"/>
        <v>2025 JAN-JUN D70</v>
      </c>
      <c r="B408" s="10">
        <f t="shared" si="40"/>
        <v>46104</v>
      </c>
      <c r="C408" s="10">
        <f t="shared" si="40"/>
        <v>46113</v>
      </c>
      <c r="D408" s="11">
        <v>3273</v>
      </c>
      <c r="E408" s="11">
        <v>336</v>
      </c>
      <c r="F408" s="11">
        <v>4</v>
      </c>
      <c r="G408" s="18">
        <v>6</v>
      </c>
      <c r="H408" s="18">
        <v>81676</v>
      </c>
      <c r="I408" s="18" t="s">
        <v>17</v>
      </c>
      <c r="J408" s="18">
        <v>51104419</v>
      </c>
      <c r="K408" s="18" t="s">
        <v>2554</v>
      </c>
      <c r="L408" s="18" t="s">
        <v>2557</v>
      </c>
      <c r="M408" s="21">
        <v>119900</v>
      </c>
      <c r="N408" s="24">
        <f t="shared" si="39"/>
        <v>0.7</v>
      </c>
      <c r="O408" s="25">
        <f t="shared" si="38"/>
        <v>35970</v>
      </c>
      <c r="P408" s="11" t="s">
        <v>20</v>
      </c>
    </row>
    <row r="409" spans="1:16" x14ac:dyDescent="0.25">
      <c r="A409" s="23" t="str">
        <f t="shared" si="40"/>
        <v>2025 JAN-JUN D70</v>
      </c>
      <c r="B409" s="10">
        <f t="shared" si="40"/>
        <v>46104</v>
      </c>
      <c r="C409" s="10">
        <f t="shared" si="40"/>
        <v>46113</v>
      </c>
      <c r="D409" s="11">
        <v>3273</v>
      </c>
      <c r="E409" s="11">
        <v>336</v>
      </c>
      <c r="F409" s="11">
        <v>4</v>
      </c>
      <c r="G409" s="18">
        <v>6</v>
      </c>
      <c r="H409" s="18">
        <v>81676</v>
      </c>
      <c r="I409" s="18" t="s">
        <v>17</v>
      </c>
      <c r="J409" s="18">
        <v>51104428</v>
      </c>
      <c r="K409" s="18" t="s">
        <v>2554</v>
      </c>
      <c r="L409" s="18" t="s">
        <v>2558</v>
      </c>
      <c r="M409" s="21">
        <v>119900</v>
      </c>
      <c r="N409" s="24">
        <f t="shared" si="39"/>
        <v>0.7</v>
      </c>
      <c r="O409" s="25">
        <f t="shared" si="38"/>
        <v>35970</v>
      </c>
      <c r="P409" s="11" t="s">
        <v>20</v>
      </c>
    </row>
    <row r="410" spans="1:16" x14ac:dyDescent="0.25">
      <c r="A410" s="23" t="str">
        <f t="shared" si="40"/>
        <v>2025 JAN-JUN D70</v>
      </c>
      <c r="B410" s="10">
        <f t="shared" si="40"/>
        <v>46104</v>
      </c>
      <c r="C410" s="10">
        <f t="shared" si="40"/>
        <v>46113</v>
      </c>
      <c r="D410" s="11">
        <v>3273</v>
      </c>
      <c r="E410" s="11">
        <v>336</v>
      </c>
      <c r="F410" s="11">
        <v>4</v>
      </c>
      <c r="G410" s="18">
        <v>6</v>
      </c>
      <c r="H410" s="18">
        <v>81676</v>
      </c>
      <c r="I410" s="18" t="s">
        <v>17</v>
      </c>
      <c r="J410" s="18">
        <v>51104437</v>
      </c>
      <c r="K410" s="18" t="s">
        <v>2554</v>
      </c>
      <c r="L410" s="18" t="s">
        <v>2559</v>
      </c>
      <c r="M410" s="21">
        <v>119900</v>
      </c>
      <c r="N410" s="24">
        <f t="shared" si="39"/>
        <v>0.7</v>
      </c>
      <c r="O410" s="25">
        <f t="shared" si="38"/>
        <v>35970</v>
      </c>
      <c r="P410" s="11" t="s">
        <v>20</v>
      </c>
    </row>
    <row r="411" spans="1:16" x14ac:dyDescent="0.25">
      <c r="A411" s="23" t="str">
        <f t="shared" si="40"/>
        <v>2025 JAN-JUN D70</v>
      </c>
      <c r="B411" s="10">
        <f t="shared" si="40"/>
        <v>46104</v>
      </c>
      <c r="C411" s="10">
        <f t="shared" si="40"/>
        <v>46113</v>
      </c>
      <c r="D411" s="11">
        <v>3273</v>
      </c>
      <c r="E411" s="11">
        <v>336</v>
      </c>
      <c r="F411" s="11">
        <v>4</v>
      </c>
      <c r="G411" s="18">
        <v>6</v>
      </c>
      <c r="H411" s="18">
        <v>81676</v>
      </c>
      <c r="I411" s="18" t="s">
        <v>17</v>
      </c>
      <c r="J411" s="18">
        <v>51104446</v>
      </c>
      <c r="K411" s="18" t="s">
        <v>2554</v>
      </c>
      <c r="L411" s="18" t="s">
        <v>2560</v>
      </c>
      <c r="M411" s="21">
        <v>119900</v>
      </c>
      <c r="N411" s="24">
        <f t="shared" si="39"/>
        <v>0.7</v>
      </c>
      <c r="O411" s="25">
        <f t="shared" si="38"/>
        <v>35970</v>
      </c>
      <c r="P411" s="11" t="s">
        <v>20</v>
      </c>
    </row>
    <row r="412" spans="1:16" x14ac:dyDescent="0.25">
      <c r="A412" s="23" t="str">
        <f t="shared" si="40"/>
        <v>2025 JAN-JUN D70</v>
      </c>
      <c r="B412" s="10">
        <f t="shared" si="40"/>
        <v>46104</v>
      </c>
      <c r="C412" s="10">
        <f t="shared" si="40"/>
        <v>46113</v>
      </c>
      <c r="D412" s="11">
        <v>3273</v>
      </c>
      <c r="E412" s="11">
        <v>336</v>
      </c>
      <c r="F412" s="11">
        <v>4</v>
      </c>
      <c r="G412" s="18">
        <v>6</v>
      </c>
      <c r="H412" s="18">
        <v>81676</v>
      </c>
      <c r="I412" s="18" t="s">
        <v>17</v>
      </c>
      <c r="J412" s="18">
        <v>51104455</v>
      </c>
      <c r="K412" s="18" t="s">
        <v>2554</v>
      </c>
      <c r="L412" s="18" t="s">
        <v>2561</v>
      </c>
      <c r="M412" s="21">
        <v>119900</v>
      </c>
      <c r="N412" s="24">
        <f t="shared" si="39"/>
        <v>0.7</v>
      </c>
      <c r="O412" s="25">
        <f t="shared" si="38"/>
        <v>35970</v>
      </c>
      <c r="P412" s="11" t="s">
        <v>20</v>
      </c>
    </row>
    <row r="413" spans="1:16" x14ac:dyDescent="0.25">
      <c r="A413" s="23" t="str">
        <f t="shared" si="40"/>
        <v>2025 JAN-JUN D70</v>
      </c>
      <c r="B413" s="10">
        <f t="shared" si="40"/>
        <v>46104</v>
      </c>
      <c r="C413" s="10">
        <f t="shared" si="40"/>
        <v>46113</v>
      </c>
      <c r="D413" s="11">
        <v>3273</v>
      </c>
      <c r="E413" s="11">
        <v>336</v>
      </c>
      <c r="F413" s="11">
        <v>4</v>
      </c>
      <c r="G413" s="18">
        <v>6</v>
      </c>
      <c r="H413" s="18">
        <v>81676</v>
      </c>
      <c r="I413" s="18" t="s">
        <v>17</v>
      </c>
      <c r="J413" s="18">
        <v>51104464</v>
      </c>
      <c r="K413" s="18" t="s">
        <v>2554</v>
      </c>
      <c r="L413" s="18" t="s">
        <v>2562</v>
      </c>
      <c r="M413" s="21">
        <v>119900</v>
      </c>
      <c r="N413" s="24">
        <f t="shared" si="39"/>
        <v>0.7</v>
      </c>
      <c r="O413" s="25">
        <f t="shared" si="38"/>
        <v>35970</v>
      </c>
      <c r="P413" s="11" t="s">
        <v>20</v>
      </c>
    </row>
    <row r="414" spans="1:16" x14ac:dyDescent="0.25">
      <c r="A414" s="23" t="str">
        <f t="shared" si="40"/>
        <v>2025 JAN-JUN D70</v>
      </c>
      <c r="B414" s="10">
        <f t="shared" si="40"/>
        <v>46104</v>
      </c>
      <c r="C414" s="10">
        <f t="shared" si="40"/>
        <v>46113</v>
      </c>
      <c r="D414" s="11">
        <v>3273</v>
      </c>
      <c r="E414" s="11">
        <v>336</v>
      </c>
      <c r="F414" s="11">
        <v>4</v>
      </c>
      <c r="G414" s="18">
        <v>6</v>
      </c>
      <c r="H414" s="18">
        <v>81676</v>
      </c>
      <c r="I414" s="18" t="s">
        <v>17</v>
      </c>
      <c r="J414" s="18">
        <v>51104473</v>
      </c>
      <c r="K414" s="18" t="s">
        <v>2563</v>
      </c>
      <c r="L414" s="18" t="s">
        <v>2564</v>
      </c>
      <c r="M414" s="21">
        <v>119900</v>
      </c>
      <c r="N414" s="24">
        <f t="shared" si="39"/>
        <v>0.7</v>
      </c>
      <c r="O414" s="25">
        <f t="shared" si="38"/>
        <v>35970</v>
      </c>
      <c r="P414" s="11" t="s">
        <v>20</v>
      </c>
    </row>
    <row r="415" spans="1:16" x14ac:dyDescent="0.25">
      <c r="A415" s="23" t="str">
        <f t="shared" si="40"/>
        <v>2025 JAN-JUN D70</v>
      </c>
      <c r="B415" s="10">
        <f t="shared" si="40"/>
        <v>46104</v>
      </c>
      <c r="C415" s="10">
        <f t="shared" si="40"/>
        <v>46113</v>
      </c>
      <c r="D415" s="11">
        <v>3273</v>
      </c>
      <c r="E415" s="11">
        <v>336</v>
      </c>
      <c r="F415" s="11">
        <v>4</v>
      </c>
      <c r="G415" s="18">
        <v>6</v>
      </c>
      <c r="H415" s="18">
        <v>81676</v>
      </c>
      <c r="I415" s="18" t="s">
        <v>17</v>
      </c>
      <c r="J415" s="18">
        <v>51104482</v>
      </c>
      <c r="K415" s="18" t="s">
        <v>2563</v>
      </c>
      <c r="L415" s="18" t="s">
        <v>2565</v>
      </c>
      <c r="M415" s="21">
        <v>119900</v>
      </c>
      <c r="N415" s="24">
        <f t="shared" si="39"/>
        <v>0.7</v>
      </c>
      <c r="O415" s="25">
        <f t="shared" si="38"/>
        <v>35970</v>
      </c>
      <c r="P415" s="11" t="s">
        <v>20</v>
      </c>
    </row>
    <row r="416" spans="1:16" x14ac:dyDescent="0.25">
      <c r="A416" s="23" t="str">
        <f t="shared" si="40"/>
        <v>2025 JAN-JUN D70</v>
      </c>
      <c r="B416" s="10">
        <f t="shared" si="40"/>
        <v>46104</v>
      </c>
      <c r="C416" s="10">
        <f t="shared" si="40"/>
        <v>46113</v>
      </c>
      <c r="D416" s="11">
        <v>3273</v>
      </c>
      <c r="E416" s="11">
        <v>336</v>
      </c>
      <c r="F416" s="11">
        <v>4</v>
      </c>
      <c r="G416" s="18">
        <v>6</v>
      </c>
      <c r="H416" s="18">
        <v>81676</v>
      </c>
      <c r="I416" s="18" t="s">
        <v>17</v>
      </c>
      <c r="J416" s="18">
        <v>51104491</v>
      </c>
      <c r="K416" s="18" t="s">
        <v>2563</v>
      </c>
      <c r="L416" s="18" t="s">
        <v>2566</v>
      </c>
      <c r="M416" s="21">
        <v>119900</v>
      </c>
      <c r="N416" s="24">
        <f t="shared" si="39"/>
        <v>0.7</v>
      </c>
      <c r="O416" s="25">
        <f t="shared" si="38"/>
        <v>35970</v>
      </c>
      <c r="P416" s="11" t="s">
        <v>20</v>
      </c>
    </row>
    <row r="417" spans="1:16" x14ac:dyDescent="0.25">
      <c r="A417" s="23" t="str">
        <f t="shared" si="40"/>
        <v>2025 JAN-JUN D70</v>
      </c>
      <c r="B417" s="10">
        <f t="shared" si="40"/>
        <v>46104</v>
      </c>
      <c r="C417" s="10">
        <f t="shared" si="40"/>
        <v>46113</v>
      </c>
      <c r="D417" s="11">
        <v>3273</v>
      </c>
      <c r="E417" s="11">
        <v>336</v>
      </c>
      <c r="F417" s="11">
        <v>4</v>
      </c>
      <c r="G417" s="18">
        <v>6</v>
      </c>
      <c r="H417" s="18">
        <v>81676</v>
      </c>
      <c r="I417" s="18" t="s">
        <v>17</v>
      </c>
      <c r="J417" s="18">
        <v>51104508</v>
      </c>
      <c r="K417" s="18" t="s">
        <v>2563</v>
      </c>
      <c r="L417" s="18" t="s">
        <v>2567</v>
      </c>
      <c r="M417" s="21">
        <v>119900</v>
      </c>
      <c r="N417" s="24">
        <f t="shared" si="39"/>
        <v>0.7</v>
      </c>
      <c r="O417" s="25">
        <f t="shared" si="38"/>
        <v>35970</v>
      </c>
      <c r="P417" s="11" t="s">
        <v>20</v>
      </c>
    </row>
    <row r="418" spans="1:16" x14ac:dyDescent="0.25">
      <c r="A418" s="23" t="str">
        <f t="shared" si="40"/>
        <v>2025 JAN-JUN D70</v>
      </c>
      <c r="B418" s="10">
        <f t="shared" si="40"/>
        <v>46104</v>
      </c>
      <c r="C418" s="10">
        <f t="shared" si="40"/>
        <v>46113</v>
      </c>
      <c r="D418" s="11">
        <v>3273</v>
      </c>
      <c r="E418" s="11">
        <v>336</v>
      </c>
      <c r="F418" s="11">
        <v>4</v>
      </c>
      <c r="G418" s="18">
        <v>6</v>
      </c>
      <c r="H418" s="18">
        <v>81676</v>
      </c>
      <c r="I418" s="18" t="s">
        <v>17</v>
      </c>
      <c r="J418" s="18">
        <v>51104517</v>
      </c>
      <c r="K418" s="18" t="s">
        <v>2563</v>
      </c>
      <c r="L418" s="18" t="s">
        <v>2568</v>
      </c>
      <c r="M418" s="21">
        <v>119900</v>
      </c>
      <c r="N418" s="24">
        <f t="shared" si="39"/>
        <v>0.7</v>
      </c>
      <c r="O418" s="25">
        <f t="shared" si="38"/>
        <v>35970</v>
      </c>
      <c r="P418" s="11" t="s">
        <v>20</v>
      </c>
    </row>
    <row r="419" spans="1:16" x14ac:dyDescent="0.25">
      <c r="A419" s="23" t="str">
        <f t="shared" ref="A419:C434" si="41">A418</f>
        <v>2025 JAN-JUN D70</v>
      </c>
      <c r="B419" s="10">
        <f t="shared" si="41"/>
        <v>46104</v>
      </c>
      <c r="C419" s="10">
        <f t="shared" si="41"/>
        <v>46113</v>
      </c>
      <c r="D419" s="11">
        <v>3273</v>
      </c>
      <c r="E419" s="11">
        <v>336</v>
      </c>
      <c r="F419" s="11">
        <v>4</v>
      </c>
      <c r="G419" s="18">
        <v>6</v>
      </c>
      <c r="H419" s="18">
        <v>81676</v>
      </c>
      <c r="I419" s="18" t="s">
        <v>17</v>
      </c>
      <c r="J419" s="18">
        <v>51104526</v>
      </c>
      <c r="K419" s="18" t="s">
        <v>2563</v>
      </c>
      <c r="L419" s="18" t="s">
        <v>2569</v>
      </c>
      <c r="M419" s="21">
        <v>119900</v>
      </c>
      <c r="N419" s="24">
        <f t="shared" si="39"/>
        <v>0.7</v>
      </c>
      <c r="O419" s="25">
        <f t="shared" si="38"/>
        <v>35970</v>
      </c>
      <c r="P419" s="11" t="s">
        <v>20</v>
      </c>
    </row>
    <row r="420" spans="1:16" x14ac:dyDescent="0.25">
      <c r="A420" s="23" t="str">
        <f t="shared" si="41"/>
        <v>2025 JAN-JUN D70</v>
      </c>
      <c r="B420" s="10">
        <f t="shared" si="41"/>
        <v>46104</v>
      </c>
      <c r="C420" s="10">
        <f t="shared" si="41"/>
        <v>46113</v>
      </c>
      <c r="D420" s="11">
        <v>3273</v>
      </c>
      <c r="E420" s="11">
        <v>336</v>
      </c>
      <c r="F420" s="11">
        <v>4</v>
      </c>
      <c r="G420" s="18">
        <v>6</v>
      </c>
      <c r="H420" s="18">
        <v>81676</v>
      </c>
      <c r="I420" s="18" t="s">
        <v>17</v>
      </c>
      <c r="J420" s="18">
        <v>51104535</v>
      </c>
      <c r="K420" s="18" t="s">
        <v>2563</v>
      </c>
      <c r="L420" s="18" t="s">
        <v>2570</v>
      </c>
      <c r="M420" s="21">
        <v>119900</v>
      </c>
      <c r="N420" s="24">
        <f t="shared" si="39"/>
        <v>0.7</v>
      </c>
      <c r="O420" s="25">
        <f t="shared" si="38"/>
        <v>35970</v>
      </c>
      <c r="P420" s="11" t="s">
        <v>20</v>
      </c>
    </row>
    <row r="421" spans="1:16" x14ac:dyDescent="0.25">
      <c r="A421" s="23" t="str">
        <f t="shared" si="41"/>
        <v>2025 JAN-JUN D70</v>
      </c>
      <c r="B421" s="10">
        <f t="shared" si="41"/>
        <v>46104</v>
      </c>
      <c r="C421" s="10">
        <f t="shared" si="41"/>
        <v>46113</v>
      </c>
      <c r="D421" s="11">
        <v>3273</v>
      </c>
      <c r="E421" s="11">
        <v>336</v>
      </c>
      <c r="F421" s="11">
        <v>4</v>
      </c>
      <c r="G421" s="18">
        <v>6</v>
      </c>
      <c r="H421" s="18">
        <v>81676</v>
      </c>
      <c r="I421" s="18" t="s">
        <v>17</v>
      </c>
      <c r="J421" s="18">
        <v>51104544</v>
      </c>
      <c r="K421" s="18" t="s">
        <v>2563</v>
      </c>
      <c r="L421" s="18" t="s">
        <v>2571</v>
      </c>
      <c r="M421" s="21">
        <v>119900</v>
      </c>
      <c r="N421" s="24">
        <f t="shared" si="39"/>
        <v>0.7</v>
      </c>
      <c r="O421" s="25">
        <f t="shared" si="38"/>
        <v>35970</v>
      </c>
      <c r="P421" s="11" t="s">
        <v>20</v>
      </c>
    </row>
    <row r="422" spans="1:16" x14ac:dyDescent="0.25">
      <c r="A422" s="23" t="str">
        <f t="shared" si="41"/>
        <v>2025 JAN-JUN D70</v>
      </c>
      <c r="B422" s="10">
        <f t="shared" si="41"/>
        <v>46104</v>
      </c>
      <c r="C422" s="10">
        <f t="shared" si="41"/>
        <v>46113</v>
      </c>
      <c r="D422" s="11">
        <v>3273</v>
      </c>
      <c r="E422" s="11">
        <v>336</v>
      </c>
      <c r="F422" s="11">
        <v>4</v>
      </c>
      <c r="G422" s="18">
        <v>6</v>
      </c>
      <c r="H422" s="18">
        <v>81676</v>
      </c>
      <c r="I422" s="18" t="s">
        <v>17</v>
      </c>
      <c r="J422" s="18">
        <v>51104553</v>
      </c>
      <c r="K422" s="18" t="s">
        <v>2572</v>
      </c>
      <c r="L422" s="18" t="s">
        <v>2573</v>
      </c>
      <c r="M422" s="21">
        <v>149900</v>
      </c>
      <c r="N422" s="24">
        <f t="shared" si="39"/>
        <v>0.7</v>
      </c>
      <c r="O422" s="25">
        <f t="shared" si="38"/>
        <v>44970</v>
      </c>
      <c r="P422" s="11" t="s">
        <v>20</v>
      </c>
    </row>
    <row r="423" spans="1:16" x14ac:dyDescent="0.25">
      <c r="A423" s="23" t="str">
        <f t="shared" si="41"/>
        <v>2025 JAN-JUN D70</v>
      </c>
      <c r="B423" s="10">
        <f t="shared" si="41"/>
        <v>46104</v>
      </c>
      <c r="C423" s="10">
        <f t="shared" si="41"/>
        <v>46113</v>
      </c>
      <c r="D423" s="11">
        <v>3273</v>
      </c>
      <c r="E423" s="11">
        <v>336</v>
      </c>
      <c r="F423" s="11">
        <v>4</v>
      </c>
      <c r="G423" s="18">
        <v>6</v>
      </c>
      <c r="H423" s="18">
        <v>81676</v>
      </c>
      <c r="I423" s="18" t="s">
        <v>17</v>
      </c>
      <c r="J423" s="18">
        <v>51104562</v>
      </c>
      <c r="K423" s="18" t="s">
        <v>2572</v>
      </c>
      <c r="L423" s="18" t="s">
        <v>2574</v>
      </c>
      <c r="M423" s="21">
        <v>149900</v>
      </c>
      <c r="N423" s="24">
        <f t="shared" si="39"/>
        <v>0.7</v>
      </c>
      <c r="O423" s="25">
        <f t="shared" si="38"/>
        <v>44970</v>
      </c>
      <c r="P423" s="11" t="s">
        <v>20</v>
      </c>
    </row>
    <row r="424" spans="1:16" x14ac:dyDescent="0.25">
      <c r="A424" s="23" t="str">
        <f t="shared" si="41"/>
        <v>2025 JAN-JUN D70</v>
      </c>
      <c r="B424" s="10">
        <f t="shared" si="41"/>
        <v>46104</v>
      </c>
      <c r="C424" s="10">
        <f t="shared" si="41"/>
        <v>46113</v>
      </c>
      <c r="D424" s="11">
        <v>3273</v>
      </c>
      <c r="E424" s="11">
        <v>336</v>
      </c>
      <c r="F424" s="11">
        <v>4</v>
      </c>
      <c r="G424" s="18">
        <v>6</v>
      </c>
      <c r="H424" s="18">
        <v>81676</v>
      </c>
      <c r="I424" s="18" t="s">
        <v>17</v>
      </c>
      <c r="J424" s="18">
        <v>51104571</v>
      </c>
      <c r="K424" s="18" t="s">
        <v>2572</v>
      </c>
      <c r="L424" s="18" t="s">
        <v>2575</v>
      </c>
      <c r="M424" s="21">
        <v>149900</v>
      </c>
      <c r="N424" s="24">
        <f t="shared" si="39"/>
        <v>0.7</v>
      </c>
      <c r="O424" s="25">
        <f t="shared" si="38"/>
        <v>44970</v>
      </c>
      <c r="P424" s="11" t="s">
        <v>20</v>
      </c>
    </row>
    <row r="425" spans="1:16" x14ac:dyDescent="0.25">
      <c r="A425" s="23" t="str">
        <f t="shared" si="41"/>
        <v>2025 JAN-JUN D70</v>
      </c>
      <c r="B425" s="10">
        <f t="shared" si="41"/>
        <v>46104</v>
      </c>
      <c r="C425" s="10">
        <f t="shared" si="41"/>
        <v>46113</v>
      </c>
      <c r="D425" s="11">
        <v>3273</v>
      </c>
      <c r="E425" s="11">
        <v>336</v>
      </c>
      <c r="F425" s="11">
        <v>4</v>
      </c>
      <c r="G425" s="18">
        <v>6</v>
      </c>
      <c r="H425" s="18">
        <v>81676</v>
      </c>
      <c r="I425" s="18" t="s">
        <v>17</v>
      </c>
      <c r="J425" s="18">
        <v>51104580</v>
      </c>
      <c r="K425" s="18" t="s">
        <v>2572</v>
      </c>
      <c r="L425" s="18" t="s">
        <v>2576</v>
      </c>
      <c r="M425" s="21">
        <v>149900</v>
      </c>
      <c r="N425" s="24">
        <f t="shared" si="39"/>
        <v>0.7</v>
      </c>
      <c r="O425" s="25">
        <f t="shared" si="38"/>
        <v>44970</v>
      </c>
      <c r="P425" s="11" t="s">
        <v>20</v>
      </c>
    </row>
    <row r="426" spans="1:16" x14ac:dyDescent="0.25">
      <c r="A426" s="23" t="str">
        <f t="shared" si="41"/>
        <v>2025 JAN-JUN D70</v>
      </c>
      <c r="B426" s="10">
        <f t="shared" si="41"/>
        <v>46104</v>
      </c>
      <c r="C426" s="10">
        <f t="shared" si="41"/>
        <v>46113</v>
      </c>
      <c r="D426" s="11">
        <v>3273</v>
      </c>
      <c r="E426" s="11">
        <v>336</v>
      </c>
      <c r="F426" s="11">
        <v>4</v>
      </c>
      <c r="G426" s="18">
        <v>6</v>
      </c>
      <c r="H426" s="18">
        <v>81676</v>
      </c>
      <c r="I426" s="18" t="s">
        <v>17</v>
      </c>
      <c r="J426" s="18">
        <v>51104599</v>
      </c>
      <c r="K426" s="18" t="s">
        <v>2572</v>
      </c>
      <c r="L426" s="18" t="s">
        <v>2577</v>
      </c>
      <c r="M426" s="21">
        <v>149900</v>
      </c>
      <c r="N426" s="24">
        <f t="shared" si="39"/>
        <v>0.7</v>
      </c>
      <c r="O426" s="25">
        <f t="shared" si="38"/>
        <v>44970</v>
      </c>
      <c r="P426" s="11" t="s">
        <v>20</v>
      </c>
    </row>
    <row r="427" spans="1:16" x14ac:dyDescent="0.25">
      <c r="A427" s="23" t="str">
        <f t="shared" si="41"/>
        <v>2025 JAN-JUN D70</v>
      </c>
      <c r="B427" s="10">
        <f t="shared" si="41"/>
        <v>46104</v>
      </c>
      <c r="C427" s="10">
        <f t="shared" si="41"/>
        <v>46113</v>
      </c>
      <c r="D427" s="11">
        <v>3273</v>
      </c>
      <c r="E427" s="11">
        <v>336</v>
      </c>
      <c r="F427" s="11">
        <v>4</v>
      </c>
      <c r="G427" s="18">
        <v>6</v>
      </c>
      <c r="H427" s="18">
        <v>81676</v>
      </c>
      <c r="I427" s="18" t="s">
        <v>17</v>
      </c>
      <c r="J427" s="18">
        <v>51104606</v>
      </c>
      <c r="K427" s="18" t="s">
        <v>2572</v>
      </c>
      <c r="L427" s="18" t="s">
        <v>2578</v>
      </c>
      <c r="M427" s="21">
        <v>149900</v>
      </c>
      <c r="N427" s="24">
        <f t="shared" si="39"/>
        <v>0.7</v>
      </c>
      <c r="O427" s="25">
        <f t="shared" si="38"/>
        <v>44970</v>
      </c>
      <c r="P427" s="11" t="s">
        <v>20</v>
      </c>
    </row>
    <row r="428" spans="1:16" x14ac:dyDescent="0.25">
      <c r="A428" s="23" t="str">
        <f t="shared" si="41"/>
        <v>2025 JAN-JUN D70</v>
      </c>
      <c r="B428" s="10">
        <f t="shared" si="41"/>
        <v>46104</v>
      </c>
      <c r="C428" s="10">
        <f t="shared" si="41"/>
        <v>46113</v>
      </c>
      <c r="D428" s="11">
        <v>3273</v>
      </c>
      <c r="E428" s="11">
        <v>336</v>
      </c>
      <c r="F428" s="11">
        <v>4</v>
      </c>
      <c r="G428" s="18">
        <v>6</v>
      </c>
      <c r="H428" s="18">
        <v>81676</v>
      </c>
      <c r="I428" s="18" t="s">
        <v>17</v>
      </c>
      <c r="J428" s="18">
        <v>51104615</v>
      </c>
      <c r="K428" s="18" t="s">
        <v>2572</v>
      </c>
      <c r="L428" s="18" t="s">
        <v>2579</v>
      </c>
      <c r="M428" s="21">
        <v>149900</v>
      </c>
      <c r="N428" s="24">
        <f t="shared" si="39"/>
        <v>0.7</v>
      </c>
      <c r="O428" s="25">
        <f t="shared" si="38"/>
        <v>44970</v>
      </c>
      <c r="P428" s="11" t="s">
        <v>20</v>
      </c>
    </row>
    <row r="429" spans="1:16" x14ac:dyDescent="0.25">
      <c r="A429" s="23" t="str">
        <f t="shared" si="41"/>
        <v>2025 JAN-JUN D70</v>
      </c>
      <c r="B429" s="10">
        <f t="shared" si="41"/>
        <v>46104</v>
      </c>
      <c r="C429" s="10">
        <f t="shared" si="41"/>
        <v>46113</v>
      </c>
      <c r="D429" s="11">
        <v>3273</v>
      </c>
      <c r="E429" s="11">
        <v>336</v>
      </c>
      <c r="F429" s="11">
        <v>4</v>
      </c>
      <c r="G429" s="18">
        <v>6</v>
      </c>
      <c r="H429" s="18">
        <v>81676</v>
      </c>
      <c r="I429" s="18" t="s">
        <v>17</v>
      </c>
      <c r="J429" s="18">
        <v>51104624</v>
      </c>
      <c r="K429" s="18" t="s">
        <v>2572</v>
      </c>
      <c r="L429" s="18" t="s">
        <v>2580</v>
      </c>
      <c r="M429" s="21">
        <v>149900</v>
      </c>
      <c r="N429" s="24">
        <f t="shared" si="39"/>
        <v>0.7</v>
      </c>
      <c r="O429" s="25">
        <f t="shared" si="38"/>
        <v>44970</v>
      </c>
      <c r="P429" s="11" t="s">
        <v>20</v>
      </c>
    </row>
    <row r="430" spans="1:16" x14ac:dyDescent="0.25">
      <c r="A430" s="23" t="str">
        <f t="shared" si="41"/>
        <v>2025 JAN-JUN D70</v>
      </c>
      <c r="B430" s="10">
        <f t="shared" si="41"/>
        <v>46104</v>
      </c>
      <c r="C430" s="10">
        <f t="shared" si="41"/>
        <v>46113</v>
      </c>
      <c r="D430" s="11">
        <v>3273</v>
      </c>
      <c r="E430" s="11">
        <v>336</v>
      </c>
      <c r="F430" s="11">
        <v>4</v>
      </c>
      <c r="G430" s="18">
        <v>6</v>
      </c>
      <c r="H430" s="18">
        <v>81676</v>
      </c>
      <c r="I430" s="18" t="s">
        <v>17</v>
      </c>
      <c r="J430" s="18">
        <v>51104633</v>
      </c>
      <c r="K430" s="18" t="s">
        <v>2581</v>
      </c>
      <c r="L430" s="18" t="s">
        <v>2582</v>
      </c>
      <c r="M430" s="21">
        <v>139900</v>
      </c>
      <c r="N430" s="24">
        <f t="shared" si="39"/>
        <v>0.7</v>
      </c>
      <c r="O430" s="25">
        <f t="shared" si="38"/>
        <v>41970</v>
      </c>
      <c r="P430" s="11" t="s">
        <v>20</v>
      </c>
    </row>
    <row r="431" spans="1:16" x14ac:dyDescent="0.25">
      <c r="A431" s="23" t="str">
        <f t="shared" si="41"/>
        <v>2025 JAN-JUN D70</v>
      </c>
      <c r="B431" s="10">
        <f t="shared" si="41"/>
        <v>46104</v>
      </c>
      <c r="C431" s="10">
        <f t="shared" si="41"/>
        <v>46113</v>
      </c>
      <c r="D431" s="11">
        <v>3273</v>
      </c>
      <c r="E431" s="11">
        <v>336</v>
      </c>
      <c r="F431" s="11">
        <v>4</v>
      </c>
      <c r="G431" s="18">
        <v>6</v>
      </c>
      <c r="H431" s="18">
        <v>81676</v>
      </c>
      <c r="I431" s="18" t="s">
        <v>17</v>
      </c>
      <c r="J431" s="18">
        <v>51104642</v>
      </c>
      <c r="K431" s="18" t="s">
        <v>2581</v>
      </c>
      <c r="L431" s="18" t="s">
        <v>2583</v>
      </c>
      <c r="M431" s="21">
        <v>139900</v>
      </c>
      <c r="N431" s="24">
        <f t="shared" si="39"/>
        <v>0.7</v>
      </c>
      <c r="O431" s="25">
        <f t="shared" si="38"/>
        <v>41970</v>
      </c>
      <c r="P431" s="11" t="s">
        <v>20</v>
      </c>
    </row>
    <row r="432" spans="1:16" x14ac:dyDescent="0.25">
      <c r="A432" s="23" t="str">
        <f t="shared" si="41"/>
        <v>2025 JAN-JUN D70</v>
      </c>
      <c r="B432" s="10">
        <f t="shared" si="41"/>
        <v>46104</v>
      </c>
      <c r="C432" s="10">
        <f t="shared" si="41"/>
        <v>46113</v>
      </c>
      <c r="D432" s="11">
        <v>3273</v>
      </c>
      <c r="E432" s="11">
        <v>336</v>
      </c>
      <c r="F432" s="11">
        <v>4</v>
      </c>
      <c r="G432" s="18">
        <v>6</v>
      </c>
      <c r="H432" s="18">
        <v>81676</v>
      </c>
      <c r="I432" s="18" t="s">
        <v>17</v>
      </c>
      <c r="J432" s="18">
        <v>51104651</v>
      </c>
      <c r="K432" s="18" t="s">
        <v>2581</v>
      </c>
      <c r="L432" s="18" t="s">
        <v>2584</v>
      </c>
      <c r="M432" s="21">
        <v>139900</v>
      </c>
      <c r="N432" s="24">
        <f t="shared" si="39"/>
        <v>0.7</v>
      </c>
      <c r="O432" s="25">
        <f t="shared" si="38"/>
        <v>41970</v>
      </c>
      <c r="P432" s="11" t="s">
        <v>20</v>
      </c>
    </row>
    <row r="433" spans="1:16" x14ac:dyDescent="0.25">
      <c r="A433" s="23" t="str">
        <f t="shared" si="41"/>
        <v>2025 JAN-JUN D70</v>
      </c>
      <c r="B433" s="10">
        <f t="shared" si="41"/>
        <v>46104</v>
      </c>
      <c r="C433" s="10">
        <f t="shared" si="41"/>
        <v>46113</v>
      </c>
      <c r="D433" s="11">
        <v>3273</v>
      </c>
      <c r="E433" s="11">
        <v>336</v>
      </c>
      <c r="F433" s="11">
        <v>4</v>
      </c>
      <c r="G433" s="18">
        <v>6</v>
      </c>
      <c r="H433" s="18">
        <v>81676</v>
      </c>
      <c r="I433" s="18" t="s">
        <v>17</v>
      </c>
      <c r="J433" s="18">
        <v>51104660</v>
      </c>
      <c r="K433" s="18" t="s">
        <v>2581</v>
      </c>
      <c r="L433" s="18" t="s">
        <v>2585</v>
      </c>
      <c r="M433" s="21">
        <v>139900</v>
      </c>
      <c r="N433" s="24">
        <f t="shared" si="39"/>
        <v>0.7</v>
      </c>
      <c r="O433" s="25">
        <f t="shared" si="38"/>
        <v>41970</v>
      </c>
      <c r="P433" s="11" t="s">
        <v>20</v>
      </c>
    </row>
    <row r="434" spans="1:16" x14ac:dyDescent="0.25">
      <c r="A434" s="23" t="str">
        <f t="shared" si="41"/>
        <v>2025 JAN-JUN D70</v>
      </c>
      <c r="B434" s="10">
        <f t="shared" si="41"/>
        <v>46104</v>
      </c>
      <c r="C434" s="10">
        <f t="shared" si="41"/>
        <v>46113</v>
      </c>
      <c r="D434" s="11">
        <v>3273</v>
      </c>
      <c r="E434" s="11">
        <v>336</v>
      </c>
      <c r="F434" s="11">
        <v>4</v>
      </c>
      <c r="G434" s="18">
        <v>6</v>
      </c>
      <c r="H434" s="18">
        <v>81676</v>
      </c>
      <c r="I434" s="18" t="s">
        <v>17</v>
      </c>
      <c r="J434" s="18">
        <v>51104679</v>
      </c>
      <c r="K434" s="18" t="s">
        <v>2581</v>
      </c>
      <c r="L434" s="18" t="s">
        <v>2586</v>
      </c>
      <c r="M434" s="21">
        <v>139900</v>
      </c>
      <c r="N434" s="24">
        <f t="shared" si="39"/>
        <v>0.7</v>
      </c>
      <c r="O434" s="25">
        <f t="shared" si="38"/>
        <v>41970</v>
      </c>
      <c r="P434" s="11" t="s">
        <v>20</v>
      </c>
    </row>
    <row r="435" spans="1:16" x14ac:dyDescent="0.25">
      <c r="A435" s="23" t="str">
        <f t="shared" ref="A435:C450" si="42">A434</f>
        <v>2025 JAN-JUN D70</v>
      </c>
      <c r="B435" s="10">
        <f t="shared" si="42"/>
        <v>46104</v>
      </c>
      <c r="C435" s="10">
        <f t="shared" si="42"/>
        <v>46113</v>
      </c>
      <c r="D435" s="11">
        <v>3273</v>
      </c>
      <c r="E435" s="11">
        <v>336</v>
      </c>
      <c r="F435" s="11">
        <v>4</v>
      </c>
      <c r="G435" s="18">
        <v>6</v>
      </c>
      <c r="H435" s="18">
        <v>81676</v>
      </c>
      <c r="I435" s="18" t="s">
        <v>17</v>
      </c>
      <c r="J435" s="18">
        <v>51104688</v>
      </c>
      <c r="K435" s="18" t="s">
        <v>2581</v>
      </c>
      <c r="L435" s="18" t="s">
        <v>2587</v>
      </c>
      <c r="M435" s="21">
        <v>139900</v>
      </c>
      <c r="N435" s="24">
        <f t="shared" si="39"/>
        <v>0.7</v>
      </c>
      <c r="O435" s="25">
        <f t="shared" si="38"/>
        <v>41970</v>
      </c>
      <c r="P435" s="11" t="s">
        <v>20</v>
      </c>
    </row>
    <row r="436" spans="1:16" x14ac:dyDescent="0.25">
      <c r="A436" s="23" t="str">
        <f t="shared" si="42"/>
        <v>2025 JAN-JUN D70</v>
      </c>
      <c r="B436" s="10">
        <f t="shared" si="42"/>
        <v>46104</v>
      </c>
      <c r="C436" s="10">
        <f t="shared" si="42"/>
        <v>46113</v>
      </c>
      <c r="D436" s="11">
        <v>3273</v>
      </c>
      <c r="E436" s="11">
        <v>336</v>
      </c>
      <c r="F436" s="11">
        <v>4</v>
      </c>
      <c r="G436" s="18">
        <v>6</v>
      </c>
      <c r="H436" s="18">
        <v>81676</v>
      </c>
      <c r="I436" s="18" t="s">
        <v>17</v>
      </c>
      <c r="J436" s="18">
        <v>51104697</v>
      </c>
      <c r="K436" s="18" t="s">
        <v>2581</v>
      </c>
      <c r="L436" s="18" t="s">
        <v>2588</v>
      </c>
      <c r="M436" s="21">
        <v>139900</v>
      </c>
      <c r="N436" s="24">
        <f t="shared" si="39"/>
        <v>0.7</v>
      </c>
      <c r="O436" s="25">
        <f t="shared" si="38"/>
        <v>41970</v>
      </c>
      <c r="P436" s="11" t="s">
        <v>20</v>
      </c>
    </row>
    <row r="437" spans="1:16" x14ac:dyDescent="0.25">
      <c r="A437" s="23" t="str">
        <f t="shared" si="42"/>
        <v>2025 JAN-JUN D70</v>
      </c>
      <c r="B437" s="10">
        <f t="shared" si="42"/>
        <v>46104</v>
      </c>
      <c r="C437" s="10">
        <f t="shared" si="42"/>
        <v>46113</v>
      </c>
      <c r="D437" s="11">
        <v>3273</v>
      </c>
      <c r="E437" s="11">
        <v>336</v>
      </c>
      <c r="F437" s="11">
        <v>4</v>
      </c>
      <c r="G437" s="18">
        <v>6</v>
      </c>
      <c r="H437" s="18">
        <v>81676</v>
      </c>
      <c r="I437" s="18" t="s">
        <v>17</v>
      </c>
      <c r="J437" s="18">
        <v>51104704</v>
      </c>
      <c r="K437" s="18" t="s">
        <v>2581</v>
      </c>
      <c r="L437" s="18" t="s">
        <v>2589</v>
      </c>
      <c r="M437" s="21">
        <v>139900</v>
      </c>
      <c r="N437" s="24">
        <f t="shared" si="39"/>
        <v>0.7</v>
      </c>
      <c r="O437" s="25">
        <f t="shared" si="38"/>
        <v>41970</v>
      </c>
      <c r="P437" s="11" t="s">
        <v>20</v>
      </c>
    </row>
    <row r="438" spans="1:16" x14ac:dyDescent="0.25">
      <c r="A438" s="23" t="str">
        <f t="shared" si="42"/>
        <v>2025 JAN-JUN D70</v>
      </c>
      <c r="B438" s="10">
        <f t="shared" si="42"/>
        <v>46104</v>
      </c>
      <c r="C438" s="10">
        <f t="shared" si="42"/>
        <v>46113</v>
      </c>
      <c r="D438" s="11">
        <v>3273</v>
      </c>
      <c r="E438" s="11">
        <v>336</v>
      </c>
      <c r="F438" s="11">
        <v>4</v>
      </c>
      <c r="G438" s="18">
        <v>6</v>
      </c>
      <c r="H438" s="18">
        <v>81588</v>
      </c>
      <c r="I438" s="18" t="s">
        <v>17</v>
      </c>
      <c r="J438" s="18">
        <v>51104713</v>
      </c>
      <c r="K438" s="18" t="s">
        <v>2590</v>
      </c>
      <c r="L438" s="18" t="s">
        <v>2591</v>
      </c>
      <c r="M438" s="21">
        <v>139900</v>
      </c>
      <c r="N438" s="24">
        <f t="shared" si="39"/>
        <v>0.7</v>
      </c>
      <c r="O438" s="25">
        <f t="shared" si="38"/>
        <v>41970</v>
      </c>
      <c r="P438" s="11" t="s">
        <v>20</v>
      </c>
    </row>
    <row r="439" spans="1:16" x14ac:dyDescent="0.25">
      <c r="A439" s="23" t="str">
        <f t="shared" si="42"/>
        <v>2025 JAN-JUN D70</v>
      </c>
      <c r="B439" s="10">
        <f t="shared" si="42"/>
        <v>46104</v>
      </c>
      <c r="C439" s="10">
        <f t="shared" si="42"/>
        <v>46113</v>
      </c>
      <c r="D439" s="11">
        <v>3273</v>
      </c>
      <c r="E439" s="11">
        <v>336</v>
      </c>
      <c r="F439" s="11">
        <v>4</v>
      </c>
      <c r="G439" s="18">
        <v>6</v>
      </c>
      <c r="H439" s="18">
        <v>81588</v>
      </c>
      <c r="I439" s="18" t="s">
        <v>17</v>
      </c>
      <c r="J439" s="18">
        <v>51104722</v>
      </c>
      <c r="K439" s="18" t="s">
        <v>2590</v>
      </c>
      <c r="L439" s="18" t="s">
        <v>2592</v>
      </c>
      <c r="M439" s="21">
        <v>139900</v>
      </c>
      <c r="N439" s="24">
        <f t="shared" si="39"/>
        <v>0.7</v>
      </c>
      <c r="O439" s="25">
        <f t="shared" si="38"/>
        <v>41970</v>
      </c>
      <c r="P439" s="11" t="s">
        <v>20</v>
      </c>
    </row>
    <row r="440" spans="1:16" x14ac:dyDescent="0.25">
      <c r="A440" s="23" t="str">
        <f t="shared" si="42"/>
        <v>2025 JAN-JUN D70</v>
      </c>
      <c r="B440" s="10">
        <f t="shared" si="42"/>
        <v>46104</v>
      </c>
      <c r="C440" s="10">
        <f t="shared" si="42"/>
        <v>46113</v>
      </c>
      <c r="D440" s="11">
        <v>3273</v>
      </c>
      <c r="E440" s="11">
        <v>336</v>
      </c>
      <c r="F440" s="11">
        <v>4</v>
      </c>
      <c r="G440" s="18">
        <v>6</v>
      </c>
      <c r="H440" s="18">
        <v>81588</v>
      </c>
      <c r="I440" s="18" t="s">
        <v>17</v>
      </c>
      <c r="J440" s="18">
        <v>51104731</v>
      </c>
      <c r="K440" s="18" t="s">
        <v>2590</v>
      </c>
      <c r="L440" s="18" t="s">
        <v>2593</v>
      </c>
      <c r="M440" s="21">
        <v>139900</v>
      </c>
      <c r="N440" s="24">
        <f t="shared" si="39"/>
        <v>0.7</v>
      </c>
      <c r="O440" s="25">
        <f t="shared" si="38"/>
        <v>41970</v>
      </c>
      <c r="P440" s="11" t="s">
        <v>20</v>
      </c>
    </row>
    <row r="441" spans="1:16" x14ac:dyDescent="0.25">
      <c r="A441" s="23" t="str">
        <f t="shared" si="42"/>
        <v>2025 JAN-JUN D70</v>
      </c>
      <c r="B441" s="10">
        <f t="shared" si="42"/>
        <v>46104</v>
      </c>
      <c r="C441" s="10">
        <f t="shared" si="42"/>
        <v>46113</v>
      </c>
      <c r="D441" s="11">
        <v>3273</v>
      </c>
      <c r="E441" s="11">
        <v>336</v>
      </c>
      <c r="F441" s="11">
        <v>4</v>
      </c>
      <c r="G441" s="18">
        <v>6</v>
      </c>
      <c r="H441" s="18">
        <v>81588</v>
      </c>
      <c r="I441" s="18" t="s">
        <v>17</v>
      </c>
      <c r="J441" s="18">
        <v>51104740</v>
      </c>
      <c r="K441" s="18" t="s">
        <v>2590</v>
      </c>
      <c r="L441" s="18" t="s">
        <v>2594</v>
      </c>
      <c r="M441" s="21">
        <v>139900</v>
      </c>
      <c r="N441" s="24">
        <f t="shared" si="39"/>
        <v>0.7</v>
      </c>
      <c r="O441" s="25">
        <f t="shared" si="38"/>
        <v>41970</v>
      </c>
      <c r="P441" s="11" t="s">
        <v>20</v>
      </c>
    </row>
    <row r="442" spans="1:16" x14ac:dyDescent="0.25">
      <c r="A442" s="23" t="str">
        <f t="shared" si="42"/>
        <v>2025 JAN-JUN D70</v>
      </c>
      <c r="B442" s="10">
        <f t="shared" si="42"/>
        <v>46104</v>
      </c>
      <c r="C442" s="10">
        <f t="shared" si="42"/>
        <v>46113</v>
      </c>
      <c r="D442" s="11">
        <v>3273</v>
      </c>
      <c r="E442" s="11">
        <v>336</v>
      </c>
      <c r="F442" s="11">
        <v>4</v>
      </c>
      <c r="G442" s="18">
        <v>6</v>
      </c>
      <c r="H442" s="18">
        <v>81588</v>
      </c>
      <c r="I442" s="18" t="s">
        <v>17</v>
      </c>
      <c r="J442" s="18">
        <v>51104759</v>
      </c>
      <c r="K442" s="18" t="s">
        <v>2590</v>
      </c>
      <c r="L442" s="18" t="s">
        <v>2595</v>
      </c>
      <c r="M442" s="21">
        <v>139900</v>
      </c>
      <c r="N442" s="24">
        <f t="shared" si="39"/>
        <v>0.7</v>
      </c>
      <c r="O442" s="25">
        <f t="shared" si="38"/>
        <v>41970</v>
      </c>
      <c r="P442" s="11" t="s">
        <v>20</v>
      </c>
    </row>
    <row r="443" spans="1:16" x14ac:dyDescent="0.25">
      <c r="A443" s="23" t="str">
        <f t="shared" si="42"/>
        <v>2025 JAN-JUN D70</v>
      </c>
      <c r="B443" s="10">
        <f t="shared" si="42"/>
        <v>46104</v>
      </c>
      <c r="C443" s="10">
        <f t="shared" si="42"/>
        <v>46113</v>
      </c>
      <c r="D443" s="11">
        <v>3273</v>
      </c>
      <c r="E443" s="11">
        <v>336</v>
      </c>
      <c r="F443" s="11">
        <v>4</v>
      </c>
      <c r="G443" s="18">
        <v>6</v>
      </c>
      <c r="H443" s="18">
        <v>81588</v>
      </c>
      <c r="I443" s="18" t="s">
        <v>17</v>
      </c>
      <c r="J443" s="18">
        <v>51104768</v>
      </c>
      <c r="K443" s="18" t="s">
        <v>2590</v>
      </c>
      <c r="L443" s="18" t="s">
        <v>2596</v>
      </c>
      <c r="M443" s="21">
        <v>139900</v>
      </c>
      <c r="N443" s="24">
        <f t="shared" si="39"/>
        <v>0.7</v>
      </c>
      <c r="O443" s="25">
        <f t="shared" si="38"/>
        <v>41970</v>
      </c>
      <c r="P443" s="11" t="s">
        <v>20</v>
      </c>
    </row>
    <row r="444" spans="1:16" x14ac:dyDescent="0.25">
      <c r="A444" s="23" t="str">
        <f t="shared" si="42"/>
        <v>2025 JAN-JUN D70</v>
      </c>
      <c r="B444" s="10">
        <f t="shared" si="42"/>
        <v>46104</v>
      </c>
      <c r="C444" s="10">
        <f t="shared" si="42"/>
        <v>46113</v>
      </c>
      <c r="D444" s="11">
        <v>3273</v>
      </c>
      <c r="E444" s="11">
        <v>336</v>
      </c>
      <c r="F444" s="11">
        <v>4</v>
      </c>
      <c r="G444" s="18">
        <v>6</v>
      </c>
      <c r="H444" s="18">
        <v>81676</v>
      </c>
      <c r="I444" s="18" t="s">
        <v>17</v>
      </c>
      <c r="J444" s="18">
        <v>51104777</v>
      </c>
      <c r="K444" s="18" t="s">
        <v>2597</v>
      </c>
      <c r="L444" s="18" t="s">
        <v>2598</v>
      </c>
      <c r="M444" s="21">
        <v>149900</v>
      </c>
      <c r="N444" s="24">
        <f t="shared" si="39"/>
        <v>0.7</v>
      </c>
      <c r="O444" s="25">
        <f t="shared" si="38"/>
        <v>44970</v>
      </c>
      <c r="P444" s="11" t="s">
        <v>20</v>
      </c>
    </row>
    <row r="445" spans="1:16" x14ac:dyDescent="0.25">
      <c r="A445" s="23" t="str">
        <f t="shared" si="42"/>
        <v>2025 JAN-JUN D70</v>
      </c>
      <c r="B445" s="10">
        <f t="shared" si="42"/>
        <v>46104</v>
      </c>
      <c r="C445" s="10">
        <f t="shared" si="42"/>
        <v>46113</v>
      </c>
      <c r="D445" s="11">
        <v>3273</v>
      </c>
      <c r="E445" s="11">
        <v>336</v>
      </c>
      <c r="F445" s="11">
        <v>4</v>
      </c>
      <c r="G445" s="18">
        <v>6</v>
      </c>
      <c r="H445" s="18">
        <v>81676</v>
      </c>
      <c r="I445" s="18" t="s">
        <v>17</v>
      </c>
      <c r="J445" s="18">
        <v>51104786</v>
      </c>
      <c r="K445" s="18" t="s">
        <v>2597</v>
      </c>
      <c r="L445" s="18" t="s">
        <v>2599</v>
      </c>
      <c r="M445" s="21">
        <v>149900</v>
      </c>
      <c r="N445" s="24">
        <f t="shared" si="39"/>
        <v>0.7</v>
      </c>
      <c r="O445" s="25">
        <f t="shared" si="38"/>
        <v>44970</v>
      </c>
      <c r="P445" s="11" t="s">
        <v>20</v>
      </c>
    </row>
    <row r="446" spans="1:16" x14ac:dyDescent="0.25">
      <c r="A446" s="23" t="str">
        <f t="shared" si="42"/>
        <v>2025 JAN-JUN D70</v>
      </c>
      <c r="B446" s="10">
        <f t="shared" si="42"/>
        <v>46104</v>
      </c>
      <c r="C446" s="10">
        <f t="shared" si="42"/>
        <v>46113</v>
      </c>
      <c r="D446" s="11">
        <v>3273</v>
      </c>
      <c r="E446" s="11">
        <v>336</v>
      </c>
      <c r="F446" s="11">
        <v>4</v>
      </c>
      <c r="G446" s="18">
        <v>6</v>
      </c>
      <c r="H446" s="18">
        <v>81676</v>
      </c>
      <c r="I446" s="18" t="s">
        <v>17</v>
      </c>
      <c r="J446" s="18">
        <v>51104795</v>
      </c>
      <c r="K446" s="18" t="s">
        <v>2597</v>
      </c>
      <c r="L446" s="18" t="s">
        <v>2600</v>
      </c>
      <c r="M446" s="21">
        <v>149900</v>
      </c>
      <c r="N446" s="24">
        <f t="shared" si="39"/>
        <v>0.7</v>
      </c>
      <c r="O446" s="25">
        <f t="shared" si="38"/>
        <v>44970</v>
      </c>
      <c r="P446" s="11" t="s">
        <v>20</v>
      </c>
    </row>
    <row r="447" spans="1:16" x14ac:dyDescent="0.25">
      <c r="A447" s="23" t="str">
        <f t="shared" si="42"/>
        <v>2025 JAN-JUN D70</v>
      </c>
      <c r="B447" s="10">
        <f t="shared" si="42"/>
        <v>46104</v>
      </c>
      <c r="C447" s="10">
        <f t="shared" si="42"/>
        <v>46113</v>
      </c>
      <c r="D447" s="11">
        <v>3273</v>
      </c>
      <c r="E447" s="11">
        <v>336</v>
      </c>
      <c r="F447" s="11">
        <v>4</v>
      </c>
      <c r="G447" s="18">
        <v>6</v>
      </c>
      <c r="H447" s="18">
        <v>81676</v>
      </c>
      <c r="I447" s="18" t="s">
        <v>17</v>
      </c>
      <c r="J447" s="18">
        <v>51104802</v>
      </c>
      <c r="K447" s="18" t="s">
        <v>2597</v>
      </c>
      <c r="L447" s="18" t="s">
        <v>2601</v>
      </c>
      <c r="M447" s="21">
        <v>149900</v>
      </c>
      <c r="N447" s="24">
        <f t="shared" si="39"/>
        <v>0.7</v>
      </c>
      <c r="O447" s="25">
        <f t="shared" si="38"/>
        <v>44970</v>
      </c>
      <c r="P447" s="11" t="s">
        <v>20</v>
      </c>
    </row>
    <row r="448" spans="1:16" x14ac:dyDescent="0.25">
      <c r="A448" s="23" t="str">
        <f t="shared" si="42"/>
        <v>2025 JAN-JUN D70</v>
      </c>
      <c r="B448" s="10">
        <f t="shared" si="42"/>
        <v>46104</v>
      </c>
      <c r="C448" s="10">
        <f t="shared" si="42"/>
        <v>46113</v>
      </c>
      <c r="D448" s="11">
        <v>3273</v>
      </c>
      <c r="E448" s="11">
        <v>336</v>
      </c>
      <c r="F448" s="11">
        <v>4</v>
      </c>
      <c r="G448" s="18">
        <v>6</v>
      </c>
      <c r="H448" s="18">
        <v>81676</v>
      </c>
      <c r="I448" s="18" t="s">
        <v>17</v>
      </c>
      <c r="J448" s="18">
        <v>51104811</v>
      </c>
      <c r="K448" s="18" t="s">
        <v>2597</v>
      </c>
      <c r="L448" s="18" t="s">
        <v>2602</v>
      </c>
      <c r="M448" s="21">
        <v>149900</v>
      </c>
      <c r="N448" s="24">
        <f t="shared" si="39"/>
        <v>0.7</v>
      </c>
      <c r="O448" s="25">
        <f t="shared" si="38"/>
        <v>44970</v>
      </c>
      <c r="P448" s="11" t="s">
        <v>20</v>
      </c>
    </row>
    <row r="449" spans="1:16" x14ac:dyDescent="0.25">
      <c r="A449" s="23" t="str">
        <f t="shared" si="42"/>
        <v>2025 JAN-JUN D70</v>
      </c>
      <c r="B449" s="10">
        <f t="shared" si="42"/>
        <v>46104</v>
      </c>
      <c r="C449" s="10">
        <f t="shared" si="42"/>
        <v>46113</v>
      </c>
      <c r="D449" s="11">
        <v>3273</v>
      </c>
      <c r="E449" s="11">
        <v>336</v>
      </c>
      <c r="F449" s="11">
        <v>4</v>
      </c>
      <c r="G449" s="18">
        <v>6</v>
      </c>
      <c r="H449" s="18">
        <v>81574</v>
      </c>
      <c r="I449" s="18" t="s">
        <v>17</v>
      </c>
      <c r="J449" s="18">
        <v>51104900</v>
      </c>
      <c r="K449" s="18" t="s">
        <v>2603</v>
      </c>
      <c r="L449" s="18" t="s">
        <v>2604</v>
      </c>
      <c r="M449" s="21">
        <v>189900</v>
      </c>
      <c r="N449" s="24">
        <f t="shared" si="39"/>
        <v>0.7</v>
      </c>
      <c r="O449" s="25">
        <f t="shared" si="38"/>
        <v>56970</v>
      </c>
      <c r="P449" s="11" t="s">
        <v>20</v>
      </c>
    </row>
    <row r="450" spans="1:16" x14ac:dyDescent="0.25">
      <c r="A450" s="23" t="str">
        <f t="shared" si="42"/>
        <v>2025 JAN-JUN D70</v>
      </c>
      <c r="B450" s="10">
        <f t="shared" si="42"/>
        <v>46104</v>
      </c>
      <c r="C450" s="10">
        <f t="shared" si="42"/>
        <v>46113</v>
      </c>
      <c r="D450" s="11">
        <v>3273</v>
      </c>
      <c r="E450" s="11">
        <v>336</v>
      </c>
      <c r="F450" s="11">
        <v>4</v>
      </c>
      <c r="G450" s="18">
        <v>6</v>
      </c>
      <c r="H450" s="18">
        <v>81574</v>
      </c>
      <c r="I450" s="18" t="s">
        <v>17</v>
      </c>
      <c r="J450" s="18">
        <v>51104919</v>
      </c>
      <c r="K450" s="18" t="s">
        <v>2603</v>
      </c>
      <c r="L450" s="18" t="s">
        <v>2605</v>
      </c>
      <c r="M450" s="21">
        <v>189900</v>
      </c>
      <c r="N450" s="24">
        <f t="shared" si="39"/>
        <v>0.7</v>
      </c>
      <c r="O450" s="25">
        <f t="shared" si="38"/>
        <v>56970</v>
      </c>
      <c r="P450" s="11" t="s">
        <v>20</v>
      </c>
    </row>
    <row r="451" spans="1:16" x14ac:dyDescent="0.25">
      <c r="A451" s="23" t="str">
        <f t="shared" ref="A451:C466" si="43">A450</f>
        <v>2025 JAN-JUN D70</v>
      </c>
      <c r="B451" s="10">
        <f t="shared" si="43"/>
        <v>46104</v>
      </c>
      <c r="C451" s="10">
        <f t="shared" si="43"/>
        <v>46113</v>
      </c>
      <c r="D451" s="11">
        <v>3273</v>
      </c>
      <c r="E451" s="11">
        <v>336</v>
      </c>
      <c r="F451" s="11">
        <v>4</v>
      </c>
      <c r="G451" s="18">
        <v>6</v>
      </c>
      <c r="H451" s="18">
        <v>81574</v>
      </c>
      <c r="I451" s="18" t="s">
        <v>17</v>
      </c>
      <c r="J451" s="18">
        <v>51104928</v>
      </c>
      <c r="K451" s="18" t="s">
        <v>2603</v>
      </c>
      <c r="L451" s="18" t="s">
        <v>2606</v>
      </c>
      <c r="M451" s="21">
        <v>189900</v>
      </c>
      <c r="N451" s="24">
        <f t="shared" si="39"/>
        <v>0.7</v>
      </c>
      <c r="O451" s="25">
        <f t="shared" ref="O451:O514" si="44">M451-((70*M451)/100)</f>
        <v>56970</v>
      </c>
      <c r="P451" s="11" t="s">
        <v>20</v>
      </c>
    </row>
    <row r="452" spans="1:16" x14ac:dyDescent="0.25">
      <c r="A452" s="23" t="str">
        <f t="shared" si="43"/>
        <v>2025 JAN-JUN D70</v>
      </c>
      <c r="B452" s="10">
        <f t="shared" si="43"/>
        <v>46104</v>
      </c>
      <c r="C452" s="10">
        <f t="shared" si="43"/>
        <v>46113</v>
      </c>
      <c r="D452" s="11">
        <v>3273</v>
      </c>
      <c r="E452" s="11">
        <v>336</v>
      </c>
      <c r="F452" s="11">
        <v>4</v>
      </c>
      <c r="G452" s="18">
        <v>6</v>
      </c>
      <c r="H452" s="18">
        <v>81574</v>
      </c>
      <c r="I452" s="18" t="s">
        <v>17</v>
      </c>
      <c r="J452" s="18">
        <v>51104937</v>
      </c>
      <c r="K452" s="18" t="s">
        <v>2603</v>
      </c>
      <c r="L452" s="18" t="s">
        <v>2607</v>
      </c>
      <c r="M452" s="21">
        <v>189900</v>
      </c>
      <c r="N452" s="24">
        <f t="shared" ref="N452:N515" si="45">N451</f>
        <v>0.7</v>
      </c>
      <c r="O452" s="25">
        <f t="shared" si="44"/>
        <v>56970</v>
      </c>
      <c r="P452" s="11" t="s">
        <v>20</v>
      </c>
    </row>
    <row r="453" spans="1:16" x14ac:dyDescent="0.25">
      <c r="A453" s="23" t="str">
        <f t="shared" si="43"/>
        <v>2025 JAN-JUN D70</v>
      </c>
      <c r="B453" s="10">
        <f t="shared" si="43"/>
        <v>46104</v>
      </c>
      <c r="C453" s="10">
        <f t="shared" si="43"/>
        <v>46113</v>
      </c>
      <c r="D453" s="11">
        <v>3273</v>
      </c>
      <c r="E453" s="11">
        <v>336</v>
      </c>
      <c r="F453" s="11">
        <v>4</v>
      </c>
      <c r="G453" s="18">
        <v>6</v>
      </c>
      <c r="H453" s="18">
        <v>81574</v>
      </c>
      <c r="I453" s="18" t="s">
        <v>17</v>
      </c>
      <c r="J453" s="18">
        <v>51104946</v>
      </c>
      <c r="K453" s="18" t="s">
        <v>2603</v>
      </c>
      <c r="L453" s="18" t="s">
        <v>2608</v>
      </c>
      <c r="M453" s="21">
        <v>189900</v>
      </c>
      <c r="N453" s="24">
        <f t="shared" si="45"/>
        <v>0.7</v>
      </c>
      <c r="O453" s="25">
        <f t="shared" si="44"/>
        <v>56970</v>
      </c>
      <c r="P453" s="11" t="s">
        <v>20</v>
      </c>
    </row>
    <row r="454" spans="1:16" x14ac:dyDescent="0.25">
      <c r="A454" s="23" t="str">
        <f t="shared" si="43"/>
        <v>2025 JAN-JUN D70</v>
      </c>
      <c r="B454" s="10">
        <f t="shared" si="43"/>
        <v>46104</v>
      </c>
      <c r="C454" s="10">
        <f t="shared" si="43"/>
        <v>46113</v>
      </c>
      <c r="D454" s="11">
        <v>3273</v>
      </c>
      <c r="E454" s="11">
        <v>336</v>
      </c>
      <c r="F454" s="11">
        <v>4</v>
      </c>
      <c r="G454" s="18">
        <v>6</v>
      </c>
      <c r="H454" s="18">
        <v>81574</v>
      </c>
      <c r="I454" s="18" t="s">
        <v>17</v>
      </c>
      <c r="J454" s="18">
        <v>51104955</v>
      </c>
      <c r="K454" s="18" t="s">
        <v>2603</v>
      </c>
      <c r="L454" s="18" t="s">
        <v>2609</v>
      </c>
      <c r="M454" s="21">
        <v>189900</v>
      </c>
      <c r="N454" s="24">
        <f t="shared" si="45"/>
        <v>0.7</v>
      </c>
      <c r="O454" s="25">
        <f t="shared" si="44"/>
        <v>56970</v>
      </c>
      <c r="P454" s="11" t="s">
        <v>20</v>
      </c>
    </row>
    <row r="455" spans="1:16" x14ac:dyDescent="0.25">
      <c r="A455" s="23" t="str">
        <f t="shared" si="43"/>
        <v>2025 JAN-JUN D70</v>
      </c>
      <c r="B455" s="10">
        <f t="shared" si="43"/>
        <v>46104</v>
      </c>
      <c r="C455" s="10">
        <f t="shared" si="43"/>
        <v>46113</v>
      </c>
      <c r="D455" s="11">
        <v>3273</v>
      </c>
      <c r="E455" s="11">
        <v>336</v>
      </c>
      <c r="F455" s="11">
        <v>4</v>
      </c>
      <c r="G455" s="18">
        <v>6</v>
      </c>
      <c r="H455" s="18">
        <v>81574</v>
      </c>
      <c r="I455" s="18" t="s">
        <v>17</v>
      </c>
      <c r="J455" s="18">
        <v>51104964</v>
      </c>
      <c r="K455" s="18" t="s">
        <v>2603</v>
      </c>
      <c r="L455" s="18" t="s">
        <v>2610</v>
      </c>
      <c r="M455" s="21">
        <v>189900</v>
      </c>
      <c r="N455" s="24">
        <f t="shared" si="45"/>
        <v>0.7</v>
      </c>
      <c r="O455" s="25">
        <f t="shared" si="44"/>
        <v>56970</v>
      </c>
      <c r="P455" s="11" t="s">
        <v>20</v>
      </c>
    </row>
    <row r="456" spans="1:16" x14ac:dyDescent="0.25">
      <c r="A456" s="23" t="str">
        <f t="shared" si="43"/>
        <v>2025 JAN-JUN D70</v>
      </c>
      <c r="B456" s="10">
        <f t="shared" si="43"/>
        <v>46104</v>
      </c>
      <c r="C456" s="10">
        <f t="shared" si="43"/>
        <v>46113</v>
      </c>
      <c r="D456" s="11">
        <v>3273</v>
      </c>
      <c r="E456" s="11">
        <v>336</v>
      </c>
      <c r="F456" s="11">
        <v>4</v>
      </c>
      <c r="G456" s="18">
        <v>6</v>
      </c>
      <c r="H456" s="18">
        <v>81574</v>
      </c>
      <c r="I456" s="18" t="s">
        <v>17</v>
      </c>
      <c r="J456" s="18">
        <v>51104973</v>
      </c>
      <c r="K456" s="18" t="s">
        <v>2603</v>
      </c>
      <c r="L456" s="18" t="s">
        <v>2611</v>
      </c>
      <c r="M456" s="21">
        <v>189900</v>
      </c>
      <c r="N456" s="24">
        <f t="shared" si="45"/>
        <v>0.7</v>
      </c>
      <c r="O456" s="25">
        <f t="shared" si="44"/>
        <v>56970</v>
      </c>
      <c r="P456" s="11" t="s">
        <v>20</v>
      </c>
    </row>
    <row r="457" spans="1:16" x14ac:dyDescent="0.25">
      <c r="A457" s="23" t="str">
        <f t="shared" si="43"/>
        <v>2025 JAN-JUN D70</v>
      </c>
      <c r="B457" s="10">
        <f t="shared" si="43"/>
        <v>46104</v>
      </c>
      <c r="C457" s="10">
        <f t="shared" si="43"/>
        <v>46113</v>
      </c>
      <c r="D457" s="11">
        <v>3273</v>
      </c>
      <c r="E457" s="11">
        <v>336</v>
      </c>
      <c r="F457" s="11">
        <v>4</v>
      </c>
      <c r="G457" s="18">
        <v>6</v>
      </c>
      <c r="H457" s="18">
        <v>81588</v>
      </c>
      <c r="I457" s="18" t="s">
        <v>17</v>
      </c>
      <c r="J457" s="18">
        <v>51167898</v>
      </c>
      <c r="K457" s="18" t="s">
        <v>2612</v>
      </c>
      <c r="L457" s="18" t="s">
        <v>2613</v>
      </c>
      <c r="M457" s="21">
        <v>139900</v>
      </c>
      <c r="N457" s="24">
        <f t="shared" si="45"/>
        <v>0.7</v>
      </c>
      <c r="O457" s="25">
        <f t="shared" si="44"/>
        <v>41970</v>
      </c>
      <c r="P457" s="11" t="s">
        <v>20</v>
      </c>
    </row>
    <row r="458" spans="1:16" x14ac:dyDescent="0.25">
      <c r="A458" s="23" t="str">
        <f t="shared" si="43"/>
        <v>2025 JAN-JUN D70</v>
      </c>
      <c r="B458" s="10">
        <f t="shared" si="43"/>
        <v>46104</v>
      </c>
      <c r="C458" s="10">
        <f t="shared" si="43"/>
        <v>46113</v>
      </c>
      <c r="D458" s="11">
        <v>3273</v>
      </c>
      <c r="E458" s="11">
        <v>336</v>
      </c>
      <c r="F458" s="11">
        <v>4</v>
      </c>
      <c r="G458" s="18">
        <v>6</v>
      </c>
      <c r="H458" s="18">
        <v>81588</v>
      </c>
      <c r="I458" s="18" t="s">
        <v>17</v>
      </c>
      <c r="J458" s="18">
        <v>51167905</v>
      </c>
      <c r="K458" s="18" t="s">
        <v>2612</v>
      </c>
      <c r="L458" s="18" t="s">
        <v>2614</v>
      </c>
      <c r="M458" s="21">
        <v>139900</v>
      </c>
      <c r="N458" s="24">
        <f t="shared" si="45"/>
        <v>0.7</v>
      </c>
      <c r="O458" s="25">
        <f t="shared" si="44"/>
        <v>41970</v>
      </c>
      <c r="P458" s="11" t="s">
        <v>20</v>
      </c>
    </row>
    <row r="459" spans="1:16" x14ac:dyDescent="0.25">
      <c r="A459" s="23" t="str">
        <f t="shared" si="43"/>
        <v>2025 JAN-JUN D70</v>
      </c>
      <c r="B459" s="10">
        <f t="shared" si="43"/>
        <v>46104</v>
      </c>
      <c r="C459" s="10">
        <f t="shared" si="43"/>
        <v>46113</v>
      </c>
      <c r="D459" s="11">
        <v>3273</v>
      </c>
      <c r="E459" s="11">
        <v>336</v>
      </c>
      <c r="F459" s="11">
        <v>4</v>
      </c>
      <c r="G459" s="18">
        <v>6</v>
      </c>
      <c r="H459" s="18">
        <v>81588</v>
      </c>
      <c r="I459" s="18" t="s">
        <v>17</v>
      </c>
      <c r="J459" s="18">
        <v>51167914</v>
      </c>
      <c r="K459" s="18" t="s">
        <v>2612</v>
      </c>
      <c r="L459" s="18" t="s">
        <v>2615</v>
      </c>
      <c r="M459" s="21">
        <v>139900</v>
      </c>
      <c r="N459" s="24">
        <f t="shared" si="45"/>
        <v>0.7</v>
      </c>
      <c r="O459" s="25">
        <f t="shared" si="44"/>
        <v>41970</v>
      </c>
      <c r="P459" s="11" t="s">
        <v>20</v>
      </c>
    </row>
    <row r="460" spans="1:16" x14ac:dyDescent="0.25">
      <c r="A460" s="23" t="str">
        <f t="shared" si="43"/>
        <v>2025 JAN-JUN D70</v>
      </c>
      <c r="B460" s="10">
        <f t="shared" si="43"/>
        <v>46104</v>
      </c>
      <c r="C460" s="10">
        <f t="shared" si="43"/>
        <v>46113</v>
      </c>
      <c r="D460" s="11">
        <v>3273</v>
      </c>
      <c r="E460" s="11">
        <v>336</v>
      </c>
      <c r="F460" s="11">
        <v>4</v>
      </c>
      <c r="G460" s="18">
        <v>6</v>
      </c>
      <c r="H460" s="18">
        <v>81588</v>
      </c>
      <c r="I460" s="18" t="s">
        <v>17</v>
      </c>
      <c r="J460" s="18">
        <v>51167923</v>
      </c>
      <c r="K460" s="18" t="s">
        <v>2612</v>
      </c>
      <c r="L460" s="18" t="s">
        <v>2616</v>
      </c>
      <c r="M460" s="21">
        <v>139900</v>
      </c>
      <c r="N460" s="24">
        <f t="shared" si="45"/>
        <v>0.7</v>
      </c>
      <c r="O460" s="25">
        <f t="shared" si="44"/>
        <v>41970</v>
      </c>
      <c r="P460" s="11" t="s">
        <v>20</v>
      </c>
    </row>
    <row r="461" spans="1:16" x14ac:dyDescent="0.25">
      <c r="A461" s="23" t="str">
        <f t="shared" si="43"/>
        <v>2025 JAN-JUN D70</v>
      </c>
      <c r="B461" s="10">
        <f t="shared" si="43"/>
        <v>46104</v>
      </c>
      <c r="C461" s="10">
        <f t="shared" si="43"/>
        <v>46113</v>
      </c>
      <c r="D461" s="11">
        <v>3273</v>
      </c>
      <c r="E461" s="11">
        <v>336</v>
      </c>
      <c r="F461" s="11">
        <v>4</v>
      </c>
      <c r="G461" s="18">
        <v>6</v>
      </c>
      <c r="H461" s="18">
        <v>81588</v>
      </c>
      <c r="I461" s="18" t="s">
        <v>17</v>
      </c>
      <c r="J461" s="18">
        <v>51167932</v>
      </c>
      <c r="K461" s="18" t="s">
        <v>2612</v>
      </c>
      <c r="L461" s="18" t="s">
        <v>2617</v>
      </c>
      <c r="M461" s="21">
        <v>139900</v>
      </c>
      <c r="N461" s="24">
        <f t="shared" si="45"/>
        <v>0.7</v>
      </c>
      <c r="O461" s="25">
        <f t="shared" si="44"/>
        <v>41970</v>
      </c>
      <c r="P461" s="11" t="s">
        <v>20</v>
      </c>
    </row>
    <row r="462" spans="1:16" x14ac:dyDescent="0.25">
      <c r="A462" s="23" t="str">
        <f t="shared" si="43"/>
        <v>2025 JAN-JUN D70</v>
      </c>
      <c r="B462" s="10">
        <f t="shared" si="43"/>
        <v>46104</v>
      </c>
      <c r="C462" s="10">
        <f t="shared" si="43"/>
        <v>46113</v>
      </c>
      <c r="D462" s="11">
        <v>3273</v>
      </c>
      <c r="E462" s="11">
        <v>336</v>
      </c>
      <c r="F462" s="11">
        <v>4</v>
      </c>
      <c r="G462" s="18">
        <v>6</v>
      </c>
      <c r="H462" s="18">
        <v>81588</v>
      </c>
      <c r="I462" s="18" t="s">
        <v>17</v>
      </c>
      <c r="J462" s="18">
        <v>51167941</v>
      </c>
      <c r="K462" s="18" t="s">
        <v>2612</v>
      </c>
      <c r="L462" s="18" t="s">
        <v>2618</v>
      </c>
      <c r="M462" s="21">
        <v>139900</v>
      </c>
      <c r="N462" s="24">
        <f t="shared" si="45"/>
        <v>0.7</v>
      </c>
      <c r="O462" s="25">
        <f t="shared" si="44"/>
        <v>41970</v>
      </c>
      <c r="P462" s="11" t="s">
        <v>20</v>
      </c>
    </row>
    <row r="463" spans="1:16" x14ac:dyDescent="0.25">
      <c r="A463" s="23" t="str">
        <f t="shared" si="43"/>
        <v>2025 JAN-JUN D70</v>
      </c>
      <c r="B463" s="10">
        <f t="shared" si="43"/>
        <v>46104</v>
      </c>
      <c r="C463" s="10">
        <f t="shared" si="43"/>
        <v>46113</v>
      </c>
      <c r="D463" s="11">
        <v>3273</v>
      </c>
      <c r="E463" s="11">
        <v>336</v>
      </c>
      <c r="F463" s="11">
        <v>4</v>
      </c>
      <c r="G463" s="18">
        <v>6</v>
      </c>
      <c r="H463" s="18">
        <v>81588</v>
      </c>
      <c r="I463" s="18" t="s">
        <v>17</v>
      </c>
      <c r="J463" s="18">
        <v>51167950</v>
      </c>
      <c r="K463" s="18" t="s">
        <v>2612</v>
      </c>
      <c r="L463" s="18" t="s">
        <v>2619</v>
      </c>
      <c r="M463" s="21">
        <v>139900</v>
      </c>
      <c r="N463" s="24">
        <f t="shared" si="45"/>
        <v>0.7</v>
      </c>
      <c r="O463" s="25">
        <f t="shared" si="44"/>
        <v>41970</v>
      </c>
      <c r="P463" s="11" t="s">
        <v>20</v>
      </c>
    </row>
    <row r="464" spans="1:16" x14ac:dyDescent="0.25">
      <c r="A464" s="23" t="str">
        <f t="shared" si="43"/>
        <v>2025 JAN-JUN D70</v>
      </c>
      <c r="B464" s="10">
        <f t="shared" si="43"/>
        <v>46104</v>
      </c>
      <c r="C464" s="10">
        <f t="shared" si="43"/>
        <v>46113</v>
      </c>
      <c r="D464" s="11">
        <v>3273</v>
      </c>
      <c r="E464" s="11">
        <v>336</v>
      </c>
      <c r="F464" s="11">
        <v>4</v>
      </c>
      <c r="G464" s="18">
        <v>6</v>
      </c>
      <c r="H464" s="18">
        <v>81588</v>
      </c>
      <c r="I464" s="18" t="s">
        <v>17</v>
      </c>
      <c r="J464" s="18">
        <v>51167969</v>
      </c>
      <c r="K464" s="18" t="s">
        <v>2612</v>
      </c>
      <c r="L464" s="18" t="s">
        <v>2620</v>
      </c>
      <c r="M464" s="21">
        <v>139900</v>
      </c>
      <c r="N464" s="24">
        <f t="shared" si="45"/>
        <v>0.7</v>
      </c>
      <c r="O464" s="25">
        <f t="shared" si="44"/>
        <v>41970</v>
      </c>
      <c r="P464" s="11" t="s">
        <v>20</v>
      </c>
    </row>
    <row r="465" spans="1:16" x14ac:dyDescent="0.25">
      <c r="A465" s="23" t="str">
        <f t="shared" si="43"/>
        <v>2025 JAN-JUN D70</v>
      </c>
      <c r="B465" s="10">
        <f t="shared" si="43"/>
        <v>46104</v>
      </c>
      <c r="C465" s="10">
        <f t="shared" si="43"/>
        <v>46113</v>
      </c>
      <c r="D465" s="11">
        <v>3273</v>
      </c>
      <c r="E465" s="11">
        <v>336</v>
      </c>
      <c r="F465" s="11">
        <v>4</v>
      </c>
      <c r="G465" s="18">
        <v>6</v>
      </c>
      <c r="H465" s="18">
        <v>81588</v>
      </c>
      <c r="I465" s="18" t="s">
        <v>17</v>
      </c>
      <c r="J465" s="18">
        <v>51601837</v>
      </c>
      <c r="K465" s="18" t="s">
        <v>2621</v>
      </c>
      <c r="L465" s="18" t="s">
        <v>2622</v>
      </c>
      <c r="M465" s="21">
        <v>139900</v>
      </c>
      <c r="N465" s="24">
        <f t="shared" si="45"/>
        <v>0.7</v>
      </c>
      <c r="O465" s="25">
        <f t="shared" si="44"/>
        <v>41970</v>
      </c>
      <c r="P465" s="11" t="s">
        <v>20</v>
      </c>
    </row>
    <row r="466" spans="1:16" x14ac:dyDescent="0.25">
      <c r="A466" s="23" t="str">
        <f t="shared" si="43"/>
        <v>2025 JAN-JUN D70</v>
      </c>
      <c r="B466" s="10">
        <f t="shared" si="43"/>
        <v>46104</v>
      </c>
      <c r="C466" s="10">
        <f t="shared" si="43"/>
        <v>46113</v>
      </c>
      <c r="D466" s="11">
        <v>3273</v>
      </c>
      <c r="E466" s="11">
        <v>336</v>
      </c>
      <c r="F466" s="11">
        <v>4</v>
      </c>
      <c r="G466" s="18">
        <v>6</v>
      </c>
      <c r="H466" s="18">
        <v>81588</v>
      </c>
      <c r="I466" s="18" t="s">
        <v>17</v>
      </c>
      <c r="J466" s="18">
        <v>51601846</v>
      </c>
      <c r="K466" s="18" t="s">
        <v>2621</v>
      </c>
      <c r="L466" s="18" t="s">
        <v>2623</v>
      </c>
      <c r="M466" s="21">
        <v>139900</v>
      </c>
      <c r="N466" s="24">
        <f t="shared" si="45"/>
        <v>0.7</v>
      </c>
      <c r="O466" s="25">
        <f t="shared" si="44"/>
        <v>41970</v>
      </c>
      <c r="P466" s="11" t="s">
        <v>20</v>
      </c>
    </row>
    <row r="467" spans="1:16" x14ac:dyDescent="0.25">
      <c r="A467" s="23" t="str">
        <f t="shared" ref="A467:C482" si="46">A466</f>
        <v>2025 JAN-JUN D70</v>
      </c>
      <c r="B467" s="10">
        <f t="shared" si="46"/>
        <v>46104</v>
      </c>
      <c r="C467" s="10">
        <f t="shared" si="46"/>
        <v>46113</v>
      </c>
      <c r="D467" s="11">
        <v>3273</v>
      </c>
      <c r="E467" s="11">
        <v>336</v>
      </c>
      <c r="F467" s="11">
        <v>4</v>
      </c>
      <c r="G467" s="18">
        <v>6</v>
      </c>
      <c r="H467" s="18">
        <v>81588</v>
      </c>
      <c r="I467" s="18" t="s">
        <v>17</v>
      </c>
      <c r="J467" s="18">
        <v>51601855</v>
      </c>
      <c r="K467" s="18" t="s">
        <v>2621</v>
      </c>
      <c r="L467" s="18" t="s">
        <v>2624</v>
      </c>
      <c r="M467" s="21">
        <v>139900</v>
      </c>
      <c r="N467" s="24">
        <f t="shared" si="45"/>
        <v>0.7</v>
      </c>
      <c r="O467" s="25">
        <f t="shared" si="44"/>
        <v>41970</v>
      </c>
      <c r="P467" s="11" t="s">
        <v>20</v>
      </c>
    </row>
    <row r="468" spans="1:16" x14ac:dyDescent="0.25">
      <c r="A468" s="23" t="str">
        <f t="shared" si="46"/>
        <v>2025 JAN-JUN D70</v>
      </c>
      <c r="B468" s="10">
        <f t="shared" si="46"/>
        <v>46104</v>
      </c>
      <c r="C468" s="10">
        <f t="shared" si="46"/>
        <v>46113</v>
      </c>
      <c r="D468" s="11">
        <v>3273</v>
      </c>
      <c r="E468" s="11">
        <v>336</v>
      </c>
      <c r="F468" s="11">
        <v>4</v>
      </c>
      <c r="G468" s="18">
        <v>6</v>
      </c>
      <c r="H468" s="18">
        <v>81588</v>
      </c>
      <c r="I468" s="18" t="s">
        <v>17</v>
      </c>
      <c r="J468" s="18">
        <v>51601864</v>
      </c>
      <c r="K468" s="18" t="s">
        <v>2621</v>
      </c>
      <c r="L468" s="18" t="s">
        <v>2625</v>
      </c>
      <c r="M468" s="21">
        <v>139900</v>
      </c>
      <c r="N468" s="24">
        <f t="shared" si="45"/>
        <v>0.7</v>
      </c>
      <c r="O468" s="25">
        <f t="shared" si="44"/>
        <v>41970</v>
      </c>
      <c r="P468" s="11" t="s">
        <v>20</v>
      </c>
    </row>
    <row r="469" spans="1:16" x14ac:dyDescent="0.25">
      <c r="A469" s="23" t="str">
        <f t="shared" si="46"/>
        <v>2025 JAN-JUN D70</v>
      </c>
      <c r="B469" s="10">
        <f t="shared" si="46"/>
        <v>46104</v>
      </c>
      <c r="C469" s="10">
        <f t="shared" si="46"/>
        <v>46113</v>
      </c>
      <c r="D469" s="11">
        <v>3273</v>
      </c>
      <c r="E469" s="11">
        <v>336</v>
      </c>
      <c r="F469" s="11">
        <v>4</v>
      </c>
      <c r="G469" s="18">
        <v>6</v>
      </c>
      <c r="H469" s="18">
        <v>81588</v>
      </c>
      <c r="I469" s="18" t="s">
        <v>17</v>
      </c>
      <c r="J469" s="18">
        <v>51601873</v>
      </c>
      <c r="K469" s="18" t="s">
        <v>2621</v>
      </c>
      <c r="L469" s="18" t="s">
        <v>2626</v>
      </c>
      <c r="M469" s="21">
        <v>139900</v>
      </c>
      <c r="N469" s="24">
        <f t="shared" si="45"/>
        <v>0.7</v>
      </c>
      <c r="O469" s="25">
        <f t="shared" si="44"/>
        <v>41970</v>
      </c>
      <c r="P469" s="11" t="s">
        <v>20</v>
      </c>
    </row>
    <row r="470" spans="1:16" x14ac:dyDescent="0.25">
      <c r="A470" s="23" t="str">
        <f t="shared" si="46"/>
        <v>2025 JAN-JUN D70</v>
      </c>
      <c r="B470" s="10">
        <f t="shared" si="46"/>
        <v>46104</v>
      </c>
      <c r="C470" s="10">
        <f t="shared" si="46"/>
        <v>46113</v>
      </c>
      <c r="D470" s="11">
        <v>3273</v>
      </c>
      <c r="E470" s="11">
        <v>336</v>
      </c>
      <c r="F470" s="11">
        <v>4</v>
      </c>
      <c r="G470" s="18">
        <v>6</v>
      </c>
      <c r="H470" s="18">
        <v>81588</v>
      </c>
      <c r="I470" s="18" t="s">
        <v>17</v>
      </c>
      <c r="J470" s="18">
        <v>51601882</v>
      </c>
      <c r="K470" s="18" t="s">
        <v>2621</v>
      </c>
      <c r="L470" s="18" t="s">
        <v>2627</v>
      </c>
      <c r="M470" s="21">
        <v>139900</v>
      </c>
      <c r="N470" s="24">
        <f t="shared" si="45"/>
        <v>0.7</v>
      </c>
      <c r="O470" s="25">
        <f t="shared" si="44"/>
        <v>41970</v>
      </c>
      <c r="P470" s="11" t="s">
        <v>20</v>
      </c>
    </row>
    <row r="471" spans="1:16" x14ac:dyDescent="0.25">
      <c r="A471" s="23" t="str">
        <f t="shared" si="46"/>
        <v>2025 JAN-JUN D70</v>
      </c>
      <c r="B471" s="10">
        <f t="shared" si="46"/>
        <v>46104</v>
      </c>
      <c r="C471" s="10">
        <f t="shared" si="46"/>
        <v>46113</v>
      </c>
      <c r="D471" s="11">
        <v>3273</v>
      </c>
      <c r="E471" s="11">
        <v>336</v>
      </c>
      <c r="F471" s="11">
        <v>4</v>
      </c>
      <c r="G471" s="18">
        <v>6</v>
      </c>
      <c r="H471" s="18">
        <v>81588</v>
      </c>
      <c r="I471" s="18" t="s">
        <v>17</v>
      </c>
      <c r="J471" s="18">
        <v>51710871</v>
      </c>
      <c r="K471" s="18" t="s">
        <v>2628</v>
      </c>
      <c r="L471" s="18" t="s">
        <v>2629</v>
      </c>
      <c r="M471" s="21">
        <v>169900</v>
      </c>
      <c r="N471" s="24">
        <f t="shared" si="45"/>
        <v>0.7</v>
      </c>
      <c r="O471" s="25">
        <f t="shared" si="44"/>
        <v>50970</v>
      </c>
      <c r="P471" s="11" t="s">
        <v>20</v>
      </c>
    </row>
    <row r="472" spans="1:16" x14ac:dyDescent="0.25">
      <c r="A472" s="23" t="str">
        <f t="shared" si="46"/>
        <v>2025 JAN-JUN D70</v>
      </c>
      <c r="B472" s="10">
        <f t="shared" si="46"/>
        <v>46104</v>
      </c>
      <c r="C472" s="10">
        <f t="shared" si="46"/>
        <v>46113</v>
      </c>
      <c r="D472" s="11">
        <v>3273</v>
      </c>
      <c r="E472" s="11">
        <v>336</v>
      </c>
      <c r="F472" s="11">
        <v>4</v>
      </c>
      <c r="G472" s="18">
        <v>6</v>
      </c>
      <c r="H472" s="18">
        <v>81588</v>
      </c>
      <c r="I472" s="18" t="s">
        <v>17</v>
      </c>
      <c r="J472" s="18">
        <v>51710880</v>
      </c>
      <c r="K472" s="18" t="s">
        <v>2628</v>
      </c>
      <c r="L472" s="18" t="s">
        <v>2630</v>
      </c>
      <c r="M472" s="21">
        <v>169900</v>
      </c>
      <c r="N472" s="24">
        <f t="shared" si="45"/>
        <v>0.7</v>
      </c>
      <c r="O472" s="25">
        <f t="shared" si="44"/>
        <v>50970</v>
      </c>
      <c r="P472" s="11" t="s">
        <v>20</v>
      </c>
    </row>
    <row r="473" spans="1:16" x14ac:dyDescent="0.25">
      <c r="A473" s="23" t="str">
        <f t="shared" si="46"/>
        <v>2025 JAN-JUN D70</v>
      </c>
      <c r="B473" s="10">
        <f t="shared" si="46"/>
        <v>46104</v>
      </c>
      <c r="C473" s="10">
        <f t="shared" si="46"/>
        <v>46113</v>
      </c>
      <c r="D473" s="11">
        <v>3273</v>
      </c>
      <c r="E473" s="11">
        <v>336</v>
      </c>
      <c r="F473" s="11">
        <v>4</v>
      </c>
      <c r="G473" s="18">
        <v>6</v>
      </c>
      <c r="H473" s="18">
        <v>81588</v>
      </c>
      <c r="I473" s="18" t="s">
        <v>17</v>
      </c>
      <c r="J473" s="18">
        <v>51710899</v>
      </c>
      <c r="K473" s="18" t="s">
        <v>2628</v>
      </c>
      <c r="L473" s="18" t="s">
        <v>2631</v>
      </c>
      <c r="M473" s="21">
        <v>169900</v>
      </c>
      <c r="N473" s="24">
        <f t="shared" si="45"/>
        <v>0.7</v>
      </c>
      <c r="O473" s="25">
        <f t="shared" si="44"/>
        <v>50970</v>
      </c>
      <c r="P473" s="11" t="s">
        <v>20</v>
      </c>
    </row>
    <row r="474" spans="1:16" x14ac:dyDescent="0.25">
      <c r="A474" s="23" t="str">
        <f t="shared" si="46"/>
        <v>2025 JAN-JUN D70</v>
      </c>
      <c r="B474" s="10">
        <f t="shared" si="46"/>
        <v>46104</v>
      </c>
      <c r="C474" s="10">
        <f t="shared" si="46"/>
        <v>46113</v>
      </c>
      <c r="D474" s="11">
        <v>3273</v>
      </c>
      <c r="E474" s="11">
        <v>336</v>
      </c>
      <c r="F474" s="11">
        <v>4</v>
      </c>
      <c r="G474" s="18">
        <v>6</v>
      </c>
      <c r="H474" s="18">
        <v>81588</v>
      </c>
      <c r="I474" s="18" t="s">
        <v>17</v>
      </c>
      <c r="J474" s="18">
        <v>51710906</v>
      </c>
      <c r="K474" s="18" t="s">
        <v>2628</v>
      </c>
      <c r="L474" s="18" t="s">
        <v>2632</v>
      </c>
      <c r="M474" s="21">
        <v>169900</v>
      </c>
      <c r="N474" s="24">
        <f t="shared" si="45"/>
        <v>0.7</v>
      </c>
      <c r="O474" s="25">
        <f t="shared" si="44"/>
        <v>50970</v>
      </c>
      <c r="P474" s="11" t="s">
        <v>20</v>
      </c>
    </row>
    <row r="475" spans="1:16" x14ac:dyDescent="0.25">
      <c r="A475" s="23" t="str">
        <f t="shared" si="46"/>
        <v>2025 JAN-JUN D70</v>
      </c>
      <c r="B475" s="10">
        <f t="shared" si="46"/>
        <v>46104</v>
      </c>
      <c r="C475" s="10">
        <f t="shared" si="46"/>
        <v>46113</v>
      </c>
      <c r="D475" s="11">
        <v>3273</v>
      </c>
      <c r="E475" s="11">
        <v>336</v>
      </c>
      <c r="F475" s="11">
        <v>4</v>
      </c>
      <c r="G475" s="18">
        <v>6</v>
      </c>
      <c r="H475" s="18">
        <v>81588</v>
      </c>
      <c r="I475" s="18" t="s">
        <v>17</v>
      </c>
      <c r="J475" s="18">
        <v>51710915</v>
      </c>
      <c r="K475" s="18" t="s">
        <v>2628</v>
      </c>
      <c r="L475" s="18" t="s">
        <v>2633</v>
      </c>
      <c r="M475" s="21">
        <v>169900</v>
      </c>
      <c r="N475" s="24">
        <f t="shared" si="45"/>
        <v>0.7</v>
      </c>
      <c r="O475" s="25">
        <f t="shared" si="44"/>
        <v>50970</v>
      </c>
      <c r="P475" s="11" t="s">
        <v>20</v>
      </c>
    </row>
    <row r="476" spans="1:16" x14ac:dyDescent="0.25">
      <c r="A476" s="23" t="str">
        <f t="shared" si="46"/>
        <v>2025 JAN-JUN D70</v>
      </c>
      <c r="B476" s="10">
        <f t="shared" si="46"/>
        <v>46104</v>
      </c>
      <c r="C476" s="10">
        <f t="shared" si="46"/>
        <v>46113</v>
      </c>
      <c r="D476" s="11">
        <v>3273</v>
      </c>
      <c r="E476" s="11">
        <v>336</v>
      </c>
      <c r="F476" s="11">
        <v>4</v>
      </c>
      <c r="G476" s="18">
        <v>6</v>
      </c>
      <c r="H476" s="18">
        <v>81588</v>
      </c>
      <c r="I476" s="18" t="s">
        <v>17</v>
      </c>
      <c r="J476" s="18">
        <v>51710924</v>
      </c>
      <c r="K476" s="18" t="s">
        <v>2628</v>
      </c>
      <c r="L476" s="18" t="s">
        <v>2634</v>
      </c>
      <c r="M476" s="21">
        <v>169900</v>
      </c>
      <c r="N476" s="24">
        <f t="shared" si="45"/>
        <v>0.7</v>
      </c>
      <c r="O476" s="25">
        <f t="shared" si="44"/>
        <v>50970</v>
      </c>
      <c r="P476" s="11" t="s">
        <v>20</v>
      </c>
    </row>
    <row r="477" spans="1:16" x14ac:dyDescent="0.25">
      <c r="A477" s="23" t="str">
        <f t="shared" si="46"/>
        <v>2025 JAN-JUN D70</v>
      </c>
      <c r="B477" s="10">
        <f t="shared" si="46"/>
        <v>46104</v>
      </c>
      <c r="C477" s="10">
        <f t="shared" si="46"/>
        <v>46113</v>
      </c>
      <c r="D477" s="11">
        <v>3273</v>
      </c>
      <c r="E477" s="11">
        <v>336</v>
      </c>
      <c r="F477" s="11">
        <v>4</v>
      </c>
      <c r="G477" s="18">
        <v>6</v>
      </c>
      <c r="H477" s="18">
        <v>81588</v>
      </c>
      <c r="I477" s="18" t="s">
        <v>17</v>
      </c>
      <c r="J477" s="18">
        <v>51710933</v>
      </c>
      <c r="K477" s="18" t="s">
        <v>2628</v>
      </c>
      <c r="L477" s="18" t="s">
        <v>2635</v>
      </c>
      <c r="M477" s="21">
        <v>169900</v>
      </c>
      <c r="N477" s="24">
        <f t="shared" si="45"/>
        <v>0.7</v>
      </c>
      <c r="O477" s="25">
        <f t="shared" si="44"/>
        <v>50970</v>
      </c>
      <c r="P477" s="11" t="s">
        <v>20</v>
      </c>
    </row>
    <row r="478" spans="1:16" x14ac:dyDescent="0.25">
      <c r="A478" s="23" t="str">
        <f t="shared" si="46"/>
        <v>2025 JAN-JUN D70</v>
      </c>
      <c r="B478" s="10">
        <f t="shared" si="46"/>
        <v>46104</v>
      </c>
      <c r="C478" s="10">
        <f t="shared" si="46"/>
        <v>46113</v>
      </c>
      <c r="D478" s="11">
        <v>3273</v>
      </c>
      <c r="E478" s="11">
        <v>336</v>
      </c>
      <c r="F478" s="11">
        <v>4</v>
      </c>
      <c r="G478" s="18">
        <v>6</v>
      </c>
      <c r="H478" s="18">
        <v>81588</v>
      </c>
      <c r="I478" s="18" t="s">
        <v>17</v>
      </c>
      <c r="J478" s="18">
        <v>51710942</v>
      </c>
      <c r="K478" s="18" t="s">
        <v>2628</v>
      </c>
      <c r="L478" s="18" t="s">
        <v>2636</v>
      </c>
      <c r="M478" s="21">
        <v>169900</v>
      </c>
      <c r="N478" s="24">
        <f t="shared" si="45"/>
        <v>0.7</v>
      </c>
      <c r="O478" s="25">
        <f t="shared" si="44"/>
        <v>50970</v>
      </c>
      <c r="P478" s="11" t="s">
        <v>20</v>
      </c>
    </row>
    <row r="479" spans="1:16" x14ac:dyDescent="0.25">
      <c r="A479" s="23" t="str">
        <f t="shared" si="46"/>
        <v>2025 JAN-JUN D70</v>
      </c>
      <c r="B479" s="10">
        <f t="shared" si="46"/>
        <v>46104</v>
      </c>
      <c r="C479" s="10">
        <f t="shared" si="46"/>
        <v>46113</v>
      </c>
      <c r="D479" s="11">
        <v>3273</v>
      </c>
      <c r="E479" s="11">
        <v>336</v>
      </c>
      <c r="F479" s="11">
        <v>4</v>
      </c>
      <c r="G479" s="18">
        <v>10</v>
      </c>
      <c r="H479" s="18">
        <v>81574</v>
      </c>
      <c r="I479" s="18" t="s">
        <v>17</v>
      </c>
      <c r="J479" s="18">
        <v>51100137</v>
      </c>
      <c r="K479" s="18" t="s">
        <v>2637</v>
      </c>
      <c r="L479" s="18" t="s">
        <v>2638</v>
      </c>
      <c r="M479" s="21">
        <v>149900</v>
      </c>
      <c r="N479" s="24">
        <f t="shared" si="45"/>
        <v>0.7</v>
      </c>
      <c r="O479" s="25">
        <f t="shared" si="44"/>
        <v>44970</v>
      </c>
      <c r="P479" s="11" t="s">
        <v>20</v>
      </c>
    </row>
    <row r="480" spans="1:16" x14ac:dyDescent="0.25">
      <c r="A480" s="23" t="str">
        <f t="shared" si="46"/>
        <v>2025 JAN-JUN D70</v>
      </c>
      <c r="B480" s="10">
        <f t="shared" si="46"/>
        <v>46104</v>
      </c>
      <c r="C480" s="10">
        <f t="shared" si="46"/>
        <v>46113</v>
      </c>
      <c r="D480" s="11">
        <v>3273</v>
      </c>
      <c r="E480" s="11">
        <v>336</v>
      </c>
      <c r="F480" s="11">
        <v>4</v>
      </c>
      <c r="G480" s="18">
        <v>10</v>
      </c>
      <c r="H480" s="18">
        <v>81574</v>
      </c>
      <c r="I480" s="18" t="s">
        <v>17</v>
      </c>
      <c r="J480" s="18">
        <v>51102297</v>
      </c>
      <c r="K480" s="18" t="s">
        <v>2639</v>
      </c>
      <c r="L480" s="18" t="s">
        <v>2640</v>
      </c>
      <c r="M480" s="21">
        <v>149900</v>
      </c>
      <c r="N480" s="24">
        <f t="shared" si="45"/>
        <v>0.7</v>
      </c>
      <c r="O480" s="25">
        <f t="shared" si="44"/>
        <v>44970</v>
      </c>
      <c r="P480" s="11" t="s">
        <v>20</v>
      </c>
    </row>
    <row r="481" spans="1:16" x14ac:dyDescent="0.25">
      <c r="A481" s="23" t="str">
        <f t="shared" si="46"/>
        <v>2025 JAN-JUN D70</v>
      </c>
      <c r="B481" s="10">
        <f t="shared" si="46"/>
        <v>46104</v>
      </c>
      <c r="C481" s="10">
        <f t="shared" si="46"/>
        <v>46113</v>
      </c>
      <c r="D481" s="11">
        <v>3273</v>
      </c>
      <c r="E481" s="11">
        <v>336</v>
      </c>
      <c r="F481" s="11">
        <v>4</v>
      </c>
      <c r="G481" s="18">
        <v>10</v>
      </c>
      <c r="H481" s="18">
        <v>81574</v>
      </c>
      <c r="I481" s="18" t="s">
        <v>17</v>
      </c>
      <c r="J481" s="18">
        <v>51102304</v>
      </c>
      <c r="K481" s="18" t="s">
        <v>2641</v>
      </c>
      <c r="L481" s="18" t="s">
        <v>2642</v>
      </c>
      <c r="M481" s="21">
        <v>139900</v>
      </c>
      <c r="N481" s="24">
        <f t="shared" si="45"/>
        <v>0.7</v>
      </c>
      <c r="O481" s="25">
        <f t="shared" si="44"/>
        <v>41970</v>
      </c>
      <c r="P481" s="11" t="s">
        <v>20</v>
      </c>
    </row>
    <row r="482" spans="1:16" x14ac:dyDescent="0.25">
      <c r="A482" s="23" t="str">
        <f t="shared" si="46"/>
        <v>2025 JAN-JUN D70</v>
      </c>
      <c r="B482" s="10">
        <f t="shared" si="46"/>
        <v>46104</v>
      </c>
      <c r="C482" s="10">
        <f t="shared" si="46"/>
        <v>46113</v>
      </c>
      <c r="D482" s="11">
        <v>3273</v>
      </c>
      <c r="E482" s="11">
        <v>336</v>
      </c>
      <c r="F482" s="11">
        <v>4</v>
      </c>
      <c r="G482" s="18">
        <v>10</v>
      </c>
      <c r="H482" s="18">
        <v>81574</v>
      </c>
      <c r="I482" s="18" t="s">
        <v>17</v>
      </c>
      <c r="J482" s="18">
        <v>51102313</v>
      </c>
      <c r="K482" s="18" t="s">
        <v>2643</v>
      </c>
      <c r="L482" s="18" t="s">
        <v>2644</v>
      </c>
      <c r="M482" s="21">
        <v>149900</v>
      </c>
      <c r="N482" s="24">
        <f t="shared" si="45"/>
        <v>0.7</v>
      </c>
      <c r="O482" s="25">
        <f t="shared" si="44"/>
        <v>44970</v>
      </c>
      <c r="P482" s="11" t="s">
        <v>20</v>
      </c>
    </row>
    <row r="483" spans="1:16" x14ac:dyDescent="0.25">
      <c r="A483" s="23" t="str">
        <f t="shared" ref="A483:C498" si="47">A482</f>
        <v>2025 JAN-JUN D70</v>
      </c>
      <c r="B483" s="10">
        <f t="shared" si="47"/>
        <v>46104</v>
      </c>
      <c r="C483" s="10">
        <f t="shared" si="47"/>
        <v>46113</v>
      </c>
      <c r="D483" s="11">
        <v>3273</v>
      </c>
      <c r="E483" s="11">
        <v>336</v>
      </c>
      <c r="F483" s="11">
        <v>4</v>
      </c>
      <c r="G483" s="18">
        <v>10</v>
      </c>
      <c r="H483" s="18">
        <v>81574</v>
      </c>
      <c r="I483" s="18" t="s">
        <v>17</v>
      </c>
      <c r="J483" s="18">
        <v>51602050</v>
      </c>
      <c r="K483" s="18" t="s">
        <v>2645</v>
      </c>
      <c r="L483" s="18" t="s">
        <v>2646</v>
      </c>
      <c r="M483" s="21">
        <v>149900</v>
      </c>
      <c r="N483" s="24">
        <f t="shared" si="45"/>
        <v>0.7</v>
      </c>
      <c r="O483" s="25">
        <f t="shared" si="44"/>
        <v>44970</v>
      </c>
      <c r="P483" s="11" t="s">
        <v>20</v>
      </c>
    </row>
    <row r="484" spans="1:16" x14ac:dyDescent="0.25">
      <c r="A484" s="23" t="str">
        <f t="shared" si="47"/>
        <v>2025 JAN-JUN D70</v>
      </c>
      <c r="B484" s="10">
        <f t="shared" si="47"/>
        <v>46104</v>
      </c>
      <c r="C484" s="10">
        <f t="shared" si="47"/>
        <v>46113</v>
      </c>
      <c r="D484" s="11">
        <v>3273</v>
      </c>
      <c r="E484" s="11">
        <v>336</v>
      </c>
      <c r="F484" s="11">
        <v>4</v>
      </c>
      <c r="G484" s="18">
        <v>10</v>
      </c>
      <c r="H484" s="18">
        <v>81574</v>
      </c>
      <c r="I484" s="18" t="s">
        <v>17</v>
      </c>
      <c r="J484" s="18">
        <v>51602069</v>
      </c>
      <c r="K484" s="18" t="s">
        <v>2647</v>
      </c>
      <c r="L484" s="18" t="s">
        <v>2648</v>
      </c>
      <c r="M484" s="21">
        <v>149900</v>
      </c>
      <c r="N484" s="24">
        <f t="shared" si="45"/>
        <v>0.7</v>
      </c>
      <c r="O484" s="25">
        <f t="shared" si="44"/>
        <v>44970</v>
      </c>
      <c r="P484" s="11" t="s">
        <v>20</v>
      </c>
    </row>
    <row r="485" spans="1:16" x14ac:dyDescent="0.25">
      <c r="A485" s="23" t="str">
        <f t="shared" si="47"/>
        <v>2025 JAN-JUN D70</v>
      </c>
      <c r="B485" s="10">
        <f t="shared" si="47"/>
        <v>46104</v>
      </c>
      <c r="C485" s="10">
        <f t="shared" si="47"/>
        <v>46113</v>
      </c>
      <c r="D485" s="11">
        <v>3273</v>
      </c>
      <c r="E485" s="11">
        <v>336</v>
      </c>
      <c r="F485" s="11">
        <v>4</v>
      </c>
      <c r="G485" s="18">
        <v>8</v>
      </c>
      <c r="H485" s="18">
        <v>81574</v>
      </c>
      <c r="I485" s="18" t="s">
        <v>17</v>
      </c>
      <c r="J485" s="18">
        <v>51102055</v>
      </c>
      <c r="K485" s="18" t="s">
        <v>2649</v>
      </c>
      <c r="L485" s="18" t="s">
        <v>2650</v>
      </c>
      <c r="M485" s="21">
        <v>319900</v>
      </c>
      <c r="N485" s="24">
        <f t="shared" si="45"/>
        <v>0.7</v>
      </c>
      <c r="O485" s="25">
        <f t="shared" si="44"/>
        <v>95970</v>
      </c>
      <c r="P485" s="11" t="s">
        <v>20</v>
      </c>
    </row>
    <row r="486" spans="1:16" x14ac:dyDescent="0.25">
      <c r="A486" s="23" t="str">
        <f t="shared" si="47"/>
        <v>2025 JAN-JUN D70</v>
      </c>
      <c r="B486" s="10">
        <f t="shared" si="47"/>
        <v>46104</v>
      </c>
      <c r="C486" s="10">
        <f t="shared" si="47"/>
        <v>46113</v>
      </c>
      <c r="D486" s="11">
        <v>3273</v>
      </c>
      <c r="E486" s="11">
        <v>336</v>
      </c>
      <c r="F486" s="11">
        <v>4</v>
      </c>
      <c r="G486" s="18">
        <v>8</v>
      </c>
      <c r="H486" s="18">
        <v>81574</v>
      </c>
      <c r="I486" s="18" t="s">
        <v>17</v>
      </c>
      <c r="J486" s="18">
        <v>51102064</v>
      </c>
      <c r="K486" s="18" t="s">
        <v>2649</v>
      </c>
      <c r="L486" s="18" t="s">
        <v>2651</v>
      </c>
      <c r="M486" s="21">
        <v>319900</v>
      </c>
      <c r="N486" s="24">
        <f t="shared" si="45"/>
        <v>0.7</v>
      </c>
      <c r="O486" s="25">
        <f t="shared" si="44"/>
        <v>95970</v>
      </c>
      <c r="P486" s="11" t="s">
        <v>20</v>
      </c>
    </row>
    <row r="487" spans="1:16" x14ac:dyDescent="0.25">
      <c r="A487" s="23" t="str">
        <f t="shared" si="47"/>
        <v>2025 JAN-JUN D70</v>
      </c>
      <c r="B487" s="10">
        <f t="shared" si="47"/>
        <v>46104</v>
      </c>
      <c r="C487" s="10">
        <f t="shared" si="47"/>
        <v>46113</v>
      </c>
      <c r="D487" s="11">
        <v>3273</v>
      </c>
      <c r="E487" s="11">
        <v>336</v>
      </c>
      <c r="F487" s="11">
        <v>4</v>
      </c>
      <c r="G487" s="18">
        <v>8</v>
      </c>
      <c r="H487" s="18">
        <v>81574</v>
      </c>
      <c r="I487" s="18" t="s">
        <v>17</v>
      </c>
      <c r="J487" s="18">
        <v>51102073</v>
      </c>
      <c r="K487" s="18" t="s">
        <v>2649</v>
      </c>
      <c r="L487" s="18" t="s">
        <v>2652</v>
      </c>
      <c r="M487" s="21">
        <v>319900</v>
      </c>
      <c r="N487" s="24">
        <f t="shared" si="45"/>
        <v>0.7</v>
      </c>
      <c r="O487" s="25">
        <f t="shared" si="44"/>
        <v>95970</v>
      </c>
      <c r="P487" s="11" t="s">
        <v>20</v>
      </c>
    </row>
    <row r="488" spans="1:16" x14ac:dyDescent="0.25">
      <c r="A488" s="23" t="str">
        <f t="shared" si="47"/>
        <v>2025 JAN-JUN D70</v>
      </c>
      <c r="B488" s="10">
        <f t="shared" si="47"/>
        <v>46104</v>
      </c>
      <c r="C488" s="10">
        <f t="shared" si="47"/>
        <v>46113</v>
      </c>
      <c r="D488" s="11">
        <v>3273</v>
      </c>
      <c r="E488" s="11">
        <v>336</v>
      </c>
      <c r="F488" s="11">
        <v>4</v>
      </c>
      <c r="G488" s="18">
        <v>8</v>
      </c>
      <c r="H488" s="18">
        <v>81574</v>
      </c>
      <c r="I488" s="18" t="s">
        <v>17</v>
      </c>
      <c r="J488" s="18">
        <v>51102082</v>
      </c>
      <c r="K488" s="18" t="s">
        <v>2649</v>
      </c>
      <c r="L488" s="18" t="s">
        <v>2653</v>
      </c>
      <c r="M488" s="21">
        <v>319900</v>
      </c>
      <c r="N488" s="24">
        <f t="shared" si="45"/>
        <v>0.7</v>
      </c>
      <c r="O488" s="25">
        <f t="shared" si="44"/>
        <v>95970</v>
      </c>
      <c r="P488" s="11" t="s">
        <v>20</v>
      </c>
    </row>
    <row r="489" spans="1:16" x14ac:dyDescent="0.25">
      <c r="A489" s="23" t="str">
        <f t="shared" si="47"/>
        <v>2025 JAN-JUN D70</v>
      </c>
      <c r="B489" s="10">
        <f t="shared" si="47"/>
        <v>46104</v>
      </c>
      <c r="C489" s="10">
        <f t="shared" si="47"/>
        <v>46113</v>
      </c>
      <c r="D489" s="11">
        <v>3273</v>
      </c>
      <c r="E489" s="11">
        <v>336</v>
      </c>
      <c r="F489" s="11">
        <v>4</v>
      </c>
      <c r="G489" s="18">
        <v>8</v>
      </c>
      <c r="H489" s="18">
        <v>81574</v>
      </c>
      <c r="I489" s="18" t="s">
        <v>17</v>
      </c>
      <c r="J489" s="18">
        <v>51102091</v>
      </c>
      <c r="K489" s="18" t="s">
        <v>2649</v>
      </c>
      <c r="L489" s="18" t="s">
        <v>2654</v>
      </c>
      <c r="M489" s="21">
        <v>319900</v>
      </c>
      <c r="N489" s="24">
        <f t="shared" si="45"/>
        <v>0.7</v>
      </c>
      <c r="O489" s="25">
        <f t="shared" si="44"/>
        <v>95970</v>
      </c>
      <c r="P489" s="11" t="s">
        <v>20</v>
      </c>
    </row>
    <row r="490" spans="1:16" x14ac:dyDescent="0.25">
      <c r="A490" s="23" t="str">
        <f t="shared" si="47"/>
        <v>2025 JAN-JUN D70</v>
      </c>
      <c r="B490" s="10">
        <f t="shared" si="47"/>
        <v>46104</v>
      </c>
      <c r="C490" s="10">
        <f t="shared" si="47"/>
        <v>46113</v>
      </c>
      <c r="D490" s="11">
        <v>3273</v>
      </c>
      <c r="E490" s="11">
        <v>336</v>
      </c>
      <c r="F490" s="11">
        <v>4</v>
      </c>
      <c r="G490" s="18">
        <v>8</v>
      </c>
      <c r="H490" s="18">
        <v>81574</v>
      </c>
      <c r="I490" s="18" t="s">
        <v>17</v>
      </c>
      <c r="J490" s="18">
        <v>51102108</v>
      </c>
      <c r="K490" s="18" t="s">
        <v>2649</v>
      </c>
      <c r="L490" s="18" t="s">
        <v>2655</v>
      </c>
      <c r="M490" s="21">
        <v>319900</v>
      </c>
      <c r="N490" s="24">
        <f t="shared" si="45"/>
        <v>0.7</v>
      </c>
      <c r="O490" s="25">
        <f t="shared" si="44"/>
        <v>95970</v>
      </c>
      <c r="P490" s="11" t="s">
        <v>20</v>
      </c>
    </row>
    <row r="491" spans="1:16" x14ac:dyDescent="0.25">
      <c r="A491" s="23" t="str">
        <f t="shared" si="47"/>
        <v>2025 JAN-JUN D70</v>
      </c>
      <c r="B491" s="10">
        <f t="shared" si="47"/>
        <v>46104</v>
      </c>
      <c r="C491" s="10">
        <f t="shared" si="47"/>
        <v>46113</v>
      </c>
      <c r="D491" s="11">
        <v>3273</v>
      </c>
      <c r="E491" s="11">
        <v>336</v>
      </c>
      <c r="F491" s="11">
        <v>4</v>
      </c>
      <c r="G491" s="18">
        <v>8</v>
      </c>
      <c r="H491" s="18">
        <v>81574</v>
      </c>
      <c r="I491" s="18" t="s">
        <v>17</v>
      </c>
      <c r="J491" s="18">
        <v>51102117</v>
      </c>
      <c r="K491" s="18" t="s">
        <v>2649</v>
      </c>
      <c r="L491" s="18" t="s">
        <v>2656</v>
      </c>
      <c r="M491" s="21">
        <v>319900</v>
      </c>
      <c r="N491" s="24">
        <f t="shared" si="45"/>
        <v>0.7</v>
      </c>
      <c r="O491" s="25">
        <f t="shared" si="44"/>
        <v>95970</v>
      </c>
      <c r="P491" s="11" t="s">
        <v>20</v>
      </c>
    </row>
    <row r="492" spans="1:16" x14ac:dyDescent="0.25">
      <c r="A492" s="23" t="str">
        <f t="shared" si="47"/>
        <v>2025 JAN-JUN D70</v>
      </c>
      <c r="B492" s="10">
        <f t="shared" si="47"/>
        <v>46104</v>
      </c>
      <c r="C492" s="10">
        <f t="shared" si="47"/>
        <v>46113</v>
      </c>
      <c r="D492" s="11">
        <v>3273</v>
      </c>
      <c r="E492" s="11">
        <v>336</v>
      </c>
      <c r="F492" s="11">
        <v>4</v>
      </c>
      <c r="G492" s="18">
        <v>8</v>
      </c>
      <c r="H492" s="18">
        <v>81574</v>
      </c>
      <c r="I492" s="18" t="s">
        <v>17</v>
      </c>
      <c r="J492" s="18">
        <v>51102126</v>
      </c>
      <c r="K492" s="18" t="s">
        <v>2649</v>
      </c>
      <c r="L492" s="18" t="s">
        <v>2657</v>
      </c>
      <c r="M492" s="21">
        <v>319900</v>
      </c>
      <c r="N492" s="24">
        <f t="shared" si="45"/>
        <v>0.7</v>
      </c>
      <c r="O492" s="25">
        <f t="shared" si="44"/>
        <v>95970</v>
      </c>
      <c r="P492" s="11" t="s">
        <v>20</v>
      </c>
    </row>
    <row r="493" spans="1:16" x14ac:dyDescent="0.25">
      <c r="A493" s="23" t="str">
        <f t="shared" si="47"/>
        <v>2025 JAN-JUN D70</v>
      </c>
      <c r="B493" s="10">
        <f t="shared" si="47"/>
        <v>46104</v>
      </c>
      <c r="C493" s="10">
        <f t="shared" si="47"/>
        <v>46113</v>
      </c>
      <c r="D493" s="11">
        <v>3273</v>
      </c>
      <c r="E493" s="11">
        <v>336</v>
      </c>
      <c r="F493" s="11">
        <v>4</v>
      </c>
      <c r="G493" s="18">
        <v>8</v>
      </c>
      <c r="H493" s="18">
        <v>81588</v>
      </c>
      <c r="I493" s="18" t="s">
        <v>17</v>
      </c>
      <c r="J493" s="18">
        <v>51102706</v>
      </c>
      <c r="K493" s="18" t="s">
        <v>2658</v>
      </c>
      <c r="L493" s="18" t="s">
        <v>2659</v>
      </c>
      <c r="M493" s="21">
        <v>249900</v>
      </c>
      <c r="N493" s="24">
        <f t="shared" si="45"/>
        <v>0.7</v>
      </c>
      <c r="O493" s="25">
        <f t="shared" si="44"/>
        <v>74970</v>
      </c>
      <c r="P493" s="11" t="s">
        <v>20</v>
      </c>
    </row>
    <row r="494" spans="1:16" x14ac:dyDescent="0.25">
      <c r="A494" s="23" t="str">
        <f t="shared" si="47"/>
        <v>2025 JAN-JUN D70</v>
      </c>
      <c r="B494" s="10">
        <f t="shared" si="47"/>
        <v>46104</v>
      </c>
      <c r="C494" s="10">
        <f t="shared" si="47"/>
        <v>46113</v>
      </c>
      <c r="D494" s="11">
        <v>3273</v>
      </c>
      <c r="E494" s="11">
        <v>336</v>
      </c>
      <c r="F494" s="11">
        <v>4</v>
      </c>
      <c r="G494" s="18">
        <v>8</v>
      </c>
      <c r="H494" s="18">
        <v>81588</v>
      </c>
      <c r="I494" s="18" t="s">
        <v>17</v>
      </c>
      <c r="J494" s="18">
        <v>51102715</v>
      </c>
      <c r="K494" s="18" t="s">
        <v>2658</v>
      </c>
      <c r="L494" s="18" t="s">
        <v>2660</v>
      </c>
      <c r="M494" s="21">
        <v>249900</v>
      </c>
      <c r="N494" s="24">
        <f t="shared" si="45"/>
        <v>0.7</v>
      </c>
      <c r="O494" s="25">
        <f t="shared" si="44"/>
        <v>74970</v>
      </c>
      <c r="P494" s="11" t="s">
        <v>20</v>
      </c>
    </row>
    <row r="495" spans="1:16" x14ac:dyDescent="0.25">
      <c r="A495" s="23" t="str">
        <f t="shared" si="47"/>
        <v>2025 JAN-JUN D70</v>
      </c>
      <c r="B495" s="10">
        <f t="shared" si="47"/>
        <v>46104</v>
      </c>
      <c r="C495" s="10">
        <f t="shared" si="47"/>
        <v>46113</v>
      </c>
      <c r="D495" s="11">
        <v>3273</v>
      </c>
      <c r="E495" s="11">
        <v>336</v>
      </c>
      <c r="F495" s="11">
        <v>4</v>
      </c>
      <c r="G495" s="18">
        <v>8</v>
      </c>
      <c r="H495" s="18">
        <v>81588</v>
      </c>
      <c r="I495" s="18" t="s">
        <v>17</v>
      </c>
      <c r="J495" s="18">
        <v>51102724</v>
      </c>
      <c r="K495" s="18" t="s">
        <v>2658</v>
      </c>
      <c r="L495" s="18" t="s">
        <v>2661</v>
      </c>
      <c r="M495" s="21">
        <v>249900</v>
      </c>
      <c r="N495" s="24">
        <f t="shared" si="45"/>
        <v>0.7</v>
      </c>
      <c r="O495" s="25">
        <f t="shared" si="44"/>
        <v>74970</v>
      </c>
      <c r="P495" s="11" t="s">
        <v>20</v>
      </c>
    </row>
    <row r="496" spans="1:16" x14ac:dyDescent="0.25">
      <c r="A496" s="23" t="str">
        <f t="shared" si="47"/>
        <v>2025 JAN-JUN D70</v>
      </c>
      <c r="B496" s="10">
        <f t="shared" si="47"/>
        <v>46104</v>
      </c>
      <c r="C496" s="10">
        <f t="shared" si="47"/>
        <v>46113</v>
      </c>
      <c r="D496" s="11">
        <v>3273</v>
      </c>
      <c r="E496" s="11">
        <v>336</v>
      </c>
      <c r="F496" s="11">
        <v>4</v>
      </c>
      <c r="G496" s="18">
        <v>8</v>
      </c>
      <c r="H496" s="18">
        <v>81588</v>
      </c>
      <c r="I496" s="18" t="s">
        <v>17</v>
      </c>
      <c r="J496" s="18">
        <v>51102733</v>
      </c>
      <c r="K496" s="18" t="s">
        <v>2658</v>
      </c>
      <c r="L496" s="18" t="s">
        <v>2662</v>
      </c>
      <c r="M496" s="21">
        <v>249900</v>
      </c>
      <c r="N496" s="24">
        <f t="shared" si="45"/>
        <v>0.7</v>
      </c>
      <c r="O496" s="25">
        <f t="shared" si="44"/>
        <v>74970</v>
      </c>
      <c r="P496" s="11" t="s">
        <v>20</v>
      </c>
    </row>
    <row r="497" spans="1:16" x14ac:dyDescent="0.25">
      <c r="A497" s="23" t="str">
        <f t="shared" si="47"/>
        <v>2025 JAN-JUN D70</v>
      </c>
      <c r="B497" s="10">
        <f t="shared" si="47"/>
        <v>46104</v>
      </c>
      <c r="C497" s="10">
        <f t="shared" si="47"/>
        <v>46113</v>
      </c>
      <c r="D497" s="11">
        <v>3273</v>
      </c>
      <c r="E497" s="11">
        <v>336</v>
      </c>
      <c r="F497" s="11">
        <v>4</v>
      </c>
      <c r="G497" s="18">
        <v>8</v>
      </c>
      <c r="H497" s="18">
        <v>81588</v>
      </c>
      <c r="I497" s="18" t="s">
        <v>17</v>
      </c>
      <c r="J497" s="18">
        <v>51102742</v>
      </c>
      <c r="K497" s="18" t="s">
        <v>2658</v>
      </c>
      <c r="L497" s="18" t="s">
        <v>2663</v>
      </c>
      <c r="M497" s="21">
        <v>249900</v>
      </c>
      <c r="N497" s="24">
        <f t="shared" si="45"/>
        <v>0.7</v>
      </c>
      <c r="O497" s="25">
        <f t="shared" si="44"/>
        <v>74970</v>
      </c>
      <c r="P497" s="11" t="s">
        <v>20</v>
      </c>
    </row>
    <row r="498" spans="1:16" x14ac:dyDescent="0.25">
      <c r="A498" s="23" t="str">
        <f t="shared" si="47"/>
        <v>2025 JAN-JUN D70</v>
      </c>
      <c r="B498" s="10">
        <f t="shared" si="47"/>
        <v>46104</v>
      </c>
      <c r="C498" s="10">
        <f t="shared" si="47"/>
        <v>46113</v>
      </c>
      <c r="D498" s="11">
        <v>3273</v>
      </c>
      <c r="E498" s="11">
        <v>336</v>
      </c>
      <c r="F498" s="11">
        <v>4</v>
      </c>
      <c r="G498" s="18">
        <v>8</v>
      </c>
      <c r="H498" s="18">
        <v>81588</v>
      </c>
      <c r="I498" s="18" t="s">
        <v>17</v>
      </c>
      <c r="J498" s="18">
        <v>51102751</v>
      </c>
      <c r="K498" s="18" t="s">
        <v>2658</v>
      </c>
      <c r="L498" s="18" t="s">
        <v>2664</v>
      </c>
      <c r="M498" s="21">
        <v>249900</v>
      </c>
      <c r="N498" s="24">
        <f t="shared" si="45"/>
        <v>0.7</v>
      </c>
      <c r="O498" s="25">
        <f t="shared" si="44"/>
        <v>74970</v>
      </c>
      <c r="P498" s="11" t="s">
        <v>20</v>
      </c>
    </row>
    <row r="499" spans="1:16" x14ac:dyDescent="0.25">
      <c r="A499" s="23" t="str">
        <f t="shared" ref="A499:C514" si="48">A498</f>
        <v>2025 JAN-JUN D70</v>
      </c>
      <c r="B499" s="10">
        <f t="shared" si="48"/>
        <v>46104</v>
      </c>
      <c r="C499" s="10">
        <f t="shared" si="48"/>
        <v>46113</v>
      </c>
      <c r="D499" s="11">
        <v>3273</v>
      </c>
      <c r="E499" s="11">
        <v>336</v>
      </c>
      <c r="F499" s="11">
        <v>4</v>
      </c>
      <c r="G499" s="18">
        <v>8</v>
      </c>
      <c r="H499" s="18">
        <v>81588</v>
      </c>
      <c r="I499" s="18" t="s">
        <v>17</v>
      </c>
      <c r="J499" s="18">
        <v>51102760</v>
      </c>
      <c r="K499" s="18" t="s">
        <v>2658</v>
      </c>
      <c r="L499" s="18" t="s">
        <v>2665</v>
      </c>
      <c r="M499" s="21">
        <v>249900</v>
      </c>
      <c r="N499" s="24">
        <f t="shared" si="45"/>
        <v>0.7</v>
      </c>
      <c r="O499" s="25">
        <f t="shared" si="44"/>
        <v>74970</v>
      </c>
      <c r="P499" s="11" t="s">
        <v>20</v>
      </c>
    </row>
    <row r="500" spans="1:16" x14ac:dyDescent="0.25">
      <c r="A500" s="23" t="str">
        <f t="shared" si="48"/>
        <v>2025 JAN-JUN D70</v>
      </c>
      <c r="B500" s="10">
        <f t="shared" si="48"/>
        <v>46104</v>
      </c>
      <c r="C500" s="10">
        <f t="shared" si="48"/>
        <v>46113</v>
      </c>
      <c r="D500" s="11">
        <v>3273</v>
      </c>
      <c r="E500" s="11">
        <v>336</v>
      </c>
      <c r="F500" s="11">
        <v>4</v>
      </c>
      <c r="G500" s="18">
        <v>8</v>
      </c>
      <c r="H500" s="18">
        <v>81588</v>
      </c>
      <c r="I500" s="18" t="s">
        <v>17</v>
      </c>
      <c r="J500" s="18">
        <v>51102779</v>
      </c>
      <c r="K500" s="18" t="s">
        <v>2658</v>
      </c>
      <c r="L500" s="18" t="s">
        <v>2666</v>
      </c>
      <c r="M500" s="21">
        <v>249900</v>
      </c>
      <c r="N500" s="24">
        <f t="shared" si="45"/>
        <v>0.7</v>
      </c>
      <c r="O500" s="25">
        <f t="shared" si="44"/>
        <v>74970</v>
      </c>
      <c r="P500" s="11" t="s">
        <v>20</v>
      </c>
    </row>
    <row r="501" spans="1:16" x14ac:dyDescent="0.25">
      <c r="A501" s="23" t="str">
        <f t="shared" si="48"/>
        <v>2025 JAN-JUN D70</v>
      </c>
      <c r="B501" s="10">
        <f t="shared" si="48"/>
        <v>46104</v>
      </c>
      <c r="C501" s="10">
        <f t="shared" si="48"/>
        <v>46113</v>
      </c>
      <c r="D501" s="11">
        <v>3273</v>
      </c>
      <c r="E501" s="11">
        <v>336</v>
      </c>
      <c r="F501" s="11">
        <v>4</v>
      </c>
      <c r="G501" s="18">
        <v>8</v>
      </c>
      <c r="H501" s="18">
        <v>81588</v>
      </c>
      <c r="I501" s="18" t="s">
        <v>17</v>
      </c>
      <c r="J501" s="18">
        <v>51103992</v>
      </c>
      <c r="K501" s="18" t="s">
        <v>2667</v>
      </c>
      <c r="L501" s="18" t="s">
        <v>2668</v>
      </c>
      <c r="M501" s="21">
        <v>229900</v>
      </c>
      <c r="N501" s="24">
        <f t="shared" si="45"/>
        <v>0.7</v>
      </c>
      <c r="O501" s="25">
        <f t="shared" si="44"/>
        <v>68970</v>
      </c>
      <c r="P501" s="11" t="s">
        <v>20</v>
      </c>
    </row>
    <row r="502" spans="1:16" x14ac:dyDescent="0.25">
      <c r="A502" s="23" t="str">
        <f t="shared" si="48"/>
        <v>2025 JAN-JUN D70</v>
      </c>
      <c r="B502" s="10">
        <f t="shared" si="48"/>
        <v>46104</v>
      </c>
      <c r="C502" s="10">
        <f t="shared" si="48"/>
        <v>46113</v>
      </c>
      <c r="D502" s="11">
        <v>3273</v>
      </c>
      <c r="E502" s="11">
        <v>336</v>
      </c>
      <c r="F502" s="11">
        <v>4</v>
      </c>
      <c r="G502" s="18">
        <v>8</v>
      </c>
      <c r="H502" s="18">
        <v>81588</v>
      </c>
      <c r="I502" s="18" t="s">
        <v>17</v>
      </c>
      <c r="J502" s="18">
        <v>51104008</v>
      </c>
      <c r="K502" s="18" t="s">
        <v>2667</v>
      </c>
      <c r="L502" s="18" t="s">
        <v>2669</v>
      </c>
      <c r="M502" s="21">
        <v>229900</v>
      </c>
      <c r="N502" s="24">
        <f t="shared" si="45"/>
        <v>0.7</v>
      </c>
      <c r="O502" s="25">
        <f t="shared" si="44"/>
        <v>68970</v>
      </c>
      <c r="P502" s="11" t="s">
        <v>20</v>
      </c>
    </row>
    <row r="503" spans="1:16" x14ac:dyDescent="0.25">
      <c r="A503" s="23" t="str">
        <f t="shared" si="48"/>
        <v>2025 JAN-JUN D70</v>
      </c>
      <c r="B503" s="10">
        <f t="shared" si="48"/>
        <v>46104</v>
      </c>
      <c r="C503" s="10">
        <f t="shared" si="48"/>
        <v>46113</v>
      </c>
      <c r="D503" s="11">
        <v>3273</v>
      </c>
      <c r="E503" s="11">
        <v>336</v>
      </c>
      <c r="F503" s="11">
        <v>4</v>
      </c>
      <c r="G503" s="18">
        <v>8</v>
      </c>
      <c r="H503" s="18">
        <v>81588</v>
      </c>
      <c r="I503" s="18" t="s">
        <v>17</v>
      </c>
      <c r="J503" s="18">
        <v>51104017</v>
      </c>
      <c r="K503" s="18" t="s">
        <v>2667</v>
      </c>
      <c r="L503" s="18" t="s">
        <v>2670</v>
      </c>
      <c r="M503" s="21">
        <v>229900</v>
      </c>
      <c r="N503" s="24">
        <f t="shared" si="45"/>
        <v>0.7</v>
      </c>
      <c r="O503" s="25">
        <f t="shared" si="44"/>
        <v>68970</v>
      </c>
      <c r="P503" s="11" t="s">
        <v>20</v>
      </c>
    </row>
    <row r="504" spans="1:16" x14ac:dyDescent="0.25">
      <c r="A504" s="23" t="str">
        <f t="shared" si="48"/>
        <v>2025 JAN-JUN D70</v>
      </c>
      <c r="B504" s="10">
        <f t="shared" si="48"/>
        <v>46104</v>
      </c>
      <c r="C504" s="10">
        <f t="shared" si="48"/>
        <v>46113</v>
      </c>
      <c r="D504" s="11">
        <v>3273</v>
      </c>
      <c r="E504" s="11">
        <v>336</v>
      </c>
      <c r="F504" s="11">
        <v>4</v>
      </c>
      <c r="G504" s="18">
        <v>8</v>
      </c>
      <c r="H504" s="18">
        <v>81588</v>
      </c>
      <c r="I504" s="18" t="s">
        <v>17</v>
      </c>
      <c r="J504" s="18">
        <v>51104026</v>
      </c>
      <c r="K504" s="18" t="s">
        <v>2667</v>
      </c>
      <c r="L504" s="18" t="s">
        <v>2671</v>
      </c>
      <c r="M504" s="21">
        <v>229900</v>
      </c>
      <c r="N504" s="24">
        <f t="shared" si="45"/>
        <v>0.7</v>
      </c>
      <c r="O504" s="25">
        <f t="shared" si="44"/>
        <v>68970</v>
      </c>
      <c r="P504" s="11" t="s">
        <v>20</v>
      </c>
    </row>
    <row r="505" spans="1:16" x14ac:dyDescent="0.25">
      <c r="A505" s="23" t="str">
        <f t="shared" si="48"/>
        <v>2025 JAN-JUN D70</v>
      </c>
      <c r="B505" s="10">
        <f t="shared" si="48"/>
        <v>46104</v>
      </c>
      <c r="C505" s="10">
        <f t="shared" si="48"/>
        <v>46113</v>
      </c>
      <c r="D505" s="11">
        <v>3273</v>
      </c>
      <c r="E505" s="11">
        <v>336</v>
      </c>
      <c r="F505" s="11">
        <v>4</v>
      </c>
      <c r="G505" s="18">
        <v>8</v>
      </c>
      <c r="H505" s="18">
        <v>81588</v>
      </c>
      <c r="I505" s="18" t="s">
        <v>17</v>
      </c>
      <c r="J505" s="18">
        <v>51104035</v>
      </c>
      <c r="K505" s="18" t="s">
        <v>2667</v>
      </c>
      <c r="L505" s="18" t="s">
        <v>2672</v>
      </c>
      <c r="M505" s="21">
        <v>229900</v>
      </c>
      <c r="N505" s="24">
        <f t="shared" si="45"/>
        <v>0.7</v>
      </c>
      <c r="O505" s="25">
        <f t="shared" si="44"/>
        <v>68970</v>
      </c>
      <c r="P505" s="11" t="s">
        <v>20</v>
      </c>
    </row>
    <row r="506" spans="1:16" x14ac:dyDescent="0.25">
      <c r="A506" s="23" t="str">
        <f t="shared" si="48"/>
        <v>2025 JAN-JUN D70</v>
      </c>
      <c r="B506" s="10">
        <f t="shared" si="48"/>
        <v>46104</v>
      </c>
      <c r="C506" s="10">
        <f t="shared" si="48"/>
        <v>46113</v>
      </c>
      <c r="D506" s="11">
        <v>3273</v>
      </c>
      <c r="E506" s="11">
        <v>336</v>
      </c>
      <c r="F506" s="11">
        <v>4</v>
      </c>
      <c r="G506" s="18">
        <v>8</v>
      </c>
      <c r="H506" s="18">
        <v>81588</v>
      </c>
      <c r="I506" s="18" t="s">
        <v>17</v>
      </c>
      <c r="J506" s="18">
        <v>51104044</v>
      </c>
      <c r="K506" s="18" t="s">
        <v>2667</v>
      </c>
      <c r="L506" s="18" t="s">
        <v>2673</v>
      </c>
      <c r="M506" s="21">
        <v>229900</v>
      </c>
      <c r="N506" s="24">
        <f t="shared" si="45"/>
        <v>0.7</v>
      </c>
      <c r="O506" s="25">
        <f t="shared" si="44"/>
        <v>68970</v>
      </c>
      <c r="P506" s="11" t="s">
        <v>20</v>
      </c>
    </row>
    <row r="507" spans="1:16" x14ac:dyDescent="0.25">
      <c r="A507" s="23" t="str">
        <f t="shared" si="48"/>
        <v>2025 JAN-JUN D70</v>
      </c>
      <c r="B507" s="10">
        <f t="shared" si="48"/>
        <v>46104</v>
      </c>
      <c r="C507" s="10">
        <f t="shared" si="48"/>
        <v>46113</v>
      </c>
      <c r="D507" s="11">
        <v>3273</v>
      </c>
      <c r="E507" s="11">
        <v>336</v>
      </c>
      <c r="F507" s="11">
        <v>4</v>
      </c>
      <c r="G507" s="18">
        <v>8</v>
      </c>
      <c r="H507" s="18">
        <v>81588</v>
      </c>
      <c r="I507" s="18" t="s">
        <v>17</v>
      </c>
      <c r="J507" s="18">
        <v>51104053</v>
      </c>
      <c r="K507" s="18" t="s">
        <v>2667</v>
      </c>
      <c r="L507" s="18" t="s">
        <v>2674</v>
      </c>
      <c r="M507" s="21">
        <v>229900</v>
      </c>
      <c r="N507" s="24">
        <f t="shared" si="45"/>
        <v>0.7</v>
      </c>
      <c r="O507" s="25">
        <f t="shared" si="44"/>
        <v>68970</v>
      </c>
      <c r="P507" s="11" t="s">
        <v>20</v>
      </c>
    </row>
    <row r="508" spans="1:16" x14ac:dyDescent="0.25">
      <c r="A508" s="23" t="str">
        <f t="shared" si="48"/>
        <v>2025 JAN-JUN D70</v>
      </c>
      <c r="B508" s="10">
        <f t="shared" si="48"/>
        <v>46104</v>
      </c>
      <c r="C508" s="10">
        <f t="shared" si="48"/>
        <v>46113</v>
      </c>
      <c r="D508" s="11">
        <v>3273</v>
      </c>
      <c r="E508" s="11">
        <v>336</v>
      </c>
      <c r="F508" s="11">
        <v>4</v>
      </c>
      <c r="G508" s="18">
        <v>8</v>
      </c>
      <c r="H508" s="18">
        <v>81588</v>
      </c>
      <c r="I508" s="18" t="s">
        <v>17</v>
      </c>
      <c r="J508" s="18">
        <v>51104062</v>
      </c>
      <c r="K508" s="18" t="s">
        <v>2667</v>
      </c>
      <c r="L508" s="18" t="s">
        <v>2675</v>
      </c>
      <c r="M508" s="21">
        <v>229900</v>
      </c>
      <c r="N508" s="24">
        <f t="shared" si="45"/>
        <v>0.7</v>
      </c>
      <c r="O508" s="25">
        <f t="shared" si="44"/>
        <v>68970</v>
      </c>
      <c r="P508" s="11" t="s">
        <v>20</v>
      </c>
    </row>
    <row r="509" spans="1:16" x14ac:dyDescent="0.25">
      <c r="A509" s="23" t="str">
        <f t="shared" si="48"/>
        <v>2025 JAN-JUN D70</v>
      </c>
      <c r="B509" s="10">
        <f t="shared" si="48"/>
        <v>46104</v>
      </c>
      <c r="C509" s="10">
        <f t="shared" si="48"/>
        <v>46113</v>
      </c>
      <c r="D509" s="11">
        <v>3273</v>
      </c>
      <c r="E509" s="11">
        <v>336</v>
      </c>
      <c r="F509" s="11">
        <v>4</v>
      </c>
      <c r="G509" s="18">
        <v>15</v>
      </c>
      <c r="H509" s="18">
        <v>81574</v>
      </c>
      <c r="I509" s="18" t="s">
        <v>17</v>
      </c>
      <c r="J509" s="18">
        <v>51099337</v>
      </c>
      <c r="K509" s="18" t="s">
        <v>2676</v>
      </c>
      <c r="L509" s="18" t="s">
        <v>2677</v>
      </c>
      <c r="M509" s="21">
        <v>139900</v>
      </c>
      <c r="N509" s="24">
        <f t="shared" si="45"/>
        <v>0.7</v>
      </c>
      <c r="O509" s="25">
        <f t="shared" si="44"/>
        <v>41970</v>
      </c>
      <c r="P509" s="11" t="s">
        <v>20</v>
      </c>
    </row>
    <row r="510" spans="1:16" x14ac:dyDescent="0.25">
      <c r="A510" s="23" t="str">
        <f t="shared" si="48"/>
        <v>2025 JAN-JUN D70</v>
      </c>
      <c r="B510" s="10">
        <f t="shared" si="48"/>
        <v>46104</v>
      </c>
      <c r="C510" s="10">
        <f t="shared" si="48"/>
        <v>46113</v>
      </c>
      <c r="D510" s="11">
        <v>3273</v>
      </c>
      <c r="E510" s="11">
        <v>336</v>
      </c>
      <c r="F510" s="11">
        <v>4</v>
      </c>
      <c r="G510" s="18">
        <v>15</v>
      </c>
      <c r="H510" s="18">
        <v>81574</v>
      </c>
      <c r="I510" s="18" t="s">
        <v>17</v>
      </c>
      <c r="J510" s="18">
        <v>51099346</v>
      </c>
      <c r="K510" s="18" t="s">
        <v>2678</v>
      </c>
      <c r="L510" s="18" t="s">
        <v>2679</v>
      </c>
      <c r="M510" s="21">
        <v>149900</v>
      </c>
      <c r="N510" s="24">
        <f t="shared" si="45"/>
        <v>0.7</v>
      </c>
      <c r="O510" s="25">
        <f t="shared" si="44"/>
        <v>44970</v>
      </c>
      <c r="P510" s="11" t="s">
        <v>20</v>
      </c>
    </row>
    <row r="511" spans="1:16" x14ac:dyDescent="0.25">
      <c r="A511" s="23" t="str">
        <f t="shared" si="48"/>
        <v>2025 JAN-JUN D70</v>
      </c>
      <c r="B511" s="10">
        <f t="shared" si="48"/>
        <v>46104</v>
      </c>
      <c r="C511" s="10">
        <f t="shared" si="48"/>
        <v>46113</v>
      </c>
      <c r="D511" s="11">
        <v>3273</v>
      </c>
      <c r="E511" s="11">
        <v>336</v>
      </c>
      <c r="F511" s="11">
        <v>4</v>
      </c>
      <c r="G511" s="18">
        <v>4</v>
      </c>
      <c r="H511" s="18">
        <v>81588</v>
      </c>
      <c r="I511" s="18" t="s">
        <v>17</v>
      </c>
      <c r="J511" s="18">
        <v>21496160</v>
      </c>
      <c r="K511" s="18" t="s">
        <v>2680</v>
      </c>
      <c r="L511" s="18" t="s">
        <v>2681</v>
      </c>
      <c r="M511" s="21">
        <v>159900</v>
      </c>
      <c r="N511" s="24">
        <f t="shared" si="45"/>
        <v>0.7</v>
      </c>
      <c r="O511" s="25">
        <f t="shared" si="44"/>
        <v>47970</v>
      </c>
      <c r="P511" s="11" t="s">
        <v>20</v>
      </c>
    </row>
    <row r="512" spans="1:16" x14ac:dyDescent="0.25">
      <c r="A512" s="23" t="str">
        <f t="shared" si="48"/>
        <v>2025 JAN-JUN D70</v>
      </c>
      <c r="B512" s="10">
        <f t="shared" si="48"/>
        <v>46104</v>
      </c>
      <c r="C512" s="10">
        <f t="shared" si="48"/>
        <v>46113</v>
      </c>
      <c r="D512" s="11">
        <v>3273</v>
      </c>
      <c r="E512" s="11">
        <v>336</v>
      </c>
      <c r="F512" s="11">
        <v>4</v>
      </c>
      <c r="G512" s="18">
        <v>4</v>
      </c>
      <c r="H512" s="18">
        <v>81588</v>
      </c>
      <c r="I512" s="18" t="s">
        <v>17</v>
      </c>
      <c r="J512" s="18">
        <v>21496179</v>
      </c>
      <c r="K512" s="18" t="s">
        <v>2680</v>
      </c>
      <c r="L512" s="18" t="s">
        <v>2682</v>
      </c>
      <c r="M512" s="21">
        <v>159900</v>
      </c>
      <c r="N512" s="24">
        <f t="shared" si="45"/>
        <v>0.7</v>
      </c>
      <c r="O512" s="25">
        <f t="shared" si="44"/>
        <v>47970</v>
      </c>
      <c r="P512" s="11" t="s">
        <v>20</v>
      </c>
    </row>
    <row r="513" spans="1:16" x14ac:dyDescent="0.25">
      <c r="A513" s="23" t="str">
        <f t="shared" si="48"/>
        <v>2025 JAN-JUN D70</v>
      </c>
      <c r="B513" s="10">
        <f t="shared" si="48"/>
        <v>46104</v>
      </c>
      <c r="C513" s="10">
        <f t="shared" si="48"/>
        <v>46113</v>
      </c>
      <c r="D513" s="11">
        <v>3273</v>
      </c>
      <c r="E513" s="11">
        <v>336</v>
      </c>
      <c r="F513" s="11">
        <v>4</v>
      </c>
      <c r="G513" s="18">
        <v>4</v>
      </c>
      <c r="H513" s="18">
        <v>81588</v>
      </c>
      <c r="I513" s="18" t="s">
        <v>17</v>
      </c>
      <c r="J513" s="18">
        <v>21496188</v>
      </c>
      <c r="K513" s="18" t="s">
        <v>2680</v>
      </c>
      <c r="L513" s="18" t="s">
        <v>2683</v>
      </c>
      <c r="M513" s="21">
        <v>159900</v>
      </c>
      <c r="N513" s="24">
        <f t="shared" si="45"/>
        <v>0.7</v>
      </c>
      <c r="O513" s="25">
        <f t="shared" si="44"/>
        <v>47970</v>
      </c>
      <c r="P513" s="11" t="s">
        <v>20</v>
      </c>
    </row>
    <row r="514" spans="1:16" x14ac:dyDescent="0.25">
      <c r="A514" s="23" t="str">
        <f t="shared" si="48"/>
        <v>2025 JAN-JUN D70</v>
      </c>
      <c r="B514" s="10">
        <f t="shared" si="48"/>
        <v>46104</v>
      </c>
      <c r="C514" s="10">
        <f t="shared" si="48"/>
        <v>46113</v>
      </c>
      <c r="D514" s="11">
        <v>3273</v>
      </c>
      <c r="E514" s="11">
        <v>336</v>
      </c>
      <c r="F514" s="11">
        <v>4</v>
      </c>
      <c r="G514" s="18">
        <v>4</v>
      </c>
      <c r="H514" s="18">
        <v>81588</v>
      </c>
      <c r="I514" s="18" t="s">
        <v>17</v>
      </c>
      <c r="J514" s="18">
        <v>21496197</v>
      </c>
      <c r="K514" s="18" t="s">
        <v>2680</v>
      </c>
      <c r="L514" s="18" t="s">
        <v>2684</v>
      </c>
      <c r="M514" s="21">
        <v>159900</v>
      </c>
      <c r="N514" s="24">
        <f t="shared" si="45"/>
        <v>0.7</v>
      </c>
      <c r="O514" s="25">
        <f t="shared" si="44"/>
        <v>47970</v>
      </c>
      <c r="P514" s="11" t="s">
        <v>20</v>
      </c>
    </row>
    <row r="515" spans="1:16" x14ac:dyDescent="0.25">
      <c r="A515" s="23" t="str">
        <f t="shared" ref="A515:C530" si="49">A514</f>
        <v>2025 JAN-JUN D70</v>
      </c>
      <c r="B515" s="10">
        <f t="shared" si="49"/>
        <v>46104</v>
      </c>
      <c r="C515" s="10">
        <f t="shared" si="49"/>
        <v>46113</v>
      </c>
      <c r="D515" s="11">
        <v>3273</v>
      </c>
      <c r="E515" s="11">
        <v>336</v>
      </c>
      <c r="F515" s="11">
        <v>4</v>
      </c>
      <c r="G515" s="18">
        <v>4</v>
      </c>
      <c r="H515" s="18">
        <v>81588</v>
      </c>
      <c r="I515" s="18" t="s">
        <v>17</v>
      </c>
      <c r="J515" s="18">
        <v>21496204</v>
      </c>
      <c r="K515" s="18" t="s">
        <v>2680</v>
      </c>
      <c r="L515" s="18" t="s">
        <v>2685</v>
      </c>
      <c r="M515" s="21">
        <v>159900</v>
      </c>
      <c r="N515" s="24">
        <f t="shared" si="45"/>
        <v>0.7</v>
      </c>
      <c r="O515" s="25">
        <f t="shared" ref="O515:O578" si="50">M515-((70*M515)/100)</f>
        <v>47970</v>
      </c>
      <c r="P515" s="11" t="s">
        <v>20</v>
      </c>
    </row>
    <row r="516" spans="1:16" x14ac:dyDescent="0.25">
      <c r="A516" s="23" t="str">
        <f t="shared" si="49"/>
        <v>2025 JAN-JUN D70</v>
      </c>
      <c r="B516" s="10">
        <f t="shared" si="49"/>
        <v>46104</v>
      </c>
      <c r="C516" s="10">
        <f t="shared" si="49"/>
        <v>46113</v>
      </c>
      <c r="D516" s="11">
        <v>3273</v>
      </c>
      <c r="E516" s="11">
        <v>336</v>
      </c>
      <c r="F516" s="11">
        <v>4</v>
      </c>
      <c r="G516" s="18">
        <v>4</v>
      </c>
      <c r="H516" s="18">
        <v>81676</v>
      </c>
      <c r="I516" s="18" t="s">
        <v>17</v>
      </c>
      <c r="J516" s="18">
        <v>52016469</v>
      </c>
      <c r="K516" s="18" t="s">
        <v>2686</v>
      </c>
      <c r="L516" s="18" t="s">
        <v>2687</v>
      </c>
      <c r="M516" s="21">
        <v>149900</v>
      </c>
      <c r="N516" s="24">
        <f t="shared" ref="N516:N579" si="51">N515</f>
        <v>0.7</v>
      </c>
      <c r="O516" s="25">
        <f t="shared" si="50"/>
        <v>44970</v>
      </c>
      <c r="P516" s="11" t="s">
        <v>20</v>
      </c>
    </row>
    <row r="517" spans="1:16" x14ac:dyDescent="0.25">
      <c r="A517" s="23" t="str">
        <f t="shared" si="49"/>
        <v>2025 JAN-JUN D70</v>
      </c>
      <c r="B517" s="10">
        <f t="shared" si="49"/>
        <v>46104</v>
      </c>
      <c r="C517" s="10">
        <f t="shared" si="49"/>
        <v>46113</v>
      </c>
      <c r="D517" s="11">
        <v>3273</v>
      </c>
      <c r="E517" s="11">
        <v>336</v>
      </c>
      <c r="F517" s="11">
        <v>4</v>
      </c>
      <c r="G517" s="18">
        <v>4</v>
      </c>
      <c r="H517" s="18">
        <v>81676</v>
      </c>
      <c r="I517" s="18" t="s">
        <v>17</v>
      </c>
      <c r="J517" s="18">
        <v>52016478</v>
      </c>
      <c r="K517" s="18" t="s">
        <v>2686</v>
      </c>
      <c r="L517" s="18" t="s">
        <v>2688</v>
      </c>
      <c r="M517" s="21">
        <v>149900</v>
      </c>
      <c r="N517" s="24">
        <f t="shared" si="51"/>
        <v>0.7</v>
      </c>
      <c r="O517" s="25">
        <f t="shared" si="50"/>
        <v>44970</v>
      </c>
      <c r="P517" s="11" t="s">
        <v>20</v>
      </c>
    </row>
    <row r="518" spans="1:16" x14ac:dyDescent="0.25">
      <c r="A518" s="23" t="str">
        <f t="shared" si="49"/>
        <v>2025 JAN-JUN D70</v>
      </c>
      <c r="B518" s="10">
        <f t="shared" si="49"/>
        <v>46104</v>
      </c>
      <c r="C518" s="10">
        <f t="shared" si="49"/>
        <v>46113</v>
      </c>
      <c r="D518" s="11">
        <v>3273</v>
      </c>
      <c r="E518" s="11">
        <v>336</v>
      </c>
      <c r="F518" s="11">
        <v>4</v>
      </c>
      <c r="G518" s="18">
        <v>4</v>
      </c>
      <c r="H518" s="18">
        <v>81676</v>
      </c>
      <c r="I518" s="18" t="s">
        <v>17</v>
      </c>
      <c r="J518" s="18">
        <v>52016487</v>
      </c>
      <c r="K518" s="18" t="s">
        <v>2686</v>
      </c>
      <c r="L518" s="18" t="s">
        <v>2689</v>
      </c>
      <c r="M518" s="21">
        <v>149900</v>
      </c>
      <c r="N518" s="24">
        <f t="shared" si="51"/>
        <v>0.7</v>
      </c>
      <c r="O518" s="25">
        <f t="shared" si="50"/>
        <v>44970</v>
      </c>
      <c r="P518" s="11" t="s">
        <v>20</v>
      </c>
    </row>
    <row r="519" spans="1:16" x14ac:dyDescent="0.25">
      <c r="A519" s="23" t="str">
        <f t="shared" si="49"/>
        <v>2025 JAN-JUN D70</v>
      </c>
      <c r="B519" s="10">
        <f t="shared" si="49"/>
        <v>46104</v>
      </c>
      <c r="C519" s="10">
        <f t="shared" si="49"/>
        <v>46113</v>
      </c>
      <c r="D519" s="11">
        <v>3273</v>
      </c>
      <c r="E519" s="11">
        <v>336</v>
      </c>
      <c r="F519" s="11">
        <v>4</v>
      </c>
      <c r="G519" s="18">
        <v>4</v>
      </c>
      <c r="H519" s="18">
        <v>81676</v>
      </c>
      <c r="I519" s="18" t="s">
        <v>17</v>
      </c>
      <c r="J519" s="18">
        <v>52016496</v>
      </c>
      <c r="K519" s="18" t="s">
        <v>2686</v>
      </c>
      <c r="L519" s="18" t="s">
        <v>2690</v>
      </c>
      <c r="M519" s="21">
        <v>149900</v>
      </c>
      <c r="N519" s="24">
        <f t="shared" si="51"/>
        <v>0.7</v>
      </c>
      <c r="O519" s="25">
        <f t="shared" si="50"/>
        <v>44970</v>
      </c>
      <c r="P519" s="11" t="s">
        <v>20</v>
      </c>
    </row>
    <row r="520" spans="1:16" x14ac:dyDescent="0.25">
      <c r="A520" s="23" t="str">
        <f t="shared" si="49"/>
        <v>2025 JAN-JUN D70</v>
      </c>
      <c r="B520" s="10">
        <f t="shared" si="49"/>
        <v>46104</v>
      </c>
      <c r="C520" s="10">
        <f t="shared" si="49"/>
        <v>46113</v>
      </c>
      <c r="D520" s="11">
        <v>3273</v>
      </c>
      <c r="E520" s="11">
        <v>336</v>
      </c>
      <c r="F520" s="11">
        <v>4</v>
      </c>
      <c r="G520" s="18">
        <v>4</v>
      </c>
      <c r="H520" s="18">
        <v>81676</v>
      </c>
      <c r="I520" s="18" t="s">
        <v>17</v>
      </c>
      <c r="J520" s="18">
        <v>52016503</v>
      </c>
      <c r="K520" s="18" t="s">
        <v>2686</v>
      </c>
      <c r="L520" s="18" t="s">
        <v>2691</v>
      </c>
      <c r="M520" s="21">
        <v>149900</v>
      </c>
      <c r="N520" s="24">
        <f t="shared" si="51"/>
        <v>0.7</v>
      </c>
      <c r="O520" s="25">
        <f t="shared" si="50"/>
        <v>44970</v>
      </c>
      <c r="P520" s="11" t="s">
        <v>20</v>
      </c>
    </row>
    <row r="521" spans="1:16" x14ac:dyDescent="0.25">
      <c r="A521" s="23" t="str">
        <f t="shared" si="49"/>
        <v>2025 JAN-JUN D70</v>
      </c>
      <c r="B521" s="10">
        <f t="shared" si="49"/>
        <v>46104</v>
      </c>
      <c r="C521" s="10">
        <f t="shared" si="49"/>
        <v>46113</v>
      </c>
      <c r="D521" s="11">
        <v>3273</v>
      </c>
      <c r="E521" s="11">
        <v>336</v>
      </c>
      <c r="F521" s="11">
        <v>4</v>
      </c>
      <c r="G521" s="18">
        <v>14</v>
      </c>
      <c r="H521" s="18">
        <v>81588</v>
      </c>
      <c r="I521" s="18" t="s">
        <v>17</v>
      </c>
      <c r="J521" s="18">
        <v>51098892</v>
      </c>
      <c r="K521" s="18" t="s">
        <v>2692</v>
      </c>
      <c r="L521" s="18" t="s">
        <v>2693</v>
      </c>
      <c r="M521" s="21">
        <v>169900</v>
      </c>
      <c r="N521" s="24">
        <f t="shared" si="51"/>
        <v>0.7</v>
      </c>
      <c r="O521" s="25">
        <f t="shared" si="50"/>
        <v>50970</v>
      </c>
      <c r="P521" s="11" t="s">
        <v>20</v>
      </c>
    </row>
    <row r="522" spans="1:16" x14ac:dyDescent="0.25">
      <c r="A522" s="23" t="str">
        <f t="shared" si="49"/>
        <v>2025 JAN-JUN D70</v>
      </c>
      <c r="B522" s="10">
        <f t="shared" si="49"/>
        <v>46104</v>
      </c>
      <c r="C522" s="10">
        <f t="shared" si="49"/>
        <v>46113</v>
      </c>
      <c r="D522" s="11">
        <v>3273</v>
      </c>
      <c r="E522" s="11">
        <v>336</v>
      </c>
      <c r="F522" s="11">
        <v>4</v>
      </c>
      <c r="G522" s="18">
        <v>14</v>
      </c>
      <c r="H522" s="18">
        <v>81588</v>
      </c>
      <c r="I522" s="18" t="s">
        <v>17</v>
      </c>
      <c r="J522" s="18">
        <v>51098909</v>
      </c>
      <c r="K522" s="18" t="s">
        <v>2692</v>
      </c>
      <c r="L522" s="18" t="s">
        <v>2694</v>
      </c>
      <c r="M522" s="21">
        <v>169900</v>
      </c>
      <c r="N522" s="24">
        <f t="shared" si="51"/>
        <v>0.7</v>
      </c>
      <c r="O522" s="25">
        <f t="shared" si="50"/>
        <v>50970</v>
      </c>
      <c r="P522" s="11" t="s">
        <v>20</v>
      </c>
    </row>
    <row r="523" spans="1:16" x14ac:dyDescent="0.25">
      <c r="A523" s="23" t="str">
        <f t="shared" si="49"/>
        <v>2025 JAN-JUN D70</v>
      </c>
      <c r="B523" s="10">
        <f t="shared" si="49"/>
        <v>46104</v>
      </c>
      <c r="C523" s="10">
        <f t="shared" si="49"/>
        <v>46113</v>
      </c>
      <c r="D523" s="11">
        <v>3273</v>
      </c>
      <c r="E523" s="11">
        <v>336</v>
      </c>
      <c r="F523" s="11">
        <v>4</v>
      </c>
      <c r="G523" s="18">
        <v>14</v>
      </c>
      <c r="H523" s="18">
        <v>81588</v>
      </c>
      <c r="I523" s="18" t="s">
        <v>17</v>
      </c>
      <c r="J523" s="18">
        <v>51098918</v>
      </c>
      <c r="K523" s="18" t="s">
        <v>2692</v>
      </c>
      <c r="L523" s="18" t="s">
        <v>2695</v>
      </c>
      <c r="M523" s="21">
        <v>169900</v>
      </c>
      <c r="N523" s="24">
        <f t="shared" si="51"/>
        <v>0.7</v>
      </c>
      <c r="O523" s="25">
        <f t="shared" si="50"/>
        <v>50970</v>
      </c>
      <c r="P523" s="11" t="s">
        <v>20</v>
      </c>
    </row>
    <row r="524" spans="1:16" x14ac:dyDescent="0.25">
      <c r="A524" s="23" t="str">
        <f t="shared" si="49"/>
        <v>2025 JAN-JUN D70</v>
      </c>
      <c r="B524" s="10">
        <f t="shared" si="49"/>
        <v>46104</v>
      </c>
      <c r="C524" s="10">
        <f t="shared" si="49"/>
        <v>46113</v>
      </c>
      <c r="D524" s="11">
        <v>3273</v>
      </c>
      <c r="E524" s="11">
        <v>336</v>
      </c>
      <c r="F524" s="11">
        <v>4</v>
      </c>
      <c r="G524" s="18">
        <v>14</v>
      </c>
      <c r="H524" s="18">
        <v>81588</v>
      </c>
      <c r="I524" s="18" t="s">
        <v>17</v>
      </c>
      <c r="J524" s="18">
        <v>51098927</v>
      </c>
      <c r="K524" s="18" t="s">
        <v>2692</v>
      </c>
      <c r="L524" s="18" t="s">
        <v>2696</v>
      </c>
      <c r="M524" s="21">
        <v>169900</v>
      </c>
      <c r="N524" s="24">
        <f t="shared" si="51"/>
        <v>0.7</v>
      </c>
      <c r="O524" s="25">
        <f t="shared" si="50"/>
        <v>50970</v>
      </c>
      <c r="P524" s="11" t="s">
        <v>20</v>
      </c>
    </row>
    <row r="525" spans="1:16" x14ac:dyDescent="0.25">
      <c r="A525" s="23" t="str">
        <f t="shared" si="49"/>
        <v>2025 JAN-JUN D70</v>
      </c>
      <c r="B525" s="10">
        <f t="shared" si="49"/>
        <v>46104</v>
      </c>
      <c r="C525" s="10">
        <f t="shared" si="49"/>
        <v>46113</v>
      </c>
      <c r="D525" s="11">
        <v>3273</v>
      </c>
      <c r="E525" s="11">
        <v>336</v>
      </c>
      <c r="F525" s="11">
        <v>4</v>
      </c>
      <c r="G525" s="18">
        <v>14</v>
      </c>
      <c r="H525" s="18">
        <v>81588</v>
      </c>
      <c r="I525" s="18" t="s">
        <v>17</v>
      </c>
      <c r="J525" s="18">
        <v>51098936</v>
      </c>
      <c r="K525" s="18" t="s">
        <v>2692</v>
      </c>
      <c r="L525" s="18" t="s">
        <v>2697</v>
      </c>
      <c r="M525" s="21">
        <v>169900</v>
      </c>
      <c r="N525" s="24">
        <f t="shared" si="51"/>
        <v>0.7</v>
      </c>
      <c r="O525" s="25">
        <f t="shared" si="50"/>
        <v>50970</v>
      </c>
      <c r="P525" s="11" t="s">
        <v>20</v>
      </c>
    </row>
    <row r="526" spans="1:16" x14ac:dyDescent="0.25">
      <c r="A526" s="23" t="str">
        <f t="shared" si="49"/>
        <v>2025 JAN-JUN D70</v>
      </c>
      <c r="B526" s="10">
        <f t="shared" si="49"/>
        <v>46104</v>
      </c>
      <c r="C526" s="10">
        <f t="shared" si="49"/>
        <v>46113</v>
      </c>
      <c r="D526" s="11">
        <v>3273</v>
      </c>
      <c r="E526" s="11">
        <v>336</v>
      </c>
      <c r="F526" s="11">
        <v>4</v>
      </c>
      <c r="G526" s="18">
        <v>14</v>
      </c>
      <c r="H526" s="18">
        <v>81588</v>
      </c>
      <c r="I526" s="18" t="s">
        <v>17</v>
      </c>
      <c r="J526" s="18">
        <v>51098945</v>
      </c>
      <c r="K526" s="18" t="s">
        <v>2692</v>
      </c>
      <c r="L526" s="18" t="s">
        <v>2698</v>
      </c>
      <c r="M526" s="26">
        <v>169900</v>
      </c>
      <c r="N526" s="24">
        <f t="shared" si="51"/>
        <v>0.7</v>
      </c>
      <c r="O526" s="25">
        <f t="shared" si="50"/>
        <v>50970</v>
      </c>
      <c r="P526" s="11" t="s">
        <v>20</v>
      </c>
    </row>
    <row r="527" spans="1:16" x14ac:dyDescent="0.25">
      <c r="A527" s="23" t="str">
        <f t="shared" si="49"/>
        <v>2025 JAN-JUN D70</v>
      </c>
      <c r="B527" s="10">
        <f t="shared" si="49"/>
        <v>46104</v>
      </c>
      <c r="C527" s="10">
        <f t="shared" si="49"/>
        <v>46113</v>
      </c>
      <c r="D527" s="11">
        <v>3273</v>
      </c>
      <c r="E527" s="11">
        <v>336</v>
      </c>
      <c r="F527" s="11">
        <v>4</v>
      </c>
      <c r="G527" s="9">
        <v>12</v>
      </c>
      <c r="H527" s="9">
        <v>81588</v>
      </c>
      <c r="I527" s="9" t="s">
        <v>17</v>
      </c>
      <c r="J527" s="9">
        <v>51601604</v>
      </c>
      <c r="K527" s="9" t="s">
        <v>2699</v>
      </c>
      <c r="L527" s="9" t="s">
        <v>2700</v>
      </c>
      <c r="M527" s="27">
        <v>139900</v>
      </c>
      <c r="N527" s="24">
        <f t="shared" si="51"/>
        <v>0.7</v>
      </c>
      <c r="O527" s="25">
        <f t="shared" si="50"/>
        <v>41970</v>
      </c>
      <c r="P527" s="11" t="s">
        <v>20</v>
      </c>
    </row>
    <row r="528" spans="1:16" x14ac:dyDescent="0.25">
      <c r="A528" s="23" t="str">
        <f t="shared" si="49"/>
        <v>2025 JAN-JUN D70</v>
      </c>
      <c r="B528" s="10">
        <f t="shared" si="49"/>
        <v>46104</v>
      </c>
      <c r="C528" s="10">
        <f t="shared" si="49"/>
        <v>46113</v>
      </c>
      <c r="D528" s="11">
        <v>3273</v>
      </c>
      <c r="E528" s="11">
        <v>336</v>
      </c>
      <c r="F528" s="11">
        <v>4</v>
      </c>
      <c r="G528" s="9">
        <v>12</v>
      </c>
      <c r="H528" s="9">
        <v>81588</v>
      </c>
      <c r="I528" s="9" t="s">
        <v>17</v>
      </c>
      <c r="J528" s="9">
        <v>51601613</v>
      </c>
      <c r="K528" s="9" t="s">
        <v>2699</v>
      </c>
      <c r="L528" s="9" t="s">
        <v>2701</v>
      </c>
      <c r="M528" s="27">
        <v>139900</v>
      </c>
      <c r="N528" s="24">
        <f t="shared" si="51"/>
        <v>0.7</v>
      </c>
      <c r="O528" s="25">
        <f t="shared" si="50"/>
        <v>41970</v>
      </c>
      <c r="P528" s="11" t="s">
        <v>20</v>
      </c>
    </row>
    <row r="529" spans="1:16" x14ac:dyDescent="0.25">
      <c r="A529" s="23" t="str">
        <f t="shared" si="49"/>
        <v>2025 JAN-JUN D70</v>
      </c>
      <c r="B529" s="10">
        <f t="shared" si="49"/>
        <v>46104</v>
      </c>
      <c r="C529" s="10">
        <f t="shared" si="49"/>
        <v>46113</v>
      </c>
      <c r="D529" s="11">
        <v>3273</v>
      </c>
      <c r="E529" s="11">
        <v>336</v>
      </c>
      <c r="F529" s="11">
        <v>4</v>
      </c>
      <c r="G529" s="9">
        <v>12</v>
      </c>
      <c r="H529" s="9">
        <v>81588</v>
      </c>
      <c r="I529" s="9" t="s">
        <v>17</v>
      </c>
      <c r="J529" s="9">
        <v>51601622</v>
      </c>
      <c r="K529" s="9" t="s">
        <v>2699</v>
      </c>
      <c r="L529" s="9" t="s">
        <v>2702</v>
      </c>
      <c r="M529" s="27">
        <v>139900</v>
      </c>
      <c r="N529" s="24">
        <f t="shared" si="51"/>
        <v>0.7</v>
      </c>
      <c r="O529" s="25">
        <f t="shared" si="50"/>
        <v>41970</v>
      </c>
      <c r="P529" s="11" t="s">
        <v>20</v>
      </c>
    </row>
    <row r="530" spans="1:16" x14ac:dyDescent="0.25">
      <c r="A530" s="23" t="str">
        <f t="shared" si="49"/>
        <v>2025 JAN-JUN D70</v>
      </c>
      <c r="B530" s="10">
        <f t="shared" si="49"/>
        <v>46104</v>
      </c>
      <c r="C530" s="10">
        <f t="shared" si="49"/>
        <v>46113</v>
      </c>
      <c r="D530" s="11">
        <v>3273</v>
      </c>
      <c r="E530" s="11">
        <v>336</v>
      </c>
      <c r="F530" s="11">
        <v>4</v>
      </c>
      <c r="G530" s="9">
        <v>12</v>
      </c>
      <c r="H530" s="9">
        <v>81588</v>
      </c>
      <c r="I530" s="9" t="s">
        <v>17</v>
      </c>
      <c r="J530" s="9">
        <v>51601631</v>
      </c>
      <c r="K530" s="9" t="s">
        <v>2699</v>
      </c>
      <c r="L530" s="9" t="s">
        <v>2703</v>
      </c>
      <c r="M530" s="27">
        <v>139900</v>
      </c>
      <c r="N530" s="24">
        <f t="shared" si="51"/>
        <v>0.7</v>
      </c>
      <c r="O530" s="25">
        <f t="shared" si="50"/>
        <v>41970</v>
      </c>
      <c r="P530" s="11" t="s">
        <v>20</v>
      </c>
    </row>
    <row r="531" spans="1:16" x14ac:dyDescent="0.25">
      <c r="A531" s="23" t="str">
        <f t="shared" ref="A531:C546" si="52">A530</f>
        <v>2025 JAN-JUN D70</v>
      </c>
      <c r="B531" s="10">
        <f t="shared" si="52"/>
        <v>46104</v>
      </c>
      <c r="C531" s="10">
        <f t="shared" si="52"/>
        <v>46113</v>
      </c>
      <c r="D531" s="11">
        <v>3273</v>
      </c>
      <c r="E531" s="11">
        <v>336</v>
      </c>
      <c r="F531" s="11">
        <v>4</v>
      </c>
      <c r="G531" s="9">
        <v>12</v>
      </c>
      <c r="H531" s="9">
        <v>81588</v>
      </c>
      <c r="I531" s="9" t="s">
        <v>17</v>
      </c>
      <c r="J531" s="9">
        <v>51601640</v>
      </c>
      <c r="K531" s="9" t="s">
        <v>2699</v>
      </c>
      <c r="L531" s="9" t="s">
        <v>2704</v>
      </c>
      <c r="M531" s="27">
        <v>139900</v>
      </c>
      <c r="N531" s="24">
        <f t="shared" si="51"/>
        <v>0.7</v>
      </c>
      <c r="O531" s="25">
        <f t="shared" si="50"/>
        <v>41970</v>
      </c>
      <c r="P531" s="11" t="s">
        <v>20</v>
      </c>
    </row>
    <row r="532" spans="1:16" x14ac:dyDescent="0.25">
      <c r="A532" s="23" t="str">
        <f t="shared" si="52"/>
        <v>2025 JAN-JUN D70</v>
      </c>
      <c r="B532" s="10">
        <f t="shared" si="52"/>
        <v>46104</v>
      </c>
      <c r="C532" s="10">
        <f t="shared" si="52"/>
        <v>46113</v>
      </c>
      <c r="D532" s="11">
        <v>3273</v>
      </c>
      <c r="E532" s="11">
        <v>336</v>
      </c>
      <c r="F532" s="11">
        <v>4</v>
      </c>
      <c r="G532" s="9">
        <v>12</v>
      </c>
      <c r="H532" s="9">
        <v>81588</v>
      </c>
      <c r="I532" s="9" t="s">
        <v>17</v>
      </c>
      <c r="J532" s="9">
        <v>51601659</v>
      </c>
      <c r="K532" s="9" t="s">
        <v>2705</v>
      </c>
      <c r="L532" s="9" t="s">
        <v>2706</v>
      </c>
      <c r="M532" s="27">
        <v>139900</v>
      </c>
      <c r="N532" s="24">
        <f t="shared" si="51"/>
        <v>0.7</v>
      </c>
      <c r="O532" s="25">
        <f t="shared" si="50"/>
        <v>41970</v>
      </c>
      <c r="P532" s="11" t="s">
        <v>20</v>
      </c>
    </row>
    <row r="533" spans="1:16" x14ac:dyDescent="0.25">
      <c r="A533" s="23" t="str">
        <f t="shared" si="52"/>
        <v>2025 JAN-JUN D70</v>
      </c>
      <c r="B533" s="10">
        <f t="shared" si="52"/>
        <v>46104</v>
      </c>
      <c r="C533" s="10">
        <f t="shared" si="52"/>
        <v>46113</v>
      </c>
      <c r="D533" s="11">
        <v>3273</v>
      </c>
      <c r="E533" s="11">
        <v>336</v>
      </c>
      <c r="F533" s="11">
        <v>4</v>
      </c>
      <c r="G533" s="9">
        <v>12</v>
      </c>
      <c r="H533" s="9">
        <v>81588</v>
      </c>
      <c r="I533" s="9" t="s">
        <v>17</v>
      </c>
      <c r="J533" s="9">
        <v>51601668</v>
      </c>
      <c r="K533" s="9" t="s">
        <v>2705</v>
      </c>
      <c r="L533" s="9" t="s">
        <v>2707</v>
      </c>
      <c r="M533" s="27">
        <v>139900</v>
      </c>
      <c r="N533" s="24">
        <f t="shared" si="51"/>
        <v>0.7</v>
      </c>
      <c r="O533" s="25">
        <f t="shared" si="50"/>
        <v>41970</v>
      </c>
      <c r="P533" s="11" t="s">
        <v>20</v>
      </c>
    </row>
    <row r="534" spans="1:16" x14ac:dyDescent="0.25">
      <c r="A534" s="23" t="str">
        <f t="shared" si="52"/>
        <v>2025 JAN-JUN D70</v>
      </c>
      <c r="B534" s="10">
        <f t="shared" si="52"/>
        <v>46104</v>
      </c>
      <c r="C534" s="10">
        <f t="shared" si="52"/>
        <v>46113</v>
      </c>
      <c r="D534" s="11">
        <v>3273</v>
      </c>
      <c r="E534" s="11">
        <v>336</v>
      </c>
      <c r="F534" s="11">
        <v>4</v>
      </c>
      <c r="G534" s="9">
        <v>12</v>
      </c>
      <c r="H534" s="9">
        <v>81588</v>
      </c>
      <c r="I534" s="9" t="s">
        <v>17</v>
      </c>
      <c r="J534" s="9">
        <v>51601677</v>
      </c>
      <c r="K534" s="9" t="s">
        <v>2705</v>
      </c>
      <c r="L534" s="9" t="s">
        <v>2708</v>
      </c>
      <c r="M534" s="27">
        <v>139900</v>
      </c>
      <c r="N534" s="24">
        <f t="shared" si="51"/>
        <v>0.7</v>
      </c>
      <c r="O534" s="25">
        <f t="shared" si="50"/>
        <v>41970</v>
      </c>
      <c r="P534" s="11" t="s">
        <v>20</v>
      </c>
    </row>
    <row r="535" spans="1:16" x14ac:dyDescent="0.25">
      <c r="A535" s="23" t="str">
        <f t="shared" si="52"/>
        <v>2025 JAN-JUN D70</v>
      </c>
      <c r="B535" s="10">
        <f t="shared" si="52"/>
        <v>46104</v>
      </c>
      <c r="C535" s="10">
        <f t="shared" si="52"/>
        <v>46113</v>
      </c>
      <c r="D535" s="11">
        <v>3273</v>
      </c>
      <c r="E535" s="11">
        <v>336</v>
      </c>
      <c r="F535" s="11">
        <v>4</v>
      </c>
      <c r="G535" s="9">
        <v>12</v>
      </c>
      <c r="H535" s="9">
        <v>81588</v>
      </c>
      <c r="I535" s="9" t="s">
        <v>17</v>
      </c>
      <c r="J535" s="9">
        <v>51601686</v>
      </c>
      <c r="K535" s="9" t="s">
        <v>2705</v>
      </c>
      <c r="L535" s="9" t="s">
        <v>2709</v>
      </c>
      <c r="M535" s="27">
        <v>139900</v>
      </c>
      <c r="N535" s="24">
        <f t="shared" si="51"/>
        <v>0.7</v>
      </c>
      <c r="O535" s="25">
        <f t="shared" si="50"/>
        <v>41970</v>
      </c>
      <c r="P535" s="11" t="s">
        <v>20</v>
      </c>
    </row>
    <row r="536" spans="1:16" x14ac:dyDescent="0.25">
      <c r="A536" s="23" t="str">
        <f t="shared" si="52"/>
        <v>2025 JAN-JUN D70</v>
      </c>
      <c r="B536" s="10">
        <f t="shared" si="52"/>
        <v>46104</v>
      </c>
      <c r="C536" s="10">
        <f t="shared" si="52"/>
        <v>46113</v>
      </c>
      <c r="D536" s="11">
        <v>3273</v>
      </c>
      <c r="E536" s="11">
        <v>336</v>
      </c>
      <c r="F536" s="11">
        <v>4</v>
      </c>
      <c r="G536" s="9">
        <v>12</v>
      </c>
      <c r="H536" s="9">
        <v>81588</v>
      </c>
      <c r="I536" s="9" t="s">
        <v>17</v>
      </c>
      <c r="J536" s="9">
        <v>51601695</v>
      </c>
      <c r="K536" s="9" t="s">
        <v>2705</v>
      </c>
      <c r="L536" s="9" t="s">
        <v>2710</v>
      </c>
      <c r="M536" s="27">
        <v>139900</v>
      </c>
      <c r="N536" s="24">
        <f t="shared" si="51"/>
        <v>0.7</v>
      </c>
      <c r="O536" s="25">
        <f t="shared" si="50"/>
        <v>41970</v>
      </c>
      <c r="P536" s="11" t="s">
        <v>20</v>
      </c>
    </row>
    <row r="537" spans="1:16" x14ac:dyDescent="0.25">
      <c r="A537" s="23" t="str">
        <f t="shared" si="52"/>
        <v>2025 JAN-JUN D70</v>
      </c>
      <c r="B537" s="10">
        <f t="shared" si="52"/>
        <v>46104</v>
      </c>
      <c r="C537" s="10">
        <f t="shared" si="52"/>
        <v>46113</v>
      </c>
      <c r="D537" s="11">
        <v>3273</v>
      </c>
      <c r="E537" s="11">
        <v>336</v>
      </c>
      <c r="F537" s="11">
        <v>4</v>
      </c>
      <c r="G537" s="9">
        <v>12</v>
      </c>
      <c r="H537" s="9">
        <v>81588</v>
      </c>
      <c r="I537" s="9" t="s">
        <v>17</v>
      </c>
      <c r="J537" s="9">
        <v>52389076</v>
      </c>
      <c r="K537" s="9" t="s">
        <v>2711</v>
      </c>
      <c r="L537" s="9" t="s">
        <v>2712</v>
      </c>
      <c r="M537" s="27">
        <v>149900</v>
      </c>
      <c r="N537" s="24">
        <f t="shared" si="51"/>
        <v>0.7</v>
      </c>
      <c r="O537" s="25">
        <f t="shared" si="50"/>
        <v>44970</v>
      </c>
      <c r="P537" s="11" t="s">
        <v>20</v>
      </c>
    </row>
    <row r="538" spans="1:16" x14ac:dyDescent="0.25">
      <c r="A538" s="23" t="str">
        <f t="shared" si="52"/>
        <v>2025 JAN-JUN D70</v>
      </c>
      <c r="B538" s="10">
        <f t="shared" si="52"/>
        <v>46104</v>
      </c>
      <c r="C538" s="10">
        <f t="shared" si="52"/>
        <v>46113</v>
      </c>
      <c r="D538" s="11">
        <v>3273</v>
      </c>
      <c r="E538" s="11">
        <v>336</v>
      </c>
      <c r="F538" s="11">
        <v>4</v>
      </c>
      <c r="G538" s="9">
        <v>12</v>
      </c>
      <c r="H538" s="9">
        <v>81588</v>
      </c>
      <c r="I538" s="9" t="s">
        <v>17</v>
      </c>
      <c r="J538" s="9">
        <v>52389085</v>
      </c>
      <c r="K538" s="9" t="s">
        <v>2711</v>
      </c>
      <c r="L538" s="9" t="s">
        <v>2713</v>
      </c>
      <c r="M538" s="27">
        <v>149900</v>
      </c>
      <c r="N538" s="24">
        <f t="shared" si="51"/>
        <v>0.7</v>
      </c>
      <c r="O538" s="25">
        <f t="shared" si="50"/>
        <v>44970</v>
      </c>
      <c r="P538" s="11" t="s">
        <v>20</v>
      </c>
    </row>
    <row r="539" spans="1:16" x14ac:dyDescent="0.25">
      <c r="A539" s="23" t="str">
        <f t="shared" si="52"/>
        <v>2025 JAN-JUN D70</v>
      </c>
      <c r="B539" s="10">
        <f t="shared" si="52"/>
        <v>46104</v>
      </c>
      <c r="C539" s="10">
        <f t="shared" si="52"/>
        <v>46113</v>
      </c>
      <c r="D539" s="11">
        <v>3273</v>
      </c>
      <c r="E539" s="11">
        <v>336</v>
      </c>
      <c r="F539" s="11">
        <v>4</v>
      </c>
      <c r="G539" s="9">
        <v>12</v>
      </c>
      <c r="H539" s="9">
        <v>81588</v>
      </c>
      <c r="I539" s="9" t="s">
        <v>17</v>
      </c>
      <c r="J539" s="9">
        <v>52389094</v>
      </c>
      <c r="K539" s="9" t="s">
        <v>2711</v>
      </c>
      <c r="L539" s="9" t="s">
        <v>2714</v>
      </c>
      <c r="M539" s="27">
        <v>149900</v>
      </c>
      <c r="N539" s="24">
        <f t="shared" si="51"/>
        <v>0.7</v>
      </c>
      <c r="O539" s="25">
        <f t="shared" si="50"/>
        <v>44970</v>
      </c>
      <c r="P539" s="11" t="s">
        <v>20</v>
      </c>
    </row>
    <row r="540" spans="1:16" x14ac:dyDescent="0.25">
      <c r="A540" s="23" t="str">
        <f t="shared" si="52"/>
        <v>2025 JAN-JUN D70</v>
      </c>
      <c r="B540" s="10">
        <f t="shared" si="52"/>
        <v>46104</v>
      </c>
      <c r="C540" s="10">
        <f t="shared" si="52"/>
        <v>46113</v>
      </c>
      <c r="D540" s="11">
        <v>3273</v>
      </c>
      <c r="E540" s="11">
        <v>336</v>
      </c>
      <c r="F540" s="11">
        <v>4</v>
      </c>
      <c r="G540" s="9">
        <v>12</v>
      </c>
      <c r="H540" s="9">
        <v>81588</v>
      </c>
      <c r="I540" s="9" t="s">
        <v>17</v>
      </c>
      <c r="J540" s="9">
        <v>52389101</v>
      </c>
      <c r="K540" s="9" t="s">
        <v>2711</v>
      </c>
      <c r="L540" s="9" t="s">
        <v>2715</v>
      </c>
      <c r="M540" s="27">
        <v>149900</v>
      </c>
      <c r="N540" s="24">
        <f t="shared" si="51"/>
        <v>0.7</v>
      </c>
      <c r="O540" s="25">
        <f t="shared" si="50"/>
        <v>44970</v>
      </c>
      <c r="P540" s="11" t="s">
        <v>20</v>
      </c>
    </row>
    <row r="541" spans="1:16" x14ac:dyDescent="0.25">
      <c r="A541" s="23" t="str">
        <f t="shared" si="52"/>
        <v>2025 JAN-JUN D70</v>
      </c>
      <c r="B541" s="10">
        <f t="shared" si="52"/>
        <v>46104</v>
      </c>
      <c r="C541" s="10">
        <f t="shared" si="52"/>
        <v>46113</v>
      </c>
      <c r="D541" s="11">
        <v>3273</v>
      </c>
      <c r="E541" s="11">
        <v>336</v>
      </c>
      <c r="F541" s="11">
        <v>4</v>
      </c>
      <c r="G541" s="9">
        <v>12</v>
      </c>
      <c r="H541" s="9">
        <v>81588</v>
      </c>
      <c r="I541" s="9" t="s">
        <v>17</v>
      </c>
      <c r="J541" s="9">
        <v>52389110</v>
      </c>
      <c r="K541" s="9" t="s">
        <v>2711</v>
      </c>
      <c r="L541" s="9" t="s">
        <v>2716</v>
      </c>
      <c r="M541" s="27">
        <v>149900</v>
      </c>
      <c r="N541" s="24">
        <f t="shared" si="51"/>
        <v>0.7</v>
      </c>
      <c r="O541" s="25">
        <f t="shared" si="50"/>
        <v>44970</v>
      </c>
      <c r="P541" s="11" t="s">
        <v>20</v>
      </c>
    </row>
    <row r="542" spans="1:16" x14ac:dyDescent="0.25">
      <c r="A542" s="23" t="str">
        <f t="shared" si="52"/>
        <v>2025 JAN-JUN D70</v>
      </c>
      <c r="B542" s="10">
        <f t="shared" si="52"/>
        <v>46104</v>
      </c>
      <c r="C542" s="10">
        <f t="shared" si="52"/>
        <v>46113</v>
      </c>
      <c r="D542" s="11">
        <v>3273</v>
      </c>
      <c r="E542" s="11">
        <v>336</v>
      </c>
      <c r="F542" s="11">
        <v>4</v>
      </c>
      <c r="G542" s="9">
        <v>12</v>
      </c>
      <c r="H542" s="9">
        <v>81588</v>
      </c>
      <c r="I542" s="9" t="s">
        <v>17</v>
      </c>
      <c r="J542" s="9">
        <v>52389129</v>
      </c>
      <c r="K542" s="9" t="s">
        <v>2711</v>
      </c>
      <c r="L542" s="9" t="s">
        <v>2717</v>
      </c>
      <c r="M542" s="27">
        <v>149900</v>
      </c>
      <c r="N542" s="24">
        <f t="shared" si="51"/>
        <v>0.7</v>
      </c>
      <c r="O542" s="25">
        <f t="shared" si="50"/>
        <v>44970</v>
      </c>
      <c r="P542" s="11" t="s">
        <v>20</v>
      </c>
    </row>
    <row r="543" spans="1:16" x14ac:dyDescent="0.25">
      <c r="A543" s="23" t="str">
        <f t="shared" si="52"/>
        <v>2025 JAN-JUN D70</v>
      </c>
      <c r="B543" s="10">
        <f t="shared" si="52"/>
        <v>46104</v>
      </c>
      <c r="C543" s="10">
        <f t="shared" si="52"/>
        <v>46113</v>
      </c>
      <c r="D543" s="11">
        <v>3273</v>
      </c>
      <c r="E543" s="11">
        <v>336</v>
      </c>
      <c r="F543" s="11">
        <v>4</v>
      </c>
      <c r="G543" s="9">
        <v>12</v>
      </c>
      <c r="H543" s="9">
        <v>81588</v>
      </c>
      <c r="I543" s="9" t="s">
        <v>17</v>
      </c>
      <c r="J543" s="9">
        <v>51099739</v>
      </c>
      <c r="K543" s="9" t="s">
        <v>2718</v>
      </c>
      <c r="L543" s="9" t="s">
        <v>2719</v>
      </c>
      <c r="M543" s="27">
        <v>189900</v>
      </c>
      <c r="N543" s="24">
        <f t="shared" si="51"/>
        <v>0.7</v>
      </c>
      <c r="O543" s="25">
        <f t="shared" si="50"/>
        <v>56970</v>
      </c>
      <c r="P543" s="11" t="s">
        <v>20</v>
      </c>
    </row>
    <row r="544" spans="1:16" x14ac:dyDescent="0.25">
      <c r="A544" s="23" t="str">
        <f t="shared" si="52"/>
        <v>2025 JAN-JUN D70</v>
      </c>
      <c r="B544" s="10">
        <f t="shared" si="52"/>
        <v>46104</v>
      </c>
      <c r="C544" s="10">
        <f t="shared" si="52"/>
        <v>46113</v>
      </c>
      <c r="D544" s="11">
        <v>3273</v>
      </c>
      <c r="E544" s="11">
        <v>336</v>
      </c>
      <c r="F544" s="11">
        <v>4</v>
      </c>
      <c r="G544" s="9">
        <v>12</v>
      </c>
      <c r="H544" s="9">
        <v>81588</v>
      </c>
      <c r="I544" s="9" t="s">
        <v>17</v>
      </c>
      <c r="J544" s="9">
        <v>51099748</v>
      </c>
      <c r="K544" s="9" t="s">
        <v>2718</v>
      </c>
      <c r="L544" s="9" t="s">
        <v>2720</v>
      </c>
      <c r="M544" s="27">
        <v>189900</v>
      </c>
      <c r="N544" s="24">
        <f t="shared" si="51"/>
        <v>0.7</v>
      </c>
      <c r="O544" s="25">
        <f t="shared" si="50"/>
        <v>56970</v>
      </c>
      <c r="P544" s="11" t="s">
        <v>20</v>
      </c>
    </row>
    <row r="545" spans="1:16" x14ac:dyDescent="0.25">
      <c r="A545" s="23" t="str">
        <f t="shared" si="52"/>
        <v>2025 JAN-JUN D70</v>
      </c>
      <c r="B545" s="10">
        <f t="shared" si="52"/>
        <v>46104</v>
      </c>
      <c r="C545" s="10">
        <f t="shared" si="52"/>
        <v>46113</v>
      </c>
      <c r="D545" s="11">
        <v>3273</v>
      </c>
      <c r="E545" s="11">
        <v>336</v>
      </c>
      <c r="F545" s="11">
        <v>4</v>
      </c>
      <c r="G545" s="9">
        <v>12</v>
      </c>
      <c r="H545" s="9">
        <v>81588</v>
      </c>
      <c r="I545" s="9" t="s">
        <v>17</v>
      </c>
      <c r="J545" s="9">
        <v>51099757</v>
      </c>
      <c r="K545" s="9" t="s">
        <v>2718</v>
      </c>
      <c r="L545" s="9" t="s">
        <v>2721</v>
      </c>
      <c r="M545" s="27">
        <v>189900</v>
      </c>
      <c r="N545" s="24">
        <f t="shared" si="51"/>
        <v>0.7</v>
      </c>
      <c r="O545" s="25">
        <f t="shared" si="50"/>
        <v>56970</v>
      </c>
      <c r="P545" s="11" t="s">
        <v>20</v>
      </c>
    </row>
    <row r="546" spans="1:16" x14ac:dyDescent="0.25">
      <c r="A546" s="23" t="str">
        <f t="shared" si="52"/>
        <v>2025 JAN-JUN D70</v>
      </c>
      <c r="B546" s="10">
        <f t="shared" si="52"/>
        <v>46104</v>
      </c>
      <c r="C546" s="10">
        <f t="shared" si="52"/>
        <v>46113</v>
      </c>
      <c r="D546" s="11">
        <v>3273</v>
      </c>
      <c r="E546" s="11">
        <v>336</v>
      </c>
      <c r="F546" s="11">
        <v>4</v>
      </c>
      <c r="G546" s="9">
        <v>12</v>
      </c>
      <c r="H546" s="9">
        <v>81588</v>
      </c>
      <c r="I546" s="9" t="s">
        <v>17</v>
      </c>
      <c r="J546" s="9">
        <v>51099766</v>
      </c>
      <c r="K546" s="9" t="s">
        <v>2718</v>
      </c>
      <c r="L546" s="9" t="s">
        <v>2722</v>
      </c>
      <c r="M546" s="27">
        <v>189900</v>
      </c>
      <c r="N546" s="24">
        <f t="shared" si="51"/>
        <v>0.7</v>
      </c>
      <c r="O546" s="25">
        <f t="shared" si="50"/>
        <v>56970</v>
      </c>
      <c r="P546" s="11" t="s">
        <v>20</v>
      </c>
    </row>
    <row r="547" spans="1:16" x14ac:dyDescent="0.25">
      <c r="A547" s="23" t="str">
        <f t="shared" ref="A547:C562" si="53">A546</f>
        <v>2025 JAN-JUN D70</v>
      </c>
      <c r="B547" s="10">
        <f t="shared" si="53"/>
        <v>46104</v>
      </c>
      <c r="C547" s="10">
        <f t="shared" si="53"/>
        <v>46113</v>
      </c>
      <c r="D547" s="11">
        <v>3273</v>
      </c>
      <c r="E547" s="11">
        <v>336</v>
      </c>
      <c r="F547" s="11">
        <v>4</v>
      </c>
      <c r="G547" s="9">
        <v>12</v>
      </c>
      <c r="H547" s="9">
        <v>81588</v>
      </c>
      <c r="I547" s="9" t="s">
        <v>17</v>
      </c>
      <c r="J547" s="9">
        <v>51099775</v>
      </c>
      <c r="K547" s="9" t="s">
        <v>2718</v>
      </c>
      <c r="L547" s="9" t="s">
        <v>2723</v>
      </c>
      <c r="M547" s="27">
        <v>189900</v>
      </c>
      <c r="N547" s="24">
        <f t="shared" si="51"/>
        <v>0.7</v>
      </c>
      <c r="O547" s="25">
        <f t="shared" si="50"/>
        <v>56970</v>
      </c>
      <c r="P547" s="11" t="s">
        <v>20</v>
      </c>
    </row>
    <row r="548" spans="1:16" x14ac:dyDescent="0.25">
      <c r="A548" s="23" t="str">
        <f t="shared" si="53"/>
        <v>2025 JAN-JUN D70</v>
      </c>
      <c r="B548" s="10">
        <f t="shared" si="53"/>
        <v>46104</v>
      </c>
      <c r="C548" s="10">
        <f t="shared" si="53"/>
        <v>46113</v>
      </c>
      <c r="D548" s="11">
        <v>3273</v>
      </c>
      <c r="E548" s="11">
        <v>336</v>
      </c>
      <c r="F548" s="11">
        <v>4</v>
      </c>
      <c r="G548" s="9">
        <v>12</v>
      </c>
      <c r="H548" s="9">
        <v>81588</v>
      </c>
      <c r="I548" s="9" t="s">
        <v>17</v>
      </c>
      <c r="J548" s="9">
        <v>51099784</v>
      </c>
      <c r="K548" s="9" t="s">
        <v>2718</v>
      </c>
      <c r="L548" s="9" t="s">
        <v>2724</v>
      </c>
      <c r="M548" s="27">
        <v>189900</v>
      </c>
      <c r="N548" s="24">
        <f t="shared" si="51"/>
        <v>0.7</v>
      </c>
      <c r="O548" s="25">
        <f t="shared" si="50"/>
        <v>56970</v>
      </c>
      <c r="P548" s="11" t="s">
        <v>20</v>
      </c>
    </row>
    <row r="549" spans="1:16" x14ac:dyDescent="0.25">
      <c r="A549" s="23" t="str">
        <f t="shared" si="53"/>
        <v>2025 JAN-JUN D70</v>
      </c>
      <c r="B549" s="10">
        <f t="shared" si="53"/>
        <v>46104</v>
      </c>
      <c r="C549" s="10">
        <f t="shared" si="53"/>
        <v>46113</v>
      </c>
      <c r="D549" s="11">
        <v>3273</v>
      </c>
      <c r="E549" s="11">
        <v>336</v>
      </c>
      <c r="F549" s="11">
        <v>4</v>
      </c>
      <c r="G549" s="9">
        <v>12</v>
      </c>
      <c r="H549" s="9">
        <v>81588</v>
      </c>
      <c r="I549" s="9" t="s">
        <v>17</v>
      </c>
      <c r="J549" s="9">
        <v>51099793</v>
      </c>
      <c r="K549" s="9" t="s">
        <v>2718</v>
      </c>
      <c r="L549" s="9" t="s">
        <v>2725</v>
      </c>
      <c r="M549" s="27">
        <v>189900</v>
      </c>
      <c r="N549" s="24">
        <f t="shared" si="51"/>
        <v>0.7</v>
      </c>
      <c r="O549" s="25">
        <f t="shared" si="50"/>
        <v>56970</v>
      </c>
      <c r="P549" s="11" t="s">
        <v>20</v>
      </c>
    </row>
    <row r="550" spans="1:16" x14ac:dyDescent="0.25">
      <c r="A550" s="23" t="str">
        <f t="shared" si="53"/>
        <v>2025 JAN-JUN D70</v>
      </c>
      <c r="B550" s="10">
        <f t="shared" si="53"/>
        <v>46104</v>
      </c>
      <c r="C550" s="10">
        <f t="shared" si="53"/>
        <v>46113</v>
      </c>
      <c r="D550" s="11">
        <v>3273</v>
      </c>
      <c r="E550" s="11">
        <v>336</v>
      </c>
      <c r="F550" s="11">
        <v>4</v>
      </c>
      <c r="G550" s="9">
        <v>12</v>
      </c>
      <c r="H550" s="9">
        <v>81588</v>
      </c>
      <c r="I550" s="9" t="s">
        <v>17</v>
      </c>
      <c r="J550" s="9">
        <v>51099800</v>
      </c>
      <c r="K550" s="9" t="s">
        <v>2718</v>
      </c>
      <c r="L550" s="9" t="s">
        <v>2726</v>
      </c>
      <c r="M550" s="27">
        <v>189900</v>
      </c>
      <c r="N550" s="24">
        <f t="shared" si="51"/>
        <v>0.7</v>
      </c>
      <c r="O550" s="25">
        <f t="shared" si="50"/>
        <v>56970</v>
      </c>
      <c r="P550" s="11" t="s">
        <v>20</v>
      </c>
    </row>
    <row r="551" spans="1:16" x14ac:dyDescent="0.25">
      <c r="A551" s="23" t="str">
        <f t="shared" si="53"/>
        <v>2025 JAN-JUN D70</v>
      </c>
      <c r="B551" s="10">
        <f t="shared" si="53"/>
        <v>46104</v>
      </c>
      <c r="C551" s="10">
        <f t="shared" si="53"/>
        <v>46113</v>
      </c>
      <c r="D551" s="11">
        <v>3273</v>
      </c>
      <c r="E551" s="11">
        <v>336</v>
      </c>
      <c r="F551" s="11">
        <v>4</v>
      </c>
      <c r="G551" s="9">
        <v>12</v>
      </c>
      <c r="H551" s="9">
        <v>81588</v>
      </c>
      <c r="I551" s="9" t="s">
        <v>17</v>
      </c>
      <c r="J551" s="9">
        <v>51100842</v>
      </c>
      <c r="K551" s="9" t="s">
        <v>2727</v>
      </c>
      <c r="L551" s="9" t="s">
        <v>2728</v>
      </c>
      <c r="M551" s="27">
        <v>149900</v>
      </c>
      <c r="N551" s="24">
        <f t="shared" si="51"/>
        <v>0.7</v>
      </c>
      <c r="O551" s="25">
        <f t="shared" si="50"/>
        <v>44970</v>
      </c>
      <c r="P551" s="11" t="s">
        <v>20</v>
      </c>
    </row>
    <row r="552" spans="1:16" x14ac:dyDescent="0.25">
      <c r="A552" s="23" t="str">
        <f t="shared" si="53"/>
        <v>2025 JAN-JUN D70</v>
      </c>
      <c r="B552" s="10">
        <f t="shared" si="53"/>
        <v>46104</v>
      </c>
      <c r="C552" s="10">
        <f t="shared" si="53"/>
        <v>46113</v>
      </c>
      <c r="D552" s="11">
        <v>3273</v>
      </c>
      <c r="E552" s="11">
        <v>336</v>
      </c>
      <c r="F552" s="11">
        <v>4</v>
      </c>
      <c r="G552" s="9">
        <v>12</v>
      </c>
      <c r="H552" s="9">
        <v>81588</v>
      </c>
      <c r="I552" s="9" t="s">
        <v>17</v>
      </c>
      <c r="J552" s="9">
        <v>51100851</v>
      </c>
      <c r="K552" s="9" t="s">
        <v>2727</v>
      </c>
      <c r="L552" s="9" t="s">
        <v>2729</v>
      </c>
      <c r="M552" s="27">
        <v>149900</v>
      </c>
      <c r="N552" s="24">
        <f t="shared" si="51"/>
        <v>0.7</v>
      </c>
      <c r="O552" s="25">
        <f t="shared" si="50"/>
        <v>44970</v>
      </c>
      <c r="P552" s="11" t="s">
        <v>20</v>
      </c>
    </row>
    <row r="553" spans="1:16" x14ac:dyDescent="0.25">
      <c r="A553" s="23" t="str">
        <f t="shared" si="53"/>
        <v>2025 JAN-JUN D70</v>
      </c>
      <c r="B553" s="10">
        <f t="shared" si="53"/>
        <v>46104</v>
      </c>
      <c r="C553" s="10">
        <f t="shared" si="53"/>
        <v>46113</v>
      </c>
      <c r="D553" s="11">
        <v>3273</v>
      </c>
      <c r="E553" s="11">
        <v>336</v>
      </c>
      <c r="F553" s="11">
        <v>4</v>
      </c>
      <c r="G553" s="9">
        <v>12</v>
      </c>
      <c r="H553" s="9">
        <v>81588</v>
      </c>
      <c r="I553" s="9" t="s">
        <v>17</v>
      </c>
      <c r="J553" s="9">
        <v>51100860</v>
      </c>
      <c r="K553" s="9" t="s">
        <v>2727</v>
      </c>
      <c r="L553" s="9" t="s">
        <v>2730</v>
      </c>
      <c r="M553" s="27">
        <v>149900</v>
      </c>
      <c r="N553" s="24">
        <f t="shared" si="51"/>
        <v>0.7</v>
      </c>
      <c r="O553" s="25">
        <f t="shared" si="50"/>
        <v>44970</v>
      </c>
      <c r="P553" s="11" t="s">
        <v>20</v>
      </c>
    </row>
    <row r="554" spans="1:16" x14ac:dyDescent="0.25">
      <c r="A554" s="23" t="str">
        <f t="shared" si="53"/>
        <v>2025 JAN-JUN D70</v>
      </c>
      <c r="B554" s="10">
        <f t="shared" si="53"/>
        <v>46104</v>
      </c>
      <c r="C554" s="10">
        <f t="shared" si="53"/>
        <v>46113</v>
      </c>
      <c r="D554" s="11">
        <v>3273</v>
      </c>
      <c r="E554" s="11">
        <v>336</v>
      </c>
      <c r="F554" s="11">
        <v>4</v>
      </c>
      <c r="G554" s="9">
        <v>12</v>
      </c>
      <c r="H554" s="9">
        <v>81588</v>
      </c>
      <c r="I554" s="9" t="s">
        <v>17</v>
      </c>
      <c r="J554" s="9">
        <v>51100879</v>
      </c>
      <c r="K554" s="9" t="s">
        <v>2727</v>
      </c>
      <c r="L554" s="9" t="s">
        <v>2731</v>
      </c>
      <c r="M554" s="27">
        <v>149900</v>
      </c>
      <c r="N554" s="24">
        <f t="shared" si="51"/>
        <v>0.7</v>
      </c>
      <c r="O554" s="25">
        <f t="shared" si="50"/>
        <v>44970</v>
      </c>
      <c r="P554" s="11" t="s">
        <v>20</v>
      </c>
    </row>
    <row r="555" spans="1:16" x14ac:dyDescent="0.25">
      <c r="A555" s="23" t="str">
        <f t="shared" si="53"/>
        <v>2025 JAN-JUN D70</v>
      </c>
      <c r="B555" s="10">
        <f t="shared" si="53"/>
        <v>46104</v>
      </c>
      <c r="C555" s="10">
        <f t="shared" si="53"/>
        <v>46113</v>
      </c>
      <c r="D555" s="11">
        <v>3273</v>
      </c>
      <c r="E555" s="11">
        <v>336</v>
      </c>
      <c r="F555" s="11">
        <v>4</v>
      </c>
      <c r="G555" s="9">
        <v>12</v>
      </c>
      <c r="H555" s="9">
        <v>81588</v>
      </c>
      <c r="I555" s="9" t="s">
        <v>17</v>
      </c>
      <c r="J555" s="9">
        <v>51100888</v>
      </c>
      <c r="K555" s="9" t="s">
        <v>2727</v>
      </c>
      <c r="L555" s="9" t="s">
        <v>2732</v>
      </c>
      <c r="M555" s="27">
        <v>149900</v>
      </c>
      <c r="N555" s="24">
        <f t="shared" si="51"/>
        <v>0.7</v>
      </c>
      <c r="O555" s="25">
        <f t="shared" si="50"/>
        <v>44970</v>
      </c>
      <c r="P555" s="11" t="s">
        <v>20</v>
      </c>
    </row>
    <row r="556" spans="1:16" x14ac:dyDescent="0.25">
      <c r="A556" s="23" t="str">
        <f t="shared" si="53"/>
        <v>2025 JAN-JUN D70</v>
      </c>
      <c r="B556" s="10">
        <f t="shared" si="53"/>
        <v>46104</v>
      </c>
      <c r="C556" s="10">
        <f t="shared" si="53"/>
        <v>46113</v>
      </c>
      <c r="D556" s="11">
        <v>3273</v>
      </c>
      <c r="E556" s="11">
        <v>336</v>
      </c>
      <c r="F556" s="11">
        <v>4</v>
      </c>
      <c r="G556" s="9">
        <v>12</v>
      </c>
      <c r="H556" s="9">
        <v>81588</v>
      </c>
      <c r="I556" s="9" t="s">
        <v>17</v>
      </c>
      <c r="J556" s="9">
        <v>51100897</v>
      </c>
      <c r="K556" s="9" t="s">
        <v>2727</v>
      </c>
      <c r="L556" s="9" t="s">
        <v>2733</v>
      </c>
      <c r="M556" s="27">
        <v>149900</v>
      </c>
      <c r="N556" s="24">
        <f t="shared" si="51"/>
        <v>0.7</v>
      </c>
      <c r="O556" s="25">
        <f t="shared" si="50"/>
        <v>44970</v>
      </c>
      <c r="P556" s="11" t="s">
        <v>20</v>
      </c>
    </row>
    <row r="557" spans="1:16" x14ac:dyDescent="0.25">
      <c r="A557" s="23" t="str">
        <f t="shared" si="53"/>
        <v>2025 JAN-JUN D70</v>
      </c>
      <c r="B557" s="10">
        <f t="shared" si="53"/>
        <v>46104</v>
      </c>
      <c r="C557" s="10">
        <f t="shared" si="53"/>
        <v>46113</v>
      </c>
      <c r="D557" s="11">
        <v>3273</v>
      </c>
      <c r="E557" s="11">
        <v>336</v>
      </c>
      <c r="F557" s="11">
        <v>4</v>
      </c>
      <c r="G557" s="9">
        <v>12</v>
      </c>
      <c r="H557" s="9">
        <v>81588</v>
      </c>
      <c r="I557" s="9" t="s">
        <v>17</v>
      </c>
      <c r="J557" s="9">
        <v>51100904</v>
      </c>
      <c r="K557" s="9" t="s">
        <v>2727</v>
      </c>
      <c r="L557" s="9" t="s">
        <v>2734</v>
      </c>
      <c r="M557" s="27">
        <v>149900</v>
      </c>
      <c r="N557" s="24">
        <f t="shared" si="51"/>
        <v>0.7</v>
      </c>
      <c r="O557" s="25">
        <f t="shared" si="50"/>
        <v>44970</v>
      </c>
      <c r="P557" s="11" t="s">
        <v>20</v>
      </c>
    </row>
    <row r="558" spans="1:16" x14ac:dyDescent="0.25">
      <c r="A558" s="23" t="str">
        <f t="shared" si="53"/>
        <v>2025 JAN-JUN D70</v>
      </c>
      <c r="B558" s="10">
        <f t="shared" si="53"/>
        <v>46104</v>
      </c>
      <c r="C558" s="10">
        <f t="shared" si="53"/>
        <v>46113</v>
      </c>
      <c r="D558" s="11">
        <v>3273</v>
      </c>
      <c r="E558" s="11">
        <v>336</v>
      </c>
      <c r="F558" s="11">
        <v>4</v>
      </c>
      <c r="G558" s="9">
        <v>12</v>
      </c>
      <c r="H558" s="9">
        <v>81588</v>
      </c>
      <c r="I558" s="9" t="s">
        <v>17</v>
      </c>
      <c r="J558" s="9">
        <v>51100913</v>
      </c>
      <c r="K558" s="9" t="s">
        <v>2727</v>
      </c>
      <c r="L558" s="9" t="s">
        <v>2735</v>
      </c>
      <c r="M558" s="27">
        <v>149900</v>
      </c>
      <c r="N558" s="24">
        <f t="shared" si="51"/>
        <v>0.7</v>
      </c>
      <c r="O558" s="25">
        <f t="shared" si="50"/>
        <v>44970</v>
      </c>
      <c r="P558" s="11" t="s">
        <v>20</v>
      </c>
    </row>
    <row r="559" spans="1:16" x14ac:dyDescent="0.25">
      <c r="A559" s="23" t="str">
        <f t="shared" si="53"/>
        <v>2025 JAN-JUN D70</v>
      </c>
      <c r="B559" s="10">
        <f t="shared" si="53"/>
        <v>46104</v>
      </c>
      <c r="C559" s="10">
        <f t="shared" si="53"/>
        <v>46113</v>
      </c>
      <c r="D559" s="11">
        <v>3273</v>
      </c>
      <c r="E559" s="11">
        <v>336</v>
      </c>
      <c r="F559" s="11">
        <v>4</v>
      </c>
      <c r="G559" s="9">
        <v>12</v>
      </c>
      <c r="H559" s="9">
        <v>81676</v>
      </c>
      <c r="I559" s="9" t="s">
        <v>17</v>
      </c>
      <c r="J559" s="9">
        <v>51101387</v>
      </c>
      <c r="K559" s="9" t="s">
        <v>2736</v>
      </c>
      <c r="L559" s="9" t="s">
        <v>2737</v>
      </c>
      <c r="M559" s="27">
        <v>149900</v>
      </c>
      <c r="N559" s="24">
        <f t="shared" si="51"/>
        <v>0.7</v>
      </c>
      <c r="O559" s="25">
        <f t="shared" si="50"/>
        <v>44970</v>
      </c>
      <c r="P559" s="11" t="s">
        <v>20</v>
      </c>
    </row>
    <row r="560" spans="1:16" x14ac:dyDescent="0.25">
      <c r="A560" s="23" t="str">
        <f t="shared" si="53"/>
        <v>2025 JAN-JUN D70</v>
      </c>
      <c r="B560" s="10">
        <f t="shared" si="53"/>
        <v>46104</v>
      </c>
      <c r="C560" s="10">
        <f t="shared" si="53"/>
        <v>46113</v>
      </c>
      <c r="D560" s="11">
        <v>3273</v>
      </c>
      <c r="E560" s="11">
        <v>336</v>
      </c>
      <c r="F560" s="11">
        <v>4</v>
      </c>
      <c r="G560" s="9">
        <v>12</v>
      </c>
      <c r="H560" s="9">
        <v>81676</v>
      </c>
      <c r="I560" s="9" t="s">
        <v>17</v>
      </c>
      <c r="J560" s="9">
        <v>51101396</v>
      </c>
      <c r="K560" s="9" t="s">
        <v>2736</v>
      </c>
      <c r="L560" s="9" t="s">
        <v>2738</v>
      </c>
      <c r="M560" s="27">
        <v>149900</v>
      </c>
      <c r="N560" s="24">
        <f t="shared" si="51"/>
        <v>0.7</v>
      </c>
      <c r="O560" s="25">
        <f t="shared" si="50"/>
        <v>44970</v>
      </c>
      <c r="P560" s="11" t="s">
        <v>20</v>
      </c>
    </row>
    <row r="561" spans="1:16" x14ac:dyDescent="0.25">
      <c r="A561" s="23" t="str">
        <f t="shared" si="53"/>
        <v>2025 JAN-JUN D70</v>
      </c>
      <c r="B561" s="10">
        <f t="shared" si="53"/>
        <v>46104</v>
      </c>
      <c r="C561" s="10">
        <f t="shared" si="53"/>
        <v>46113</v>
      </c>
      <c r="D561" s="11">
        <v>3273</v>
      </c>
      <c r="E561" s="11">
        <v>336</v>
      </c>
      <c r="F561" s="11">
        <v>4</v>
      </c>
      <c r="G561" s="9">
        <v>12</v>
      </c>
      <c r="H561" s="9">
        <v>81676</v>
      </c>
      <c r="I561" s="9" t="s">
        <v>17</v>
      </c>
      <c r="J561" s="9">
        <v>51101403</v>
      </c>
      <c r="K561" s="9" t="s">
        <v>2736</v>
      </c>
      <c r="L561" s="9" t="s">
        <v>2739</v>
      </c>
      <c r="M561" s="27">
        <v>149900</v>
      </c>
      <c r="N561" s="24">
        <f t="shared" si="51"/>
        <v>0.7</v>
      </c>
      <c r="O561" s="25">
        <f t="shared" si="50"/>
        <v>44970</v>
      </c>
      <c r="P561" s="11" t="s">
        <v>20</v>
      </c>
    </row>
    <row r="562" spans="1:16" x14ac:dyDescent="0.25">
      <c r="A562" s="23" t="str">
        <f t="shared" si="53"/>
        <v>2025 JAN-JUN D70</v>
      </c>
      <c r="B562" s="10">
        <f t="shared" si="53"/>
        <v>46104</v>
      </c>
      <c r="C562" s="10">
        <f t="shared" si="53"/>
        <v>46113</v>
      </c>
      <c r="D562" s="11">
        <v>3273</v>
      </c>
      <c r="E562" s="11">
        <v>336</v>
      </c>
      <c r="F562" s="11">
        <v>4</v>
      </c>
      <c r="G562" s="9">
        <v>12</v>
      </c>
      <c r="H562" s="9">
        <v>81676</v>
      </c>
      <c r="I562" s="9" t="s">
        <v>17</v>
      </c>
      <c r="J562" s="9">
        <v>51101412</v>
      </c>
      <c r="K562" s="9" t="s">
        <v>2736</v>
      </c>
      <c r="L562" s="9" t="s">
        <v>2740</v>
      </c>
      <c r="M562" s="27">
        <v>149900</v>
      </c>
      <c r="N562" s="24">
        <f t="shared" si="51"/>
        <v>0.7</v>
      </c>
      <c r="O562" s="25">
        <f t="shared" si="50"/>
        <v>44970</v>
      </c>
      <c r="P562" s="11" t="s">
        <v>20</v>
      </c>
    </row>
    <row r="563" spans="1:16" x14ac:dyDescent="0.25">
      <c r="A563" s="23" t="str">
        <f t="shared" ref="A563:C578" si="54">A562</f>
        <v>2025 JAN-JUN D70</v>
      </c>
      <c r="B563" s="10">
        <f t="shared" si="54"/>
        <v>46104</v>
      </c>
      <c r="C563" s="10">
        <f t="shared" si="54"/>
        <v>46113</v>
      </c>
      <c r="D563" s="11">
        <v>3273</v>
      </c>
      <c r="E563" s="11">
        <v>336</v>
      </c>
      <c r="F563" s="11">
        <v>4</v>
      </c>
      <c r="G563" s="9">
        <v>12</v>
      </c>
      <c r="H563" s="9">
        <v>81676</v>
      </c>
      <c r="I563" s="9" t="s">
        <v>17</v>
      </c>
      <c r="J563" s="9">
        <v>51101421</v>
      </c>
      <c r="K563" s="9" t="s">
        <v>2736</v>
      </c>
      <c r="L563" s="9" t="s">
        <v>2741</v>
      </c>
      <c r="M563" s="27">
        <v>149900</v>
      </c>
      <c r="N563" s="24">
        <f t="shared" si="51"/>
        <v>0.7</v>
      </c>
      <c r="O563" s="25">
        <f t="shared" si="50"/>
        <v>44970</v>
      </c>
      <c r="P563" s="11" t="s">
        <v>20</v>
      </c>
    </row>
    <row r="564" spans="1:16" x14ac:dyDescent="0.25">
      <c r="A564" s="23" t="str">
        <f t="shared" si="54"/>
        <v>2025 JAN-JUN D70</v>
      </c>
      <c r="B564" s="10">
        <f t="shared" si="54"/>
        <v>46104</v>
      </c>
      <c r="C564" s="10">
        <f t="shared" si="54"/>
        <v>46113</v>
      </c>
      <c r="D564" s="11">
        <v>3273</v>
      </c>
      <c r="E564" s="11">
        <v>336</v>
      </c>
      <c r="F564" s="11">
        <v>4</v>
      </c>
      <c r="G564" s="9">
        <v>12</v>
      </c>
      <c r="H564" s="9">
        <v>81676</v>
      </c>
      <c r="I564" s="9" t="s">
        <v>17</v>
      </c>
      <c r="J564" s="9">
        <v>51101430</v>
      </c>
      <c r="K564" s="9" t="s">
        <v>2736</v>
      </c>
      <c r="L564" s="9" t="s">
        <v>2742</v>
      </c>
      <c r="M564" s="27">
        <v>149900</v>
      </c>
      <c r="N564" s="24">
        <f t="shared" si="51"/>
        <v>0.7</v>
      </c>
      <c r="O564" s="25">
        <f t="shared" si="50"/>
        <v>44970</v>
      </c>
      <c r="P564" s="11" t="s">
        <v>20</v>
      </c>
    </row>
    <row r="565" spans="1:16" x14ac:dyDescent="0.25">
      <c r="A565" s="23" t="str">
        <f t="shared" si="54"/>
        <v>2025 JAN-JUN D70</v>
      </c>
      <c r="B565" s="10">
        <f t="shared" si="54"/>
        <v>46104</v>
      </c>
      <c r="C565" s="10">
        <f t="shared" si="54"/>
        <v>46113</v>
      </c>
      <c r="D565" s="11">
        <v>3273</v>
      </c>
      <c r="E565" s="11">
        <v>336</v>
      </c>
      <c r="F565" s="11">
        <v>4</v>
      </c>
      <c r="G565" s="9">
        <v>12</v>
      </c>
      <c r="H565" s="9">
        <v>81676</v>
      </c>
      <c r="I565" s="9" t="s">
        <v>17</v>
      </c>
      <c r="J565" s="9">
        <v>51101449</v>
      </c>
      <c r="K565" s="9" t="s">
        <v>2736</v>
      </c>
      <c r="L565" s="9" t="s">
        <v>2743</v>
      </c>
      <c r="M565" s="27">
        <v>149900</v>
      </c>
      <c r="N565" s="24">
        <f t="shared" si="51"/>
        <v>0.7</v>
      </c>
      <c r="O565" s="25">
        <f t="shared" si="50"/>
        <v>44970</v>
      </c>
      <c r="P565" s="11" t="s">
        <v>20</v>
      </c>
    </row>
    <row r="566" spans="1:16" x14ac:dyDescent="0.25">
      <c r="A566" s="23" t="str">
        <f t="shared" si="54"/>
        <v>2025 JAN-JUN D70</v>
      </c>
      <c r="B566" s="10">
        <f t="shared" si="54"/>
        <v>46104</v>
      </c>
      <c r="C566" s="10">
        <f t="shared" si="54"/>
        <v>46113</v>
      </c>
      <c r="D566" s="11">
        <v>3273</v>
      </c>
      <c r="E566" s="11">
        <v>336</v>
      </c>
      <c r="F566" s="11">
        <v>4</v>
      </c>
      <c r="G566" s="9">
        <v>12</v>
      </c>
      <c r="H566" s="9">
        <v>81676</v>
      </c>
      <c r="I566" s="9" t="s">
        <v>17</v>
      </c>
      <c r="J566" s="9">
        <v>51101458</v>
      </c>
      <c r="K566" s="9" t="s">
        <v>2736</v>
      </c>
      <c r="L566" s="9" t="s">
        <v>2744</v>
      </c>
      <c r="M566" s="27">
        <v>149900</v>
      </c>
      <c r="N566" s="24">
        <f t="shared" si="51"/>
        <v>0.7</v>
      </c>
      <c r="O566" s="25">
        <f t="shared" si="50"/>
        <v>44970</v>
      </c>
      <c r="P566" s="11" t="s">
        <v>20</v>
      </c>
    </row>
    <row r="567" spans="1:16" x14ac:dyDescent="0.25">
      <c r="A567" s="23" t="str">
        <f t="shared" si="54"/>
        <v>2025 JAN-JUN D70</v>
      </c>
      <c r="B567" s="10">
        <f t="shared" si="54"/>
        <v>46104</v>
      </c>
      <c r="C567" s="10">
        <f t="shared" si="54"/>
        <v>46113</v>
      </c>
      <c r="D567" s="11">
        <v>3273</v>
      </c>
      <c r="E567" s="11">
        <v>336</v>
      </c>
      <c r="F567" s="11">
        <v>4</v>
      </c>
      <c r="G567" s="9">
        <v>12</v>
      </c>
      <c r="H567" s="9">
        <v>81676</v>
      </c>
      <c r="I567" s="9" t="s">
        <v>17</v>
      </c>
      <c r="J567" s="9">
        <v>51101467</v>
      </c>
      <c r="K567" s="9" t="s">
        <v>2745</v>
      </c>
      <c r="L567" s="9" t="s">
        <v>2746</v>
      </c>
      <c r="M567" s="27">
        <v>149900</v>
      </c>
      <c r="N567" s="24">
        <f t="shared" si="51"/>
        <v>0.7</v>
      </c>
      <c r="O567" s="25">
        <f t="shared" si="50"/>
        <v>44970</v>
      </c>
      <c r="P567" s="11" t="s">
        <v>20</v>
      </c>
    </row>
    <row r="568" spans="1:16" x14ac:dyDescent="0.25">
      <c r="A568" s="23" t="str">
        <f t="shared" si="54"/>
        <v>2025 JAN-JUN D70</v>
      </c>
      <c r="B568" s="10">
        <f t="shared" si="54"/>
        <v>46104</v>
      </c>
      <c r="C568" s="10">
        <f t="shared" si="54"/>
        <v>46113</v>
      </c>
      <c r="D568" s="11">
        <v>3273</v>
      </c>
      <c r="E568" s="11">
        <v>336</v>
      </c>
      <c r="F568" s="11">
        <v>4</v>
      </c>
      <c r="G568" s="9">
        <v>12</v>
      </c>
      <c r="H568" s="9">
        <v>81676</v>
      </c>
      <c r="I568" s="9" t="s">
        <v>17</v>
      </c>
      <c r="J568" s="9">
        <v>51101476</v>
      </c>
      <c r="K568" s="9" t="s">
        <v>2745</v>
      </c>
      <c r="L568" s="9" t="s">
        <v>2747</v>
      </c>
      <c r="M568" s="27">
        <v>149900</v>
      </c>
      <c r="N568" s="24">
        <f t="shared" si="51"/>
        <v>0.7</v>
      </c>
      <c r="O568" s="25">
        <f t="shared" si="50"/>
        <v>44970</v>
      </c>
      <c r="P568" s="11" t="s">
        <v>20</v>
      </c>
    </row>
    <row r="569" spans="1:16" x14ac:dyDescent="0.25">
      <c r="A569" s="23" t="str">
        <f t="shared" si="54"/>
        <v>2025 JAN-JUN D70</v>
      </c>
      <c r="B569" s="10">
        <f t="shared" si="54"/>
        <v>46104</v>
      </c>
      <c r="C569" s="10">
        <f t="shared" si="54"/>
        <v>46113</v>
      </c>
      <c r="D569" s="11">
        <v>3273</v>
      </c>
      <c r="E569" s="11">
        <v>336</v>
      </c>
      <c r="F569" s="11">
        <v>4</v>
      </c>
      <c r="G569" s="9">
        <v>12</v>
      </c>
      <c r="H569" s="9">
        <v>81676</v>
      </c>
      <c r="I569" s="9" t="s">
        <v>17</v>
      </c>
      <c r="J569" s="9">
        <v>51101485</v>
      </c>
      <c r="K569" s="9" t="s">
        <v>2745</v>
      </c>
      <c r="L569" s="9" t="s">
        <v>2748</v>
      </c>
      <c r="M569" s="27">
        <v>149900</v>
      </c>
      <c r="N569" s="24">
        <f t="shared" si="51"/>
        <v>0.7</v>
      </c>
      <c r="O569" s="25">
        <f t="shared" si="50"/>
        <v>44970</v>
      </c>
      <c r="P569" s="11" t="s">
        <v>20</v>
      </c>
    </row>
    <row r="570" spans="1:16" x14ac:dyDescent="0.25">
      <c r="A570" s="23" t="str">
        <f t="shared" si="54"/>
        <v>2025 JAN-JUN D70</v>
      </c>
      <c r="B570" s="10">
        <f t="shared" si="54"/>
        <v>46104</v>
      </c>
      <c r="C570" s="10">
        <f t="shared" si="54"/>
        <v>46113</v>
      </c>
      <c r="D570" s="11">
        <v>3273</v>
      </c>
      <c r="E570" s="11">
        <v>336</v>
      </c>
      <c r="F570" s="11">
        <v>4</v>
      </c>
      <c r="G570" s="9">
        <v>12</v>
      </c>
      <c r="H570" s="9">
        <v>81676</v>
      </c>
      <c r="I570" s="9" t="s">
        <v>17</v>
      </c>
      <c r="J570" s="9">
        <v>51101494</v>
      </c>
      <c r="K570" s="9" t="s">
        <v>2745</v>
      </c>
      <c r="L570" s="9" t="s">
        <v>2749</v>
      </c>
      <c r="M570" s="27">
        <v>149900</v>
      </c>
      <c r="N570" s="24">
        <f t="shared" si="51"/>
        <v>0.7</v>
      </c>
      <c r="O570" s="25">
        <f t="shared" si="50"/>
        <v>44970</v>
      </c>
      <c r="P570" s="11" t="s">
        <v>20</v>
      </c>
    </row>
    <row r="571" spans="1:16" x14ac:dyDescent="0.25">
      <c r="A571" s="23" t="str">
        <f t="shared" si="54"/>
        <v>2025 JAN-JUN D70</v>
      </c>
      <c r="B571" s="10">
        <f t="shared" si="54"/>
        <v>46104</v>
      </c>
      <c r="C571" s="10">
        <f t="shared" si="54"/>
        <v>46113</v>
      </c>
      <c r="D571" s="11">
        <v>3273</v>
      </c>
      <c r="E571" s="11">
        <v>336</v>
      </c>
      <c r="F571" s="11">
        <v>4</v>
      </c>
      <c r="G571" s="9">
        <v>12</v>
      </c>
      <c r="H571" s="9">
        <v>81676</v>
      </c>
      <c r="I571" s="9" t="s">
        <v>17</v>
      </c>
      <c r="J571" s="9">
        <v>51101501</v>
      </c>
      <c r="K571" s="9" t="s">
        <v>2745</v>
      </c>
      <c r="L571" s="9" t="s">
        <v>2750</v>
      </c>
      <c r="M571" s="27">
        <v>149900</v>
      </c>
      <c r="N571" s="24">
        <f t="shared" si="51"/>
        <v>0.7</v>
      </c>
      <c r="O571" s="25">
        <f t="shared" si="50"/>
        <v>44970</v>
      </c>
      <c r="P571" s="11" t="s">
        <v>20</v>
      </c>
    </row>
    <row r="572" spans="1:16" x14ac:dyDescent="0.25">
      <c r="A572" s="23" t="str">
        <f t="shared" si="54"/>
        <v>2025 JAN-JUN D70</v>
      </c>
      <c r="B572" s="10">
        <f t="shared" si="54"/>
        <v>46104</v>
      </c>
      <c r="C572" s="10">
        <f t="shared" si="54"/>
        <v>46113</v>
      </c>
      <c r="D572" s="11">
        <v>3273</v>
      </c>
      <c r="E572" s="11">
        <v>336</v>
      </c>
      <c r="F572" s="11">
        <v>4</v>
      </c>
      <c r="G572" s="9">
        <v>12</v>
      </c>
      <c r="H572" s="9">
        <v>81676</v>
      </c>
      <c r="I572" s="9" t="s">
        <v>17</v>
      </c>
      <c r="J572" s="9">
        <v>51101510</v>
      </c>
      <c r="K572" s="9" t="s">
        <v>2745</v>
      </c>
      <c r="L572" s="9" t="s">
        <v>2751</v>
      </c>
      <c r="M572" s="27">
        <v>149900</v>
      </c>
      <c r="N572" s="24">
        <f t="shared" si="51"/>
        <v>0.7</v>
      </c>
      <c r="O572" s="25">
        <f t="shared" si="50"/>
        <v>44970</v>
      </c>
      <c r="P572" s="11" t="s">
        <v>20</v>
      </c>
    </row>
    <row r="573" spans="1:16" x14ac:dyDescent="0.25">
      <c r="A573" s="23" t="str">
        <f t="shared" si="54"/>
        <v>2025 JAN-JUN D70</v>
      </c>
      <c r="B573" s="10">
        <f t="shared" si="54"/>
        <v>46104</v>
      </c>
      <c r="C573" s="10">
        <f t="shared" si="54"/>
        <v>46113</v>
      </c>
      <c r="D573" s="11">
        <v>3273</v>
      </c>
      <c r="E573" s="11">
        <v>336</v>
      </c>
      <c r="F573" s="11">
        <v>4</v>
      </c>
      <c r="G573" s="9">
        <v>12</v>
      </c>
      <c r="H573" s="9">
        <v>81676</v>
      </c>
      <c r="I573" s="9" t="s">
        <v>17</v>
      </c>
      <c r="J573" s="9">
        <v>51101529</v>
      </c>
      <c r="K573" s="9" t="s">
        <v>2745</v>
      </c>
      <c r="L573" s="9" t="s">
        <v>2752</v>
      </c>
      <c r="M573" s="27">
        <v>149900</v>
      </c>
      <c r="N573" s="24">
        <f t="shared" si="51"/>
        <v>0.7</v>
      </c>
      <c r="O573" s="25">
        <f t="shared" si="50"/>
        <v>44970</v>
      </c>
      <c r="P573" s="11" t="s">
        <v>20</v>
      </c>
    </row>
    <row r="574" spans="1:16" x14ac:dyDescent="0.25">
      <c r="A574" s="23" t="str">
        <f t="shared" si="54"/>
        <v>2025 JAN-JUN D70</v>
      </c>
      <c r="B574" s="10">
        <f t="shared" si="54"/>
        <v>46104</v>
      </c>
      <c r="C574" s="10">
        <f t="shared" si="54"/>
        <v>46113</v>
      </c>
      <c r="D574" s="11">
        <v>3273</v>
      </c>
      <c r="E574" s="11">
        <v>336</v>
      </c>
      <c r="F574" s="11">
        <v>4</v>
      </c>
      <c r="G574" s="9">
        <v>12</v>
      </c>
      <c r="H574" s="9">
        <v>81676</v>
      </c>
      <c r="I574" s="9" t="s">
        <v>17</v>
      </c>
      <c r="J574" s="9">
        <v>51101538</v>
      </c>
      <c r="K574" s="9" t="s">
        <v>2745</v>
      </c>
      <c r="L574" s="9" t="s">
        <v>2753</v>
      </c>
      <c r="M574" s="27">
        <v>149900</v>
      </c>
      <c r="N574" s="24">
        <f t="shared" si="51"/>
        <v>0.7</v>
      </c>
      <c r="O574" s="25">
        <f t="shared" si="50"/>
        <v>44970</v>
      </c>
      <c r="P574" s="11" t="s">
        <v>20</v>
      </c>
    </row>
    <row r="575" spans="1:16" x14ac:dyDescent="0.25">
      <c r="A575" s="23" t="str">
        <f t="shared" si="54"/>
        <v>2025 JAN-JUN D70</v>
      </c>
      <c r="B575" s="10">
        <f t="shared" si="54"/>
        <v>46104</v>
      </c>
      <c r="C575" s="10">
        <f t="shared" si="54"/>
        <v>46113</v>
      </c>
      <c r="D575" s="11">
        <v>3273</v>
      </c>
      <c r="E575" s="11">
        <v>336</v>
      </c>
      <c r="F575" s="11">
        <v>4</v>
      </c>
      <c r="G575" s="9">
        <v>12</v>
      </c>
      <c r="H575" s="9">
        <v>81588</v>
      </c>
      <c r="I575" s="9" t="s">
        <v>17</v>
      </c>
      <c r="J575" s="9">
        <v>51103189</v>
      </c>
      <c r="K575" s="9" t="s">
        <v>2754</v>
      </c>
      <c r="L575" s="9" t="s">
        <v>2755</v>
      </c>
      <c r="M575" s="27">
        <v>139900</v>
      </c>
      <c r="N575" s="24">
        <f t="shared" si="51"/>
        <v>0.7</v>
      </c>
      <c r="O575" s="25">
        <f t="shared" si="50"/>
        <v>41970</v>
      </c>
      <c r="P575" s="11" t="s">
        <v>20</v>
      </c>
    </row>
    <row r="576" spans="1:16" x14ac:dyDescent="0.25">
      <c r="A576" s="23" t="str">
        <f t="shared" si="54"/>
        <v>2025 JAN-JUN D70</v>
      </c>
      <c r="B576" s="10">
        <f t="shared" si="54"/>
        <v>46104</v>
      </c>
      <c r="C576" s="10">
        <f t="shared" si="54"/>
        <v>46113</v>
      </c>
      <c r="D576" s="11">
        <v>3273</v>
      </c>
      <c r="E576" s="11">
        <v>336</v>
      </c>
      <c r="F576" s="11">
        <v>4</v>
      </c>
      <c r="G576" s="9">
        <v>12</v>
      </c>
      <c r="H576" s="9">
        <v>81588</v>
      </c>
      <c r="I576" s="9" t="s">
        <v>17</v>
      </c>
      <c r="J576" s="9">
        <v>51103198</v>
      </c>
      <c r="K576" s="9" t="s">
        <v>2754</v>
      </c>
      <c r="L576" s="9" t="s">
        <v>2756</v>
      </c>
      <c r="M576" s="27">
        <v>139900</v>
      </c>
      <c r="N576" s="24">
        <f t="shared" si="51"/>
        <v>0.7</v>
      </c>
      <c r="O576" s="25">
        <f t="shared" si="50"/>
        <v>41970</v>
      </c>
      <c r="P576" s="11" t="s">
        <v>20</v>
      </c>
    </row>
    <row r="577" spans="1:16" x14ac:dyDescent="0.25">
      <c r="A577" s="23" t="str">
        <f t="shared" si="54"/>
        <v>2025 JAN-JUN D70</v>
      </c>
      <c r="B577" s="10">
        <f t="shared" si="54"/>
        <v>46104</v>
      </c>
      <c r="C577" s="10">
        <f t="shared" si="54"/>
        <v>46113</v>
      </c>
      <c r="D577" s="11">
        <v>3273</v>
      </c>
      <c r="E577" s="11">
        <v>336</v>
      </c>
      <c r="F577" s="11">
        <v>4</v>
      </c>
      <c r="G577" s="9">
        <v>12</v>
      </c>
      <c r="H577" s="9">
        <v>81588</v>
      </c>
      <c r="I577" s="9" t="s">
        <v>17</v>
      </c>
      <c r="J577" s="9">
        <v>51103205</v>
      </c>
      <c r="K577" s="9" t="s">
        <v>2754</v>
      </c>
      <c r="L577" s="9" t="s">
        <v>2757</v>
      </c>
      <c r="M577" s="27">
        <v>139900</v>
      </c>
      <c r="N577" s="24">
        <f t="shared" si="51"/>
        <v>0.7</v>
      </c>
      <c r="O577" s="25">
        <f t="shared" si="50"/>
        <v>41970</v>
      </c>
      <c r="P577" s="11" t="s">
        <v>20</v>
      </c>
    </row>
    <row r="578" spans="1:16" x14ac:dyDescent="0.25">
      <c r="A578" s="23" t="str">
        <f t="shared" si="54"/>
        <v>2025 JAN-JUN D70</v>
      </c>
      <c r="B578" s="10">
        <f t="shared" si="54"/>
        <v>46104</v>
      </c>
      <c r="C578" s="10">
        <f t="shared" si="54"/>
        <v>46113</v>
      </c>
      <c r="D578" s="11">
        <v>3273</v>
      </c>
      <c r="E578" s="11">
        <v>336</v>
      </c>
      <c r="F578" s="11">
        <v>4</v>
      </c>
      <c r="G578" s="9">
        <v>12</v>
      </c>
      <c r="H578" s="9">
        <v>81588</v>
      </c>
      <c r="I578" s="9" t="s">
        <v>17</v>
      </c>
      <c r="J578" s="9">
        <v>51103214</v>
      </c>
      <c r="K578" s="9" t="s">
        <v>2754</v>
      </c>
      <c r="L578" s="9" t="s">
        <v>2758</v>
      </c>
      <c r="M578" s="27">
        <v>139900</v>
      </c>
      <c r="N578" s="24">
        <f t="shared" si="51"/>
        <v>0.7</v>
      </c>
      <c r="O578" s="25">
        <f t="shared" si="50"/>
        <v>41970</v>
      </c>
      <c r="P578" s="11" t="s">
        <v>20</v>
      </c>
    </row>
    <row r="579" spans="1:16" x14ac:dyDescent="0.25">
      <c r="A579" s="23" t="str">
        <f t="shared" ref="A579:C594" si="55">A578</f>
        <v>2025 JAN-JUN D70</v>
      </c>
      <c r="B579" s="10">
        <f t="shared" si="55"/>
        <v>46104</v>
      </c>
      <c r="C579" s="10">
        <f t="shared" si="55"/>
        <v>46113</v>
      </c>
      <c r="D579" s="11">
        <v>3273</v>
      </c>
      <c r="E579" s="11">
        <v>336</v>
      </c>
      <c r="F579" s="11">
        <v>4</v>
      </c>
      <c r="G579" s="9">
        <v>12</v>
      </c>
      <c r="H579" s="9">
        <v>81588</v>
      </c>
      <c r="I579" s="9" t="s">
        <v>17</v>
      </c>
      <c r="J579" s="9">
        <v>51103223</v>
      </c>
      <c r="K579" s="9" t="s">
        <v>2754</v>
      </c>
      <c r="L579" s="9" t="s">
        <v>2759</v>
      </c>
      <c r="M579" s="27">
        <v>139900</v>
      </c>
      <c r="N579" s="24">
        <f t="shared" si="51"/>
        <v>0.7</v>
      </c>
      <c r="O579" s="25">
        <f t="shared" ref="O579:O642" si="56">M579-((70*M579)/100)</f>
        <v>41970</v>
      </c>
      <c r="P579" s="11" t="s">
        <v>20</v>
      </c>
    </row>
    <row r="580" spans="1:16" x14ac:dyDescent="0.25">
      <c r="A580" s="23" t="str">
        <f t="shared" si="55"/>
        <v>2025 JAN-JUN D70</v>
      </c>
      <c r="B580" s="10">
        <f t="shared" si="55"/>
        <v>46104</v>
      </c>
      <c r="C580" s="10">
        <f t="shared" si="55"/>
        <v>46113</v>
      </c>
      <c r="D580" s="11">
        <v>3273</v>
      </c>
      <c r="E580" s="11">
        <v>336</v>
      </c>
      <c r="F580" s="11">
        <v>4</v>
      </c>
      <c r="G580" s="9">
        <v>12</v>
      </c>
      <c r="H580" s="9">
        <v>81588</v>
      </c>
      <c r="I580" s="9" t="s">
        <v>17</v>
      </c>
      <c r="J580" s="9">
        <v>51103232</v>
      </c>
      <c r="K580" s="9" t="s">
        <v>2754</v>
      </c>
      <c r="L580" s="9" t="s">
        <v>2760</v>
      </c>
      <c r="M580" s="27">
        <v>139900</v>
      </c>
      <c r="N580" s="24">
        <f t="shared" ref="N580:N643" si="57">N579</f>
        <v>0.7</v>
      </c>
      <c r="O580" s="25">
        <f t="shared" si="56"/>
        <v>41970</v>
      </c>
      <c r="P580" s="11" t="s">
        <v>20</v>
      </c>
    </row>
    <row r="581" spans="1:16" x14ac:dyDescent="0.25">
      <c r="A581" s="23" t="str">
        <f t="shared" si="55"/>
        <v>2025 JAN-JUN D70</v>
      </c>
      <c r="B581" s="10">
        <f t="shared" si="55"/>
        <v>46104</v>
      </c>
      <c r="C581" s="10">
        <f t="shared" si="55"/>
        <v>46113</v>
      </c>
      <c r="D581" s="11">
        <v>3273</v>
      </c>
      <c r="E581" s="11">
        <v>336</v>
      </c>
      <c r="F581" s="11">
        <v>4</v>
      </c>
      <c r="G581" s="9">
        <v>12</v>
      </c>
      <c r="H581" s="9">
        <v>81588</v>
      </c>
      <c r="I581" s="9" t="s">
        <v>17</v>
      </c>
      <c r="J581" s="9">
        <v>51103241</v>
      </c>
      <c r="K581" s="9" t="s">
        <v>2754</v>
      </c>
      <c r="L581" s="9" t="s">
        <v>2761</v>
      </c>
      <c r="M581" s="27">
        <v>139900</v>
      </c>
      <c r="N581" s="24">
        <f t="shared" si="57"/>
        <v>0.7</v>
      </c>
      <c r="O581" s="25">
        <f t="shared" si="56"/>
        <v>41970</v>
      </c>
      <c r="P581" s="11" t="s">
        <v>20</v>
      </c>
    </row>
    <row r="582" spans="1:16" x14ac:dyDescent="0.25">
      <c r="A582" s="23" t="str">
        <f t="shared" si="55"/>
        <v>2025 JAN-JUN D70</v>
      </c>
      <c r="B582" s="10">
        <f t="shared" si="55"/>
        <v>46104</v>
      </c>
      <c r="C582" s="10">
        <f t="shared" si="55"/>
        <v>46113</v>
      </c>
      <c r="D582" s="11">
        <v>3273</v>
      </c>
      <c r="E582" s="11">
        <v>336</v>
      </c>
      <c r="F582" s="11">
        <v>4</v>
      </c>
      <c r="G582" s="9">
        <v>12</v>
      </c>
      <c r="H582" s="9">
        <v>81588</v>
      </c>
      <c r="I582" s="9" t="s">
        <v>17</v>
      </c>
      <c r="J582" s="9">
        <v>51103250</v>
      </c>
      <c r="K582" s="9" t="s">
        <v>2754</v>
      </c>
      <c r="L582" s="9" t="s">
        <v>2762</v>
      </c>
      <c r="M582" s="27">
        <v>139900</v>
      </c>
      <c r="N582" s="24">
        <f t="shared" si="57"/>
        <v>0.7</v>
      </c>
      <c r="O582" s="25">
        <f t="shared" si="56"/>
        <v>41970</v>
      </c>
      <c r="P582" s="11" t="s">
        <v>20</v>
      </c>
    </row>
    <row r="583" spans="1:16" x14ac:dyDescent="0.25">
      <c r="A583" s="23" t="str">
        <f t="shared" si="55"/>
        <v>2025 JAN-JUN D70</v>
      </c>
      <c r="B583" s="10">
        <f t="shared" si="55"/>
        <v>46104</v>
      </c>
      <c r="C583" s="10">
        <f t="shared" si="55"/>
        <v>46113</v>
      </c>
      <c r="D583" s="11">
        <v>3273</v>
      </c>
      <c r="E583" s="11">
        <v>336</v>
      </c>
      <c r="F583" s="11">
        <v>4</v>
      </c>
      <c r="G583" s="9">
        <v>12</v>
      </c>
      <c r="H583" s="9">
        <v>81588</v>
      </c>
      <c r="I583" s="9" t="s">
        <v>17</v>
      </c>
      <c r="J583" s="9">
        <v>52389683</v>
      </c>
      <c r="K583" s="9" t="s">
        <v>2763</v>
      </c>
      <c r="L583" s="9" t="s">
        <v>2764</v>
      </c>
      <c r="M583" s="27">
        <v>149900</v>
      </c>
      <c r="N583" s="24">
        <f t="shared" si="57"/>
        <v>0.7</v>
      </c>
      <c r="O583" s="25">
        <f t="shared" si="56"/>
        <v>44970</v>
      </c>
      <c r="P583" s="11" t="s">
        <v>20</v>
      </c>
    </row>
    <row r="584" spans="1:16" x14ac:dyDescent="0.25">
      <c r="A584" s="23" t="str">
        <f t="shared" si="55"/>
        <v>2025 JAN-JUN D70</v>
      </c>
      <c r="B584" s="10">
        <f t="shared" si="55"/>
        <v>46104</v>
      </c>
      <c r="C584" s="10">
        <f t="shared" si="55"/>
        <v>46113</v>
      </c>
      <c r="D584" s="11">
        <v>3273</v>
      </c>
      <c r="E584" s="11">
        <v>336</v>
      </c>
      <c r="F584" s="11">
        <v>4</v>
      </c>
      <c r="G584" s="9">
        <v>12</v>
      </c>
      <c r="H584" s="9">
        <v>81588</v>
      </c>
      <c r="I584" s="9" t="s">
        <v>17</v>
      </c>
      <c r="J584" s="9">
        <v>52389692</v>
      </c>
      <c r="K584" s="9" t="s">
        <v>2763</v>
      </c>
      <c r="L584" s="9" t="s">
        <v>2765</v>
      </c>
      <c r="M584" s="27">
        <v>149900</v>
      </c>
      <c r="N584" s="24">
        <f t="shared" si="57"/>
        <v>0.7</v>
      </c>
      <c r="O584" s="25">
        <f t="shared" si="56"/>
        <v>44970</v>
      </c>
      <c r="P584" s="11" t="s">
        <v>20</v>
      </c>
    </row>
    <row r="585" spans="1:16" x14ac:dyDescent="0.25">
      <c r="A585" s="23" t="str">
        <f t="shared" si="55"/>
        <v>2025 JAN-JUN D70</v>
      </c>
      <c r="B585" s="10">
        <f t="shared" si="55"/>
        <v>46104</v>
      </c>
      <c r="C585" s="10">
        <f t="shared" si="55"/>
        <v>46113</v>
      </c>
      <c r="D585" s="11">
        <v>3273</v>
      </c>
      <c r="E585" s="11">
        <v>336</v>
      </c>
      <c r="F585" s="11">
        <v>4</v>
      </c>
      <c r="G585" s="9">
        <v>12</v>
      </c>
      <c r="H585" s="9">
        <v>81588</v>
      </c>
      <c r="I585" s="9" t="s">
        <v>17</v>
      </c>
      <c r="J585" s="9">
        <v>52389709</v>
      </c>
      <c r="K585" s="9" t="s">
        <v>2763</v>
      </c>
      <c r="L585" s="9" t="s">
        <v>2766</v>
      </c>
      <c r="M585" s="27">
        <v>149900</v>
      </c>
      <c r="N585" s="24">
        <f t="shared" si="57"/>
        <v>0.7</v>
      </c>
      <c r="O585" s="25">
        <f t="shared" si="56"/>
        <v>44970</v>
      </c>
      <c r="P585" s="11" t="s">
        <v>20</v>
      </c>
    </row>
    <row r="586" spans="1:16" x14ac:dyDescent="0.25">
      <c r="A586" s="23" t="str">
        <f t="shared" si="55"/>
        <v>2025 JAN-JUN D70</v>
      </c>
      <c r="B586" s="10">
        <f t="shared" si="55"/>
        <v>46104</v>
      </c>
      <c r="C586" s="10">
        <f t="shared" si="55"/>
        <v>46113</v>
      </c>
      <c r="D586" s="11">
        <v>3273</v>
      </c>
      <c r="E586" s="11">
        <v>336</v>
      </c>
      <c r="F586" s="11">
        <v>4</v>
      </c>
      <c r="G586" s="9">
        <v>12</v>
      </c>
      <c r="H586" s="9">
        <v>81588</v>
      </c>
      <c r="I586" s="9" t="s">
        <v>17</v>
      </c>
      <c r="J586" s="9">
        <v>52389718</v>
      </c>
      <c r="K586" s="9" t="s">
        <v>2763</v>
      </c>
      <c r="L586" s="9" t="s">
        <v>2767</v>
      </c>
      <c r="M586" s="27">
        <v>149900</v>
      </c>
      <c r="N586" s="24">
        <f t="shared" si="57"/>
        <v>0.7</v>
      </c>
      <c r="O586" s="25">
        <f t="shared" si="56"/>
        <v>44970</v>
      </c>
      <c r="P586" s="11" t="s">
        <v>20</v>
      </c>
    </row>
    <row r="587" spans="1:16" x14ac:dyDescent="0.25">
      <c r="A587" s="23" t="str">
        <f t="shared" si="55"/>
        <v>2025 JAN-JUN D70</v>
      </c>
      <c r="B587" s="10">
        <f t="shared" si="55"/>
        <v>46104</v>
      </c>
      <c r="C587" s="10">
        <f t="shared" si="55"/>
        <v>46113</v>
      </c>
      <c r="D587" s="11">
        <v>3273</v>
      </c>
      <c r="E587" s="11">
        <v>336</v>
      </c>
      <c r="F587" s="11">
        <v>4</v>
      </c>
      <c r="G587" s="9">
        <v>12</v>
      </c>
      <c r="H587" s="9">
        <v>81588</v>
      </c>
      <c r="I587" s="9" t="s">
        <v>17</v>
      </c>
      <c r="J587" s="9">
        <v>52389727</v>
      </c>
      <c r="K587" s="9" t="s">
        <v>2763</v>
      </c>
      <c r="L587" s="9" t="s">
        <v>2768</v>
      </c>
      <c r="M587" s="27">
        <v>149900</v>
      </c>
      <c r="N587" s="24">
        <f t="shared" si="57"/>
        <v>0.7</v>
      </c>
      <c r="O587" s="25">
        <f t="shared" si="56"/>
        <v>44970</v>
      </c>
      <c r="P587" s="11" t="s">
        <v>20</v>
      </c>
    </row>
    <row r="588" spans="1:16" x14ac:dyDescent="0.25">
      <c r="A588" s="23" t="str">
        <f t="shared" si="55"/>
        <v>2025 JAN-JUN D70</v>
      </c>
      <c r="B588" s="10">
        <f t="shared" si="55"/>
        <v>46104</v>
      </c>
      <c r="C588" s="10">
        <f t="shared" si="55"/>
        <v>46113</v>
      </c>
      <c r="D588" s="11">
        <v>3273</v>
      </c>
      <c r="E588" s="11">
        <v>336</v>
      </c>
      <c r="F588" s="11">
        <v>4</v>
      </c>
      <c r="G588" s="9">
        <v>12</v>
      </c>
      <c r="H588" s="9">
        <v>81588</v>
      </c>
      <c r="I588" s="9" t="s">
        <v>17</v>
      </c>
      <c r="J588" s="9">
        <v>52389736</v>
      </c>
      <c r="K588" s="9" t="s">
        <v>2763</v>
      </c>
      <c r="L588" s="9" t="s">
        <v>2769</v>
      </c>
      <c r="M588" s="27">
        <v>149900</v>
      </c>
      <c r="N588" s="24">
        <f t="shared" si="57"/>
        <v>0.7</v>
      </c>
      <c r="O588" s="25">
        <f t="shared" si="56"/>
        <v>44970</v>
      </c>
      <c r="P588" s="11" t="s">
        <v>20</v>
      </c>
    </row>
    <row r="589" spans="1:16" x14ac:dyDescent="0.25">
      <c r="A589" s="23" t="str">
        <f t="shared" si="55"/>
        <v>2025 JAN-JUN D70</v>
      </c>
      <c r="B589" s="10">
        <f t="shared" si="55"/>
        <v>46104</v>
      </c>
      <c r="C589" s="10">
        <f t="shared" si="55"/>
        <v>46113</v>
      </c>
      <c r="D589" s="11">
        <v>3273</v>
      </c>
      <c r="E589" s="11">
        <v>336</v>
      </c>
      <c r="F589" s="11">
        <v>4</v>
      </c>
      <c r="G589" s="9">
        <v>12</v>
      </c>
      <c r="H589" s="9">
        <v>81588</v>
      </c>
      <c r="I589" s="9" t="s">
        <v>17</v>
      </c>
      <c r="J589" s="9">
        <v>52389745</v>
      </c>
      <c r="K589" s="9" t="s">
        <v>2763</v>
      </c>
      <c r="L589" s="9" t="s">
        <v>2770</v>
      </c>
      <c r="M589" s="27">
        <v>149900</v>
      </c>
      <c r="N589" s="24">
        <f t="shared" si="57"/>
        <v>0.7</v>
      </c>
      <c r="O589" s="25">
        <f t="shared" si="56"/>
        <v>44970</v>
      </c>
      <c r="P589" s="11" t="s">
        <v>20</v>
      </c>
    </row>
    <row r="590" spans="1:16" x14ac:dyDescent="0.25">
      <c r="A590" s="23" t="str">
        <f t="shared" si="55"/>
        <v>2025 JAN-JUN D70</v>
      </c>
      <c r="B590" s="10">
        <f t="shared" si="55"/>
        <v>46104</v>
      </c>
      <c r="C590" s="10">
        <f t="shared" si="55"/>
        <v>46113</v>
      </c>
      <c r="D590" s="11">
        <v>3273</v>
      </c>
      <c r="E590" s="11">
        <v>336</v>
      </c>
      <c r="F590" s="11">
        <v>4</v>
      </c>
      <c r="G590" s="9">
        <v>12</v>
      </c>
      <c r="H590" s="9">
        <v>81588</v>
      </c>
      <c r="I590" s="9" t="s">
        <v>17</v>
      </c>
      <c r="J590" s="9">
        <v>52389754</v>
      </c>
      <c r="K590" s="9" t="s">
        <v>2763</v>
      </c>
      <c r="L590" s="9" t="s">
        <v>2771</v>
      </c>
      <c r="M590" s="27">
        <v>149900</v>
      </c>
      <c r="N590" s="24">
        <f t="shared" si="57"/>
        <v>0.7</v>
      </c>
      <c r="O590" s="25">
        <f t="shared" si="56"/>
        <v>44970</v>
      </c>
      <c r="P590" s="11" t="s">
        <v>20</v>
      </c>
    </row>
    <row r="591" spans="1:16" x14ac:dyDescent="0.25">
      <c r="A591" s="23" t="str">
        <f t="shared" si="55"/>
        <v>2025 JAN-JUN D70</v>
      </c>
      <c r="B591" s="10">
        <f t="shared" si="55"/>
        <v>46104</v>
      </c>
      <c r="C591" s="10">
        <f t="shared" si="55"/>
        <v>46113</v>
      </c>
      <c r="D591" s="11">
        <v>3273</v>
      </c>
      <c r="E591" s="11">
        <v>336</v>
      </c>
      <c r="F591" s="11">
        <v>4</v>
      </c>
      <c r="G591" s="9">
        <v>12</v>
      </c>
      <c r="H591" s="9">
        <v>81588</v>
      </c>
      <c r="I591" s="9" t="s">
        <v>17</v>
      </c>
      <c r="J591" s="9">
        <v>52389763</v>
      </c>
      <c r="K591" s="9" t="s">
        <v>2772</v>
      </c>
      <c r="L591" s="9" t="s">
        <v>2773</v>
      </c>
      <c r="M591" s="27">
        <v>139900</v>
      </c>
      <c r="N591" s="24">
        <f t="shared" si="57"/>
        <v>0.7</v>
      </c>
      <c r="O591" s="25">
        <f t="shared" si="56"/>
        <v>41970</v>
      </c>
      <c r="P591" s="11" t="s">
        <v>20</v>
      </c>
    </row>
    <row r="592" spans="1:16" x14ac:dyDescent="0.25">
      <c r="A592" s="23" t="str">
        <f t="shared" si="55"/>
        <v>2025 JAN-JUN D70</v>
      </c>
      <c r="B592" s="10">
        <f t="shared" si="55"/>
        <v>46104</v>
      </c>
      <c r="C592" s="10">
        <f t="shared" si="55"/>
        <v>46113</v>
      </c>
      <c r="D592" s="11">
        <v>3273</v>
      </c>
      <c r="E592" s="11">
        <v>336</v>
      </c>
      <c r="F592" s="11">
        <v>4</v>
      </c>
      <c r="G592" s="9">
        <v>12</v>
      </c>
      <c r="H592" s="9">
        <v>81588</v>
      </c>
      <c r="I592" s="9" t="s">
        <v>17</v>
      </c>
      <c r="J592" s="9">
        <v>52389772</v>
      </c>
      <c r="K592" s="9" t="s">
        <v>2772</v>
      </c>
      <c r="L592" s="9" t="s">
        <v>2774</v>
      </c>
      <c r="M592" s="27">
        <v>139900</v>
      </c>
      <c r="N592" s="24">
        <f t="shared" si="57"/>
        <v>0.7</v>
      </c>
      <c r="O592" s="25">
        <f t="shared" si="56"/>
        <v>41970</v>
      </c>
      <c r="P592" s="11" t="s">
        <v>20</v>
      </c>
    </row>
    <row r="593" spans="1:16" x14ac:dyDescent="0.25">
      <c r="A593" s="23" t="str">
        <f t="shared" si="55"/>
        <v>2025 JAN-JUN D70</v>
      </c>
      <c r="B593" s="10">
        <f t="shared" si="55"/>
        <v>46104</v>
      </c>
      <c r="C593" s="10">
        <f t="shared" si="55"/>
        <v>46113</v>
      </c>
      <c r="D593" s="11">
        <v>3273</v>
      </c>
      <c r="E593" s="11">
        <v>336</v>
      </c>
      <c r="F593" s="11">
        <v>4</v>
      </c>
      <c r="G593" s="9">
        <v>12</v>
      </c>
      <c r="H593" s="9">
        <v>81588</v>
      </c>
      <c r="I593" s="9" t="s">
        <v>17</v>
      </c>
      <c r="J593" s="9">
        <v>52389781</v>
      </c>
      <c r="K593" s="9" t="s">
        <v>2772</v>
      </c>
      <c r="L593" s="9" t="s">
        <v>2775</v>
      </c>
      <c r="M593" s="27">
        <v>139900</v>
      </c>
      <c r="N593" s="24">
        <f t="shared" si="57"/>
        <v>0.7</v>
      </c>
      <c r="O593" s="25">
        <f t="shared" si="56"/>
        <v>41970</v>
      </c>
      <c r="P593" s="11" t="s">
        <v>20</v>
      </c>
    </row>
    <row r="594" spans="1:16" x14ac:dyDescent="0.25">
      <c r="A594" s="23" t="str">
        <f t="shared" si="55"/>
        <v>2025 JAN-JUN D70</v>
      </c>
      <c r="B594" s="10">
        <f t="shared" si="55"/>
        <v>46104</v>
      </c>
      <c r="C594" s="10">
        <f t="shared" si="55"/>
        <v>46113</v>
      </c>
      <c r="D594" s="11">
        <v>3273</v>
      </c>
      <c r="E594" s="11">
        <v>336</v>
      </c>
      <c r="F594" s="11">
        <v>4</v>
      </c>
      <c r="G594" s="9">
        <v>12</v>
      </c>
      <c r="H594" s="9">
        <v>81588</v>
      </c>
      <c r="I594" s="9" t="s">
        <v>17</v>
      </c>
      <c r="J594" s="9">
        <v>52389790</v>
      </c>
      <c r="K594" s="9" t="s">
        <v>2772</v>
      </c>
      <c r="L594" s="9" t="s">
        <v>2776</v>
      </c>
      <c r="M594" s="27">
        <v>139900</v>
      </c>
      <c r="N594" s="24">
        <f t="shared" si="57"/>
        <v>0.7</v>
      </c>
      <c r="O594" s="25">
        <f t="shared" si="56"/>
        <v>41970</v>
      </c>
      <c r="P594" s="11" t="s">
        <v>20</v>
      </c>
    </row>
    <row r="595" spans="1:16" x14ac:dyDescent="0.25">
      <c r="A595" s="23" t="str">
        <f t="shared" ref="A595:C610" si="58">A594</f>
        <v>2025 JAN-JUN D70</v>
      </c>
      <c r="B595" s="10">
        <f t="shared" si="58"/>
        <v>46104</v>
      </c>
      <c r="C595" s="10">
        <f t="shared" si="58"/>
        <v>46113</v>
      </c>
      <c r="D595" s="11">
        <v>3273</v>
      </c>
      <c r="E595" s="11">
        <v>336</v>
      </c>
      <c r="F595" s="11">
        <v>4</v>
      </c>
      <c r="G595" s="9">
        <v>12</v>
      </c>
      <c r="H595" s="9">
        <v>81588</v>
      </c>
      <c r="I595" s="9" t="s">
        <v>17</v>
      </c>
      <c r="J595" s="9">
        <v>52389807</v>
      </c>
      <c r="K595" s="9" t="s">
        <v>2772</v>
      </c>
      <c r="L595" s="9" t="s">
        <v>2777</v>
      </c>
      <c r="M595" s="27">
        <v>139900</v>
      </c>
      <c r="N595" s="24">
        <f t="shared" si="57"/>
        <v>0.7</v>
      </c>
      <c r="O595" s="25">
        <f t="shared" si="56"/>
        <v>41970</v>
      </c>
      <c r="P595" s="11" t="s">
        <v>20</v>
      </c>
    </row>
    <row r="596" spans="1:16" x14ac:dyDescent="0.25">
      <c r="A596" s="23" t="str">
        <f t="shared" si="58"/>
        <v>2025 JAN-JUN D70</v>
      </c>
      <c r="B596" s="10">
        <f t="shared" si="58"/>
        <v>46104</v>
      </c>
      <c r="C596" s="10">
        <f t="shared" si="58"/>
        <v>46113</v>
      </c>
      <c r="D596" s="11">
        <v>3273</v>
      </c>
      <c r="E596" s="11">
        <v>336</v>
      </c>
      <c r="F596" s="11">
        <v>4</v>
      </c>
      <c r="G596" s="9">
        <v>12</v>
      </c>
      <c r="H596" s="9">
        <v>81588</v>
      </c>
      <c r="I596" s="9" t="s">
        <v>17</v>
      </c>
      <c r="J596" s="9">
        <v>52389816</v>
      </c>
      <c r="K596" s="9" t="s">
        <v>2772</v>
      </c>
      <c r="L596" s="9" t="s">
        <v>2778</v>
      </c>
      <c r="M596" s="27">
        <v>139900</v>
      </c>
      <c r="N596" s="24">
        <f t="shared" si="57"/>
        <v>0.7</v>
      </c>
      <c r="O596" s="25">
        <f t="shared" si="56"/>
        <v>41970</v>
      </c>
      <c r="P596" s="11" t="s">
        <v>20</v>
      </c>
    </row>
    <row r="597" spans="1:16" x14ac:dyDescent="0.25">
      <c r="A597" s="23" t="str">
        <f t="shared" si="58"/>
        <v>2025 JAN-JUN D70</v>
      </c>
      <c r="B597" s="10">
        <f t="shared" si="58"/>
        <v>46104</v>
      </c>
      <c r="C597" s="10">
        <f t="shared" si="58"/>
        <v>46113</v>
      </c>
      <c r="D597" s="11">
        <v>3273</v>
      </c>
      <c r="E597" s="11">
        <v>336</v>
      </c>
      <c r="F597" s="11">
        <v>4</v>
      </c>
      <c r="G597" s="9">
        <v>12</v>
      </c>
      <c r="H597" s="9">
        <v>81588</v>
      </c>
      <c r="I597" s="9" t="s">
        <v>17</v>
      </c>
      <c r="J597" s="9">
        <v>52389825</v>
      </c>
      <c r="K597" s="9" t="s">
        <v>2772</v>
      </c>
      <c r="L597" s="9" t="s">
        <v>2779</v>
      </c>
      <c r="M597" s="27">
        <v>139900</v>
      </c>
      <c r="N597" s="24">
        <f t="shared" si="57"/>
        <v>0.7</v>
      </c>
      <c r="O597" s="25">
        <f t="shared" si="56"/>
        <v>41970</v>
      </c>
      <c r="P597" s="11" t="s">
        <v>20</v>
      </c>
    </row>
    <row r="598" spans="1:16" x14ac:dyDescent="0.25">
      <c r="A598" s="23" t="str">
        <f t="shared" si="58"/>
        <v>2025 JAN-JUN D70</v>
      </c>
      <c r="B598" s="10">
        <f t="shared" si="58"/>
        <v>46104</v>
      </c>
      <c r="C598" s="10">
        <f t="shared" si="58"/>
        <v>46113</v>
      </c>
      <c r="D598" s="11">
        <v>3273</v>
      </c>
      <c r="E598" s="11">
        <v>336</v>
      </c>
      <c r="F598" s="11">
        <v>4</v>
      </c>
      <c r="G598" s="9">
        <v>12</v>
      </c>
      <c r="H598" s="9">
        <v>81588</v>
      </c>
      <c r="I598" s="9" t="s">
        <v>17</v>
      </c>
      <c r="J598" s="9">
        <v>52389834</v>
      </c>
      <c r="K598" s="9" t="s">
        <v>2772</v>
      </c>
      <c r="L598" s="9" t="s">
        <v>2780</v>
      </c>
      <c r="M598" s="27">
        <v>139900</v>
      </c>
      <c r="N598" s="24">
        <f t="shared" si="57"/>
        <v>0.7</v>
      </c>
      <c r="O598" s="25">
        <f t="shared" si="56"/>
        <v>41970</v>
      </c>
      <c r="P598" s="11" t="s">
        <v>20</v>
      </c>
    </row>
    <row r="599" spans="1:16" x14ac:dyDescent="0.25">
      <c r="A599" s="23" t="str">
        <f t="shared" si="58"/>
        <v>2025 JAN-JUN D70</v>
      </c>
      <c r="B599" s="10">
        <f t="shared" si="58"/>
        <v>46104</v>
      </c>
      <c r="C599" s="10">
        <f t="shared" si="58"/>
        <v>46113</v>
      </c>
      <c r="D599" s="11">
        <v>3273</v>
      </c>
      <c r="E599" s="11">
        <v>336</v>
      </c>
      <c r="F599" s="11">
        <v>4</v>
      </c>
      <c r="G599" s="9">
        <v>12</v>
      </c>
      <c r="H599" s="9">
        <v>81588</v>
      </c>
      <c r="I599" s="9" t="s">
        <v>17</v>
      </c>
      <c r="J599" s="9">
        <v>52389843</v>
      </c>
      <c r="K599" s="9" t="s">
        <v>2781</v>
      </c>
      <c r="L599" s="9" t="s">
        <v>2782</v>
      </c>
      <c r="M599" s="27">
        <v>149900</v>
      </c>
      <c r="N599" s="24">
        <f t="shared" si="57"/>
        <v>0.7</v>
      </c>
      <c r="O599" s="25">
        <f t="shared" si="56"/>
        <v>44970</v>
      </c>
      <c r="P599" s="11" t="s">
        <v>20</v>
      </c>
    </row>
    <row r="600" spans="1:16" x14ac:dyDescent="0.25">
      <c r="A600" s="23" t="str">
        <f t="shared" si="58"/>
        <v>2025 JAN-JUN D70</v>
      </c>
      <c r="B600" s="10">
        <f t="shared" si="58"/>
        <v>46104</v>
      </c>
      <c r="C600" s="10">
        <f t="shared" si="58"/>
        <v>46113</v>
      </c>
      <c r="D600" s="11">
        <v>3273</v>
      </c>
      <c r="E600" s="11">
        <v>336</v>
      </c>
      <c r="F600" s="11">
        <v>4</v>
      </c>
      <c r="G600" s="9">
        <v>12</v>
      </c>
      <c r="H600" s="9">
        <v>81588</v>
      </c>
      <c r="I600" s="9" t="s">
        <v>17</v>
      </c>
      <c r="J600" s="9">
        <v>52389852</v>
      </c>
      <c r="K600" s="9" t="s">
        <v>2781</v>
      </c>
      <c r="L600" s="9" t="s">
        <v>2783</v>
      </c>
      <c r="M600" s="27">
        <v>149900</v>
      </c>
      <c r="N600" s="24">
        <f t="shared" si="57"/>
        <v>0.7</v>
      </c>
      <c r="O600" s="25">
        <f t="shared" si="56"/>
        <v>44970</v>
      </c>
      <c r="P600" s="11" t="s">
        <v>20</v>
      </c>
    </row>
    <row r="601" spans="1:16" x14ac:dyDescent="0.25">
      <c r="A601" s="23" t="str">
        <f t="shared" si="58"/>
        <v>2025 JAN-JUN D70</v>
      </c>
      <c r="B601" s="10">
        <f t="shared" si="58"/>
        <v>46104</v>
      </c>
      <c r="C601" s="10">
        <f t="shared" si="58"/>
        <v>46113</v>
      </c>
      <c r="D601" s="11">
        <v>3273</v>
      </c>
      <c r="E601" s="11">
        <v>336</v>
      </c>
      <c r="F601" s="11">
        <v>4</v>
      </c>
      <c r="G601" s="9">
        <v>12</v>
      </c>
      <c r="H601" s="9">
        <v>81588</v>
      </c>
      <c r="I601" s="9" t="s">
        <v>17</v>
      </c>
      <c r="J601" s="9">
        <v>52389861</v>
      </c>
      <c r="K601" s="9" t="s">
        <v>2781</v>
      </c>
      <c r="L601" s="9" t="s">
        <v>2784</v>
      </c>
      <c r="M601" s="27">
        <v>149900</v>
      </c>
      <c r="N601" s="24">
        <f t="shared" si="57"/>
        <v>0.7</v>
      </c>
      <c r="O601" s="25">
        <f t="shared" si="56"/>
        <v>44970</v>
      </c>
      <c r="P601" s="11" t="s">
        <v>20</v>
      </c>
    </row>
    <row r="602" spans="1:16" x14ac:dyDescent="0.25">
      <c r="A602" s="23" t="str">
        <f t="shared" si="58"/>
        <v>2025 JAN-JUN D70</v>
      </c>
      <c r="B602" s="10">
        <f t="shared" si="58"/>
        <v>46104</v>
      </c>
      <c r="C602" s="10">
        <f t="shared" si="58"/>
        <v>46113</v>
      </c>
      <c r="D602" s="11">
        <v>3273</v>
      </c>
      <c r="E602" s="11">
        <v>336</v>
      </c>
      <c r="F602" s="11">
        <v>4</v>
      </c>
      <c r="G602" s="9">
        <v>12</v>
      </c>
      <c r="H602" s="9">
        <v>81588</v>
      </c>
      <c r="I602" s="9" t="s">
        <v>17</v>
      </c>
      <c r="J602" s="9">
        <v>52389870</v>
      </c>
      <c r="K602" s="9" t="s">
        <v>2781</v>
      </c>
      <c r="L602" s="9" t="s">
        <v>2785</v>
      </c>
      <c r="M602" s="27">
        <v>149900</v>
      </c>
      <c r="N602" s="24">
        <f t="shared" si="57"/>
        <v>0.7</v>
      </c>
      <c r="O602" s="25">
        <f t="shared" si="56"/>
        <v>44970</v>
      </c>
      <c r="P602" s="11" t="s">
        <v>20</v>
      </c>
    </row>
    <row r="603" spans="1:16" x14ac:dyDescent="0.25">
      <c r="A603" s="23" t="str">
        <f t="shared" si="58"/>
        <v>2025 JAN-JUN D70</v>
      </c>
      <c r="B603" s="10">
        <f t="shared" si="58"/>
        <v>46104</v>
      </c>
      <c r="C603" s="10">
        <f t="shared" si="58"/>
        <v>46113</v>
      </c>
      <c r="D603" s="11">
        <v>3273</v>
      </c>
      <c r="E603" s="11">
        <v>336</v>
      </c>
      <c r="F603" s="11">
        <v>4</v>
      </c>
      <c r="G603" s="9">
        <v>12</v>
      </c>
      <c r="H603" s="9">
        <v>81588</v>
      </c>
      <c r="I603" s="9" t="s">
        <v>17</v>
      </c>
      <c r="J603" s="9">
        <v>52389889</v>
      </c>
      <c r="K603" s="9" t="s">
        <v>2781</v>
      </c>
      <c r="L603" s="9" t="s">
        <v>2786</v>
      </c>
      <c r="M603" s="27">
        <v>149900</v>
      </c>
      <c r="N603" s="24">
        <f t="shared" si="57"/>
        <v>0.7</v>
      </c>
      <c r="O603" s="25">
        <f t="shared" si="56"/>
        <v>44970</v>
      </c>
      <c r="P603" s="11" t="s">
        <v>20</v>
      </c>
    </row>
    <row r="604" spans="1:16" x14ac:dyDescent="0.25">
      <c r="A604" s="23" t="str">
        <f t="shared" si="58"/>
        <v>2025 JAN-JUN D70</v>
      </c>
      <c r="B604" s="10">
        <f t="shared" si="58"/>
        <v>46104</v>
      </c>
      <c r="C604" s="10">
        <f t="shared" si="58"/>
        <v>46113</v>
      </c>
      <c r="D604" s="11">
        <v>3273</v>
      </c>
      <c r="E604" s="11">
        <v>336</v>
      </c>
      <c r="F604" s="11">
        <v>4</v>
      </c>
      <c r="G604" s="9">
        <v>12</v>
      </c>
      <c r="H604" s="9">
        <v>81588</v>
      </c>
      <c r="I604" s="9" t="s">
        <v>17</v>
      </c>
      <c r="J604" s="9">
        <v>52389898</v>
      </c>
      <c r="K604" s="9" t="s">
        <v>2781</v>
      </c>
      <c r="L604" s="9" t="s">
        <v>2787</v>
      </c>
      <c r="M604" s="27">
        <v>149900</v>
      </c>
      <c r="N604" s="24">
        <f t="shared" si="57"/>
        <v>0.7</v>
      </c>
      <c r="O604" s="25">
        <f t="shared" si="56"/>
        <v>44970</v>
      </c>
      <c r="P604" s="11" t="s">
        <v>20</v>
      </c>
    </row>
    <row r="605" spans="1:16" x14ac:dyDescent="0.25">
      <c r="A605" s="23" t="str">
        <f t="shared" si="58"/>
        <v>2025 JAN-JUN D70</v>
      </c>
      <c r="B605" s="10">
        <f t="shared" si="58"/>
        <v>46104</v>
      </c>
      <c r="C605" s="10">
        <f t="shared" si="58"/>
        <v>46113</v>
      </c>
      <c r="D605" s="11">
        <v>3273</v>
      </c>
      <c r="E605" s="11">
        <v>336</v>
      </c>
      <c r="F605" s="11">
        <v>4</v>
      </c>
      <c r="G605" s="9">
        <v>12</v>
      </c>
      <c r="H605" s="9">
        <v>81588</v>
      </c>
      <c r="I605" s="9" t="s">
        <v>17</v>
      </c>
      <c r="J605" s="9">
        <v>52389905</v>
      </c>
      <c r="K605" s="9" t="s">
        <v>2781</v>
      </c>
      <c r="L605" s="9" t="s">
        <v>2788</v>
      </c>
      <c r="M605" s="27">
        <v>149900</v>
      </c>
      <c r="N605" s="24">
        <f t="shared" si="57"/>
        <v>0.7</v>
      </c>
      <c r="O605" s="25">
        <f t="shared" si="56"/>
        <v>44970</v>
      </c>
      <c r="P605" s="11" t="s">
        <v>20</v>
      </c>
    </row>
    <row r="606" spans="1:16" x14ac:dyDescent="0.25">
      <c r="A606" s="23" t="str">
        <f t="shared" si="58"/>
        <v>2025 JAN-JUN D70</v>
      </c>
      <c r="B606" s="10">
        <f t="shared" si="58"/>
        <v>46104</v>
      </c>
      <c r="C606" s="10">
        <f t="shared" si="58"/>
        <v>46113</v>
      </c>
      <c r="D606" s="11">
        <v>3273</v>
      </c>
      <c r="E606" s="11">
        <v>336</v>
      </c>
      <c r="F606" s="11">
        <v>4</v>
      </c>
      <c r="G606" s="9">
        <v>12</v>
      </c>
      <c r="H606" s="9">
        <v>81588</v>
      </c>
      <c r="I606" s="9" t="s">
        <v>17</v>
      </c>
      <c r="J606" s="9">
        <v>52389914</v>
      </c>
      <c r="K606" s="9" t="s">
        <v>2781</v>
      </c>
      <c r="L606" s="9" t="s">
        <v>2789</v>
      </c>
      <c r="M606" s="27">
        <v>149900</v>
      </c>
      <c r="N606" s="24">
        <f t="shared" si="57"/>
        <v>0.7</v>
      </c>
      <c r="O606" s="25">
        <f t="shared" si="56"/>
        <v>44970</v>
      </c>
      <c r="P606" s="11" t="s">
        <v>20</v>
      </c>
    </row>
    <row r="607" spans="1:16" x14ac:dyDescent="0.25">
      <c r="A607" s="23" t="str">
        <f t="shared" si="58"/>
        <v>2025 JAN-JUN D70</v>
      </c>
      <c r="B607" s="10">
        <f t="shared" si="58"/>
        <v>46104</v>
      </c>
      <c r="C607" s="10">
        <f t="shared" si="58"/>
        <v>46113</v>
      </c>
      <c r="D607" s="11">
        <v>3273</v>
      </c>
      <c r="E607" s="11">
        <v>336</v>
      </c>
      <c r="F607" s="11">
        <v>4</v>
      </c>
      <c r="G607" s="9">
        <v>12</v>
      </c>
      <c r="H607" s="9">
        <v>81588</v>
      </c>
      <c r="I607" s="9" t="s">
        <v>17</v>
      </c>
      <c r="J607" s="9">
        <v>52390000</v>
      </c>
      <c r="K607" s="9" t="s">
        <v>2790</v>
      </c>
      <c r="L607" s="9" t="s">
        <v>2791</v>
      </c>
      <c r="M607" s="27">
        <v>149900</v>
      </c>
      <c r="N607" s="24">
        <f t="shared" si="57"/>
        <v>0.7</v>
      </c>
      <c r="O607" s="25">
        <f t="shared" si="56"/>
        <v>44970</v>
      </c>
      <c r="P607" s="11" t="s">
        <v>20</v>
      </c>
    </row>
    <row r="608" spans="1:16" x14ac:dyDescent="0.25">
      <c r="A608" s="23" t="str">
        <f t="shared" si="58"/>
        <v>2025 JAN-JUN D70</v>
      </c>
      <c r="B608" s="10">
        <f t="shared" si="58"/>
        <v>46104</v>
      </c>
      <c r="C608" s="10">
        <f t="shared" si="58"/>
        <v>46113</v>
      </c>
      <c r="D608" s="11">
        <v>3273</v>
      </c>
      <c r="E608" s="11">
        <v>336</v>
      </c>
      <c r="F608" s="11">
        <v>4</v>
      </c>
      <c r="G608" s="9">
        <v>12</v>
      </c>
      <c r="H608" s="9">
        <v>81588</v>
      </c>
      <c r="I608" s="9" t="s">
        <v>17</v>
      </c>
      <c r="J608" s="9">
        <v>52390019</v>
      </c>
      <c r="K608" s="9" t="s">
        <v>2790</v>
      </c>
      <c r="L608" s="9" t="s">
        <v>2792</v>
      </c>
      <c r="M608" s="27">
        <v>149900</v>
      </c>
      <c r="N608" s="24">
        <f t="shared" si="57"/>
        <v>0.7</v>
      </c>
      <c r="O608" s="25">
        <f t="shared" si="56"/>
        <v>44970</v>
      </c>
      <c r="P608" s="11" t="s">
        <v>20</v>
      </c>
    </row>
    <row r="609" spans="1:16" x14ac:dyDescent="0.25">
      <c r="A609" s="23" t="str">
        <f t="shared" si="58"/>
        <v>2025 JAN-JUN D70</v>
      </c>
      <c r="B609" s="10">
        <f t="shared" si="58"/>
        <v>46104</v>
      </c>
      <c r="C609" s="10">
        <f t="shared" si="58"/>
        <v>46113</v>
      </c>
      <c r="D609" s="11">
        <v>3273</v>
      </c>
      <c r="E609" s="11">
        <v>336</v>
      </c>
      <c r="F609" s="11">
        <v>4</v>
      </c>
      <c r="G609" s="9">
        <v>12</v>
      </c>
      <c r="H609" s="9">
        <v>81588</v>
      </c>
      <c r="I609" s="9" t="s">
        <v>17</v>
      </c>
      <c r="J609" s="9">
        <v>52390028</v>
      </c>
      <c r="K609" s="9" t="s">
        <v>2790</v>
      </c>
      <c r="L609" s="9" t="s">
        <v>2793</v>
      </c>
      <c r="M609" s="27">
        <v>149900</v>
      </c>
      <c r="N609" s="24">
        <f t="shared" si="57"/>
        <v>0.7</v>
      </c>
      <c r="O609" s="25">
        <f t="shared" si="56"/>
        <v>44970</v>
      </c>
      <c r="P609" s="11" t="s">
        <v>20</v>
      </c>
    </row>
    <row r="610" spans="1:16" x14ac:dyDescent="0.25">
      <c r="A610" s="23" t="str">
        <f t="shared" si="58"/>
        <v>2025 JAN-JUN D70</v>
      </c>
      <c r="B610" s="10">
        <f t="shared" si="58"/>
        <v>46104</v>
      </c>
      <c r="C610" s="10">
        <f t="shared" si="58"/>
        <v>46113</v>
      </c>
      <c r="D610" s="11">
        <v>3273</v>
      </c>
      <c r="E610" s="11">
        <v>336</v>
      </c>
      <c r="F610" s="11">
        <v>4</v>
      </c>
      <c r="G610" s="9">
        <v>12</v>
      </c>
      <c r="H610" s="9">
        <v>81588</v>
      </c>
      <c r="I610" s="9" t="s">
        <v>17</v>
      </c>
      <c r="J610" s="9">
        <v>52390037</v>
      </c>
      <c r="K610" s="9" t="s">
        <v>2790</v>
      </c>
      <c r="L610" s="9" t="s">
        <v>2794</v>
      </c>
      <c r="M610" s="27">
        <v>149900</v>
      </c>
      <c r="N610" s="24">
        <f t="shared" si="57"/>
        <v>0.7</v>
      </c>
      <c r="O610" s="25">
        <f t="shared" si="56"/>
        <v>44970</v>
      </c>
      <c r="P610" s="11" t="s">
        <v>20</v>
      </c>
    </row>
    <row r="611" spans="1:16" x14ac:dyDescent="0.25">
      <c r="A611" s="23" t="str">
        <f t="shared" ref="A611:C626" si="59">A610</f>
        <v>2025 JAN-JUN D70</v>
      </c>
      <c r="B611" s="10">
        <f t="shared" si="59"/>
        <v>46104</v>
      </c>
      <c r="C611" s="10">
        <f t="shared" si="59"/>
        <v>46113</v>
      </c>
      <c r="D611" s="11">
        <v>3273</v>
      </c>
      <c r="E611" s="11">
        <v>336</v>
      </c>
      <c r="F611" s="11">
        <v>4</v>
      </c>
      <c r="G611" s="9">
        <v>12</v>
      </c>
      <c r="H611" s="9">
        <v>81588</v>
      </c>
      <c r="I611" s="9" t="s">
        <v>17</v>
      </c>
      <c r="J611" s="9">
        <v>52390046</v>
      </c>
      <c r="K611" s="9" t="s">
        <v>2790</v>
      </c>
      <c r="L611" s="9" t="s">
        <v>2795</v>
      </c>
      <c r="M611" s="27">
        <v>149900</v>
      </c>
      <c r="N611" s="24">
        <f t="shared" si="57"/>
        <v>0.7</v>
      </c>
      <c r="O611" s="25">
        <f t="shared" si="56"/>
        <v>44970</v>
      </c>
      <c r="P611" s="11" t="s">
        <v>20</v>
      </c>
    </row>
    <row r="612" spans="1:16" x14ac:dyDescent="0.25">
      <c r="A612" s="23" t="str">
        <f t="shared" si="59"/>
        <v>2025 JAN-JUN D70</v>
      </c>
      <c r="B612" s="10">
        <f t="shared" si="59"/>
        <v>46104</v>
      </c>
      <c r="C612" s="10">
        <f t="shared" si="59"/>
        <v>46113</v>
      </c>
      <c r="D612" s="11">
        <v>3273</v>
      </c>
      <c r="E612" s="11">
        <v>336</v>
      </c>
      <c r="F612" s="11">
        <v>4</v>
      </c>
      <c r="G612" s="9">
        <v>12</v>
      </c>
      <c r="H612" s="9">
        <v>81588</v>
      </c>
      <c r="I612" s="9" t="s">
        <v>17</v>
      </c>
      <c r="J612" s="9">
        <v>52390055</v>
      </c>
      <c r="K612" s="9" t="s">
        <v>2790</v>
      </c>
      <c r="L612" s="9" t="s">
        <v>2796</v>
      </c>
      <c r="M612" s="27">
        <v>149900</v>
      </c>
      <c r="N612" s="24">
        <f t="shared" si="57"/>
        <v>0.7</v>
      </c>
      <c r="O612" s="25">
        <f t="shared" si="56"/>
        <v>44970</v>
      </c>
      <c r="P612" s="11" t="s">
        <v>20</v>
      </c>
    </row>
    <row r="613" spans="1:16" x14ac:dyDescent="0.25">
      <c r="A613" s="23" t="str">
        <f t="shared" si="59"/>
        <v>2025 JAN-JUN D70</v>
      </c>
      <c r="B613" s="10">
        <f t="shared" si="59"/>
        <v>46104</v>
      </c>
      <c r="C613" s="10">
        <f t="shared" si="59"/>
        <v>46113</v>
      </c>
      <c r="D613" s="11">
        <v>3273</v>
      </c>
      <c r="E613" s="11">
        <v>336</v>
      </c>
      <c r="F613" s="11">
        <v>4</v>
      </c>
      <c r="G613" s="9">
        <v>12</v>
      </c>
      <c r="H613" s="9">
        <v>81676</v>
      </c>
      <c r="I613" s="9" t="s">
        <v>17</v>
      </c>
      <c r="J613" s="9">
        <v>52390064</v>
      </c>
      <c r="K613" s="9" t="s">
        <v>2797</v>
      </c>
      <c r="L613" s="9" t="s">
        <v>2798</v>
      </c>
      <c r="M613" s="27">
        <v>119900</v>
      </c>
      <c r="N613" s="24">
        <f t="shared" si="57"/>
        <v>0.7</v>
      </c>
      <c r="O613" s="25">
        <f t="shared" si="56"/>
        <v>35970</v>
      </c>
      <c r="P613" s="11" t="s">
        <v>20</v>
      </c>
    </row>
    <row r="614" spans="1:16" x14ac:dyDescent="0.25">
      <c r="A614" s="23" t="str">
        <f t="shared" si="59"/>
        <v>2025 JAN-JUN D70</v>
      </c>
      <c r="B614" s="10">
        <f t="shared" si="59"/>
        <v>46104</v>
      </c>
      <c r="C614" s="10">
        <f t="shared" si="59"/>
        <v>46113</v>
      </c>
      <c r="D614" s="11">
        <v>3273</v>
      </c>
      <c r="E614" s="11">
        <v>336</v>
      </c>
      <c r="F614" s="11">
        <v>4</v>
      </c>
      <c r="G614" s="9">
        <v>12</v>
      </c>
      <c r="H614" s="9">
        <v>81676</v>
      </c>
      <c r="I614" s="9" t="s">
        <v>17</v>
      </c>
      <c r="J614" s="9">
        <v>52390073</v>
      </c>
      <c r="K614" s="9" t="s">
        <v>2797</v>
      </c>
      <c r="L614" s="9" t="s">
        <v>2799</v>
      </c>
      <c r="M614" s="27">
        <v>119900</v>
      </c>
      <c r="N614" s="24">
        <f t="shared" si="57"/>
        <v>0.7</v>
      </c>
      <c r="O614" s="25">
        <f t="shared" si="56"/>
        <v>35970</v>
      </c>
      <c r="P614" s="11" t="s">
        <v>20</v>
      </c>
    </row>
    <row r="615" spans="1:16" x14ac:dyDescent="0.25">
      <c r="A615" s="23" t="str">
        <f t="shared" si="59"/>
        <v>2025 JAN-JUN D70</v>
      </c>
      <c r="B615" s="10">
        <f t="shared" si="59"/>
        <v>46104</v>
      </c>
      <c r="C615" s="10">
        <f t="shared" si="59"/>
        <v>46113</v>
      </c>
      <c r="D615" s="11">
        <v>3273</v>
      </c>
      <c r="E615" s="11">
        <v>336</v>
      </c>
      <c r="F615" s="11">
        <v>4</v>
      </c>
      <c r="G615" s="9">
        <v>12</v>
      </c>
      <c r="H615" s="9">
        <v>81676</v>
      </c>
      <c r="I615" s="9" t="s">
        <v>17</v>
      </c>
      <c r="J615" s="9">
        <v>52390082</v>
      </c>
      <c r="K615" s="9" t="s">
        <v>2797</v>
      </c>
      <c r="L615" s="9" t="s">
        <v>2800</v>
      </c>
      <c r="M615" s="27">
        <v>119900</v>
      </c>
      <c r="N615" s="24">
        <f t="shared" si="57"/>
        <v>0.7</v>
      </c>
      <c r="O615" s="25">
        <f t="shared" si="56"/>
        <v>35970</v>
      </c>
      <c r="P615" s="11" t="s">
        <v>20</v>
      </c>
    </row>
    <row r="616" spans="1:16" x14ac:dyDescent="0.25">
      <c r="A616" s="23" t="str">
        <f t="shared" si="59"/>
        <v>2025 JAN-JUN D70</v>
      </c>
      <c r="B616" s="10">
        <f t="shared" si="59"/>
        <v>46104</v>
      </c>
      <c r="C616" s="10">
        <f t="shared" si="59"/>
        <v>46113</v>
      </c>
      <c r="D616" s="11">
        <v>3273</v>
      </c>
      <c r="E616" s="11">
        <v>336</v>
      </c>
      <c r="F616" s="11">
        <v>4</v>
      </c>
      <c r="G616" s="9">
        <v>12</v>
      </c>
      <c r="H616" s="9">
        <v>81676</v>
      </c>
      <c r="I616" s="9" t="s">
        <v>17</v>
      </c>
      <c r="J616" s="9">
        <v>52390091</v>
      </c>
      <c r="K616" s="9" t="s">
        <v>2797</v>
      </c>
      <c r="L616" s="9" t="s">
        <v>2801</v>
      </c>
      <c r="M616" s="27">
        <v>119900</v>
      </c>
      <c r="N616" s="24">
        <f t="shared" si="57"/>
        <v>0.7</v>
      </c>
      <c r="O616" s="25">
        <f t="shared" si="56"/>
        <v>35970</v>
      </c>
      <c r="P616" s="11" t="s">
        <v>20</v>
      </c>
    </row>
    <row r="617" spans="1:16" x14ac:dyDescent="0.25">
      <c r="A617" s="23" t="str">
        <f t="shared" si="59"/>
        <v>2025 JAN-JUN D70</v>
      </c>
      <c r="B617" s="10">
        <f t="shared" si="59"/>
        <v>46104</v>
      </c>
      <c r="C617" s="10">
        <f t="shared" si="59"/>
        <v>46113</v>
      </c>
      <c r="D617" s="11">
        <v>3273</v>
      </c>
      <c r="E617" s="11">
        <v>336</v>
      </c>
      <c r="F617" s="11">
        <v>4</v>
      </c>
      <c r="G617" s="9">
        <v>12</v>
      </c>
      <c r="H617" s="9">
        <v>81676</v>
      </c>
      <c r="I617" s="9" t="s">
        <v>17</v>
      </c>
      <c r="J617" s="9">
        <v>52390108</v>
      </c>
      <c r="K617" s="9" t="s">
        <v>2797</v>
      </c>
      <c r="L617" s="9" t="s">
        <v>2802</v>
      </c>
      <c r="M617" s="27">
        <v>119900</v>
      </c>
      <c r="N617" s="24">
        <f t="shared" si="57"/>
        <v>0.7</v>
      </c>
      <c r="O617" s="25">
        <f t="shared" si="56"/>
        <v>35970</v>
      </c>
      <c r="P617" s="11" t="s">
        <v>20</v>
      </c>
    </row>
    <row r="618" spans="1:16" x14ac:dyDescent="0.25">
      <c r="A618" s="23" t="str">
        <f t="shared" si="59"/>
        <v>2025 JAN-JUN D70</v>
      </c>
      <c r="B618" s="10">
        <f t="shared" si="59"/>
        <v>46104</v>
      </c>
      <c r="C618" s="10">
        <f t="shared" si="59"/>
        <v>46113</v>
      </c>
      <c r="D618" s="11">
        <v>3273</v>
      </c>
      <c r="E618" s="11">
        <v>336</v>
      </c>
      <c r="F618" s="11">
        <v>4</v>
      </c>
      <c r="G618" s="9">
        <v>12</v>
      </c>
      <c r="H618" s="9">
        <v>81676</v>
      </c>
      <c r="I618" s="9" t="s">
        <v>17</v>
      </c>
      <c r="J618" s="9">
        <v>52390117</v>
      </c>
      <c r="K618" s="9" t="s">
        <v>2797</v>
      </c>
      <c r="L618" s="9" t="s">
        <v>2803</v>
      </c>
      <c r="M618" s="27">
        <v>119900</v>
      </c>
      <c r="N618" s="24">
        <f t="shared" si="57"/>
        <v>0.7</v>
      </c>
      <c r="O618" s="25">
        <f t="shared" si="56"/>
        <v>35970</v>
      </c>
      <c r="P618" s="11" t="s">
        <v>20</v>
      </c>
    </row>
    <row r="619" spans="1:16" x14ac:dyDescent="0.25">
      <c r="A619" s="23" t="str">
        <f t="shared" si="59"/>
        <v>2025 JAN-JUN D70</v>
      </c>
      <c r="B619" s="10">
        <f t="shared" si="59"/>
        <v>46104</v>
      </c>
      <c r="C619" s="10">
        <f t="shared" si="59"/>
        <v>46113</v>
      </c>
      <c r="D619" s="11">
        <v>3273</v>
      </c>
      <c r="E619" s="11">
        <v>336</v>
      </c>
      <c r="F619" s="11">
        <v>4</v>
      </c>
      <c r="G619" s="9">
        <v>12</v>
      </c>
      <c r="H619" s="9">
        <v>81676</v>
      </c>
      <c r="I619" s="9" t="s">
        <v>17</v>
      </c>
      <c r="J619" s="9">
        <v>52390126</v>
      </c>
      <c r="K619" s="9" t="s">
        <v>2797</v>
      </c>
      <c r="L619" s="9" t="s">
        <v>2804</v>
      </c>
      <c r="M619" s="27">
        <v>119900</v>
      </c>
      <c r="N619" s="24">
        <f t="shared" si="57"/>
        <v>0.7</v>
      </c>
      <c r="O619" s="25">
        <f t="shared" si="56"/>
        <v>35970</v>
      </c>
      <c r="P619" s="11" t="s">
        <v>20</v>
      </c>
    </row>
    <row r="620" spans="1:16" x14ac:dyDescent="0.25">
      <c r="A620" s="23" t="str">
        <f t="shared" si="59"/>
        <v>2025 JAN-JUN D70</v>
      </c>
      <c r="B620" s="10">
        <f t="shared" si="59"/>
        <v>46104</v>
      </c>
      <c r="C620" s="10">
        <f t="shared" si="59"/>
        <v>46113</v>
      </c>
      <c r="D620" s="11">
        <v>3273</v>
      </c>
      <c r="E620" s="11">
        <v>336</v>
      </c>
      <c r="F620" s="11">
        <v>4</v>
      </c>
      <c r="G620" s="9">
        <v>12</v>
      </c>
      <c r="H620" s="9">
        <v>81676</v>
      </c>
      <c r="I620" s="9" t="s">
        <v>17</v>
      </c>
      <c r="J620" s="9">
        <v>52390135</v>
      </c>
      <c r="K620" s="9" t="s">
        <v>2797</v>
      </c>
      <c r="L620" s="9" t="s">
        <v>2805</v>
      </c>
      <c r="M620" s="27">
        <v>119900</v>
      </c>
      <c r="N620" s="24">
        <f t="shared" si="57"/>
        <v>0.7</v>
      </c>
      <c r="O620" s="25">
        <f t="shared" si="56"/>
        <v>35970</v>
      </c>
      <c r="P620" s="11" t="s">
        <v>20</v>
      </c>
    </row>
    <row r="621" spans="1:16" x14ac:dyDescent="0.25">
      <c r="A621" s="23" t="str">
        <f t="shared" si="59"/>
        <v>2025 JAN-JUN D70</v>
      </c>
      <c r="B621" s="10">
        <f t="shared" si="59"/>
        <v>46104</v>
      </c>
      <c r="C621" s="10">
        <f t="shared" si="59"/>
        <v>46113</v>
      </c>
      <c r="D621" s="11">
        <v>3273</v>
      </c>
      <c r="E621" s="11">
        <v>336</v>
      </c>
      <c r="F621" s="11">
        <v>4</v>
      </c>
      <c r="G621" s="9">
        <v>12</v>
      </c>
      <c r="H621" s="9">
        <v>81588</v>
      </c>
      <c r="I621" s="9" t="s">
        <v>17</v>
      </c>
      <c r="J621" s="9">
        <v>52390546</v>
      </c>
      <c r="K621" s="9" t="s">
        <v>2806</v>
      </c>
      <c r="L621" s="9" t="s">
        <v>2807</v>
      </c>
      <c r="M621" s="27">
        <v>139900</v>
      </c>
      <c r="N621" s="24">
        <f t="shared" si="57"/>
        <v>0.7</v>
      </c>
      <c r="O621" s="25">
        <f t="shared" si="56"/>
        <v>41970</v>
      </c>
      <c r="P621" s="11" t="s">
        <v>20</v>
      </c>
    </row>
    <row r="622" spans="1:16" x14ac:dyDescent="0.25">
      <c r="A622" s="23" t="str">
        <f t="shared" si="59"/>
        <v>2025 JAN-JUN D70</v>
      </c>
      <c r="B622" s="10">
        <f t="shared" si="59"/>
        <v>46104</v>
      </c>
      <c r="C622" s="10">
        <f t="shared" si="59"/>
        <v>46113</v>
      </c>
      <c r="D622" s="11">
        <v>3273</v>
      </c>
      <c r="E622" s="11">
        <v>336</v>
      </c>
      <c r="F622" s="11">
        <v>4</v>
      </c>
      <c r="G622" s="9">
        <v>12</v>
      </c>
      <c r="H622" s="9">
        <v>81588</v>
      </c>
      <c r="I622" s="9" t="s">
        <v>17</v>
      </c>
      <c r="J622" s="9">
        <v>52390555</v>
      </c>
      <c r="K622" s="9" t="s">
        <v>2806</v>
      </c>
      <c r="L622" s="9" t="s">
        <v>2808</v>
      </c>
      <c r="M622" s="27">
        <v>139900</v>
      </c>
      <c r="N622" s="24">
        <f t="shared" si="57"/>
        <v>0.7</v>
      </c>
      <c r="O622" s="25">
        <f t="shared" si="56"/>
        <v>41970</v>
      </c>
      <c r="P622" s="11" t="s">
        <v>20</v>
      </c>
    </row>
    <row r="623" spans="1:16" x14ac:dyDescent="0.25">
      <c r="A623" s="23" t="str">
        <f t="shared" si="59"/>
        <v>2025 JAN-JUN D70</v>
      </c>
      <c r="B623" s="10">
        <f t="shared" si="59"/>
        <v>46104</v>
      </c>
      <c r="C623" s="10">
        <f t="shared" si="59"/>
        <v>46113</v>
      </c>
      <c r="D623" s="11">
        <v>3273</v>
      </c>
      <c r="E623" s="11">
        <v>336</v>
      </c>
      <c r="F623" s="11">
        <v>4</v>
      </c>
      <c r="G623" s="9">
        <v>12</v>
      </c>
      <c r="H623" s="9">
        <v>81588</v>
      </c>
      <c r="I623" s="9" t="s">
        <v>17</v>
      </c>
      <c r="J623" s="9">
        <v>52390564</v>
      </c>
      <c r="K623" s="9" t="s">
        <v>2806</v>
      </c>
      <c r="L623" s="9" t="s">
        <v>2809</v>
      </c>
      <c r="M623" s="27">
        <v>139900</v>
      </c>
      <c r="N623" s="24">
        <f t="shared" si="57"/>
        <v>0.7</v>
      </c>
      <c r="O623" s="25">
        <f t="shared" si="56"/>
        <v>41970</v>
      </c>
      <c r="P623" s="11" t="s">
        <v>20</v>
      </c>
    </row>
    <row r="624" spans="1:16" x14ac:dyDescent="0.25">
      <c r="A624" s="23" t="str">
        <f t="shared" si="59"/>
        <v>2025 JAN-JUN D70</v>
      </c>
      <c r="B624" s="10">
        <f t="shared" si="59"/>
        <v>46104</v>
      </c>
      <c r="C624" s="10">
        <f t="shared" si="59"/>
        <v>46113</v>
      </c>
      <c r="D624" s="11">
        <v>3273</v>
      </c>
      <c r="E624" s="11">
        <v>336</v>
      </c>
      <c r="F624" s="11">
        <v>4</v>
      </c>
      <c r="G624" s="9">
        <v>12</v>
      </c>
      <c r="H624" s="9">
        <v>81588</v>
      </c>
      <c r="I624" s="9" t="s">
        <v>17</v>
      </c>
      <c r="J624" s="9">
        <v>52390573</v>
      </c>
      <c r="K624" s="9" t="s">
        <v>2806</v>
      </c>
      <c r="L624" s="9" t="s">
        <v>2810</v>
      </c>
      <c r="M624" s="27">
        <v>139900</v>
      </c>
      <c r="N624" s="24">
        <f t="shared" si="57"/>
        <v>0.7</v>
      </c>
      <c r="O624" s="25">
        <f t="shared" si="56"/>
        <v>41970</v>
      </c>
      <c r="P624" s="11" t="s">
        <v>20</v>
      </c>
    </row>
    <row r="625" spans="1:16" x14ac:dyDescent="0.25">
      <c r="A625" s="23" t="str">
        <f t="shared" si="59"/>
        <v>2025 JAN-JUN D70</v>
      </c>
      <c r="B625" s="10">
        <f t="shared" si="59"/>
        <v>46104</v>
      </c>
      <c r="C625" s="10">
        <f t="shared" si="59"/>
        <v>46113</v>
      </c>
      <c r="D625" s="11">
        <v>3273</v>
      </c>
      <c r="E625" s="11">
        <v>336</v>
      </c>
      <c r="F625" s="11">
        <v>4</v>
      </c>
      <c r="G625" s="9">
        <v>12</v>
      </c>
      <c r="H625" s="9">
        <v>81588</v>
      </c>
      <c r="I625" s="9" t="s">
        <v>17</v>
      </c>
      <c r="J625" s="9">
        <v>52390582</v>
      </c>
      <c r="K625" s="9" t="s">
        <v>2806</v>
      </c>
      <c r="L625" s="9" t="s">
        <v>2811</v>
      </c>
      <c r="M625" s="27">
        <v>139900</v>
      </c>
      <c r="N625" s="24">
        <f t="shared" si="57"/>
        <v>0.7</v>
      </c>
      <c r="O625" s="25">
        <f t="shared" si="56"/>
        <v>41970</v>
      </c>
      <c r="P625" s="11" t="s">
        <v>20</v>
      </c>
    </row>
    <row r="626" spans="1:16" x14ac:dyDescent="0.25">
      <c r="A626" s="23" t="str">
        <f t="shared" si="59"/>
        <v>2025 JAN-JUN D70</v>
      </c>
      <c r="B626" s="10">
        <f t="shared" si="59"/>
        <v>46104</v>
      </c>
      <c r="C626" s="10">
        <f t="shared" si="59"/>
        <v>46113</v>
      </c>
      <c r="D626" s="11">
        <v>3273</v>
      </c>
      <c r="E626" s="11">
        <v>336</v>
      </c>
      <c r="F626" s="11">
        <v>4</v>
      </c>
      <c r="G626" s="9">
        <v>12</v>
      </c>
      <c r="H626" s="9">
        <v>81588</v>
      </c>
      <c r="I626" s="9" t="s">
        <v>17</v>
      </c>
      <c r="J626" s="9">
        <v>52390591</v>
      </c>
      <c r="K626" s="9" t="s">
        <v>2806</v>
      </c>
      <c r="L626" s="9" t="s">
        <v>2812</v>
      </c>
      <c r="M626" s="27">
        <v>139900</v>
      </c>
      <c r="N626" s="24">
        <f t="shared" si="57"/>
        <v>0.7</v>
      </c>
      <c r="O626" s="25">
        <f t="shared" si="56"/>
        <v>41970</v>
      </c>
      <c r="P626" s="11" t="s">
        <v>20</v>
      </c>
    </row>
    <row r="627" spans="1:16" x14ac:dyDescent="0.25">
      <c r="A627" s="23" t="str">
        <f t="shared" ref="A627:C642" si="60">A626</f>
        <v>2025 JAN-JUN D70</v>
      </c>
      <c r="B627" s="10">
        <f t="shared" si="60"/>
        <v>46104</v>
      </c>
      <c r="C627" s="10">
        <f t="shared" si="60"/>
        <v>46113</v>
      </c>
      <c r="D627" s="11">
        <v>3273</v>
      </c>
      <c r="E627" s="11">
        <v>336</v>
      </c>
      <c r="F627" s="11">
        <v>4</v>
      </c>
      <c r="G627" s="9">
        <v>12</v>
      </c>
      <c r="H627" s="9">
        <v>81574</v>
      </c>
      <c r="I627" s="9" t="s">
        <v>17</v>
      </c>
      <c r="J627" s="9">
        <v>52390386</v>
      </c>
      <c r="K627" s="9" t="s">
        <v>2813</v>
      </c>
      <c r="L627" s="9" t="s">
        <v>2814</v>
      </c>
      <c r="M627" s="27">
        <v>149900</v>
      </c>
      <c r="N627" s="24">
        <f t="shared" si="57"/>
        <v>0.7</v>
      </c>
      <c r="O627" s="25">
        <f t="shared" si="56"/>
        <v>44970</v>
      </c>
      <c r="P627" s="11" t="s">
        <v>20</v>
      </c>
    </row>
    <row r="628" spans="1:16" x14ac:dyDescent="0.25">
      <c r="A628" s="23" t="str">
        <f t="shared" si="60"/>
        <v>2025 JAN-JUN D70</v>
      </c>
      <c r="B628" s="10">
        <f t="shared" si="60"/>
        <v>46104</v>
      </c>
      <c r="C628" s="10">
        <f t="shared" si="60"/>
        <v>46113</v>
      </c>
      <c r="D628" s="11">
        <v>3273</v>
      </c>
      <c r="E628" s="11">
        <v>336</v>
      </c>
      <c r="F628" s="11">
        <v>4</v>
      </c>
      <c r="G628" s="9">
        <v>12</v>
      </c>
      <c r="H628" s="9">
        <v>81574</v>
      </c>
      <c r="I628" s="9" t="s">
        <v>17</v>
      </c>
      <c r="J628" s="9">
        <v>52390395</v>
      </c>
      <c r="K628" s="9" t="s">
        <v>2815</v>
      </c>
      <c r="L628" s="9" t="s">
        <v>2816</v>
      </c>
      <c r="M628" s="27">
        <v>149900</v>
      </c>
      <c r="N628" s="24">
        <f t="shared" si="57"/>
        <v>0.7</v>
      </c>
      <c r="O628" s="25">
        <f t="shared" si="56"/>
        <v>44970</v>
      </c>
      <c r="P628" s="11" t="s">
        <v>20</v>
      </c>
    </row>
    <row r="629" spans="1:16" x14ac:dyDescent="0.25">
      <c r="A629" s="23" t="str">
        <f t="shared" si="60"/>
        <v>2025 JAN-JUN D70</v>
      </c>
      <c r="B629" s="10">
        <f t="shared" si="60"/>
        <v>46104</v>
      </c>
      <c r="C629" s="10">
        <f t="shared" si="60"/>
        <v>46113</v>
      </c>
      <c r="D629" s="11">
        <v>3273</v>
      </c>
      <c r="E629" s="11">
        <v>336</v>
      </c>
      <c r="F629" s="11">
        <v>4</v>
      </c>
      <c r="G629" s="9">
        <v>12</v>
      </c>
      <c r="H629" s="9">
        <v>81574</v>
      </c>
      <c r="I629" s="9" t="s">
        <v>17</v>
      </c>
      <c r="J629" s="9">
        <v>52390840</v>
      </c>
      <c r="K629" s="9" t="s">
        <v>2817</v>
      </c>
      <c r="L629" s="9" t="s">
        <v>2818</v>
      </c>
      <c r="M629" s="27">
        <v>149900</v>
      </c>
      <c r="N629" s="24">
        <f t="shared" si="57"/>
        <v>0.7</v>
      </c>
      <c r="O629" s="25">
        <f t="shared" si="56"/>
        <v>44970</v>
      </c>
      <c r="P629" s="11" t="s">
        <v>20</v>
      </c>
    </row>
    <row r="630" spans="1:16" x14ac:dyDescent="0.25">
      <c r="A630" s="23" t="str">
        <f t="shared" si="60"/>
        <v>2025 JAN-JUN D70</v>
      </c>
      <c r="B630" s="10">
        <f t="shared" si="60"/>
        <v>46104</v>
      </c>
      <c r="C630" s="10">
        <f t="shared" si="60"/>
        <v>46113</v>
      </c>
      <c r="D630" s="11">
        <v>3273</v>
      </c>
      <c r="E630" s="11">
        <v>336</v>
      </c>
      <c r="F630" s="11">
        <v>4</v>
      </c>
      <c r="G630" s="9">
        <v>12</v>
      </c>
      <c r="H630" s="9">
        <v>81588</v>
      </c>
      <c r="I630" s="9" t="s">
        <v>17</v>
      </c>
      <c r="J630" s="9">
        <v>52291028</v>
      </c>
      <c r="K630" s="9" t="s">
        <v>2819</v>
      </c>
      <c r="L630" s="9" t="s">
        <v>2820</v>
      </c>
      <c r="M630" s="27">
        <v>169900</v>
      </c>
      <c r="N630" s="24">
        <f t="shared" si="57"/>
        <v>0.7</v>
      </c>
      <c r="O630" s="25">
        <f t="shared" si="56"/>
        <v>50970</v>
      </c>
      <c r="P630" s="11" t="s">
        <v>20</v>
      </c>
    </row>
    <row r="631" spans="1:16" x14ac:dyDescent="0.25">
      <c r="A631" s="23" t="str">
        <f t="shared" si="60"/>
        <v>2025 JAN-JUN D70</v>
      </c>
      <c r="B631" s="10">
        <f t="shared" si="60"/>
        <v>46104</v>
      </c>
      <c r="C631" s="10">
        <f t="shared" si="60"/>
        <v>46113</v>
      </c>
      <c r="D631" s="11">
        <v>3273</v>
      </c>
      <c r="E631" s="11">
        <v>336</v>
      </c>
      <c r="F631" s="11">
        <v>4</v>
      </c>
      <c r="G631" s="9">
        <v>12</v>
      </c>
      <c r="H631" s="9">
        <v>81588</v>
      </c>
      <c r="I631" s="9" t="s">
        <v>17</v>
      </c>
      <c r="J631" s="9">
        <v>52291037</v>
      </c>
      <c r="K631" s="9" t="s">
        <v>2819</v>
      </c>
      <c r="L631" s="9" t="s">
        <v>2821</v>
      </c>
      <c r="M631" s="27">
        <v>169900</v>
      </c>
      <c r="N631" s="24">
        <f t="shared" si="57"/>
        <v>0.7</v>
      </c>
      <c r="O631" s="25">
        <f t="shared" si="56"/>
        <v>50970</v>
      </c>
      <c r="P631" s="11" t="s">
        <v>20</v>
      </c>
    </row>
    <row r="632" spans="1:16" x14ac:dyDescent="0.25">
      <c r="A632" s="23" t="str">
        <f t="shared" si="60"/>
        <v>2025 JAN-JUN D70</v>
      </c>
      <c r="B632" s="10">
        <f t="shared" si="60"/>
        <v>46104</v>
      </c>
      <c r="C632" s="10">
        <f t="shared" si="60"/>
        <v>46113</v>
      </c>
      <c r="D632" s="11">
        <v>3273</v>
      </c>
      <c r="E632" s="11">
        <v>336</v>
      </c>
      <c r="F632" s="11">
        <v>4</v>
      </c>
      <c r="G632" s="9">
        <v>12</v>
      </c>
      <c r="H632" s="9">
        <v>81588</v>
      </c>
      <c r="I632" s="9" t="s">
        <v>17</v>
      </c>
      <c r="J632" s="9">
        <v>52291046</v>
      </c>
      <c r="K632" s="9" t="s">
        <v>2819</v>
      </c>
      <c r="L632" s="9" t="s">
        <v>2822</v>
      </c>
      <c r="M632" s="27">
        <v>169900</v>
      </c>
      <c r="N632" s="24">
        <f t="shared" si="57"/>
        <v>0.7</v>
      </c>
      <c r="O632" s="25">
        <f t="shared" si="56"/>
        <v>50970</v>
      </c>
      <c r="P632" s="11" t="s">
        <v>20</v>
      </c>
    </row>
    <row r="633" spans="1:16" x14ac:dyDescent="0.25">
      <c r="A633" s="23" t="str">
        <f t="shared" si="60"/>
        <v>2025 JAN-JUN D70</v>
      </c>
      <c r="B633" s="10">
        <f t="shared" si="60"/>
        <v>46104</v>
      </c>
      <c r="C633" s="10">
        <f t="shared" si="60"/>
        <v>46113</v>
      </c>
      <c r="D633" s="11">
        <v>3273</v>
      </c>
      <c r="E633" s="11">
        <v>336</v>
      </c>
      <c r="F633" s="11">
        <v>4</v>
      </c>
      <c r="G633" s="9">
        <v>12</v>
      </c>
      <c r="H633" s="9">
        <v>81588</v>
      </c>
      <c r="I633" s="9" t="s">
        <v>17</v>
      </c>
      <c r="J633" s="9">
        <v>52291055</v>
      </c>
      <c r="K633" s="9" t="s">
        <v>2819</v>
      </c>
      <c r="L633" s="9" t="s">
        <v>2823</v>
      </c>
      <c r="M633" s="27">
        <v>169900</v>
      </c>
      <c r="N633" s="24">
        <f t="shared" si="57"/>
        <v>0.7</v>
      </c>
      <c r="O633" s="25">
        <f t="shared" si="56"/>
        <v>50970</v>
      </c>
      <c r="P633" s="11" t="s">
        <v>20</v>
      </c>
    </row>
    <row r="634" spans="1:16" x14ac:dyDescent="0.25">
      <c r="A634" s="23" t="str">
        <f t="shared" si="60"/>
        <v>2025 JAN-JUN D70</v>
      </c>
      <c r="B634" s="10">
        <f t="shared" si="60"/>
        <v>46104</v>
      </c>
      <c r="C634" s="10">
        <f t="shared" si="60"/>
        <v>46113</v>
      </c>
      <c r="D634" s="11">
        <v>3273</v>
      </c>
      <c r="E634" s="11">
        <v>336</v>
      </c>
      <c r="F634" s="11">
        <v>4</v>
      </c>
      <c r="G634" s="9">
        <v>12</v>
      </c>
      <c r="H634" s="9">
        <v>81588</v>
      </c>
      <c r="I634" s="9" t="s">
        <v>17</v>
      </c>
      <c r="J634" s="9">
        <v>52291064</v>
      </c>
      <c r="K634" s="9" t="s">
        <v>2819</v>
      </c>
      <c r="L634" s="9" t="s">
        <v>2824</v>
      </c>
      <c r="M634" s="27">
        <v>169900</v>
      </c>
      <c r="N634" s="24">
        <f t="shared" si="57"/>
        <v>0.7</v>
      </c>
      <c r="O634" s="25">
        <f t="shared" si="56"/>
        <v>50970</v>
      </c>
      <c r="P634" s="11" t="s">
        <v>20</v>
      </c>
    </row>
    <row r="635" spans="1:16" x14ac:dyDescent="0.25">
      <c r="A635" s="23" t="str">
        <f t="shared" si="60"/>
        <v>2025 JAN-JUN D70</v>
      </c>
      <c r="B635" s="10">
        <f t="shared" si="60"/>
        <v>46104</v>
      </c>
      <c r="C635" s="10">
        <f t="shared" si="60"/>
        <v>46113</v>
      </c>
      <c r="D635" s="11">
        <v>3273</v>
      </c>
      <c r="E635" s="11">
        <v>336</v>
      </c>
      <c r="F635" s="11">
        <v>4</v>
      </c>
      <c r="G635" s="9">
        <v>12</v>
      </c>
      <c r="H635" s="9">
        <v>81588</v>
      </c>
      <c r="I635" s="9" t="s">
        <v>17</v>
      </c>
      <c r="J635" s="9">
        <v>52291073</v>
      </c>
      <c r="K635" s="9" t="s">
        <v>2819</v>
      </c>
      <c r="L635" s="9" t="s">
        <v>2825</v>
      </c>
      <c r="M635" s="27">
        <v>169900</v>
      </c>
      <c r="N635" s="24">
        <f t="shared" si="57"/>
        <v>0.7</v>
      </c>
      <c r="O635" s="25">
        <f t="shared" si="56"/>
        <v>50970</v>
      </c>
      <c r="P635" s="11" t="s">
        <v>20</v>
      </c>
    </row>
    <row r="636" spans="1:16" x14ac:dyDescent="0.25">
      <c r="A636" s="23" t="str">
        <f t="shared" si="60"/>
        <v>2025 JAN-JUN D70</v>
      </c>
      <c r="B636" s="10">
        <f t="shared" si="60"/>
        <v>46104</v>
      </c>
      <c r="C636" s="10">
        <f t="shared" si="60"/>
        <v>46113</v>
      </c>
      <c r="D636" s="11">
        <v>3273</v>
      </c>
      <c r="E636" s="11">
        <v>336</v>
      </c>
      <c r="F636" s="11">
        <v>4</v>
      </c>
      <c r="G636" s="9">
        <v>12</v>
      </c>
      <c r="H636" s="9">
        <v>81588</v>
      </c>
      <c r="I636" s="9" t="s">
        <v>17</v>
      </c>
      <c r="J636" s="9">
        <v>52291082</v>
      </c>
      <c r="K636" s="9" t="s">
        <v>2819</v>
      </c>
      <c r="L636" s="9" t="s">
        <v>2826</v>
      </c>
      <c r="M636" s="27">
        <v>169900</v>
      </c>
      <c r="N636" s="24">
        <f t="shared" si="57"/>
        <v>0.7</v>
      </c>
      <c r="O636" s="25">
        <f t="shared" si="56"/>
        <v>50970</v>
      </c>
      <c r="P636" s="11" t="s">
        <v>20</v>
      </c>
    </row>
    <row r="637" spans="1:16" x14ac:dyDescent="0.25">
      <c r="A637" s="23" t="str">
        <f t="shared" si="60"/>
        <v>2025 JAN-JUN D70</v>
      </c>
      <c r="B637" s="10">
        <f t="shared" si="60"/>
        <v>46104</v>
      </c>
      <c r="C637" s="10">
        <f t="shared" si="60"/>
        <v>46113</v>
      </c>
      <c r="D637" s="11">
        <v>3273</v>
      </c>
      <c r="E637" s="11">
        <v>336</v>
      </c>
      <c r="F637" s="11">
        <v>4</v>
      </c>
      <c r="G637" s="9">
        <v>12</v>
      </c>
      <c r="H637" s="9">
        <v>81588</v>
      </c>
      <c r="I637" s="9" t="s">
        <v>17</v>
      </c>
      <c r="J637" s="9">
        <v>52291091</v>
      </c>
      <c r="K637" s="9" t="s">
        <v>2819</v>
      </c>
      <c r="L637" s="9" t="s">
        <v>2827</v>
      </c>
      <c r="M637" s="27">
        <v>169900</v>
      </c>
      <c r="N637" s="24">
        <f t="shared" si="57"/>
        <v>0.7</v>
      </c>
      <c r="O637" s="25">
        <f t="shared" si="56"/>
        <v>50970</v>
      </c>
      <c r="P637" s="11" t="s">
        <v>20</v>
      </c>
    </row>
    <row r="638" spans="1:16" x14ac:dyDescent="0.25">
      <c r="A638" s="23" t="str">
        <f t="shared" si="60"/>
        <v>2025 JAN-JUN D70</v>
      </c>
      <c r="B638" s="10">
        <f t="shared" si="60"/>
        <v>46104</v>
      </c>
      <c r="C638" s="10">
        <f t="shared" si="60"/>
        <v>46113</v>
      </c>
      <c r="D638" s="11">
        <v>3273</v>
      </c>
      <c r="E638" s="11">
        <v>336</v>
      </c>
      <c r="F638" s="11">
        <v>4</v>
      </c>
      <c r="G638" s="9">
        <v>12</v>
      </c>
      <c r="H638" s="9">
        <v>81574</v>
      </c>
      <c r="I638" s="9" t="s">
        <v>17</v>
      </c>
      <c r="J638" s="9">
        <v>52389192</v>
      </c>
      <c r="K638" s="9" t="s">
        <v>2828</v>
      </c>
      <c r="L638" s="9" t="s">
        <v>2829</v>
      </c>
      <c r="M638" s="27">
        <v>139900</v>
      </c>
      <c r="N638" s="24">
        <f t="shared" si="57"/>
        <v>0.7</v>
      </c>
      <c r="O638" s="25">
        <f t="shared" si="56"/>
        <v>41970</v>
      </c>
      <c r="P638" s="11" t="s">
        <v>20</v>
      </c>
    </row>
    <row r="639" spans="1:16" x14ac:dyDescent="0.25">
      <c r="A639" s="23" t="str">
        <f t="shared" si="60"/>
        <v>2025 JAN-JUN D70</v>
      </c>
      <c r="B639" s="10">
        <f t="shared" si="60"/>
        <v>46104</v>
      </c>
      <c r="C639" s="10">
        <f t="shared" si="60"/>
        <v>46113</v>
      </c>
      <c r="D639" s="11">
        <v>3273</v>
      </c>
      <c r="E639" s="11">
        <v>336</v>
      </c>
      <c r="F639" s="11">
        <v>4</v>
      </c>
      <c r="G639" s="9">
        <v>8</v>
      </c>
      <c r="H639" s="9">
        <v>81676</v>
      </c>
      <c r="I639" s="9" t="s">
        <v>17</v>
      </c>
      <c r="J639" s="9">
        <v>52390144</v>
      </c>
      <c r="K639" s="9" t="s">
        <v>2830</v>
      </c>
      <c r="L639" s="9" t="s">
        <v>2831</v>
      </c>
      <c r="M639" s="12">
        <v>229900</v>
      </c>
      <c r="N639" s="24">
        <f t="shared" si="57"/>
        <v>0.7</v>
      </c>
      <c r="O639" s="25">
        <f t="shared" si="56"/>
        <v>68970</v>
      </c>
      <c r="P639" s="11" t="s">
        <v>20</v>
      </c>
    </row>
    <row r="640" spans="1:16" x14ac:dyDescent="0.25">
      <c r="A640" s="23" t="str">
        <f t="shared" si="60"/>
        <v>2025 JAN-JUN D70</v>
      </c>
      <c r="B640" s="10">
        <f t="shared" si="60"/>
        <v>46104</v>
      </c>
      <c r="C640" s="10">
        <f t="shared" si="60"/>
        <v>46113</v>
      </c>
      <c r="D640" s="11">
        <v>3273</v>
      </c>
      <c r="E640" s="11">
        <v>336</v>
      </c>
      <c r="F640" s="11">
        <v>4</v>
      </c>
      <c r="G640" s="9">
        <v>8</v>
      </c>
      <c r="H640" s="9">
        <v>81676</v>
      </c>
      <c r="I640" s="9" t="s">
        <v>17</v>
      </c>
      <c r="J640" s="9">
        <v>52390153</v>
      </c>
      <c r="K640" s="9" t="s">
        <v>2830</v>
      </c>
      <c r="L640" s="9" t="s">
        <v>2832</v>
      </c>
      <c r="M640" s="12">
        <v>229900</v>
      </c>
      <c r="N640" s="24">
        <f t="shared" si="57"/>
        <v>0.7</v>
      </c>
      <c r="O640" s="25">
        <f t="shared" si="56"/>
        <v>68970</v>
      </c>
      <c r="P640" s="11" t="s">
        <v>20</v>
      </c>
    </row>
    <row r="641" spans="1:16" x14ac:dyDescent="0.25">
      <c r="A641" s="23" t="str">
        <f t="shared" si="60"/>
        <v>2025 JAN-JUN D70</v>
      </c>
      <c r="B641" s="10">
        <f t="shared" si="60"/>
        <v>46104</v>
      </c>
      <c r="C641" s="10">
        <f t="shared" si="60"/>
        <v>46113</v>
      </c>
      <c r="D641" s="11">
        <v>3273</v>
      </c>
      <c r="E641" s="11">
        <v>336</v>
      </c>
      <c r="F641" s="11">
        <v>4</v>
      </c>
      <c r="G641" s="9">
        <v>8</v>
      </c>
      <c r="H641" s="9">
        <v>81676</v>
      </c>
      <c r="I641" s="9" t="s">
        <v>17</v>
      </c>
      <c r="J641" s="9">
        <v>52390162</v>
      </c>
      <c r="K641" s="9" t="s">
        <v>2830</v>
      </c>
      <c r="L641" s="9" t="s">
        <v>2833</v>
      </c>
      <c r="M641" s="12">
        <v>229900</v>
      </c>
      <c r="N641" s="24">
        <f t="shared" si="57"/>
        <v>0.7</v>
      </c>
      <c r="O641" s="25">
        <f t="shared" si="56"/>
        <v>68970</v>
      </c>
      <c r="P641" s="11" t="s">
        <v>20</v>
      </c>
    </row>
    <row r="642" spans="1:16" x14ac:dyDescent="0.25">
      <c r="A642" s="23" t="str">
        <f t="shared" si="60"/>
        <v>2025 JAN-JUN D70</v>
      </c>
      <c r="B642" s="10">
        <f t="shared" si="60"/>
        <v>46104</v>
      </c>
      <c r="C642" s="10">
        <f t="shared" si="60"/>
        <v>46113</v>
      </c>
      <c r="D642" s="11">
        <v>3273</v>
      </c>
      <c r="E642" s="11">
        <v>336</v>
      </c>
      <c r="F642" s="11">
        <v>4</v>
      </c>
      <c r="G642" s="9">
        <v>8</v>
      </c>
      <c r="H642" s="9">
        <v>81676</v>
      </c>
      <c r="I642" s="9" t="s">
        <v>17</v>
      </c>
      <c r="J642" s="9">
        <v>52390171</v>
      </c>
      <c r="K642" s="9" t="s">
        <v>2830</v>
      </c>
      <c r="L642" s="9" t="s">
        <v>2834</v>
      </c>
      <c r="M642" s="12">
        <v>229900</v>
      </c>
      <c r="N642" s="24">
        <f t="shared" si="57"/>
        <v>0.7</v>
      </c>
      <c r="O642" s="25">
        <f t="shared" si="56"/>
        <v>68970</v>
      </c>
      <c r="P642" s="11" t="s">
        <v>20</v>
      </c>
    </row>
    <row r="643" spans="1:16" x14ac:dyDescent="0.25">
      <c r="A643" s="23" t="str">
        <f t="shared" ref="A643:C658" si="61">A642</f>
        <v>2025 JAN-JUN D70</v>
      </c>
      <c r="B643" s="10">
        <f t="shared" si="61"/>
        <v>46104</v>
      </c>
      <c r="C643" s="10">
        <f t="shared" si="61"/>
        <v>46113</v>
      </c>
      <c r="D643" s="11">
        <v>3273</v>
      </c>
      <c r="E643" s="11">
        <v>336</v>
      </c>
      <c r="F643" s="11">
        <v>4</v>
      </c>
      <c r="G643" s="9">
        <v>8</v>
      </c>
      <c r="H643" s="9">
        <v>81676</v>
      </c>
      <c r="I643" s="9" t="s">
        <v>17</v>
      </c>
      <c r="J643" s="9">
        <v>52390180</v>
      </c>
      <c r="K643" s="9" t="s">
        <v>2830</v>
      </c>
      <c r="L643" s="9" t="s">
        <v>2835</v>
      </c>
      <c r="M643" s="12">
        <v>229900</v>
      </c>
      <c r="N643" s="24">
        <f t="shared" si="57"/>
        <v>0.7</v>
      </c>
      <c r="O643" s="25">
        <f t="shared" ref="O643:O706" si="62">M643-((70*M643)/100)</f>
        <v>68970</v>
      </c>
      <c r="P643" s="11" t="s">
        <v>20</v>
      </c>
    </row>
    <row r="644" spans="1:16" x14ac:dyDescent="0.25">
      <c r="A644" s="23" t="str">
        <f t="shared" si="61"/>
        <v>2025 JAN-JUN D70</v>
      </c>
      <c r="B644" s="10">
        <f t="shared" si="61"/>
        <v>46104</v>
      </c>
      <c r="C644" s="10">
        <f t="shared" si="61"/>
        <v>46113</v>
      </c>
      <c r="D644" s="11">
        <v>3273</v>
      </c>
      <c r="E644" s="11">
        <v>336</v>
      </c>
      <c r="F644" s="11">
        <v>4</v>
      </c>
      <c r="G644" s="9">
        <v>8</v>
      </c>
      <c r="H644" s="9">
        <v>81676</v>
      </c>
      <c r="I644" s="9" t="s">
        <v>17</v>
      </c>
      <c r="J644" s="9">
        <v>52390199</v>
      </c>
      <c r="K644" s="9" t="s">
        <v>2830</v>
      </c>
      <c r="L644" s="9" t="s">
        <v>2836</v>
      </c>
      <c r="M644" s="12">
        <v>229900</v>
      </c>
      <c r="N644" s="24">
        <f t="shared" ref="N644:N707" si="63">N643</f>
        <v>0.7</v>
      </c>
      <c r="O644" s="25">
        <f t="shared" si="62"/>
        <v>68970</v>
      </c>
      <c r="P644" s="11" t="s">
        <v>20</v>
      </c>
    </row>
    <row r="645" spans="1:16" x14ac:dyDescent="0.25">
      <c r="A645" s="23" t="str">
        <f t="shared" si="61"/>
        <v>2025 JAN-JUN D70</v>
      </c>
      <c r="B645" s="10">
        <f t="shared" si="61"/>
        <v>46104</v>
      </c>
      <c r="C645" s="10">
        <f t="shared" si="61"/>
        <v>46113</v>
      </c>
      <c r="D645" s="11">
        <v>3273</v>
      </c>
      <c r="E645" s="11">
        <v>336</v>
      </c>
      <c r="F645" s="11">
        <v>4</v>
      </c>
      <c r="G645" s="9">
        <v>8</v>
      </c>
      <c r="H645" s="9">
        <v>81676</v>
      </c>
      <c r="I645" s="9" t="s">
        <v>17</v>
      </c>
      <c r="J645" s="9">
        <v>52390206</v>
      </c>
      <c r="K645" s="9" t="s">
        <v>2830</v>
      </c>
      <c r="L645" s="9" t="s">
        <v>2837</v>
      </c>
      <c r="M645" s="12">
        <v>229900</v>
      </c>
      <c r="N645" s="24">
        <f t="shared" si="63"/>
        <v>0.7</v>
      </c>
      <c r="O645" s="25">
        <f t="shared" si="62"/>
        <v>68970</v>
      </c>
      <c r="P645" s="11" t="s">
        <v>20</v>
      </c>
    </row>
    <row r="646" spans="1:16" x14ac:dyDescent="0.25">
      <c r="A646" s="23" t="str">
        <f t="shared" si="61"/>
        <v>2025 JAN-JUN D70</v>
      </c>
      <c r="B646" s="10">
        <f t="shared" si="61"/>
        <v>46104</v>
      </c>
      <c r="C646" s="10">
        <f t="shared" si="61"/>
        <v>46113</v>
      </c>
      <c r="D646" s="11">
        <v>3273</v>
      </c>
      <c r="E646" s="11">
        <v>336</v>
      </c>
      <c r="F646" s="11">
        <v>4</v>
      </c>
      <c r="G646" s="9">
        <v>8</v>
      </c>
      <c r="H646" s="9">
        <v>81676</v>
      </c>
      <c r="I646" s="9" t="s">
        <v>17</v>
      </c>
      <c r="J646" s="9">
        <v>52390215</v>
      </c>
      <c r="K646" s="9" t="s">
        <v>2830</v>
      </c>
      <c r="L646" s="9" t="s">
        <v>2838</v>
      </c>
      <c r="M646" s="12">
        <v>229900</v>
      </c>
      <c r="N646" s="24">
        <f t="shared" si="63"/>
        <v>0.7</v>
      </c>
      <c r="O646" s="25">
        <f t="shared" si="62"/>
        <v>68970</v>
      </c>
      <c r="P646" s="11" t="s">
        <v>20</v>
      </c>
    </row>
    <row r="647" spans="1:16" x14ac:dyDescent="0.25">
      <c r="A647" s="23" t="str">
        <f t="shared" si="61"/>
        <v>2025 JAN-JUN D70</v>
      </c>
      <c r="B647" s="10">
        <f t="shared" si="61"/>
        <v>46104</v>
      </c>
      <c r="C647" s="10">
        <f t="shared" si="61"/>
        <v>46113</v>
      </c>
      <c r="D647" s="11">
        <v>3273</v>
      </c>
      <c r="E647" s="11">
        <v>336</v>
      </c>
      <c r="F647" s="11">
        <v>4</v>
      </c>
      <c r="G647" s="9">
        <v>6</v>
      </c>
      <c r="H647" s="9">
        <v>81588</v>
      </c>
      <c r="I647" s="9" t="s">
        <v>17</v>
      </c>
      <c r="J647" s="9">
        <v>52390608</v>
      </c>
      <c r="K647" s="9" t="s">
        <v>2839</v>
      </c>
      <c r="L647" s="9" t="s">
        <v>2840</v>
      </c>
      <c r="M647" s="12">
        <v>139900</v>
      </c>
      <c r="N647" s="24">
        <f t="shared" si="63"/>
        <v>0.7</v>
      </c>
      <c r="O647" s="25">
        <f t="shared" si="62"/>
        <v>41970</v>
      </c>
      <c r="P647" s="11" t="s">
        <v>20</v>
      </c>
    </row>
    <row r="648" spans="1:16" x14ac:dyDescent="0.25">
      <c r="A648" s="23" t="str">
        <f t="shared" si="61"/>
        <v>2025 JAN-JUN D70</v>
      </c>
      <c r="B648" s="10">
        <f t="shared" si="61"/>
        <v>46104</v>
      </c>
      <c r="C648" s="10">
        <f t="shared" si="61"/>
        <v>46113</v>
      </c>
      <c r="D648" s="11">
        <v>3273</v>
      </c>
      <c r="E648" s="11">
        <v>336</v>
      </c>
      <c r="F648" s="11">
        <v>4</v>
      </c>
      <c r="G648" s="9">
        <v>6</v>
      </c>
      <c r="H648" s="9">
        <v>81588</v>
      </c>
      <c r="I648" s="9" t="s">
        <v>17</v>
      </c>
      <c r="J648" s="9">
        <v>52390617</v>
      </c>
      <c r="K648" s="9" t="s">
        <v>2839</v>
      </c>
      <c r="L648" s="9" t="s">
        <v>2841</v>
      </c>
      <c r="M648" s="12">
        <v>139900</v>
      </c>
      <c r="N648" s="24">
        <f t="shared" si="63"/>
        <v>0.7</v>
      </c>
      <c r="O648" s="25">
        <f t="shared" si="62"/>
        <v>41970</v>
      </c>
      <c r="P648" s="11" t="s">
        <v>20</v>
      </c>
    </row>
    <row r="649" spans="1:16" x14ac:dyDescent="0.25">
      <c r="A649" s="23" t="str">
        <f t="shared" si="61"/>
        <v>2025 JAN-JUN D70</v>
      </c>
      <c r="B649" s="10">
        <f t="shared" si="61"/>
        <v>46104</v>
      </c>
      <c r="C649" s="10">
        <f t="shared" si="61"/>
        <v>46113</v>
      </c>
      <c r="D649" s="11">
        <v>3273</v>
      </c>
      <c r="E649" s="11">
        <v>336</v>
      </c>
      <c r="F649" s="11">
        <v>4</v>
      </c>
      <c r="G649" s="9">
        <v>6</v>
      </c>
      <c r="H649" s="9">
        <v>81588</v>
      </c>
      <c r="I649" s="9" t="s">
        <v>17</v>
      </c>
      <c r="J649" s="9">
        <v>52390626</v>
      </c>
      <c r="K649" s="9" t="s">
        <v>2839</v>
      </c>
      <c r="L649" s="9" t="s">
        <v>2842</v>
      </c>
      <c r="M649" s="12">
        <v>139900</v>
      </c>
      <c r="N649" s="24">
        <f t="shared" si="63"/>
        <v>0.7</v>
      </c>
      <c r="O649" s="25">
        <f t="shared" si="62"/>
        <v>41970</v>
      </c>
      <c r="P649" s="11" t="s">
        <v>20</v>
      </c>
    </row>
    <row r="650" spans="1:16" x14ac:dyDescent="0.25">
      <c r="A650" s="23" t="str">
        <f t="shared" si="61"/>
        <v>2025 JAN-JUN D70</v>
      </c>
      <c r="B650" s="10">
        <f t="shared" si="61"/>
        <v>46104</v>
      </c>
      <c r="C650" s="10">
        <f t="shared" si="61"/>
        <v>46113</v>
      </c>
      <c r="D650" s="11">
        <v>3273</v>
      </c>
      <c r="E650" s="11">
        <v>336</v>
      </c>
      <c r="F650" s="11">
        <v>4</v>
      </c>
      <c r="G650" s="9">
        <v>6</v>
      </c>
      <c r="H650" s="9">
        <v>81588</v>
      </c>
      <c r="I650" s="9" t="s">
        <v>17</v>
      </c>
      <c r="J650" s="9">
        <v>52390635</v>
      </c>
      <c r="K650" s="9" t="s">
        <v>2839</v>
      </c>
      <c r="L650" s="9" t="s">
        <v>2843</v>
      </c>
      <c r="M650" s="12">
        <v>139900</v>
      </c>
      <c r="N650" s="24">
        <f t="shared" si="63"/>
        <v>0.7</v>
      </c>
      <c r="O650" s="25">
        <f t="shared" si="62"/>
        <v>41970</v>
      </c>
      <c r="P650" s="11" t="s">
        <v>20</v>
      </c>
    </row>
    <row r="651" spans="1:16" x14ac:dyDescent="0.25">
      <c r="A651" s="23" t="str">
        <f t="shared" si="61"/>
        <v>2025 JAN-JUN D70</v>
      </c>
      <c r="B651" s="10">
        <f t="shared" si="61"/>
        <v>46104</v>
      </c>
      <c r="C651" s="10">
        <f t="shared" si="61"/>
        <v>46113</v>
      </c>
      <c r="D651" s="11">
        <v>3273</v>
      </c>
      <c r="E651" s="11">
        <v>336</v>
      </c>
      <c r="F651" s="11">
        <v>4</v>
      </c>
      <c r="G651" s="9">
        <v>6</v>
      </c>
      <c r="H651" s="9">
        <v>81588</v>
      </c>
      <c r="I651" s="9" t="s">
        <v>17</v>
      </c>
      <c r="J651" s="9">
        <v>52390644</v>
      </c>
      <c r="K651" s="9" t="s">
        <v>2839</v>
      </c>
      <c r="L651" s="9" t="s">
        <v>2844</v>
      </c>
      <c r="M651" s="12">
        <v>139900</v>
      </c>
      <c r="N651" s="24">
        <f t="shared" si="63"/>
        <v>0.7</v>
      </c>
      <c r="O651" s="25">
        <f t="shared" si="62"/>
        <v>41970</v>
      </c>
      <c r="P651" s="11" t="s">
        <v>20</v>
      </c>
    </row>
    <row r="652" spans="1:16" x14ac:dyDescent="0.25">
      <c r="A652" s="23" t="str">
        <f t="shared" si="61"/>
        <v>2025 JAN-JUN D70</v>
      </c>
      <c r="B652" s="10">
        <f t="shared" si="61"/>
        <v>46104</v>
      </c>
      <c r="C652" s="10">
        <f t="shared" si="61"/>
        <v>46113</v>
      </c>
      <c r="D652" s="11">
        <v>3273</v>
      </c>
      <c r="E652" s="11">
        <v>336</v>
      </c>
      <c r="F652" s="11">
        <v>4</v>
      </c>
      <c r="G652" s="9">
        <v>6</v>
      </c>
      <c r="H652" s="9">
        <v>81588</v>
      </c>
      <c r="I652" s="9" t="s">
        <v>17</v>
      </c>
      <c r="J652" s="9">
        <v>52390653</v>
      </c>
      <c r="K652" s="9" t="s">
        <v>2839</v>
      </c>
      <c r="L652" s="9" t="s">
        <v>2845</v>
      </c>
      <c r="M652" s="12">
        <v>139900</v>
      </c>
      <c r="N652" s="24">
        <f t="shared" si="63"/>
        <v>0.7</v>
      </c>
      <c r="O652" s="25">
        <f t="shared" si="62"/>
        <v>41970</v>
      </c>
      <c r="P652" s="11" t="s">
        <v>20</v>
      </c>
    </row>
    <row r="653" spans="1:16" x14ac:dyDescent="0.25">
      <c r="A653" s="23" t="str">
        <f t="shared" si="61"/>
        <v>2025 JAN-JUN D70</v>
      </c>
      <c r="B653" s="10">
        <f t="shared" si="61"/>
        <v>46104</v>
      </c>
      <c r="C653" s="10">
        <f t="shared" si="61"/>
        <v>46113</v>
      </c>
      <c r="D653" s="11">
        <v>3273</v>
      </c>
      <c r="E653" s="11">
        <v>336</v>
      </c>
      <c r="F653" s="11">
        <v>4</v>
      </c>
      <c r="G653" s="9">
        <v>6</v>
      </c>
      <c r="H653" s="9">
        <v>81588</v>
      </c>
      <c r="I653" s="9" t="s">
        <v>17</v>
      </c>
      <c r="J653" s="9">
        <v>52390662</v>
      </c>
      <c r="K653" s="9" t="s">
        <v>2839</v>
      </c>
      <c r="L653" s="9" t="s">
        <v>2846</v>
      </c>
      <c r="M653" s="12">
        <v>139900</v>
      </c>
      <c r="N653" s="24">
        <f t="shared" si="63"/>
        <v>0.7</v>
      </c>
      <c r="O653" s="25">
        <f t="shared" si="62"/>
        <v>41970</v>
      </c>
      <c r="P653" s="11" t="s">
        <v>20</v>
      </c>
    </row>
    <row r="654" spans="1:16" x14ac:dyDescent="0.25">
      <c r="A654" s="23" t="str">
        <f t="shared" si="61"/>
        <v>2025 JAN-JUN D70</v>
      </c>
      <c r="B654" s="10">
        <f t="shared" si="61"/>
        <v>46104</v>
      </c>
      <c r="C654" s="10">
        <f t="shared" si="61"/>
        <v>46113</v>
      </c>
      <c r="D654" s="11">
        <v>3273</v>
      </c>
      <c r="E654" s="11">
        <v>336</v>
      </c>
      <c r="F654" s="11">
        <v>4</v>
      </c>
      <c r="G654" s="9">
        <v>6</v>
      </c>
      <c r="H654" s="9">
        <v>81588</v>
      </c>
      <c r="I654" s="9" t="s">
        <v>17</v>
      </c>
      <c r="J654" s="9">
        <v>52390671</v>
      </c>
      <c r="K654" s="9" t="s">
        <v>2839</v>
      </c>
      <c r="L654" s="9" t="s">
        <v>2847</v>
      </c>
      <c r="M654" s="12">
        <v>139900</v>
      </c>
      <c r="N654" s="24">
        <f t="shared" si="63"/>
        <v>0.7</v>
      </c>
      <c r="O654" s="25">
        <f t="shared" si="62"/>
        <v>41970</v>
      </c>
      <c r="P654" s="11" t="s">
        <v>20</v>
      </c>
    </row>
    <row r="655" spans="1:16" x14ac:dyDescent="0.25">
      <c r="A655" s="23" t="str">
        <f t="shared" si="61"/>
        <v>2025 JAN-JUN D70</v>
      </c>
      <c r="B655" s="10">
        <f t="shared" si="61"/>
        <v>46104</v>
      </c>
      <c r="C655" s="10">
        <f t="shared" si="61"/>
        <v>46113</v>
      </c>
      <c r="D655" s="11">
        <v>3273</v>
      </c>
      <c r="E655" s="11">
        <v>336</v>
      </c>
      <c r="F655" s="11">
        <v>4</v>
      </c>
      <c r="G655" s="9">
        <v>6</v>
      </c>
      <c r="H655" s="9">
        <v>81574</v>
      </c>
      <c r="I655" s="9" t="s">
        <v>17</v>
      </c>
      <c r="J655" s="9">
        <v>52617346</v>
      </c>
      <c r="K655" s="9" t="s">
        <v>2848</v>
      </c>
      <c r="L655" s="9" t="s">
        <v>2849</v>
      </c>
      <c r="M655" s="12">
        <v>149900</v>
      </c>
      <c r="N655" s="24">
        <f t="shared" si="63"/>
        <v>0.7</v>
      </c>
      <c r="O655" s="25">
        <f t="shared" si="62"/>
        <v>44970</v>
      </c>
      <c r="P655" s="11" t="s">
        <v>20</v>
      </c>
    </row>
    <row r="656" spans="1:16" x14ac:dyDescent="0.25">
      <c r="A656" s="23" t="str">
        <f t="shared" si="61"/>
        <v>2025 JAN-JUN D70</v>
      </c>
      <c r="B656" s="10">
        <f t="shared" si="61"/>
        <v>46104</v>
      </c>
      <c r="C656" s="10">
        <f t="shared" si="61"/>
        <v>46113</v>
      </c>
      <c r="D656" s="11">
        <v>3273</v>
      </c>
      <c r="E656" s="11">
        <v>336</v>
      </c>
      <c r="F656" s="11">
        <v>4</v>
      </c>
      <c r="G656" s="9">
        <v>6</v>
      </c>
      <c r="H656" s="9">
        <v>81574</v>
      </c>
      <c r="I656" s="9" t="s">
        <v>17</v>
      </c>
      <c r="J656" s="9">
        <v>52617355</v>
      </c>
      <c r="K656" s="9" t="s">
        <v>2848</v>
      </c>
      <c r="L656" s="9" t="s">
        <v>2850</v>
      </c>
      <c r="M656" s="12">
        <v>149900</v>
      </c>
      <c r="N656" s="24">
        <f t="shared" si="63"/>
        <v>0.7</v>
      </c>
      <c r="O656" s="25">
        <f t="shared" si="62"/>
        <v>44970</v>
      </c>
      <c r="P656" s="11" t="s">
        <v>20</v>
      </c>
    </row>
    <row r="657" spans="1:16" x14ac:dyDescent="0.25">
      <c r="A657" s="23" t="str">
        <f t="shared" si="61"/>
        <v>2025 JAN-JUN D70</v>
      </c>
      <c r="B657" s="10">
        <f t="shared" si="61"/>
        <v>46104</v>
      </c>
      <c r="C657" s="10">
        <f t="shared" si="61"/>
        <v>46113</v>
      </c>
      <c r="D657" s="11">
        <v>3273</v>
      </c>
      <c r="E657" s="11">
        <v>336</v>
      </c>
      <c r="F657" s="11">
        <v>4</v>
      </c>
      <c r="G657" s="9">
        <v>6</v>
      </c>
      <c r="H657" s="9">
        <v>81574</v>
      </c>
      <c r="I657" s="9" t="s">
        <v>17</v>
      </c>
      <c r="J657" s="9">
        <v>52617364</v>
      </c>
      <c r="K657" s="9" t="s">
        <v>2848</v>
      </c>
      <c r="L657" s="9" t="s">
        <v>2851</v>
      </c>
      <c r="M657" s="12">
        <v>149900</v>
      </c>
      <c r="N657" s="24">
        <f t="shared" si="63"/>
        <v>0.7</v>
      </c>
      <c r="O657" s="25">
        <f t="shared" si="62"/>
        <v>44970</v>
      </c>
      <c r="P657" s="11" t="s">
        <v>20</v>
      </c>
    </row>
    <row r="658" spans="1:16" x14ac:dyDescent="0.25">
      <c r="A658" s="23" t="str">
        <f t="shared" si="61"/>
        <v>2025 JAN-JUN D70</v>
      </c>
      <c r="B658" s="10">
        <f t="shared" si="61"/>
        <v>46104</v>
      </c>
      <c r="C658" s="10">
        <f t="shared" si="61"/>
        <v>46113</v>
      </c>
      <c r="D658" s="11">
        <v>3273</v>
      </c>
      <c r="E658" s="11">
        <v>336</v>
      </c>
      <c r="F658" s="11">
        <v>4</v>
      </c>
      <c r="G658" s="9">
        <v>6</v>
      </c>
      <c r="H658" s="9">
        <v>81574</v>
      </c>
      <c r="I658" s="9" t="s">
        <v>17</v>
      </c>
      <c r="J658" s="9">
        <v>52617373</v>
      </c>
      <c r="K658" s="9" t="s">
        <v>2848</v>
      </c>
      <c r="L658" s="9" t="s">
        <v>2852</v>
      </c>
      <c r="M658" s="12">
        <v>149900</v>
      </c>
      <c r="N658" s="24">
        <f t="shared" si="63"/>
        <v>0.7</v>
      </c>
      <c r="O658" s="25">
        <f t="shared" si="62"/>
        <v>44970</v>
      </c>
      <c r="P658" s="11" t="s">
        <v>20</v>
      </c>
    </row>
    <row r="659" spans="1:16" x14ac:dyDescent="0.25">
      <c r="A659" s="23" t="str">
        <f t="shared" ref="A659:C674" si="64">A658</f>
        <v>2025 JAN-JUN D70</v>
      </c>
      <c r="B659" s="10">
        <f t="shared" si="64"/>
        <v>46104</v>
      </c>
      <c r="C659" s="10">
        <f t="shared" si="64"/>
        <v>46113</v>
      </c>
      <c r="D659" s="11">
        <v>3273</v>
      </c>
      <c r="E659" s="11">
        <v>336</v>
      </c>
      <c r="F659" s="11">
        <v>4</v>
      </c>
      <c r="G659" s="9">
        <v>6</v>
      </c>
      <c r="H659" s="9">
        <v>81574</v>
      </c>
      <c r="I659" s="9" t="s">
        <v>17</v>
      </c>
      <c r="J659" s="9">
        <v>52617382</v>
      </c>
      <c r="K659" s="9" t="s">
        <v>2848</v>
      </c>
      <c r="L659" s="9" t="s">
        <v>2853</v>
      </c>
      <c r="M659" s="12">
        <v>149900</v>
      </c>
      <c r="N659" s="24">
        <f t="shared" si="63"/>
        <v>0.7</v>
      </c>
      <c r="O659" s="25">
        <f t="shared" si="62"/>
        <v>44970</v>
      </c>
      <c r="P659" s="11" t="s">
        <v>20</v>
      </c>
    </row>
    <row r="660" spans="1:16" x14ac:dyDescent="0.25">
      <c r="A660" s="23" t="str">
        <f t="shared" si="64"/>
        <v>2025 JAN-JUN D70</v>
      </c>
      <c r="B660" s="10">
        <f t="shared" si="64"/>
        <v>46104</v>
      </c>
      <c r="C660" s="10">
        <f t="shared" si="64"/>
        <v>46113</v>
      </c>
      <c r="D660" s="11">
        <v>3273</v>
      </c>
      <c r="E660" s="11">
        <v>336</v>
      </c>
      <c r="F660" s="11">
        <v>4</v>
      </c>
      <c r="G660" s="9">
        <v>6</v>
      </c>
      <c r="H660" s="9">
        <v>81574</v>
      </c>
      <c r="I660" s="9" t="s">
        <v>17</v>
      </c>
      <c r="J660" s="9">
        <v>52617391</v>
      </c>
      <c r="K660" s="9" t="s">
        <v>2848</v>
      </c>
      <c r="L660" s="9" t="s">
        <v>2854</v>
      </c>
      <c r="M660" s="12">
        <v>149900</v>
      </c>
      <c r="N660" s="24">
        <f t="shared" si="63"/>
        <v>0.7</v>
      </c>
      <c r="O660" s="25">
        <f t="shared" si="62"/>
        <v>44970</v>
      </c>
      <c r="P660" s="11" t="s">
        <v>20</v>
      </c>
    </row>
    <row r="661" spans="1:16" x14ac:dyDescent="0.25">
      <c r="A661" s="23" t="str">
        <f t="shared" si="64"/>
        <v>2025 JAN-JUN D70</v>
      </c>
      <c r="B661" s="10">
        <f t="shared" si="64"/>
        <v>46104</v>
      </c>
      <c r="C661" s="10">
        <f t="shared" si="64"/>
        <v>46113</v>
      </c>
      <c r="D661" s="11">
        <v>3273</v>
      </c>
      <c r="E661" s="11">
        <v>336</v>
      </c>
      <c r="F661" s="11">
        <v>4</v>
      </c>
      <c r="G661" s="9">
        <v>6</v>
      </c>
      <c r="H661" s="9">
        <v>81574</v>
      </c>
      <c r="I661" s="9" t="s">
        <v>17</v>
      </c>
      <c r="J661" s="9">
        <v>52617408</v>
      </c>
      <c r="K661" s="9" t="s">
        <v>2848</v>
      </c>
      <c r="L661" s="9" t="s">
        <v>2855</v>
      </c>
      <c r="M661" s="12">
        <v>149900</v>
      </c>
      <c r="N661" s="24">
        <f t="shared" si="63"/>
        <v>0.7</v>
      </c>
      <c r="O661" s="25">
        <f t="shared" si="62"/>
        <v>44970</v>
      </c>
      <c r="P661" s="11" t="s">
        <v>20</v>
      </c>
    </row>
    <row r="662" spans="1:16" x14ac:dyDescent="0.25">
      <c r="A662" s="23" t="str">
        <f t="shared" si="64"/>
        <v>2025 JAN-JUN D70</v>
      </c>
      <c r="B662" s="10">
        <f t="shared" si="64"/>
        <v>46104</v>
      </c>
      <c r="C662" s="10">
        <f t="shared" si="64"/>
        <v>46113</v>
      </c>
      <c r="D662" s="11">
        <v>3273</v>
      </c>
      <c r="E662" s="11">
        <v>336</v>
      </c>
      <c r="F662" s="11">
        <v>4</v>
      </c>
      <c r="G662" s="9">
        <v>6</v>
      </c>
      <c r="H662" s="9">
        <v>81574</v>
      </c>
      <c r="I662" s="9" t="s">
        <v>17</v>
      </c>
      <c r="J662" s="9">
        <v>52617417</v>
      </c>
      <c r="K662" s="9" t="s">
        <v>2848</v>
      </c>
      <c r="L662" s="9" t="s">
        <v>2856</v>
      </c>
      <c r="M662" s="12">
        <v>149900</v>
      </c>
      <c r="N662" s="24">
        <f t="shared" si="63"/>
        <v>0.7</v>
      </c>
      <c r="O662" s="25">
        <f t="shared" si="62"/>
        <v>44970</v>
      </c>
      <c r="P662" s="11" t="s">
        <v>20</v>
      </c>
    </row>
    <row r="663" spans="1:16" x14ac:dyDescent="0.25">
      <c r="A663" s="23" t="str">
        <f t="shared" si="64"/>
        <v>2025 JAN-JUN D70</v>
      </c>
      <c r="B663" s="10">
        <f t="shared" si="64"/>
        <v>46104</v>
      </c>
      <c r="C663" s="10">
        <f t="shared" si="64"/>
        <v>46113</v>
      </c>
      <c r="D663" s="11">
        <v>3273</v>
      </c>
      <c r="E663" s="11">
        <v>336</v>
      </c>
      <c r="F663" s="11">
        <v>4</v>
      </c>
      <c r="G663" s="9">
        <v>9</v>
      </c>
      <c r="H663" s="9">
        <v>81676</v>
      </c>
      <c r="I663" s="9" t="s">
        <v>17</v>
      </c>
      <c r="J663" s="9">
        <v>51101707</v>
      </c>
      <c r="K663" s="9" t="s">
        <v>2857</v>
      </c>
      <c r="L663" s="9" t="s">
        <v>2858</v>
      </c>
      <c r="M663" s="12">
        <v>249900</v>
      </c>
      <c r="N663" s="24">
        <f t="shared" si="63"/>
        <v>0.7</v>
      </c>
      <c r="O663" s="25">
        <f t="shared" si="62"/>
        <v>74970</v>
      </c>
      <c r="P663" s="11" t="s">
        <v>20</v>
      </c>
    </row>
    <row r="664" spans="1:16" x14ac:dyDescent="0.25">
      <c r="A664" s="23" t="str">
        <f t="shared" si="64"/>
        <v>2025 JAN-JUN D70</v>
      </c>
      <c r="B664" s="10">
        <f t="shared" si="64"/>
        <v>46104</v>
      </c>
      <c r="C664" s="10">
        <f t="shared" si="64"/>
        <v>46113</v>
      </c>
      <c r="D664" s="11">
        <v>3273</v>
      </c>
      <c r="E664" s="11">
        <v>336</v>
      </c>
      <c r="F664" s="11">
        <v>4</v>
      </c>
      <c r="G664" s="9">
        <v>9</v>
      </c>
      <c r="H664" s="9">
        <v>81676</v>
      </c>
      <c r="I664" s="9" t="s">
        <v>17</v>
      </c>
      <c r="J664" s="9">
        <v>51101716</v>
      </c>
      <c r="K664" s="9" t="s">
        <v>2857</v>
      </c>
      <c r="L664" s="9" t="s">
        <v>2859</v>
      </c>
      <c r="M664" s="12">
        <v>249900</v>
      </c>
      <c r="N664" s="24">
        <f t="shared" si="63"/>
        <v>0.7</v>
      </c>
      <c r="O664" s="25">
        <f t="shared" si="62"/>
        <v>74970</v>
      </c>
      <c r="P664" s="11" t="s">
        <v>20</v>
      </c>
    </row>
    <row r="665" spans="1:16" x14ac:dyDescent="0.25">
      <c r="A665" s="23" t="str">
        <f t="shared" si="64"/>
        <v>2025 JAN-JUN D70</v>
      </c>
      <c r="B665" s="10">
        <f t="shared" si="64"/>
        <v>46104</v>
      </c>
      <c r="C665" s="10">
        <f t="shared" si="64"/>
        <v>46113</v>
      </c>
      <c r="D665" s="11">
        <v>3273</v>
      </c>
      <c r="E665" s="11">
        <v>336</v>
      </c>
      <c r="F665" s="11">
        <v>4</v>
      </c>
      <c r="G665" s="9">
        <v>9</v>
      </c>
      <c r="H665" s="9">
        <v>81676</v>
      </c>
      <c r="I665" s="9" t="s">
        <v>17</v>
      </c>
      <c r="J665" s="9">
        <v>51101725</v>
      </c>
      <c r="K665" s="9" t="s">
        <v>2857</v>
      </c>
      <c r="L665" s="9" t="s">
        <v>2860</v>
      </c>
      <c r="M665" s="12">
        <v>249900</v>
      </c>
      <c r="N665" s="24">
        <f t="shared" si="63"/>
        <v>0.7</v>
      </c>
      <c r="O665" s="25">
        <f t="shared" si="62"/>
        <v>74970</v>
      </c>
      <c r="P665" s="11" t="s">
        <v>20</v>
      </c>
    </row>
    <row r="666" spans="1:16" x14ac:dyDescent="0.25">
      <c r="A666" s="23" t="str">
        <f t="shared" si="64"/>
        <v>2025 JAN-JUN D70</v>
      </c>
      <c r="B666" s="10">
        <f t="shared" si="64"/>
        <v>46104</v>
      </c>
      <c r="C666" s="10">
        <f t="shared" si="64"/>
        <v>46113</v>
      </c>
      <c r="D666" s="11">
        <v>3273</v>
      </c>
      <c r="E666" s="11">
        <v>336</v>
      </c>
      <c r="F666" s="11">
        <v>4</v>
      </c>
      <c r="G666" s="9">
        <v>9</v>
      </c>
      <c r="H666" s="9">
        <v>81676</v>
      </c>
      <c r="I666" s="9" t="s">
        <v>17</v>
      </c>
      <c r="J666" s="9">
        <v>51101734</v>
      </c>
      <c r="K666" s="9" t="s">
        <v>2857</v>
      </c>
      <c r="L666" s="9" t="s">
        <v>2861</v>
      </c>
      <c r="M666" s="12">
        <v>249900</v>
      </c>
      <c r="N666" s="24">
        <f t="shared" si="63"/>
        <v>0.7</v>
      </c>
      <c r="O666" s="25">
        <f t="shared" si="62"/>
        <v>74970</v>
      </c>
      <c r="P666" s="11" t="s">
        <v>20</v>
      </c>
    </row>
    <row r="667" spans="1:16" x14ac:dyDescent="0.25">
      <c r="A667" s="23" t="str">
        <f t="shared" si="64"/>
        <v>2025 JAN-JUN D70</v>
      </c>
      <c r="B667" s="10">
        <f t="shared" si="64"/>
        <v>46104</v>
      </c>
      <c r="C667" s="10">
        <f t="shared" si="64"/>
        <v>46113</v>
      </c>
      <c r="D667" s="11">
        <v>3273</v>
      </c>
      <c r="E667" s="11">
        <v>336</v>
      </c>
      <c r="F667" s="11">
        <v>4</v>
      </c>
      <c r="G667" s="9">
        <v>9</v>
      </c>
      <c r="H667" s="9">
        <v>81676</v>
      </c>
      <c r="I667" s="9" t="s">
        <v>17</v>
      </c>
      <c r="J667" s="9">
        <v>51101743</v>
      </c>
      <c r="K667" s="9" t="s">
        <v>2857</v>
      </c>
      <c r="L667" s="9" t="s">
        <v>2862</v>
      </c>
      <c r="M667" s="12">
        <v>249900</v>
      </c>
      <c r="N667" s="24">
        <f t="shared" si="63"/>
        <v>0.7</v>
      </c>
      <c r="O667" s="25">
        <f t="shared" si="62"/>
        <v>74970</v>
      </c>
      <c r="P667" s="11" t="s">
        <v>20</v>
      </c>
    </row>
    <row r="668" spans="1:16" x14ac:dyDescent="0.25">
      <c r="A668" s="23" t="str">
        <f t="shared" si="64"/>
        <v>2025 JAN-JUN D70</v>
      </c>
      <c r="B668" s="10">
        <f t="shared" si="64"/>
        <v>46104</v>
      </c>
      <c r="C668" s="10">
        <f t="shared" si="64"/>
        <v>46113</v>
      </c>
      <c r="D668" s="11">
        <v>3273</v>
      </c>
      <c r="E668" s="11">
        <v>336</v>
      </c>
      <c r="F668" s="11">
        <v>4</v>
      </c>
      <c r="G668" s="9">
        <v>9</v>
      </c>
      <c r="H668" s="9">
        <v>81676</v>
      </c>
      <c r="I668" s="9" t="s">
        <v>17</v>
      </c>
      <c r="J668" s="9">
        <v>51101752</v>
      </c>
      <c r="K668" s="9" t="s">
        <v>2857</v>
      </c>
      <c r="L668" s="9" t="s">
        <v>2863</v>
      </c>
      <c r="M668" s="12">
        <v>249900</v>
      </c>
      <c r="N668" s="24">
        <f t="shared" si="63"/>
        <v>0.7</v>
      </c>
      <c r="O668" s="25">
        <f t="shared" si="62"/>
        <v>74970</v>
      </c>
      <c r="P668" s="11" t="s">
        <v>20</v>
      </c>
    </row>
    <row r="669" spans="1:16" x14ac:dyDescent="0.25">
      <c r="A669" s="23" t="str">
        <f t="shared" si="64"/>
        <v>2025 JAN-JUN D70</v>
      </c>
      <c r="B669" s="10">
        <f t="shared" si="64"/>
        <v>46104</v>
      </c>
      <c r="C669" s="10">
        <f t="shared" si="64"/>
        <v>46113</v>
      </c>
      <c r="D669" s="11">
        <v>3273</v>
      </c>
      <c r="E669" s="11">
        <v>336</v>
      </c>
      <c r="F669" s="11">
        <v>4</v>
      </c>
      <c r="G669" s="9">
        <v>9</v>
      </c>
      <c r="H669" s="9">
        <v>81676</v>
      </c>
      <c r="I669" s="9" t="s">
        <v>17</v>
      </c>
      <c r="J669" s="9">
        <v>51101761</v>
      </c>
      <c r="K669" s="9" t="s">
        <v>2857</v>
      </c>
      <c r="L669" s="9" t="s">
        <v>2864</v>
      </c>
      <c r="M669" s="12">
        <v>249900</v>
      </c>
      <c r="N669" s="24">
        <f t="shared" si="63"/>
        <v>0.7</v>
      </c>
      <c r="O669" s="25">
        <f t="shared" si="62"/>
        <v>74970</v>
      </c>
      <c r="P669" s="11" t="s">
        <v>20</v>
      </c>
    </row>
    <row r="670" spans="1:16" x14ac:dyDescent="0.25">
      <c r="A670" s="23" t="str">
        <f t="shared" si="64"/>
        <v>2025 JAN-JUN D70</v>
      </c>
      <c r="B670" s="10">
        <f t="shared" si="64"/>
        <v>46104</v>
      </c>
      <c r="C670" s="10">
        <f t="shared" si="64"/>
        <v>46113</v>
      </c>
      <c r="D670" s="11">
        <v>3273</v>
      </c>
      <c r="E670" s="11">
        <v>336</v>
      </c>
      <c r="F670" s="11">
        <v>4</v>
      </c>
      <c r="G670" s="9">
        <v>9</v>
      </c>
      <c r="H670" s="9">
        <v>81676</v>
      </c>
      <c r="I670" s="9" t="s">
        <v>17</v>
      </c>
      <c r="J670" s="9">
        <v>51101770</v>
      </c>
      <c r="K670" s="9" t="s">
        <v>2857</v>
      </c>
      <c r="L670" s="9" t="s">
        <v>2865</v>
      </c>
      <c r="M670" s="12">
        <v>249900</v>
      </c>
      <c r="N670" s="24">
        <f t="shared" si="63"/>
        <v>0.7</v>
      </c>
      <c r="O670" s="25">
        <f t="shared" si="62"/>
        <v>74970</v>
      </c>
      <c r="P670" s="11" t="s">
        <v>20</v>
      </c>
    </row>
    <row r="671" spans="1:16" x14ac:dyDescent="0.25">
      <c r="A671" s="23" t="str">
        <f t="shared" si="64"/>
        <v>2025 JAN-JUN D70</v>
      </c>
      <c r="B671" s="10">
        <f t="shared" si="64"/>
        <v>46104</v>
      </c>
      <c r="C671" s="10">
        <f t="shared" si="64"/>
        <v>46113</v>
      </c>
      <c r="D671" s="11">
        <v>3273</v>
      </c>
      <c r="E671" s="11">
        <v>336</v>
      </c>
      <c r="F671" s="11">
        <v>4</v>
      </c>
      <c r="G671" s="9">
        <v>6</v>
      </c>
      <c r="H671" s="9">
        <v>81588</v>
      </c>
      <c r="I671" s="9" t="s">
        <v>17</v>
      </c>
      <c r="J671" s="9">
        <v>52678245</v>
      </c>
      <c r="K671" s="9" t="s">
        <v>2866</v>
      </c>
      <c r="L671" s="9" t="s">
        <v>2867</v>
      </c>
      <c r="M671" s="12">
        <v>139900</v>
      </c>
      <c r="N671" s="24">
        <f t="shared" si="63"/>
        <v>0.7</v>
      </c>
      <c r="O671" s="25">
        <f t="shared" si="62"/>
        <v>41970</v>
      </c>
      <c r="P671" s="11" t="s">
        <v>20</v>
      </c>
    </row>
    <row r="672" spans="1:16" x14ac:dyDescent="0.25">
      <c r="A672" s="23" t="str">
        <f t="shared" si="64"/>
        <v>2025 JAN-JUN D70</v>
      </c>
      <c r="B672" s="10">
        <f t="shared" si="64"/>
        <v>46104</v>
      </c>
      <c r="C672" s="10">
        <f t="shared" si="64"/>
        <v>46113</v>
      </c>
      <c r="D672" s="11">
        <v>3273</v>
      </c>
      <c r="E672" s="11">
        <v>336</v>
      </c>
      <c r="F672" s="11">
        <v>4</v>
      </c>
      <c r="G672" s="9">
        <v>6</v>
      </c>
      <c r="H672" s="9">
        <v>81588</v>
      </c>
      <c r="I672" s="9" t="s">
        <v>17</v>
      </c>
      <c r="J672" s="9">
        <v>52678254</v>
      </c>
      <c r="K672" s="9" t="s">
        <v>2866</v>
      </c>
      <c r="L672" s="9" t="s">
        <v>2868</v>
      </c>
      <c r="M672" s="12">
        <v>139900</v>
      </c>
      <c r="N672" s="24">
        <f t="shared" si="63"/>
        <v>0.7</v>
      </c>
      <c r="O672" s="25">
        <f t="shared" si="62"/>
        <v>41970</v>
      </c>
      <c r="P672" s="11" t="s">
        <v>20</v>
      </c>
    </row>
    <row r="673" spans="1:16" x14ac:dyDescent="0.25">
      <c r="A673" s="23" t="str">
        <f t="shared" si="64"/>
        <v>2025 JAN-JUN D70</v>
      </c>
      <c r="B673" s="10">
        <f t="shared" si="64"/>
        <v>46104</v>
      </c>
      <c r="C673" s="10">
        <f t="shared" si="64"/>
        <v>46113</v>
      </c>
      <c r="D673" s="11">
        <v>3273</v>
      </c>
      <c r="E673" s="11">
        <v>336</v>
      </c>
      <c r="F673" s="11">
        <v>4</v>
      </c>
      <c r="G673" s="9">
        <v>6</v>
      </c>
      <c r="H673" s="9">
        <v>81588</v>
      </c>
      <c r="I673" s="9" t="s">
        <v>17</v>
      </c>
      <c r="J673" s="9">
        <v>52678263</v>
      </c>
      <c r="K673" s="9" t="s">
        <v>2866</v>
      </c>
      <c r="L673" s="9" t="s">
        <v>2869</v>
      </c>
      <c r="M673" s="12">
        <v>139900</v>
      </c>
      <c r="N673" s="24">
        <f t="shared" si="63"/>
        <v>0.7</v>
      </c>
      <c r="O673" s="25">
        <f t="shared" si="62"/>
        <v>41970</v>
      </c>
      <c r="P673" s="11" t="s">
        <v>20</v>
      </c>
    </row>
    <row r="674" spans="1:16" x14ac:dyDescent="0.25">
      <c r="A674" s="23" t="str">
        <f t="shared" si="64"/>
        <v>2025 JAN-JUN D70</v>
      </c>
      <c r="B674" s="10">
        <f t="shared" si="64"/>
        <v>46104</v>
      </c>
      <c r="C674" s="10">
        <f t="shared" si="64"/>
        <v>46113</v>
      </c>
      <c r="D674" s="11">
        <v>3273</v>
      </c>
      <c r="E674" s="11">
        <v>336</v>
      </c>
      <c r="F674" s="11">
        <v>4</v>
      </c>
      <c r="G674" s="9">
        <v>6</v>
      </c>
      <c r="H674" s="9">
        <v>81588</v>
      </c>
      <c r="I674" s="9" t="s">
        <v>17</v>
      </c>
      <c r="J674" s="9">
        <v>52678272</v>
      </c>
      <c r="K674" s="9" t="s">
        <v>2866</v>
      </c>
      <c r="L674" s="9" t="s">
        <v>2870</v>
      </c>
      <c r="M674" s="12">
        <v>139900</v>
      </c>
      <c r="N674" s="24">
        <f t="shared" si="63"/>
        <v>0.7</v>
      </c>
      <c r="O674" s="25">
        <f t="shared" si="62"/>
        <v>41970</v>
      </c>
      <c r="P674" s="11" t="s">
        <v>20</v>
      </c>
    </row>
    <row r="675" spans="1:16" x14ac:dyDescent="0.25">
      <c r="A675" s="23" t="str">
        <f t="shared" ref="A675:C690" si="65">A674</f>
        <v>2025 JAN-JUN D70</v>
      </c>
      <c r="B675" s="10">
        <f t="shared" si="65"/>
        <v>46104</v>
      </c>
      <c r="C675" s="10">
        <f t="shared" si="65"/>
        <v>46113</v>
      </c>
      <c r="D675" s="11">
        <v>3273</v>
      </c>
      <c r="E675" s="11">
        <v>336</v>
      </c>
      <c r="F675" s="11">
        <v>4</v>
      </c>
      <c r="G675" s="9">
        <v>6</v>
      </c>
      <c r="H675" s="9">
        <v>81588</v>
      </c>
      <c r="I675" s="9" t="s">
        <v>17</v>
      </c>
      <c r="J675" s="9">
        <v>52678281</v>
      </c>
      <c r="K675" s="9" t="s">
        <v>2866</v>
      </c>
      <c r="L675" s="9" t="s">
        <v>2871</v>
      </c>
      <c r="M675" s="12">
        <v>139900</v>
      </c>
      <c r="N675" s="24">
        <f t="shared" si="63"/>
        <v>0.7</v>
      </c>
      <c r="O675" s="25">
        <f t="shared" si="62"/>
        <v>41970</v>
      </c>
      <c r="P675" s="11" t="s">
        <v>20</v>
      </c>
    </row>
    <row r="676" spans="1:16" x14ac:dyDescent="0.25">
      <c r="A676" s="23" t="str">
        <f t="shared" si="65"/>
        <v>2025 JAN-JUN D70</v>
      </c>
      <c r="B676" s="10">
        <f t="shared" si="65"/>
        <v>46104</v>
      </c>
      <c r="C676" s="10">
        <f t="shared" si="65"/>
        <v>46113</v>
      </c>
      <c r="D676" s="11">
        <v>3273</v>
      </c>
      <c r="E676" s="11">
        <v>336</v>
      </c>
      <c r="F676" s="11">
        <v>4</v>
      </c>
      <c r="G676" s="9">
        <v>6</v>
      </c>
      <c r="H676" s="9">
        <v>81588</v>
      </c>
      <c r="I676" s="9" t="s">
        <v>17</v>
      </c>
      <c r="J676" s="9">
        <v>52678290</v>
      </c>
      <c r="K676" s="9" t="s">
        <v>2866</v>
      </c>
      <c r="L676" s="9" t="s">
        <v>2872</v>
      </c>
      <c r="M676" s="12">
        <v>139900</v>
      </c>
      <c r="N676" s="24">
        <f t="shared" si="63"/>
        <v>0.7</v>
      </c>
      <c r="O676" s="25">
        <f t="shared" si="62"/>
        <v>41970</v>
      </c>
      <c r="P676" s="11" t="s">
        <v>20</v>
      </c>
    </row>
    <row r="677" spans="1:16" x14ac:dyDescent="0.25">
      <c r="A677" s="23" t="str">
        <f t="shared" si="65"/>
        <v>2025 JAN-JUN D70</v>
      </c>
      <c r="B677" s="10">
        <f t="shared" si="65"/>
        <v>46104</v>
      </c>
      <c r="C677" s="10">
        <f t="shared" si="65"/>
        <v>46113</v>
      </c>
      <c r="D677" s="11">
        <v>3273</v>
      </c>
      <c r="E677" s="11">
        <v>336</v>
      </c>
      <c r="F677" s="11">
        <v>4</v>
      </c>
      <c r="G677" s="9">
        <v>6</v>
      </c>
      <c r="H677" s="9">
        <v>81588</v>
      </c>
      <c r="I677" s="9" t="s">
        <v>17</v>
      </c>
      <c r="J677" s="9">
        <v>52678307</v>
      </c>
      <c r="K677" s="9" t="s">
        <v>2866</v>
      </c>
      <c r="L677" s="9" t="s">
        <v>2873</v>
      </c>
      <c r="M677" s="12">
        <v>139900</v>
      </c>
      <c r="N677" s="24">
        <f t="shared" si="63"/>
        <v>0.7</v>
      </c>
      <c r="O677" s="25">
        <f t="shared" si="62"/>
        <v>41970</v>
      </c>
      <c r="P677" s="11" t="s">
        <v>20</v>
      </c>
    </row>
    <row r="678" spans="1:16" x14ac:dyDescent="0.25">
      <c r="A678" s="23" t="str">
        <f t="shared" si="65"/>
        <v>2025 JAN-JUN D70</v>
      </c>
      <c r="B678" s="10">
        <f t="shared" si="65"/>
        <v>46104</v>
      </c>
      <c r="C678" s="10">
        <f t="shared" si="65"/>
        <v>46113</v>
      </c>
      <c r="D678" s="11">
        <v>3273</v>
      </c>
      <c r="E678" s="11">
        <v>336</v>
      </c>
      <c r="F678" s="11">
        <v>4</v>
      </c>
      <c r="G678" s="9">
        <v>6</v>
      </c>
      <c r="H678" s="9">
        <v>81588</v>
      </c>
      <c r="I678" s="9" t="s">
        <v>17</v>
      </c>
      <c r="J678" s="9">
        <v>52678316</v>
      </c>
      <c r="K678" s="9" t="s">
        <v>2866</v>
      </c>
      <c r="L678" s="9" t="s">
        <v>2874</v>
      </c>
      <c r="M678" s="12">
        <v>139900</v>
      </c>
      <c r="N678" s="24">
        <f t="shared" si="63"/>
        <v>0.7</v>
      </c>
      <c r="O678" s="25">
        <f t="shared" si="62"/>
        <v>41970</v>
      </c>
      <c r="P678" s="11" t="s">
        <v>20</v>
      </c>
    </row>
    <row r="679" spans="1:16" x14ac:dyDescent="0.25">
      <c r="A679" s="23" t="str">
        <f t="shared" si="65"/>
        <v>2025 JAN-JUN D70</v>
      </c>
      <c r="B679" s="10">
        <f t="shared" si="65"/>
        <v>46104</v>
      </c>
      <c r="C679" s="10">
        <f t="shared" si="65"/>
        <v>46113</v>
      </c>
      <c r="D679" s="11">
        <v>3273</v>
      </c>
      <c r="E679" s="11">
        <v>336</v>
      </c>
      <c r="F679" s="11">
        <v>4</v>
      </c>
      <c r="G679" s="9">
        <v>6</v>
      </c>
      <c r="H679" s="9">
        <v>81588</v>
      </c>
      <c r="I679" s="9" t="s">
        <v>17</v>
      </c>
      <c r="J679" s="9">
        <v>52804107</v>
      </c>
      <c r="K679" s="9" t="s">
        <v>2875</v>
      </c>
      <c r="L679" s="9" t="s">
        <v>2876</v>
      </c>
      <c r="M679" s="12">
        <v>149900</v>
      </c>
      <c r="N679" s="24">
        <f t="shared" si="63"/>
        <v>0.7</v>
      </c>
      <c r="O679" s="25">
        <f t="shared" si="62"/>
        <v>44970</v>
      </c>
      <c r="P679" s="11" t="s">
        <v>20</v>
      </c>
    </row>
    <row r="680" spans="1:16" x14ac:dyDescent="0.25">
      <c r="A680" s="23" t="str">
        <f t="shared" si="65"/>
        <v>2025 JAN-JUN D70</v>
      </c>
      <c r="B680" s="10">
        <f t="shared" si="65"/>
        <v>46104</v>
      </c>
      <c r="C680" s="10">
        <f t="shared" si="65"/>
        <v>46113</v>
      </c>
      <c r="D680" s="11">
        <v>3273</v>
      </c>
      <c r="E680" s="11">
        <v>336</v>
      </c>
      <c r="F680" s="11">
        <v>4</v>
      </c>
      <c r="G680" s="9">
        <v>6</v>
      </c>
      <c r="H680" s="9">
        <v>81588</v>
      </c>
      <c r="I680" s="9" t="s">
        <v>17</v>
      </c>
      <c r="J680" s="9">
        <v>52804116</v>
      </c>
      <c r="K680" s="9" t="s">
        <v>2875</v>
      </c>
      <c r="L680" s="9" t="s">
        <v>2877</v>
      </c>
      <c r="M680" s="12">
        <v>149900</v>
      </c>
      <c r="N680" s="24">
        <f t="shared" si="63"/>
        <v>0.7</v>
      </c>
      <c r="O680" s="25">
        <f t="shared" si="62"/>
        <v>44970</v>
      </c>
      <c r="P680" s="11" t="s">
        <v>20</v>
      </c>
    </row>
    <row r="681" spans="1:16" x14ac:dyDescent="0.25">
      <c r="A681" s="23" t="str">
        <f t="shared" si="65"/>
        <v>2025 JAN-JUN D70</v>
      </c>
      <c r="B681" s="10">
        <f t="shared" si="65"/>
        <v>46104</v>
      </c>
      <c r="C681" s="10">
        <f t="shared" si="65"/>
        <v>46113</v>
      </c>
      <c r="D681" s="11">
        <v>3273</v>
      </c>
      <c r="E681" s="11">
        <v>336</v>
      </c>
      <c r="F681" s="11">
        <v>4</v>
      </c>
      <c r="G681" s="9">
        <v>6</v>
      </c>
      <c r="H681" s="9">
        <v>81588</v>
      </c>
      <c r="I681" s="9" t="s">
        <v>17</v>
      </c>
      <c r="J681" s="9">
        <v>52804125</v>
      </c>
      <c r="K681" s="9" t="s">
        <v>2875</v>
      </c>
      <c r="L681" s="9" t="s">
        <v>2878</v>
      </c>
      <c r="M681" s="12">
        <v>149900</v>
      </c>
      <c r="N681" s="24">
        <f t="shared" si="63"/>
        <v>0.7</v>
      </c>
      <c r="O681" s="25">
        <f t="shared" si="62"/>
        <v>44970</v>
      </c>
      <c r="P681" s="11" t="s">
        <v>20</v>
      </c>
    </row>
    <row r="682" spans="1:16" x14ac:dyDescent="0.25">
      <c r="A682" s="23" t="str">
        <f t="shared" si="65"/>
        <v>2025 JAN-JUN D70</v>
      </c>
      <c r="B682" s="10">
        <f t="shared" si="65"/>
        <v>46104</v>
      </c>
      <c r="C682" s="10">
        <f t="shared" si="65"/>
        <v>46113</v>
      </c>
      <c r="D682" s="11">
        <v>3273</v>
      </c>
      <c r="E682" s="11">
        <v>336</v>
      </c>
      <c r="F682" s="11">
        <v>4</v>
      </c>
      <c r="G682" s="9">
        <v>6</v>
      </c>
      <c r="H682" s="9">
        <v>81588</v>
      </c>
      <c r="I682" s="9" t="s">
        <v>17</v>
      </c>
      <c r="J682" s="9">
        <v>52804134</v>
      </c>
      <c r="K682" s="9" t="s">
        <v>2875</v>
      </c>
      <c r="L682" s="9" t="s">
        <v>2879</v>
      </c>
      <c r="M682" s="12">
        <v>149900</v>
      </c>
      <c r="N682" s="24">
        <f t="shared" si="63"/>
        <v>0.7</v>
      </c>
      <c r="O682" s="25">
        <f t="shared" si="62"/>
        <v>44970</v>
      </c>
      <c r="P682" s="11" t="s">
        <v>20</v>
      </c>
    </row>
    <row r="683" spans="1:16" x14ac:dyDescent="0.25">
      <c r="A683" s="23" t="str">
        <f t="shared" si="65"/>
        <v>2025 JAN-JUN D70</v>
      </c>
      <c r="B683" s="10">
        <f t="shared" si="65"/>
        <v>46104</v>
      </c>
      <c r="C683" s="10">
        <f t="shared" si="65"/>
        <v>46113</v>
      </c>
      <c r="D683" s="11">
        <v>3273</v>
      </c>
      <c r="E683" s="11">
        <v>336</v>
      </c>
      <c r="F683" s="11">
        <v>4</v>
      </c>
      <c r="G683" s="9">
        <v>6</v>
      </c>
      <c r="H683" s="9">
        <v>81588</v>
      </c>
      <c r="I683" s="9" t="s">
        <v>17</v>
      </c>
      <c r="J683" s="9">
        <v>52804143</v>
      </c>
      <c r="K683" s="9" t="s">
        <v>2875</v>
      </c>
      <c r="L683" s="9" t="s">
        <v>2880</v>
      </c>
      <c r="M683" s="12">
        <v>149900</v>
      </c>
      <c r="N683" s="24">
        <f t="shared" si="63"/>
        <v>0.7</v>
      </c>
      <c r="O683" s="25">
        <f t="shared" si="62"/>
        <v>44970</v>
      </c>
      <c r="P683" s="11" t="s">
        <v>20</v>
      </c>
    </row>
    <row r="684" spans="1:16" x14ac:dyDescent="0.25">
      <c r="A684" s="23" t="str">
        <f t="shared" si="65"/>
        <v>2025 JAN-JUN D70</v>
      </c>
      <c r="B684" s="10">
        <f t="shared" si="65"/>
        <v>46104</v>
      </c>
      <c r="C684" s="10">
        <f t="shared" si="65"/>
        <v>46113</v>
      </c>
      <c r="D684" s="11">
        <v>3273</v>
      </c>
      <c r="E684" s="11">
        <v>336</v>
      </c>
      <c r="F684" s="11">
        <v>4</v>
      </c>
      <c r="G684" s="9">
        <v>6</v>
      </c>
      <c r="H684" s="9">
        <v>81588</v>
      </c>
      <c r="I684" s="9" t="s">
        <v>17</v>
      </c>
      <c r="J684" s="9">
        <v>52804152</v>
      </c>
      <c r="K684" s="9" t="s">
        <v>2875</v>
      </c>
      <c r="L684" s="9" t="s">
        <v>2881</v>
      </c>
      <c r="M684" s="12">
        <v>149900</v>
      </c>
      <c r="N684" s="24">
        <f t="shared" si="63"/>
        <v>0.7</v>
      </c>
      <c r="O684" s="25">
        <f t="shared" si="62"/>
        <v>44970</v>
      </c>
      <c r="P684" s="11" t="s">
        <v>20</v>
      </c>
    </row>
    <row r="685" spans="1:16" x14ac:dyDescent="0.25">
      <c r="A685" s="23" t="str">
        <f t="shared" si="65"/>
        <v>2025 JAN-JUN D70</v>
      </c>
      <c r="B685" s="10">
        <f t="shared" si="65"/>
        <v>46104</v>
      </c>
      <c r="C685" s="10">
        <f t="shared" si="65"/>
        <v>46113</v>
      </c>
      <c r="D685" s="11">
        <v>3273</v>
      </c>
      <c r="E685" s="11">
        <v>336</v>
      </c>
      <c r="F685" s="11">
        <v>4</v>
      </c>
      <c r="G685" s="9">
        <v>6</v>
      </c>
      <c r="H685" s="9">
        <v>81588</v>
      </c>
      <c r="I685" s="9" t="s">
        <v>17</v>
      </c>
      <c r="J685" s="9">
        <v>52804161</v>
      </c>
      <c r="K685" s="9" t="s">
        <v>2875</v>
      </c>
      <c r="L685" s="9" t="s">
        <v>2882</v>
      </c>
      <c r="M685" s="12">
        <v>149900</v>
      </c>
      <c r="N685" s="24">
        <f t="shared" si="63"/>
        <v>0.7</v>
      </c>
      <c r="O685" s="25">
        <f t="shared" si="62"/>
        <v>44970</v>
      </c>
      <c r="P685" s="11" t="s">
        <v>20</v>
      </c>
    </row>
    <row r="686" spans="1:16" x14ac:dyDescent="0.25">
      <c r="A686" s="23" t="str">
        <f t="shared" si="65"/>
        <v>2025 JAN-JUN D70</v>
      </c>
      <c r="B686" s="10">
        <f t="shared" si="65"/>
        <v>46104</v>
      </c>
      <c r="C686" s="10">
        <f t="shared" si="65"/>
        <v>46113</v>
      </c>
      <c r="D686" s="11">
        <v>3273</v>
      </c>
      <c r="E686" s="11">
        <v>336</v>
      </c>
      <c r="F686" s="11">
        <v>4</v>
      </c>
      <c r="G686" s="9">
        <v>6</v>
      </c>
      <c r="H686" s="9">
        <v>81588</v>
      </c>
      <c r="I686" s="9" t="s">
        <v>17</v>
      </c>
      <c r="J686" s="9">
        <v>52804170</v>
      </c>
      <c r="K686" s="9" t="s">
        <v>2875</v>
      </c>
      <c r="L686" s="9" t="s">
        <v>2883</v>
      </c>
      <c r="M686" s="12">
        <v>149900</v>
      </c>
      <c r="N686" s="24">
        <f t="shared" si="63"/>
        <v>0.7</v>
      </c>
      <c r="O686" s="25">
        <f t="shared" si="62"/>
        <v>44970</v>
      </c>
      <c r="P686" s="11" t="s">
        <v>20</v>
      </c>
    </row>
    <row r="687" spans="1:16" x14ac:dyDescent="0.25">
      <c r="A687" s="23" t="str">
        <f t="shared" si="65"/>
        <v>2025 JAN-JUN D70</v>
      </c>
      <c r="B687" s="10">
        <f t="shared" si="65"/>
        <v>46104</v>
      </c>
      <c r="C687" s="10">
        <f t="shared" si="65"/>
        <v>46113</v>
      </c>
      <c r="D687" s="11">
        <v>3273</v>
      </c>
      <c r="E687" s="11">
        <v>336</v>
      </c>
      <c r="F687" s="11">
        <v>4</v>
      </c>
      <c r="G687" s="9">
        <v>6</v>
      </c>
      <c r="H687" s="9">
        <v>81588</v>
      </c>
      <c r="I687" s="9" t="s">
        <v>17</v>
      </c>
      <c r="J687" s="9">
        <v>52804189</v>
      </c>
      <c r="K687" s="9" t="s">
        <v>2884</v>
      </c>
      <c r="L687" s="9" t="s">
        <v>2885</v>
      </c>
      <c r="M687" s="12">
        <v>149900</v>
      </c>
      <c r="N687" s="24">
        <f t="shared" si="63"/>
        <v>0.7</v>
      </c>
      <c r="O687" s="25">
        <f t="shared" si="62"/>
        <v>44970</v>
      </c>
      <c r="P687" s="11" t="s">
        <v>20</v>
      </c>
    </row>
    <row r="688" spans="1:16" x14ac:dyDescent="0.25">
      <c r="A688" s="23" t="str">
        <f t="shared" si="65"/>
        <v>2025 JAN-JUN D70</v>
      </c>
      <c r="B688" s="10">
        <f t="shared" si="65"/>
        <v>46104</v>
      </c>
      <c r="C688" s="10">
        <f t="shared" si="65"/>
        <v>46113</v>
      </c>
      <c r="D688" s="11">
        <v>3273</v>
      </c>
      <c r="E688" s="11">
        <v>336</v>
      </c>
      <c r="F688" s="11">
        <v>4</v>
      </c>
      <c r="G688" s="9">
        <v>6</v>
      </c>
      <c r="H688" s="9">
        <v>81588</v>
      </c>
      <c r="I688" s="9" t="s">
        <v>17</v>
      </c>
      <c r="J688" s="9">
        <v>52804198</v>
      </c>
      <c r="K688" s="9" t="s">
        <v>2884</v>
      </c>
      <c r="L688" s="9" t="s">
        <v>2886</v>
      </c>
      <c r="M688" s="12">
        <v>149900</v>
      </c>
      <c r="N688" s="24">
        <f t="shared" si="63"/>
        <v>0.7</v>
      </c>
      <c r="O688" s="25">
        <f t="shared" si="62"/>
        <v>44970</v>
      </c>
      <c r="P688" s="11" t="s">
        <v>20</v>
      </c>
    </row>
    <row r="689" spans="1:16" x14ac:dyDescent="0.25">
      <c r="A689" s="23" t="str">
        <f t="shared" si="65"/>
        <v>2025 JAN-JUN D70</v>
      </c>
      <c r="B689" s="10">
        <f t="shared" si="65"/>
        <v>46104</v>
      </c>
      <c r="C689" s="10">
        <f t="shared" si="65"/>
        <v>46113</v>
      </c>
      <c r="D689" s="11">
        <v>3273</v>
      </c>
      <c r="E689" s="11">
        <v>336</v>
      </c>
      <c r="F689" s="11">
        <v>4</v>
      </c>
      <c r="G689" s="9">
        <v>6</v>
      </c>
      <c r="H689" s="9">
        <v>81588</v>
      </c>
      <c r="I689" s="9" t="s">
        <v>17</v>
      </c>
      <c r="J689" s="9">
        <v>52804205</v>
      </c>
      <c r="K689" s="9" t="s">
        <v>2884</v>
      </c>
      <c r="L689" s="9" t="s">
        <v>2887</v>
      </c>
      <c r="M689" s="12">
        <v>149900</v>
      </c>
      <c r="N689" s="24">
        <f t="shared" si="63"/>
        <v>0.7</v>
      </c>
      <c r="O689" s="25">
        <f t="shared" si="62"/>
        <v>44970</v>
      </c>
      <c r="P689" s="11" t="s">
        <v>20</v>
      </c>
    </row>
    <row r="690" spans="1:16" x14ac:dyDescent="0.25">
      <c r="A690" s="23" t="str">
        <f t="shared" si="65"/>
        <v>2025 JAN-JUN D70</v>
      </c>
      <c r="B690" s="10">
        <f t="shared" si="65"/>
        <v>46104</v>
      </c>
      <c r="C690" s="10">
        <f t="shared" si="65"/>
        <v>46113</v>
      </c>
      <c r="D690" s="11">
        <v>3273</v>
      </c>
      <c r="E690" s="11">
        <v>336</v>
      </c>
      <c r="F690" s="11">
        <v>4</v>
      </c>
      <c r="G690" s="9">
        <v>6</v>
      </c>
      <c r="H690" s="9">
        <v>81588</v>
      </c>
      <c r="I690" s="9" t="s">
        <v>17</v>
      </c>
      <c r="J690" s="9">
        <v>52804214</v>
      </c>
      <c r="K690" s="9" t="s">
        <v>2884</v>
      </c>
      <c r="L690" s="9" t="s">
        <v>2888</v>
      </c>
      <c r="M690" s="12">
        <v>149900</v>
      </c>
      <c r="N690" s="24">
        <f t="shared" si="63"/>
        <v>0.7</v>
      </c>
      <c r="O690" s="25">
        <f t="shared" si="62"/>
        <v>44970</v>
      </c>
      <c r="P690" s="11" t="s">
        <v>20</v>
      </c>
    </row>
    <row r="691" spans="1:16" x14ac:dyDescent="0.25">
      <c r="A691" s="23" t="str">
        <f t="shared" ref="A691:C706" si="66">A690</f>
        <v>2025 JAN-JUN D70</v>
      </c>
      <c r="B691" s="10">
        <f t="shared" si="66"/>
        <v>46104</v>
      </c>
      <c r="C691" s="10">
        <f t="shared" si="66"/>
        <v>46113</v>
      </c>
      <c r="D691" s="11">
        <v>3273</v>
      </c>
      <c r="E691" s="11">
        <v>336</v>
      </c>
      <c r="F691" s="11">
        <v>4</v>
      </c>
      <c r="G691" s="9">
        <v>6</v>
      </c>
      <c r="H691" s="9">
        <v>81588</v>
      </c>
      <c r="I691" s="9" t="s">
        <v>17</v>
      </c>
      <c r="J691" s="9">
        <v>52804223</v>
      </c>
      <c r="K691" s="9" t="s">
        <v>2884</v>
      </c>
      <c r="L691" s="9" t="s">
        <v>2889</v>
      </c>
      <c r="M691" s="12">
        <v>149900</v>
      </c>
      <c r="N691" s="24">
        <f t="shared" si="63"/>
        <v>0.7</v>
      </c>
      <c r="O691" s="25">
        <f t="shared" si="62"/>
        <v>44970</v>
      </c>
      <c r="P691" s="11" t="s">
        <v>20</v>
      </c>
    </row>
    <row r="692" spans="1:16" x14ac:dyDescent="0.25">
      <c r="A692" s="23" t="str">
        <f t="shared" si="66"/>
        <v>2025 JAN-JUN D70</v>
      </c>
      <c r="B692" s="10">
        <f t="shared" si="66"/>
        <v>46104</v>
      </c>
      <c r="C692" s="10">
        <f t="shared" si="66"/>
        <v>46113</v>
      </c>
      <c r="D692" s="11">
        <v>3273</v>
      </c>
      <c r="E692" s="11">
        <v>336</v>
      </c>
      <c r="F692" s="11">
        <v>4</v>
      </c>
      <c r="G692" s="9">
        <v>6</v>
      </c>
      <c r="H692" s="9">
        <v>81588</v>
      </c>
      <c r="I692" s="9" t="s">
        <v>17</v>
      </c>
      <c r="J692" s="9">
        <v>52804232</v>
      </c>
      <c r="K692" s="9" t="s">
        <v>2884</v>
      </c>
      <c r="L692" s="9" t="s">
        <v>2890</v>
      </c>
      <c r="M692" s="12">
        <v>149900</v>
      </c>
      <c r="N692" s="24">
        <f t="shared" si="63"/>
        <v>0.7</v>
      </c>
      <c r="O692" s="25">
        <f t="shared" si="62"/>
        <v>44970</v>
      </c>
      <c r="P692" s="11" t="s">
        <v>20</v>
      </c>
    </row>
    <row r="693" spans="1:16" x14ac:dyDescent="0.25">
      <c r="A693" s="23" t="str">
        <f t="shared" si="66"/>
        <v>2025 JAN-JUN D70</v>
      </c>
      <c r="B693" s="10">
        <f t="shared" si="66"/>
        <v>46104</v>
      </c>
      <c r="C693" s="10">
        <f t="shared" si="66"/>
        <v>46113</v>
      </c>
      <c r="D693" s="11">
        <v>3273</v>
      </c>
      <c r="E693" s="11">
        <v>336</v>
      </c>
      <c r="F693" s="11">
        <v>4</v>
      </c>
      <c r="G693" s="9">
        <v>6</v>
      </c>
      <c r="H693" s="9">
        <v>81588</v>
      </c>
      <c r="I693" s="9" t="s">
        <v>17</v>
      </c>
      <c r="J693" s="9">
        <v>52804241</v>
      </c>
      <c r="K693" s="9" t="s">
        <v>2884</v>
      </c>
      <c r="L693" s="9" t="s">
        <v>2891</v>
      </c>
      <c r="M693" s="12">
        <v>149900</v>
      </c>
      <c r="N693" s="24">
        <f t="shared" si="63"/>
        <v>0.7</v>
      </c>
      <c r="O693" s="25">
        <f t="shared" si="62"/>
        <v>44970</v>
      </c>
      <c r="P693" s="11" t="s">
        <v>20</v>
      </c>
    </row>
    <row r="694" spans="1:16" x14ac:dyDescent="0.25">
      <c r="A694" s="23" t="str">
        <f t="shared" si="66"/>
        <v>2025 JAN-JUN D70</v>
      </c>
      <c r="B694" s="10">
        <f t="shared" si="66"/>
        <v>46104</v>
      </c>
      <c r="C694" s="10">
        <f t="shared" si="66"/>
        <v>46113</v>
      </c>
      <c r="D694" s="11">
        <v>3273</v>
      </c>
      <c r="E694" s="11">
        <v>336</v>
      </c>
      <c r="F694" s="11">
        <v>4</v>
      </c>
      <c r="G694" s="9">
        <v>6</v>
      </c>
      <c r="H694" s="9">
        <v>81588</v>
      </c>
      <c r="I694" s="9" t="s">
        <v>17</v>
      </c>
      <c r="J694" s="9">
        <v>52804250</v>
      </c>
      <c r="K694" s="9" t="s">
        <v>2884</v>
      </c>
      <c r="L694" s="9" t="s">
        <v>2892</v>
      </c>
      <c r="M694" s="12">
        <v>149900</v>
      </c>
      <c r="N694" s="24">
        <f t="shared" si="63"/>
        <v>0.7</v>
      </c>
      <c r="O694" s="25">
        <f t="shared" si="62"/>
        <v>44970</v>
      </c>
      <c r="P694" s="11" t="s">
        <v>20</v>
      </c>
    </row>
    <row r="695" spans="1:16" x14ac:dyDescent="0.25">
      <c r="A695" s="23" t="str">
        <f t="shared" si="66"/>
        <v>2025 JAN-JUN D70</v>
      </c>
      <c r="B695" s="10">
        <f t="shared" si="66"/>
        <v>46104</v>
      </c>
      <c r="C695" s="10">
        <f t="shared" si="66"/>
        <v>46113</v>
      </c>
      <c r="D695" s="11">
        <v>3273</v>
      </c>
      <c r="E695" s="11">
        <v>336</v>
      </c>
      <c r="F695" s="11">
        <v>4</v>
      </c>
      <c r="G695" s="9">
        <v>6</v>
      </c>
      <c r="H695" s="9">
        <v>81588</v>
      </c>
      <c r="I695" s="9" t="s">
        <v>17</v>
      </c>
      <c r="J695" s="9">
        <v>52804269</v>
      </c>
      <c r="K695" s="9" t="s">
        <v>2893</v>
      </c>
      <c r="L695" s="9" t="s">
        <v>2894</v>
      </c>
      <c r="M695" s="12">
        <v>139900</v>
      </c>
      <c r="N695" s="24">
        <f t="shared" si="63"/>
        <v>0.7</v>
      </c>
      <c r="O695" s="25">
        <f t="shared" si="62"/>
        <v>41970</v>
      </c>
      <c r="P695" s="11" t="s">
        <v>20</v>
      </c>
    </row>
    <row r="696" spans="1:16" x14ac:dyDescent="0.25">
      <c r="A696" s="23" t="str">
        <f t="shared" si="66"/>
        <v>2025 JAN-JUN D70</v>
      </c>
      <c r="B696" s="10">
        <f t="shared" si="66"/>
        <v>46104</v>
      </c>
      <c r="C696" s="10">
        <f t="shared" si="66"/>
        <v>46113</v>
      </c>
      <c r="D696" s="11">
        <v>3273</v>
      </c>
      <c r="E696" s="11">
        <v>336</v>
      </c>
      <c r="F696" s="11">
        <v>4</v>
      </c>
      <c r="G696" s="9">
        <v>6</v>
      </c>
      <c r="H696" s="9">
        <v>81588</v>
      </c>
      <c r="I696" s="9" t="s">
        <v>17</v>
      </c>
      <c r="J696" s="9">
        <v>52804278</v>
      </c>
      <c r="K696" s="9" t="s">
        <v>2893</v>
      </c>
      <c r="L696" s="9" t="s">
        <v>2895</v>
      </c>
      <c r="M696" s="12">
        <v>139900</v>
      </c>
      <c r="N696" s="24">
        <f t="shared" si="63"/>
        <v>0.7</v>
      </c>
      <c r="O696" s="25">
        <f t="shared" si="62"/>
        <v>41970</v>
      </c>
      <c r="P696" s="11" t="s">
        <v>20</v>
      </c>
    </row>
    <row r="697" spans="1:16" x14ac:dyDescent="0.25">
      <c r="A697" s="23" t="str">
        <f t="shared" si="66"/>
        <v>2025 JAN-JUN D70</v>
      </c>
      <c r="B697" s="10">
        <f t="shared" si="66"/>
        <v>46104</v>
      </c>
      <c r="C697" s="10">
        <f t="shared" si="66"/>
        <v>46113</v>
      </c>
      <c r="D697" s="11">
        <v>3273</v>
      </c>
      <c r="E697" s="11">
        <v>336</v>
      </c>
      <c r="F697" s="11">
        <v>4</v>
      </c>
      <c r="G697" s="9">
        <v>6</v>
      </c>
      <c r="H697" s="9">
        <v>81588</v>
      </c>
      <c r="I697" s="9" t="s">
        <v>17</v>
      </c>
      <c r="J697" s="9">
        <v>52804287</v>
      </c>
      <c r="K697" s="9" t="s">
        <v>2893</v>
      </c>
      <c r="L697" s="9" t="s">
        <v>2896</v>
      </c>
      <c r="M697" s="12">
        <v>139900</v>
      </c>
      <c r="N697" s="24">
        <f t="shared" si="63"/>
        <v>0.7</v>
      </c>
      <c r="O697" s="25">
        <f t="shared" si="62"/>
        <v>41970</v>
      </c>
      <c r="P697" s="11" t="s">
        <v>20</v>
      </c>
    </row>
    <row r="698" spans="1:16" x14ac:dyDescent="0.25">
      <c r="A698" s="23" t="str">
        <f t="shared" si="66"/>
        <v>2025 JAN-JUN D70</v>
      </c>
      <c r="B698" s="10">
        <f t="shared" si="66"/>
        <v>46104</v>
      </c>
      <c r="C698" s="10">
        <f t="shared" si="66"/>
        <v>46113</v>
      </c>
      <c r="D698" s="11">
        <v>3273</v>
      </c>
      <c r="E698" s="11">
        <v>336</v>
      </c>
      <c r="F698" s="11">
        <v>4</v>
      </c>
      <c r="G698" s="9">
        <v>6</v>
      </c>
      <c r="H698" s="9">
        <v>81588</v>
      </c>
      <c r="I698" s="9" t="s">
        <v>17</v>
      </c>
      <c r="J698" s="9">
        <v>52804296</v>
      </c>
      <c r="K698" s="9" t="s">
        <v>2893</v>
      </c>
      <c r="L698" s="9" t="s">
        <v>2897</v>
      </c>
      <c r="M698" s="12">
        <v>139900</v>
      </c>
      <c r="N698" s="24">
        <f t="shared" si="63"/>
        <v>0.7</v>
      </c>
      <c r="O698" s="25">
        <f t="shared" si="62"/>
        <v>41970</v>
      </c>
      <c r="P698" s="11" t="s">
        <v>20</v>
      </c>
    </row>
    <row r="699" spans="1:16" x14ac:dyDescent="0.25">
      <c r="A699" s="23" t="str">
        <f t="shared" si="66"/>
        <v>2025 JAN-JUN D70</v>
      </c>
      <c r="B699" s="10">
        <f t="shared" si="66"/>
        <v>46104</v>
      </c>
      <c r="C699" s="10">
        <f t="shared" si="66"/>
        <v>46113</v>
      </c>
      <c r="D699" s="11">
        <v>3273</v>
      </c>
      <c r="E699" s="11">
        <v>336</v>
      </c>
      <c r="F699" s="11">
        <v>4</v>
      </c>
      <c r="G699" s="9">
        <v>6</v>
      </c>
      <c r="H699" s="9">
        <v>81588</v>
      </c>
      <c r="I699" s="9" t="s">
        <v>17</v>
      </c>
      <c r="J699" s="9">
        <v>52804303</v>
      </c>
      <c r="K699" s="9" t="s">
        <v>2893</v>
      </c>
      <c r="L699" s="9" t="s">
        <v>2898</v>
      </c>
      <c r="M699" s="12">
        <v>139900</v>
      </c>
      <c r="N699" s="24">
        <f t="shared" si="63"/>
        <v>0.7</v>
      </c>
      <c r="O699" s="25">
        <f t="shared" si="62"/>
        <v>41970</v>
      </c>
      <c r="P699" s="11" t="s">
        <v>20</v>
      </c>
    </row>
    <row r="700" spans="1:16" x14ac:dyDescent="0.25">
      <c r="A700" s="23" t="str">
        <f t="shared" si="66"/>
        <v>2025 JAN-JUN D70</v>
      </c>
      <c r="B700" s="10">
        <f t="shared" si="66"/>
        <v>46104</v>
      </c>
      <c r="C700" s="10">
        <f t="shared" si="66"/>
        <v>46113</v>
      </c>
      <c r="D700" s="11">
        <v>3273</v>
      </c>
      <c r="E700" s="11">
        <v>336</v>
      </c>
      <c r="F700" s="11">
        <v>4</v>
      </c>
      <c r="G700" s="9">
        <v>6</v>
      </c>
      <c r="H700" s="9">
        <v>81588</v>
      </c>
      <c r="I700" s="9" t="s">
        <v>17</v>
      </c>
      <c r="J700" s="9">
        <v>52804312</v>
      </c>
      <c r="K700" s="9" t="s">
        <v>2893</v>
      </c>
      <c r="L700" s="9" t="s">
        <v>2899</v>
      </c>
      <c r="M700" s="12">
        <v>139900</v>
      </c>
      <c r="N700" s="24">
        <f t="shared" si="63"/>
        <v>0.7</v>
      </c>
      <c r="O700" s="25">
        <f t="shared" si="62"/>
        <v>41970</v>
      </c>
      <c r="P700" s="11" t="s">
        <v>20</v>
      </c>
    </row>
    <row r="701" spans="1:16" x14ac:dyDescent="0.25">
      <c r="A701" s="23" t="str">
        <f t="shared" si="66"/>
        <v>2025 JAN-JUN D70</v>
      </c>
      <c r="B701" s="10">
        <f t="shared" si="66"/>
        <v>46104</v>
      </c>
      <c r="C701" s="10">
        <f t="shared" si="66"/>
        <v>46113</v>
      </c>
      <c r="D701" s="11">
        <v>3273</v>
      </c>
      <c r="E701" s="11">
        <v>336</v>
      </c>
      <c r="F701" s="11">
        <v>4</v>
      </c>
      <c r="G701" s="9">
        <v>6</v>
      </c>
      <c r="H701" s="9">
        <v>81676</v>
      </c>
      <c r="I701" s="9" t="s">
        <v>17</v>
      </c>
      <c r="J701" s="9">
        <v>51104820</v>
      </c>
      <c r="K701" s="9" t="s">
        <v>2900</v>
      </c>
      <c r="L701" s="9" t="s">
        <v>2901</v>
      </c>
      <c r="M701" s="12">
        <v>189900</v>
      </c>
      <c r="N701" s="24">
        <f t="shared" si="63"/>
        <v>0.7</v>
      </c>
      <c r="O701" s="25">
        <f t="shared" si="62"/>
        <v>56970</v>
      </c>
      <c r="P701" s="11" t="s">
        <v>20</v>
      </c>
    </row>
    <row r="702" spans="1:16" x14ac:dyDescent="0.25">
      <c r="A702" s="23" t="str">
        <f t="shared" si="66"/>
        <v>2025 JAN-JUN D70</v>
      </c>
      <c r="B702" s="10">
        <f t="shared" si="66"/>
        <v>46104</v>
      </c>
      <c r="C702" s="10">
        <f t="shared" si="66"/>
        <v>46113</v>
      </c>
      <c r="D702" s="11">
        <v>3273</v>
      </c>
      <c r="E702" s="11">
        <v>336</v>
      </c>
      <c r="F702" s="11">
        <v>4</v>
      </c>
      <c r="G702" s="9">
        <v>6</v>
      </c>
      <c r="H702" s="9">
        <v>81676</v>
      </c>
      <c r="I702" s="9" t="s">
        <v>17</v>
      </c>
      <c r="J702" s="9">
        <v>51104839</v>
      </c>
      <c r="K702" s="9" t="s">
        <v>2900</v>
      </c>
      <c r="L702" s="9" t="s">
        <v>2902</v>
      </c>
      <c r="M702" s="12">
        <v>189900</v>
      </c>
      <c r="N702" s="24">
        <f t="shared" si="63"/>
        <v>0.7</v>
      </c>
      <c r="O702" s="25">
        <f t="shared" si="62"/>
        <v>56970</v>
      </c>
      <c r="P702" s="11" t="s">
        <v>20</v>
      </c>
    </row>
    <row r="703" spans="1:16" x14ac:dyDescent="0.25">
      <c r="A703" s="23" t="str">
        <f t="shared" si="66"/>
        <v>2025 JAN-JUN D70</v>
      </c>
      <c r="B703" s="10">
        <f t="shared" si="66"/>
        <v>46104</v>
      </c>
      <c r="C703" s="10">
        <f t="shared" si="66"/>
        <v>46113</v>
      </c>
      <c r="D703" s="11">
        <v>3273</v>
      </c>
      <c r="E703" s="11">
        <v>336</v>
      </c>
      <c r="F703" s="11">
        <v>4</v>
      </c>
      <c r="G703" s="9">
        <v>6</v>
      </c>
      <c r="H703" s="9">
        <v>81676</v>
      </c>
      <c r="I703" s="9" t="s">
        <v>17</v>
      </c>
      <c r="J703" s="9">
        <v>51104848</v>
      </c>
      <c r="K703" s="9" t="s">
        <v>2900</v>
      </c>
      <c r="L703" s="9" t="s">
        <v>2903</v>
      </c>
      <c r="M703" s="12">
        <v>189900</v>
      </c>
      <c r="N703" s="24">
        <f t="shared" si="63"/>
        <v>0.7</v>
      </c>
      <c r="O703" s="25">
        <f t="shared" si="62"/>
        <v>56970</v>
      </c>
      <c r="P703" s="11" t="s">
        <v>20</v>
      </c>
    </row>
    <row r="704" spans="1:16" x14ac:dyDescent="0.25">
      <c r="A704" s="23" t="str">
        <f t="shared" si="66"/>
        <v>2025 JAN-JUN D70</v>
      </c>
      <c r="B704" s="10">
        <f t="shared" si="66"/>
        <v>46104</v>
      </c>
      <c r="C704" s="10">
        <f t="shared" si="66"/>
        <v>46113</v>
      </c>
      <c r="D704" s="11">
        <v>3273</v>
      </c>
      <c r="E704" s="11">
        <v>336</v>
      </c>
      <c r="F704" s="11">
        <v>4</v>
      </c>
      <c r="G704" s="9">
        <v>6</v>
      </c>
      <c r="H704" s="9">
        <v>81676</v>
      </c>
      <c r="I704" s="9" t="s">
        <v>17</v>
      </c>
      <c r="J704" s="9">
        <v>51104857</v>
      </c>
      <c r="K704" s="9" t="s">
        <v>2900</v>
      </c>
      <c r="L704" s="9" t="s">
        <v>2904</v>
      </c>
      <c r="M704" s="12">
        <v>189900</v>
      </c>
      <c r="N704" s="24">
        <f t="shared" si="63"/>
        <v>0.7</v>
      </c>
      <c r="O704" s="25">
        <f t="shared" si="62"/>
        <v>56970</v>
      </c>
      <c r="P704" s="11" t="s">
        <v>20</v>
      </c>
    </row>
    <row r="705" spans="1:16" x14ac:dyDescent="0.25">
      <c r="A705" s="23" t="str">
        <f t="shared" si="66"/>
        <v>2025 JAN-JUN D70</v>
      </c>
      <c r="B705" s="10">
        <f t="shared" si="66"/>
        <v>46104</v>
      </c>
      <c r="C705" s="10">
        <f t="shared" si="66"/>
        <v>46113</v>
      </c>
      <c r="D705" s="11">
        <v>3273</v>
      </c>
      <c r="E705" s="11">
        <v>336</v>
      </c>
      <c r="F705" s="11">
        <v>4</v>
      </c>
      <c r="G705" s="9">
        <v>6</v>
      </c>
      <c r="H705" s="9">
        <v>81676</v>
      </c>
      <c r="I705" s="9" t="s">
        <v>17</v>
      </c>
      <c r="J705" s="9">
        <v>51104866</v>
      </c>
      <c r="K705" s="9" t="s">
        <v>2900</v>
      </c>
      <c r="L705" s="9" t="s">
        <v>2905</v>
      </c>
      <c r="M705" s="12">
        <v>189900</v>
      </c>
      <c r="N705" s="24">
        <f t="shared" si="63"/>
        <v>0.7</v>
      </c>
      <c r="O705" s="25">
        <f t="shared" si="62"/>
        <v>56970</v>
      </c>
      <c r="P705" s="11" t="s">
        <v>20</v>
      </c>
    </row>
    <row r="706" spans="1:16" x14ac:dyDescent="0.25">
      <c r="A706" s="23" t="str">
        <f t="shared" si="66"/>
        <v>2025 JAN-JUN D70</v>
      </c>
      <c r="B706" s="10">
        <f t="shared" si="66"/>
        <v>46104</v>
      </c>
      <c r="C706" s="10">
        <f t="shared" si="66"/>
        <v>46113</v>
      </c>
      <c r="D706" s="11">
        <v>3273</v>
      </c>
      <c r="E706" s="11">
        <v>336</v>
      </c>
      <c r="F706" s="11">
        <v>4</v>
      </c>
      <c r="G706" s="9">
        <v>6</v>
      </c>
      <c r="H706" s="9">
        <v>81676</v>
      </c>
      <c r="I706" s="9" t="s">
        <v>17</v>
      </c>
      <c r="J706" s="9">
        <v>51104875</v>
      </c>
      <c r="K706" s="9" t="s">
        <v>2900</v>
      </c>
      <c r="L706" s="9" t="s">
        <v>2906</v>
      </c>
      <c r="M706" s="12">
        <v>189900</v>
      </c>
      <c r="N706" s="24">
        <f t="shared" si="63"/>
        <v>0.7</v>
      </c>
      <c r="O706" s="25">
        <f t="shared" si="62"/>
        <v>56970</v>
      </c>
      <c r="P706" s="11" t="s">
        <v>20</v>
      </c>
    </row>
    <row r="707" spans="1:16" x14ac:dyDescent="0.25">
      <c r="A707" s="23" t="str">
        <f t="shared" ref="A707:C722" si="67">A706</f>
        <v>2025 JAN-JUN D70</v>
      </c>
      <c r="B707" s="10">
        <f t="shared" si="67"/>
        <v>46104</v>
      </c>
      <c r="C707" s="10">
        <f t="shared" si="67"/>
        <v>46113</v>
      </c>
      <c r="D707" s="11">
        <v>3273</v>
      </c>
      <c r="E707" s="11">
        <v>336</v>
      </c>
      <c r="F707" s="11">
        <v>4</v>
      </c>
      <c r="G707" s="9">
        <v>6</v>
      </c>
      <c r="H707" s="9">
        <v>81676</v>
      </c>
      <c r="I707" s="9" t="s">
        <v>17</v>
      </c>
      <c r="J707" s="9">
        <v>51104884</v>
      </c>
      <c r="K707" s="9" t="s">
        <v>2900</v>
      </c>
      <c r="L707" s="9" t="s">
        <v>2907</v>
      </c>
      <c r="M707" s="12">
        <v>189900</v>
      </c>
      <c r="N707" s="24">
        <f t="shared" si="63"/>
        <v>0.7</v>
      </c>
      <c r="O707" s="25">
        <f t="shared" ref="O707:O770" si="68">M707-((70*M707)/100)</f>
        <v>56970</v>
      </c>
      <c r="P707" s="11" t="s">
        <v>20</v>
      </c>
    </row>
    <row r="708" spans="1:16" x14ac:dyDescent="0.25">
      <c r="A708" s="23" t="str">
        <f t="shared" si="67"/>
        <v>2025 JAN-JUN D70</v>
      </c>
      <c r="B708" s="10">
        <f t="shared" si="67"/>
        <v>46104</v>
      </c>
      <c r="C708" s="10">
        <f t="shared" si="67"/>
        <v>46113</v>
      </c>
      <c r="D708" s="11">
        <v>3273</v>
      </c>
      <c r="E708" s="11">
        <v>336</v>
      </c>
      <c r="F708" s="11">
        <v>4</v>
      </c>
      <c r="G708" s="9">
        <v>6</v>
      </c>
      <c r="H708" s="9">
        <v>81676</v>
      </c>
      <c r="I708" s="9" t="s">
        <v>17</v>
      </c>
      <c r="J708" s="9">
        <v>51104893</v>
      </c>
      <c r="K708" s="9" t="s">
        <v>2900</v>
      </c>
      <c r="L708" s="9" t="s">
        <v>2908</v>
      </c>
      <c r="M708" s="12">
        <v>189900</v>
      </c>
      <c r="N708" s="24">
        <f t="shared" ref="N708:N771" si="69">N707</f>
        <v>0.7</v>
      </c>
      <c r="O708" s="25">
        <f t="shared" si="68"/>
        <v>56970</v>
      </c>
      <c r="P708" s="11" t="s">
        <v>20</v>
      </c>
    </row>
    <row r="709" spans="1:16" x14ac:dyDescent="0.25">
      <c r="A709" s="23" t="str">
        <f t="shared" si="67"/>
        <v>2025 JAN-JUN D70</v>
      </c>
      <c r="B709" s="10">
        <f t="shared" si="67"/>
        <v>46104</v>
      </c>
      <c r="C709" s="10">
        <f t="shared" si="67"/>
        <v>46113</v>
      </c>
      <c r="D709" s="11">
        <v>3273</v>
      </c>
      <c r="E709" s="11">
        <v>336</v>
      </c>
      <c r="F709" s="11">
        <v>4</v>
      </c>
      <c r="G709" s="9">
        <v>10</v>
      </c>
      <c r="H709" s="9">
        <v>81574</v>
      </c>
      <c r="I709" s="9" t="s">
        <v>17</v>
      </c>
      <c r="J709" s="9">
        <v>52390859</v>
      </c>
      <c r="K709" s="9" t="s">
        <v>2909</v>
      </c>
      <c r="L709" s="9" t="s">
        <v>2910</v>
      </c>
      <c r="M709" s="12">
        <v>139900</v>
      </c>
      <c r="N709" s="24">
        <f t="shared" si="69"/>
        <v>0.7</v>
      </c>
      <c r="O709" s="25">
        <f t="shared" si="68"/>
        <v>41970</v>
      </c>
      <c r="P709" s="11" t="s">
        <v>20</v>
      </c>
    </row>
    <row r="710" spans="1:16" x14ac:dyDescent="0.25">
      <c r="A710" s="23" t="str">
        <f t="shared" si="67"/>
        <v>2025 JAN-JUN D70</v>
      </c>
      <c r="B710" s="10">
        <f t="shared" si="67"/>
        <v>46104</v>
      </c>
      <c r="C710" s="10">
        <f t="shared" si="67"/>
        <v>46113</v>
      </c>
      <c r="D710" s="11">
        <v>3273</v>
      </c>
      <c r="E710" s="11">
        <v>336</v>
      </c>
      <c r="F710" s="11">
        <v>4</v>
      </c>
      <c r="G710" s="9">
        <v>8</v>
      </c>
      <c r="H710" s="9">
        <v>81676</v>
      </c>
      <c r="I710" s="9" t="s">
        <v>17</v>
      </c>
      <c r="J710" s="9">
        <v>51101547</v>
      </c>
      <c r="K710" s="9" t="s">
        <v>2911</v>
      </c>
      <c r="L710" s="9" t="s">
        <v>2912</v>
      </c>
      <c r="M710" s="12">
        <v>299900</v>
      </c>
      <c r="N710" s="24">
        <f t="shared" si="69"/>
        <v>0.7</v>
      </c>
      <c r="O710" s="25">
        <f t="shared" si="68"/>
        <v>89970</v>
      </c>
      <c r="P710" s="11" t="s">
        <v>20</v>
      </c>
    </row>
    <row r="711" spans="1:16" x14ac:dyDescent="0.25">
      <c r="A711" s="23" t="str">
        <f t="shared" si="67"/>
        <v>2025 JAN-JUN D70</v>
      </c>
      <c r="B711" s="10">
        <f t="shared" si="67"/>
        <v>46104</v>
      </c>
      <c r="C711" s="10">
        <f t="shared" si="67"/>
        <v>46113</v>
      </c>
      <c r="D711" s="11">
        <v>3273</v>
      </c>
      <c r="E711" s="11">
        <v>336</v>
      </c>
      <c r="F711" s="11">
        <v>4</v>
      </c>
      <c r="G711" s="9">
        <v>8</v>
      </c>
      <c r="H711" s="9">
        <v>81676</v>
      </c>
      <c r="I711" s="9" t="s">
        <v>17</v>
      </c>
      <c r="J711" s="9">
        <v>51101556</v>
      </c>
      <c r="K711" s="9" t="s">
        <v>2911</v>
      </c>
      <c r="L711" s="9" t="s">
        <v>2913</v>
      </c>
      <c r="M711" s="12">
        <v>299900</v>
      </c>
      <c r="N711" s="24">
        <f t="shared" si="69"/>
        <v>0.7</v>
      </c>
      <c r="O711" s="25">
        <f t="shared" si="68"/>
        <v>89970</v>
      </c>
      <c r="P711" s="11" t="s">
        <v>20</v>
      </c>
    </row>
    <row r="712" spans="1:16" x14ac:dyDescent="0.25">
      <c r="A712" s="23" t="str">
        <f t="shared" si="67"/>
        <v>2025 JAN-JUN D70</v>
      </c>
      <c r="B712" s="10">
        <f t="shared" si="67"/>
        <v>46104</v>
      </c>
      <c r="C712" s="10">
        <f t="shared" si="67"/>
        <v>46113</v>
      </c>
      <c r="D712" s="11">
        <v>3273</v>
      </c>
      <c r="E712" s="11">
        <v>336</v>
      </c>
      <c r="F712" s="11">
        <v>4</v>
      </c>
      <c r="G712" s="9">
        <v>8</v>
      </c>
      <c r="H712" s="9">
        <v>81676</v>
      </c>
      <c r="I712" s="9" t="s">
        <v>17</v>
      </c>
      <c r="J712" s="9">
        <v>51101565</v>
      </c>
      <c r="K712" s="9" t="s">
        <v>2911</v>
      </c>
      <c r="L712" s="9" t="s">
        <v>2914</v>
      </c>
      <c r="M712" s="12">
        <v>299900</v>
      </c>
      <c r="N712" s="24">
        <f t="shared" si="69"/>
        <v>0.7</v>
      </c>
      <c r="O712" s="25">
        <f t="shared" si="68"/>
        <v>89970</v>
      </c>
      <c r="P712" s="11" t="s">
        <v>20</v>
      </c>
    </row>
    <row r="713" spans="1:16" x14ac:dyDescent="0.25">
      <c r="A713" s="23" t="str">
        <f t="shared" si="67"/>
        <v>2025 JAN-JUN D70</v>
      </c>
      <c r="B713" s="10">
        <f t="shared" si="67"/>
        <v>46104</v>
      </c>
      <c r="C713" s="10">
        <f t="shared" si="67"/>
        <v>46113</v>
      </c>
      <c r="D713" s="11">
        <v>3273</v>
      </c>
      <c r="E713" s="11">
        <v>336</v>
      </c>
      <c r="F713" s="11">
        <v>4</v>
      </c>
      <c r="G713" s="9">
        <v>8</v>
      </c>
      <c r="H713" s="9">
        <v>81676</v>
      </c>
      <c r="I713" s="9" t="s">
        <v>17</v>
      </c>
      <c r="J713" s="9">
        <v>51101574</v>
      </c>
      <c r="K713" s="9" t="s">
        <v>2911</v>
      </c>
      <c r="L713" s="9" t="s">
        <v>2915</v>
      </c>
      <c r="M713" s="12">
        <v>299900</v>
      </c>
      <c r="N713" s="24">
        <f t="shared" si="69"/>
        <v>0.7</v>
      </c>
      <c r="O713" s="25">
        <f t="shared" si="68"/>
        <v>89970</v>
      </c>
      <c r="P713" s="11" t="s">
        <v>20</v>
      </c>
    </row>
    <row r="714" spans="1:16" x14ac:dyDescent="0.25">
      <c r="A714" s="23" t="str">
        <f t="shared" si="67"/>
        <v>2025 JAN-JUN D70</v>
      </c>
      <c r="B714" s="10">
        <f t="shared" si="67"/>
        <v>46104</v>
      </c>
      <c r="C714" s="10">
        <f t="shared" si="67"/>
        <v>46113</v>
      </c>
      <c r="D714" s="11">
        <v>3273</v>
      </c>
      <c r="E714" s="11">
        <v>336</v>
      </c>
      <c r="F714" s="11">
        <v>4</v>
      </c>
      <c r="G714" s="9">
        <v>8</v>
      </c>
      <c r="H714" s="9">
        <v>81676</v>
      </c>
      <c r="I714" s="9" t="s">
        <v>17</v>
      </c>
      <c r="J714" s="9">
        <v>51101583</v>
      </c>
      <c r="K714" s="9" t="s">
        <v>2911</v>
      </c>
      <c r="L714" s="9" t="s">
        <v>2916</v>
      </c>
      <c r="M714" s="12">
        <v>299900</v>
      </c>
      <c r="N714" s="24">
        <f t="shared" si="69"/>
        <v>0.7</v>
      </c>
      <c r="O714" s="25">
        <f t="shared" si="68"/>
        <v>89970</v>
      </c>
      <c r="P714" s="11" t="s">
        <v>20</v>
      </c>
    </row>
    <row r="715" spans="1:16" x14ac:dyDescent="0.25">
      <c r="A715" s="23" t="str">
        <f t="shared" si="67"/>
        <v>2025 JAN-JUN D70</v>
      </c>
      <c r="B715" s="10">
        <f t="shared" si="67"/>
        <v>46104</v>
      </c>
      <c r="C715" s="10">
        <f t="shared" si="67"/>
        <v>46113</v>
      </c>
      <c r="D715" s="11">
        <v>3273</v>
      </c>
      <c r="E715" s="11">
        <v>336</v>
      </c>
      <c r="F715" s="11">
        <v>4</v>
      </c>
      <c r="G715" s="9">
        <v>8</v>
      </c>
      <c r="H715" s="9">
        <v>81676</v>
      </c>
      <c r="I715" s="9" t="s">
        <v>17</v>
      </c>
      <c r="J715" s="9">
        <v>51101592</v>
      </c>
      <c r="K715" s="9" t="s">
        <v>2911</v>
      </c>
      <c r="L715" s="9" t="s">
        <v>2917</v>
      </c>
      <c r="M715" s="12">
        <v>299900</v>
      </c>
      <c r="N715" s="24">
        <f t="shared" si="69"/>
        <v>0.7</v>
      </c>
      <c r="O715" s="25">
        <f t="shared" si="68"/>
        <v>89970</v>
      </c>
      <c r="P715" s="11" t="s">
        <v>20</v>
      </c>
    </row>
    <row r="716" spans="1:16" x14ac:dyDescent="0.25">
      <c r="A716" s="23" t="str">
        <f t="shared" si="67"/>
        <v>2025 JAN-JUN D70</v>
      </c>
      <c r="B716" s="10">
        <f t="shared" si="67"/>
        <v>46104</v>
      </c>
      <c r="C716" s="10">
        <f t="shared" si="67"/>
        <v>46113</v>
      </c>
      <c r="D716" s="11">
        <v>3273</v>
      </c>
      <c r="E716" s="11">
        <v>336</v>
      </c>
      <c r="F716" s="11">
        <v>4</v>
      </c>
      <c r="G716" s="9">
        <v>8</v>
      </c>
      <c r="H716" s="9">
        <v>81676</v>
      </c>
      <c r="I716" s="9" t="s">
        <v>17</v>
      </c>
      <c r="J716" s="9">
        <v>51101609</v>
      </c>
      <c r="K716" s="9" t="s">
        <v>2911</v>
      </c>
      <c r="L716" s="9" t="s">
        <v>2918</v>
      </c>
      <c r="M716" s="12">
        <v>299900</v>
      </c>
      <c r="N716" s="24">
        <f t="shared" si="69"/>
        <v>0.7</v>
      </c>
      <c r="O716" s="25">
        <f t="shared" si="68"/>
        <v>89970</v>
      </c>
      <c r="P716" s="11" t="s">
        <v>20</v>
      </c>
    </row>
    <row r="717" spans="1:16" x14ac:dyDescent="0.25">
      <c r="A717" s="23" t="str">
        <f t="shared" si="67"/>
        <v>2025 JAN-JUN D70</v>
      </c>
      <c r="B717" s="10">
        <f t="shared" si="67"/>
        <v>46104</v>
      </c>
      <c r="C717" s="10">
        <f t="shared" si="67"/>
        <v>46113</v>
      </c>
      <c r="D717" s="11">
        <v>3273</v>
      </c>
      <c r="E717" s="11">
        <v>336</v>
      </c>
      <c r="F717" s="11">
        <v>4</v>
      </c>
      <c r="G717" s="9">
        <v>8</v>
      </c>
      <c r="H717" s="9">
        <v>81676</v>
      </c>
      <c r="I717" s="9" t="s">
        <v>17</v>
      </c>
      <c r="J717" s="9">
        <v>51101618</v>
      </c>
      <c r="K717" s="9" t="s">
        <v>2911</v>
      </c>
      <c r="L717" s="9" t="s">
        <v>2919</v>
      </c>
      <c r="M717" s="12">
        <v>299900</v>
      </c>
      <c r="N717" s="24">
        <f t="shared" si="69"/>
        <v>0.7</v>
      </c>
      <c r="O717" s="25">
        <f t="shared" si="68"/>
        <v>89970</v>
      </c>
      <c r="P717" s="11" t="s">
        <v>20</v>
      </c>
    </row>
    <row r="718" spans="1:16" x14ac:dyDescent="0.25">
      <c r="A718" s="23" t="str">
        <f t="shared" si="67"/>
        <v>2025 JAN-JUN D70</v>
      </c>
      <c r="B718" s="10">
        <f t="shared" si="67"/>
        <v>46104</v>
      </c>
      <c r="C718" s="10">
        <f t="shared" si="67"/>
        <v>46113</v>
      </c>
      <c r="D718" s="11">
        <v>3273</v>
      </c>
      <c r="E718" s="11">
        <v>336</v>
      </c>
      <c r="F718" s="11">
        <v>4</v>
      </c>
      <c r="G718" s="9">
        <v>9</v>
      </c>
      <c r="H718" s="9">
        <v>81574</v>
      </c>
      <c r="I718" s="9" t="s">
        <v>17</v>
      </c>
      <c r="J718" s="9">
        <v>52390760</v>
      </c>
      <c r="K718" s="9" t="s">
        <v>2920</v>
      </c>
      <c r="L718" s="9" t="s">
        <v>2921</v>
      </c>
      <c r="M718" s="12">
        <v>249900</v>
      </c>
      <c r="N718" s="24">
        <f t="shared" si="69"/>
        <v>0.7</v>
      </c>
      <c r="O718" s="25">
        <f t="shared" si="68"/>
        <v>74970</v>
      </c>
      <c r="P718" s="11" t="s">
        <v>20</v>
      </c>
    </row>
    <row r="719" spans="1:16" x14ac:dyDescent="0.25">
      <c r="A719" s="23" t="str">
        <f t="shared" si="67"/>
        <v>2025 JAN-JUN D70</v>
      </c>
      <c r="B719" s="10">
        <f t="shared" si="67"/>
        <v>46104</v>
      </c>
      <c r="C719" s="10">
        <f t="shared" si="67"/>
        <v>46113</v>
      </c>
      <c r="D719" s="11">
        <v>3273</v>
      </c>
      <c r="E719" s="11">
        <v>336</v>
      </c>
      <c r="F719" s="11">
        <v>4</v>
      </c>
      <c r="G719" s="9">
        <v>9</v>
      </c>
      <c r="H719" s="9">
        <v>81574</v>
      </c>
      <c r="I719" s="9" t="s">
        <v>17</v>
      </c>
      <c r="J719" s="9">
        <v>52390779</v>
      </c>
      <c r="K719" s="9" t="s">
        <v>2920</v>
      </c>
      <c r="L719" s="9" t="s">
        <v>2922</v>
      </c>
      <c r="M719" s="12">
        <v>249900</v>
      </c>
      <c r="N719" s="24">
        <f t="shared" si="69"/>
        <v>0.7</v>
      </c>
      <c r="O719" s="25">
        <f t="shared" si="68"/>
        <v>74970</v>
      </c>
      <c r="P719" s="11" t="s">
        <v>20</v>
      </c>
    </row>
    <row r="720" spans="1:16" x14ac:dyDescent="0.25">
      <c r="A720" s="23" t="str">
        <f t="shared" si="67"/>
        <v>2025 JAN-JUN D70</v>
      </c>
      <c r="B720" s="10">
        <f t="shared" si="67"/>
        <v>46104</v>
      </c>
      <c r="C720" s="10">
        <f t="shared" si="67"/>
        <v>46113</v>
      </c>
      <c r="D720" s="11">
        <v>3273</v>
      </c>
      <c r="E720" s="11">
        <v>336</v>
      </c>
      <c r="F720" s="11">
        <v>4</v>
      </c>
      <c r="G720" s="9">
        <v>9</v>
      </c>
      <c r="H720" s="9">
        <v>81574</v>
      </c>
      <c r="I720" s="9" t="s">
        <v>17</v>
      </c>
      <c r="J720" s="9">
        <v>52390788</v>
      </c>
      <c r="K720" s="9" t="s">
        <v>2920</v>
      </c>
      <c r="L720" s="9" t="s">
        <v>2923</v>
      </c>
      <c r="M720" s="12">
        <v>249900</v>
      </c>
      <c r="N720" s="24">
        <f t="shared" si="69"/>
        <v>0.7</v>
      </c>
      <c r="O720" s="25">
        <f t="shared" si="68"/>
        <v>74970</v>
      </c>
      <c r="P720" s="11" t="s">
        <v>20</v>
      </c>
    </row>
    <row r="721" spans="1:16" x14ac:dyDescent="0.25">
      <c r="A721" s="23" t="str">
        <f t="shared" si="67"/>
        <v>2025 JAN-JUN D70</v>
      </c>
      <c r="B721" s="10">
        <f t="shared" si="67"/>
        <v>46104</v>
      </c>
      <c r="C721" s="10">
        <f t="shared" si="67"/>
        <v>46113</v>
      </c>
      <c r="D721" s="11">
        <v>3273</v>
      </c>
      <c r="E721" s="11">
        <v>336</v>
      </c>
      <c r="F721" s="11">
        <v>4</v>
      </c>
      <c r="G721" s="9">
        <v>9</v>
      </c>
      <c r="H721" s="9">
        <v>81574</v>
      </c>
      <c r="I721" s="9" t="s">
        <v>17</v>
      </c>
      <c r="J721" s="9">
        <v>52390797</v>
      </c>
      <c r="K721" s="9" t="s">
        <v>2920</v>
      </c>
      <c r="L721" s="9" t="s">
        <v>2924</v>
      </c>
      <c r="M721" s="12">
        <v>249900</v>
      </c>
      <c r="N721" s="24">
        <f t="shared" si="69"/>
        <v>0.7</v>
      </c>
      <c r="O721" s="25">
        <f t="shared" si="68"/>
        <v>74970</v>
      </c>
      <c r="P721" s="11" t="s">
        <v>20</v>
      </c>
    </row>
    <row r="722" spans="1:16" x14ac:dyDescent="0.25">
      <c r="A722" s="23" t="str">
        <f t="shared" si="67"/>
        <v>2025 JAN-JUN D70</v>
      </c>
      <c r="B722" s="10">
        <f t="shared" si="67"/>
        <v>46104</v>
      </c>
      <c r="C722" s="10">
        <f t="shared" si="67"/>
        <v>46113</v>
      </c>
      <c r="D722" s="11">
        <v>3273</v>
      </c>
      <c r="E722" s="11">
        <v>336</v>
      </c>
      <c r="F722" s="11">
        <v>4</v>
      </c>
      <c r="G722" s="9">
        <v>9</v>
      </c>
      <c r="H722" s="9">
        <v>81574</v>
      </c>
      <c r="I722" s="9" t="s">
        <v>17</v>
      </c>
      <c r="J722" s="9">
        <v>52390804</v>
      </c>
      <c r="K722" s="9" t="s">
        <v>2920</v>
      </c>
      <c r="L722" s="9" t="s">
        <v>2925</v>
      </c>
      <c r="M722" s="12">
        <v>249900</v>
      </c>
      <c r="N722" s="24">
        <f t="shared" si="69"/>
        <v>0.7</v>
      </c>
      <c r="O722" s="25">
        <f t="shared" si="68"/>
        <v>74970</v>
      </c>
      <c r="P722" s="11" t="s">
        <v>20</v>
      </c>
    </row>
    <row r="723" spans="1:16" x14ac:dyDescent="0.25">
      <c r="A723" s="23" t="str">
        <f t="shared" ref="A723:C738" si="70">A722</f>
        <v>2025 JAN-JUN D70</v>
      </c>
      <c r="B723" s="10">
        <f t="shared" si="70"/>
        <v>46104</v>
      </c>
      <c r="C723" s="10">
        <f t="shared" si="70"/>
        <v>46113</v>
      </c>
      <c r="D723" s="11">
        <v>3273</v>
      </c>
      <c r="E723" s="11">
        <v>336</v>
      </c>
      <c r="F723" s="11">
        <v>4</v>
      </c>
      <c r="G723" s="9">
        <v>9</v>
      </c>
      <c r="H723" s="9">
        <v>81574</v>
      </c>
      <c r="I723" s="9" t="s">
        <v>17</v>
      </c>
      <c r="J723" s="9">
        <v>52390813</v>
      </c>
      <c r="K723" s="9" t="s">
        <v>2920</v>
      </c>
      <c r="L723" s="9" t="s">
        <v>2926</v>
      </c>
      <c r="M723" s="12">
        <v>249900</v>
      </c>
      <c r="N723" s="24">
        <f t="shared" si="69"/>
        <v>0.7</v>
      </c>
      <c r="O723" s="25">
        <f t="shared" si="68"/>
        <v>74970</v>
      </c>
      <c r="P723" s="11" t="s">
        <v>20</v>
      </c>
    </row>
    <row r="724" spans="1:16" x14ac:dyDescent="0.25">
      <c r="A724" s="23" t="str">
        <f t="shared" si="70"/>
        <v>2025 JAN-JUN D70</v>
      </c>
      <c r="B724" s="10">
        <f t="shared" si="70"/>
        <v>46104</v>
      </c>
      <c r="C724" s="10">
        <f t="shared" si="70"/>
        <v>46113</v>
      </c>
      <c r="D724" s="11">
        <v>3273</v>
      </c>
      <c r="E724" s="11">
        <v>336</v>
      </c>
      <c r="F724" s="11">
        <v>4</v>
      </c>
      <c r="G724" s="9">
        <v>9</v>
      </c>
      <c r="H724" s="9">
        <v>81574</v>
      </c>
      <c r="I724" s="9" t="s">
        <v>17</v>
      </c>
      <c r="J724" s="9">
        <v>52390822</v>
      </c>
      <c r="K724" s="9" t="s">
        <v>2920</v>
      </c>
      <c r="L724" s="9" t="s">
        <v>2927</v>
      </c>
      <c r="M724" s="12">
        <v>249900</v>
      </c>
      <c r="N724" s="24">
        <f t="shared" si="69"/>
        <v>0.7</v>
      </c>
      <c r="O724" s="25">
        <f t="shared" si="68"/>
        <v>74970</v>
      </c>
      <c r="P724" s="11" t="s">
        <v>20</v>
      </c>
    </row>
    <row r="725" spans="1:16" x14ac:dyDescent="0.25">
      <c r="A725" s="23" t="str">
        <f t="shared" si="70"/>
        <v>2025 JAN-JUN D70</v>
      </c>
      <c r="B725" s="10">
        <f t="shared" si="70"/>
        <v>46104</v>
      </c>
      <c r="C725" s="10">
        <f t="shared" si="70"/>
        <v>46113</v>
      </c>
      <c r="D725" s="11">
        <v>3273</v>
      </c>
      <c r="E725" s="11">
        <v>336</v>
      </c>
      <c r="F725" s="11">
        <v>4</v>
      </c>
      <c r="G725" s="9">
        <v>9</v>
      </c>
      <c r="H725" s="9">
        <v>81574</v>
      </c>
      <c r="I725" s="9" t="s">
        <v>17</v>
      </c>
      <c r="J725" s="9">
        <v>52390831</v>
      </c>
      <c r="K725" s="9" t="s">
        <v>2920</v>
      </c>
      <c r="L725" s="9" t="s">
        <v>2928</v>
      </c>
      <c r="M725" s="12">
        <v>249900</v>
      </c>
      <c r="N725" s="24">
        <f t="shared" si="69"/>
        <v>0.7</v>
      </c>
      <c r="O725" s="25">
        <f t="shared" si="68"/>
        <v>74970</v>
      </c>
      <c r="P725" s="11" t="s">
        <v>20</v>
      </c>
    </row>
    <row r="726" spans="1:16" s="28" customFormat="1" x14ac:dyDescent="0.25">
      <c r="A726" s="23" t="str">
        <f t="shared" si="70"/>
        <v>2025 JAN-JUN D70</v>
      </c>
      <c r="B726" s="10">
        <f t="shared" si="70"/>
        <v>46104</v>
      </c>
      <c r="C726" s="10">
        <f t="shared" si="70"/>
        <v>46113</v>
      </c>
      <c r="D726" s="11">
        <v>3273</v>
      </c>
      <c r="E726" s="11">
        <v>336</v>
      </c>
      <c r="F726" s="11">
        <v>4</v>
      </c>
      <c r="G726" s="11">
        <v>11</v>
      </c>
      <c r="H726" s="11">
        <v>81588</v>
      </c>
      <c r="I726" s="11" t="s">
        <v>17</v>
      </c>
      <c r="J726" s="11">
        <v>52389012</v>
      </c>
      <c r="K726" s="11" t="s">
        <v>2929</v>
      </c>
      <c r="L726" s="9" t="s">
        <v>2930</v>
      </c>
      <c r="M726" s="11">
        <v>169900</v>
      </c>
      <c r="N726" s="24">
        <f t="shared" si="69"/>
        <v>0.7</v>
      </c>
      <c r="O726" s="25">
        <f t="shared" si="68"/>
        <v>50970</v>
      </c>
      <c r="P726" s="11" t="s">
        <v>20</v>
      </c>
    </row>
    <row r="727" spans="1:16" s="28" customFormat="1" x14ac:dyDescent="0.25">
      <c r="A727" s="23" t="str">
        <f t="shared" si="70"/>
        <v>2025 JAN-JUN D70</v>
      </c>
      <c r="B727" s="10">
        <f t="shared" si="70"/>
        <v>46104</v>
      </c>
      <c r="C727" s="10">
        <f t="shared" si="70"/>
        <v>46113</v>
      </c>
      <c r="D727" s="11">
        <v>3273</v>
      </c>
      <c r="E727" s="11">
        <v>336</v>
      </c>
      <c r="F727" s="11">
        <v>4</v>
      </c>
      <c r="G727" s="11">
        <v>11</v>
      </c>
      <c r="H727" s="11">
        <v>81588</v>
      </c>
      <c r="I727" s="11" t="s">
        <v>17</v>
      </c>
      <c r="J727" s="11">
        <v>52389021</v>
      </c>
      <c r="K727" s="11" t="s">
        <v>2929</v>
      </c>
      <c r="L727" s="9" t="s">
        <v>2931</v>
      </c>
      <c r="M727" s="11">
        <v>169900</v>
      </c>
      <c r="N727" s="24">
        <f t="shared" si="69"/>
        <v>0.7</v>
      </c>
      <c r="O727" s="25">
        <f t="shared" si="68"/>
        <v>50970</v>
      </c>
      <c r="P727" s="11" t="s">
        <v>20</v>
      </c>
    </row>
    <row r="728" spans="1:16" s="28" customFormat="1" x14ac:dyDescent="0.25">
      <c r="A728" s="23" t="str">
        <f t="shared" si="70"/>
        <v>2025 JAN-JUN D70</v>
      </c>
      <c r="B728" s="10">
        <f t="shared" si="70"/>
        <v>46104</v>
      </c>
      <c r="C728" s="10">
        <f t="shared" si="70"/>
        <v>46113</v>
      </c>
      <c r="D728" s="11">
        <v>3273</v>
      </c>
      <c r="E728" s="11">
        <v>336</v>
      </c>
      <c r="F728" s="11">
        <v>4</v>
      </c>
      <c r="G728" s="11">
        <v>11</v>
      </c>
      <c r="H728" s="11">
        <v>81588</v>
      </c>
      <c r="I728" s="11" t="s">
        <v>17</v>
      </c>
      <c r="J728" s="11">
        <v>52389030</v>
      </c>
      <c r="K728" s="11" t="s">
        <v>2929</v>
      </c>
      <c r="L728" s="9" t="s">
        <v>2932</v>
      </c>
      <c r="M728" s="11">
        <v>169900</v>
      </c>
      <c r="N728" s="24">
        <f t="shared" si="69"/>
        <v>0.7</v>
      </c>
      <c r="O728" s="25">
        <f t="shared" si="68"/>
        <v>50970</v>
      </c>
      <c r="P728" s="11" t="s">
        <v>20</v>
      </c>
    </row>
    <row r="729" spans="1:16" s="28" customFormat="1" x14ac:dyDescent="0.25">
      <c r="A729" s="23" t="str">
        <f t="shared" si="70"/>
        <v>2025 JAN-JUN D70</v>
      </c>
      <c r="B729" s="10">
        <f t="shared" si="70"/>
        <v>46104</v>
      </c>
      <c r="C729" s="10">
        <f t="shared" si="70"/>
        <v>46113</v>
      </c>
      <c r="D729" s="11">
        <v>3273</v>
      </c>
      <c r="E729" s="11">
        <v>336</v>
      </c>
      <c r="F729" s="11">
        <v>4</v>
      </c>
      <c r="G729" s="11">
        <v>11</v>
      </c>
      <c r="H729" s="11">
        <v>81588</v>
      </c>
      <c r="I729" s="11" t="s">
        <v>17</v>
      </c>
      <c r="J729" s="11">
        <v>52389049</v>
      </c>
      <c r="K729" s="11" t="s">
        <v>2929</v>
      </c>
      <c r="L729" s="9" t="s">
        <v>2933</v>
      </c>
      <c r="M729" s="11">
        <v>169900</v>
      </c>
      <c r="N729" s="24">
        <f t="shared" si="69"/>
        <v>0.7</v>
      </c>
      <c r="O729" s="25">
        <f t="shared" si="68"/>
        <v>50970</v>
      </c>
      <c r="P729" s="11" t="s">
        <v>20</v>
      </c>
    </row>
    <row r="730" spans="1:16" s="28" customFormat="1" x14ac:dyDescent="0.25">
      <c r="A730" s="23" t="str">
        <f t="shared" si="70"/>
        <v>2025 JAN-JUN D70</v>
      </c>
      <c r="B730" s="10">
        <f t="shared" si="70"/>
        <v>46104</v>
      </c>
      <c r="C730" s="10">
        <f t="shared" si="70"/>
        <v>46113</v>
      </c>
      <c r="D730" s="11">
        <v>3273</v>
      </c>
      <c r="E730" s="11">
        <v>336</v>
      </c>
      <c r="F730" s="11">
        <v>4</v>
      </c>
      <c r="G730" s="11">
        <v>11</v>
      </c>
      <c r="H730" s="11">
        <v>81588</v>
      </c>
      <c r="I730" s="11" t="s">
        <v>17</v>
      </c>
      <c r="J730" s="11">
        <v>52389058</v>
      </c>
      <c r="K730" s="11" t="s">
        <v>2929</v>
      </c>
      <c r="L730" s="9" t="s">
        <v>2934</v>
      </c>
      <c r="M730" s="11">
        <v>169900</v>
      </c>
      <c r="N730" s="24">
        <f t="shared" si="69"/>
        <v>0.7</v>
      </c>
      <c r="O730" s="25">
        <f t="shared" si="68"/>
        <v>50970</v>
      </c>
      <c r="P730" s="11" t="s">
        <v>20</v>
      </c>
    </row>
    <row r="731" spans="1:16" s="28" customFormat="1" x14ac:dyDescent="0.25">
      <c r="A731" s="23" t="str">
        <f t="shared" si="70"/>
        <v>2025 JAN-JUN D70</v>
      </c>
      <c r="B731" s="10">
        <f t="shared" si="70"/>
        <v>46104</v>
      </c>
      <c r="C731" s="10">
        <f t="shared" si="70"/>
        <v>46113</v>
      </c>
      <c r="D731" s="11">
        <v>3273</v>
      </c>
      <c r="E731" s="11">
        <v>336</v>
      </c>
      <c r="F731" s="11">
        <v>4</v>
      </c>
      <c r="G731" s="11">
        <v>11</v>
      </c>
      <c r="H731" s="11">
        <v>81588</v>
      </c>
      <c r="I731" s="11" t="s">
        <v>17</v>
      </c>
      <c r="J731" s="11">
        <v>52389067</v>
      </c>
      <c r="K731" s="11" t="s">
        <v>2929</v>
      </c>
      <c r="L731" s="9" t="s">
        <v>2935</v>
      </c>
      <c r="M731" s="11">
        <v>169900</v>
      </c>
      <c r="N731" s="24">
        <f t="shared" si="69"/>
        <v>0.7</v>
      </c>
      <c r="O731" s="25">
        <f t="shared" si="68"/>
        <v>50970</v>
      </c>
      <c r="P731" s="11" t="s">
        <v>20</v>
      </c>
    </row>
    <row r="732" spans="1:16" s="28" customFormat="1" x14ac:dyDescent="0.25">
      <c r="A732" s="23" t="str">
        <f t="shared" si="70"/>
        <v>2025 JAN-JUN D70</v>
      </c>
      <c r="B732" s="10">
        <f t="shared" si="70"/>
        <v>46104</v>
      </c>
      <c r="C732" s="10">
        <f t="shared" si="70"/>
        <v>46113</v>
      </c>
      <c r="D732" s="11">
        <v>3273</v>
      </c>
      <c r="E732" s="11">
        <v>336</v>
      </c>
      <c r="F732" s="11">
        <v>4</v>
      </c>
      <c r="G732" s="11">
        <v>6</v>
      </c>
      <c r="H732" s="11">
        <v>81588</v>
      </c>
      <c r="I732" s="11" t="s">
        <v>17</v>
      </c>
      <c r="J732" s="11">
        <v>52389209</v>
      </c>
      <c r="K732" s="11" t="s">
        <v>2936</v>
      </c>
      <c r="L732" s="9" t="s">
        <v>2937</v>
      </c>
      <c r="M732" s="11">
        <v>149900</v>
      </c>
      <c r="N732" s="24">
        <f t="shared" si="69"/>
        <v>0.7</v>
      </c>
      <c r="O732" s="25">
        <f t="shared" si="68"/>
        <v>44970</v>
      </c>
      <c r="P732" s="11" t="s">
        <v>20</v>
      </c>
    </row>
    <row r="733" spans="1:16" s="28" customFormat="1" x14ac:dyDescent="0.25">
      <c r="A733" s="23" t="str">
        <f t="shared" si="70"/>
        <v>2025 JAN-JUN D70</v>
      </c>
      <c r="B733" s="10">
        <f t="shared" si="70"/>
        <v>46104</v>
      </c>
      <c r="C733" s="10">
        <f t="shared" si="70"/>
        <v>46113</v>
      </c>
      <c r="D733" s="11">
        <v>3273</v>
      </c>
      <c r="E733" s="11">
        <v>336</v>
      </c>
      <c r="F733" s="11">
        <v>4</v>
      </c>
      <c r="G733" s="11">
        <v>6</v>
      </c>
      <c r="H733" s="11">
        <v>81588</v>
      </c>
      <c r="I733" s="11" t="s">
        <v>17</v>
      </c>
      <c r="J733" s="11">
        <v>52389218</v>
      </c>
      <c r="K733" s="11" t="s">
        <v>2936</v>
      </c>
      <c r="L733" s="9" t="s">
        <v>2938</v>
      </c>
      <c r="M733" s="11">
        <v>149900</v>
      </c>
      <c r="N733" s="24">
        <f t="shared" si="69"/>
        <v>0.7</v>
      </c>
      <c r="O733" s="25">
        <f t="shared" si="68"/>
        <v>44970</v>
      </c>
      <c r="P733" s="11" t="s">
        <v>20</v>
      </c>
    </row>
    <row r="734" spans="1:16" s="28" customFormat="1" x14ac:dyDescent="0.25">
      <c r="A734" s="23" t="str">
        <f t="shared" si="70"/>
        <v>2025 JAN-JUN D70</v>
      </c>
      <c r="B734" s="10">
        <f t="shared" si="70"/>
        <v>46104</v>
      </c>
      <c r="C734" s="10">
        <f t="shared" si="70"/>
        <v>46113</v>
      </c>
      <c r="D734" s="11">
        <v>3273</v>
      </c>
      <c r="E734" s="11">
        <v>336</v>
      </c>
      <c r="F734" s="11">
        <v>4</v>
      </c>
      <c r="G734" s="11">
        <v>6</v>
      </c>
      <c r="H734" s="11">
        <v>81588</v>
      </c>
      <c r="I734" s="11" t="s">
        <v>17</v>
      </c>
      <c r="J734" s="11">
        <v>52389227</v>
      </c>
      <c r="K734" s="11" t="s">
        <v>2936</v>
      </c>
      <c r="L734" s="9" t="s">
        <v>2939</v>
      </c>
      <c r="M734" s="11">
        <v>149900</v>
      </c>
      <c r="N734" s="24">
        <f t="shared" si="69"/>
        <v>0.7</v>
      </c>
      <c r="O734" s="25">
        <f t="shared" si="68"/>
        <v>44970</v>
      </c>
      <c r="P734" s="11" t="s">
        <v>20</v>
      </c>
    </row>
    <row r="735" spans="1:16" s="28" customFormat="1" x14ac:dyDescent="0.25">
      <c r="A735" s="23" t="str">
        <f t="shared" si="70"/>
        <v>2025 JAN-JUN D70</v>
      </c>
      <c r="B735" s="10">
        <f t="shared" si="70"/>
        <v>46104</v>
      </c>
      <c r="C735" s="10">
        <f t="shared" si="70"/>
        <v>46113</v>
      </c>
      <c r="D735" s="11">
        <v>3273</v>
      </c>
      <c r="E735" s="11">
        <v>336</v>
      </c>
      <c r="F735" s="11">
        <v>4</v>
      </c>
      <c r="G735" s="11">
        <v>6</v>
      </c>
      <c r="H735" s="11">
        <v>81588</v>
      </c>
      <c r="I735" s="11" t="s">
        <v>17</v>
      </c>
      <c r="J735" s="11">
        <v>52389236</v>
      </c>
      <c r="K735" s="11" t="s">
        <v>2936</v>
      </c>
      <c r="L735" s="9" t="s">
        <v>2940</v>
      </c>
      <c r="M735" s="11">
        <v>149900</v>
      </c>
      <c r="N735" s="24">
        <f t="shared" si="69"/>
        <v>0.7</v>
      </c>
      <c r="O735" s="25">
        <f t="shared" si="68"/>
        <v>44970</v>
      </c>
      <c r="P735" s="11" t="s">
        <v>20</v>
      </c>
    </row>
    <row r="736" spans="1:16" s="28" customFormat="1" x14ac:dyDescent="0.25">
      <c r="A736" s="23" t="str">
        <f t="shared" si="70"/>
        <v>2025 JAN-JUN D70</v>
      </c>
      <c r="B736" s="10">
        <f t="shared" si="70"/>
        <v>46104</v>
      </c>
      <c r="C736" s="10">
        <f t="shared" si="70"/>
        <v>46113</v>
      </c>
      <c r="D736" s="11">
        <v>3273</v>
      </c>
      <c r="E736" s="11">
        <v>336</v>
      </c>
      <c r="F736" s="11">
        <v>4</v>
      </c>
      <c r="G736" s="11">
        <v>6</v>
      </c>
      <c r="H736" s="11">
        <v>81588</v>
      </c>
      <c r="I736" s="11" t="s">
        <v>17</v>
      </c>
      <c r="J736" s="11">
        <v>52389245</v>
      </c>
      <c r="K736" s="11" t="s">
        <v>2936</v>
      </c>
      <c r="L736" s="9" t="s">
        <v>2941</v>
      </c>
      <c r="M736" s="11">
        <v>149900</v>
      </c>
      <c r="N736" s="24">
        <f t="shared" si="69"/>
        <v>0.7</v>
      </c>
      <c r="O736" s="25">
        <f t="shared" si="68"/>
        <v>44970</v>
      </c>
      <c r="P736" s="11" t="s">
        <v>20</v>
      </c>
    </row>
    <row r="737" spans="1:16" s="28" customFormat="1" x14ac:dyDescent="0.25">
      <c r="A737" s="23" t="str">
        <f t="shared" si="70"/>
        <v>2025 JAN-JUN D70</v>
      </c>
      <c r="B737" s="10">
        <f t="shared" si="70"/>
        <v>46104</v>
      </c>
      <c r="C737" s="10">
        <f t="shared" si="70"/>
        <v>46113</v>
      </c>
      <c r="D737" s="11">
        <v>3273</v>
      </c>
      <c r="E737" s="11">
        <v>336</v>
      </c>
      <c r="F737" s="11">
        <v>4</v>
      </c>
      <c r="G737" s="11">
        <v>6</v>
      </c>
      <c r="H737" s="11">
        <v>81588</v>
      </c>
      <c r="I737" s="11" t="s">
        <v>17</v>
      </c>
      <c r="J737" s="11">
        <v>52389254</v>
      </c>
      <c r="K737" s="11" t="s">
        <v>2936</v>
      </c>
      <c r="L737" s="9" t="s">
        <v>2942</v>
      </c>
      <c r="M737" s="11">
        <v>149900</v>
      </c>
      <c r="N737" s="24">
        <f t="shared" si="69"/>
        <v>0.7</v>
      </c>
      <c r="O737" s="25">
        <f t="shared" si="68"/>
        <v>44970</v>
      </c>
      <c r="P737" s="11" t="s">
        <v>20</v>
      </c>
    </row>
    <row r="738" spans="1:16" s="28" customFormat="1" x14ac:dyDescent="0.25">
      <c r="A738" s="23" t="str">
        <f t="shared" si="70"/>
        <v>2025 JAN-JUN D70</v>
      </c>
      <c r="B738" s="10">
        <f t="shared" si="70"/>
        <v>46104</v>
      </c>
      <c r="C738" s="10">
        <f t="shared" si="70"/>
        <v>46113</v>
      </c>
      <c r="D738" s="11">
        <v>3273</v>
      </c>
      <c r="E738" s="11">
        <v>336</v>
      </c>
      <c r="F738" s="11">
        <v>4</v>
      </c>
      <c r="G738" s="11">
        <v>6</v>
      </c>
      <c r="H738" s="11">
        <v>81588</v>
      </c>
      <c r="I738" s="11" t="s">
        <v>17</v>
      </c>
      <c r="J738" s="11">
        <v>52389263</v>
      </c>
      <c r="K738" s="11" t="s">
        <v>2936</v>
      </c>
      <c r="L738" s="9" t="s">
        <v>2943</v>
      </c>
      <c r="M738" s="11">
        <v>149900</v>
      </c>
      <c r="N738" s="24">
        <f t="shared" si="69"/>
        <v>0.7</v>
      </c>
      <c r="O738" s="25">
        <f t="shared" si="68"/>
        <v>44970</v>
      </c>
      <c r="P738" s="11" t="s">
        <v>20</v>
      </c>
    </row>
    <row r="739" spans="1:16" s="28" customFormat="1" x14ac:dyDescent="0.25">
      <c r="A739" s="23" t="str">
        <f t="shared" ref="A739:C754" si="71">A738</f>
        <v>2025 JAN-JUN D70</v>
      </c>
      <c r="B739" s="10">
        <f t="shared" si="71"/>
        <v>46104</v>
      </c>
      <c r="C739" s="10">
        <f t="shared" si="71"/>
        <v>46113</v>
      </c>
      <c r="D739" s="11">
        <v>3273</v>
      </c>
      <c r="E739" s="11">
        <v>336</v>
      </c>
      <c r="F739" s="11">
        <v>4</v>
      </c>
      <c r="G739" s="11">
        <v>6</v>
      </c>
      <c r="H739" s="11">
        <v>81588</v>
      </c>
      <c r="I739" s="11" t="s">
        <v>17</v>
      </c>
      <c r="J739" s="11">
        <v>52389272</v>
      </c>
      <c r="K739" s="11" t="s">
        <v>2936</v>
      </c>
      <c r="L739" s="9" t="s">
        <v>2944</v>
      </c>
      <c r="M739" s="11">
        <v>149900</v>
      </c>
      <c r="N739" s="24">
        <f t="shared" si="69"/>
        <v>0.7</v>
      </c>
      <c r="O739" s="25">
        <f t="shared" si="68"/>
        <v>44970</v>
      </c>
      <c r="P739" s="11" t="s">
        <v>20</v>
      </c>
    </row>
    <row r="740" spans="1:16" s="28" customFormat="1" x14ac:dyDescent="0.25">
      <c r="A740" s="23" t="str">
        <f t="shared" si="71"/>
        <v>2025 JAN-JUN D70</v>
      </c>
      <c r="B740" s="10">
        <f t="shared" si="71"/>
        <v>46104</v>
      </c>
      <c r="C740" s="10">
        <f t="shared" si="71"/>
        <v>46113</v>
      </c>
      <c r="D740" s="11">
        <v>3273</v>
      </c>
      <c r="E740" s="11">
        <v>336</v>
      </c>
      <c r="F740" s="11">
        <v>4</v>
      </c>
      <c r="G740" s="11">
        <v>6</v>
      </c>
      <c r="H740" s="11">
        <v>81588</v>
      </c>
      <c r="I740" s="11" t="s">
        <v>17</v>
      </c>
      <c r="J740" s="11">
        <v>52389361</v>
      </c>
      <c r="K740" s="11" t="s">
        <v>2945</v>
      </c>
      <c r="L740" s="9" t="s">
        <v>2946</v>
      </c>
      <c r="M740" s="11">
        <v>149900</v>
      </c>
      <c r="N740" s="24">
        <f t="shared" si="69"/>
        <v>0.7</v>
      </c>
      <c r="O740" s="25">
        <f t="shared" si="68"/>
        <v>44970</v>
      </c>
      <c r="P740" s="11" t="s">
        <v>20</v>
      </c>
    </row>
    <row r="741" spans="1:16" s="28" customFormat="1" x14ac:dyDescent="0.25">
      <c r="A741" s="23" t="str">
        <f t="shared" si="71"/>
        <v>2025 JAN-JUN D70</v>
      </c>
      <c r="B741" s="10">
        <f t="shared" si="71"/>
        <v>46104</v>
      </c>
      <c r="C741" s="10">
        <f t="shared" si="71"/>
        <v>46113</v>
      </c>
      <c r="D741" s="11">
        <v>3273</v>
      </c>
      <c r="E741" s="11">
        <v>336</v>
      </c>
      <c r="F741" s="11">
        <v>4</v>
      </c>
      <c r="G741" s="11">
        <v>6</v>
      </c>
      <c r="H741" s="11">
        <v>81588</v>
      </c>
      <c r="I741" s="11" t="s">
        <v>17</v>
      </c>
      <c r="J741" s="11">
        <v>52389370</v>
      </c>
      <c r="K741" s="11" t="s">
        <v>2945</v>
      </c>
      <c r="L741" s="9" t="s">
        <v>2947</v>
      </c>
      <c r="M741" s="11">
        <v>149900</v>
      </c>
      <c r="N741" s="24">
        <f t="shared" si="69"/>
        <v>0.7</v>
      </c>
      <c r="O741" s="25">
        <f t="shared" si="68"/>
        <v>44970</v>
      </c>
      <c r="P741" s="11" t="s">
        <v>20</v>
      </c>
    </row>
    <row r="742" spans="1:16" s="28" customFormat="1" x14ac:dyDescent="0.25">
      <c r="A742" s="23" t="str">
        <f t="shared" si="71"/>
        <v>2025 JAN-JUN D70</v>
      </c>
      <c r="B742" s="10">
        <f t="shared" si="71"/>
        <v>46104</v>
      </c>
      <c r="C742" s="10">
        <f t="shared" si="71"/>
        <v>46113</v>
      </c>
      <c r="D742" s="11">
        <v>3273</v>
      </c>
      <c r="E742" s="11">
        <v>336</v>
      </c>
      <c r="F742" s="11">
        <v>4</v>
      </c>
      <c r="G742" s="11">
        <v>6</v>
      </c>
      <c r="H742" s="11">
        <v>81588</v>
      </c>
      <c r="I742" s="11" t="s">
        <v>17</v>
      </c>
      <c r="J742" s="11">
        <v>52389389</v>
      </c>
      <c r="K742" s="11" t="s">
        <v>2945</v>
      </c>
      <c r="L742" s="9" t="s">
        <v>2948</v>
      </c>
      <c r="M742" s="11">
        <v>149900</v>
      </c>
      <c r="N742" s="24">
        <f t="shared" si="69"/>
        <v>0.7</v>
      </c>
      <c r="O742" s="25">
        <f t="shared" si="68"/>
        <v>44970</v>
      </c>
      <c r="P742" s="11" t="s">
        <v>20</v>
      </c>
    </row>
    <row r="743" spans="1:16" s="28" customFormat="1" x14ac:dyDescent="0.25">
      <c r="A743" s="23" t="str">
        <f t="shared" si="71"/>
        <v>2025 JAN-JUN D70</v>
      </c>
      <c r="B743" s="10">
        <f t="shared" si="71"/>
        <v>46104</v>
      </c>
      <c r="C743" s="10">
        <f t="shared" si="71"/>
        <v>46113</v>
      </c>
      <c r="D743" s="11">
        <v>3273</v>
      </c>
      <c r="E743" s="11">
        <v>336</v>
      </c>
      <c r="F743" s="11">
        <v>4</v>
      </c>
      <c r="G743" s="11">
        <v>6</v>
      </c>
      <c r="H743" s="11">
        <v>81588</v>
      </c>
      <c r="I743" s="11" t="s">
        <v>17</v>
      </c>
      <c r="J743" s="11">
        <v>52389398</v>
      </c>
      <c r="K743" s="11" t="s">
        <v>2945</v>
      </c>
      <c r="L743" s="9" t="s">
        <v>2949</v>
      </c>
      <c r="M743" s="11">
        <v>149900</v>
      </c>
      <c r="N743" s="24">
        <f t="shared" si="69"/>
        <v>0.7</v>
      </c>
      <c r="O743" s="25">
        <f t="shared" si="68"/>
        <v>44970</v>
      </c>
      <c r="P743" s="11" t="s">
        <v>20</v>
      </c>
    </row>
    <row r="744" spans="1:16" s="28" customFormat="1" x14ac:dyDescent="0.25">
      <c r="A744" s="23" t="str">
        <f t="shared" si="71"/>
        <v>2025 JAN-JUN D70</v>
      </c>
      <c r="B744" s="10">
        <f t="shared" si="71"/>
        <v>46104</v>
      </c>
      <c r="C744" s="10">
        <f t="shared" si="71"/>
        <v>46113</v>
      </c>
      <c r="D744" s="11">
        <v>3273</v>
      </c>
      <c r="E744" s="11">
        <v>336</v>
      </c>
      <c r="F744" s="11">
        <v>4</v>
      </c>
      <c r="G744" s="11">
        <v>6</v>
      </c>
      <c r="H744" s="11">
        <v>81588</v>
      </c>
      <c r="I744" s="11" t="s">
        <v>17</v>
      </c>
      <c r="J744" s="11">
        <v>52389405</v>
      </c>
      <c r="K744" s="11" t="s">
        <v>2945</v>
      </c>
      <c r="L744" s="9" t="s">
        <v>2950</v>
      </c>
      <c r="M744" s="11">
        <v>149900</v>
      </c>
      <c r="N744" s="24">
        <f t="shared" si="69"/>
        <v>0.7</v>
      </c>
      <c r="O744" s="25">
        <f t="shared" si="68"/>
        <v>44970</v>
      </c>
      <c r="P744" s="11" t="s">
        <v>20</v>
      </c>
    </row>
    <row r="745" spans="1:16" s="28" customFormat="1" x14ac:dyDescent="0.25">
      <c r="A745" s="23" t="str">
        <f t="shared" si="71"/>
        <v>2025 JAN-JUN D70</v>
      </c>
      <c r="B745" s="10">
        <f t="shared" si="71"/>
        <v>46104</v>
      </c>
      <c r="C745" s="10">
        <f t="shared" si="71"/>
        <v>46113</v>
      </c>
      <c r="D745" s="11">
        <v>3273</v>
      </c>
      <c r="E745" s="11">
        <v>336</v>
      </c>
      <c r="F745" s="11">
        <v>4</v>
      </c>
      <c r="G745" s="11">
        <v>6</v>
      </c>
      <c r="H745" s="11">
        <v>81588</v>
      </c>
      <c r="I745" s="11" t="s">
        <v>17</v>
      </c>
      <c r="J745" s="11">
        <v>52389414</v>
      </c>
      <c r="K745" s="11" t="s">
        <v>2945</v>
      </c>
      <c r="L745" s="9" t="s">
        <v>2951</v>
      </c>
      <c r="M745" s="11">
        <v>149900</v>
      </c>
      <c r="N745" s="24">
        <f t="shared" si="69"/>
        <v>0.7</v>
      </c>
      <c r="O745" s="25">
        <f t="shared" si="68"/>
        <v>44970</v>
      </c>
      <c r="P745" s="11" t="s">
        <v>20</v>
      </c>
    </row>
    <row r="746" spans="1:16" s="28" customFormat="1" x14ac:dyDescent="0.25">
      <c r="A746" s="23" t="str">
        <f t="shared" si="71"/>
        <v>2025 JAN-JUN D70</v>
      </c>
      <c r="B746" s="10">
        <f t="shared" si="71"/>
        <v>46104</v>
      </c>
      <c r="C746" s="10">
        <f t="shared" si="71"/>
        <v>46113</v>
      </c>
      <c r="D746" s="11">
        <v>3273</v>
      </c>
      <c r="E746" s="11">
        <v>336</v>
      </c>
      <c r="F746" s="11">
        <v>4</v>
      </c>
      <c r="G746" s="11">
        <v>6</v>
      </c>
      <c r="H746" s="11">
        <v>81588</v>
      </c>
      <c r="I746" s="11" t="s">
        <v>17</v>
      </c>
      <c r="J746" s="11">
        <v>52389423</v>
      </c>
      <c r="K746" s="11" t="s">
        <v>2945</v>
      </c>
      <c r="L746" s="9" t="s">
        <v>2952</v>
      </c>
      <c r="M746" s="11">
        <v>149900</v>
      </c>
      <c r="N746" s="24">
        <f t="shared" si="69"/>
        <v>0.7</v>
      </c>
      <c r="O746" s="25">
        <f t="shared" si="68"/>
        <v>44970</v>
      </c>
      <c r="P746" s="11" t="s">
        <v>20</v>
      </c>
    </row>
    <row r="747" spans="1:16" s="28" customFormat="1" x14ac:dyDescent="0.25">
      <c r="A747" s="23" t="str">
        <f t="shared" si="71"/>
        <v>2025 JAN-JUN D70</v>
      </c>
      <c r="B747" s="10">
        <f t="shared" si="71"/>
        <v>46104</v>
      </c>
      <c r="C747" s="10">
        <f t="shared" si="71"/>
        <v>46113</v>
      </c>
      <c r="D747" s="11">
        <v>3273</v>
      </c>
      <c r="E747" s="11">
        <v>336</v>
      </c>
      <c r="F747" s="11">
        <v>4</v>
      </c>
      <c r="G747" s="11">
        <v>6</v>
      </c>
      <c r="H747" s="11">
        <v>81588</v>
      </c>
      <c r="I747" s="11" t="s">
        <v>17</v>
      </c>
      <c r="J747" s="11">
        <v>52389432</v>
      </c>
      <c r="K747" s="11" t="s">
        <v>2945</v>
      </c>
      <c r="L747" s="9" t="s">
        <v>2953</v>
      </c>
      <c r="M747" s="11">
        <v>149900</v>
      </c>
      <c r="N747" s="24">
        <f t="shared" si="69"/>
        <v>0.7</v>
      </c>
      <c r="O747" s="25">
        <f t="shared" si="68"/>
        <v>44970</v>
      </c>
      <c r="P747" s="11" t="s">
        <v>20</v>
      </c>
    </row>
    <row r="748" spans="1:16" s="28" customFormat="1" x14ac:dyDescent="0.25">
      <c r="A748" s="23" t="str">
        <f t="shared" si="71"/>
        <v>2025 JAN-JUN D70</v>
      </c>
      <c r="B748" s="10">
        <f t="shared" si="71"/>
        <v>46104</v>
      </c>
      <c r="C748" s="10">
        <f t="shared" si="71"/>
        <v>46113</v>
      </c>
      <c r="D748" s="11">
        <v>3273</v>
      </c>
      <c r="E748" s="11">
        <v>336</v>
      </c>
      <c r="F748" s="11">
        <v>4</v>
      </c>
      <c r="G748" s="11">
        <v>14</v>
      </c>
      <c r="H748" s="11">
        <v>81588</v>
      </c>
      <c r="I748" s="11" t="s">
        <v>17</v>
      </c>
      <c r="J748" s="11">
        <v>52389138</v>
      </c>
      <c r="K748" s="11" t="s">
        <v>2954</v>
      </c>
      <c r="L748" s="9" t="s">
        <v>2955</v>
      </c>
      <c r="M748" s="11">
        <v>249900</v>
      </c>
      <c r="N748" s="24">
        <f t="shared" si="69"/>
        <v>0.7</v>
      </c>
      <c r="O748" s="25">
        <f t="shared" si="68"/>
        <v>74970</v>
      </c>
      <c r="P748" s="11" t="s">
        <v>20</v>
      </c>
    </row>
    <row r="749" spans="1:16" s="28" customFormat="1" x14ac:dyDescent="0.25">
      <c r="A749" s="23" t="str">
        <f t="shared" si="71"/>
        <v>2025 JAN-JUN D70</v>
      </c>
      <c r="B749" s="10">
        <f t="shared" si="71"/>
        <v>46104</v>
      </c>
      <c r="C749" s="10">
        <f t="shared" si="71"/>
        <v>46113</v>
      </c>
      <c r="D749" s="11">
        <v>3273</v>
      </c>
      <c r="E749" s="11">
        <v>336</v>
      </c>
      <c r="F749" s="11">
        <v>4</v>
      </c>
      <c r="G749" s="11">
        <v>14</v>
      </c>
      <c r="H749" s="11">
        <v>81588</v>
      </c>
      <c r="I749" s="11" t="s">
        <v>17</v>
      </c>
      <c r="J749" s="11">
        <v>52389147</v>
      </c>
      <c r="K749" s="11" t="s">
        <v>2954</v>
      </c>
      <c r="L749" s="9" t="s">
        <v>2956</v>
      </c>
      <c r="M749" s="11">
        <v>249900</v>
      </c>
      <c r="N749" s="24">
        <f t="shared" si="69"/>
        <v>0.7</v>
      </c>
      <c r="O749" s="25">
        <f t="shared" si="68"/>
        <v>74970</v>
      </c>
      <c r="P749" s="11" t="s">
        <v>20</v>
      </c>
    </row>
    <row r="750" spans="1:16" s="28" customFormat="1" x14ac:dyDescent="0.25">
      <c r="A750" s="23" t="str">
        <f t="shared" si="71"/>
        <v>2025 JAN-JUN D70</v>
      </c>
      <c r="B750" s="10">
        <f t="shared" si="71"/>
        <v>46104</v>
      </c>
      <c r="C750" s="10">
        <f t="shared" si="71"/>
        <v>46113</v>
      </c>
      <c r="D750" s="11">
        <v>3273</v>
      </c>
      <c r="E750" s="11">
        <v>336</v>
      </c>
      <c r="F750" s="11">
        <v>4</v>
      </c>
      <c r="G750" s="11">
        <v>14</v>
      </c>
      <c r="H750" s="11">
        <v>81588</v>
      </c>
      <c r="I750" s="11" t="s">
        <v>17</v>
      </c>
      <c r="J750" s="11">
        <v>52389156</v>
      </c>
      <c r="K750" s="11" t="s">
        <v>2954</v>
      </c>
      <c r="L750" s="9" t="s">
        <v>2957</v>
      </c>
      <c r="M750" s="11">
        <v>249900</v>
      </c>
      <c r="N750" s="24">
        <f t="shared" si="69"/>
        <v>0.7</v>
      </c>
      <c r="O750" s="25">
        <f t="shared" si="68"/>
        <v>74970</v>
      </c>
      <c r="P750" s="11" t="s">
        <v>20</v>
      </c>
    </row>
    <row r="751" spans="1:16" s="28" customFormat="1" x14ac:dyDescent="0.25">
      <c r="A751" s="23" t="str">
        <f t="shared" si="71"/>
        <v>2025 JAN-JUN D70</v>
      </c>
      <c r="B751" s="10">
        <f t="shared" si="71"/>
        <v>46104</v>
      </c>
      <c r="C751" s="10">
        <f t="shared" si="71"/>
        <v>46113</v>
      </c>
      <c r="D751" s="11">
        <v>3273</v>
      </c>
      <c r="E751" s="11">
        <v>336</v>
      </c>
      <c r="F751" s="11">
        <v>4</v>
      </c>
      <c r="G751" s="11">
        <v>14</v>
      </c>
      <c r="H751" s="11">
        <v>81588</v>
      </c>
      <c r="I751" s="11" t="s">
        <v>17</v>
      </c>
      <c r="J751" s="11">
        <v>52389165</v>
      </c>
      <c r="K751" s="11" t="s">
        <v>2954</v>
      </c>
      <c r="L751" s="9" t="s">
        <v>2958</v>
      </c>
      <c r="M751" s="11">
        <v>249900</v>
      </c>
      <c r="N751" s="24">
        <f t="shared" si="69"/>
        <v>0.7</v>
      </c>
      <c r="O751" s="25">
        <f t="shared" si="68"/>
        <v>74970</v>
      </c>
      <c r="P751" s="11" t="s">
        <v>20</v>
      </c>
    </row>
    <row r="752" spans="1:16" s="28" customFormat="1" x14ac:dyDescent="0.25">
      <c r="A752" s="23" t="str">
        <f t="shared" si="71"/>
        <v>2025 JAN-JUN D70</v>
      </c>
      <c r="B752" s="10">
        <f t="shared" si="71"/>
        <v>46104</v>
      </c>
      <c r="C752" s="10">
        <f t="shared" si="71"/>
        <v>46113</v>
      </c>
      <c r="D752" s="11">
        <v>3273</v>
      </c>
      <c r="E752" s="11">
        <v>336</v>
      </c>
      <c r="F752" s="11">
        <v>4</v>
      </c>
      <c r="G752" s="11">
        <v>14</v>
      </c>
      <c r="H752" s="11">
        <v>81588</v>
      </c>
      <c r="I752" s="11" t="s">
        <v>17</v>
      </c>
      <c r="J752" s="11">
        <v>52389174</v>
      </c>
      <c r="K752" s="11" t="s">
        <v>2954</v>
      </c>
      <c r="L752" s="9" t="s">
        <v>2959</v>
      </c>
      <c r="M752" s="11">
        <v>249900</v>
      </c>
      <c r="N752" s="24">
        <f t="shared" si="69"/>
        <v>0.7</v>
      </c>
      <c r="O752" s="25">
        <f t="shared" si="68"/>
        <v>74970</v>
      </c>
      <c r="P752" s="11" t="s">
        <v>20</v>
      </c>
    </row>
    <row r="753" spans="1:16" s="28" customFormat="1" x14ac:dyDescent="0.25">
      <c r="A753" s="23" t="str">
        <f t="shared" si="71"/>
        <v>2025 JAN-JUN D70</v>
      </c>
      <c r="B753" s="10">
        <f t="shared" si="71"/>
        <v>46104</v>
      </c>
      <c r="C753" s="10">
        <f t="shared" si="71"/>
        <v>46113</v>
      </c>
      <c r="D753" s="11">
        <v>3273</v>
      </c>
      <c r="E753" s="11">
        <v>336</v>
      </c>
      <c r="F753" s="11">
        <v>4</v>
      </c>
      <c r="G753" s="11">
        <v>14</v>
      </c>
      <c r="H753" s="11">
        <v>81588</v>
      </c>
      <c r="I753" s="11" t="s">
        <v>17</v>
      </c>
      <c r="J753" s="11">
        <v>52389183</v>
      </c>
      <c r="K753" s="11" t="s">
        <v>2954</v>
      </c>
      <c r="L753" s="9" t="s">
        <v>2960</v>
      </c>
      <c r="M753" s="11">
        <v>249900</v>
      </c>
      <c r="N753" s="24">
        <f t="shared" si="69"/>
        <v>0.7</v>
      </c>
      <c r="O753" s="25">
        <f t="shared" si="68"/>
        <v>74970</v>
      </c>
      <c r="P753" s="11" t="s">
        <v>20</v>
      </c>
    </row>
    <row r="754" spans="1:16" s="28" customFormat="1" x14ac:dyDescent="0.25">
      <c r="A754" s="23" t="str">
        <f t="shared" si="71"/>
        <v>2025 JAN-JUN D70</v>
      </c>
      <c r="B754" s="10">
        <f t="shared" si="71"/>
        <v>46104</v>
      </c>
      <c r="C754" s="10">
        <f t="shared" si="71"/>
        <v>46113</v>
      </c>
      <c r="D754" s="11">
        <v>3273</v>
      </c>
      <c r="E754" s="11">
        <v>336</v>
      </c>
      <c r="F754" s="11">
        <v>4</v>
      </c>
      <c r="G754" s="11">
        <v>9</v>
      </c>
      <c r="H754" s="11">
        <v>81574</v>
      </c>
      <c r="I754" s="11" t="s">
        <v>17</v>
      </c>
      <c r="J754" s="11">
        <v>52390304</v>
      </c>
      <c r="K754" s="11" t="s">
        <v>2961</v>
      </c>
      <c r="L754" s="9" t="s">
        <v>2962</v>
      </c>
      <c r="M754" s="11">
        <v>249900</v>
      </c>
      <c r="N754" s="24">
        <f t="shared" si="69"/>
        <v>0.7</v>
      </c>
      <c r="O754" s="25">
        <f t="shared" si="68"/>
        <v>74970</v>
      </c>
      <c r="P754" s="11" t="s">
        <v>20</v>
      </c>
    </row>
    <row r="755" spans="1:16" s="28" customFormat="1" x14ac:dyDescent="0.25">
      <c r="A755" s="23" t="str">
        <f t="shared" ref="A755:C770" si="72">A754</f>
        <v>2025 JAN-JUN D70</v>
      </c>
      <c r="B755" s="10">
        <f t="shared" si="72"/>
        <v>46104</v>
      </c>
      <c r="C755" s="10">
        <f t="shared" si="72"/>
        <v>46113</v>
      </c>
      <c r="D755" s="11">
        <v>3273</v>
      </c>
      <c r="E755" s="11">
        <v>336</v>
      </c>
      <c r="F755" s="11">
        <v>4</v>
      </c>
      <c r="G755" s="11">
        <v>9</v>
      </c>
      <c r="H755" s="11">
        <v>81574</v>
      </c>
      <c r="I755" s="11" t="s">
        <v>17</v>
      </c>
      <c r="J755" s="11">
        <v>52390313</v>
      </c>
      <c r="K755" s="11" t="s">
        <v>2961</v>
      </c>
      <c r="L755" s="9" t="s">
        <v>2963</v>
      </c>
      <c r="M755" s="11">
        <v>249900</v>
      </c>
      <c r="N755" s="24">
        <f t="shared" si="69"/>
        <v>0.7</v>
      </c>
      <c r="O755" s="25">
        <f t="shared" si="68"/>
        <v>74970</v>
      </c>
      <c r="P755" s="11" t="s">
        <v>20</v>
      </c>
    </row>
    <row r="756" spans="1:16" s="28" customFormat="1" x14ac:dyDescent="0.25">
      <c r="A756" s="23" t="str">
        <f t="shared" si="72"/>
        <v>2025 JAN-JUN D70</v>
      </c>
      <c r="B756" s="10">
        <f t="shared" si="72"/>
        <v>46104</v>
      </c>
      <c r="C756" s="10">
        <f t="shared" si="72"/>
        <v>46113</v>
      </c>
      <c r="D756" s="11">
        <v>3273</v>
      </c>
      <c r="E756" s="11">
        <v>336</v>
      </c>
      <c r="F756" s="11">
        <v>4</v>
      </c>
      <c r="G756" s="11">
        <v>9</v>
      </c>
      <c r="H756" s="11">
        <v>81574</v>
      </c>
      <c r="I756" s="11" t="s">
        <v>17</v>
      </c>
      <c r="J756" s="11">
        <v>52390322</v>
      </c>
      <c r="K756" s="11" t="s">
        <v>2961</v>
      </c>
      <c r="L756" s="9" t="s">
        <v>2964</v>
      </c>
      <c r="M756" s="11">
        <v>249900</v>
      </c>
      <c r="N756" s="24">
        <f t="shared" si="69"/>
        <v>0.7</v>
      </c>
      <c r="O756" s="25">
        <f t="shared" si="68"/>
        <v>74970</v>
      </c>
      <c r="P756" s="11" t="s">
        <v>20</v>
      </c>
    </row>
    <row r="757" spans="1:16" s="28" customFormat="1" x14ac:dyDescent="0.25">
      <c r="A757" s="23" t="str">
        <f t="shared" si="72"/>
        <v>2025 JAN-JUN D70</v>
      </c>
      <c r="B757" s="10">
        <f t="shared" si="72"/>
        <v>46104</v>
      </c>
      <c r="C757" s="10">
        <f t="shared" si="72"/>
        <v>46113</v>
      </c>
      <c r="D757" s="11">
        <v>3273</v>
      </c>
      <c r="E757" s="11">
        <v>336</v>
      </c>
      <c r="F757" s="11">
        <v>4</v>
      </c>
      <c r="G757" s="11">
        <v>9</v>
      </c>
      <c r="H757" s="11">
        <v>81574</v>
      </c>
      <c r="I757" s="11" t="s">
        <v>17</v>
      </c>
      <c r="J757" s="11">
        <v>52390331</v>
      </c>
      <c r="K757" s="11" t="s">
        <v>2961</v>
      </c>
      <c r="L757" s="9" t="s">
        <v>2965</v>
      </c>
      <c r="M757" s="11">
        <v>249900</v>
      </c>
      <c r="N757" s="24">
        <f t="shared" si="69"/>
        <v>0.7</v>
      </c>
      <c r="O757" s="25">
        <f t="shared" si="68"/>
        <v>74970</v>
      </c>
      <c r="P757" s="11" t="s">
        <v>20</v>
      </c>
    </row>
    <row r="758" spans="1:16" s="28" customFormat="1" x14ac:dyDescent="0.25">
      <c r="A758" s="23" t="str">
        <f t="shared" si="72"/>
        <v>2025 JAN-JUN D70</v>
      </c>
      <c r="B758" s="10">
        <f t="shared" si="72"/>
        <v>46104</v>
      </c>
      <c r="C758" s="10">
        <f t="shared" si="72"/>
        <v>46113</v>
      </c>
      <c r="D758" s="11">
        <v>3273</v>
      </c>
      <c r="E758" s="11">
        <v>336</v>
      </c>
      <c r="F758" s="11">
        <v>4</v>
      </c>
      <c r="G758" s="11">
        <v>9</v>
      </c>
      <c r="H758" s="11">
        <v>81574</v>
      </c>
      <c r="I758" s="11" t="s">
        <v>17</v>
      </c>
      <c r="J758" s="11">
        <v>52390340</v>
      </c>
      <c r="K758" s="11" t="s">
        <v>2961</v>
      </c>
      <c r="L758" s="9" t="s">
        <v>2966</v>
      </c>
      <c r="M758" s="11">
        <v>249900</v>
      </c>
      <c r="N758" s="24">
        <f t="shared" si="69"/>
        <v>0.7</v>
      </c>
      <c r="O758" s="25">
        <f t="shared" si="68"/>
        <v>74970</v>
      </c>
      <c r="P758" s="11" t="s">
        <v>20</v>
      </c>
    </row>
    <row r="759" spans="1:16" s="28" customFormat="1" x14ac:dyDescent="0.25">
      <c r="A759" s="23" t="str">
        <f t="shared" si="72"/>
        <v>2025 JAN-JUN D70</v>
      </c>
      <c r="B759" s="10">
        <f t="shared" si="72"/>
        <v>46104</v>
      </c>
      <c r="C759" s="10">
        <f t="shared" si="72"/>
        <v>46113</v>
      </c>
      <c r="D759" s="11">
        <v>3273</v>
      </c>
      <c r="E759" s="11">
        <v>336</v>
      </c>
      <c r="F759" s="11">
        <v>4</v>
      </c>
      <c r="G759" s="11">
        <v>9</v>
      </c>
      <c r="H759" s="11">
        <v>81574</v>
      </c>
      <c r="I759" s="11" t="s">
        <v>17</v>
      </c>
      <c r="J759" s="11">
        <v>52390359</v>
      </c>
      <c r="K759" s="11" t="s">
        <v>2961</v>
      </c>
      <c r="L759" s="9" t="s">
        <v>2967</v>
      </c>
      <c r="M759" s="11">
        <v>249900</v>
      </c>
      <c r="N759" s="24">
        <f t="shared" si="69"/>
        <v>0.7</v>
      </c>
      <c r="O759" s="25">
        <f t="shared" si="68"/>
        <v>74970</v>
      </c>
      <c r="P759" s="11" t="s">
        <v>20</v>
      </c>
    </row>
    <row r="760" spans="1:16" s="28" customFormat="1" x14ac:dyDescent="0.25">
      <c r="A760" s="23" t="str">
        <f t="shared" si="72"/>
        <v>2025 JAN-JUN D70</v>
      </c>
      <c r="B760" s="10">
        <f t="shared" si="72"/>
        <v>46104</v>
      </c>
      <c r="C760" s="10">
        <f t="shared" si="72"/>
        <v>46113</v>
      </c>
      <c r="D760" s="11">
        <v>3273</v>
      </c>
      <c r="E760" s="11">
        <v>336</v>
      </c>
      <c r="F760" s="11">
        <v>4</v>
      </c>
      <c r="G760" s="11">
        <v>9</v>
      </c>
      <c r="H760" s="11">
        <v>81574</v>
      </c>
      <c r="I760" s="11" t="s">
        <v>17</v>
      </c>
      <c r="J760" s="11">
        <v>52390368</v>
      </c>
      <c r="K760" s="11" t="s">
        <v>2961</v>
      </c>
      <c r="L760" s="9" t="s">
        <v>2968</v>
      </c>
      <c r="M760" s="11">
        <v>249900</v>
      </c>
      <c r="N760" s="24">
        <f t="shared" si="69"/>
        <v>0.7</v>
      </c>
      <c r="O760" s="25">
        <f t="shared" si="68"/>
        <v>74970</v>
      </c>
      <c r="P760" s="11" t="s">
        <v>20</v>
      </c>
    </row>
    <row r="761" spans="1:16" s="28" customFormat="1" x14ac:dyDescent="0.25">
      <c r="A761" s="23" t="str">
        <f t="shared" si="72"/>
        <v>2025 JAN-JUN D70</v>
      </c>
      <c r="B761" s="10">
        <f t="shared" si="72"/>
        <v>46104</v>
      </c>
      <c r="C761" s="10">
        <f t="shared" si="72"/>
        <v>46113</v>
      </c>
      <c r="D761" s="11">
        <v>3273</v>
      </c>
      <c r="E761" s="11">
        <v>336</v>
      </c>
      <c r="F761" s="11">
        <v>4</v>
      </c>
      <c r="G761" s="11">
        <v>9</v>
      </c>
      <c r="H761" s="11">
        <v>81574</v>
      </c>
      <c r="I761" s="11" t="s">
        <v>17</v>
      </c>
      <c r="J761" s="11">
        <v>52390377</v>
      </c>
      <c r="K761" s="11" t="s">
        <v>2961</v>
      </c>
      <c r="L761" s="9" t="s">
        <v>2969</v>
      </c>
      <c r="M761" s="11">
        <v>249900</v>
      </c>
      <c r="N761" s="24">
        <f t="shared" si="69"/>
        <v>0.7</v>
      </c>
      <c r="O761" s="25">
        <f t="shared" si="68"/>
        <v>74970</v>
      </c>
      <c r="P761" s="11" t="s">
        <v>20</v>
      </c>
    </row>
    <row r="762" spans="1:16" s="28" customFormat="1" x14ac:dyDescent="0.25">
      <c r="A762" s="23" t="str">
        <f t="shared" si="72"/>
        <v>2025 JAN-JUN D70</v>
      </c>
      <c r="B762" s="10">
        <f t="shared" si="72"/>
        <v>46104</v>
      </c>
      <c r="C762" s="10">
        <f t="shared" si="72"/>
        <v>46113</v>
      </c>
      <c r="D762" s="11">
        <v>3273</v>
      </c>
      <c r="E762" s="11">
        <v>336</v>
      </c>
      <c r="F762" s="11">
        <v>4</v>
      </c>
      <c r="G762" s="11">
        <v>8</v>
      </c>
      <c r="H762" s="11">
        <v>81676</v>
      </c>
      <c r="I762" s="11" t="s">
        <v>17</v>
      </c>
      <c r="J762" s="11">
        <v>53263226</v>
      </c>
      <c r="K762" s="11" t="s">
        <v>2970</v>
      </c>
      <c r="L762" s="9" t="s">
        <v>2971</v>
      </c>
      <c r="M762" s="11">
        <v>249900</v>
      </c>
      <c r="N762" s="24">
        <f t="shared" si="69"/>
        <v>0.7</v>
      </c>
      <c r="O762" s="25">
        <f t="shared" si="68"/>
        <v>74970</v>
      </c>
      <c r="P762" s="11" t="s">
        <v>20</v>
      </c>
    </row>
    <row r="763" spans="1:16" s="28" customFormat="1" x14ac:dyDescent="0.25">
      <c r="A763" s="23" t="str">
        <f t="shared" si="72"/>
        <v>2025 JAN-JUN D70</v>
      </c>
      <c r="B763" s="10">
        <f t="shared" si="72"/>
        <v>46104</v>
      </c>
      <c r="C763" s="10">
        <f t="shared" si="72"/>
        <v>46113</v>
      </c>
      <c r="D763" s="11">
        <v>3273</v>
      </c>
      <c r="E763" s="11">
        <v>336</v>
      </c>
      <c r="F763" s="11">
        <v>4</v>
      </c>
      <c r="G763" s="11">
        <v>8</v>
      </c>
      <c r="H763" s="11">
        <v>81676</v>
      </c>
      <c r="I763" s="11" t="s">
        <v>17</v>
      </c>
      <c r="J763" s="11">
        <v>53263235</v>
      </c>
      <c r="K763" s="11" t="s">
        <v>2970</v>
      </c>
      <c r="L763" s="9" t="s">
        <v>2972</v>
      </c>
      <c r="M763" s="11">
        <v>249900</v>
      </c>
      <c r="N763" s="24">
        <f t="shared" si="69"/>
        <v>0.7</v>
      </c>
      <c r="O763" s="25">
        <f t="shared" si="68"/>
        <v>74970</v>
      </c>
      <c r="P763" s="11" t="s">
        <v>20</v>
      </c>
    </row>
    <row r="764" spans="1:16" s="28" customFormat="1" x14ac:dyDescent="0.25">
      <c r="A764" s="23" t="str">
        <f t="shared" si="72"/>
        <v>2025 JAN-JUN D70</v>
      </c>
      <c r="B764" s="10">
        <f t="shared" si="72"/>
        <v>46104</v>
      </c>
      <c r="C764" s="10">
        <f t="shared" si="72"/>
        <v>46113</v>
      </c>
      <c r="D764" s="11">
        <v>3273</v>
      </c>
      <c r="E764" s="11">
        <v>336</v>
      </c>
      <c r="F764" s="11">
        <v>4</v>
      </c>
      <c r="G764" s="11">
        <v>8</v>
      </c>
      <c r="H764" s="11">
        <v>81676</v>
      </c>
      <c r="I764" s="11" t="s">
        <v>17</v>
      </c>
      <c r="J764" s="11">
        <v>53263244</v>
      </c>
      <c r="K764" s="11" t="s">
        <v>2970</v>
      </c>
      <c r="L764" s="9" t="s">
        <v>2973</v>
      </c>
      <c r="M764" s="11">
        <v>249900</v>
      </c>
      <c r="N764" s="24">
        <f t="shared" si="69"/>
        <v>0.7</v>
      </c>
      <c r="O764" s="25">
        <f t="shared" si="68"/>
        <v>74970</v>
      </c>
      <c r="P764" s="11" t="s">
        <v>20</v>
      </c>
    </row>
    <row r="765" spans="1:16" s="28" customFormat="1" x14ac:dyDescent="0.25">
      <c r="A765" s="23" t="str">
        <f t="shared" si="72"/>
        <v>2025 JAN-JUN D70</v>
      </c>
      <c r="B765" s="10">
        <f t="shared" si="72"/>
        <v>46104</v>
      </c>
      <c r="C765" s="10">
        <f t="shared" si="72"/>
        <v>46113</v>
      </c>
      <c r="D765" s="11">
        <v>3273</v>
      </c>
      <c r="E765" s="11">
        <v>336</v>
      </c>
      <c r="F765" s="11">
        <v>4</v>
      </c>
      <c r="G765" s="11">
        <v>8</v>
      </c>
      <c r="H765" s="11">
        <v>81676</v>
      </c>
      <c r="I765" s="11" t="s">
        <v>17</v>
      </c>
      <c r="J765" s="11">
        <v>53263253</v>
      </c>
      <c r="K765" s="11" t="s">
        <v>2970</v>
      </c>
      <c r="L765" s="9" t="s">
        <v>2974</v>
      </c>
      <c r="M765" s="11">
        <v>249900</v>
      </c>
      <c r="N765" s="24">
        <f t="shared" si="69"/>
        <v>0.7</v>
      </c>
      <c r="O765" s="25">
        <f t="shared" si="68"/>
        <v>74970</v>
      </c>
      <c r="P765" s="11" t="s">
        <v>20</v>
      </c>
    </row>
    <row r="766" spans="1:16" s="28" customFormat="1" x14ac:dyDescent="0.25">
      <c r="A766" s="23" t="str">
        <f t="shared" si="72"/>
        <v>2025 JAN-JUN D70</v>
      </c>
      <c r="B766" s="10">
        <f t="shared" si="72"/>
        <v>46104</v>
      </c>
      <c r="C766" s="10">
        <f t="shared" si="72"/>
        <v>46113</v>
      </c>
      <c r="D766" s="11">
        <v>3273</v>
      </c>
      <c r="E766" s="11">
        <v>336</v>
      </c>
      <c r="F766" s="11">
        <v>4</v>
      </c>
      <c r="G766" s="11">
        <v>8</v>
      </c>
      <c r="H766" s="11">
        <v>81676</v>
      </c>
      <c r="I766" s="11" t="s">
        <v>17</v>
      </c>
      <c r="J766" s="11">
        <v>53263262</v>
      </c>
      <c r="K766" s="11" t="s">
        <v>2970</v>
      </c>
      <c r="L766" s="9" t="s">
        <v>2975</v>
      </c>
      <c r="M766" s="11">
        <v>249900</v>
      </c>
      <c r="N766" s="24">
        <f t="shared" si="69"/>
        <v>0.7</v>
      </c>
      <c r="O766" s="25">
        <f t="shared" si="68"/>
        <v>74970</v>
      </c>
      <c r="P766" s="11" t="s">
        <v>20</v>
      </c>
    </row>
    <row r="767" spans="1:16" s="28" customFormat="1" x14ac:dyDescent="0.25">
      <c r="A767" s="23" t="str">
        <f t="shared" si="72"/>
        <v>2025 JAN-JUN D70</v>
      </c>
      <c r="B767" s="10">
        <f t="shared" si="72"/>
        <v>46104</v>
      </c>
      <c r="C767" s="10">
        <f t="shared" si="72"/>
        <v>46113</v>
      </c>
      <c r="D767" s="11">
        <v>3273</v>
      </c>
      <c r="E767" s="11">
        <v>336</v>
      </c>
      <c r="F767" s="11">
        <v>4</v>
      </c>
      <c r="G767" s="11">
        <v>8</v>
      </c>
      <c r="H767" s="11">
        <v>81676</v>
      </c>
      <c r="I767" s="11" t="s">
        <v>17</v>
      </c>
      <c r="J767" s="11">
        <v>53263271</v>
      </c>
      <c r="K767" s="11" t="s">
        <v>2970</v>
      </c>
      <c r="L767" s="9" t="s">
        <v>2976</v>
      </c>
      <c r="M767" s="11">
        <v>249900</v>
      </c>
      <c r="N767" s="24">
        <f t="shared" si="69"/>
        <v>0.7</v>
      </c>
      <c r="O767" s="25">
        <f t="shared" si="68"/>
        <v>74970</v>
      </c>
      <c r="P767" s="11" t="s">
        <v>20</v>
      </c>
    </row>
    <row r="768" spans="1:16" s="28" customFormat="1" x14ac:dyDescent="0.25">
      <c r="A768" s="23" t="str">
        <f t="shared" si="72"/>
        <v>2025 JAN-JUN D70</v>
      </c>
      <c r="B768" s="10">
        <f t="shared" si="72"/>
        <v>46104</v>
      </c>
      <c r="C768" s="10">
        <f t="shared" si="72"/>
        <v>46113</v>
      </c>
      <c r="D768" s="11">
        <v>3273</v>
      </c>
      <c r="E768" s="11">
        <v>336</v>
      </c>
      <c r="F768" s="11">
        <v>4</v>
      </c>
      <c r="G768" s="11">
        <v>6</v>
      </c>
      <c r="H768" s="11">
        <v>81676</v>
      </c>
      <c r="I768" s="11" t="s">
        <v>17</v>
      </c>
      <c r="J768" s="11">
        <v>53262923</v>
      </c>
      <c r="K768" s="11" t="s">
        <v>2977</v>
      </c>
      <c r="L768" s="9" t="s">
        <v>2978</v>
      </c>
      <c r="M768" s="11">
        <v>139900</v>
      </c>
      <c r="N768" s="24">
        <f t="shared" si="69"/>
        <v>0.7</v>
      </c>
      <c r="O768" s="25">
        <f t="shared" si="68"/>
        <v>41970</v>
      </c>
      <c r="P768" s="11" t="s">
        <v>20</v>
      </c>
    </row>
    <row r="769" spans="1:16" s="28" customFormat="1" x14ac:dyDescent="0.25">
      <c r="A769" s="23" t="str">
        <f t="shared" si="72"/>
        <v>2025 JAN-JUN D70</v>
      </c>
      <c r="B769" s="10">
        <f t="shared" si="72"/>
        <v>46104</v>
      </c>
      <c r="C769" s="10">
        <f t="shared" si="72"/>
        <v>46113</v>
      </c>
      <c r="D769" s="11">
        <v>3273</v>
      </c>
      <c r="E769" s="11">
        <v>336</v>
      </c>
      <c r="F769" s="11">
        <v>4</v>
      </c>
      <c r="G769" s="11">
        <v>6</v>
      </c>
      <c r="H769" s="11">
        <v>81676</v>
      </c>
      <c r="I769" s="11" t="s">
        <v>17</v>
      </c>
      <c r="J769" s="11">
        <v>53262932</v>
      </c>
      <c r="K769" s="11" t="s">
        <v>2977</v>
      </c>
      <c r="L769" s="9" t="s">
        <v>2979</v>
      </c>
      <c r="M769" s="11">
        <v>139900</v>
      </c>
      <c r="N769" s="24">
        <f t="shared" si="69"/>
        <v>0.7</v>
      </c>
      <c r="O769" s="25">
        <f t="shared" si="68"/>
        <v>41970</v>
      </c>
      <c r="P769" s="11" t="s">
        <v>20</v>
      </c>
    </row>
    <row r="770" spans="1:16" s="28" customFormat="1" x14ac:dyDescent="0.25">
      <c r="A770" s="23" t="str">
        <f t="shared" si="72"/>
        <v>2025 JAN-JUN D70</v>
      </c>
      <c r="B770" s="10">
        <f t="shared" si="72"/>
        <v>46104</v>
      </c>
      <c r="C770" s="10">
        <f t="shared" si="72"/>
        <v>46113</v>
      </c>
      <c r="D770" s="11">
        <v>3273</v>
      </c>
      <c r="E770" s="11">
        <v>336</v>
      </c>
      <c r="F770" s="11">
        <v>4</v>
      </c>
      <c r="G770" s="11">
        <v>6</v>
      </c>
      <c r="H770" s="11">
        <v>81676</v>
      </c>
      <c r="I770" s="11" t="s">
        <v>17</v>
      </c>
      <c r="J770" s="11">
        <v>53262941</v>
      </c>
      <c r="K770" s="11" t="s">
        <v>2977</v>
      </c>
      <c r="L770" s="9" t="s">
        <v>2980</v>
      </c>
      <c r="M770" s="11">
        <v>139900</v>
      </c>
      <c r="N770" s="24">
        <f t="shared" si="69"/>
        <v>0.7</v>
      </c>
      <c r="O770" s="25">
        <f t="shared" si="68"/>
        <v>41970</v>
      </c>
      <c r="P770" s="11" t="s">
        <v>20</v>
      </c>
    </row>
    <row r="771" spans="1:16" s="28" customFormat="1" x14ac:dyDescent="0.25">
      <c r="A771" s="23" t="str">
        <f t="shared" ref="A771:C786" si="73">A770</f>
        <v>2025 JAN-JUN D70</v>
      </c>
      <c r="B771" s="10">
        <f t="shared" si="73"/>
        <v>46104</v>
      </c>
      <c r="C771" s="10">
        <f t="shared" si="73"/>
        <v>46113</v>
      </c>
      <c r="D771" s="11">
        <v>3273</v>
      </c>
      <c r="E771" s="11">
        <v>336</v>
      </c>
      <c r="F771" s="11">
        <v>4</v>
      </c>
      <c r="G771" s="11">
        <v>6</v>
      </c>
      <c r="H771" s="11">
        <v>81676</v>
      </c>
      <c r="I771" s="11" t="s">
        <v>17</v>
      </c>
      <c r="J771" s="11">
        <v>53262950</v>
      </c>
      <c r="K771" s="11" t="s">
        <v>2977</v>
      </c>
      <c r="L771" s="9" t="s">
        <v>2981</v>
      </c>
      <c r="M771" s="11">
        <v>139900</v>
      </c>
      <c r="N771" s="24">
        <f t="shared" si="69"/>
        <v>0.7</v>
      </c>
      <c r="O771" s="25">
        <f t="shared" ref="O771:O834" si="74">M771-((70*M771)/100)</f>
        <v>41970</v>
      </c>
      <c r="P771" s="11" t="s">
        <v>20</v>
      </c>
    </row>
    <row r="772" spans="1:16" s="28" customFormat="1" x14ac:dyDescent="0.25">
      <c r="A772" s="23" t="str">
        <f t="shared" si="73"/>
        <v>2025 JAN-JUN D70</v>
      </c>
      <c r="B772" s="10">
        <f t="shared" si="73"/>
        <v>46104</v>
      </c>
      <c r="C772" s="10">
        <f t="shared" si="73"/>
        <v>46113</v>
      </c>
      <c r="D772" s="11">
        <v>3273</v>
      </c>
      <c r="E772" s="11">
        <v>336</v>
      </c>
      <c r="F772" s="11">
        <v>4</v>
      </c>
      <c r="G772" s="11">
        <v>6</v>
      </c>
      <c r="H772" s="11">
        <v>81676</v>
      </c>
      <c r="I772" s="11" t="s">
        <v>17</v>
      </c>
      <c r="J772" s="11">
        <v>53262969</v>
      </c>
      <c r="K772" s="11" t="s">
        <v>2977</v>
      </c>
      <c r="L772" s="9" t="s">
        <v>2982</v>
      </c>
      <c r="M772" s="11">
        <v>139900</v>
      </c>
      <c r="N772" s="24">
        <f t="shared" ref="N772:N835" si="75">N771</f>
        <v>0.7</v>
      </c>
      <c r="O772" s="25">
        <f t="shared" si="74"/>
        <v>41970</v>
      </c>
      <c r="P772" s="11" t="s">
        <v>20</v>
      </c>
    </row>
    <row r="773" spans="1:16" s="28" customFormat="1" x14ac:dyDescent="0.25">
      <c r="A773" s="23" t="str">
        <f t="shared" si="73"/>
        <v>2025 JAN-JUN D70</v>
      </c>
      <c r="B773" s="10">
        <f t="shared" si="73"/>
        <v>46104</v>
      </c>
      <c r="C773" s="10">
        <f t="shared" si="73"/>
        <v>46113</v>
      </c>
      <c r="D773" s="11">
        <v>3273</v>
      </c>
      <c r="E773" s="11">
        <v>336</v>
      </c>
      <c r="F773" s="11">
        <v>4</v>
      </c>
      <c r="G773" s="11">
        <v>6</v>
      </c>
      <c r="H773" s="11">
        <v>81676</v>
      </c>
      <c r="I773" s="11" t="s">
        <v>17</v>
      </c>
      <c r="J773" s="11">
        <v>53262978</v>
      </c>
      <c r="K773" s="11" t="s">
        <v>2977</v>
      </c>
      <c r="L773" s="9" t="s">
        <v>2983</v>
      </c>
      <c r="M773" s="11">
        <v>139900</v>
      </c>
      <c r="N773" s="24">
        <f t="shared" si="75"/>
        <v>0.7</v>
      </c>
      <c r="O773" s="25">
        <f t="shared" si="74"/>
        <v>41970</v>
      </c>
      <c r="P773" s="11" t="s">
        <v>20</v>
      </c>
    </row>
    <row r="774" spans="1:16" s="28" customFormat="1" x14ac:dyDescent="0.25">
      <c r="A774" s="23" t="str">
        <f t="shared" si="73"/>
        <v>2025 JAN-JUN D70</v>
      </c>
      <c r="B774" s="10">
        <f t="shared" si="73"/>
        <v>46104</v>
      </c>
      <c r="C774" s="10">
        <f t="shared" si="73"/>
        <v>46113</v>
      </c>
      <c r="D774" s="11">
        <v>3273</v>
      </c>
      <c r="E774" s="11">
        <v>336</v>
      </c>
      <c r="F774" s="11">
        <v>4</v>
      </c>
      <c r="G774" s="11">
        <v>6</v>
      </c>
      <c r="H774" s="11">
        <v>81676</v>
      </c>
      <c r="I774" s="11" t="s">
        <v>17</v>
      </c>
      <c r="J774" s="11">
        <v>53262987</v>
      </c>
      <c r="K774" s="11" t="s">
        <v>2977</v>
      </c>
      <c r="L774" s="9" t="s">
        <v>2984</v>
      </c>
      <c r="M774" s="11">
        <v>139900</v>
      </c>
      <c r="N774" s="24">
        <f t="shared" si="75"/>
        <v>0.7</v>
      </c>
      <c r="O774" s="25">
        <f t="shared" si="74"/>
        <v>41970</v>
      </c>
      <c r="P774" s="11" t="s">
        <v>20</v>
      </c>
    </row>
    <row r="775" spans="1:16" s="28" customFormat="1" x14ac:dyDescent="0.25">
      <c r="A775" s="23" t="str">
        <f t="shared" si="73"/>
        <v>2025 JAN-JUN D70</v>
      </c>
      <c r="B775" s="10">
        <f t="shared" si="73"/>
        <v>46104</v>
      </c>
      <c r="C775" s="10">
        <f t="shared" si="73"/>
        <v>46113</v>
      </c>
      <c r="D775" s="11">
        <v>3273</v>
      </c>
      <c r="E775" s="11">
        <v>336</v>
      </c>
      <c r="F775" s="11">
        <v>4</v>
      </c>
      <c r="G775" s="11">
        <v>6</v>
      </c>
      <c r="H775" s="11">
        <v>81676</v>
      </c>
      <c r="I775" s="11" t="s">
        <v>17</v>
      </c>
      <c r="J775" s="11">
        <v>53262996</v>
      </c>
      <c r="K775" s="11" t="s">
        <v>2977</v>
      </c>
      <c r="L775" s="9" t="s">
        <v>2985</v>
      </c>
      <c r="M775" s="11">
        <v>139900</v>
      </c>
      <c r="N775" s="24">
        <f t="shared" si="75"/>
        <v>0.7</v>
      </c>
      <c r="O775" s="25">
        <f t="shared" si="74"/>
        <v>41970</v>
      </c>
      <c r="P775" s="11" t="s">
        <v>20</v>
      </c>
    </row>
    <row r="776" spans="1:16" s="28" customFormat="1" x14ac:dyDescent="0.25">
      <c r="A776" s="23" t="str">
        <f t="shared" si="73"/>
        <v>2025 JAN-JUN D70</v>
      </c>
      <c r="B776" s="10">
        <f t="shared" si="73"/>
        <v>46104</v>
      </c>
      <c r="C776" s="10">
        <f t="shared" si="73"/>
        <v>46113</v>
      </c>
      <c r="D776" s="11">
        <v>3273</v>
      </c>
      <c r="E776" s="11">
        <v>336</v>
      </c>
      <c r="F776" s="11">
        <v>4</v>
      </c>
      <c r="G776" s="11">
        <v>6</v>
      </c>
      <c r="H776" s="11">
        <v>81676</v>
      </c>
      <c r="I776" s="11" t="s">
        <v>17</v>
      </c>
      <c r="J776" s="11">
        <v>53263066</v>
      </c>
      <c r="K776" s="11" t="s">
        <v>2986</v>
      </c>
      <c r="L776" s="9" t="s">
        <v>2987</v>
      </c>
      <c r="M776" s="11">
        <v>139900</v>
      </c>
      <c r="N776" s="24">
        <f t="shared" si="75"/>
        <v>0.7</v>
      </c>
      <c r="O776" s="25">
        <f t="shared" si="74"/>
        <v>41970</v>
      </c>
      <c r="P776" s="11" t="s">
        <v>20</v>
      </c>
    </row>
    <row r="777" spans="1:16" s="28" customFormat="1" x14ac:dyDescent="0.25">
      <c r="A777" s="23" t="str">
        <f t="shared" si="73"/>
        <v>2025 JAN-JUN D70</v>
      </c>
      <c r="B777" s="10">
        <f t="shared" si="73"/>
        <v>46104</v>
      </c>
      <c r="C777" s="10">
        <f t="shared" si="73"/>
        <v>46113</v>
      </c>
      <c r="D777" s="11">
        <v>3273</v>
      </c>
      <c r="E777" s="11">
        <v>336</v>
      </c>
      <c r="F777" s="11">
        <v>4</v>
      </c>
      <c r="G777" s="11">
        <v>6</v>
      </c>
      <c r="H777" s="11">
        <v>81676</v>
      </c>
      <c r="I777" s="11" t="s">
        <v>17</v>
      </c>
      <c r="J777" s="11">
        <v>53263075</v>
      </c>
      <c r="K777" s="11" t="s">
        <v>2986</v>
      </c>
      <c r="L777" s="9" t="s">
        <v>2988</v>
      </c>
      <c r="M777" s="11">
        <v>139900</v>
      </c>
      <c r="N777" s="24">
        <f t="shared" si="75"/>
        <v>0.7</v>
      </c>
      <c r="O777" s="25">
        <f t="shared" si="74"/>
        <v>41970</v>
      </c>
      <c r="P777" s="11" t="s">
        <v>20</v>
      </c>
    </row>
    <row r="778" spans="1:16" s="28" customFormat="1" x14ac:dyDescent="0.25">
      <c r="A778" s="23" t="str">
        <f t="shared" si="73"/>
        <v>2025 JAN-JUN D70</v>
      </c>
      <c r="B778" s="10">
        <f t="shared" si="73"/>
        <v>46104</v>
      </c>
      <c r="C778" s="10">
        <f t="shared" si="73"/>
        <v>46113</v>
      </c>
      <c r="D778" s="11">
        <v>3273</v>
      </c>
      <c r="E778" s="11">
        <v>336</v>
      </c>
      <c r="F778" s="11">
        <v>4</v>
      </c>
      <c r="G778" s="11">
        <v>6</v>
      </c>
      <c r="H778" s="11">
        <v>81676</v>
      </c>
      <c r="I778" s="11" t="s">
        <v>17</v>
      </c>
      <c r="J778" s="11">
        <v>53263084</v>
      </c>
      <c r="K778" s="11" t="s">
        <v>2986</v>
      </c>
      <c r="L778" s="9" t="s">
        <v>2989</v>
      </c>
      <c r="M778" s="11">
        <v>139900</v>
      </c>
      <c r="N778" s="24">
        <f t="shared" si="75"/>
        <v>0.7</v>
      </c>
      <c r="O778" s="25">
        <f t="shared" si="74"/>
        <v>41970</v>
      </c>
      <c r="P778" s="11" t="s">
        <v>20</v>
      </c>
    </row>
    <row r="779" spans="1:16" s="28" customFormat="1" x14ac:dyDescent="0.25">
      <c r="A779" s="23" t="str">
        <f t="shared" si="73"/>
        <v>2025 JAN-JUN D70</v>
      </c>
      <c r="B779" s="10">
        <f t="shared" si="73"/>
        <v>46104</v>
      </c>
      <c r="C779" s="10">
        <f t="shared" si="73"/>
        <v>46113</v>
      </c>
      <c r="D779" s="11">
        <v>3273</v>
      </c>
      <c r="E779" s="11">
        <v>336</v>
      </c>
      <c r="F779" s="11">
        <v>4</v>
      </c>
      <c r="G779" s="11">
        <v>6</v>
      </c>
      <c r="H779" s="11">
        <v>81676</v>
      </c>
      <c r="I779" s="11" t="s">
        <v>17</v>
      </c>
      <c r="J779" s="11">
        <v>53263093</v>
      </c>
      <c r="K779" s="11" t="s">
        <v>2986</v>
      </c>
      <c r="L779" s="9" t="s">
        <v>2990</v>
      </c>
      <c r="M779" s="11">
        <v>139900</v>
      </c>
      <c r="N779" s="24">
        <f t="shared" si="75"/>
        <v>0.7</v>
      </c>
      <c r="O779" s="25">
        <f t="shared" si="74"/>
        <v>41970</v>
      </c>
      <c r="P779" s="11" t="s">
        <v>20</v>
      </c>
    </row>
    <row r="780" spans="1:16" s="28" customFormat="1" x14ac:dyDescent="0.25">
      <c r="A780" s="23" t="str">
        <f t="shared" si="73"/>
        <v>2025 JAN-JUN D70</v>
      </c>
      <c r="B780" s="10">
        <f t="shared" si="73"/>
        <v>46104</v>
      </c>
      <c r="C780" s="10">
        <f t="shared" si="73"/>
        <v>46113</v>
      </c>
      <c r="D780" s="11">
        <v>3273</v>
      </c>
      <c r="E780" s="11">
        <v>336</v>
      </c>
      <c r="F780" s="11">
        <v>4</v>
      </c>
      <c r="G780" s="11">
        <v>6</v>
      </c>
      <c r="H780" s="11">
        <v>81676</v>
      </c>
      <c r="I780" s="11" t="s">
        <v>17</v>
      </c>
      <c r="J780" s="11">
        <v>53263100</v>
      </c>
      <c r="K780" s="11" t="s">
        <v>2986</v>
      </c>
      <c r="L780" s="9" t="s">
        <v>2991</v>
      </c>
      <c r="M780" s="11">
        <v>139900</v>
      </c>
      <c r="N780" s="24">
        <f t="shared" si="75"/>
        <v>0.7</v>
      </c>
      <c r="O780" s="25">
        <f t="shared" si="74"/>
        <v>41970</v>
      </c>
      <c r="P780" s="11" t="s">
        <v>20</v>
      </c>
    </row>
    <row r="781" spans="1:16" s="28" customFormat="1" x14ac:dyDescent="0.25">
      <c r="A781" s="23" t="str">
        <f t="shared" si="73"/>
        <v>2025 JAN-JUN D70</v>
      </c>
      <c r="B781" s="10">
        <f t="shared" si="73"/>
        <v>46104</v>
      </c>
      <c r="C781" s="10">
        <f t="shared" si="73"/>
        <v>46113</v>
      </c>
      <c r="D781" s="11">
        <v>3273</v>
      </c>
      <c r="E781" s="11">
        <v>336</v>
      </c>
      <c r="F781" s="11">
        <v>4</v>
      </c>
      <c r="G781" s="11">
        <v>6</v>
      </c>
      <c r="H781" s="11">
        <v>81676</v>
      </c>
      <c r="I781" s="11" t="s">
        <v>17</v>
      </c>
      <c r="J781" s="11">
        <v>53263119</v>
      </c>
      <c r="K781" s="11" t="s">
        <v>2986</v>
      </c>
      <c r="L781" s="9" t="s">
        <v>2992</v>
      </c>
      <c r="M781" s="11">
        <v>139900</v>
      </c>
      <c r="N781" s="24">
        <f t="shared" si="75"/>
        <v>0.7</v>
      </c>
      <c r="O781" s="25">
        <f t="shared" si="74"/>
        <v>41970</v>
      </c>
      <c r="P781" s="11" t="s">
        <v>20</v>
      </c>
    </row>
    <row r="782" spans="1:16" s="28" customFormat="1" x14ac:dyDescent="0.25">
      <c r="A782" s="23" t="str">
        <f t="shared" si="73"/>
        <v>2025 JAN-JUN D70</v>
      </c>
      <c r="B782" s="10">
        <f t="shared" si="73"/>
        <v>46104</v>
      </c>
      <c r="C782" s="10">
        <f t="shared" si="73"/>
        <v>46113</v>
      </c>
      <c r="D782" s="11">
        <v>3273</v>
      </c>
      <c r="E782" s="11">
        <v>336</v>
      </c>
      <c r="F782" s="11">
        <v>4</v>
      </c>
      <c r="G782" s="11">
        <v>6</v>
      </c>
      <c r="H782" s="11">
        <v>81676</v>
      </c>
      <c r="I782" s="11" t="s">
        <v>17</v>
      </c>
      <c r="J782" s="11">
        <v>53263128</v>
      </c>
      <c r="K782" s="11" t="s">
        <v>2986</v>
      </c>
      <c r="L782" s="9" t="s">
        <v>2993</v>
      </c>
      <c r="M782" s="11">
        <v>139900</v>
      </c>
      <c r="N782" s="24">
        <f t="shared" si="75"/>
        <v>0.7</v>
      </c>
      <c r="O782" s="25">
        <f t="shared" si="74"/>
        <v>41970</v>
      </c>
      <c r="P782" s="11" t="s">
        <v>20</v>
      </c>
    </row>
    <row r="783" spans="1:16" s="28" customFormat="1" x14ac:dyDescent="0.25">
      <c r="A783" s="23" t="str">
        <f t="shared" si="73"/>
        <v>2025 JAN-JUN D70</v>
      </c>
      <c r="B783" s="10">
        <f t="shared" si="73"/>
        <v>46104</v>
      </c>
      <c r="C783" s="10">
        <f t="shared" si="73"/>
        <v>46113</v>
      </c>
      <c r="D783" s="11">
        <v>3273</v>
      </c>
      <c r="E783" s="11">
        <v>336</v>
      </c>
      <c r="F783" s="11">
        <v>4</v>
      </c>
      <c r="G783" s="11">
        <v>6</v>
      </c>
      <c r="H783" s="11">
        <v>81676</v>
      </c>
      <c r="I783" s="11" t="s">
        <v>17</v>
      </c>
      <c r="J783" s="11">
        <v>53263137</v>
      </c>
      <c r="K783" s="11" t="s">
        <v>2986</v>
      </c>
      <c r="L783" s="9" t="s">
        <v>2994</v>
      </c>
      <c r="M783" s="11">
        <v>139900</v>
      </c>
      <c r="N783" s="24">
        <f t="shared" si="75"/>
        <v>0.7</v>
      </c>
      <c r="O783" s="25">
        <f t="shared" si="74"/>
        <v>41970</v>
      </c>
      <c r="P783" s="11" t="s">
        <v>20</v>
      </c>
    </row>
    <row r="784" spans="1:16" s="28" customFormat="1" x14ac:dyDescent="0.25">
      <c r="A784" s="23" t="str">
        <f t="shared" si="73"/>
        <v>2025 JAN-JUN D70</v>
      </c>
      <c r="B784" s="10">
        <f t="shared" si="73"/>
        <v>46104</v>
      </c>
      <c r="C784" s="10">
        <f t="shared" si="73"/>
        <v>46113</v>
      </c>
      <c r="D784" s="11">
        <v>3273</v>
      </c>
      <c r="E784" s="11">
        <v>336</v>
      </c>
      <c r="F784" s="11">
        <v>4</v>
      </c>
      <c r="G784" s="11">
        <v>6</v>
      </c>
      <c r="H784" s="11">
        <v>81588</v>
      </c>
      <c r="I784" s="11" t="s">
        <v>17</v>
      </c>
      <c r="J784" s="11">
        <v>52389281</v>
      </c>
      <c r="K784" s="11" t="s">
        <v>2995</v>
      </c>
      <c r="L784" s="9" t="s">
        <v>2996</v>
      </c>
      <c r="M784" s="11">
        <v>149900</v>
      </c>
      <c r="N784" s="24">
        <f t="shared" si="75"/>
        <v>0.7</v>
      </c>
      <c r="O784" s="25">
        <f t="shared" si="74"/>
        <v>44970</v>
      </c>
      <c r="P784" s="11" t="s">
        <v>20</v>
      </c>
    </row>
    <row r="785" spans="1:16" s="28" customFormat="1" x14ac:dyDescent="0.25">
      <c r="A785" s="23" t="str">
        <f t="shared" si="73"/>
        <v>2025 JAN-JUN D70</v>
      </c>
      <c r="B785" s="10">
        <f t="shared" si="73"/>
        <v>46104</v>
      </c>
      <c r="C785" s="10">
        <f t="shared" si="73"/>
        <v>46113</v>
      </c>
      <c r="D785" s="11">
        <v>3273</v>
      </c>
      <c r="E785" s="11">
        <v>336</v>
      </c>
      <c r="F785" s="11">
        <v>4</v>
      </c>
      <c r="G785" s="11">
        <v>6</v>
      </c>
      <c r="H785" s="11">
        <v>81588</v>
      </c>
      <c r="I785" s="11" t="s">
        <v>17</v>
      </c>
      <c r="J785" s="11">
        <v>52389290</v>
      </c>
      <c r="K785" s="11" t="s">
        <v>2995</v>
      </c>
      <c r="L785" s="9" t="s">
        <v>2997</v>
      </c>
      <c r="M785" s="11">
        <v>149900</v>
      </c>
      <c r="N785" s="24">
        <f t="shared" si="75"/>
        <v>0.7</v>
      </c>
      <c r="O785" s="25">
        <f t="shared" si="74"/>
        <v>44970</v>
      </c>
      <c r="P785" s="11" t="s">
        <v>20</v>
      </c>
    </row>
    <row r="786" spans="1:16" s="28" customFormat="1" x14ac:dyDescent="0.25">
      <c r="A786" s="23" t="str">
        <f t="shared" si="73"/>
        <v>2025 JAN-JUN D70</v>
      </c>
      <c r="B786" s="10">
        <f t="shared" si="73"/>
        <v>46104</v>
      </c>
      <c r="C786" s="10">
        <f t="shared" si="73"/>
        <v>46113</v>
      </c>
      <c r="D786" s="11">
        <v>3273</v>
      </c>
      <c r="E786" s="11">
        <v>336</v>
      </c>
      <c r="F786" s="11">
        <v>4</v>
      </c>
      <c r="G786" s="11">
        <v>6</v>
      </c>
      <c r="H786" s="11">
        <v>81588</v>
      </c>
      <c r="I786" s="11" t="s">
        <v>17</v>
      </c>
      <c r="J786" s="11">
        <v>52389307</v>
      </c>
      <c r="K786" s="11" t="s">
        <v>2995</v>
      </c>
      <c r="L786" s="9" t="s">
        <v>2998</v>
      </c>
      <c r="M786" s="11">
        <v>149900</v>
      </c>
      <c r="N786" s="24">
        <f t="shared" si="75"/>
        <v>0.7</v>
      </c>
      <c r="O786" s="25">
        <f t="shared" si="74"/>
        <v>44970</v>
      </c>
      <c r="P786" s="11" t="s">
        <v>20</v>
      </c>
    </row>
    <row r="787" spans="1:16" s="28" customFormat="1" x14ac:dyDescent="0.25">
      <c r="A787" s="23" t="str">
        <f t="shared" ref="A787:C802" si="76">A786</f>
        <v>2025 JAN-JUN D70</v>
      </c>
      <c r="B787" s="10">
        <f t="shared" si="76"/>
        <v>46104</v>
      </c>
      <c r="C787" s="10">
        <f t="shared" si="76"/>
        <v>46113</v>
      </c>
      <c r="D787" s="11">
        <v>3273</v>
      </c>
      <c r="E787" s="11">
        <v>336</v>
      </c>
      <c r="F787" s="11">
        <v>4</v>
      </c>
      <c r="G787" s="11">
        <v>6</v>
      </c>
      <c r="H787" s="11">
        <v>81588</v>
      </c>
      <c r="I787" s="11" t="s">
        <v>17</v>
      </c>
      <c r="J787" s="11">
        <v>52389316</v>
      </c>
      <c r="K787" s="11" t="s">
        <v>2995</v>
      </c>
      <c r="L787" s="9" t="s">
        <v>2999</v>
      </c>
      <c r="M787" s="11">
        <v>149900</v>
      </c>
      <c r="N787" s="24">
        <f t="shared" si="75"/>
        <v>0.7</v>
      </c>
      <c r="O787" s="25">
        <f t="shared" si="74"/>
        <v>44970</v>
      </c>
      <c r="P787" s="11" t="s">
        <v>20</v>
      </c>
    </row>
    <row r="788" spans="1:16" s="28" customFormat="1" x14ac:dyDescent="0.25">
      <c r="A788" s="23" t="str">
        <f t="shared" si="76"/>
        <v>2025 JAN-JUN D70</v>
      </c>
      <c r="B788" s="10">
        <f t="shared" si="76"/>
        <v>46104</v>
      </c>
      <c r="C788" s="10">
        <f t="shared" si="76"/>
        <v>46113</v>
      </c>
      <c r="D788" s="11">
        <v>3273</v>
      </c>
      <c r="E788" s="11">
        <v>336</v>
      </c>
      <c r="F788" s="11">
        <v>4</v>
      </c>
      <c r="G788" s="11">
        <v>6</v>
      </c>
      <c r="H788" s="11">
        <v>81588</v>
      </c>
      <c r="I788" s="11" t="s">
        <v>17</v>
      </c>
      <c r="J788" s="11">
        <v>52389325</v>
      </c>
      <c r="K788" s="11" t="s">
        <v>2995</v>
      </c>
      <c r="L788" s="9" t="s">
        <v>3000</v>
      </c>
      <c r="M788" s="11">
        <v>149900</v>
      </c>
      <c r="N788" s="24">
        <f t="shared" si="75"/>
        <v>0.7</v>
      </c>
      <c r="O788" s="25">
        <f t="shared" si="74"/>
        <v>44970</v>
      </c>
      <c r="P788" s="11" t="s">
        <v>20</v>
      </c>
    </row>
    <row r="789" spans="1:16" s="28" customFormat="1" x14ac:dyDescent="0.25">
      <c r="A789" s="23" t="str">
        <f t="shared" si="76"/>
        <v>2025 JAN-JUN D70</v>
      </c>
      <c r="B789" s="10">
        <f t="shared" si="76"/>
        <v>46104</v>
      </c>
      <c r="C789" s="10">
        <f t="shared" si="76"/>
        <v>46113</v>
      </c>
      <c r="D789" s="11">
        <v>3273</v>
      </c>
      <c r="E789" s="11">
        <v>336</v>
      </c>
      <c r="F789" s="11">
        <v>4</v>
      </c>
      <c r="G789" s="11">
        <v>6</v>
      </c>
      <c r="H789" s="11">
        <v>81588</v>
      </c>
      <c r="I789" s="11" t="s">
        <v>17</v>
      </c>
      <c r="J789" s="11">
        <v>52389334</v>
      </c>
      <c r="K789" s="11" t="s">
        <v>2995</v>
      </c>
      <c r="L789" s="9" t="s">
        <v>3001</v>
      </c>
      <c r="M789" s="11">
        <v>149900</v>
      </c>
      <c r="N789" s="24">
        <f t="shared" si="75"/>
        <v>0.7</v>
      </c>
      <c r="O789" s="25">
        <f t="shared" si="74"/>
        <v>44970</v>
      </c>
      <c r="P789" s="11" t="s">
        <v>20</v>
      </c>
    </row>
    <row r="790" spans="1:16" s="28" customFormat="1" x14ac:dyDescent="0.25">
      <c r="A790" s="23" t="str">
        <f t="shared" si="76"/>
        <v>2025 JAN-JUN D70</v>
      </c>
      <c r="B790" s="10">
        <f t="shared" si="76"/>
        <v>46104</v>
      </c>
      <c r="C790" s="10">
        <f t="shared" si="76"/>
        <v>46113</v>
      </c>
      <c r="D790" s="11">
        <v>3273</v>
      </c>
      <c r="E790" s="11">
        <v>336</v>
      </c>
      <c r="F790" s="11">
        <v>4</v>
      </c>
      <c r="G790" s="11">
        <v>6</v>
      </c>
      <c r="H790" s="11">
        <v>81588</v>
      </c>
      <c r="I790" s="11" t="s">
        <v>17</v>
      </c>
      <c r="J790" s="11">
        <v>52389343</v>
      </c>
      <c r="K790" s="11" t="s">
        <v>2995</v>
      </c>
      <c r="L790" s="9" t="s">
        <v>3002</v>
      </c>
      <c r="M790" s="11">
        <v>149900</v>
      </c>
      <c r="N790" s="24">
        <f t="shared" si="75"/>
        <v>0.7</v>
      </c>
      <c r="O790" s="25">
        <f t="shared" si="74"/>
        <v>44970</v>
      </c>
      <c r="P790" s="11" t="s">
        <v>20</v>
      </c>
    </row>
    <row r="791" spans="1:16" s="28" customFormat="1" x14ac:dyDescent="0.25">
      <c r="A791" s="23" t="str">
        <f t="shared" si="76"/>
        <v>2025 JAN-JUN D70</v>
      </c>
      <c r="B791" s="10">
        <f t="shared" si="76"/>
        <v>46104</v>
      </c>
      <c r="C791" s="10">
        <f t="shared" si="76"/>
        <v>46113</v>
      </c>
      <c r="D791" s="11">
        <v>3273</v>
      </c>
      <c r="E791" s="11">
        <v>336</v>
      </c>
      <c r="F791" s="11">
        <v>4</v>
      </c>
      <c r="G791" s="11">
        <v>6</v>
      </c>
      <c r="H791" s="11">
        <v>81588</v>
      </c>
      <c r="I791" s="11" t="s">
        <v>17</v>
      </c>
      <c r="J791" s="11">
        <v>52389352</v>
      </c>
      <c r="K791" s="11" t="s">
        <v>2995</v>
      </c>
      <c r="L791" s="9" t="s">
        <v>3003</v>
      </c>
      <c r="M791" s="11">
        <v>149900</v>
      </c>
      <c r="N791" s="24">
        <f t="shared" si="75"/>
        <v>0.7</v>
      </c>
      <c r="O791" s="25">
        <f t="shared" si="74"/>
        <v>44970</v>
      </c>
      <c r="P791" s="11" t="s">
        <v>20</v>
      </c>
    </row>
    <row r="792" spans="1:16" s="28" customFormat="1" x14ac:dyDescent="0.25">
      <c r="A792" s="23" t="str">
        <f t="shared" si="76"/>
        <v>2025 JAN-JUN D70</v>
      </c>
      <c r="B792" s="10">
        <f t="shared" si="76"/>
        <v>46104</v>
      </c>
      <c r="C792" s="10">
        <f t="shared" si="76"/>
        <v>46113</v>
      </c>
      <c r="D792" s="11">
        <v>3273</v>
      </c>
      <c r="E792" s="11">
        <v>336</v>
      </c>
      <c r="F792" s="11">
        <v>4</v>
      </c>
      <c r="G792" s="11">
        <v>6</v>
      </c>
      <c r="H792" s="11">
        <v>81588</v>
      </c>
      <c r="I792" s="11" t="s">
        <v>17</v>
      </c>
      <c r="J792" s="11">
        <v>52389601</v>
      </c>
      <c r="K792" s="11" t="s">
        <v>3004</v>
      </c>
      <c r="L792" s="9" t="s">
        <v>3005</v>
      </c>
      <c r="M792" s="11">
        <v>189900</v>
      </c>
      <c r="N792" s="24">
        <f t="shared" si="75"/>
        <v>0.7</v>
      </c>
      <c r="O792" s="25">
        <f t="shared" si="74"/>
        <v>56970</v>
      </c>
      <c r="P792" s="11" t="s">
        <v>20</v>
      </c>
    </row>
    <row r="793" spans="1:16" s="28" customFormat="1" x14ac:dyDescent="0.25">
      <c r="A793" s="23" t="str">
        <f t="shared" si="76"/>
        <v>2025 JAN-JUN D70</v>
      </c>
      <c r="B793" s="10">
        <f t="shared" si="76"/>
        <v>46104</v>
      </c>
      <c r="C793" s="10">
        <f t="shared" si="76"/>
        <v>46113</v>
      </c>
      <c r="D793" s="11">
        <v>3273</v>
      </c>
      <c r="E793" s="11">
        <v>336</v>
      </c>
      <c r="F793" s="11">
        <v>4</v>
      </c>
      <c r="G793" s="11">
        <v>6</v>
      </c>
      <c r="H793" s="11">
        <v>81588</v>
      </c>
      <c r="I793" s="11" t="s">
        <v>17</v>
      </c>
      <c r="J793" s="11">
        <v>52389610</v>
      </c>
      <c r="K793" s="11" t="s">
        <v>3004</v>
      </c>
      <c r="L793" s="9" t="s">
        <v>3006</v>
      </c>
      <c r="M793" s="11">
        <v>189900</v>
      </c>
      <c r="N793" s="24">
        <f t="shared" si="75"/>
        <v>0.7</v>
      </c>
      <c r="O793" s="25">
        <f t="shared" si="74"/>
        <v>56970</v>
      </c>
      <c r="P793" s="11" t="s">
        <v>20</v>
      </c>
    </row>
    <row r="794" spans="1:16" s="28" customFormat="1" x14ac:dyDescent="0.25">
      <c r="A794" s="23" t="str">
        <f t="shared" si="76"/>
        <v>2025 JAN-JUN D70</v>
      </c>
      <c r="B794" s="10">
        <f t="shared" si="76"/>
        <v>46104</v>
      </c>
      <c r="C794" s="10">
        <f t="shared" si="76"/>
        <v>46113</v>
      </c>
      <c r="D794" s="11">
        <v>3273</v>
      </c>
      <c r="E794" s="11">
        <v>336</v>
      </c>
      <c r="F794" s="11">
        <v>4</v>
      </c>
      <c r="G794" s="11">
        <v>6</v>
      </c>
      <c r="H794" s="11">
        <v>81588</v>
      </c>
      <c r="I794" s="11" t="s">
        <v>17</v>
      </c>
      <c r="J794" s="11">
        <v>52389629</v>
      </c>
      <c r="K794" s="11" t="s">
        <v>3004</v>
      </c>
      <c r="L794" s="9" t="s">
        <v>3007</v>
      </c>
      <c r="M794" s="11">
        <v>189900</v>
      </c>
      <c r="N794" s="24">
        <f t="shared" si="75"/>
        <v>0.7</v>
      </c>
      <c r="O794" s="25">
        <f t="shared" si="74"/>
        <v>56970</v>
      </c>
      <c r="P794" s="11" t="s">
        <v>20</v>
      </c>
    </row>
    <row r="795" spans="1:16" s="28" customFormat="1" x14ac:dyDescent="0.25">
      <c r="A795" s="23" t="str">
        <f t="shared" si="76"/>
        <v>2025 JAN-JUN D70</v>
      </c>
      <c r="B795" s="10">
        <f t="shared" si="76"/>
        <v>46104</v>
      </c>
      <c r="C795" s="10">
        <f t="shared" si="76"/>
        <v>46113</v>
      </c>
      <c r="D795" s="11">
        <v>3273</v>
      </c>
      <c r="E795" s="11">
        <v>336</v>
      </c>
      <c r="F795" s="11">
        <v>4</v>
      </c>
      <c r="G795" s="11">
        <v>6</v>
      </c>
      <c r="H795" s="11">
        <v>81588</v>
      </c>
      <c r="I795" s="11" t="s">
        <v>17</v>
      </c>
      <c r="J795" s="11">
        <v>52389638</v>
      </c>
      <c r="K795" s="11" t="s">
        <v>3004</v>
      </c>
      <c r="L795" s="9" t="s">
        <v>3008</v>
      </c>
      <c r="M795" s="11">
        <v>189900</v>
      </c>
      <c r="N795" s="24">
        <f t="shared" si="75"/>
        <v>0.7</v>
      </c>
      <c r="O795" s="25">
        <f t="shared" si="74"/>
        <v>56970</v>
      </c>
      <c r="P795" s="11" t="s">
        <v>20</v>
      </c>
    </row>
    <row r="796" spans="1:16" s="28" customFormat="1" x14ac:dyDescent="0.25">
      <c r="A796" s="23" t="str">
        <f t="shared" si="76"/>
        <v>2025 JAN-JUN D70</v>
      </c>
      <c r="B796" s="10">
        <f t="shared" si="76"/>
        <v>46104</v>
      </c>
      <c r="C796" s="10">
        <f t="shared" si="76"/>
        <v>46113</v>
      </c>
      <c r="D796" s="11">
        <v>3273</v>
      </c>
      <c r="E796" s="11">
        <v>336</v>
      </c>
      <c r="F796" s="11">
        <v>4</v>
      </c>
      <c r="G796" s="11">
        <v>6</v>
      </c>
      <c r="H796" s="11">
        <v>81588</v>
      </c>
      <c r="I796" s="11" t="s">
        <v>17</v>
      </c>
      <c r="J796" s="11">
        <v>52389647</v>
      </c>
      <c r="K796" s="11" t="s">
        <v>3004</v>
      </c>
      <c r="L796" s="9" t="s">
        <v>3009</v>
      </c>
      <c r="M796" s="11">
        <v>189900</v>
      </c>
      <c r="N796" s="24">
        <f t="shared" si="75"/>
        <v>0.7</v>
      </c>
      <c r="O796" s="25">
        <f t="shared" si="74"/>
        <v>56970</v>
      </c>
      <c r="P796" s="11" t="s">
        <v>20</v>
      </c>
    </row>
    <row r="797" spans="1:16" s="28" customFormat="1" x14ac:dyDescent="0.25">
      <c r="A797" s="23" t="str">
        <f t="shared" si="76"/>
        <v>2025 JAN-JUN D70</v>
      </c>
      <c r="B797" s="10">
        <f t="shared" si="76"/>
        <v>46104</v>
      </c>
      <c r="C797" s="10">
        <f t="shared" si="76"/>
        <v>46113</v>
      </c>
      <c r="D797" s="11">
        <v>3273</v>
      </c>
      <c r="E797" s="11">
        <v>336</v>
      </c>
      <c r="F797" s="11">
        <v>4</v>
      </c>
      <c r="G797" s="11">
        <v>6</v>
      </c>
      <c r="H797" s="11">
        <v>81588</v>
      </c>
      <c r="I797" s="11" t="s">
        <v>17</v>
      </c>
      <c r="J797" s="11">
        <v>52389656</v>
      </c>
      <c r="K797" s="11" t="s">
        <v>3004</v>
      </c>
      <c r="L797" s="9" t="s">
        <v>3010</v>
      </c>
      <c r="M797" s="11">
        <v>189900</v>
      </c>
      <c r="N797" s="24">
        <f t="shared" si="75"/>
        <v>0.7</v>
      </c>
      <c r="O797" s="25">
        <f t="shared" si="74"/>
        <v>56970</v>
      </c>
      <c r="P797" s="11" t="s">
        <v>20</v>
      </c>
    </row>
    <row r="798" spans="1:16" s="28" customFormat="1" x14ac:dyDescent="0.25">
      <c r="A798" s="23" t="str">
        <f t="shared" si="76"/>
        <v>2025 JAN-JUN D70</v>
      </c>
      <c r="B798" s="10">
        <f t="shared" si="76"/>
        <v>46104</v>
      </c>
      <c r="C798" s="10">
        <f t="shared" si="76"/>
        <v>46113</v>
      </c>
      <c r="D798" s="11">
        <v>3273</v>
      </c>
      <c r="E798" s="11">
        <v>336</v>
      </c>
      <c r="F798" s="11">
        <v>4</v>
      </c>
      <c r="G798" s="11">
        <v>6</v>
      </c>
      <c r="H798" s="11">
        <v>81588</v>
      </c>
      <c r="I798" s="11" t="s">
        <v>17</v>
      </c>
      <c r="J798" s="11">
        <v>52389665</v>
      </c>
      <c r="K798" s="11" t="s">
        <v>3004</v>
      </c>
      <c r="L798" s="9" t="s">
        <v>3011</v>
      </c>
      <c r="M798" s="11">
        <v>189900</v>
      </c>
      <c r="N798" s="24">
        <f t="shared" si="75"/>
        <v>0.7</v>
      </c>
      <c r="O798" s="25">
        <f t="shared" si="74"/>
        <v>56970</v>
      </c>
      <c r="P798" s="11" t="s">
        <v>20</v>
      </c>
    </row>
    <row r="799" spans="1:16" s="28" customFormat="1" x14ac:dyDescent="0.25">
      <c r="A799" s="23" t="str">
        <f t="shared" si="76"/>
        <v>2025 JAN-JUN D70</v>
      </c>
      <c r="B799" s="10">
        <f t="shared" si="76"/>
        <v>46104</v>
      </c>
      <c r="C799" s="10">
        <f t="shared" si="76"/>
        <v>46113</v>
      </c>
      <c r="D799" s="11">
        <v>3273</v>
      </c>
      <c r="E799" s="11">
        <v>336</v>
      </c>
      <c r="F799" s="11">
        <v>4</v>
      </c>
      <c r="G799" s="11">
        <v>6</v>
      </c>
      <c r="H799" s="11">
        <v>81588</v>
      </c>
      <c r="I799" s="11" t="s">
        <v>17</v>
      </c>
      <c r="J799" s="11">
        <v>52389674</v>
      </c>
      <c r="K799" s="11" t="s">
        <v>3004</v>
      </c>
      <c r="L799" s="9" t="s">
        <v>3012</v>
      </c>
      <c r="M799" s="11">
        <v>189900</v>
      </c>
      <c r="N799" s="24">
        <f t="shared" si="75"/>
        <v>0.7</v>
      </c>
      <c r="O799" s="25">
        <f t="shared" si="74"/>
        <v>56970</v>
      </c>
      <c r="P799" s="11" t="s">
        <v>20</v>
      </c>
    </row>
    <row r="800" spans="1:16" s="28" customFormat="1" x14ac:dyDescent="0.25">
      <c r="A800" s="23" t="str">
        <f t="shared" si="76"/>
        <v>2025 JAN-JUN D70</v>
      </c>
      <c r="B800" s="10">
        <f t="shared" si="76"/>
        <v>46104</v>
      </c>
      <c r="C800" s="10">
        <f t="shared" si="76"/>
        <v>46113</v>
      </c>
      <c r="D800" s="11">
        <v>3273</v>
      </c>
      <c r="E800" s="11">
        <v>336</v>
      </c>
      <c r="F800" s="11">
        <v>4</v>
      </c>
      <c r="G800" s="11">
        <v>6</v>
      </c>
      <c r="H800" s="11">
        <v>81676</v>
      </c>
      <c r="I800" s="11" t="s">
        <v>17</v>
      </c>
      <c r="J800" s="11">
        <v>53262843</v>
      </c>
      <c r="K800" s="11" t="s">
        <v>3013</v>
      </c>
      <c r="L800" s="9" t="s">
        <v>3014</v>
      </c>
      <c r="M800" s="11">
        <v>139900</v>
      </c>
      <c r="N800" s="24">
        <f t="shared" si="75"/>
        <v>0.7</v>
      </c>
      <c r="O800" s="25">
        <f t="shared" si="74"/>
        <v>41970</v>
      </c>
      <c r="P800" s="11" t="s">
        <v>20</v>
      </c>
    </row>
    <row r="801" spans="1:16" s="28" customFormat="1" x14ac:dyDescent="0.25">
      <c r="A801" s="23" t="str">
        <f t="shared" si="76"/>
        <v>2025 JAN-JUN D70</v>
      </c>
      <c r="B801" s="10">
        <f t="shared" si="76"/>
        <v>46104</v>
      </c>
      <c r="C801" s="10">
        <f t="shared" si="76"/>
        <v>46113</v>
      </c>
      <c r="D801" s="11">
        <v>3273</v>
      </c>
      <c r="E801" s="11">
        <v>336</v>
      </c>
      <c r="F801" s="11">
        <v>4</v>
      </c>
      <c r="G801" s="11">
        <v>6</v>
      </c>
      <c r="H801" s="11">
        <v>81676</v>
      </c>
      <c r="I801" s="11" t="s">
        <v>17</v>
      </c>
      <c r="J801" s="11">
        <v>53262852</v>
      </c>
      <c r="K801" s="11" t="s">
        <v>3013</v>
      </c>
      <c r="L801" s="9" t="s">
        <v>3015</v>
      </c>
      <c r="M801" s="11">
        <v>139900</v>
      </c>
      <c r="N801" s="24">
        <f t="shared" si="75"/>
        <v>0.7</v>
      </c>
      <c r="O801" s="25">
        <f t="shared" si="74"/>
        <v>41970</v>
      </c>
      <c r="P801" s="11" t="s">
        <v>20</v>
      </c>
    </row>
    <row r="802" spans="1:16" s="28" customFormat="1" x14ac:dyDescent="0.25">
      <c r="A802" s="23" t="str">
        <f t="shared" si="76"/>
        <v>2025 JAN-JUN D70</v>
      </c>
      <c r="B802" s="10">
        <f t="shared" si="76"/>
        <v>46104</v>
      </c>
      <c r="C802" s="10">
        <f t="shared" si="76"/>
        <v>46113</v>
      </c>
      <c r="D802" s="11">
        <v>3273</v>
      </c>
      <c r="E802" s="11">
        <v>336</v>
      </c>
      <c r="F802" s="11">
        <v>4</v>
      </c>
      <c r="G802" s="11">
        <v>6</v>
      </c>
      <c r="H802" s="11">
        <v>81676</v>
      </c>
      <c r="I802" s="11" t="s">
        <v>17</v>
      </c>
      <c r="J802" s="11">
        <v>53262861</v>
      </c>
      <c r="K802" s="11" t="s">
        <v>3013</v>
      </c>
      <c r="L802" s="9" t="s">
        <v>3016</v>
      </c>
      <c r="M802" s="11">
        <v>139900</v>
      </c>
      <c r="N802" s="24">
        <f t="shared" si="75"/>
        <v>0.7</v>
      </c>
      <c r="O802" s="25">
        <f t="shared" si="74"/>
        <v>41970</v>
      </c>
      <c r="P802" s="11" t="s">
        <v>20</v>
      </c>
    </row>
    <row r="803" spans="1:16" s="28" customFormat="1" x14ac:dyDescent="0.25">
      <c r="A803" s="23" t="str">
        <f t="shared" ref="A803:C818" si="77">A802</f>
        <v>2025 JAN-JUN D70</v>
      </c>
      <c r="B803" s="10">
        <f t="shared" si="77"/>
        <v>46104</v>
      </c>
      <c r="C803" s="10">
        <f t="shared" si="77"/>
        <v>46113</v>
      </c>
      <c r="D803" s="11">
        <v>3273</v>
      </c>
      <c r="E803" s="11">
        <v>336</v>
      </c>
      <c r="F803" s="11">
        <v>4</v>
      </c>
      <c r="G803" s="11">
        <v>6</v>
      </c>
      <c r="H803" s="11">
        <v>81676</v>
      </c>
      <c r="I803" s="11" t="s">
        <v>17</v>
      </c>
      <c r="J803" s="11">
        <v>53262870</v>
      </c>
      <c r="K803" s="11" t="s">
        <v>3013</v>
      </c>
      <c r="L803" s="9" t="s">
        <v>3017</v>
      </c>
      <c r="M803" s="11">
        <v>139900</v>
      </c>
      <c r="N803" s="24">
        <f t="shared" si="75"/>
        <v>0.7</v>
      </c>
      <c r="O803" s="25">
        <f t="shared" si="74"/>
        <v>41970</v>
      </c>
      <c r="P803" s="11" t="s">
        <v>20</v>
      </c>
    </row>
    <row r="804" spans="1:16" s="28" customFormat="1" x14ac:dyDescent="0.25">
      <c r="A804" s="23" t="str">
        <f t="shared" si="77"/>
        <v>2025 JAN-JUN D70</v>
      </c>
      <c r="B804" s="10">
        <f t="shared" si="77"/>
        <v>46104</v>
      </c>
      <c r="C804" s="10">
        <f t="shared" si="77"/>
        <v>46113</v>
      </c>
      <c r="D804" s="11">
        <v>3273</v>
      </c>
      <c r="E804" s="11">
        <v>336</v>
      </c>
      <c r="F804" s="11">
        <v>4</v>
      </c>
      <c r="G804" s="11">
        <v>6</v>
      </c>
      <c r="H804" s="11">
        <v>81676</v>
      </c>
      <c r="I804" s="11" t="s">
        <v>17</v>
      </c>
      <c r="J804" s="11">
        <v>53262889</v>
      </c>
      <c r="K804" s="11" t="s">
        <v>3013</v>
      </c>
      <c r="L804" s="9" t="s">
        <v>3018</v>
      </c>
      <c r="M804" s="11">
        <v>139900</v>
      </c>
      <c r="N804" s="24">
        <f t="shared" si="75"/>
        <v>0.7</v>
      </c>
      <c r="O804" s="25">
        <f t="shared" si="74"/>
        <v>41970</v>
      </c>
      <c r="P804" s="11" t="s">
        <v>20</v>
      </c>
    </row>
    <row r="805" spans="1:16" s="28" customFormat="1" x14ac:dyDescent="0.25">
      <c r="A805" s="23" t="str">
        <f t="shared" si="77"/>
        <v>2025 JAN-JUN D70</v>
      </c>
      <c r="B805" s="10">
        <f t="shared" si="77"/>
        <v>46104</v>
      </c>
      <c r="C805" s="10">
        <f t="shared" si="77"/>
        <v>46113</v>
      </c>
      <c r="D805" s="11">
        <v>3273</v>
      </c>
      <c r="E805" s="11">
        <v>336</v>
      </c>
      <c r="F805" s="11">
        <v>4</v>
      </c>
      <c r="G805" s="11">
        <v>6</v>
      </c>
      <c r="H805" s="11">
        <v>81676</v>
      </c>
      <c r="I805" s="11" t="s">
        <v>17</v>
      </c>
      <c r="J805" s="11">
        <v>53262898</v>
      </c>
      <c r="K805" s="11" t="s">
        <v>3013</v>
      </c>
      <c r="L805" s="9" t="s">
        <v>3019</v>
      </c>
      <c r="M805" s="11">
        <v>139900</v>
      </c>
      <c r="N805" s="24">
        <f t="shared" si="75"/>
        <v>0.7</v>
      </c>
      <c r="O805" s="25">
        <f t="shared" si="74"/>
        <v>41970</v>
      </c>
      <c r="P805" s="11" t="s">
        <v>20</v>
      </c>
    </row>
    <row r="806" spans="1:16" s="28" customFormat="1" x14ac:dyDescent="0.25">
      <c r="A806" s="23" t="str">
        <f t="shared" si="77"/>
        <v>2025 JAN-JUN D70</v>
      </c>
      <c r="B806" s="10">
        <f t="shared" si="77"/>
        <v>46104</v>
      </c>
      <c r="C806" s="10">
        <f t="shared" si="77"/>
        <v>46113</v>
      </c>
      <c r="D806" s="11">
        <v>3273</v>
      </c>
      <c r="E806" s="11">
        <v>336</v>
      </c>
      <c r="F806" s="11">
        <v>4</v>
      </c>
      <c r="G806" s="11">
        <v>6</v>
      </c>
      <c r="H806" s="11">
        <v>81676</v>
      </c>
      <c r="I806" s="11" t="s">
        <v>17</v>
      </c>
      <c r="J806" s="11">
        <v>53262905</v>
      </c>
      <c r="K806" s="11" t="s">
        <v>3013</v>
      </c>
      <c r="L806" s="9" t="s">
        <v>3020</v>
      </c>
      <c r="M806" s="11">
        <v>139900</v>
      </c>
      <c r="N806" s="24">
        <f t="shared" si="75"/>
        <v>0.7</v>
      </c>
      <c r="O806" s="25">
        <f t="shared" si="74"/>
        <v>41970</v>
      </c>
      <c r="P806" s="11" t="s">
        <v>20</v>
      </c>
    </row>
    <row r="807" spans="1:16" s="28" customFormat="1" x14ac:dyDescent="0.25">
      <c r="A807" s="23" t="str">
        <f t="shared" si="77"/>
        <v>2025 JAN-JUN D70</v>
      </c>
      <c r="B807" s="10">
        <f t="shared" si="77"/>
        <v>46104</v>
      </c>
      <c r="C807" s="10">
        <f t="shared" si="77"/>
        <v>46113</v>
      </c>
      <c r="D807" s="11">
        <v>3273</v>
      </c>
      <c r="E807" s="11">
        <v>336</v>
      </c>
      <c r="F807" s="11">
        <v>4</v>
      </c>
      <c r="G807" s="11">
        <v>6</v>
      </c>
      <c r="H807" s="11">
        <v>81676</v>
      </c>
      <c r="I807" s="11" t="s">
        <v>17</v>
      </c>
      <c r="J807" s="11">
        <v>53262914</v>
      </c>
      <c r="K807" s="11" t="s">
        <v>3013</v>
      </c>
      <c r="L807" s="9" t="s">
        <v>3021</v>
      </c>
      <c r="M807" s="11">
        <v>139900</v>
      </c>
      <c r="N807" s="24">
        <f t="shared" si="75"/>
        <v>0.7</v>
      </c>
      <c r="O807" s="25">
        <f t="shared" si="74"/>
        <v>41970</v>
      </c>
      <c r="P807" s="11" t="s">
        <v>20</v>
      </c>
    </row>
    <row r="808" spans="1:16" s="28" customFormat="1" x14ac:dyDescent="0.25">
      <c r="A808" s="23" t="str">
        <f t="shared" si="77"/>
        <v>2025 JAN-JUN D70</v>
      </c>
      <c r="B808" s="10">
        <f t="shared" si="77"/>
        <v>46104</v>
      </c>
      <c r="C808" s="10">
        <f t="shared" si="77"/>
        <v>46113</v>
      </c>
      <c r="D808" s="11">
        <v>3273</v>
      </c>
      <c r="E808" s="11">
        <v>336</v>
      </c>
      <c r="F808" s="11">
        <v>4</v>
      </c>
      <c r="G808" s="11">
        <v>4</v>
      </c>
      <c r="H808" s="11">
        <v>81588</v>
      </c>
      <c r="I808" s="11" t="s">
        <v>17</v>
      </c>
      <c r="J808" s="11">
        <v>51099453</v>
      </c>
      <c r="K808" s="11" t="s">
        <v>3022</v>
      </c>
      <c r="L808" s="9" t="s">
        <v>3023</v>
      </c>
      <c r="M808" s="11">
        <v>249900</v>
      </c>
      <c r="N808" s="24">
        <f t="shared" si="75"/>
        <v>0.7</v>
      </c>
      <c r="O808" s="25">
        <f t="shared" si="74"/>
        <v>74970</v>
      </c>
      <c r="P808" s="11" t="s">
        <v>20</v>
      </c>
    </row>
    <row r="809" spans="1:16" s="28" customFormat="1" x14ac:dyDescent="0.25">
      <c r="A809" s="23" t="str">
        <f t="shared" si="77"/>
        <v>2025 JAN-JUN D70</v>
      </c>
      <c r="B809" s="10">
        <f t="shared" si="77"/>
        <v>46104</v>
      </c>
      <c r="C809" s="10">
        <f t="shared" si="77"/>
        <v>46113</v>
      </c>
      <c r="D809" s="11">
        <v>3273</v>
      </c>
      <c r="E809" s="11">
        <v>336</v>
      </c>
      <c r="F809" s="11">
        <v>4</v>
      </c>
      <c r="G809" s="11">
        <v>4</v>
      </c>
      <c r="H809" s="11">
        <v>81588</v>
      </c>
      <c r="I809" s="11" t="s">
        <v>17</v>
      </c>
      <c r="J809" s="11">
        <v>51099462</v>
      </c>
      <c r="K809" s="11" t="s">
        <v>3022</v>
      </c>
      <c r="L809" s="9" t="s">
        <v>3024</v>
      </c>
      <c r="M809" s="11">
        <v>249900</v>
      </c>
      <c r="N809" s="24">
        <f t="shared" si="75"/>
        <v>0.7</v>
      </c>
      <c r="O809" s="25">
        <f t="shared" si="74"/>
        <v>74970</v>
      </c>
      <c r="P809" s="11" t="s">
        <v>20</v>
      </c>
    </row>
    <row r="810" spans="1:16" s="28" customFormat="1" x14ac:dyDescent="0.25">
      <c r="A810" s="23" t="str">
        <f t="shared" si="77"/>
        <v>2025 JAN-JUN D70</v>
      </c>
      <c r="B810" s="10">
        <f t="shared" si="77"/>
        <v>46104</v>
      </c>
      <c r="C810" s="10">
        <f t="shared" si="77"/>
        <v>46113</v>
      </c>
      <c r="D810" s="11">
        <v>3273</v>
      </c>
      <c r="E810" s="11">
        <v>336</v>
      </c>
      <c r="F810" s="11">
        <v>4</v>
      </c>
      <c r="G810" s="11">
        <v>4</v>
      </c>
      <c r="H810" s="11">
        <v>81588</v>
      </c>
      <c r="I810" s="11" t="s">
        <v>17</v>
      </c>
      <c r="J810" s="11">
        <v>51099471</v>
      </c>
      <c r="K810" s="11" t="s">
        <v>3022</v>
      </c>
      <c r="L810" s="9" t="s">
        <v>3025</v>
      </c>
      <c r="M810" s="11">
        <v>249900</v>
      </c>
      <c r="N810" s="24">
        <f t="shared" si="75"/>
        <v>0.7</v>
      </c>
      <c r="O810" s="25">
        <f t="shared" si="74"/>
        <v>74970</v>
      </c>
      <c r="P810" s="11" t="s">
        <v>20</v>
      </c>
    </row>
    <row r="811" spans="1:16" s="28" customFormat="1" x14ac:dyDescent="0.25">
      <c r="A811" s="23" t="str">
        <f t="shared" si="77"/>
        <v>2025 JAN-JUN D70</v>
      </c>
      <c r="B811" s="10">
        <f t="shared" si="77"/>
        <v>46104</v>
      </c>
      <c r="C811" s="10">
        <f t="shared" si="77"/>
        <v>46113</v>
      </c>
      <c r="D811" s="11">
        <v>3273</v>
      </c>
      <c r="E811" s="11">
        <v>336</v>
      </c>
      <c r="F811" s="11">
        <v>4</v>
      </c>
      <c r="G811" s="11">
        <v>4</v>
      </c>
      <c r="H811" s="11">
        <v>81588</v>
      </c>
      <c r="I811" s="11" t="s">
        <v>17</v>
      </c>
      <c r="J811" s="11">
        <v>51099480</v>
      </c>
      <c r="K811" s="11" t="s">
        <v>3022</v>
      </c>
      <c r="L811" s="9" t="s">
        <v>3026</v>
      </c>
      <c r="M811" s="11">
        <v>249900</v>
      </c>
      <c r="N811" s="24">
        <f t="shared" si="75"/>
        <v>0.7</v>
      </c>
      <c r="O811" s="25">
        <f t="shared" si="74"/>
        <v>74970</v>
      </c>
      <c r="P811" s="11" t="s">
        <v>20</v>
      </c>
    </row>
    <row r="812" spans="1:16" s="28" customFormat="1" x14ac:dyDescent="0.25">
      <c r="A812" s="23" t="str">
        <f t="shared" si="77"/>
        <v>2025 JAN-JUN D70</v>
      </c>
      <c r="B812" s="10">
        <f t="shared" si="77"/>
        <v>46104</v>
      </c>
      <c r="C812" s="10">
        <f t="shared" si="77"/>
        <v>46113</v>
      </c>
      <c r="D812" s="11">
        <v>3273</v>
      </c>
      <c r="E812" s="11">
        <v>336</v>
      </c>
      <c r="F812" s="11">
        <v>4</v>
      </c>
      <c r="G812" s="11">
        <v>4</v>
      </c>
      <c r="H812" s="11">
        <v>81588</v>
      </c>
      <c r="I812" s="11" t="s">
        <v>17</v>
      </c>
      <c r="J812" s="11">
        <v>51099499</v>
      </c>
      <c r="K812" s="11" t="s">
        <v>3022</v>
      </c>
      <c r="L812" s="9" t="s">
        <v>3027</v>
      </c>
      <c r="M812" s="11">
        <v>249900</v>
      </c>
      <c r="N812" s="24">
        <f t="shared" si="75"/>
        <v>0.7</v>
      </c>
      <c r="O812" s="25">
        <f t="shared" si="74"/>
        <v>74970</v>
      </c>
      <c r="P812" s="11" t="s">
        <v>20</v>
      </c>
    </row>
    <row r="813" spans="1:16" s="28" customFormat="1" x14ac:dyDescent="0.25">
      <c r="A813" s="23" t="str">
        <f t="shared" si="77"/>
        <v>2025 JAN-JUN D70</v>
      </c>
      <c r="B813" s="10">
        <f t="shared" si="77"/>
        <v>46104</v>
      </c>
      <c r="C813" s="10">
        <f t="shared" si="77"/>
        <v>46113</v>
      </c>
      <c r="D813" s="11">
        <v>3273</v>
      </c>
      <c r="E813" s="11">
        <v>336</v>
      </c>
      <c r="F813" s="11">
        <v>4</v>
      </c>
      <c r="G813" s="11">
        <v>9</v>
      </c>
      <c r="H813" s="11">
        <v>81588</v>
      </c>
      <c r="I813" s="11" t="s">
        <v>17</v>
      </c>
      <c r="J813" s="11">
        <v>52389521</v>
      </c>
      <c r="K813" s="11" t="s">
        <v>3028</v>
      </c>
      <c r="L813" s="9" t="s">
        <v>3029</v>
      </c>
      <c r="M813" s="11">
        <v>249900</v>
      </c>
      <c r="N813" s="24">
        <f t="shared" si="75"/>
        <v>0.7</v>
      </c>
      <c r="O813" s="25">
        <f t="shared" si="74"/>
        <v>74970</v>
      </c>
      <c r="P813" s="11" t="s">
        <v>20</v>
      </c>
    </row>
    <row r="814" spans="1:16" s="28" customFormat="1" x14ac:dyDescent="0.25">
      <c r="A814" s="23" t="str">
        <f t="shared" si="77"/>
        <v>2025 JAN-JUN D70</v>
      </c>
      <c r="B814" s="10">
        <f t="shared" si="77"/>
        <v>46104</v>
      </c>
      <c r="C814" s="10">
        <f t="shared" si="77"/>
        <v>46113</v>
      </c>
      <c r="D814" s="11">
        <v>3273</v>
      </c>
      <c r="E814" s="11">
        <v>336</v>
      </c>
      <c r="F814" s="11">
        <v>4</v>
      </c>
      <c r="G814" s="11">
        <v>9</v>
      </c>
      <c r="H814" s="11">
        <v>81588</v>
      </c>
      <c r="I814" s="11" t="s">
        <v>17</v>
      </c>
      <c r="J814" s="11">
        <v>52389530</v>
      </c>
      <c r="K814" s="11" t="s">
        <v>3028</v>
      </c>
      <c r="L814" s="9" t="s">
        <v>3030</v>
      </c>
      <c r="M814" s="11">
        <v>249900</v>
      </c>
      <c r="N814" s="24">
        <f t="shared" si="75"/>
        <v>0.7</v>
      </c>
      <c r="O814" s="25">
        <f t="shared" si="74"/>
        <v>74970</v>
      </c>
      <c r="P814" s="11" t="s">
        <v>20</v>
      </c>
    </row>
    <row r="815" spans="1:16" s="28" customFormat="1" x14ac:dyDescent="0.25">
      <c r="A815" s="23" t="str">
        <f t="shared" si="77"/>
        <v>2025 JAN-JUN D70</v>
      </c>
      <c r="B815" s="10">
        <f t="shared" si="77"/>
        <v>46104</v>
      </c>
      <c r="C815" s="10">
        <f t="shared" si="77"/>
        <v>46113</v>
      </c>
      <c r="D815" s="11">
        <v>3273</v>
      </c>
      <c r="E815" s="11">
        <v>336</v>
      </c>
      <c r="F815" s="11">
        <v>4</v>
      </c>
      <c r="G815" s="11">
        <v>9</v>
      </c>
      <c r="H815" s="11">
        <v>81588</v>
      </c>
      <c r="I815" s="11" t="s">
        <v>17</v>
      </c>
      <c r="J815" s="11">
        <v>52389549</v>
      </c>
      <c r="K815" s="11" t="s">
        <v>3028</v>
      </c>
      <c r="L815" s="9" t="s">
        <v>3031</v>
      </c>
      <c r="M815" s="11">
        <v>249900</v>
      </c>
      <c r="N815" s="24">
        <f t="shared" si="75"/>
        <v>0.7</v>
      </c>
      <c r="O815" s="25">
        <f t="shared" si="74"/>
        <v>74970</v>
      </c>
      <c r="P815" s="11" t="s">
        <v>20</v>
      </c>
    </row>
    <row r="816" spans="1:16" s="28" customFormat="1" x14ac:dyDescent="0.25">
      <c r="A816" s="23" t="str">
        <f t="shared" si="77"/>
        <v>2025 JAN-JUN D70</v>
      </c>
      <c r="B816" s="10">
        <f t="shared" si="77"/>
        <v>46104</v>
      </c>
      <c r="C816" s="10">
        <f t="shared" si="77"/>
        <v>46113</v>
      </c>
      <c r="D816" s="11">
        <v>3273</v>
      </c>
      <c r="E816" s="11">
        <v>336</v>
      </c>
      <c r="F816" s="11">
        <v>4</v>
      </c>
      <c r="G816" s="11">
        <v>9</v>
      </c>
      <c r="H816" s="11">
        <v>81588</v>
      </c>
      <c r="I816" s="11" t="s">
        <v>17</v>
      </c>
      <c r="J816" s="11">
        <v>52389558</v>
      </c>
      <c r="K816" s="11" t="s">
        <v>3028</v>
      </c>
      <c r="L816" s="9" t="s">
        <v>3032</v>
      </c>
      <c r="M816" s="11">
        <v>249900</v>
      </c>
      <c r="N816" s="24">
        <f t="shared" si="75"/>
        <v>0.7</v>
      </c>
      <c r="O816" s="25">
        <f t="shared" si="74"/>
        <v>74970</v>
      </c>
      <c r="P816" s="11" t="s">
        <v>20</v>
      </c>
    </row>
    <row r="817" spans="1:16" s="28" customFormat="1" x14ac:dyDescent="0.25">
      <c r="A817" s="23" t="str">
        <f t="shared" si="77"/>
        <v>2025 JAN-JUN D70</v>
      </c>
      <c r="B817" s="10">
        <f t="shared" si="77"/>
        <v>46104</v>
      </c>
      <c r="C817" s="10">
        <f t="shared" si="77"/>
        <v>46113</v>
      </c>
      <c r="D817" s="11">
        <v>3273</v>
      </c>
      <c r="E817" s="11">
        <v>336</v>
      </c>
      <c r="F817" s="11">
        <v>4</v>
      </c>
      <c r="G817" s="11">
        <v>9</v>
      </c>
      <c r="H817" s="11">
        <v>81588</v>
      </c>
      <c r="I817" s="11" t="s">
        <v>17</v>
      </c>
      <c r="J817" s="11">
        <v>52389567</v>
      </c>
      <c r="K817" s="11" t="s">
        <v>3028</v>
      </c>
      <c r="L817" s="9" t="s">
        <v>3033</v>
      </c>
      <c r="M817" s="11">
        <v>249900</v>
      </c>
      <c r="N817" s="24">
        <f t="shared" si="75"/>
        <v>0.7</v>
      </c>
      <c r="O817" s="25">
        <f t="shared" si="74"/>
        <v>74970</v>
      </c>
      <c r="P817" s="11" t="s">
        <v>20</v>
      </c>
    </row>
    <row r="818" spans="1:16" s="28" customFormat="1" x14ac:dyDescent="0.25">
      <c r="A818" s="23" t="str">
        <f t="shared" si="77"/>
        <v>2025 JAN-JUN D70</v>
      </c>
      <c r="B818" s="10">
        <f t="shared" si="77"/>
        <v>46104</v>
      </c>
      <c r="C818" s="10">
        <f t="shared" si="77"/>
        <v>46113</v>
      </c>
      <c r="D818" s="11">
        <v>3273</v>
      </c>
      <c r="E818" s="11">
        <v>336</v>
      </c>
      <c r="F818" s="11">
        <v>4</v>
      </c>
      <c r="G818" s="11">
        <v>9</v>
      </c>
      <c r="H818" s="11">
        <v>81588</v>
      </c>
      <c r="I818" s="11" t="s">
        <v>17</v>
      </c>
      <c r="J818" s="11">
        <v>52389576</v>
      </c>
      <c r="K818" s="11" t="s">
        <v>3028</v>
      </c>
      <c r="L818" s="9" t="s">
        <v>3034</v>
      </c>
      <c r="M818" s="11">
        <v>249900</v>
      </c>
      <c r="N818" s="24">
        <f t="shared" si="75"/>
        <v>0.7</v>
      </c>
      <c r="O818" s="25">
        <f t="shared" si="74"/>
        <v>74970</v>
      </c>
      <c r="P818" s="11" t="s">
        <v>20</v>
      </c>
    </row>
    <row r="819" spans="1:16" s="28" customFormat="1" x14ac:dyDescent="0.25">
      <c r="A819" s="23" t="str">
        <f t="shared" ref="A819:C834" si="78">A818</f>
        <v>2025 JAN-JUN D70</v>
      </c>
      <c r="B819" s="10">
        <f t="shared" si="78"/>
        <v>46104</v>
      </c>
      <c r="C819" s="10">
        <f t="shared" si="78"/>
        <v>46113</v>
      </c>
      <c r="D819" s="11">
        <v>3273</v>
      </c>
      <c r="E819" s="11">
        <v>336</v>
      </c>
      <c r="F819" s="11">
        <v>4</v>
      </c>
      <c r="G819" s="11">
        <v>9</v>
      </c>
      <c r="H819" s="11">
        <v>81588</v>
      </c>
      <c r="I819" s="11" t="s">
        <v>17</v>
      </c>
      <c r="J819" s="11">
        <v>52389585</v>
      </c>
      <c r="K819" s="11" t="s">
        <v>3028</v>
      </c>
      <c r="L819" s="9" t="s">
        <v>3035</v>
      </c>
      <c r="M819" s="11">
        <v>249900</v>
      </c>
      <c r="N819" s="24">
        <f t="shared" si="75"/>
        <v>0.7</v>
      </c>
      <c r="O819" s="25">
        <f t="shared" si="74"/>
        <v>74970</v>
      </c>
      <c r="P819" s="11" t="s">
        <v>20</v>
      </c>
    </row>
    <row r="820" spans="1:16" s="28" customFormat="1" x14ac:dyDescent="0.25">
      <c r="A820" s="23" t="str">
        <f t="shared" si="78"/>
        <v>2025 JAN-JUN D70</v>
      </c>
      <c r="B820" s="10">
        <f t="shared" si="78"/>
        <v>46104</v>
      </c>
      <c r="C820" s="10">
        <f t="shared" si="78"/>
        <v>46113</v>
      </c>
      <c r="D820" s="11">
        <v>3273</v>
      </c>
      <c r="E820" s="11">
        <v>336</v>
      </c>
      <c r="F820" s="11">
        <v>4</v>
      </c>
      <c r="G820" s="11">
        <v>9</v>
      </c>
      <c r="H820" s="11">
        <v>81588</v>
      </c>
      <c r="I820" s="11" t="s">
        <v>17</v>
      </c>
      <c r="J820" s="11">
        <v>52389594</v>
      </c>
      <c r="K820" s="11" t="s">
        <v>3028</v>
      </c>
      <c r="L820" s="9" t="s">
        <v>3036</v>
      </c>
      <c r="M820" s="11">
        <v>249900</v>
      </c>
      <c r="N820" s="24">
        <f t="shared" si="75"/>
        <v>0.7</v>
      </c>
      <c r="O820" s="25">
        <f t="shared" si="74"/>
        <v>74970</v>
      </c>
      <c r="P820" s="11" t="s">
        <v>20</v>
      </c>
    </row>
    <row r="821" spans="1:16" s="28" customFormat="1" x14ac:dyDescent="0.25">
      <c r="A821" s="23" t="str">
        <f t="shared" si="78"/>
        <v>2025 JAN-JUN D70</v>
      </c>
      <c r="B821" s="10">
        <f t="shared" si="78"/>
        <v>46104</v>
      </c>
      <c r="C821" s="10">
        <f t="shared" si="78"/>
        <v>46113</v>
      </c>
      <c r="D821" s="11">
        <v>3273</v>
      </c>
      <c r="E821" s="11">
        <v>336</v>
      </c>
      <c r="F821" s="11">
        <v>4</v>
      </c>
      <c r="G821" s="11">
        <v>8</v>
      </c>
      <c r="H821" s="11">
        <v>81588</v>
      </c>
      <c r="I821" s="11" t="s">
        <v>17</v>
      </c>
      <c r="J821" s="11">
        <v>51101083</v>
      </c>
      <c r="K821" s="11" t="s">
        <v>3037</v>
      </c>
      <c r="L821" s="9" t="s">
        <v>3038</v>
      </c>
      <c r="M821" s="11">
        <v>249900</v>
      </c>
      <c r="N821" s="24">
        <f t="shared" si="75"/>
        <v>0.7</v>
      </c>
      <c r="O821" s="25">
        <f t="shared" si="74"/>
        <v>74970</v>
      </c>
      <c r="P821" s="11" t="s">
        <v>20</v>
      </c>
    </row>
    <row r="822" spans="1:16" s="28" customFormat="1" x14ac:dyDescent="0.25">
      <c r="A822" s="23" t="str">
        <f t="shared" si="78"/>
        <v>2025 JAN-JUN D70</v>
      </c>
      <c r="B822" s="10">
        <f t="shared" si="78"/>
        <v>46104</v>
      </c>
      <c r="C822" s="10">
        <f t="shared" si="78"/>
        <v>46113</v>
      </c>
      <c r="D822" s="11">
        <v>3273</v>
      </c>
      <c r="E822" s="11">
        <v>336</v>
      </c>
      <c r="F822" s="11">
        <v>4</v>
      </c>
      <c r="G822" s="11">
        <v>8</v>
      </c>
      <c r="H822" s="11">
        <v>81588</v>
      </c>
      <c r="I822" s="11" t="s">
        <v>17</v>
      </c>
      <c r="J822" s="11">
        <v>51101092</v>
      </c>
      <c r="K822" s="11" t="s">
        <v>3037</v>
      </c>
      <c r="L822" s="9" t="s">
        <v>3039</v>
      </c>
      <c r="M822" s="11">
        <v>249900</v>
      </c>
      <c r="N822" s="24">
        <f t="shared" si="75"/>
        <v>0.7</v>
      </c>
      <c r="O822" s="25">
        <f t="shared" si="74"/>
        <v>74970</v>
      </c>
      <c r="P822" s="11" t="s">
        <v>20</v>
      </c>
    </row>
    <row r="823" spans="1:16" s="28" customFormat="1" x14ac:dyDescent="0.25">
      <c r="A823" s="23" t="str">
        <f t="shared" si="78"/>
        <v>2025 JAN-JUN D70</v>
      </c>
      <c r="B823" s="10">
        <f t="shared" si="78"/>
        <v>46104</v>
      </c>
      <c r="C823" s="10">
        <f t="shared" si="78"/>
        <v>46113</v>
      </c>
      <c r="D823" s="11">
        <v>3273</v>
      </c>
      <c r="E823" s="11">
        <v>336</v>
      </c>
      <c r="F823" s="11">
        <v>4</v>
      </c>
      <c r="G823" s="11">
        <v>8</v>
      </c>
      <c r="H823" s="11">
        <v>81588</v>
      </c>
      <c r="I823" s="11" t="s">
        <v>17</v>
      </c>
      <c r="J823" s="11">
        <v>51101109</v>
      </c>
      <c r="K823" s="11" t="s">
        <v>3037</v>
      </c>
      <c r="L823" s="9" t="s">
        <v>3040</v>
      </c>
      <c r="M823" s="11">
        <v>249900</v>
      </c>
      <c r="N823" s="24">
        <f t="shared" si="75"/>
        <v>0.7</v>
      </c>
      <c r="O823" s="25">
        <f t="shared" si="74"/>
        <v>74970</v>
      </c>
      <c r="P823" s="11" t="s">
        <v>20</v>
      </c>
    </row>
    <row r="824" spans="1:16" s="28" customFormat="1" x14ac:dyDescent="0.25">
      <c r="A824" s="23" t="str">
        <f t="shared" si="78"/>
        <v>2025 JAN-JUN D70</v>
      </c>
      <c r="B824" s="10">
        <f t="shared" si="78"/>
        <v>46104</v>
      </c>
      <c r="C824" s="10">
        <f t="shared" si="78"/>
        <v>46113</v>
      </c>
      <c r="D824" s="11">
        <v>3273</v>
      </c>
      <c r="E824" s="11">
        <v>336</v>
      </c>
      <c r="F824" s="11">
        <v>4</v>
      </c>
      <c r="G824" s="11">
        <v>8</v>
      </c>
      <c r="H824" s="11">
        <v>81588</v>
      </c>
      <c r="I824" s="11" t="s">
        <v>17</v>
      </c>
      <c r="J824" s="11">
        <v>51101118</v>
      </c>
      <c r="K824" s="11" t="s">
        <v>3037</v>
      </c>
      <c r="L824" s="9" t="s">
        <v>3041</v>
      </c>
      <c r="M824" s="11">
        <v>249900</v>
      </c>
      <c r="N824" s="24">
        <f t="shared" si="75"/>
        <v>0.7</v>
      </c>
      <c r="O824" s="25">
        <f t="shared" si="74"/>
        <v>74970</v>
      </c>
      <c r="P824" s="11" t="s">
        <v>20</v>
      </c>
    </row>
    <row r="825" spans="1:16" s="28" customFormat="1" x14ac:dyDescent="0.25">
      <c r="A825" s="23" t="str">
        <f t="shared" si="78"/>
        <v>2025 JAN-JUN D70</v>
      </c>
      <c r="B825" s="10">
        <f t="shared" si="78"/>
        <v>46104</v>
      </c>
      <c r="C825" s="10">
        <f t="shared" si="78"/>
        <v>46113</v>
      </c>
      <c r="D825" s="11">
        <v>3273</v>
      </c>
      <c r="E825" s="11">
        <v>336</v>
      </c>
      <c r="F825" s="11">
        <v>4</v>
      </c>
      <c r="G825" s="11">
        <v>8</v>
      </c>
      <c r="H825" s="11">
        <v>81588</v>
      </c>
      <c r="I825" s="11" t="s">
        <v>17</v>
      </c>
      <c r="J825" s="11">
        <v>51101127</v>
      </c>
      <c r="K825" s="11" t="s">
        <v>3037</v>
      </c>
      <c r="L825" s="9" t="s">
        <v>3042</v>
      </c>
      <c r="M825" s="11">
        <v>249900</v>
      </c>
      <c r="N825" s="24">
        <f t="shared" si="75"/>
        <v>0.7</v>
      </c>
      <c r="O825" s="25">
        <f t="shared" si="74"/>
        <v>74970</v>
      </c>
      <c r="P825" s="11" t="s">
        <v>20</v>
      </c>
    </row>
    <row r="826" spans="1:16" s="28" customFormat="1" x14ac:dyDescent="0.25">
      <c r="A826" s="23" t="str">
        <f t="shared" si="78"/>
        <v>2025 JAN-JUN D70</v>
      </c>
      <c r="B826" s="10">
        <f t="shared" si="78"/>
        <v>46104</v>
      </c>
      <c r="C826" s="10">
        <f t="shared" si="78"/>
        <v>46113</v>
      </c>
      <c r="D826" s="11">
        <v>3273</v>
      </c>
      <c r="E826" s="11">
        <v>336</v>
      </c>
      <c r="F826" s="11">
        <v>4</v>
      </c>
      <c r="G826" s="11">
        <v>8</v>
      </c>
      <c r="H826" s="11">
        <v>81588</v>
      </c>
      <c r="I826" s="11" t="s">
        <v>17</v>
      </c>
      <c r="J826" s="11">
        <v>51101136</v>
      </c>
      <c r="K826" s="11" t="s">
        <v>3037</v>
      </c>
      <c r="L826" s="9" t="s">
        <v>3043</v>
      </c>
      <c r="M826" s="11">
        <v>249900</v>
      </c>
      <c r="N826" s="24">
        <f t="shared" si="75"/>
        <v>0.7</v>
      </c>
      <c r="O826" s="25">
        <f t="shared" si="74"/>
        <v>74970</v>
      </c>
      <c r="P826" s="11" t="s">
        <v>20</v>
      </c>
    </row>
    <row r="827" spans="1:16" s="28" customFormat="1" x14ac:dyDescent="0.25">
      <c r="A827" s="23" t="str">
        <f t="shared" si="78"/>
        <v>2025 JAN-JUN D70</v>
      </c>
      <c r="B827" s="10">
        <f t="shared" si="78"/>
        <v>46104</v>
      </c>
      <c r="C827" s="10">
        <f t="shared" si="78"/>
        <v>46113</v>
      </c>
      <c r="D827" s="11">
        <v>3273</v>
      </c>
      <c r="E827" s="11">
        <v>336</v>
      </c>
      <c r="F827" s="11">
        <v>4</v>
      </c>
      <c r="G827" s="11">
        <v>8</v>
      </c>
      <c r="H827" s="11">
        <v>81588</v>
      </c>
      <c r="I827" s="11" t="s">
        <v>17</v>
      </c>
      <c r="J827" s="11">
        <v>51101145</v>
      </c>
      <c r="K827" s="11" t="s">
        <v>3037</v>
      </c>
      <c r="L827" s="9" t="s">
        <v>3044</v>
      </c>
      <c r="M827" s="11">
        <v>249900</v>
      </c>
      <c r="N827" s="24">
        <f t="shared" si="75"/>
        <v>0.7</v>
      </c>
      <c r="O827" s="25">
        <f t="shared" si="74"/>
        <v>74970</v>
      </c>
      <c r="P827" s="11" t="s">
        <v>20</v>
      </c>
    </row>
    <row r="828" spans="1:16" s="28" customFormat="1" x14ac:dyDescent="0.25">
      <c r="A828" s="23" t="str">
        <f t="shared" si="78"/>
        <v>2025 JAN-JUN D70</v>
      </c>
      <c r="B828" s="10">
        <f t="shared" si="78"/>
        <v>46104</v>
      </c>
      <c r="C828" s="10">
        <f t="shared" si="78"/>
        <v>46113</v>
      </c>
      <c r="D828" s="11">
        <v>3273</v>
      </c>
      <c r="E828" s="11">
        <v>336</v>
      </c>
      <c r="F828" s="11">
        <v>4</v>
      </c>
      <c r="G828" s="11">
        <v>8</v>
      </c>
      <c r="H828" s="11">
        <v>81588</v>
      </c>
      <c r="I828" s="11" t="s">
        <v>17</v>
      </c>
      <c r="J828" s="11">
        <v>51101154</v>
      </c>
      <c r="K828" s="11" t="s">
        <v>3037</v>
      </c>
      <c r="L828" s="9" t="s">
        <v>3045</v>
      </c>
      <c r="M828" s="11">
        <v>249900</v>
      </c>
      <c r="N828" s="24">
        <f t="shared" si="75"/>
        <v>0.7</v>
      </c>
      <c r="O828" s="25">
        <f t="shared" si="74"/>
        <v>74970</v>
      </c>
      <c r="P828" s="11" t="s">
        <v>20</v>
      </c>
    </row>
    <row r="829" spans="1:16" s="28" customFormat="1" x14ac:dyDescent="0.25">
      <c r="A829" s="23" t="str">
        <f t="shared" si="78"/>
        <v>2025 JAN-JUN D70</v>
      </c>
      <c r="B829" s="10">
        <f t="shared" si="78"/>
        <v>46104</v>
      </c>
      <c r="C829" s="10">
        <f t="shared" si="78"/>
        <v>46113</v>
      </c>
      <c r="D829" s="11">
        <v>3273</v>
      </c>
      <c r="E829" s="11">
        <v>336</v>
      </c>
      <c r="F829" s="11">
        <v>4</v>
      </c>
      <c r="G829" s="11">
        <v>6</v>
      </c>
      <c r="H829" s="11">
        <v>81588</v>
      </c>
      <c r="I829" s="11" t="s">
        <v>17</v>
      </c>
      <c r="J829" s="11">
        <v>53263146</v>
      </c>
      <c r="K829" s="11" t="s">
        <v>3046</v>
      </c>
      <c r="L829" s="9" t="s">
        <v>3047</v>
      </c>
      <c r="M829" s="11">
        <v>139900</v>
      </c>
      <c r="N829" s="24">
        <f t="shared" si="75"/>
        <v>0.7</v>
      </c>
      <c r="O829" s="25">
        <f t="shared" si="74"/>
        <v>41970</v>
      </c>
      <c r="P829" s="11" t="s">
        <v>20</v>
      </c>
    </row>
    <row r="830" spans="1:16" s="28" customFormat="1" x14ac:dyDescent="0.25">
      <c r="A830" s="23" t="str">
        <f t="shared" si="78"/>
        <v>2025 JAN-JUN D70</v>
      </c>
      <c r="B830" s="10">
        <f t="shared" si="78"/>
        <v>46104</v>
      </c>
      <c r="C830" s="10">
        <f t="shared" si="78"/>
        <v>46113</v>
      </c>
      <c r="D830" s="11">
        <v>3273</v>
      </c>
      <c r="E830" s="11">
        <v>336</v>
      </c>
      <c r="F830" s="11">
        <v>4</v>
      </c>
      <c r="G830" s="11">
        <v>6</v>
      </c>
      <c r="H830" s="11">
        <v>81588</v>
      </c>
      <c r="I830" s="11" t="s">
        <v>17</v>
      </c>
      <c r="J830" s="11">
        <v>53263155</v>
      </c>
      <c r="K830" s="11" t="s">
        <v>3046</v>
      </c>
      <c r="L830" s="9" t="s">
        <v>3048</v>
      </c>
      <c r="M830" s="11">
        <v>139900</v>
      </c>
      <c r="N830" s="24">
        <f t="shared" si="75"/>
        <v>0.7</v>
      </c>
      <c r="O830" s="25">
        <f t="shared" si="74"/>
        <v>41970</v>
      </c>
      <c r="P830" s="11" t="s">
        <v>20</v>
      </c>
    </row>
    <row r="831" spans="1:16" s="28" customFormat="1" x14ac:dyDescent="0.25">
      <c r="A831" s="23" t="str">
        <f t="shared" si="78"/>
        <v>2025 JAN-JUN D70</v>
      </c>
      <c r="B831" s="10">
        <f t="shared" si="78"/>
        <v>46104</v>
      </c>
      <c r="C831" s="10">
        <f t="shared" si="78"/>
        <v>46113</v>
      </c>
      <c r="D831" s="11">
        <v>3273</v>
      </c>
      <c r="E831" s="11">
        <v>336</v>
      </c>
      <c r="F831" s="11">
        <v>4</v>
      </c>
      <c r="G831" s="11">
        <v>6</v>
      </c>
      <c r="H831" s="11">
        <v>81588</v>
      </c>
      <c r="I831" s="11" t="s">
        <v>17</v>
      </c>
      <c r="J831" s="11">
        <v>53263164</v>
      </c>
      <c r="K831" s="11" t="s">
        <v>3046</v>
      </c>
      <c r="L831" s="9" t="s">
        <v>3049</v>
      </c>
      <c r="M831" s="11">
        <v>139900</v>
      </c>
      <c r="N831" s="24">
        <f t="shared" si="75"/>
        <v>0.7</v>
      </c>
      <c r="O831" s="25">
        <f t="shared" si="74"/>
        <v>41970</v>
      </c>
      <c r="P831" s="11" t="s">
        <v>20</v>
      </c>
    </row>
    <row r="832" spans="1:16" s="28" customFormat="1" x14ac:dyDescent="0.25">
      <c r="A832" s="23" t="str">
        <f t="shared" si="78"/>
        <v>2025 JAN-JUN D70</v>
      </c>
      <c r="B832" s="10">
        <f t="shared" si="78"/>
        <v>46104</v>
      </c>
      <c r="C832" s="10">
        <f t="shared" si="78"/>
        <v>46113</v>
      </c>
      <c r="D832" s="11">
        <v>3273</v>
      </c>
      <c r="E832" s="11">
        <v>336</v>
      </c>
      <c r="F832" s="11">
        <v>4</v>
      </c>
      <c r="G832" s="11">
        <v>6</v>
      </c>
      <c r="H832" s="11">
        <v>81588</v>
      </c>
      <c r="I832" s="11" t="s">
        <v>17</v>
      </c>
      <c r="J832" s="11">
        <v>53263173</v>
      </c>
      <c r="K832" s="11" t="s">
        <v>3046</v>
      </c>
      <c r="L832" s="9" t="s">
        <v>3050</v>
      </c>
      <c r="M832" s="11">
        <v>139900</v>
      </c>
      <c r="N832" s="24">
        <f t="shared" si="75"/>
        <v>0.7</v>
      </c>
      <c r="O832" s="25">
        <f t="shared" si="74"/>
        <v>41970</v>
      </c>
      <c r="P832" s="11" t="s">
        <v>20</v>
      </c>
    </row>
    <row r="833" spans="1:16" s="28" customFormat="1" x14ac:dyDescent="0.25">
      <c r="A833" s="23" t="str">
        <f t="shared" si="78"/>
        <v>2025 JAN-JUN D70</v>
      </c>
      <c r="B833" s="10">
        <f t="shared" si="78"/>
        <v>46104</v>
      </c>
      <c r="C833" s="10">
        <f t="shared" si="78"/>
        <v>46113</v>
      </c>
      <c r="D833" s="11">
        <v>3273</v>
      </c>
      <c r="E833" s="11">
        <v>336</v>
      </c>
      <c r="F833" s="11">
        <v>4</v>
      </c>
      <c r="G833" s="11">
        <v>6</v>
      </c>
      <c r="H833" s="11">
        <v>81588</v>
      </c>
      <c r="I833" s="11" t="s">
        <v>17</v>
      </c>
      <c r="J833" s="11">
        <v>53263182</v>
      </c>
      <c r="K833" s="11" t="s">
        <v>3046</v>
      </c>
      <c r="L833" s="9" t="s">
        <v>3051</v>
      </c>
      <c r="M833" s="11">
        <v>139900</v>
      </c>
      <c r="N833" s="24">
        <f t="shared" si="75"/>
        <v>0.7</v>
      </c>
      <c r="O833" s="25">
        <f t="shared" si="74"/>
        <v>41970</v>
      </c>
      <c r="P833" s="11" t="s">
        <v>20</v>
      </c>
    </row>
    <row r="834" spans="1:16" s="28" customFormat="1" x14ac:dyDescent="0.25">
      <c r="A834" s="23" t="str">
        <f t="shared" si="78"/>
        <v>2025 JAN-JUN D70</v>
      </c>
      <c r="B834" s="10">
        <f t="shared" si="78"/>
        <v>46104</v>
      </c>
      <c r="C834" s="10">
        <f t="shared" si="78"/>
        <v>46113</v>
      </c>
      <c r="D834" s="11">
        <v>3273</v>
      </c>
      <c r="E834" s="11">
        <v>336</v>
      </c>
      <c r="F834" s="11">
        <v>4</v>
      </c>
      <c r="G834" s="11">
        <v>6</v>
      </c>
      <c r="H834" s="11">
        <v>81588</v>
      </c>
      <c r="I834" s="11" t="s">
        <v>17</v>
      </c>
      <c r="J834" s="11">
        <v>53263191</v>
      </c>
      <c r="K834" s="11" t="s">
        <v>3046</v>
      </c>
      <c r="L834" s="9" t="s">
        <v>3052</v>
      </c>
      <c r="M834" s="11">
        <v>139900</v>
      </c>
      <c r="N834" s="24">
        <f t="shared" si="75"/>
        <v>0.7</v>
      </c>
      <c r="O834" s="25">
        <f t="shared" si="74"/>
        <v>41970</v>
      </c>
      <c r="P834" s="11" t="s">
        <v>20</v>
      </c>
    </row>
    <row r="835" spans="1:16" s="28" customFormat="1" x14ac:dyDescent="0.25">
      <c r="A835" s="23" t="str">
        <f t="shared" ref="A835:C850" si="79">A834</f>
        <v>2025 JAN-JUN D70</v>
      </c>
      <c r="B835" s="10">
        <f t="shared" si="79"/>
        <v>46104</v>
      </c>
      <c r="C835" s="10">
        <f t="shared" si="79"/>
        <v>46113</v>
      </c>
      <c r="D835" s="11">
        <v>3273</v>
      </c>
      <c r="E835" s="11">
        <v>336</v>
      </c>
      <c r="F835" s="11">
        <v>4</v>
      </c>
      <c r="G835" s="11">
        <v>6</v>
      </c>
      <c r="H835" s="11">
        <v>81588</v>
      </c>
      <c r="I835" s="11" t="s">
        <v>17</v>
      </c>
      <c r="J835" s="11">
        <v>53263208</v>
      </c>
      <c r="K835" s="11" t="s">
        <v>3046</v>
      </c>
      <c r="L835" s="9" t="s">
        <v>3053</v>
      </c>
      <c r="M835" s="11">
        <v>139900</v>
      </c>
      <c r="N835" s="24">
        <f t="shared" si="75"/>
        <v>0.7</v>
      </c>
      <c r="O835" s="25">
        <f t="shared" ref="O835:O898" si="80">M835-((70*M835)/100)</f>
        <v>41970</v>
      </c>
      <c r="P835" s="11" t="s">
        <v>20</v>
      </c>
    </row>
    <row r="836" spans="1:16" s="28" customFormat="1" x14ac:dyDescent="0.25">
      <c r="A836" s="23" t="str">
        <f t="shared" si="79"/>
        <v>2025 JAN-JUN D70</v>
      </c>
      <c r="B836" s="10">
        <f t="shared" si="79"/>
        <v>46104</v>
      </c>
      <c r="C836" s="10">
        <f t="shared" si="79"/>
        <v>46113</v>
      </c>
      <c r="D836" s="11">
        <v>3273</v>
      </c>
      <c r="E836" s="11">
        <v>336</v>
      </c>
      <c r="F836" s="11">
        <v>4</v>
      </c>
      <c r="G836" s="11">
        <v>6</v>
      </c>
      <c r="H836" s="11">
        <v>81588</v>
      </c>
      <c r="I836" s="11" t="s">
        <v>17</v>
      </c>
      <c r="J836" s="11">
        <v>53263217</v>
      </c>
      <c r="K836" s="11" t="s">
        <v>3046</v>
      </c>
      <c r="L836" s="9" t="s">
        <v>3054</v>
      </c>
      <c r="M836" s="11">
        <v>139900</v>
      </c>
      <c r="N836" s="24">
        <f t="shared" ref="N836:N899" si="81">N835</f>
        <v>0.7</v>
      </c>
      <c r="O836" s="25">
        <f t="shared" si="80"/>
        <v>41970</v>
      </c>
      <c r="P836" s="11" t="s">
        <v>20</v>
      </c>
    </row>
    <row r="837" spans="1:16" s="28" customFormat="1" x14ac:dyDescent="0.25">
      <c r="A837" s="23" t="str">
        <f t="shared" si="79"/>
        <v>2025 JAN-JUN D70</v>
      </c>
      <c r="B837" s="10">
        <f t="shared" si="79"/>
        <v>46104</v>
      </c>
      <c r="C837" s="10">
        <f t="shared" si="79"/>
        <v>46113</v>
      </c>
      <c r="D837" s="11">
        <v>3273</v>
      </c>
      <c r="E837" s="11">
        <v>336</v>
      </c>
      <c r="F837" s="11">
        <v>4</v>
      </c>
      <c r="G837" s="11">
        <v>6</v>
      </c>
      <c r="H837" s="11">
        <v>81588</v>
      </c>
      <c r="I837" s="11" t="s">
        <v>17</v>
      </c>
      <c r="J837" s="11">
        <v>52390402</v>
      </c>
      <c r="K837" s="11" t="s">
        <v>3055</v>
      </c>
      <c r="L837" s="9" t="s">
        <v>3056</v>
      </c>
      <c r="M837" s="11">
        <v>149900</v>
      </c>
      <c r="N837" s="24">
        <f t="shared" si="81"/>
        <v>0.7</v>
      </c>
      <c r="O837" s="25">
        <f t="shared" si="80"/>
        <v>44970</v>
      </c>
      <c r="P837" s="11" t="s">
        <v>20</v>
      </c>
    </row>
    <row r="838" spans="1:16" s="28" customFormat="1" x14ac:dyDescent="0.25">
      <c r="A838" s="23" t="str">
        <f t="shared" si="79"/>
        <v>2025 JAN-JUN D70</v>
      </c>
      <c r="B838" s="10">
        <f t="shared" si="79"/>
        <v>46104</v>
      </c>
      <c r="C838" s="10">
        <f t="shared" si="79"/>
        <v>46113</v>
      </c>
      <c r="D838" s="11">
        <v>3273</v>
      </c>
      <c r="E838" s="11">
        <v>336</v>
      </c>
      <c r="F838" s="11">
        <v>4</v>
      </c>
      <c r="G838" s="11">
        <v>6</v>
      </c>
      <c r="H838" s="11">
        <v>81588</v>
      </c>
      <c r="I838" s="11" t="s">
        <v>17</v>
      </c>
      <c r="J838" s="11">
        <v>52390411</v>
      </c>
      <c r="K838" s="11" t="s">
        <v>3055</v>
      </c>
      <c r="L838" s="9" t="s">
        <v>3057</v>
      </c>
      <c r="M838" s="11">
        <v>149900</v>
      </c>
      <c r="N838" s="24">
        <f t="shared" si="81"/>
        <v>0.7</v>
      </c>
      <c r="O838" s="25">
        <f t="shared" si="80"/>
        <v>44970</v>
      </c>
      <c r="P838" s="11" t="s">
        <v>20</v>
      </c>
    </row>
    <row r="839" spans="1:16" s="28" customFormat="1" x14ac:dyDescent="0.25">
      <c r="A839" s="23" t="str">
        <f t="shared" si="79"/>
        <v>2025 JAN-JUN D70</v>
      </c>
      <c r="B839" s="10">
        <f t="shared" si="79"/>
        <v>46104</v>
      </c>
      <c r="C839" s="10">
        <f t="shared" si="79"/>
        <v>46113</v>
      </c>
      <c r="D839" s="11">
        <v>3273</v>
      </c>
      <c r="E839" s="11">
        <v>336</v>
      </c>
      <c r="F839" s="11">
        <v>4</v>
      </c>
      <c r="G839" s="11">
        <v>6</v>
      </c>
      <c r="H839" s="11">
        <v>81588</v>
      </c>
      <c r="I839" s="11" t="s">
        <v>17</v>
      </c>
      <c r="J839" s="11">
        <v>52390420</v>
      </c>
      <c r="K839" s="11" t="s">
        <v>3055</v>
      </c>
      <c r="L839" s="9" t="s">
        <v>3058</v>
      </c>
      <c r="M839" s="11">
        <v>149900</v>
      </c>
      <c r="N839" s="24">
        <f t="shared" si="81"/>
        <v>0.7</v>
      </c>
      <c r="O839" s="25">
        <f t="shared" si="80"/>
        <v>44970</v>
      </c>
      <c r="P839" s="11" t="s">
        <v>20</v>
      </c>
    </row>
    <row r="840" spans="1:16" s="28" customFormat="1" x14ac:dyDescent="0.25">
      <c r="A840" s="23" t="str">
        <f t="shared" si="79"/>
        <v>2025 JAN-JUN D70</v>
      </c>
      <c r="B840" s="10">
        <f t="shared" si="79"/>
        <v>46104</v>
      </c>
      <c r="C840" s="10">
        <f t="shared" si="79"/>
        <v>46113</v>
      </c>
      <c r="D840" s="11">
        <v>3273</v>
      </c>
      <c r="E840" s="11">
        <v>336</v>
      </c>
      <c r="F840" s="11">
        <v>4</v>
      </c>
      <c r="G840" s="11">
        <v>6</v>
      </c>
      <c r="H840" s="11">
        <v>81588</v>
      </c>
      <c r="I840" s="11" t="s">
        <v>17</v>
      </c>
      <c r="J840" s="11">
        <v>52390439</v>
      </c>
      <c r="K840" s="11" t="s">
        <v>3055</v>
      </c>
      <c r="L840" s="9" t="s">
        <v>3059</v>
      </c>
      <c r="M840" s="11">
        <v>149900</v>
      </c>
      <c r="N840" s="24">
        <f t="shared" si="81"/>
        <v>0.7</v>
      </c>
      <c r="O840" s="25">
        <f t="shared" si="80"/>
        <v>44970</v>
      </c>
      <c r="P840" s="11" t="s">
        <v>20</v>
      </c>
    </row>
    <row r="841" spans="1:16" s="28" customFormat="1" x14ac:dyDescent="0.25">
      <c r="A841" s="23" t="str">
        <f t="shared" si="79"/>
        <v>2025 JAN-JUN D70</v>
      </c>
      <c r="B841" s="10">
        <f t="shared" si="79"/>
        <v>46104</v>
      </c>
      <c r="C841" s="10">
        <f t="shared" si="79"/>
        <v>46113</v>
      </c>
      <c r="D841" s="11">
        <v>3273</v>
      </c>
      <c r="E841" s="11">
        <v>336</v>
      </c>
      <c r="F841" s="11">
        <v>4</v>
      </c>
      <c r="G841" s="11">
        <v>6</v>
      </c>
      <c r="H841" s="11">
        <v>81588</v>
      </c>
      <c r="I841" s="11" t="s">
        <v>17</v>
      </c>
      <c r="J841" s="11">
        <v>52390448</v>
      </c>
      <c r="K841" s="11" t="s">
        <v>3055</v>
      </c>
      <c r="L841" s="9" t="s">
        <v>3060</v>
      </c>
      <c r="M841" s="11">
        <v>149900</v>
      </c>
      <c r="N841" s="24">
        <f t="shared" si="81"/>
        <v>0.7</v>
      </c>
      <c r="O841" s="25">
        <f t="shared" si="80"/>
        <v>44970</v>
      </c>
      <c r="P841" s="11" t="s">
        <v>20</v>
      </c>
    </row>
    <row r="842" spans="1:16" s="28" customFormat="1" x14ac:dyDescent="0.25">
      <c r="A842" s="23" t="str">
        <f t="shared" si="79"/>
        <v>2025 JAN-JUN D70</v>
      </c>
      <c r="B842" s="10">
        <f t="shared" si="79"/>
        <v>46104</v>
      </c>
      <c r="C842" s="10">
        <f t="shared" si="79"/>
        <v>46113</v>
      </c>
      <c r="D842" s="11">
        <v>3273</v>
      </c>
      <c r="E842" s="11">
        <v>336</v>
      </c>
      <c r="F842" s="11">
        <v>4</v>
      </c>
      <c r="G842" s="11">
        <v>6</v>
      </c>
      <c r="H842" s="11">
        <v>81588</v>
      </c>
      <c r="I842" s="11" t="s">
        <v>17</v>
      </c>
      <c r="J842" s="11">
        <v>52390457</v>
      </c>
      <c r="K842" s="11" t="s">
        <v>3055</v>
      </c>
      <c r="L842" s="9" t="s">
        <v>3061</v>
      </c>
      <c r="M842" s="11">
        <v>149900</v>
      </c>
      <c r="N842" s="24">
        <f t="shared" si="81"/>
        <v>0.7</v>
      </c>
      <c r="O842" s="25">
        <f t="shared" si="80"/>
        <v>44970</v>
      </c>
      <c r="P842" s="11" t="s">
        <v>20</v>
      </c>
    </row>
    <row r="843" spans="1:16" s="28" customFormat="1" x14ac:dyDescent="0.25">
      <c r="A843" s="23" t="str">
        <f t="shared" si="79"/>
        <v>2025 JAN-JUN D70</v>
      </c>
      <c r="B843" s="10">
        <f t="shared" si="79"/>
        <v>46104</v>
      </c>
      <c r="C843" s="10">
        <f t="shared" si="79"/>
        <v>46113</v>
      </c>
      <c r="D843" s="11">
        <v>3273</v>
      </c>
      <c r="E843" s="11">
        <v>336</v>
      </c>
      <c r="F843" s="11">
        <v>4</v>
      </c>
      <c r="G843" s="11">
        <v>6</v>
      </c>
      <c r="H843" s="11">
        <v>81588</v>
      </c>
      <c r="I843" s="11" t="s">
        <v>17</v>
      </c>
      <c r="J843" s="11">
        <v>53263002</v>
      </c>
      <c r="K843" s="11" t="s">
        <v>3062</v>
      </c>
      <c r="L843" s="9" t="s">
        <v>3063</v>
      </c>
      <c r="M843" s="11">
        <v>149900</v>
      </c>
      <c r="N843" s="24">
        <f t="shared" si="81"/>
        <v>0.7</v>
      </c>
      <c r="O843" s="25">
        <f t="shared" si="80"/>
        <v>44970</v>
      </c>
      <c r="P843" s="11" t="s">
        <v>20</v>
      </c>
    </row>
    <row r="844" spans="1:16" s="28" customFormat="1" x14ac:dyDescent="0.25">
      <c r="A844" s="23" t="str">
        <f t="shared" si="79"/>
        <v>2025 JAN-JUN D70</v>
      </c>
      <c r="B844" s="10">
        <f t="shared" si="79"/>
        <v>46104</v>
      </c>
      <c r="C844" s="10">
        <f t="shared" si="79"/>
        <v>46113</v>
      </c>
      <c r="D844" s="11">
        <v>3273</v>
      </c>
      <c r="E844" s="11">
        <v>336</v>
      </c>
      <c r="F844" s="11">
        <v>4</v>
      </c>
      <c r="G844" s="11">
        <v>6</v>
      </c>
      <c r="H844" s="11">
        <v>81588</v>
      </c>
      <c r="I844" s="11" t="s">
        <v>17</v>
      </c>
      <c r="J844" s="11">
        <v>53263011</v>
      </c>
      <c r="K844" s="11" t="s">
        <v>3062</v>
      </c>
      <c r="L844" s="9" t="s">
        <v>3064</v>
      </c>
      <c r="M844" s="11">
        <v>149900</v>
      </c>
      <c r="N844" s="24">
        <f t="shared" si="81"/>
        <v>0.7</v>
      </c>
      <c r="O844" s="25">
        <f t="shared" si="80"/>
        <v>44970</v>
      </c>
      <c r="P844" s="11" t="s">
        <v>20</v>
      </c>
    </row>
    <row r="845" spans="1:16" s="28" customFormat="1" x14ac:dyDescent="0.25">
      <c r="A845" s="23" t="str">
        <f t="shared" si="79"/>
        <v>2025 JAN-JUN D70</v>
      </c>
      <c r="B845" s="10">
        <f t="shared" si="79"/>
        <v>46104</v>
      </c>
      <c r="C845" s="10">
        <f t="shared" si="79"/>
        <v>46113</v>
      </c>
      <c r="D845" s="11">
        <v>3273</v>
      </c>
      <c r="E845" s="11">
        <v>336</v>
      </c>
      <c r="F845" s="11">
        <v>4</v>
      </c>
      <c r="G845" s="11">
        <v>6</v>
      </c>
      <c r="H845" s="11">
        <v>81588</v>
      </c>
      <c r="I845" s="11" t="s">
        <v>17</v>
      </c>
      <c r="J845" s="11">
        <v>53263020</v>
      </c>
      <c r="K845" s="11" t="s">
        <v>3062</v>
      </c>
      <c r="L845" s="9" t="s">
        <v>3065</v>
      </c>
      <c r="M845" s="11">
        <v>149900</v>
      </c>
      <c r="N845" s="24">
        <f t="shared" si="81"/>
        <v>0.7</v>
      </c>
      <c r="O845" s="25">
        <f t="shared" si="80"/>
        <v>44970</v>
      </c>
      <c r="P845" s="11" t="s">
        <v>20</v>
      </c>
    </row>
    <row r="846" spans="1:16" s="28" customFormat="1" x14ac:dyDescent="0.25">
      <c r="A846" s="23" t="str">
        <f t="shared" si="79"/>
        <v>2025 JAN-JUN D70</v>
      </c>
      <c r="B846" s="10">
        <f t="shared" si="79"/>
        <v>46104</v>
      </c>
      <c r="C846" s="10">
        <f t="shared" si="79"/>
        <v>46113</v>
      </c>
      <c r="D846" s="11">
        <v>3273</v>
      </c>
      <c r="E846" s="11">
        <v>336</v>
      </c>
      <c r="F846" s="11">
        <v>4</v>
      </c>
      <c r="G846" s="11">
        <v>6</v>
      </c>
      <c r="H846" s="11">
        <v>81588</v>
      </c>
      <c r="I846" s="11" t="s">
        <v>17</v>
      </c>
      <c r="J846" s="11">
        <v>53263039</v>
      </c>
      <c r="K846" s="11" t="s">
        <v>3062</v>
      </c>
      <c r="L846" s="9" t="s">
        <v>3066</v>
      </c>
      <c r="M846" s="11">
        <v>149900</v>
      </c>
      <c r="N846" s="24">
        <f t="shared" si="81"/>
        <v>0.7</v>
      </c>
      <c r="O846" s="25">
        <f t="shared" si="80"/>
        <v>44970</v>
      </c>
      <c r="P846" s="11" t="s">
        <v>20</v>
      </c>
    </row>
    <row r="847" spans="1:16" s="28" customFormat="1" x14ac:dyDescent="0.25">
      <c r="A847" s="23" t="str">
        <f t="shared" si="79"/>
        <v>2025 JAN-JUN D70</v>
      </c>
      <c r="B847" s="10">
        <f t="shared" si="79"/>
        <v>46104</v>
      </c>
      <c r="C847" s="10">
        <f t="shared" si="79"/>
        <v>46113</v>
      </c>
      <c r="D847" s="11">
        <v>3273</v>
      </c>
      <c r="E847" s="11">
        <v>336</v>
      </c>
      <c r="F847" s="11">
        <v>4</v>
      </c>
      <c r="G847" s="11">
        <v>6</v>
      </c>
      <c r="H847" s="11">
        <v>81588</v>
      </c>
      <c r="I847" s="11" t="s">
        <v>17</v>
      </c>
      <c r="J847" s="11">
        <v>53263048</v>
      </c>
      <c r="K847" s="11" t="s">
        <v>3062</v>
      </c>
      <c r="L847" s="9" t="s">
        <v>3067</v>
      </c>
      <c r="M847" s="11">
        <v>149900</v>
      </c>
      <c r="N847" s="24">
        <f t="shared" si="81"/>
        <v>0.7</v>
      </c>
      <c r="O847" s="25">
        <f t="shared" si="80"/>
        <v>44970</v>
      </c>
      <c r="P847" s="11" t="s">
        <v>20</v>
      </c>
    </row>
    <row r="848" spans="1:16" s="28" customFormat="1" x14ac:dyDescent="0.25">
      <c r="A848" s="23" t="str">
        <f t="shared" si="79"/>
        <v>2025 JAN-JUN D70</v>
      </c>
      <c r="B848" s="10">
        <f t="shared" si="79"/>
        <v>46104</v>
      </c>
      <c r="C848" s="10">
        <f t="shared" si="79"/>
        <v>46113</v>
      </c>
      <c r="D848" s="11">
        <v>3273</v>
      </c>
      <c r="E848" s="11">
        <v>336</v>
      </c>
      <c r="F848" s="11">
        <v>4</v>
      </c>
      <c r="G848" s="11">
        <v>6</v>
      </c>
      <c r="H848" s="11">
        <v>81588</v>
      </c>
      <c r="I848" s="11" t="s">
        <v>17</v>
      </c>
      <c r="J848" s="11">
        <v>53263057</v>
      </c>
      <c r="K848" s="11" t="s">
        <v>3062</v>
      </c>
      <c r="L848" s="9" t="s">
        <v>3068</v>
      </c>
      <c r="M848" s="11">
        <v>149900</v>
      </c>
      <c r="N848" s="24">
        <f t="shared" si="81"/>
        <v>0.7</v>
      </c>
      <c r="O848" s="25">
        <f t="shared" si="80"/>
        <v>44970</v>
      </c>
      <c r="P848" s="11" t="s">
        <v>20</v>
      </c>
    </row>
    <row r="849" spans="1:16" s="28" customFormat="1" x14ac:dyDescent="0.25">
      <c r="A849" s="23" t="str">
        <f t="shared" si="79"/>
        <v>2025 JAN-JUN D70</v>
      </c>
      <c r="B849" s="10">
        <f t="shared" si="79"/>
        <v>46104</v>
      </c>
      <c r="C849" s="10">
        <f t="shared" si="79"/>
        <v>46113</v>
      </c>
      <c r="D849" s="11">
        <v>3273</v>
      </c>
      <c r="E849" s="11">
        <v>336</v>
      </c>
      <c r="F849" s="11">
        <v>4</v>
      </c>
      <c r="G849" s="11">
        <v>9</v>
      </c>
      <c r="H849" s="11">
        <v>81588</v>
      </c>
      <c r="I849" s="11" t="s">
        <v>17</v>
      </c>
      <c r="J849" s="11">
        <v>53263280</v>
      </c>
      <c r="K849" s="11" t="s">
        <v>3069</v>
      </c>
      <c r="L849" s="9" t="s">
        <v>3070</v>
      </c>
      <c r="M849" s="11">
        <v>169900</v>
      </c>
      <c r="N849" s="24">
        <f t="shared" si="81"/>
        <v>0.7</v>
      </c>
      <c r="O849" s="25">
        <f t="shared" si="80"/>
        <v>50970</v>
      </c>
      <c r="P849" s="11" t="s">
        <v>20</v>
      </c>
    </row>
    <row r="850" spans="1:16" s="28" customFormat="1" x14ac:dyDescent="0.25">
      <c r="A850" s="23" t="str">
        <f t="shared" si="79"/>
        <v>2025 JAN-JUN D70</v>
      </c>
      <c r="B850" s="10">
        <f t="shared" si="79"/>
        <v>46104</v>
      </c>
      <c r="C850" s="10">
        <f t="shared" si="79"/>
        <v>46113</v>
      </c>
      <c r="D850" s="11">
        <v>3273</v>
      </c>
      <c r="E850" s="11">
        <v>336</v>
      </c>
      <c r="F850" s="11">
        <v>4</v>
      </c>
      <c r="G850" s="11">
        <v>9</v>
      </c>
      <c r="H850" s="11">
        <v>81588</v>
      </c>
      <c r="I850" s="11" t="s">
        <v>17</v>
      </c>
      <c r="J850" s="11">
        <v>53263299</v>
      </c>
      <c r="K850" s="11" t="s">
        <v>3069</v>
      </c>
      <c r="L850" s="9" t="s">
        <v>3071</v>
      </c>
      <c r="M850" s="11">
        <v>169900</v>
      </c>
      <c r="N850" s="24">
        <f t="shared" si="81"/>
        <v>0.7</v>
      </c>
      <c r="O850" s="25">
        <f t="shared" si="80"/>
        <v>50970</v>
      </c>
      <c r="P850" s="11" t="s">
        <v>20</v>
      </c>
    </row>
    <row r="851" spans="1:16" s="28" customFormat="1" x14ac:dyDescent="0.25">
      <c r="A851" s="23" t="str">
        <f t="shared" ref="A851:C866" si="82">A850</f>
        <v>2025 JAN-JUN D70</v>
      </c>
      <c r="B851" s="10">
        <f t="shared" si="82"/>
        <v>46104</v>
      </c>
      <c r="C851" s="10">
        <f t="shared" si="82"/>
        <v>46113</v>
      </c>
      <c r="D851" s="11">
        <v>3273</v>
      </c>
      <c r="E851" s="11">
        <v>336</v>
      </c>
      <c r="F851" s="11">
        <v>4</v>
      </c>
      <c r="G851" s="11">
        <v>9</v>
      </c>
      <c r="H851" s="11">
        <v>81588</v>
      </c>
      <c r="I851" s="11" t="s">
        <v>17</v>
      </c>
      <c r="J851" s="11">
        <v>53263306</v>
      </c>
      <c r="K851" s="11" t="s">
        <v>3069</v>
      </c>
      <c r="L851" s="9" t="s">
        <v>3072</v>
      </c>
      <c r="M851" s="11">
        <v>169900</v>
      </c>
      <c r="N851" s="24">
        <f t="shared" si="81"/>
        <v>0.7</v>
      </c>
      <c r="O851" s="25">
        <f t="shared" si="80"/>
        <v>50970</v>
      </c>
      <c r="P851" s="11" t="s">
        <v>20</v>
      </c>
    </row>
    <row r="852" spans="1:16" s="28" customFormat="1" x14ac:dyDescent="0.25">
      <c r="A852" s="23" t="str">
        <f t="shared" si="82"/>
        <v>2025 JAN-JUN D70</v>
      </c>
      <c r="B852" s="10">
        <f t="shared" si="82"/>
        <v>46104</v>
      </c>
      <c r="C852" s="10">
        <f t="shared" si="82"/>
        <v>46113</v>
      </c>
      <c r="D852" s="11">
        <v>3273</v>
      </c>
      <c r="E852" s="11">
        <v>336</v>
      </c>
      <c r="F852" s="11">
        <v>4</v>
      </c>
      <c r="G852" s="11">
        <v>9</v>
      </c>
      <c r="H852" s="11">
        <v>81588</v>
      </c>
      <c r="I852" s="11" t="s">
        <v>17</v>
      </c>
      <c r="J852" s="11">
        <v>53263315</v>
      </c>
      <c r="K852" s="11" t="s">
        <v>3069</v>
      </c>
      <c r="L852" s="9" t="s">
        <v>3073</v>
      </c>
      <c r="M852" s="11">
        <v>169900</v>
      </c>
      <c r="N852" s="24">
        <f t="shared" si="81"/>
        <v>0.7</v>
      </c>
      <c r="O852" s="25">
        <f t="shared" si="80"/>
        <v>50970</v>
      </c>
      <c r="P852" s="11" t="s">
        <v>20</v>
      </c>
    </row>
    <row r="853" spans="1:16" s="28" customFormat="1" x14ac:dyDescent="0.25">
      <c r="A853" s="23" t="str">
        <f t="shared" si="82"/>
        <v>2025 JAN-JUN D70</v>
      </c>
      <c r="B853" s="10">
        <f t="shared" si="82"/>
        <v>46104</v>
      </c>
      <c r="C853" s="10">
        <f t="shared" si="82"/>
        <v>46113</v>
      </c>
      <c r="D853" s="11">
        <v>3273</v>
      </c>
      <c r="E853" s="11">
        <v>336</v>
      </c>
      <c r="F853" s="11">
        <v>4</v>
      </c>
      <c r="G853" s="11">
        <v>9</v>
      </c>
      <c r="H853" s="11">
        <v>81588</v>
      </c>
      <c r="I853" s="11" t="s">
        <v>17</v>
      </c>
      <c r="J853" s="11">
        <v>53263324</v>
      </c>
      <c r="K853" s="11" t="s">
        <v>3069</v>
      </c>
      <c r="L853" s="9" t="s">
        <v>3074</v>
      </c>
      <c r="M853" s="11">
        <v>169900</v>
      </c>
      <c r="N853" s="24">
        <f t="shared" si="81"/>
        <v>0.7</v>
      </c>
      <c r="O853" s="25">
        <f t="shared" si="80"/>
        <v>50970</v>
      </c>
      <c r="P853" s="11" t="s">
        <v>20</v>
      </c>
    </row>
    <row r="854" spans="1:16" s="28" customFormat="1" x14ac:dyDescent="0.25">
      <c r="A854" s="23" t="str">
        <f t="shared" si="82"/>
        <v>2025 JAN-JUN D70</v>
      </c>
      <c r="B854" s="10">
        <f t="shared" si="82"/>
        <v>46104</v>
      </c>
      <c r="C854" s="10">
        <f t="shared" si="82"/>
        <v>46113</v>
      </c>
      <c r="D854" s="11">
        <v>3273</v>
      </c>
      <c r="E854" s="11">
        <v>336</v>
      </c>
      <c r="F854" s="11">
        <v>4</v>
      </c>
      <c r="G854" s="11">
        <v>9</v>
      </c>
      <c r="H854" s="11">
        <v>81588</v>
      </c>
      <c r="I854" s="11" t="s">
        <v>17</v>
      </c>
      <c r="J854" s="11">
        <v>53263333</v>
      </c>
      <c r="K854" s="11" t="s">
        <v>3069</v>
      </c>
      <c r="L854" s="9" t="s">
        <v>3075</v>
      </c>
      <c r="M854" s="11">
        <v>169900</v>
      </c>
      <c r="N854" s="24">
        <f t="shared" si="81"/>
        <v>0.7</v>
      </c>
      <c r="O854" s="25">
        <f t="shared" si="80"/>
        <v>50970</v>
      </c>
      <c r="P854" s="11" t="s">
        <v>20</v>
      </c>
    </row>
    <row r="855" spans="1:16" s="28" customFormat="1" x14ac:dyDescent="0.25">
      <c r="A855" s="23" t="str">
        <f t="shared" si="82"/>
        <v>2025 JAN-JUN D70</v>
      </c>
      <c r="B855" s="10">
        <f t="shared" si="82"/>
        <v>46104</v>
      </c>
      <c r="C855" s="10">
        <f t="shared" si="82"/>
        <v>46113</v>
      </c>
      <c r="D855" s="11">
        <v>3273</v>
      </c>
      <c r="E855" s="11">
        <v>336</v>
      </c>
      <c r="F855" s="11">
        <v>4</v>
      </c>
      <c r="G855" s="11">
        <v>9</v>
      </c>
      <c r="H855" s="11">
        <v>81588</v>
      </c>
      <c r="I855" s="11" t="s">
        <v>17</v>
      </c>
      <c r="J855" s="11">
        <v>53263342</v>
      </c>
      <c r="K855" s="11" t="s">
        <v>3069</v>
      </c>
      <c r="L855" s="9" t="s">
        <v>3076</v>
      </c>
      <c r="M855" s="11">
        <v>169900</v>
      </c>
      <c r="N855" s="24">
        <f t="shared" si="81"/>
        <v>0.7</v>
      </c>
      <c r="O855" s="25">
        <f t="shared" si="80"/>
        <v>50970</v>
      </c>
      <c r="P855" s="11" t="s">
        <v>20</v>
      </c>
    </row>
    <row r="856" spans="1:16" s="28" customFormat="1" x14ac:dyDescent="0.25">
      <c r="A856" s="23" t="str">
        <f t="shared" si="82"/>
        <v>2025 JAN-JUN D70</v>
      </c>
      <c r="B856" s="10">
        <f t="shared" si="82"/>
        <v>46104</v>
      </c>
      <c r="C856" s="10">
        <f t="shared" si="82"/>
        <v>46113</v>
      </c>
      <c r="D856" s="11">
        <v>3273</v>
      </c>
      <c r="E856" s="11">
        <v>336</v>
      </c>
      <c r="F856" s="11">
        <v>4</v>
      </c>
      <c r="G856" s="11">
        <v>9</v>
      </c>
      <c r="H856" s="11">
        <v>81588</v>
      </c>
      <c r="I856" s="11" t="s">
        <v>17</v>
      </c>
      <c r="J856" s="11">
        <v>53263351</v>
      </c>
      <c r="K856" s="11" t="s">
        <v>3069</v>
      </c>
      <c r="L856" s="9" t="s">
        <v>3077</v>
      </c>
      <c r="M856" s="11">
        <v>169900</v>
      </c>
      <c r="N856" s="24">
        <f t="shared" si="81"/>
        <v>0.7</v>
      </c>
      <c r="O856" s="25">
        <f t="shared" si="80"/>
        <v>50970</v>
      </c>
      <c r="P856" s="11" t="s">
        <v>20</v>
      </c>
    </row>
    <row r="857" spans="1:16" x14ac:dyDescent="0.25">
      <c r="A857" s="23" t="str">
        <f t="shared" si="82"/>
        <v>2025 JAN-JUN D70</v>
      </c>
      <c r="B857" s="10">
        <f>'[1]2019 ALL D95'!B857</f>
        <v>46104</v>
      </c>
      <c r="C857" s="10">
        <f>'[1]2019 ALL D95'!C857</f>
        <v>46113</v>
      </c>
      <c r="D857" s="11">
        <v>3273</v>
      </c>
      <c r="E857" s="11">
        <v>336</v>
      </c>
      <c r="F857" s="11">
        <v>4</v>
      </c>
      <c r="G857" s="11">
        <v>1</v>
      </c>
      <c r="H857" s="11">
        <v>81676</v>
      </c>
      <c r="I857" s="11" t="s">
        <v>17</v>
      </c>
      <c r="J857" s="11">
        <v>53560137</v>
      </c>
      <c r="K857" s="11" t="s">
        <v>3078</v>
      </c>
      <c r="L857" s="9" t="s">
        <v>3079</v>
      </c>
      <c r="M857" s="11">
        <v>139900</v>
      </c>
      <c r="N857" s="24">
        <f t="shared" si="81"/>
        <v>0.7</v>
      </c>
      <c r="O857" s="25">
        <f t="shared" si="80"/>
        <v>41970</v>
      </c>
      <c r="P857" s="11" t="s">
        <v>20</v>
      </c>
    </row>
    <row r="858" spans="1:16" x14ac:dyDescent="0.25">
      <c r="A858" s="23" t="str">
        <f t="shared" si="82"/>
        <v>2025 JAN-JUN D70</v>
      </c>
      <c r="B858" s="10">
        <f t="shared" si="82"/>
        <v>46104</v>
      </c>
      <c r="C858" s="10">
        <f t="shared" si="82"/>
        <v>46113</v>
      </c>
      <c r="D858" s="11">
        <v>3273</v>
      </c>
      <c r="E858" s="11">
        <v>336</v>
      </c>
      <c r="F858" s="11">
        <v>4</v>
      </c>
      <c r="G858" s="11">
        <v>1</v>
      </c>
      <c r="H858" s="11">
        <v>81676</v>
      </c>
      <c r="I858" s="11" t="s">
        <v>17</v>
      </c>
      <c r="J858" s="11">
        <v>53560146</v>
      </c>
      <c r="K858" s="11" t="s">
        <v>3078</v>
      </c>
      <c r="L858" s="9" t="s">
        <v>3080</v>
      </c>
      <c r="M858" s="11">
        <v>139900</v>
      </c>
      <c r="N858" s="24">
        <f t="shared" si="81"/>
        <v>0.7</v>
      </c>
      <c r="O858" s="25">
        <f t="shared" si="80"/>
        <v>41970</v>
      </c>
      <c r="P858" s="11" t="s">
        <v>20</v>
      </c>
    </row>
    <row r="859" spans="1:16" x14ac:dyDescent="0.25">
      <c r="A859" s="23" t="str">
        <f t="shared" si="82"/>
        <v>2025 JAN-JUN D70</v>
      </c>
      <c r="B859" s="10">
        <f t="shared" si="82"/>
        <v>46104</v>
      </c>
      <c r="C859" s="10">
        <f t="shared" si="82"/>
        <v>46113</v>
      </c>
      <c r="D859" s="11">
        <v>3273</v>
      </c>
      <c r="E859" s="11">
        <v>336</v>
      </c>
      <c r="F859" s="11">
        <v>4</v>
      </c>
      <c r="G859" s="11">
        <v>1</v>
      </c>
      <c r="H859" s="11">
        <v>81676</v>
      </c>
      <c r="I859" s="11" t="s">
        <v>17</v>
      </c>
      <c r="J859" s="11">
        <v>53560155</v>
      </c>
      <c r="K859" s="11" t="s">
        <v>3078</v>
      </c>
      <c r="L859" s="9" t="s">
        <v>3081</v>
      </c>
      <c r="M859" s="11">
        <v>139900</v>
      </c>
      <c r="N859" s="24">
        <f t="shared" si="81"/>
        <v>0.7</v>
      </c>
      <c r="O859" s="25">
        <f t="shared" si="80"/>
        <v>41970</v>
      </c>
      <c r="P859" s="11" t="s">
        <v>20</v>
      </c>
    </row>
    <row r="860" spans="1:16" x14ac:dyDescent="0.25">
      <c r="A860" s="23" t="str">
        <f t="shared" si="82"/>
        <v>2025 JAN-JUN D70</v>
      </c>
      <c r="B860" s="10">
        <f t="shared" si="82"/>
        <v>46104</v>
      </c>
      <c r="C860" s="10">
        <f t="shared" si="82"/>
        <v>46113</v>
      </c>
      <c r="D860" s="11">
        <v>3273</v>
      </c>
      <c r="E860" s="11">
        <v>336</v>
      </c>
      <c r="F860" s="11">
        <v>4</v>
      </c>
      <c r="G860" s="11">
        <v>1</v>
      </c>
      <c r="H860" s="11">
        <v>81676</v>
      </c>
      <c r="I860" s="11" t="s">
        <v>17</v>
      </c>
      <c r="J860" s="11">
        <v>53560164</v>
      </c>
      <c r="K860" s="11" t="s">
        <v>3078</v>
      </c>
      <c r="L860" s="9" t="s">
        <v>3082</v>
      </c>
      <c r="M860" s="11">
        <v>139900</v>
      </c>
      <c r="N860" s="24">
        <f t="shared" si="81"/>
        <v>0.7</v>
      </c>
      <c r="O860" s="25">
        <f t="shared" si="80"/>
        <v>41970</v>
      </c>
      <c r="P860" s="11" t="s">
        <v>20</v>
      </c>
    </row>
    <row r="861" spans="1:16" x14ac:dyDescent="0.25">
      <c r="A861" s="23" t="str">
        <f t="shared" si="82"/>
        <v>2025 JAN-JUN D70</v>
      </c>
      <c r="B861" s="10">
        <f t="shared" si="82"/>
        <v>46104</v>
      </c>
      <c r="C861" s="10">
        <f t="shared" si="82"/>
        <v>46113</v>
      </c>
      <c r="D861" s="11">
        <v>3273</v>
      </c>
      <c r="E861" s="11">
        <v>336</v>
      </c>
      <c r="F861" s="11">
        <v>4</v>
      </c>
      <c r="G861" s="11">
        <v>1</v>
      </c>
      <c r="H861" s="11">
        <v>81676</v>
      </c>
      <c r="I861" s="11" t="s">
        <v>17</v>
      </c>
      <c r="J861" s="11">
        <v>53560173</v>
      </c>
      <c r="K861" s="11" t="s">
        <v>3078</v>
      </c>
      <c r="L861" s="9" t="s">
        <v>3083</v>
      </c>
      <c r="M861" s="11">
        <v>139900</v>
      </c>
      <c r="N861" s="24">
        <f t="shared" si="81"/>
        <v>0.7</v>
      </c>
      <c r="O861" s="25">
        <f t="shared" si="80"/>
        <v>41970</v>
      </c>
      <c r="P861" s="11" t="s">
        <v>20</v>
      </c>
    </row>
    <row r="862" spans="1:16" x14ac:dyDescent="0.25">
      <c r="A862" s="23" t="str">
        <f t="shared" si="82"/>
        <v>2025 JAN-JUN D70</v>
      </c>
      <c r="B862" s="10">
        <f t="shared" si="82"/>
        <v>46104</v>
      </c>
      <c r="C862" s="10">
        <f t="shared" si="82"/>
        <v>46113</v>
      </c>
      <c r="D862" s="11">
        <v>3273</v>
      </c>
      <c r="E862" s="11">
        <v>336</v>
      </c>
      <c r="F862" s="11">
        <v>4</v>
      </c>
      <c r="G862" s="11">
        <v>1</v>
      </c>
      <c r="H862" s="11">
        <v>81676</v>
      </c>
      <c r="I862" s="11" t="s">
        <v>17</v>
      </c>
      <c r="J862" s="11">
        <v>53560182</v>
      </c>
      <c r="K862" s="11" t="s">
        <v>3078</v>
      </c>
      <c r="L862" s="9" t="s">
        <v>3084</v>
      </c>
      <c r="M862" s="11">
        <v>139900</v>
      </c>
      <c r="N862" s="24">
        <f t="shared" si="81"/>
        <v>0.7</v>
      </c>
      <c r="O862" s="25">
        <f t="shared" si="80"/>
        <v>41970</v>
      </c>
      <c r="P862" s="11" t="s">
        <v>20</v>
      </c>
    </row>
    <row r="863" spans="1:16" x14ac:dyDescent="0.25">
      <c r="A863" s="23" t="str">
        <f t="shared" si="82"/>
        <v>2025 JAN-JUN D70</v>
      </c>
      <c r="B863" s="10">
        <f t="shared" si="82"/>
        <v>46104</v>
      </c>
      <c r="C863" s="10">
        <f t="shared" si="82"/>
        <v>46113</v>
      </c>
      <c r="D863" s="11">
        <v>3273</v>
      </c>
      <c r="E863" s="11">
        <v>336</v>
      </c>
      <c r="F863" s="11">
        <v>4</v>
      </c>
      <c r="G863" s="11">
        <v>1</v>
      </c>
      <c r="H863" s="11">
        <v>81676</v>
      </c>
      <c r="I863" s="11" t="s">
        <v>17</v>
      </c>
      <c r="J863" s="11">
        <v>53560191</v>
      </c>
      <c r="K863" s="11" t="s">
        <v>3085</v>
      </c>
      <c r="L863" s="9" t="s">
        <v>3086</v>
      </c>
      <c r="M863" s="11">
        <v>149900</v>
      </c>
      <c r="N863" s="24">
        <f t="shared" si="81"/>
        <v>0.7</v>
      </c>
      <c r="O863" s="25">
        <f t="shared" si="80"/>
        <v>44970</v>
      </c>
      <c r="P863" s="11" t="s">
        <v>20</v>
      </c>
    </row>
    <row r="864" spans="1:16" x14ac:dyDescent="0.25">
      <c r="A864" s="23" t="str">
        <f t="shared" si="82"/>
        <v>2025 JAN-JUN D70</v>
      </c>
      <c r="B864" s="10">
        <f t="shared" si="82"/>
        <v>46104</v>
      </c>
      <c r="C864" s="10">
        <f t="shared" si="82"/>
        <v>46113</v>
      </c>
      <c r="D864" s="11">
        <v>3273</v>
      </c>
      <c r="E864" s="11">
        <v>336</v>
      </c>
      <c r="F864" s="11">
        <v>4</v>
      </c>
      <c r="G864" s="11">
        <v>1</v>
      </c>
      <c r="H864" s="11">
        <v>81676</v>
      </c>
      <c r="I864" s="11" t="s">
        <v>17</v>
      </c>
      <c r="J864" s="11">
        <v>53560208</v>
      </c>
      <c r="K864" s="11" t="s">
        <v>3085</v>
      </c>
      <c r="L864" s="9" t="s">
        <v>3087</v>
      </c>
      <c r="M864" s="11">
        <v>149900</v>
      </c>
      <c r="N864" s="24">
        <f t="shared" si="81"/>
        <v>0.7</v>
      </c>
      <c r="O864" s="25">
        <f t="shared" si="80"/>
        <v>44970</v>
      </c>
      <c r="P864" s="11" t="s">
        <v>20</v>
      </c>
    </row>
    <row r="865" spans="1:16" x14ac:dyDescent="0.25">
      <c r="A865" s="23" t="str">
        <f t="shared" si="82"/>
        <v>2025 JAN-JUN D70</v>
      </c>
      <c r="B865" s="10">
        <f t="shared" si="82"/>
        <v>46104</v>
      </c>
      <c r="C865" s="10">
        <f t="shared" si="82"/>
        <v>46113</v>
      </c>
      <c r="D865" s="11">
        <v>3273</v>
      </c>
      <c r="E865" s="11">
        <v>336</v>
      </c>
      <c r="F865" s="11">
        <v>4</v>
      </c>
      <c r="G865" s="11">
        <v>1</v>
      </c>
      <c r="H865" s="11">
        <v>81676</v>
      </c>
      <c r="I865" s="11" t="s">
        <v>17</v>
      </c>
      <c r="J865" s="11">
        <v>53560217</v>
      </c>
      <c r="K865" s="11" t="s">
        <v>3085</v>
      </c>
      <c r="L865" s="9" t="s">
        <v>3088</v>
      </c>
      <c r="M865" s="11">
        <v>149900</v>
      </c>
      <c r="N865" s="24">
        <f t="shared" si="81"/>
        <v>0.7</v>
      </c>
      <c r="O865" s="25">
        <f t="shared" si="80"/>
        <v>44970</v>
      </c>
      <c r="P865" s="11" t="s">
        <v>20</v>
      </c>
    </row>
    <row r="866" spans="1:16" x14ac:dyDescent="0.25">
      <c r="A866" s="23" t="str">
        <f t="shared" si="82"/>
        <v>2025 JAN-JUN D70</v>
      </c>
      <c r="B866" s="10">
        <f t="shared" si="82"/>
        <v>46104</v>
      </c>
      <c r="C866" s="10">
        <f t="shared" si="82"/>
        <v>46113</v>
      </c>
      <c r="D866" s="11">
        <v>3273</v>
      </c>
      <c r="E866" s="11">
        <v>336</v>
      </c>
      <c r="F866" s="11">
        <v>4</v>
      </c>
      <c r="G866" s="11">
        <v>1</v>
      </c>
      <c r="H866" s="11">
        <v>81676</v>
      </c>
      <c r="I866" s="11" t="s">
        <v>17</v>
      </c>
      <c r="J866" s="11">
        <v>53560226</v>
      </c>
      <c r="K866" s="11" t="s">
        <v>3085</v>
      </c>
      <c r="L866" s="9" t="s">
        <v>3089</v>
      </c>
      <c r="M866" s="11">
        <v>149900</v>
      </c>
      <c r="N866" s="24">
        <f t="shared" si="81"/>
        <v>0.7</v>
      </c>
      <c r="O866" s="25">
        <f t="shared" si="80"/>
        <v>44970</v>
      </c>
      <c r="P866" s="11" t="s">
        <v>20</v>
      </c>
    </row>
    <row r="867" spans="1:16" x14ac:dyDescent="0.25">
      <c r="A867" s="23" t="str">
        <f t="shared" ref="A867:C882" si="83">A866</f>
        <v>2025 JAN-JUN D70</v>
      </c>
      <c r="B867" s="10">
        <f t="shared" si="83"/>
        <v>46104</v>
      </c>
      <c r="C867" s="10">
        <f t="shared" si="83"/>
        <v>46113</v>
      </c>
      <c r="D867" s="11">
        <v>3273</v>
      </c>
      <c r="E867" s="11">
        <v>336</v>
      </c>
      <c r="F867" s="11">
        <v>4</v>
      </c>
      <c r="G867" s="11">
        <v>1</v>
      </c>
      <c r="H867" s="11">
        <v>81676</v>
      </c>
      <c r="I867" s="11" t="s">
        <v>17</v>
      </c>
      <c r="J867" s="11">
        <v>53560235</v>
      </c>
      <c r="K867" s="11" t="s">
        <v>3085</v>
      </c>
      <c r="L867" s="9" t="s">
        <v>3090</v>
      </c>
      <c r="M867" s="11">
        <v>149900</v>
      </c>
      <c r="N867" s="24">
        <f t="shared" si="81"/>
        <v>0.7</v>
      </c>
      <c r="O867" s="25">
        <f t="shared" si="80"/>
        <v>44970</v>
      </c>
      <c r="P867" s="11" t="s">
        <v>20</v>
      </c>
    </row>
    <row r="868" spans="1:16" x14ac:dyDescent="0.25">
      <c r="A868" s="23" t="str">
        <f t="shared" si="83"/>
        <v>2025 JAN-JUN D70</v>
      </c>
      <c r="B868" s="10">
        <f t="shared" si="83"/>
        <v>46104</v>
      </c>
      <c r="C868" s="10">
        <f t="shared" si="83"/>
        <v>46113</v>
      </c>
      <c r="D868" s="11">
        <v>3273</v>
      </c>
      <c r="E868" s="11">
        <v>336</v>
      </c>
      <c r="F868" s="11">
        <v>4</v>
      </c>
      <c r="G868" s="11">
        <v>1</v>
      </c>
      <c r="H868" s="11">
        <v>81676</v>
      </c>
      <c r="I868" s="11" t="s">
        <v>17</v>
      </c>
      <c r="J868" s="11">
        <v>53560244</v>
      </c>
      <c r="K868" s="11" t="s">
        <v>3085</v>
      </c>
      <c r="L868" s="9" t="s">
        <v>3091</v>
      </c>
      <c r="M868" s="11">
        <v>149900</v>
      </c>
      <c r="N868" s="24">
        <f t="shared" si="81"/>
        <v>0.7</v>
      </c>
      <c r="O868" s="25">
        <f t="shared" si="80"/>
        <v>44970</v>
      </c>
      <c r="P868" s="11" t="s">
        <v>20</v>
      </c>
    </row>
    <row r="869" spans="1:16" x14ac:dyDescent="0.25">
      <c r="A869" s="23" t="str">
        <f t="shared" si="83"/>
        <v>2025 JAN-JUN D70</v>
      </c>
      <c r="B869" s="10">
        <f t="shared" si="83"/>
        <v>46104</v>
      </c>
      <c r="C869" s="10">
        <f t="shared" si="83"/>
        <v>46113</v>
      </c>
      <c r="D869" s="11">
        <v>3273</v>
      </c>
      <c r="E869" s="11">
        <v>336</v>
      </c>
      <c r="F869" s="11">
        <v>4</v>
      </c>
      <c r="G869" s="11">
        <v>1</v>
      </c>
      <c r="H869" s="11">
        <v>81676</v>
      </c>
      <c r="I869" s="11" t="s">
        <v>17</v>
      </c>
      <c r="J869" s="11">
        <v>53560315</v>
      </c>
      <c r="K869" s="11" t="s">
        <v>3092</v>
      </c>
      <c r="L869" s="9" t="s">
        <v>3093</v>
      </c>
      <c r="M869" s="11">
        <v>149900</v>
      </c>
      <c r="N869" s="24">
        <f t="shared" si="81"/>
        <v>0.7</v>
      </c>
      <c r="O869" s="25">
        <f t="shared" si="80"/>
        <v>44970</v>
      </c>
      <c r="P869" s="11" t="s">
        <v>20</v>
      </c>
    </row>
    <row r="870" spans="1:16" x14ac:dyDescent="0.25">
      <c r="A870" s="23" t="str">
        <f t="shared" si="83"/>
        <v>2025 JAN-JUN D70</v>
      </c>
      <c r="B870" s="10">
        <f t="shared" si="83"/>
        <v>46104</v>
      </c>
      <c r="C870" s="10">
        <f t="shared" si="83"/>
        <v>46113</v>
      </c>
      <c r="D870" s="11">
        <v>3273</v>
      </c>
      <c r="E870" s="11">
        <v>336</v>
      </c>
      <c r="F870" s="11">
        <v>4</v>
      </c>
      <c r="G870" s="11">
        <v>1</v>
      </c>
      <c r="H870" s="11">
        <v>81676</v>
      </c>
      <c r="I870" s="11" t="s">
        <v>17</v>
      </c>
      <c r="J870" s="11">
        <v>53560324</v>
      </c>
      <c r="K870" s="11" t="s">
        <v>3092</v>
      </c>
      <c r="L870" s="9" t="s">
        <v>3094</v>
      </c>
      <c r="M870" s="11">
        <v>149900</v>
      </c>
      <c r="N870" s="24">
        <f t="shared" si="81"/>
        <v>0.7</v>
      </c>
      <c r="O870" s="25">
        <f t="shared" si="80"/>
        <v>44970</v>
      </c>
      <c r="P870" s="11" t="s">
        <v>20</v>
      </c>
    </row>
    <row r="871" spans="1:16" x14ac:dyDescent="0.25">
      <c r="A871" s="23" t="str">
        <f t="shared" si="83"/>
        <v>2025 JAN-JUN D70</v>
      </c>
      <c r="B871" s="10">
        <f t="shared" si="83"/>
        <v>46104</v>
      </c>
      <c r="C871" s="10">
        <f t="shared" si="83"/>
        <v>46113</v>
      </c>
      <c r="D871" s="11">
        <v>3273</v>
      </c>
      <c r="E871" s="11">
        <v>336</v>
      </c>
      <c r="F871" s="11">
        <v>4</v>
      </c>
      <c r="G871" s="11">
        <v>1</v>
      </c>
      <c r="H871" s="11">
        <v>81676</v>
      </c>
      <c r="I871" s="11" t="s">
        <v>17</v>
      </c>
      <c r="J871" s="11">
        <v>53560333</v>
      </c>
      <c r="K871" s="11" t="s">
        <v>3092</v>
      </c>
      <c r="L871" s="9" t="s">
        <v>3095</v>
      </c>
      <c r="M871" s="11">
        <v>149900</v>
      </c>
      <c r="N871" s="24">
        <f t="shared" si="81"/>
        <v>0.7</v>
      </c>
      <c r="O871" s="25">
        <f t="shared" si="80"/>
        <v>44970</v>
      </c>
      <c r="P871" s="11" t="s">
        <v>20</v>
      </c>
    </row>
    <row r="872" spans="1:16" x14ac:dyDescent="0.25">
      <c r="A872" s="23" t="str">
        <f t="shared" si="83"/>
        <v>2025 JAN-JUN D70</v>
      </c>
      <c r="B872" s="10">
        <f t="shared" si="83"/>
        <v>46104</v>
      </c>
      <c r="C872" s="10">
        <f t="shared" si="83"/>
        <v>46113</v>
      </c>
      <c r="D872" s="11">
        <v>3273</v>
      </c>
      <c r="E872" s="11">
        <v>336</v>
      </c>
      <c r="F872" s="11">
        <v>4</v>
      </c>
      <c r="G872" s="11">
        <v>1</v>
      </c>
      <c r="H872" s="11">
        <v>81676</v>
      </c>
      <c r="I872" s="11" t="s">
        <v>17</v>
      </c>
      <c r="J872" s="11">
        <v>53560342</v>
      </c>
      <c r="K872" s="11" t="s">
        <v>3092</v>
      </c>
      <c r="L872" s="9" t="s">
        <v>3096</v>
      </c>
      <c r="M872" s="11">
        <v>149900</v>
      </c>
      <c r="N872" s="24">
        <f t="shared" si="81"/>
        <v>0.7</v>
      </c>
      <c r="O872" s="25">
        <f t="shared" si="80"/>
        <v>44970</v>
      </c>
      <c r="P872" s="11" t="s">
        <v>20</v>
      </c>
    </row>
    <row r="873" spans="1:16" x14ac:dyDescent="0.25">
      <c r="A873" s="23" t="str">
        <f t="shared" si="83"/>
        <v>2025 JAN-JUN D70</v>
      </c>
      <c r="B873" s="10">
        <f t="shared" si="83"/>
        <v>46104</v>
      </c>
      <c r="C873" s="10">
        <f t="shared" si="83"/>
        <v>46113</v>
      </c>
      <c r="D873" s="11">
        <v>3273</v>
      </c>
      <c r="E873" s="11">
        <v>336</v>
      </c>
      <c r="F873" s="11">
        <v>4</v>
      </c>
      <c r="G873" s="11">
        <v>1</v>
      </c>
      <c r="H873" s="11">
        <v>81676</v>
      </c>
      <c r="I873" s="11" t="s">
        <v>17</v>
      </c>
      <c r="J873" s="11">
        <v>53560351</v>
      </c>
      <c r="K873" s="11" t="s">
        <v>3092</v>
      </c>
      <c r="L873" s="9" t="s">
        <v>3097</v>
      </c>
      <c r="M873" s="11">
        <v>149900</v>
      </c>
      <c r="N873" s="24">
        <f t="shared" si="81"/>
        <v>0.7</v>
      </c>
      <c r="O873" s="25">
        <f t="shared" si="80"/>
        <v>44970</v>
      </c>
      <c r="P873" s="11" t="s">
        <v>20</v>
      </c>
    </row>
    <row r="874" spans="1:16" x14ac:dyDescent="0.25">
      <c r="A874" s="23" t="str">
        <f t="shared" si="83"/>
        <v>2025 JAN-JUN D70</v>
      </c>
      <c r="B874" s="10">
        <f t="shared" si="83"/>
        <v>46104</v>
      </c>
      <c r="C874" s="10">
        <f t="shared" si="83"/>
        <v>46113</v>
      </c>
      <c r="D874" s="11">
        <v>3273</v>
      </c>
      <c r="E874" s="11">
        <v>336</v>
      </c>
      <c r="F874" s="11">
        <v>4</v>
      </c>
      <c r="G874" s="11">
        <v>1</v>
      </c>
      <c r="H874" s="11">
        <v>81676</v>
      </c>
      <c r="I874" s="11" t="s">
        <v>17</v>
      </c>
      <c r="J874" s="11">
        <v>53560360</v>
      </c>
      <c r="K874" s="11" t="s">
        <v>3092</v>
      </c>
      <c r="L874" s="9" t="s">
        <v>3098</v>
      </c>
      <c r="M874" s="11">
        <v>149900</v>
      </c>
      <c r="N874" s="24">
        <f t="shared" si="81"/>
        <v>0.7</v>
      </c>
      <c r="O874" s="25">
        <f t="shared" si="80"/>
        <v>44970</v>
      </c>
      <c r="P874" s="11" t="s">
        <v>20</v>
      </c>
    </row>
    <row r="875" spans="1:16" x14ac:dyDescent="0.25">
      <c r="A875" s="23" t="str">
        <f t="shared" si="83"/>
        <v>2025 JAN-JUN D70</v>
      </c>
      <c r="B875" s="10">
        <f t="shared" si="83"/>
        <v>46104</v>
      </c>
      <c r="C875" s="10">
        <f t="shared" si="83"/>
        <v>46113</v>
      </c>
      <c r="D875" s="11">
        <v>3273</v>
      </c>
      <c r="E875" s="11">
        <v>336</v>
      </c>
      <c r="F875" s="11">
        <v>4</v>
      </c>
      <c r="G875" s="11">
        <v>1</v>
      </c>
      <c r="H875" s="11">
        <v>81676</v>
      </c>
      <c r="I875" s="11" t="s">
        <v>17</v>
      </c>
      <c r="J875" s="11">
        <v>53560075</v>
      </c>
      <c r="K875" s="11" t="s">
        <v>3099</v>
      </c>
      <c r="L875" s="9" t="s">
        <v>3100</v>
      </c>
      <c r="M875" s="11">
        <v>139900</v>
      </c>
      <c r="N875" s="24">
        <f t="shared" si="81"/>
        <v>0.7</v>
      </c>
      <c r="O875" s="25">
        <f t="shared" si="80"/>
        <v>41970</v>
      </c>
      <c r="P875" s="11" t="s">
        <v>20</v>
      </c>
    </row>
    <row r="876" spans="1:16" x14ac:dyDescent="0.25">
      <c r="A876" s="23" t="str">
        <f t="shared" si="83"/>
        <v>2025 JAN-JUN D70</v>
      </c>
      <c r="B876" s="10">
        <f t="shared" si="83"/>
        <v>46104</v>
      </c>
      <c r="C876" s="10">
        <f t="shared" si="83"/>
        <v>46113</v>
      </c>
      <c r="D876" s="11">
        <v>3273</v>
      </c>
      <c r="E876" s="11">
        <v>336</v>
      </c>
      <c r="F876" s="11">
        <v>4</v>
      </c>
      <c r="G876" s="11">
        <v>1</v>
      </c>
      <c r="H876" s="11">
        <v>81676</v>
      </c>
      <c r="I876" s="11" t="s">
        <v>17</v>
      </c>
      <c r="J876" s="11">
        <v>53560084</v>
      </c>
      <c r="K876" s="11" t="s">
        <v>3099</v>
      </c>
      <c r="L876" s="9" t="s">
        <v>3101</v>
      </c>
      <c r="M876" s="11">
        <v>139900</v>
      </c>
      <c r="N876" s="24">
        <f t="shared" si="81"/>
        <v>0.7</v>
      </c>
      <c r="O876" s="25">
        <f t="shared" si="80"/>
        <v>41970</v>
      </c>
      <c r="P876" s="11" t="s">
        <v>20</v>
      </c>
    </row>
    <row r="877" spans="1:16" x14ac:dyDescent="0.25">
      <c r="A877" s="23" t="str">
        <f t="shared" si="83"/>
        <v>2025 JAN-JUN D70</v>
      </c>
      <c r="B877" s="10">
        <f t="shared" si="83"/>
        <v>46104</v>
      </c>
      <c r="C877" s="10">
        <f t="shared" si="83"/>
        <v>46113</v>
      </c>
      <c r="D877" s="11">
        <v>3273</v>
      </c>
      <c r="E877" s="11">
        <v>336</v>
      </c>
      <c r="F877" s="11">
        <v>4</v>
      </c>
      <c r="G877" s="11">
        <v>1</v>
      </c>
      <c r="H877" s="11">
        <v>81676</v>
      </c>
      <c r="I877" s="11" t="s">
        <v>17</v>
      </c>
      <c r="J877" s="11">
        <v>53560093</v>
      </c>
      <c r="K877" s="11" t="s">
        <v>3099</v>
      </c>
      <c r="L877" s="9" t="s">
        <v>3102</v>
      </c>
      <c r="M877" s="11">
        <v>139900</v>
      </c>
      <c r="N877" s="24">
        <f t="shared" si="81"/>
        <v>0.7</v>
      </c>
      <c r="O877" s="25">
        <f t="shared" si="80"/>
        <v>41970</v>
      </c>
      <c r="P877" s="11" t="s">
        <v>20</v>
      </c>
    </row>
    <row r="878" spans="1:16" x14ac:dyDescent="0.25">
      <c r="A878" s="23" t="str">
        <f t="shared" si="83"/>
        <v>2025 JAN-JUN D70</v>
      </c>
      <c r="B878" s="10">
        <f t="shared" si="83"/>
        <v>46104</v>
      </c>
      <c r="C878" s="10">
        <f t="shared" si="83"/>
        <v>46113</v>
      </c>
      <c r="D878" s="11">
        <v>3273</v>
      </c>
      <c r="E878" s="11">
        <v>336</v>
      </c>
      <c r="F878" s="11">
        <v>4</v>
      </c>
      <c r="G878" s="11">
        <v>1</v>
      </c>
      <c r="H878" s="11">
        <v>81676</v>
      </c>
      <c r="I878" s="11" t="s">
        <v>17</v>
      </c>
      <c r="J878" s="11">
        <v>53560100</v>
      </c>
      <c r="K878" s="11" t="s">
        <v>3099</v>
      </c>
      <c r="L878" s="9" t="s">
        <v>3103</v>
      </c>
      <c r="M878" s="11">
        <v>139900</v>
      </c>
      <c r="N878" s="24">
        <f t="shared" si="81"/>
        <v>0.7</v>
      </c>
      <c r="O878" s="25">
        <f t="shared" si="80"/>
        <v>41970</v>
      </c>
      <c r="P878" s="11" t="s">
        <v>20</v>
      </c>
    </row>
    <row r="879" spans="1:16" x14ac:dyDescent="0.25">
      <c r="A879" s="23" t="str">
        <f t="shared" si="83"/>
        <v>2025 JAN-JUN D70</v>
      </c>
      <c r="B879" s="10">
        <f t="shared" si="83"/>
        <v>46104</v>
      </c>
      <c r="C879" s="10">
        <f t="shared" si="83"/>
        <v>46113</v>
      </c>
      <c r="D879" s="11">
        <v>3273</v>
      </c>
      <c r="E879" s="11">
        <v>336</v>
      </c>
      <c r="F879" s="11">
        <v>4</v>
      </c>
      <c r="G879" s="11">
        <v>1</v>
      </c>
      <c r="H879" s="11">
        <v>81676</v>
      </c>
      <c r="I879" s="11" t="s">
        <v>17</v>
      </c>
      <c r="J879" s="11">
        <v>53560119</v>
      </c>
      <c r="K879" s="11" t="s">
        <v>3099</v>
      </c>
      <c r="L879" s="9" t="s">
        <v>3104</v>
      </c>
      <c r="M879" s="11">
        <v>139900</v>
      </c>
      <c r="N879" s="24">
        <f t="shared" si="81"/>
        <v>0.7</v>
      </c>
      <c r="O879" s="25">
        <f t="shared" si="80"/>
        <v>41970</v>
      </c>
      <c r="P879" s="11" t="s">
        <v>20</v>
      </c>
    </row>
    <row r="880" spans="1:16" x14ac:dyDescent="0.25">
      <c r="A880" s="23" t="str">
        <f t="shared" si="83"/>
        <v>2025 JAN-JUN D70</v>
      </c>
      <c r="B880" s="10">
        <f t="shared" si="83"/>
        <v>46104</v>
      </c>
      <c r="C880" s="10">
        <f t="shared" si="83"/>
        <v>46113</v>
      </c>
      <c r="D880" s="11">
        <v>3273</v>
      </c>
      <c r="E880" s="11">
        <v>336</v>
      </c>
      <c r="F880" s="11">
        <v>4</v>
      </c>
      <c r="G880" s="11">
        <v>1</v>
      </c>
      <c r="H880" s="11">
        <v>81676</v>
      </c>
      <c r="I880" s="11" t="s">
        <v>17</v>
      </c>
      <c r="J880" s="11">
        <v>53560128</v>
      </c>
      <c r="K880" s="11" t="s">
        <v>3099</v>
      </c>
      <c r="L880" s="9" t="s">
        <v>3105</v>
      </c>
      <c r="M880" s="11">
        <v>139900</v>
      </c>
      <c r="N880" s="24">
        <f t="shared" si="81"/>
        <v>0.7</v>
      </c>
      <c r="O880" s="25">
        <f t="shared" si="80"/>
        <v>41970</v>
      </c>
      <c r="P880" s="11" t="s">
        <v>20</v>
      </c>
    </row>
    <row r="881" spans="1:16" x14ac:dyDescent="0.25">
      <c r="A881" s="23" t="str">
        <f t="shared" si="83"/>
        <v>2025 JAN-JUN D70</v>
      </c>
      <c r="B881" s="10">
        <f t="shared" si="83"/>
        <v>46104</v>
      </c>
      <c r="C881" s="10">
        <f t="shared" si="83"/>
        <v>46113</v>
      </c>
      <c r="D881" s="11">
        <v>3273</v>
      </c>
      <c r="E881" s="11">
        <v>336</v>
      </c>
      <c r="F881" s="11">
        <v>4</v>
      </c>
      <c r="G881" s="11">
        <v>1</v>
      </c>
      <c r="H881" s="11">
        <v>81676</v>
      </c>
      <c r="I881" s="11" t="s">
        <v>17</v>
      </c>
      <c r="J881" s="11">
        <v>53560253</v>
      </c>
      <c r="K881" s="11" t="s">
        <v>3106</v>
      </c>
      <c r="L881" s="9" t="s">
        <v>3107</v>
      </c>
      <c r="M881" s="11">
        <v>139900</v>
      </c>
      <c r="N881" s="24">
        <f t="shared" si="81"/>
        <v>0.7</v>
      </c>
      <c r="O881" s="25">
        <f t="shared" si="80"/>
        <v>41970</v>
      </c>
      <c r="P881" s="11" t="s">
        <v>20</v>
      </c>
    </row>
    <row r="882" spans="1:16" x14ac:dyDescent="0.25">
      <c r="A882" s="23" t="str">
        <f t="shared" si="83"/>
        <v>2025 JAN-JUN D70</v>
      </c>
      <c r="B882" s="10">
        <f t="shared" si="83"/>
        <v>46104</v>
      </c>
      <c r="C882" s="10">
        <f t="shared" si="83"/>
        <v>46113</v>
      </c>
      <c r="D882" s="11">
        <v>3273</v>
      </c>
      <c r="E882" s="11">
        <v>336</v>
      </c>
      <c r="F882" s="11">
        <v>4</v>
      </c>
      <c r="G882" s="11">
        <v>1</v>
      </c>
      <c r="H882" s="11">
        <v>81676</v>
      </c>
      <c r="I882" s="11" t="s">
        <v>17</v>
      </c>
      <c r="J882" s="11">
        <v>53560262</v>
      </c>
      <c r="K882" s="11" t="s">
        <v>3106</v>
      </c>
      <c r="L882" s="9" t="s">
        <v>3108</v>
      </c>
      <c r="M882" s="11">
        <v>139900</v>
      </c>
      <c r="N882" s="24">
        <f t="shared" si="81"/>
        <v>0.7</v>
      </c>
      <c r="O882" s="25">
        <f t="shared" si="80"/>
        <v>41970</v>
      </c>
      <c r="P882" s="11" t="s">
        <v>20</v>
      </c>
    </row>
    <row r="883" spans="1:16" x14ac:dyDescent="0.25">
      <c r="A883" s="23" t="str">
        <f t="shared" ref="A883:C898" si="84">A882</f>
        <v>2025 JAN-JUN D70</v>
      </c>
      <c r="B883" s="10">
        <f t="shared" si="84"/>
        <v>46104</v>
      </c>
      <c r="C883" s="10">
        <f t="shared" si="84"/>
        <v>46113</v>
      </c>
      <c r="D883" s="11">
        <v>3273</v>
      </c>
      <c r="E883" s="11">
        <v>336</v>
      </c>
      <c r="F883" s="11">
        <v>4</v>
      </c>
      <c r="G883" s="11">
        <v>1</v>
      </c>
      <c r="H883" s="11">
        <v>81676</v>
      </c>
      <c r="I883" s="11" t="s">
        <v>17</v>
      </c>
      <c r="J883" s="11">
        <v>53560271</v>
      </c>
      <c r="K883" s="11" t="s">
        <v>3106</v>
      </c>
      <c r="L883" s="9" t="s">
        <v>3109</v>
      </c>
      <c r="M883" s="11">
        <v>139900</v>
      </c>
      <c r="N883" s="24">
        <f t="shared" si="81"/>
        <v>0.7</v>
      </c>
      <c r="O883" s="25">
        <f t="shared" si="80"/>
        <v>41970</v>
      </c>
      <c r="P883" s="11" t="s">
        <v>20</v>
      </c>
    </row>
    <row r="884" spans="1:16" x14ac:dyDescent="0.25">
      <c r="A884" s="23" t="str">
        <f t="shared" si="84"/>
        <v>2025 JAN-JUN D70</v>
      </c>
      <c r="B884" s="10">
        <f t="shared" si="84"/>
        <v>46104</v>
      </c>
      <c r="C884" s="10">
        <f t="shared" si="84"/>
        <v>46113</v>
      </c>
      <c r="D884" s="11">
        <v>3273</v>
      </c>
      <c r="E884" s="11">
        <v>336</v>
      </c>
      <c r="F884" s="11">
        <v>4</v>
      </c>
      <c r="G884" s="11">
        <v>1</v>
      </c>
      <c r="H884" s="11">
        <v>81676</v>
      </c>
      <c r="I884" s="11" t="s">
        <v>17</v>
      </c>
      <c r="J884" s="11">
        <v>53560280</v>
      </c>
      <c r="K884" s="11" t="s">
        <v>3106</v>
      </c>
      <c r="L884" s="9" t="s">
        <v>3110</v>
      </c>
      <c r="M884" s="11">
        <v>139900</v>
      </c>
      <c r="N884" s="24">
        <f t="shared" si="81"/>
        <v>0.7</v>
      </c>
      <c r="O884" s="25">
        <f t="shared" si="80"/>
        <v>41970</v>
      </c>
      <c r="P884" s="11" t="s">
        <v>20</v>
      </c>
    </row>
    <row r="885" spans="1:16" x14ac:dyDescent="0.25">
      <c r="A885" s="23" t="str">
        <f t="shared" si="84"/>
        <v>2025 JAN-JUN D70</v>
      </c>
      <c r="B885" s="10">
        <f t="shared" si="84"/>
        <v>46104</v>
      </c>
      <c r="C885" s="10">
        <f t="shared" si="84"/>
        <v>46113</v>
      </c>
      <c r="D885" s="11">
        <v>3273</v>
      </c>
      <c r="E885" s="11">
        <v>336</v>
      </c>
      <c r="F885" s="11">
        <v>4</v>
      </c>
      <c r="G885" s="11">
        <v>1</v>
      </c>
      <c r="H885" s="11">
        <v>81676</v>
      </c>
      <c r="I885" s="11" t="s">
        <v>17</v>
      </c>
      <c r="J885" s="11">
        <v>53560299</v>
      </c>
      <c r="K885" s="11" t="s">
        <v>3106</v>
      </c>
      <c r="L885" s="9" t="s">
        <v>3111</v>
      </c>
      <c r="M885" s="11">
        <v>139900</v>
      </c>
      <c r="N885" s="24">
        <f t="shared" si="81"/>
        <v>0.7</v>
      </c>
      <c r="O885" s="25">
        <f t="shared" si="80"/>
        <v>41970</v>
      </c>
      <c r="P885" s="11" t="s">
        <v>20</v>
      </c>
    </row>
    <row r="886" spans="1:16" x14ac:dyDescent="0.25">
      <c r="A886" s="23" t="str">
        <f t="shared" si="84"/>
        <v>2025 JAN-JUN D70</v>
      </c>
      <c r="B886" s="10">
        <f t="shared" si="84"/>
        <v>46104</v>
      </c>
      <c r="C886" s="10">
        <f t="shared" si="84"/>
        <v>46113</v>
      </c>
      <c r="D886" s="11">
        <v>3273</v>
      </c>
      <c r="E886" s="11">
        <v>336</v>
      </c>
      <c r="F886" s="11">
        <v>4</v>
      </c>
      <c r="G886" s="11">
        <v>1</v>
      </c>
      <c r="H886" s="11">
        <v>81676</v>
      </c>
      <c r="I886" s="11" t="s">
        <v>17</v>
      </c>
      <c r="J886" s="11">
        <v>53560306</v>
      </c>
      <c r="K886" s="11" t="s">
        <v>3106</v>
      </c>
      <c r="L886" s="9" t="s">
        <v>3112</v>
      </c>
      <c r="M886" s="11">
        <v>139900</v>
      </c>
      <c r="N886" s="24">
        <f t="shared" si="81"/>
        <v>0.7</v>
      </c>
      <c r="O886" s="25">
        <f t="shared" si="80"/>
        <v>41970</v>
      </c>
      <c r="P886" s="11" t="s">
        <v>20</v>
      </c>
    </row>
    <row r="887" spans="1:16" x14ac:dyDescent="0.25">
      <c r="A887" s="23" t="str">
        <f t="shared" si="84"/>
        <v>2025 JAN-JUN D70</v>
      </c>
      <c r="B887" s="10">
        <f t="shared" si="84"/>
        <v>46104</v>
      </c>
      <c r="C887" s="10">
        <f t="shared" si="84"/>
        <v>46113</v>
      </c>
      <c r="D887" s="11">
        <v>3273</v>
      </c>
      <c r="E887" s="11">
        <v>336</v>
      </c>
      <c r="F887" s="11">
        <v>4</v>
      </c>
      <c r="G887" s="11">
        <v>1</v>
      </c>
      <c r="H887" s="11">
        <v>81676</v>
      </c>
      <c r="I887" s="11" t="s">
        <v>17</v>
      </c>
      <c r="J887" s="11">
        <v>53560379</v>
      </c>
      <c r="K887" s="11" t="s">
        <v>3113</v>
      </c>
      <c r="L887" s="9" t="s">
        <v>3114</v>
      </c>
      <c r="M887" s="11">
        <v>149900</v>
      </c>
      <c r="N887" s="24">
        <f t="shared" si="81"/>
        <v>0.7</v>
      </c>
      <c r="O887" s="25">
        <f t="shared" si="80"/>
        <v>44970</v>
      </c>
      <c r="P887" s="11" t="s">
        <v>20</v>
      </c>
    </row>
    <row r="888" spans="1:16" x14ac:dyDescent="0.25">
      <c r="A888" s="23" t="str">
        <f t="shared" si="84"/>
        <v>2025 JAN-JUN D70</v>
      </c>
      <c r="B888" s="10">
        <f t="shared" si="84"/>
        <v>46104</v>
      </c>
      <c r="C888" s="10">
        <f t="shared" si="84"/>
        <v>46113</v>
      </c>
      <c r="D888" s="11">
        <v>3273</v>
      </c>
      <c r="E888" s="11">
        <v>336</v>
      </c>
      <c r="F888" s="11">
        <v>4</v>
      </c>
      <c r="G888" s="11">
        <v>1</v>
      </c>
      <c r="H888" s="11">
        <v>81676</v>
      </c>
      <c r="I888" s="11" t="s">
        <v>17</v>
      </c>
      <c r="J888" s="11">
        <v>53560388</v>
      </c>
      <c r="K888" s="11" t="s">
        <v>3113</v>
      </c>
      <c r="L888" s="9" t="s">
        <v>3115</v>
      </c>
      <c r="M888" s="11">
        <v>149900</v>
      </c>
      <c r="N888" s="24">
        <f t="shared" si="81"/>
        <v>0.7</v>
      </c>
      <c r="O888" s="25">
        <f t="shared" si="80"/>
        <v>44970</v>
      </c>
      <c r="P888" s="11" t="s">
        <v>20</v>
      </c>
    </row>
    <row r="889" spans="1:16" x14ac:dyDescent="0.25">
      <c r="A889" s="23" t="str">
        <f t="shared" si="84"/>
        <v>2025 JAN-JUN D70</v>
      </c>
      <c r="B889" s="10">
        <f t="shared" si="84"/>
        <v>46104</v>
      </c>
      <c r="C889" s="10">
        <f t="shared" si="84"/>
        <v>46113</v>
      </c>
      <c r="D889" s="11">
        <v>3273</v>
      </c>
      <c r="E889" s="11">
        <v>336</v>
      </c>
      <c r="F889" s="11">
        <v>4</v>
      </c>
      <c r="G889" s="11">
        <v>1</v>
      </c>
      <c r="H889" s="11">
        <v>81676</v>
      </c>
      <c r="I889" s="11" t="s">
        <v>17</v>
      </c>
      <c r="J889" s="11">
        <v>53560397</v>
      </c>
      <c r="K889" s="11" t="s">
        <v>3113</v>
      </c>
      <c r="L889" s="9" t="s">
        <v>3116</v>
      </c>
      <c r="M889" s="11">
        <v>149900</v>
      </c>
      <c r="N889" s="24">
        <f t="shared" si="81"/>
        <v>0.7</v>
      </c>
      <c r="O889" s="25">
        <f t="shared" si="80"/>
        <v>44970</v>
      </c>
      <c r="P889" s="11" t="s">
        <v>20</v>
      </c>
    </row>
    <row r="890" spans="1:16" x14ac:dyDescent="0.25">
      <c r="A890" s="23" t="str">
        <f t="shared" si="84"/>
        <v>2025 JAN-JUN D70</v>
      </c>
      <c r="B890" s="10">
        <f t="shared" si="84"/>
        <v>46104</v>
      </c>
      <c r="C890" s="10">
        <f t="shared" si="84"/>
        <v>46113</v>
      </c>
      <c r="D890" s="11">
        <v>3273</v>
      </c>
      <c r="E890" s="11">
        <v>336</v>
      </c>
      <c r="F890" s="11">
        <v>4</v>
      </c>
      <c r="G890" s="11">
        <v>1</v>
      </c>
      <c r="H890" s="11">
        <v>81676</v>
      </c>
      <c r="I890" s="11" t="s">
        <v>17</v>
      </c>
      <c r="J890" s="11">
        <v>53560404</v>
      </c>
      <c r="K890" s="11" t="s">
        <v>3113</v>
      </c>
      <c r="L890" s="9" t="s">
        <v>3117</v>
      </c>
      <c r="M890" s="11">
        <v>149900</v>
      </c>
      <c r="N890" s="24">
        <f t="shared" si="81"/>
        <v>0.7</v>
      </c>
      <c r="O890" s="25">
        <f t="shared" si="80"/>
        <v>44970</v>
      </c>
      <c r="P890" s="11" t="s">
        <v>20</v>
      </c>
    </row>
    <row r="891" spans="1:16" x14ac:dyDescent="0.25">
      <c r="A891" s="23" t="str">
        <f t="shared" si="84"/>
        <v>2025 JAN-JUN D70</v>
      </c>
      <c r="B891" s="10">
        <f t="shared" si="84"/>
        <v>46104</v>
      </c>
      <c r="C891" s="10">
        <f t="shared" si="84"/>
        <v>46113</v>
      </c>
      <c r="D891" s="11">
        <v>3273</v>
      </c>
      <c r="E891" s="11">
        <v>336</v>
      </c>
      <c r="F891" s="11">
        <v>4</v>
      </c>
      <c r="G891" s="11">
        <v>1</v>
      </c>
      <c r="H891" s="11">
        <v>81676</v>
      </c>
      <c r="I891" s="11" t="s">
        <v>17</v>
      </c>
      <c r="J891" s="11">
        <v>53560413</v>
      </c>
      <c r="K891" s="11" t="s">
        <v>3113</v>
      </c>
      <c r="L891" s="9" t="s">
        <v>3118</v>
      </c>
      <c r="M891" s="11">
        <v>149900</v>
      </c>
      <c r="N891" s="24">
        <f t="shared" si="81"/>
        <v>0.7</v>
      </c>
      <c r="O891" s="25">
        <f t="shared" si="80"/>
        <v>44970</v>
      </c>
      <c r="P891" s="11" t="s">
        <v>20</v>
      </c>
    </row>
    <row r="892" spans="1:16" x14ac:dyDescent="0.25">
      <c r="A892" s="23" t="str">
        <f t="shared" si="84"/>
        <v>2025 JAN-JUN D70</v>
      </c>
      <c r="B892" s="10">
        <f t="shared" si="84"/>
        <v>46104</v>
      </c>
      <c r="C892" s="10">
        <f t="shared" si="84"/>
        <v>46113</v>
      </c>
      <c r="D892" s="11">
        <v>3273</v>
      </c>
      <c r="E892" s="11">
        <v>336</v>
      </c>
      <c r="F892" s="11">
        <v>4</v>
      </c>
      <c r="G892" s="11">
        <v>1</v>
      </c>
      <c r="H892" s="11">
        <v>81676</v>
      </c>
      <c r="I892" s="11" t="s">
        <v>17</v>
      </c>
      <c r="J892" s="11">
        <v>53560422</v>
      </c>
      <c r="K892" s="11" t="s">
        <v>3113</v>
      </c>
      <c r="L892" s="9" t="s">
        <v>3119</v>
      </c>
      <c r="M892" s="11">
        <v>149900</v>
      </c>
      <c r="N892" s="24">
        <f t="shared" si="81"/>
        <v>0.7</v>
      </c>
      <c r="O892" s="25">
        <f t="shared" si="80"/>
        <v>44970</v>
      </c>
      <c r="P892" s="11" t="s">
        <v>20</v>
      </c>
    </row>
    <row r="893" spans="1:16" x14ac:dyDescent="0.25">
      <c r="A893" s="23" t="str">
        <f t="shared" si="84"/>
        <v>2025 JAN-JUN D70</v>
      </c>
      <c r="B893" s="10">
        <f t="shared" si="84"/>
        <v>46104</v>
      </c>
      <c r="C893" s="10">
        <f t="shared" si="84"/>
        <v>46113</v>
      </c>
      <c r="D893" s="11">
        <v>3273</v>
      </c>
      <c r="E893" s="11">
        <v>336</v>
      </c>
      <c r="F893" s="11">
        <v>4</v>
      </c>
      <c r="G893" s="11">
        <v>3</v>
      </c>
      <c r="H893" s="11">
        <v>81676</v>
      </c>
      <c r="I893" s="11" t="s">
        <v>17</v>
      </c>
      <c r="J893" s="11">
        <v>53560431</v>
      </c>
      <c r="K893" s="11" t="s">
        <v>3120</v>
      </c>
      <c r="L893" s="9" t="s">
        <v>3121</v>
      </c>
      <c r="M893" s="11">
        <v>249900</v>
      </c>
      <c r="N893" s="24">
        <f t="shared" si="81"/>
        <v>0.7</v>
      </c>
      <c r="O893" s="25">
        <f t="shared" si="80"/>
        <v>74970</v>
      </c>
      <c r="P893" s="11" t="s">
        <v>20</v>
      </c>
    </row>
    <row r="894" spans="1:16" x14ac:dyDescent="0.25">
      <c r="A894" s="23" t="str">
        <f t="shared" si="84"/>
        <v>2025 JAN-JUN D70</v>
      </c>
      <c r="B894" s="10">
        <f t="shared" si="84"/>
        <v>46104</v>
      </c>
      <c r="C894" s="10">
        <f t="shared" si="84"/>
        <v>46113</v>
      </c>
      <c r="D894" s="11">
        <v>3273</v>
      </c>
      <c r="E894" s="11">
        <v>336</v>
      </c>
      <c r="F894" s="11">
        <v>4</v>
      </c>
      <c r="G894" s="11">
        <v>3</v>
      </c>
      <c r="H894" s="11">
        <v>81676</v>
      </c>
      <c r="I894" s="11" t="s">
        <v>17</v>
      </c>
      <c r="J894" s="11">
        <v>53560440</v>
      </c>
      <c r="K894" s="11" t="s">
        <v>3120</v>
      </c>
      <c r="L894" s="9" t="s">
        <v>3122</v>
      </c>
      <c r="M894" s="11">
        <v>249900</v>
      </c>
      <c r="N894" s="24">
        <f t="shared" si="81"/>
        <v>0.7</v>
      </c>
      <c r="O894" s="25">
        <f t="shared" si="80"/>
        <v>74970</v>
      </c>
      <c r="P894" s="11" t="s">
        <v>20</v>
      </c>
    </row>
    <row r="895" spans="1:16" x14ac:dyDescent="0.25">
      <c r="A895" s="23" t="str">
        <f t="shared" si="84"/>
        <v>2025 JAN-JUN D70</v>
      </c>
      <c r="B895" s="10">
        <f t="shared" si="84"/>
        <v>46104</v>
      </c>
      <c r="C895" s="10">
        <f t="shared" si="84"/>
        <v>46113</v>
      </c>
      <c r="D895" s="11">
        <v>3273</v>
      </c>
      <c r="E895" s="11">
        <v>336</v>
      </c>
      <c r="F895" s="11">
        <v>4</v>
      </c>
      <c r="G895" s="11">
        <v>3</v>
      </c>
      <c r="H895" s="11">
        <v>81676</v>
      </c>
      <c r="I895" s="11" t="s">
        <v>17</v>
      </c>
      <c r="J895" s="11">
        <v>53560459</v>
      </c>
      <c r="K895" s="11" t="s">
        <v>3120</v>
      </c>
      <c r="L895" s="9" t="s">
        <v>3123</v>
      </c>
      <c r="M895" s="11">
        <v>249900</v>
      </c>
      <c r="N895" s="24">
        <f t="shared" si="81"/>
        <v>0.7</v>
      </c>
      <c r="O895" s="25">
        <f t="shared" si="80"/>
        <v>74970</v>
      </c>
      <c r="P895" s="11" t="s">
        <v>20</v>
      </c>
    </row>
    <row r="896" spans="1:16" x14ac:dyDescent="0.25">
      <c r="A896" s="23" t="str">
        <f t="shared" si="84"/>
        <v>2025 JAN-JUN D70</v>
      </c>
      <c r="B896" s="10">
        <f t="shared" si="84"/>
        <v>46104</v>
      </c>
      <c r="C896" s="10">
        <f t="shared" si="84"/>
        <v>46113</v>
      </c>
      <c r="D896" s="11">
        <v>3273</v>
      </c>
      <c r="E896" s="11">
        <v>336</v>
      </c>
      <c r="F896" s="11">
        <v>4</v>
      </c>
      <c r="G896" s="11">
        <v>3</v>
      </c>
      <c r="H896" s="11">
        <v>81676</v>
      </c>
      <c r="I896" s="11" t="s">
        <v>17</v>
      </c>
      <c r="J896" s="11">
        <v>53560468</v>
      </c>
      <c r="K896" s="11" t="s">
        <v>3120</v>
      </c>
      <c r="L896" s="9" t="s">
        <v>3124</v>
      </c>
      <c r="M896" s="11">
        <v>249900</v>
      </c>
      <c r="N896" s="24">
        <f t="shared" si="81"/>
        <v>0.7</v>
      </c>
      <c r="O896" s="25">
        <f t="shared" si="80"/>
        <v>74970</v>
      </c>
      <c r="P896" s="11" t="s">
        <v>20</v>
      </c>
    </row>
    <row r="897" spans="1:16" x14ac:dyDescent="0.25">
      <c r="A897" s="23" t="str">
        <f t="shared" si="84"/>
        <v>2025 JAN-JUN D70</v>
      </c>
      <c r="B897" s="10">
        <f t="shared" si="84"/>
        <v>46104</v>
      </c>
      <c r="C897" s="10">
        <f t="shared" si="84"/>
        <v>46113</v>
      </c>
      <c r="D897" s="11">
        <v>3273</v>
      </c>
      <c r="E897" s="11">
        <v>336</v>
      </c>
      <c r="F897" s="11">
        <v>4</v>
      </c>
      <c r="G897" s="11">
        <v>3</v>
      </c>
      <c r="H897" s="11">
        <v>81676</v>
      </c>
      <c r="I897" s="11" t="s">
        <v>17</v>
      </c>
      <c r="J897" s="11">
        <v>53560477</v>
      </c>
      <c r="K897" s="11" t="s">
        <v>3120</v>
      </c>
      <c r="L897" s="9" t="s">
        <v>3125</v>
      </c>
      <c r="M897" s="11">
        <v>249900</v>
      </c>
      <c r="N897" s="24">
        <f t="shared" si="81"/>
        <v>0.7</v>
      </c>
      <c r="O897" s="25">
        <f t="shared" si="80"/>
        <v>74970</v>
      </c>
      <c r="P897" s="11" t="s">
        <v>20</v>
      </c>
    </row>
    <row r="898" spans="1:16" x14ac:dyDescent="0.25">
      <c r="A898" s="23" t="str">
        <f t="shared" si="84"/>
        <v>2025 JAN-JUN D70</v>
      </c>
      <c r="B898" s="10">
        <f t="shared" si="84"/>
        <v>46104</v>
      </c>
      <c r="C898" s="10">
        <f t="shared" si="84"/>
        <v>46113</v>
      </c>
      <c r="D898" s="11">
        <v>3273</v>
      </c>
      <c r="E898" s="11">
        <v>336</v>
      </c>
      <c r="F898" s="11">
        <v>4</v>
      </c>
      <c r="G898" s="11">
        <v>3</v>
      </c>
      <c r="H898" s="11">
        <v>81676</v>
      </c>
      <c r="I898" s="11" t="s">
        <v>17</v>
      </c>
      <c r="J898" s="11">
        <v>53560486</v>
      </c>
      <c r="K898" s="11" t="s">
        <v>3120</v>
      </c>
      <c r="L898" s="9" t="s">
        <v>3126</v>
      </c>
      <c r="M898" s="11">
        <v>249900</v>
      </c>
      <c r="N898" s="24">
        <f t="shared" si="81"/>
        <v>0.7</v>
      </c>
      <c r="O898" s="25">
        <f t="shared" si="80"/>
        <v>74970</v>
      </c>
      <c r="P898" s="11" t="s">
        <v>20</v>
      </c>
    </row>
    <row r="899" spans="1:16" x14ac:dyDescent="0.25">
      <c r="A899" s="23" t="str">
        <f t="shared" ref="A899:C912" si="85">A898</f>
        <v>2025 JAN-JUN D70</v>
      </c>
      <c r="B899" s="10">
        <f t="shared" si="85"/>
        <v>46104</v>
      </c>
      <c r="C899" s="10">
        <f t="shared" si="85"/>
        <v>46113</v>
      </c>
      <c r="D899" s="11">
        <v>3273</v>
      </c>
      <c r="E899" s="11">
        <v>336</v>
      </c>
      <c r="F899" s="11">
        <v>4</v>
      </c>
      <c r="G899" s="11">
        <v>4</v>
      </c>
      <c r="H899" s="11">
        <v>81676</v>
      </c>
      <c r="I899" s="11" t="s">
        <v>17</v>
      </c>
      <c r="J899" s="11">
        <v>53560495</v>
      </c>
      <c r="K899" s="11" t="s">
        <v>3127</v>
      </c>
      <c r="L899" s="9" t="s">
        <v>3128</v>
      </c>
      <c r="M899" s="11">
        <v>169900</v>
      </c>
      <c r="N899" s="24">
        <f t="shared" si="81"/>
        <v>0.7</v>
      </c>
      <c r="O899" s="25">
        <f t="shared" ref="O899:O962" si="86">M899-((70*M899)/100)</f>
        <v>50970</v>
      </c>
      <c r="P899" s="11" t="s">
        <v>20</v>
      </c>
    </row>
    <row r="900" spans="1:16" x14ac:dyDescent="0.25">
      <c r="A900" s="23" t="str">
        <f t="shared" si="85"/>
        <v>2025 JAN-JUN D70</v>
      </c>
      <c r="B900" s="10">
        <f t="shared" si="85"/>
        <v>46104</v>
      </c>
      <c r="C900" s="10">
        <f t="shared" si="85"/>
        <v>46113</v>
      </c>
      <c r="D900" s="11">
        <v>3273</v>
      </c>
      <c r="E900" s="11">
        <v>336</v>
      </c>
      <c r="F900" s="11">
        <v>4</v>
      </c>
      <c r="G900" s="11">
        <v>4</v>
      </c>
      <c r="H900" s="11">
        <v>81676</v>
      </c>
      <c r="I900" s="11" t="s">
        <v>17</v>
      </c>
      <c r="J900" s="11">
        <v>53560502</v>
      </c>
      <c r="K900" s="11" t="s">
        <v>3127</v>
      </c>
      <c r="L900" s="9" t="s">
        <v>3129</v>
      </c>
      <c r="M900" s="11">
        <v>169900</v>
      </c>
      <c r="N900" s="24">
        <f t="shared" ref="N900:N963" si="87">N899</f>
        <v>0.7</v>
      </c>
      <c r="O900" s="25">
        <f t="shared" si="86"/>
        <v>50970</v>
      </c>
      <c r="P900" s="11" t="s">
        <v>20</v>
      </c>
    </row>
    <row r="901" spans="1:16" x14ac:dyDescent="0.25">
      <c r="A901" s="23" t="str">
        <f t="shared" si="85"/>
        <v>2025 JAN-JUN D70</v>
      </c>
      <c r="B901" s="10">
        <f t="shared" si="85"/>
        <v>46104</v>
      </c>
      <c r="C901" s="10">
        <f t="shared" si="85"/>
        <v>46113</v>
      </c>
      <c r="D901" s="11">
        <v>3273</v>
      </c>
      <c r="E901" s="11">
        <v>336</v>
      </c>
      <c r="F901" s="11">
        <v>4</v>
      </c>
      <c r="G901" s="11">
        <v>4</v>
      </c>
      <c r="H901" s="11">
        <v>81676</v>
      </c>
      <c r="I901" s="11" t="s">
        <v>17</v>
      </c>
      <c r="J901" s="11">
        <v>53560511</v>
      </c>
      <c r="K901" s="11" t="s">
        <v>3127</v>
      </c>
      <c r="L901" s="9" t="s">
        <v>3130</v>
      </c>
      <c r="M901" s="11">
        <v>169900</v>
      </c>
      <c r="N901" s="24">
        <f t="shared" si="87"/>
        <v>0.7</v>
      </c>
      <c r="O901" s="25">
        <f t="shared" si="86"/>
        <v>50970</v>
      </c>
      <c r="P901" s="11" t="s">
        <v>20</v>
      </c>
    </row>
    <row r="902" spans="1:16" x14ac:dyDescent="0.25">
      <c r="A902" s="23" t="str">
        <f t="shared" si="85"/>
        <v>2025 JAN-JUN D70</v>
      </c>
      <c r="B902" s="10">
        <f t="shared" si="85"/>
        <v>46104</v>
      </c>
      <c r="C902" s="10">
        <f t="shared" si="85"/>
        <v>46113</v>
      </c>
      <c r="D902" s="11">
        <v>3273</v>
      </c>
      <c r="E902" s="11">
        <v>336</v>
      </c>
      <c r="F902" s="11">
        <v>4</v>
      </c>
      <c r="G902" s="11">
        <v>4</v>
      </c>
      <c r="H902" s="11">
        <v>81676</v>
      </c>
      <c r="I902" s="11" t="s">
        <v>17</v>
      </c>
      <c r="J902" s="11">
        <v>53560520</v>
      </c>
      <c r="K902" s="11" t="s">
        <v>3127</v>
      </c>
      <c r="L902" s="9" t="s">
        <v>3131</v>
      </c>
      <c r="M902" s="11">
        <v>169900</v>
      </c>
      <c r="N902" s="24">
        <f t="shared" si="87"/>
        <v>0.7</v>
      </c>
      <c r="O902" s="25">
        <f t="shared" si="86"/>
        <v>50970</v>
      </c>
      <c r="P902" s="11" t="s">
        <v>20</v>
      </c>
    </row>
    <row r="903" spans="1:16" x14ac:dyDescent="0.25">
      <c r="A903" s="23" t="str">
        <f t="shared" si="85"/>
        <v>2025 JAN-JUN D70</v>
      </c>
      <c r="B903" s="10">
        <f t="shared" si="85"/>
        <v>46104</v>
      </c>
      <c r="C903" s="10">
        <f t="shared" si="85"/>
        <v>46113</v>
      </c>
      <c r="D903" s="11">
        <v>3273</v>
      </c>
      <c r="E903" s="11">
        <v>336</v>
      </c>
      <c r="F903" s="11">
        <v>4</v>
      </c>
      <c r="G903" s="11">
        <v>4</v>
      </c>
      <c r="H903" s="11">
        <v>81676</v>
      </c>
      <c r="I903" s="11" t="s">
        <v>17</v>
      </c>
      <c r="J903" s="11">
        <v>53560539</v>
      </c>
      <c r="K903" s="11" t="s">
        <v>3127</v>
      </c>
      <c r="L903" s="9" t="s">
        <v>3132</v>
      </c>
      <c r="M903" s="11">
        <v>169900</v>
      </c>
      <c r="N903" s="24">
        <f t="shared" si="87"/>
        <v>0.7</v>
      </c>
      <c r="O903" s="25">
        <f t="shared" si="86"/>
        <v>50970</v>
      </c>
      <c r="P903" s="11" t="s">
        <v>20</v>
      </c>
    </row>
    <row r="904" spans="1:16" x14ac:dyDescent="0.25">
      <c r="A904" s="23" t="str">
        <f t="shared" si="85"/>
        <v>2025 JAN-JUN D70</v>
      </c>
      <c r="B904" s="10">
        <f t="shared" si="85"/>
        <v>46104</v>
      </c>
      <c r="C904" s="10">
        <f t="shared" si="85"/>
        <v>46113</v>
      </c>
      <c r="D904" s="11">
        <v>3273</v>
      </c>
      <c r="E904" s="11">
        <v>336</v>
      </c>
      <c r="F904" s="11">
        <v>4</v>
      </c>
      <c r="G904" s="11">
        <v>4</v>
      </c>
      <c r="H904" s="11">
        <v>81676</v>
      </c>
      <c r="I904" s="11" t="s">
        <v>17</v>
      </c>
      <c r="J904" s="11">
        <v>53560548</v>
      </c>
      <c r="K904" s="11" t="s">
        <v>3127</v>
      </c>
      <c r="L904" s="9" t="s">
        <v>3133</v>
      </c>
      <c r="M904" s="11">
        <v>169900</v>
      </c>
      <c r="N904" s="24">
        <f t="shared" si="87"/>
        <v>0.7</v>
      </c>
      <c r="O904" s="25">
        <f t="shared" si="86"/>
        <v>50970</v>
      </c>
      <c r="P904" s="11" t="s">
        <v>20</v>
      </c>
    </row>
    <row r="905" spans="1:16" x14ac:dyDescent="0.25">
      <c r="A905" s="23" t="str">
        <f t="shared" si="85"/>
        <v>2025 JAN-JUN D70</v>
      </c>
      <c r="B905" s="10">
        <f t="shared" si="85"/>
        <v>46104</v>
      </c>
      <c r="C905" s="10">
        <f t="shared" si="85"/>
        <v>46113</v>
      </c>
      <c r="D905" s="11">
        <v>3273</v>
      </c>
      <c r="E905" s="11">
        <v>336</v>
      </c>
      <c r="F905" s="11">
        <v>4</v>
      </c>
      <c r="G905" s="11">
        <v>6</v>
      </c>
      <c r="H905" s="11">
        <v>81588</v>
      </c>
      <c r="I905" s="11" t="s">
        <v>17</v>
      </c>
      <c r="J905" s="11">
        <v>52389923</v>
      </c>
      <c r="K905" s="11" t="s">
        <v>3134</v>
      </c>
      <c r="L905" s="9" t="s">
        <v>3135</v>
      </c>
      <c r="M905" s="11">
        <v>149900</v>
      </c>
      <c r="N905" s="24">
        <f t="shared" si="87"/>
        <v>0.7</v>
      </c>
      <c r="O905" s="25">
        <f t="shared" si="86"/>
        <v>44970</v>
      </c>
      <c r="P905" s="11" t="s">
        <v>20</v>
      </c>
    </row>
    <row r="906" spans="1:16" x14ac:dyDescent="0.25">
      <c r="A906" s="23" t="str">
        <f t="shared" si="85"/>
        <v>2025 JAN-JUN D70</v>
      </c>
      <c r="B906" s="10">
        <f t="shared" si="85"/>
        <v>46104</v>
      </c>
      <c r="C906" s="10">
        <f t="shared" si="85"/>
        <v>46113</v>
      </c>
      <c r="D906" s="11">
        <v>3273</v>
      </c>
      <c r="E906" s="11">
        <v>336</v>
      </c>
      <c r="F906" s="11">
        <v>4</v>
      </c>
      <c r="G906" s="11">
        <v>6</v>
      </c>
      <c r="H906" s="11">
        <v>81588</v>
      </c>
      <c r="I906" s="11" t="s">
        <v>17</v>
      </c>
      <c r="J906" s="11">
        <v>52389932</v>
      </c>
      <c r="K906" s="11" t="s">
        <v>3134</v>
      </c>
      <c r="L906" s="9" t="s">
        <v>3136</v>
      </c>
      <c r="M906" s="11">
        <v>149900</v>
      </c>
      <c r="N906" s="24">
        <f t="shared" si="87"/>
        <v>0.7</v>
      </c>
      <c r="O906" s="25">
        <f t="shared" si="86"/>
        <v>44970</v>
      </c>
      <c r="P906" s="11" t="s">
        <v>20</v>
      </c>
    </row>
    <row r="907" spans="1:16" x14ac:dyDescent="0.25">
      <c r="A907" s="23" t="str">
        <f t="shared" si="85"/>
        <v>2025 JAN-JUN D70</v>
      </c>
      <c r="B907" s="10">
        <f t="shared" si="85"/>
        <v>46104</v>
      </c>
      <c r="C907" s="10">
        <f t="shared" si="85"/>
        <v>46113</v>
      </c>
      <c r="D907" s="11">
        <v>3273</v>
      </c>
      <c r="E907" s="11">
        <v>336</v>
      </c>
      <c r="F907" s="11">
        <v>4</v>
      </c>
      <c r="G907" s="11">
        <v>6</v>
      </c>
      <c r="H907" s="11">
        <v>81588</v>
      </c>
      <c r="I907" s="11" t="s">
        <v>17</v>
      </c>
      <c r="J907" s="11">
        <v>52389941</v>
      </c>
      <c r="K907" s="11" t="s">
        <v>3134</v>
      </c>
      <c r="L907" s="9" t="s">
        <v>3137</v>
      </c>
      <c r="M907" s="11">
        <v>149900</v>
      </c>
      <c r="N907" s="24">
        <f t="shared" si="87"/>
        <v>0.7</v>
      </c>
      <c r="O907" s="25">
        <f t="shared" si="86"/>
        <v>44970</v>
      </c>
      <c r="P907" s="11" t="s">
        <v>20</v>
      </c>
    </row>
    <row r="908" spans="1:16" x14ac:dyDescent="0.25">
      <c r="A908" s="23" t="str">
        <f t="shared" si="85"/>
        <v>2025 JAN-JUN D70</v>
      </c>
      <c r="B908" s="10">
        <f t="shared" si="85"/>
        <v>46104</v>
      </c>
      <c r="C908" s="10">
        <f t="shared" si="85"/>
        <v>46113</v>
      </c>
      <c r="D908" s="11">
        <v>3273</v>
      </c>
      <c r="E908" s="11">
        <v>336</v>
      </c>
      <c r="F908" s="11">
        <v>4</v>
      </c>
      <c r="G908" s="11">
        <v>6</v>
      </c>
      <c r="H908" s="11">
        <v>81588</v>
      </c>
      <c r="I908" s="11" t="s">
        <v>17</v>
      </c>
      <c r="J908" s="11">
        <v>52389950</v>
      </c>
      <c r="K908" s="11" t="s">
        <v>3134</v>
      </c>
      <c r="L908" s="9" t="s">
        <v>3138</v>
      </c>
      <c r="M908" s="11">
        <v>149900</v>
      </c>
      <c r="N908" s="24">
        <f t="shared" si="87"/>
        <v>0.7</v>
      </c>
      <c r="O908" s="25">
        <f t="shared" si="86"/>
        <v>44970</v>
      </c>
      <c r="P908" s="11" t="s">
        <v>20</v>
      </c>
    </row>
    <row r="909" spans="1:16" x14ac:dyDescent="0.25">
      <c r="A909" s="23" t="str">
        <f t="shared" si="85"/>
        <v>2025 JAN-JUN D70</v>
      </c>
      <c r="B909" s="10">
        <f t="shared" si="85"/>
        <v>46104</v>
      </c>
      <c r="C909" s="10">
        <f t="shared" si="85"/>
        <v>46113</v>
      </c>
      <c r="D909" s="11">
        <v>3273</v>
      </c>
      <c r="E909" s="11">
        <v>336</v>
      </c>
      <c r="F909" s="11">
        <v>4</v>
      </c>
      <c r="G909" s="11">
        <v>6</v>
      </c>
      <c r="H909" s="11">
        <v>81588</v>
      </c>
      <c r="I909" s="11" t="s">
        <v>17</v>
      </c>
      <c r="J909" s="11">
        <v>52389969</v>
      </c>
      <c r="K909" s="11" t="s">
        <v>3134</v>
      </c>
      <c r="L909" s="9" t="s">
        <v>3139</v>
      </c>
      <c r="M909" s="11">
        <v>149900</v>
      </c>
      <c r="N909" s="24">
        <f t="shared" si="87"/>
        <v>0.7</v>
      </c>
      <c r="O909" s="25">
        <f t="shared" si="86"/>
        <v>44970</v>
      </c>
      <c r="P909" s="11" t="s">
        <v>20</v>
      </c>
    </row>
    <row r="910" spans="1:16" x14ac:dyDescent="0.25">
      <c r="A910" s="23" t="str">
        <f t="shared" si="85"/>
        <v>2025 JAN-JUN D70</v>
      </c>
      <c r="B910" s="10">
        <f t="shared" si="85"/>
        <v>46104</v>
      </c>
      <c r="C910" s="10">
        <f t="shared" si="85"/>
        <v>46113</v>
      </c>
      <c r="D910" s="11">
        <v>3273</v>
      </c>
      <c r="E910" s="11">
        <v>336</v>
      </c>
      <c r="F910" s="11">
        <v>4</v>
      </c>
      <c r="G910" s="11">
        <v>6</v>
      </c>
      <c r="H910" s="11">
        <v>81588</v>
      </c>
      <c r="I910" s="11" t="s">
        <v>17</v>
      </c>
      <c r="J910" s="11">
        <v>52389978</v>
      </c>
      <c r="K910" s="11" t="s">
        <v>3134</v>
      </c>
      <c r="L910" s="9" t="s">
        <v>3140</v>
      </c>
      <c r="M910" s="11">
        <v>149900</v>
      </c>
      <c r="N910" s="24">
        <f t="shared" si="87"/>
        <v>0.7</v>
      </c>
      <c r="O910" s="25">
        <f t="shared" si="86"/>
        <v>44970</v>
      </c>
      <c r="P910" s="11" t="s">
        <v>20</v>
      </c>
    </row>
    <row r="911" spans="1:16" x14ac:dyDescent="0.25">
      <c r="A911" s="23" t="str">
        <f t="shared" si="85"/>
        <v>2025 JAN-JUN D70</v>
      </c>
      <c r="B911" s="10">
        <f t="shared" si="85"/>
        <v>46104</v>
      </c>
      <c r="C911" s="10">
        <f t="shared" si="85"/>
        <v>46113</v>
      </c>
      <c r="D911" s="11">
        <v>3273</v>
      </c>
      <c r="E911" s="11">
        <v>336</v>
      </c>
      <c r="F911" s="11">
        <v>4</v>
      </c>
      <c r="G911" s="11">
        <v>6</v>
      </c>
      <c r="H911" s="11">
        <v>81588</v>
      </c>
      <c r="I911" s="11" t="s">
        <v>17</v>
      </c>
      <c r="J911" s="11">
        <v>52389987</v>
      </c>
      <c r="K911" s="11" t="s">
        <v>3134</v>
      </c>
      <c r="L911" s="9" t="s">
        <v>3141</v>
      </c>
      <c r="M911" s="11">
        <v>149900</v>
      </c>
      <c r="N911" s="24">
        <f t="shared" si="87"/>
        <v>0.7</v>
      </c>
      <c r="O911" s="25">
        <f t="shared" si="86"/>
        <v>44970</v>
      </c>
      <c r="P911" s="11" t="s">
        <v>20</v>
      </c>
    </row>
    <row r="912" spans="1:16" x14ac:dyDescent="0.25">
      <c r="A912" s="23" t="str">
        <f t="shared" si="85"/>
        <v>2025 JAN-JUN D70</v>
      </c>
      <c r="B912" s="10">
        <f t="shared" si="85"/>
        <v>46104</v>
      </c>
      <c r="C912" s="10">
        <f t="shared" si="85"/>
        <v>46113</v>
      </c>
      <c r="D912" s="11">
        <v>3273</v>
      </c>
      <c r="E912" s="11">
        <v>336</v>
      </c>
      <c r="F912" s="11">
        <v>4</v>
      </c>
      <c r="G912" s="11">
        <v>6</v>
      </c>
      <c r="H912" s="11">
        <v>81588</v>
      </c>
      <c r="I912" s="11" t="s">
        <v>17</v>
      </c>
      <c r="J912" s="11">
        <v>52389996</v>
      </c>
      <c r="K912" s="11" t="s">
        <v>3134</v>
      </c>
      <c r="L912" s="9" t="s">
        <v>3142</v>
      </c>
      <c r="M912" s="11">
        <v>149900</v>
      </c>
      <c r="N912" s="24">
        <f t="shared" si="87"/>
        <v>0.7</v>
      </c>
      <c r="O912" s="25">
        <f t="shared" si="86"/>
        <v>44970</v>
      </c>
      <c r="P912" s="11" t="s">
        <v>20</v>
      </c>
    </row>
    <row r="913" spans="1:16" s="29" customFormat="1" x14ac:dyDescent="0.25">
      <c r="A913" s="23" t="str">
        <f t="shared" ref="A913" si="88">A912</f>
        <v>2025 JAN-JUN D70</v>
      </c>
      <c r="B913" s="10">
        <f>'[1]2019 ALL D95'!B2</f>
        <v>46104</v>
      </c>
      <c r="C913" s="10">
        <f>'[1]2019 ALL D95'!C2</f>
        <v>46113</v>
      </c>
      <c r="D913" s="9">
        <v>3273</v>
      </c>
      <c r="E913" s="9">
        <v>336</v>
      </c>
      <c r="F913" s="9">
        <v>4</v>
      </c>
      <c r="G913" s="9">
        <v>11</v>
      </c>
      <c r="H913" s="9">
        <v>81676</v>
      </c>
      <c r="I913" s="9" t="s">
        <v>17</v>
      </c>
      <c r="J913" s="9">
        <v>53559658</v>
      </c>
      <c r="K913" s="9" t="s">
        <v>3143</v>
      </c>
      <c r="L913" s="9" t="s">
        <v>3144</v>
      </c>
      <c r="M913" s="9">
        <v>139900</v>
      </c>
      <c r="N913" s="24">
        <f t="shared" si="87"/>
        <v>0.7</v>
      </c>
      <c r="O913" s="25">
        <f t="shared" si="86"/>
        <v>41970</v>
      </c>
      <c r="P913" s="11" t="s">
        <v>20</v>
      </c>
    </row>
    <row r="914" spans="1:16" s="29" customFormat="1" x14ac:dyDescent="0.25">
      <c r="A914" s="23" t="str">
        <f t="shared" ref="A914" si="89">A913</f>
        <v>2025 JAN-JUN D70</v>
      </c>
      <c r="B914" s="10">
        <f t="shared" ref="A914:C929" si="90">B913</f>
        <v>46104</v>
      </c>
      <c r="C914" s="10">
        <f t="shared" si="90"/>
        <v>46113</v>
      </c>
      <c r="D914" s="9">
        <v>3273</v>
      </c>
      <c r="E914" s="9">
        <v>336</v>
      </c>
      <c r="F914" s="9">
        <v>4</v>
      </c>
      <c r="G914" s="9">
        <v>11</v>
      </c>
      <c r="H914" s="9">
        <v>81676</v>
      </c>
      <c r="I914" s="9" t="s">
        <v>17</v>
      </c>
      <c r="J914" s="9">
        <v>53559667</v>
      </c>
      <c r="K914" s="9" t="s">
        <v>3143</v>
      </c>
      <c r="L914" s="9" t="s">
        <v>3145</v>
      </c>
      <c r="M914" s="9">
        <v>139900</v>
      </c>
      <c r="N914" s="24">
        <f t="shared" si="87"/>
        <v>0.7</v>
      </c>
      <c r="O914" s="25">
        <f t="shared" si="86"/>
        <v>41970</v>
      </c>
      <c r="P914" s="11" t="s">
        <v>20</v>
      </c>
    </row>
    <row r="915" spans="1:16" s="29" customFormat="1" x14ac:dyDescent="0.25">
      <c r="A915" s="23" t="str">
        <f t="shared" ref="A915" si="91">A914</f>
        <v>2025 JAN-JUN D70</v>
      </c>
      <c r="B915" s="10">
        <f t="shared" si="90"/>
        <v>46104</v>
      </c>
      <c r="C915" s="10">
        <f t="shared" si="90"/>
        <v>46113</v>
      </c>
      <c r="D915" s="9">
        <v>3273</v>
      </c>
      <c r="E915" s="9">
        <v>336</v>
      </c>
      <c r="F915" s="9">
        <v>4</v>
      </c>
      <c r="G915" s="9">
        <v>11</v>
      </c>
      <c r="H915" s="9">
        <v>81676</v>
      </c>
      <c r="I915" s="9" t="s">
        <v>17</v>
      </c>
      <c r="J915" s="9">
        <v>53559676</v>
      </c>
      <c r="K915" s="9" t="s">
        <v>3143</v>
      </c>
      <c r="L915" s="9" t="s">
        <v>3146</v>
      </c>
      <c r="M915" s="9">
        <v>139900</v>
      </c>
      <c r="N915" s="24">
        <f t="shared" si="87"/>
        <v>0.7</v>
      </c>
      <c r="O915" s="25">
        <f t="shared" si="86"/>
        <v>41970</v>
      </c>
      <c r="P915" s="11" t="s">
        <v>20</v>
      </c>
    </row>
    <row r="916" spans="1:16" s="29" customFormat="1" x14ac:dyDescent="0.25">
      <c r="A916" s="23" t="str">
        <f t="shared" ref="A916" si="92">A915</f>
        <v>2025 JAN-JUN D70</v>
      </c>
      <c r="B916" s="10">
        <f t="shared" si="90"/>
        <v>46104</v>
      </c>
      <c r="C916" s="10">
        <f t="shared" si="90"/>
        <v>46113</v>
      </c>
      <c r="D916" s="9">
        <v>3273</v>
      </c>
      <c r="E916" s="9">
        <v>336</v>
      </c>
      <c r="F916" s="9">
        <v>4</v>
      </c>
      <c r="G916" s="9">
        <v>11</v>
      </c>
      <c r="H916" s="9">
        <v>81676</v>
      </c>
      <c r="I916" s="9" t="s">
        <v>17</v>
      </c>
      <c r="J916" s="9">
        <v>53559685</v>
      </c>
      <c r="K916" s="9" t="s">
        <v>3143</v>
      </c>
      <c r="L916" s="9" t="s">
        <v>3147</v>
      </c>
      <c r="M916" s="9">
        <v>139900</v>
      </c>
      <c r="N916" s="24">
        <f t="shared" si="87"/>
        <v>0.7</v>
      </c>
      <c r="O916" s="25">
        <f t="shared" si="86"/>
        <v>41970</v>
      </c>
      <c r="P916" s="11" t="s">
        <v>20</v>
      </c>
    </row>
    <row r="917" spans="1:16" s="29" customFormat="1" x14ac:dyDescent="0.25">
      <c r="A917" s="23" t="str">
        <f t="shared" ref="A917" si="93">A916</f>
        <v>2025 JAN-JUN D70</v>
      </c>
      <c r="B917" s="10">
        <f t="shared" si="90"/>
        <v>46104</v>
      </c>
      <c r="C917" s="10">
        <f t="shared" si="90"/>
        <v>46113</v>
      </c>
      <c r="D917" s="9">
        <v>3273</v>
      </c>
      <c r="E917" s="9">
        <v>336</v>
      </c>
      <c r="F917" s="9">
        <v>4</v>
      </c>
      <c r="G917" s="9">
        <v>11</v>
      </c>
      <c r="H917" s="9">
        <v>81676</v>
      </c>
      <c r="I917" s="9" t="s">
        <v>17</v>
      </c>
      <c r="J917" s="9">
        <v>53559694</v>
      </c>
      <c r="K917" s="9" t="s">
        <v>3143</v>
      </c>
      <c r="L917" s="9" t="s">
        <v>3148</v>
      </c>
      <c r="M917" s="9">
        <v>139900</v>
      </c>
      <c r="N917" s="24">
        <f t="shared" si="87"/>
        <v>0.7</v>
      </c>
      <c r="O917" s="25">
        <f t="shared" si="86"/>
        <v>41970</v>
      </c>
      <c r="P917" s="11" t="s">
        <v>20</v>
      </c>
    </row>
    <row r="918" spans="1:16" s="29" customFormat="1" x14ac:dyDescent="0.25">
      <c r="A918" s="23" t="str">
        <f t="shared" ref="A918" si="94">A917</f>
        <v>2025 JAN-JUN D70</v>
      </c>
      <c r="B918" s="10">
        <f t="shared" si="90"/>
        <v>46104</v>
      </c>
      <c r="C918" s="10">
        <f t="shared" si="90"/>
        <v>46113</v>
      </c>
      <c r="D918" s="9">
        <v>3273</v>
      </c>
      <c r="E918" s="9">
        <v>336</v>
      </c>
      <c r="F918" s="9">
        <v>4</v>
      </c>
      <c r="G918" s="9">
        <v>11</v>
      </c>
      <c r="H918" s="9">
        <v>81676</v>
      </c>
      <c r="I918" s="9" t="s">
        <v>17</v>
      </c>
      <c r="J918" s="9">
        <v>53559701</v>
      </c>
      <c r="K918" s="9" t="s">
        <v>3143</v>
      </c>
      <c r="L918" s="9" t="s">
        <v>3149</v>
      </c>
      <c r="M918" s="9">
        <v>139900</v>
      </c>
      <c r="N918" s="24">
        <f t="shared" si="87"/>
        <v>0.7</v>
      </c>
      <c r="O918" s="25">
        <f t="shared" si="86"/>
        <v>41970</v>
      </c>
      <c r="P918" s="11" t="s">
        <v>20</v>
      </c>
    </row>
    <row r="919" spans="1:16" s="29" customFormat="1" x14ac:dyDescent="0.25">
      <c r="A919" s="23" t="str">
        <f t="shared" ref="A919" si="95">A918</f>
        <v>2025 JAN-JUN D70</v>
      </c>
      <c r="B919" s="10">
        <f t="shared" si="90"/>
        <v>46104</v>
      </c>
      <c r="C919" s="10">
        <f t="shared" si="90"/>
        <v>46113</v>
      </c>
      <c r="D919" s="9">
        <v>3273</v>
      </c>
      <c r="E919" s="9">
        <v>336</v>
      </c>
      <c r="F919" s="9">
        <v>4</v>
      </c>
      <c r="G919" s="9">
        <v>6</v>
      </c>
      <c r="H919" s="9">
        <v>81588</v>
      </c>
      <c r="I919" s="9" t="s">
        <v>17</v>
      </c>
      <c r="J919" s="9">
        <v>51710719</v>
      </c>
      <c r="K919" s="9" t="s">
        <v>3150</v>
      </c>
      <c r="L919" s="9" t="s">
        <v>3151</v>
      </c>
      <c r="M919" s="9">
        <v>169900</v>
      </c>
      <c r="N919" s="24">
        <f t="shared" si="87"/>
        <v>0.7</v>
      </c>
      <c r="O919" s="25">
        <f t="shared" si="86"/>
        <v>50970</v>
      </c>
      <c r="P919" s="11" t="s">
        <v>20</v>
      </c>
    </row>
    <row r="920" spans="1:16" s="29" customFormat="1" x14ac:dyDescent="0.25">
      <c r="A920" s="23" t="str">
        <f t="shared" ref="A920" si="96">A919</f>
        <v>2025 JAN-JUN D70</v>
      </c>
      <c r="B920" s="10">
        <f t="shared" si="90"/>
        <v>46104</v>
      </c>
      <c r="C920" s="10">
        <f t="shared" si="90"/>
        <v>46113</v>
      </c>
      <c r="D920" s="9">
        <v>3273</v>
      </c>
      <c r="E920" s="9">
        <v>336</v>
      </c>
      <c r="F920" s="9">
        <v>4</v>
      </c>
      <c r="G920" s="9">
        <v>6</v>
      </c>
      <c r="H920" s="9">
        <v>81588</v>
      </c>
      <c r="I920" s="9" t="s">
        <v>17</v>
      </c>
      <c r="J920" s="9">
        <v>51710728</v>
      </c>
      <c r="K920" s="9" t="s">
        <v>3150</v>
      </c>
      <c r="L920" s="9" t="s">
        <v>3152</v>
      </c>
      <c r="M920" s="9">
        <v>169900</v>
      </c>
      <c r="N920" s="24">
        <f t="shared" si="87"/>
        <v>0.7</v>
      </c>
      <c r="O920" s="25">
        <f t="shared" si="86"/>
        <v>50970</v>
      </c>
      <c r="P920" s="11" t="s">
        <v>20</v>
      </c>
    </row>
    <row r="921" spans="1:16" s="29" customFormat="1" x14ac:dyDescent="0.25">
      <c r="A921" s="23" t="str">
        <f t="shared" ref="A921" si="97">A920</f>
        <v>2025 JAN-JUN D70</v>
      </c>
      <c r="B921" s="10">
        <f t="shared" si="90"/>
        <v>46104</v>
      </c>
      <c r="C921" s="10">
        <f t="shared" si="90"/>
        <v>46113</v>
      </c>
      <c r="D921" s="9">
        <v>3273</v>
      </c>
      <c r="E921" s="9">
        <v>336</v>
      </c>
      <c r="F921" s="9">
        <v>4</v>
      </c>
      <c r="G921" s="9">
        <v>6</v>
      </c>
      <c r="H921" s="9">
        <v>81588</v>
      </c>
      <c r="I921" s="9" t="s">
        <v>17</v>
      </c>
      <c r="J921" s="9">
        <v>51710737</v>
      </c>
      <c r="K921" s="9" t="s">
        <v>3150</v>
      </c>
      <c r="L921" s="9" t="s">
        <v>3153</v>
      </c>
      <c r="M921" s="9">
        <v>169900</v>
      </c>
      <c r="N921" s="24">
        <f t="shared" si="87"/>
        <v>0.7</v>
      </c>
      <c r="O921" s="25">
        <f t="shared" si="86"/>
        <v>50970</v>
      </c>
      <c r="P921" s="11" t="s">
        <v>20</v>
      </c>
    </row>
    <row r="922" spans="1:16" s="29" customFormat="1" x14ac:dyDescent="0.25">
      <c r="A922" s="23" t="str">
        <f t="shared" ref="A922" si="98">A921</f>
        <v>2025 JAN-JUN D70</v>
      </c>
      <c r="B922" s="10">
        <f t="shared" si="90"/>
        <v>46104</v>
      </c>
      <c r="C922" s="10">
        <f t="shared" si="90"/>
        <v>46113</v>
      </c>
      <c r="D922" s="9">
        <v>3273</v>
      </c>
      <c r="E922" s="9">
        <v>336</v>
      </c>
      <c r="F922" s="9">
        <v>4</v>
      </c>
      <c r="G922" s="9">
        <v>6</v>
      </c>
      <c r="H922" s="9">
        <v>81588</v>
      </c>
      <c r="I922" s="9" t="s">
        <v>17</v>
      </c>
      <c r="J922" s="9">
        <v>51710746</v>
      </c>
      <c r="K922" s="9" t="s">
        <v>3150</v>
      </c>
      <c r="L922" s="9" t="s">
        <v>3154</v>
      </c>
      <c r="M922" s="9">
        <v>169900</v>
      </c>
      <c r="N922" s="24">
        <f t="shared" si="87"/>
        <v>0.7</v>
      </c>
      <c r="O922" s="25">
        <f t="shared" si="86"/>
        <v>50970</v>
      </c>
      <c r="P922" s="11" t="s">
        <v>20</v>
      </c>
    </row>
    <row r="923" spans="1:16" s="29" customFormat="1" x14ac:dyDescent="0.25">
      <c r="A923" s="23" t="str">
        <f t="shared" ref="A923" si="99">A922</f>
        <v>2025 JAN-JUN D70</v>
      </c>
      <c r="B923" s="10">
        <f t="shared" si="90"/>
        <v>46104</v>
      </c>
      <c r="C923" s="10">
        <f t="shared" si="90"/>
        <v>46113</v>
      </c>
      <c r="D923" s="9">
        <v>3273</v>
      </c>
      <c r="E923" s="9">
        <v>336</v>
      </c>
      <c r="F923" s="9">
        <v>4</v>
      </c>
      <c r="G923" s="9">
        <v>6</v>
      </c>
      <c r="H923" s="9">
        <v>81588</v>
      </c>
      <c r="I923" s="9" t="s">
        <v>17</v>
      </c>
      <c r="J923" s="9">
        <v>51710755</v>
      </c>
      <c r="K923" s="9" t="s">
        <v>3150</v>
      </c>
      <c r="L923" s="9" t="s">
        <v>3155</v>
      </c>
      <c r="M923" s="9">
        <v>169900</v>
      </c>
      <c r="N923" s="24">
        <f t="shared" si="87"/>
        <v>0.7</v>
      </c>
      <c r="O923" s="25">
        <f t="shared" si="86"/>
        <v>50970</v>
      </c>
      <c r="P923" s="11" t="s">
        <v>20</v>
      </c>
    </row>
    <row r="924" spans="1:16" s="29" customFormat="1" x14ac:dyDescent="0.25">
      <c r="A924" s="23" t="str">
        <f t="shared" ref="A924" si="100">A923</f>
        <v>2025 JAN-JUN D70</v>
      </c>
      <c r="B924" s="10">
        <f t="shared" si="90"/>
        <v>46104</v>
      </c>
      <c r="C924" s="10">
        <f t="shared" si="90"/>
        <v>46113</v>
      </c>
      <c r="D924" s="9">
        <v>3273</v>
      </c>
      <c r="E924" s="9">
        <v>336</v>
      </c>
      <c r="F924" s="9">
        <v>4</v>
      </c>
      <c r="G924" s="9">
        <v>6</v>
      </c>
      <c r="H924" s="9">
        <v>81588</v>
      </c>
      <c r="I924" s="9" t="s">
        <v>17</v>
      </c>
      <c r="J924" s="9">
        <v>51710764</v>
      </c>
      <c r="K924" s="9" t="s">
        <v>3150</v>
      </c>
      <c r="L924" s="9" t="s">
        <v>3156</v>
      </c>
      <c r="M924" s="9">
        <v>169900</v>
      </c>
      <c r="N924" s="24">
        <f t="shared" si="87"/>
        <v>0.7</v>
      </c>
      <c r="O924" s="25">
        <f t="shared" si="86"/>
        <v>50970</v>
      </c>
      <c r="P924" s="11" t="s">
        <v>20</v>
      </c>
    </row>
    <row r="925" spans="1:16" s="29" customFormat="1" x14ac:dyDescent="0.25">
      <c r="A925" s="23" t="str">
        <f t="shared" ref="A925" si="101">A924</f>
        <v>2025 JAN-JUN D70</v>
      </c>
      <c r="B925" s="10">
        <f t="shared" si="90"/>
        <v>46104</v>
      </c>
      <c r="C925" s="10">
        <f t="shared" si="90"/>
        <v>46113</v>
      </c>
      <c r="D925" s="9">
        <v>3273</v>
      </c>
      <c r="E925" s="9">
        <v>336</v>
      </c>
      <c r="F925" s="9">
        <v>4</v>
      </c>
      <c r="G925" s="9">
        <v>6</v>
      </c>
      <c r="H925" s="9">
        <v>81588</v>
      </c>
      <c r="I925" s="9" t="s">
        <v>17</v>
      </c>
      <c r="J925" s="9">
        <v>51710773</v>
      </c>
      <c r="K925" s="9" t="s">
        <v>3150</v>
      </c>
      <c r="L925" s="9" t="s">
        <v>3157</v>
      </c>
      <c r="M925" s="9">
        <v>169900</v>
      </c>
      <c r="N925" s="24">
        <f t="shared" si="87"/>
        <v>0.7</v>
      </c>
      <c r="O925" s="25">
        <f t="shared" si="86"/>
        <v>50970</v>
      </c>
      <c r="P925" s="11" t="s">
        <v>20</v>
      </c>
    </row>
    <row r="926" spans="1:16" s="29" customFormat="1" x14ac:dyDescent="0.25">
      <c r="A926" s="23" t="str">
        <f t="shared" ref="A926" si="102">A925</f>
        <v>2025 JAN-JUN D70</v>
      </c>
      <c r="B926" s="10">
        <f t="shared" si="90"/>
        <v>46104</v>
      </c>
      <c r="C926" s="10">
        <f t="shared" si="90"/>
        <v>46113</v>
      </c>
      <c r="D926" s="9">
        <v>3273</v>
      </c>
      <c r="E926" s="9">
        <v>336</v>
      </c>
      <c r="F926" s="9">
        <v>4</v>
      </c>
      <c r="G926" s="9">
        <v>6</v>
      </c>
      <c r="H926" s="9">
        <v>81588</v>
      </c>
      <c r="I926" s="9" t="s">
        <v>17</v>
      </c>
      <c r="J926" s="9">
        <v>51710782</v>
      </c>
      <c r="K926" s="9" t="s">
        <v>3150</v>
      </c>
      <c r="L926" s="9" t="s">
        <v>3158</v>
      </c>
      <c r="M926" s="9">
        <v>169900</v>
      </c>
      <c r="N926" s="24">
        <f t="shared" si="87"/>
        <v>0.7</v>
      </c>
      <c r="O926" s="25">
        <f t="shared" si="86"/>
        <v>50970</v>
      </c>
      <c r="P926" s="11" t="s">
        <v>20</v>
      </c>
    </row>
    <row r="927" spans="1:16" s="29" customFormat="1" x14ac:dyDescent="0.25">
      <c r="A927" s="23" t="str">
        <f t="shared" ref="A927" si="103">A926</f>
        <v>2025 JAN-JUN D70</v>
      </c>
      <c r="B927" s="10">
        <f t="shared" si="90"/>
        <v>46104</v>
      </c>
      <c r="C927" s="10">
        <f t="shared" si="90"/>
        <v>46113</v>
      </c>
      <c r="D927" s="9">
        <v>3273</v>
      </c>
      <c r="E927" s="9">
        <v>336</v>
      </c>
      <c r="F927" s="9">
        <v>4</v>
      </c>
      <c r="G927" s="9">
        <v>6</v>
      </c>
      <c r="H927" s="9">
        <v>81588</v>
      </c>
      <c r="I927" s="9" t="s">
        <v>17</v>
      </c>
      <c r="J927" s="9">
        <v>51100922</v>
      </c>
      <c r="K927" s="9" t="s">
        <v>3159</v>
      </c>
      <c r="L927" s="9" t="s">
        <v>3160</v>
      </c>
      <c r="M927" s="9">
        <v>169900</v>
      </c>
      <c r="N927" s="24">
        <f t="shared" si="87"/>
        <v>0.7</v>
      </c>
      <c r="O927" s="25">
        <f t="shared" si="86"/>
        <v>50970</v>
      </c>
      <c r="P927" s="11" t="s">
        <v>20</v>
      </c>
    </row>
    <row r="928" spans="1:16" s="29" customFormat="1" x14ac:dyDescent="0.25">
      <c r="A928" s="23" t="str">
        <f t="shared" ref="A928" si="104">A927</f>
        <v>2025 JAN-JUN D70</v>
      </c>
      <c r="B928" s="10">
        <f t="shared" si="90"/>
        <v>46104</v>
      </c>
      <c r="C928" s="10">
        <f t="shared" si="90"/>
        <v>46113</v>
      </c>
      <c r="D928" s="9">
        <v>3273</v>
      </c>
      <c r="E928" s="9">
        <v>336</v>
      </c>
      <c r="F928" s="9">
        <v>4</v>
      </c>
      <c r="G928" s="9">
        <v>6</v>
      </c>
      <c r="H928" s="9">
        <v>81588</v>
      </c>
      <c r="I928" s="9" t="s">
        <v>17</v>
      </c>
      <c r="J928" s="9">
        <v>51100931</v>
      </c>
      <c r="K928" s="9" t="s">
        <v>3159</v>
      </c>
      <c r="L928" s="9" t="s">
        <v>3161</v>
      </c>
      <c r="M928" s="9">
        <v>169900</v>
      </c>
      <c r="N928" s="24">
        <f t="shared" si="87"/>
        <v>0.7</v>
      </c>
      <c r="O928" s="25">
        <f t="shared" si="86"/>
        <v>50970</v>
      </c>
      <c r="P928" s="11" t="s">
        <v>20</v>
      </c>
    </row>
    <row r="929" spans="1:16" s="29" customFormat="1" x14ac:dyDescent="0.25">
      <c r="A929" s="23" t="str">
        <f t="shared" ref="A929" si="105">A928</f>
        <v>2025 JAN-JUN D70</v>
      </c>
      <c r="B929" s="10">
        <f t="shared" si="90"/>
        <v>46104</v>
      </c>
      <c r="C929" s="10">
        <f t="shared" si="90"/>
        <v>46113</v>
      </c>
      <c r="D929" s="9">
        <v>3273</v>
      </c>
      <c r="E929" s="9">
        <v>336</v>
      </c>
      <c r="F929" s="9">
        <v>4</v>
      </c>
      <c r="G929" s="9">
        <v>6</v>
      </c>
      <c r="H929" s="9">
        <v>81588</v>
      </c>
      <c r="I929" s="9" t="s">
        <v>17</v>
      </c>
      <c r="J929" s="9">
        <v>51100940</v>
      </c>
      <c r="K929" s="9" t="s">
        <v>3159</v>
      </c>
      <c r="L929" s="9" t="s">
        <v>3162</v>
      </c>
      <c r="M929" s="9">
        <v>169900</v>
      </c>
      <c r="N929" s="24">
        <f t="shared" si="87"/>
        <v>0.7</v>
      </c>
      <c r="O929" s="25">
        <f t="shared" si="86"/>
        <v>50970</v>
      </c>
      <c r="P929" s="11" t="s">
        <v>20</v>
      </c>
    </row>
    <row r="930" spans="1:16" s="29" customFormat="1" x14ac:dyDescent="0.25">
      <c r="A930" s="23" t="str">
        <f t="shared" ref="A930" si="106">A929</f>
        <v>2025 JAN-JUN D70</v>
      </c>
      <c r="B930" s="10">
        <f t="shared" ref="A930:C945" si="107">B929</f>
        <v>46104</v>
      </c>
      <c r="C930" s="10">
        <f t="shared" si="107"/>
        <v>46113</v>
      </c>
      <c r="D930" s="9">
        <v>3273</v>
      </c>
      <c r="E930" s="9">
        <v>336</v>
      </c>
      <c r="F930" s="9">
        <v>4</v>
      </c>
      <c r="G930" s="9">
        <v>6</v>
      </c>
      <c r="H930" s="9">
        <v>81588</v>
      </c>
      <c r="I930" s="9" t="s">
        <v>17</v>
      </c>
      <c r="J930" s="9">
        <v>51100959</v>
      </c>
      <c r="K930" s="9" t="s">
        <v>3159</v>
      </c>
      <c r="L930" s="9" t="s">
        <v>3163</v>
      </c>
      <c r="M930" s="9">
        <v>169900</v>
      </c>
      <c r="N930" s="24">
        <f t="shared" si="87"/>
        <v>0.7</v>
      </c>
      <c r="O930" s="25">
        <f t="shared" si="86"/>
        <v>50970</v>
      </c>
      <c r="P930" s="11" t="s">
        <v>20</v>
      </c>
    </row>
    <row r="931" spans="1:16" s="29" customFormat="1" x14ac:dyDescent="0.25">
      <c r="A931" s="23" t="str">
        <f t="shared" ref="A931" si="108">A930</f>
        <v>2025 JAN-JUN D70</v>
      </c>
      <c r="B931" s="10">
        <f t="shared" si="107"/>
        <v>46104</v>
      </c>
      <c r="C931" s="10">
        <f t="shared" si="107"/>
        <v>46113</v>
      </c>
      <c r="D931" s="9">
        <v>3273</v>
      </c>
      <c r="E931" s="9">
        <v>336</v>
      </c>
      <c r="F931" s="9">
        <v>4</v>
      </c>
      <c r="G931" s="9">
        <v>6</v>
      </c>
      <c r="H931" s="9">
        <v>81588</v>
      </c>
      <c r="I931" s="9" t="s">
        <v>17</v>
      </c>
      <c r="J931" s="9">
        <v>51100968</v>
      </c>
      <c r="K931" s="9" t="s">
        <v>3159</v>
      </c>
      <c r="L931" s="9" t="s">
        <v>3164</v>
      </c>
      <c r="M931" s="9">
        <v>169900</v>
      </c>
      <c r="N931" s="24">
        <f t="shared" si="87"/>
        <v>0.7</v>
      </c>
      <c r="O931" s="25">
        <f t="shared" si="86"/>
        <v>50970</v>
      </c>
      <c r="P931" s="11" t="s">
        <v>20</v>
      </c>
    </row>
    <row r="932" spans="1:16" s="29" customFormat="1" x14ac:dyDescent="0.25">
      <c r="A932" s="23" t="str">
        <f t="shared" ref="A932" si="109">A931</f>
        <v>2025 JAN-JUN D70</v>
      </c>
      <c r="B932" s="10">
        <f t="shared" si="107"/>
        <v>46104</v>
      </c>
      <c r="C932" s="10">
        <f t="shared" si="107"/>
        <v>46113</v>
      </c>
      <c r="D932" s="9">
        <v>3273</v>
      </c>
      <c r="E932" s="9">
        <v>336</v>
      </c>
      <c r="F932" s="9">
        <v>4</v>
      </c>
      <c r="G932" s="9">
        <v>6</v>
      </c>
      <c r="H932" s="9">
        <v>81588</v>
      </c>
      <c r="I932" s="9" t="s">
        <v>17</v>
      </c>
      <c r="J932" s="9">
        <v>51100977</v>
      </c>
      <c r="K932" s="9" t="s">
        <v>3159</v>
      </c>
      <c r="L932" s="9" t="s">
        <v>3165</v>
      </c>
      <c r="M932" s="9">
        <v>169900</v>
      </c>
      <c r="N932" s="24">
        <f t="shared" si="87"/>
        <v>0.7</v>
      </c>
      <c r="O932" s="25">
        <f t="shared" si="86"/>
        <v>50970</v>
      </c>
      <c r="P932" s="11" t="s">
        <v>20</v>
      </c>
    </row>
    <row r="933" spans="1:16" s="29" customFormat="1" x14ac:dyDescent="0.25">
      <c r="A933" s="23" t="str">
        <f t="shared" ref="A933" si="110">A932</f>
        <v>2025 JAN-JUN D70</v>
      </c>
      <c r="B933" s="10">
        <f t="shared" si="107"/>
        <v>46104</v>
      </c>
      <c r="C933" s="10">
        <f t="shared" si="107"/>
        <v>46113</v>
      </c>
      <c r="D933" s="9">
        <v>3273</v>
      </c>
      <c r="E933" s="9">
        <v>336</v>
      </c>
      <c r="F933" s="9">
        <v>4</v>
      </c>
      <c r="G933" s="9">
        <v>6</v>
      </c>
      <c r="H933" s="9">
        <v>81588</v>
      </c>
      <c r="I933" s="9" t="s">
        <v>17</v>
      </c>
      <c r="J933" s="9">
        <v>51100986</v>
      </c>
      <c r="K933" s="9" t="s">
        <v>3159</v>
      </c>
      <c r="L933" s="9" t="s">
        <v>3166</v>
      </c>
      <c r="M933" s="9">
        <v>169900</v>
      </c>
      <c r="N933" s="24">
        <f t="shared" si="87"/>
        <v>0.7</v>
      </c>
      <c r="O933" s="25">
        <f t="shared" si="86"/>
        <v>50970</v>
      </c>
      <c r="P933" s="11" t="s">
        <v>20</v>
      </c>
    </row>
    <row r="934" spans="1:16" s="29" customFormat="1" x14ac:dyDescent="0.25">
      <c r="A934" s="23" t="str">
        <f t="shared" ref="A934" si="111">A933</f>
        <v>2025 JAN-JUN D70</v>
      </c>
      <c r="B934" s="10">
        <f t="shared" si="107"/>
        <v>46104</v>
      </c>
      <c r="C934" s="10">
        <f t="shared" si="107"/>
        <v>46113</v>
      </c>
      <c r="D934" s="9">
        <v>3273</v>
      </c>
      <c r="E934" s="9">
        <v>336</v>
      </c>
      <c r="F934" s="9">
        <v>4</v>
      </c>
      <c r="G934" s="9">
        <v>6</v>
      </c>
      <c r="H934" s="9">
        <v>81588</v>
      </c>
      <c r="I934" s="9" t="s">
        <v>17</v>
      </c>
      <c r="J934" s="9">
        <v>51100995</v>
      </c>
      <c r="K934" s="9" t="s">
        <v>3159</v>
      </c>
      <c r="L934" s="9" t="s">
        <v>3167</v>
      </c>
      <c r="M934" s="9">
        <v>169900</v>
      </c>
      <c r="N934" s="24">
        <f t="shared" si="87"/>
        <v>0.7</v>
      </c>
      <c r="O934" s="25">
        <f t="shared" si="86"/>
        <v>50970</v>
      </c>
      <c r="P934" s="11" t="s">
        <v>20</v>
      </c>
    </row>
    <row r="935" spans="1:16" s="29" customFormat="1" x14ac:dyDescent="0.25">
      <c r="A935" s="23" t="str">
        <f t="shared" ref="A935" si="112">A934</f>
        <v>2025 JAN-JUN D70</v>
      </c>
      <c r="B935" s="10">
        <f t="shared" si="107"/>
        <v>46104</v>
      </c>
      <c r="C935" s="10">
        <f t="shared" si="107"/>
        <v>46113</v>
      </c>
      <c r="D935" s="9">
        <v>3273</v>
      </c>
      <c r="E935" s="9">
        <v>336</v>
      </c>
      <c r="F935" s="9">
        <v>4</v>
      </c>
      <c r="G935" s="9">
        <v>11</v>
      </c>
      <c r="H935" s="9">
        <v>81676</v>
      </c>
      <c r="I935" s="9" t="s">
        <v>17</v>
      </c>
      <c r="J935" s="9">
        <v>53559710</v>
      </c>
      <c r="K935" s="9" t="s">
        <v>3168</v>
      </c>
      <c r="L935" s="9" t="s">
        <v>3169</v>
      </c>
      <c r="M935" s="9">
        <v>139900</v>
      </c>
      <c r="N935" s="24">
        <f t="shared" si="87"/>
        <v>0.7</v>
      </c>
      <c r="O935" s="25">
        <f t="shared" si="86"/>
        <v>41970</v>
      </c>
      <c r="P935" s="11" t="s">
        <v>20</v>
      </c>
    </row>
    <row r="936" spans="1:16" s="29" customFormat="1" x14ac:dyDescent="0.25">
      <c r="A936" s="23" t="str">
        <f t="shared" ref="A936" si="113">A935</f>
        <v>2025 JAN-JUN D70</v>
      </c>
      <c r="B936" s="10">
        <f t="shared" si="107"/>
        <v>46104</v>
      </c>
      <c r="C936" s="10">
        <f t="shared" si="107"/>
        <v>46113</v>
      </c>
      <c r="D936" s="9">
        <v>3273</v>
      </c>
      <c r="E936" s="9">
        <v>336</v>
      </c>
      <c r="F936" s="9">
        <v>4</v>
      </c>
      <c r="G936" s="9">
        <v>11</v>
      </c>
      <c r="H936" s="9">
        <v>81676</v>
      </c>
      <c r="I936" s="9" t="s">
        <v>17</v>
      </c>
      <c r="J936" s="9">
        <v>53559729</v>
      </c>
      <c r="K936" s="9" t="s">
        <v>3168</v>
      </c>
      <c r="L936" s="9" t="s">
        <v>3170</v>
      </c>
      <c r="M936" s="9">
        <v>139900</v>
      </c>
      <c r="N936" s="24">
        <f t="shared" si="87"/>
        <v>0.7</v>
      </c>
      <c r="O936" s="25">
        <f t="shared" si="86"/>
        <v>41970</v>
      </c>
      <c r="P936" s="11" t="s">
        <v>20</v>
      </c>
    </row>
    <row r="937" spans="1:16" s="29" customFormat="1" x14ac:dyDescent="0.25">
      <c r="A937" s="23" t="str">
        <f t="shared" ref="A937" si="114">A936</f>
        <v>2025 JAN-JUN D70</v>
      </c>
      <c r="B937" s="10">
        <f t="shared" si="107"/>
        <v>46104</v>
      </c>
      <c r="C937" s="10">
        <f t="shared" si="107"/>
        <v>46113</v>
      </c>
      <c r="D937" s="9">
        <v>3273</v>
      </c>
      <c r="E937" s="9">
        <v>336</v>
      </c>
      <c r="F937" s="9">
        <v>4</v>
      </c>
      <c r="G937" s="9">
        <v>11</v>
      </c>
      <c r="H937" s="9">
        <v>81676</v>
      </c>
      <c r="I937" s="9" t="s">
        <v>17</v>
      </c>
      <c r="J937" s="9">
        <v>53559738</v>
      </c>
      <c r="K937" s="9" t="s">
        <v>3168</v>
      </c>
      <c r="L937" s="9" t="s">
        <v>3171</v>
      </c>
      <c r="M937" s="9">
        <v>139900</v>
      </c>
      <c r="N937" s="24">
        <f t="shared" si="87"/>
        <v>0.7</v>
      </c>
      <c r="O937" s="25">
        <f t="shared" si="86"/>
        <v>41970</v>
      </c>
      <c r="P937" s="11" t="s">
        <v>20</v>
      </c>
    </row>
    <row r="938" spans="1:16" s="29" customFormat="1" x14ac:dyDescent="0.25">
      <c r="A938" s="23" t="str">
        <f t="shared" ref="A938" si="115">A937</f>
        <v>2025 JAN-JUN D70</v>
      </c>
      <c r="B938" s="10">
        <f t="shared" si="107"/>
        <v>46104</v>
      </c>
      <c r="C938" s="10">
        <f t="shared" si="107"/>
        <v>46113</v>
      </c>
      <c r="D938" s="9">
        <v>3273</v>
      </c>
      <c r="E938" s="9">
        <v>336</v>
      </c>
      <c r="F938" s="9">
        <v>4</v>
      </c>
      <c r="G938" s="9">
        <v>11</v>
      </c>
      <c r="H938" s="9">
        <v>81676</v>
      </c>
      <c r="I938" s="9" t="s">
        <v>17</v>
      </c>
      <c r="J938" s="9">
        <v>53559747</v>
      </c>
      <c r="K938" s="9" t="s">
        <v>3168</v>
      </c>
      <c r="L938" s="9" t="s">
        <v>3172</v>
      </c>
      <c r="M938" s="9">
        <v>139900</v>
      </c>
      <c r="N938" s="24">
        <f t="shared" si="87"/>
        <v>0.7</v>
      </c>
      <c r="O938" s="25">
        <f t="shared" si="86"/>
        <v>41970</v>
      </c>
      <c r="P938" s="11" t="s">
        <v>20</v>
      </c>
    </row>
    <row r="939" spans="1:16" s="29" customFormat="1" x14ac:dyDescent="0.25">
      <c r="A939" s="23" t="str">
        <f t="shared" ref="A939" si="116">A938</f>
        <v>2025 JAN-JUN D70</v>
      </c>
      <c r="B939" s="10">
        <f t="shared" si="107"/>
        <v>46104</v>
      </c>
      <c r="C939" s="10">
        <f t="shared" si="107"/>
        <v>46113</v>
      </c>
      <c r="D939" s="9">
        <v>3273</v>
      </c>
      <c r="E939" s="9">
        <v>336</v>
      </c>
      <c r="F939" s="9">
        <v>4</v>
      </c>
      <c r="G939" s="9">
        <v>11</v>
      </c>
      <c r="H939" s="9">
        <v>81676</v>
      </c>
      <c r="I939" s="9" t="s">
        <v>17</v>
      </c>
      <c r="J939" s="9">
        <v>53559756</v>
      </c>
      <c r="K939" s="9" t="s">
        <v>3168</v>
      </c>
      <c r="L939" s="9" t="s">
        <v>3173</v>
      </c>
      <c r="M939" s="9">
        <v>139900</v>
      </c>
      <c r="N939" s="24">
        <f t="shared" si="87"/>
        <v>0.7</v>
      </c>
      <c r="O939" s="25">
        <f t="shared" si="86"/>
        <v>41970</v>
      </c>
      <c r="P939" s="11" t="s">
        <v>20</v>
      </c>
    </row>
    <row r="940" spans="1:16" s="29" customFormat="1" x14ac:dyDescent="0.25">
      <c r="A940" s="23" t="str">
        <f t="shared" ref="A940" si="117">A939</f>
        <v>2025 JAN-JUN D70</v>
      </c>
      <c r="B940" s="10">
        <f t="shared" si="107"/>
        <v>46104</v>
      </c>
      <c r="C940" s="10">
        <f t="shared" si="107"/>
        <v>46113</v>
      </c>
      <c r="D940" s="9">
        <v>3273</v>
      </c>
      <c r="E940" s="9">
        <v>336</v>
      </c>
      <c r="F940" s="9">
        <v>4</v>
      </c>
      <c r="G940" s="9">
        <v>11</v>
      </c>
      <c r="H940" s="9">
        <v>81676</v>
      </c>
      <c r="I940" s="9" t="s">
        <v>17</v>
      </c>
      <c r="J940" s="9">
        <v>53559765</v>
      </c>
      <c r="K940" s="9" t="s">
        <v>3168</v>
      </c>
      <c r="L940" s="9" t="s">
        <v>3174</v>
      </c>
      <c r="M940" s="9">
        <v>139900</v>
      </c>
      <c r="N940" s="24">
        <f t="shared" si="87"/>
        <v>0.7</v>
      </c>
      <c r="O940" s="25">
        <f t="shared" si="86"/>
        <v>41970</v>
      </c>
      <c r="P940" s="11" t="s">
        <v>20</v>
      </c>
    </row>
    <row r="941" spans="1:16" s="29" customFormat="1" x14ac:dyDescent="0.25">
      <c r="A941" s="23" t="str">
        <f t="shared" ref="A941" si="118">A940</f>
        <v>2025 JAN-JUN D70</v>
      </c>
      <c r="B941" s="10">
        <f t="shared" si="107"/>
        <v>46104</v>
      </c>
      <c r="C941" s="10">
        <f t="shared" si="107"/>
        <v>46113</v>
      </c>
      <c r="D941" s="9">
        <v>3273</v>
      </c>
      <c r="E941" s="9">
        <v>336</v>
      </c>
      <c r="F941" s="9">
        <v>4</v>
      </c>
      <c r="G941" s="9">
        <v>11</v>
      </c>
      <c r="H941" s="9">
        <v>81676</v>
      </c>
      <c r="I941" s="9" t="s">
        <v>17</v>
      </c>
      <c r="J941" s="9">
        <v>53559774</v>
      </c>
      <c r="K941" s="9" t="s">
        <v>3175</v>
      </c>
      <c r="L941" s="9" t="s">
        <v>3176</v>
      </c>
      <c r="M941" s="9">
        <v>149900</v>
      </c>
      <c r="N941" s="24">
        <f t="shared" si="87"/>
        <v>0.7</v>
      </c>
      <c r="O941" s="25">
        <f t="shared" si="86"/>
        <v>44970</v>
      </c>
      <c r="P941" s="11" t="s">
        <v>20</v>
      </c>
    </row>
    <row r="942" spans="1:16" s="29" customFormat="1" x14ac:dyDescent="0.25">
      <c r="A942" s="23" t="str">
        <f t="shared" ref="A942" si="119">A941</f>
        <v>2025 JAN-JUN D70</v>
      </c>
      <c r="B942" s="10">
        <f t="shared" si="107"/>
        <v>46104</v>
      </c>
      <c r="C942" s="10">
        <f t="shared" si="107"/>
        <v>46113</v>
      </c>
      <c r="D942" s="9">
        <v>3273</v>
      </c>
      <c r="E942" s="9">
        <v>336</v>
      </c>
      <c r="F942" s="9">
        <v>4</v>
      </c>
      <c r="G942" s="9">
        <v>11</v>
      </c>
      <c r="H942" s="9">
        <v>81676</v>
      </c>
      <c r="I942" s="9" t="s">
        <v>17</v>
      </c>
      <c r="J942" s="9">
        <v>53559783</v>
      </c>
      <c r="K942" s="9" t="s">
        <v>3175</v>
      </c>
      <c r="L942" s="9" t="s">
        <v>3177</v>
      </c>
      <c r="M942" s="9">
        <v>149900</v>
      </c>
      <c r="N942" s="24">
        <f t="shared" si="87"/>
        <v>0.7</v>
      </c>
      <c r="O942" s="25">
        <f t="shared" si="86"/>
        <v>44970</v>
      </c>
      <c r="P942" s="11" t="s">
        <v>20</v>
      </c>
    </row>
    <row r="943" spans="1:16" s="29" customFormat="1" x14ac:dyDescent="0.25">
      <c r="A943" s="23" t="str">
        <f t="shared" ref="A943" si="120">A942</f>
        <v>2025 JAN-JUN D70</v>
      </c>
      <c r="B943" s="10">
        <f t="shared" si="107"/>
        <v>46104</v>
      </c>
      <c r="C943" s="10">
        <f t="shared" si="107"/>
        <v>46113</v>
      </c>
      <c r="D943" s="9">
        <v>3273</v>
      </c>
      <c r="E943" s="9">
        <v>336</v>
      </c>
      <c r="F943" s="9">
        <v>4</v>
      </c>
      <c r="G943" s="9">
        <v>11</v>
      </c>
      <c r="H943" s="9">
        <v>81676</v>
      </c>
      <c r="I943" s="9" t="s">
        <v>17</v>
      </c>
      <c r="J943" s="9">
        <v>53559792</v>
      </c>
      <c r="K943" s="9" t="s">
        <v>3175</v>
      </c>
      <c r="L943" s="9" t="s">
        <v>3178</v>
      </c>
      <c r="M943" s="9">
        <v>149900</v>
      </c>
      <c r="N943" s="24">
        <f t="shared" si="87"/>
        <v>0.7</v>
      </c>
      <c r="O943" s="25">
        <f t="shared" si="86"/>
        <v>44970</v>
      </c>
      <c r="P943" s="11" t="s">
        <v>20</v>
      </c>
    </row>
    <row r="944" spans="1:16" s="29" customFormat="1" x14ac:dyDescent="0.25">
      <c r="A944" s="23" t="str">
        <f t="shared" ref="A944" si="121">A943</f>
        <v>2025 JAN-JUN D70</v>
      </c>
      <c r="B944" s="10">
        <f t="shared" si="107"/>
        <v>46104</v>
      </c>
      <c r="C944" s="10">
        <f t="shared" si="107"/>
        <v>46113</v>
      </c>
      <c r="D944" s="9">
        <v>3273</v>
      </c>
      <c r="E944" s="9">
        <v>336</v>
      </c>
      <c r="F944" s="9">
        <v>4</v>
      </c>
      <c r="G944" s="9">
        <v>11</v>
      </c>
      <c r="H944" s="9">
        <v>81676</v>
      </c>
      <c r="I944" s="9" t="s">
        <v>17</v>
      </c>
      <c r="J944" s="9">
        <v>53559809</v>
      </c>
      <c r="K944" s="9" t="s">
        <v>3175</v>
      </c>
      <c r="L944" s="9" t="s">
        <v>3179</v>
      </c>
      <c r="M944" s="9">
        <v>149900</v>
      </c>
      <c r="N944" s="24">
        <f t="shared" si="87"/>
        <v>0.7</v>
      </c>
      <c r="O944" s="25">
        <f t="shared" si="86"/>
        <v>44970</v>
      </c>
      <c r="P944" s="11" t="s">
        <v>20</v>
      </c>
    </row>
    <row r="945" spans="1:16" s="29" customFormat="1" x14ac:dyDescent="0.25">
      <c r="A945" s="23" t="str">
        <f t="shared" ref="A945" si="122">A944</f>
        <v>2025 JAN-JUN D70</v>
      </c>
      <c r="B945" s="10">
        <f t="shared" si="107"/>
        <v>46104</v>
      </c>
      <c r="C945" s="10">
        <f t="shared" si="107"/>
        <v>46113</v>
      </c>
      <c r="D945" s="9">
        <v>3273</v>
      </c>
      <c r="E945" s="9">
        <v>336</v>
      </c>
      <c r="F945" s="9">
        <v>4</v>
      </c>
      <c r="G945" s="9">
        <v>11</v>
      </c>
      <c r="H945" s="9">
        <v>81676</v>
      </c>
      <c r="I945" s="9" t="s">
        <v>17</v>
      </c>
      <c r="J945" s="9">
        <v>53559818</v>
      </c>
      <c r="K945" s="9" t="s">
        <v>3175</v>
      </c>
      <c r="L945" s="9" t="s">
        <v>3180</v>
      </c>
      <c r="M945" s="9">
        <v>149900</v>
      </c>
      <c r="N945" s="24">
        <f t="shared" si="87"/>
        <v>0.7</v>
      </c>
      <c r="O945" s="25">
        <f t="shared" si="86"/>
        <v>44970</v>
      </c>
      <c r="P945" s="11" t="s">
        <v>20</v>
      </c>
    </row>
    <row r="946" spans="1:16" s="29" customFormat="1" x14ac:dyDescent="0.25">
      <c r="A946" s="23" t="str">
        <f t="shared" ref="A946" si="123">A945</f>
        <v>2025 JAN-JUN D70</v>
      </c>
      <c r="B946" s="10">
        <f t="shared" ref="A946:C961" si="124">B945</f>
        <v>46104</v>
      </c>
      <c r="C946" s="10">
        <f t="shared" si="124"/>
        <v>46113</v>
      </c>
      <c r="D946" s="9">
        <v>3273</v>
      </c>
      <c r="E946" s="9">
        <v>336</v>
      </c>
      <c r="F946" s="9">
        <v>4</v>
      </c>
      <c r="G946" s="9">
        <v>11</v>
      </c>
      <c r="H946" s="9">
        <v>81676</v>
      </c>
      <c r="I946" s="9" t="s">
        <v>17</v>
      </c>
      <c r="J946" s="9">
        <v>53559827</v>
      </c>
      <c r="K946" s="9" t="s">
        <v>3175</v>
      </c>
      <c r="L946" s="9" t="s">
        <v>3181</v>
      </c>
      <c r="M946" s="9">
        <v>149900</v>
      </c>
      <c r="N946" s="24">
        <f t="shared" si="87"/>
        <v>0.7</v>
      </c>
      <c r="O946" s="25">
        <f t="shared" si="86"/>
        <v>44970</v>
      </c>
      <c r="P946" s="11" t="s">
        <v>20</v>
      </c>
    </row>
    <row r="947" spans="1:16" s="29" customFormat="1" x14ac:dyDescent="0.25">
      <c r="A947" s="23" t="str">
        <f t="shared" ref="A947" si="125">A946</f>
        <v>2025 JAN-JUN D70</v>
      </c>
      <c r="B947" s="10">
        <f t="shared" si="124"/>
        <v>46104</v>
      </c>
      <c r="C947" s="10">
        <f t="shared" si="124"/>
        <v>46113</v>
      </c>
      <c r="D947" s="9">
        <v>3273</v>
      </c>
      <c r="E947" s="9">
        <v>336</v>
      </c>
      <c r="F947" s="9">
        <v>4</v>
      </c>
      <c r="G947" s="9">
        <v>13</v>
      </c>
      <c r="H947" s="9">
        <v>81676</v>
      </c>
      <c r="I947" s="9" t="s">
        <v>17</v>
      </c>
      <c r="J947" s="9">
        <v>53559836</v>
      </c>
      <c r="K947" s="9" t="s">
        <v>3182</v>
      </c>
      <c r="L947" s="9" t="s">
        <v>3183</v>
      </c>
      <c r="M947" s="9">
        <v>229900</v>
      </c>
      <c r="N947" s="24">
        <f t="shared" si="87"/>
        <v>0.7</v>
      </c>
      <c r="O947" s="25">
        <f t="shared" si="86"/>
        <v>68970</v>
      </c>
      <c r="P947" s="11" t="s">
        <v>20</v>
      </c>
    </row>
    <row r="948" spans="1:16" s="29" customFormat="1" x14ac:dyDescent="0.25">
      <c r="A948" s="23" t="str">
        <f t="shared" ref="A948" si="126">A947</f>
        <v>2025 JAN-JUN D70</v>
      </c>
      <c r="B948" s="10">
        <f t="shared" si="124"/>
        <v>46104</v>
      </c>
      <c r="C948" s="10">
        <f t="shared" si="124"/>
        <v>46113</v>
      </c>
      <c r="D948" s="9">
        <v>3273</v>
      </c>
      <c r="E948" s="9">
        <v>336</v>
      </c>
      <c r="F948" s="9">
        <v>4</v>
      </c>
      <c r="G948" s="9">
        <v>13</v>
      </c>
      <c r="H948" s="9">
        <v>81676</v>
      </c>
      <c r="I948" s="9" t="s">
        <v>17</v>
      </c>
      <c r="J948" s="9">
        <v>53559845</v>
      </c>
      <c r="K948" s="9" t="s">
        <v>3182</v>
      </c>
      <c r="L948" s="9" t="s">
        <v>3184</v>
      </c>
      <c r="M948" s="9">
        <v>229900</v>
      </c>
      <c r="N948" s="24">
        <f t="shared" si="87"/>
        <v>0.7</v>
      </c>
      <c r="O948" s="25">
        <f t="shared" si="86"/>
        <v>68970</v>
      </c>
      <c r="P948" s="11" t="s">
        <v>20</v>
      </c>
    </row>
    <row r="949" spans="1:16" s="29" customFormat="1" x14ac:dyDescent="0.25">
      <c r="A949" s="23" t="str">
        <f t="shared" ref="A949" si="127">A948</f>
        <v>2025 JAN-JUN D70</v>
      </c>
      <c r="B949" s="10">
        <f t="shared" si="124"/>
        <v>46104</v>
      </c>
      <c r="C949" s="10">
        <f t="shared" si="124"/>
        <v>46113</v>
      </c>
      <c r="D949" s="9">
        <v>3273</v>
      </c>
      <c r="E949" s="9">
        <v>336</v>
      </c>
      <c r="F949" s="9">
        <v>4</v>
      </c>
      <c r="G949" s="9">
        <v>13</v>
      </c>
      <c r="H949" s="9">
        <v>81676</v>
      </c>
      <c r="I949" s="9" t="s">
        <v>17</v>
      </c>
      <c r="J949" s="9">
        <v>53559854</v>
      </c>
      <c r="K949" s="9" t="s">
        <v>3182</v>
      </c>
      <c r="L949" s="9" t="s">
        <v>3185</v>
      </c>
      <c r="M949" s="9">
        <v>229900</v>
      </c>
      <c r="N949" s="24">
        <f t="shared" si="87"/>
        <v>0.7</v>
      </c>
      <c r="O949" s="25">
        <f t="shared" si="86"/>
        <v>68970</v>
      </c>
      <c r="P949" s="11" t="s">
        <v>20</v>
      </c>
    </row>
    <row r="950" spans="1:16" s="29" customFormat="1" x14ac:dyDescent="0.25">
      <c r="A950" s="23" t="str">
        <f t="shared" ref="A950" si="128">A949</f>
        <v>2025 JAN-JUN D70</v>
      </c>
      <c r="B950" s="10">
        <f t="shared" si="124"/>
        <v>46104</v>
      </c>
      <c r="C950" s="10">
        <f t="shared" si="124"/>
        <v>46113</v>
      </c>
      <c r="D950" s="9">
        <v>3273</v>
      </c>
      <c r="E950" s="9">
        <v>336</v>
      </c>
      <c r="F950" s="9">
        <v>4</v>
      </c>
      <c r="G950" s="9">
        <v>13</v>
      </c>
      <c r="H950" s="9">
        <v>81676</v>
      </c>
      <c r="I950" s="9" t="s">
        <v>17</v>
      </c>
      <c r="J950" s="9">
        <v>53559863</v>
      </c>
      <c r="K950" s="9" t="s">
        <v>3182</v>
      </c>
      <c r="L950" s="9" t="s">
        <v>3186</v>
      </c>
      <c r="M950" s="9">
        <v>229900</v>
      </c>
      <c r="N950" s="24">
        <f t="shared" si="87"/>
        <v>0.7</v>
      </c>
      <c r="O950" s="25">
        <f t="shared" si="86"/>
        <v>68970</v>
      </c>
      <c r="P950" s="11" t="s">
        <v>20</v>
      </c>
    </row>
    <row r="951" spans="1:16" s="29" customFormat="1" x14ac:dyDescent="0.25">
      <c r="A951" s="23" t="str">
        <f t="shared" ref="A951" si="129">A950</f>
        <v>2025 JAN-JUN D70</v>
      </c>
      <c r="B951" s="10">
        <f t="shared" si="124"/>
        <v>46104</v>
      </c>
      <c r="C951" s="10">
        <f t="shared" si="124"/>
        <v>46113</v>
      </c>
      <c r="D951" s="9">
        <v>3273</v>
      </c>
      <c r="E951" s="9">
        <v>336</v>
      </c>
      <c r="F951" s="9">
        <v>4</v>
      </c>
      <c r="G951" s="9">
        <v>13</v>
      </c>
      <c r="H951" s="9">
        <v>81676</v>
      </c>
      <c r="I951" s="9" t="s">
        <v>17</v>
      </c>
      <c r="J951" s="9">
        <v>53559872</v>
      </c>
      <c r="K951" s="9" t="s">
        <v>3182</v>
      </c>
      <c r="L951" s="9" t="s">
        <v>3187</v>
      </c>
      <c r="M951" s="9">
        <v>229900</v>
      </c>
      <c r="N951" s="24">
        <f t="shared" si="87"/>
        <v>0.7</v>
      </c>
      <c r="O951" s="25">
        <f t="shared" si="86"/>
        <v>68970</v>
      </c>
      <c r="P951" s="11" t="s">
        <v>20</v>
      </c>
    </row>
    <row r="952" spans="1:16" s="29" customFormat="1" x14ac:dyDescent="0.25">
      <c r="A952" s="23" t="str">
        <f t="shared" ref="A952" si="130">A951</f>
        <v>2025 JAN-JUN D70</v>
      </c>
      <c r="B952" s="10">
        <f t="shared" si="124"/>
        <v>46104</v>
      </c>
      <c r="C952" s="10">
        <f t="shared" si="124"/>
        <v>46113</v>
      </c>
      <c r="D952" s="9">
        <v>3273</v>
      </c>
      <c r="E952" s="9">
        <v>336</v>
      </c>
      <c r="F952" s="9">
        <v>4</v>
      </c>
      <c r="G952" s="9">
        <v>13</v>
      </c>
      <c r="H952" s="9">
        <v>81676</v>
      </c>
      <c r="I952" s="9" t="s">
        <v>17</v>
      </c>
      <c r="J952" s="9">
        <v>53559881</v>
      </c>
      <c r="K952" s="9" t="s">
        <v>3182</v>
      </c>
      <c r="L952" s="9" t="s">
        <v>3188</v>
      </c>
      <c r="M952" s="9">
        <v>229900</v>
      </c>
      <c r="N952" s="24">
        <f t="shared" si="87"/>
        <v>0.7</v>
      </c>
      <c r="O952" s="25">
        <f t="shared" si="86"/>
        <v>68970</v>
      </c>
      <c r="P952" s="11" t="s">
        <v>20</v>
      </c>
    </row>
    <row r="953" spans="1:16" s="29" customFormat="1" x14ac:dyDescent="0.25">
      <c r="A953" s="23" t="str">
        <f t="shared" ref="A953" si="131">A952</f>
        <v>2025 JAN-JUN D70</v>
      </c>
      <c r="B953" s="10">
        <f t="shared" si="124"/>
        <v>46104</v>
      </c>
      <c r="C953" s="10">
        <f t="shared" si="124"/>
        <v>46113</v>
      </c>
      <c r="D953" s="9">
        <v>3273</v>
      </c>
      <c r="E953" s="9">
        <v>336</v>
      </c>
      <c r="F953" s="9">
        <v>4</v>
      </c>
      <c r="G953" s="9">
        <v>6</v>
      </c>
      <c r="H953" s="9">
        <v>81588</v>
      </c>
      <c r="I953" s="9" t="s">
        <v>17</v>
      </c>
      <c r="J953" s="9">
        <v>54209560</v>
      </c>
      <c r="K953" s="9" t="s">
        <v>3189</v>
      </c>
      <c r="L953" s="9" t="s">
        <v>3190</v>
      </c>
      <c r="M953" s="9">
        <v>149900</v>
      </c>
      <c r="N953" s="24">
        <f t="shared" si="87"/>
        <v>0.7</v>
      </c>
      <c r="O953" s="25">
        <f t="shared" si="86"/>
        <v>44970</v>
      </c>
      <c r="P953" s="11" t="s">
        <v>20</v>
      </c>
    </row>
    <row r="954" spans="1:16" s="29" customFormat="1" x14ac:dyDescent="0.25">
      <c r="A954" s="23" t="str">
        <f t="shared" ref="A954" si="132">A953</f>
        <v>2025 JAN-JUN D70</v>
      </c>
      <c r="B954" s="10">
        <f t="shared" si="124"/>
        <v>46104</v>
      </c>
      <c r="C954" s="10">
        <f t="shared" si="124"/>
        <v>46113</v>
      </c>
      <c r="D954" s="9">
        <v>3273</v>
      </c>
      <c r="E954" s="9">
        <v>336</v>
      </c>
      <c r="F954" s="9">
        <v>4</v>
      </c>
      <c r="G954" s="9">
        <v>6</v>
      </c>
      <c r="H954" s="9">
        <v>81588</v>
      </c>
      <c r="I954" s="9" t="s">
        <v>17</v>
      </c>
      <c r="J954" s="9">
        <v>54209579</v>
      </c>
      <c r="K954" s="9" t="s">
        <v>3189</v>
      </c>
      <c r="L954" s="9" t="s">
        <v>3191</v>
      </c>
      <c r="M954" s="9">
        <v>149900</v>
      </c>
      <c r="N954" s="24">
        <f t="shared" si="87"/>
        <v>0.7</v>
      </c>
      <c r="O954" s="25">
        <f t="shared" si="86"/>
        <v>44970</v>
      </c>
      <c r="P954" s="11" t="s">
        <v>20</v>
      </c>
    </row>
    <row r="955" spans="1:16" s="29" customFormat="1" x14ac:dyDescent="0.25">
      <c r="A955" s="23" t="str">
        <f t="shared" ref="A955" si="133">A954</f>
        <v>2025 JAN-JUN D70</v>
      </c>
      <c r="B955" s="10">
        <f t="shared" si="124"/>
        <v>46104</v>
      </c>
      <c r="C955" s="10">
        <f t="shared" si="124"/>
        <v>46113</v>
      </c>
      <c r="D955" s="9">
        <v>3273</v>
      </c>
      <c r="E955" s="9">
        <v>336</v>
      </c>
      <c r="F955" s="9">
        <v>4</v>
      </c>
      <c r="G955" s="9">
        <v>6</v>
      </c>
      <c r="H955" s="9">
        <v>81588</v>
      </c>
      <c r="I955" s="9" t="s">
        <v>17</v>
      </c>
      <c r="J955" s="9">
        <v>54209588</v>
      </c>
      <c r="K955" s="9" t="s">
        <v>3189</v>
      </c>
      <c r="L955" s="9" t="s">
        <v>3192</v>
      </c>
      <c r="M955" s="9">
        <v>149900</v>
      </c>
      <c r="N955" s="24">
        <f t="shared" si="87"/>
        <v>0.7</v>
      </c>
      <c r="O955" s="25">
        <f t="shared" si="86"/>
        <v>44970</v>
      </c>
      <c r="P955" s="11" t="s">
        <v>20</v>
      </c>
    </row>
    <row r="956" spans="1:16" s="29" customFormat="1" x14ac:dyDescent="0.25">
      <c r="A956" s="23" t="str">
        <f t="shared" ref="A956" si="134">A955</f>
        <v>2025 JAN-JUN D70</v>
      </c>
      <c r="B956" s="10">
        <f t="shared" si="124"/>
        <v>46104</v>
      </c>
      <c r="C956" s="10">
        <f t="shared" si="124"/>
        <v>46113</v>
      </c>
      <c r="D956" s="9">
        <v>3273</v>
      </c>
      <c r="E956" s="9">
        <v>336</v>
      </c>
      <c r="F956" s="9">
        <v>4</v>
      </c>
      <c r="G956" s="9">
        <v>6</v>
      </c>
      <c r="H956" s="9">
        <v>81588</v>
      </c>
      <c r="I956" s="9" t="s">
        <v>17</v>
      </c>
      <c r="J956" s="9">
        <v>54209597</v>
      </c>
      <c r="K956" s="9" t="s">
        <v>3189</v>
      </c>
      <c r="L956" s="9" t="s">
        <v>3193</v>
      </c>
      <c r="M956" s="9">
        <v>149900</v>
      </c>
      <c r="N956" s="24">
        <f t="shared" si="87"/>
        <v>0.7</v>
      </c>
      <c r="O956" s="25">
        <f t="shared" si="86"/>
        <v>44970</v>
      </c>
      <c r="P956" s="11" t="s">
        <v>20</v>
      </c>
    </row>
    <row r="957" spans="1:16" s="29" customFormat="1" x14ac:dyDescent="0.25">
      <c r="A957" s="23" t="str">
        <f t="shared" ref="A957" si="135">A956</f>
        <v>2025 JAN-JUN D70</v>
      </c>
      <c r="B957" s="10">
        <f t="shared" si="124"/>
        <v>46104</v>
      </c>
      <c r="C957" s="10">
        <f t="shared" si="124"/>
        <v>46113</v>
      </c>
      <c r="D957" s="9">
        <v>3273</v>
      </c>
      <c r="E957" s="9">
        <v>336</v>
      </c>
      <c r="F957" s="9">
        <v>4</v>
      </c>
      <c r="G957" s="9">
        <v>6</v>
      </c>
      <c r="H957" s="9">
        <v>81588</v>
      </c>
      <c r="I957" s="9" t="s">
        <v>17</v>
      </c>
      <c r="J957" s="9">
        <v>54209604</v>
      </c>
      <c r="K957" s="9" t="s">
        <v>3189</v>
      </c>
      <c r="L957" s="9" t="s">
        <v>3194</v>
      </c>
      <c r="M957" s="9">
        <v>149900</v>
      </c>
      <c r="N957" s="24">
        <f t="shared" si="87"/>
        <v>0.7</v>
      </c>
      <c r="O957" s="25">
        <f t="shared" si="86"/>
        <v>44970</v>
      </c>
      <c r="P957" s="11" t="s">
        <v>20</v>
      </c>
    </row>
    <row r="958" spans="1:16" s="29" customFormat="1" x14ac:dyDescent="0.25">
      <c r="A958" s="23" t="str">
        <f t="shared" ref="A958" si="136">A957</f>
        <v>2025 JAN-JUN D70</v>
      </c>
      <c r="B958" s="10">
        <f t="shared" si="124"/>
        <v>46104</v>
      </c>
      <c r="C958" s="10">
        <f t="shared" si="124"/>
        <v>46113</v>
      </c>
      <c r="D958" s="9">
        <v>3273</v>
      </c>
      <c r="E958" s="9">
        <v>336</v>
      </c>
      <c r="F958" s="9">
        <v>4</v>
      </c>
      <c r="G958" s="9">
        <v>6</v>
      </c>
      <c r="H958" s="9">
        <v>81588</v>
      </c>
      <c r="I958" s="9" t="s">
        <v>17</v>
      </c>
      <c r="J958" s="9">
        <v>54209613</v>
      </c>
      <c r="K958" s="9" t="s">
        <v>3189</v>
      </c>
      <c r="L958" s="9" t="s">
        <v>3195</v>
      </c>
      <c r="M958" s="9">
        <v>149900</v>
      </c>
      <c r="N958" s="24">
        <f t="shared" si="87"/>
        <v>0.7</v>
      </c>
      <c r="O958" s="25">
        <f t="shared" si="86"/>
        <v>44970</v>
      </c>
      <c r="P958" s="11" t="s">
        <v>20</v>
      </c>
    </row>
    <row r="959" spans="1:16" s="29" customFormat="1" x14ac:dyDescent="0.25">
      <c r="A959" s="23" t="str">
        <f t="shared" ref="A959" si="137">A958</f>
        <v>2025 JAN-JUN D70</v>
      </c>
      <c r="B959" s="10">
        <f t="shared" si="124"/>
        <v>46104</v>
      </c>
      <c r="C959" s="10">
        <f t="shared" si="124"/>
        <v>46113</v>
      </c>
      <c r="D959" s="9">
        <v>3273</v>
      </c>
      <c r="E959" s="9">
        <v>336</v>
      </c>
      <c r="F959" s="9">
        <v>4</v>
      </c>
      <c r="G959" s="9">
        <v>6</v>
      </c>
      <c r="H959" s="9">
        <v>81588</v>
      </c>
      <c r="I959" s="9" t="s">
        <v>17</v>
      </c>
      <c r="J959" s="9">
        <v>54209622</v>
      </c>
      <c r="K959" s="9" t="s">
        <v>3189</v>
      </c>
      <c r="L959" s="9" t="s">
        <v>3196</v>
      </c>
      <c r="M959" s="9">
        <v>149900</v>
      </c>
      <c r="N959" s="24">
        <f t="shared" si="87"/>
        <v>0.7</v>
      </c>
      <c r="O959" s="25">
        <f t="shared" si="86"/>
        <v>44970</v>
      </c>
      <c r="P959" s="11" t="s">
        <v>20</v>
      </c>
    </row>
    <row r="960" spans="1:16" s="29" customFormat="1" x14ac:dyDescent="0.25">
      <c r="A960" s="23" t="str">
        <f t="shared" ref="A960" si="138">A959</f>
        <v>2025 JAN-JUN D70</v>
      </c>
      <c r="B960" s="10">
        <f t="shared" si="124"/>
        <v>46104</v>
      </c>
      <c r="C960" s="10">
        <f t="shared" si="124"/>
        <v>46113</v>
      </c>
      <c r="D960" s="9">
        <v>3273</v>
      </c>
      <c r="E960" s="9">
        <v>336</v>
      </c>
      <c r="F960" s="9">
        <v>4</v>
      </c>
      <c r="G960" s="18">
        <v>8</v>
      </c>
      <c r="H960" s="18">
        <v>81588</v>
      </c>
      <c r="I960" s="9" t="s">
        <v>17</v>
      </c>
      <c r="J960" s="9">
        <v>52389441</v>
      </c>
      <c r="K960" s="18" t="s">
        <v>3197</v>
      </c>
      <c r="L960" s="18" t="s">
        <v>3198</v>
      </c>
      <c r="M960" s="18">
        <v>249900</v>
      </c>
      <c r="N960" s="24">
        <f t="shared" si="87"/>
        <v>0.7</v>
      </c>
      <c r="O960" s="25">
        <f t="shared" si="86"/>
        <v>74970</v>
      </c>
      <c r="P960" s="11" t="s">
        <v>20</v>
      </c>
    </row>
    <row r="961" spans="1:16" s="29" customFormat="1" x14ac:dyDescent="0.25">
      <c r="A961" s="23" t="str">
        <f t="shared" ref="A961" si="139">A960</f>
        <v>2025 JAN-JUN D70</v>
      </c>
      <c r="B961" s="10">
        <f t="shared" si="124"/>
        <v>46104</v>
      </c>
      <c r="C961" s="10">
        <f t="shared" si="124"/>
        <v>46113</v>
      </c>
      <c r="D961" s="9">
        <v>3273</v>
      </c>
      <c r="E961" s="9">
        <v>336</v>
      </c>
      <c r="F961" s="9">
        <v>4</v>
      </c>
      <c r="G961" s="18">
        <v>8</v>
      </c>
      <c r="H961" s="18">
        <v>81588</v>
      </c>
      <c r="I961" s="9" t="s">
        <v>17</v>
      </c>
      <c r="J961" s="9">
        <v>52389450</v>
      </c>
      <c r="K961" s="18" t="s">
        <v>3197</v>
      </c>
      <c r="L961" s="18" t="s">
        <v>3199</v>
      </c>
      <c r="M961" s="18">
        <v>249900</v>
      </c>
      <c r="N961" s="24">
        <f t="shared" si="87"/>
        <v>0.7</v>
      </c>
      <c r="O961" s="25">
        <f t="shared" si="86"/>
        <v>74970</v>
      </c>
      <c r="P961" s="11" t="s">
        <v>20</v>
      </c>
    </row>
    <row r="962" spans="1:16" s="29" customFormat="1" x14ac:dyDescent="0.25">
      <c r="A962" s="23" t="str">
        <f t="shared" ref="A962" si="140">A961</f>
        <v>2025 JAN-JUN D70</v>
      </c>
      <c r="B962" s="10">
        <f t="shared" ref="A962:C977" si="141">B961</f>
        <v>46104</v>
      </c>
      <c r="C962" s="10">
        <f t="shared" si="141"/>
        <v>46113</v>
      </c>
      <c r="D962" s="9">
        <v>3273</v>
      </c>
      <c r="E962" s="9">
        <v>336</v>
      </c>
      <c r="F962" s="9">
        <v>4</v>
      </c>
      <c r="G962" s="18">
        <v>8</v>
      </c>
      <c r="H962" s="18">
        <v>81588</v>
      </c>
      <c r="I962" s="9" t="s">
        <v>17</v>
      </c>
      <c r="J962" s="9">
        <v>52389469</v>
      </c>
      <c r="K962" s="18" t="s">
        <v>3197</v>
      </c>
      <c r="L962" s="18" t="s">
        <v>3200</v>
      </c>
      <c r="M962" s="18">
        <v>249900</v>
      </c>
      <c r="N962" s="24">
        <f t="shared" si="87"/>
        <v>0.7</v>
      </c>
      <c r="O962" s="25">
        <f t="shared" si="86"/>
        <v>74970</v>
      </c>
      <c r="P962" s="11" t="s">
        <v>20</v>
      </c>
    </row>
    <row r="963" spans="1:16" s="29" customFormat="1" x14ac:dyDescent="0.25">
      <c r="A963" s="23" t="str">
        <f t="shared" ref="A963" si="142">A962</f>
        <v>2025 JAN-JUN D70</v>
      </c>
      <c r="B963" s="10">
        <f t="shared" si="141"/>
        <v>46104</v>
      </c>
      <c r="C963" s="10">
        <f t="shared" si="141"/>
        <v>46113</v>
      </c>
      <c r="D963" s="9">
        <v>3273</v>
      </c>
      <c r="E963" s="9">
        <v>336</v>
      </c>
      <c r="F963" s="9">
        <v>4</v>
      </c>
      <c r="G963" s="18">
        <v>8</v>
      </c>
      <c r="H963" s="18">
        <v>81588</v>
      </c>
      <c r="I963" s="9" t="s">
        <v>17</v>
      </c>
      <c r="J963" s="9">
        <v>52389478</v>
      </c>
      <c r="K963" s="18" t="s">
        <v>3197</v>
      </c>
      <c r="L963" s="18" t="s">
        <v>3201</v>
      </c>
      <c r="M963" s="18">
        <v>249900</v>
      </c>
      <c r="N963" s="24">
        <f t="shared" si="87"/>
        <v>0.7</v>
      </c>
      <c r="O963" s="25">
        <f t="shared" ref="O963:O1026" si="143">M963-((70*M963)/100)</f>
        <v>74970</v>
      </c>
      <c r="P963" s="11" t="s">
        <v>20</v>
      </c>
    </row>
    <row r="964" spans="1:16" s="29" customFormat="1" x14ac:dyDescent="0.25">
      <c r="A964" s="23" t="str">
        <f t="shared" ref="A964" si="144">A963</f>
        <v>2025 JAN-JUN D70</v>
      </c>
      <c r="B964" s="10">
        <f t="shared" si="141"/>
        <v>46104</v>
      </c>
      <c r="C964" s="10">
        <f t="shared" si="141"/>
        <v>46113</v>
      </c>
      <c r="D964" s="9">
        <v>3273</v>
      </c>
      <c r="E964" s="9">
        <v>336</v>
      </c>
      <c r="F964" s="9">
        <v>4</v>
      </c>
      <c r="G964" s="18">
        <v>8</v>
      </c>
      <c r="H964" s="18">
        <v>81588</v>
      </c>
      <c r="I964" s="9" t="s">
        <v>17</v>
      </c>
      <c r="J964" s="9">
        <v>52389487</v>
      </c>
      <c r="K964" s="18" t="s">
        <v>3197</v>
      </c>
      <c r="L964" s="18" t="s">
        <v>3202</v>
      </c>
      <c r="M964" s="18">
        <v>249900</v>
      </c>
      <c r="N964" s="24">
        <f t="shared" ref="N964:N1027" si="145">N963</f>
        <v>0.7</v>
      </c>
      <c r="O964" s="25">
        <f t="shared" si="143"/>
        <v>74970</v>
      </c>
      <c r="P964" s="11" t="s">
        <v>20</v>
      </c>
    </row>
    <row r="965" spans="1:16" s="29" customFormat="1" x14ac:dyDescent="0.25">
      <c r="A965" s="23" t="str">
        <f t="shared" ref="A965" si="146">A964</f>
        <v>2025 JAN-JUN D70</v>
      </c>
      <c r="B965" s="10">
        <f t="shared" si="141"/>
        <v>46104</v>
      </c>
      <c r="C965" s="10">
        <f t="shared" si="141"/>
        <v>46113</v>
      </c>
      <c r="D965" s="9">
        <v>3273</v>
      </c>
      <c r="E965" s="9">
        <v>336</v>
      </c>
      <c r="F965" s="9">
        <v>4</v>
      </c>
      <c r="G965" s="18">
        <v>8</v>
      </c>
      <c r="H965" s="18">
        <v>81588</v>
      </c>
      <c r="I965" s="9" t="s">
        <v>17</v>
      </c>
      <c r="J965" s="9">
        <v>52389496</v>
      </c>
      <c r="K965" s="18" t="s">
        <v>3197</v>
      </c>
      <c r="L965" s="18" t="s">
        <v>3203</v>
      </c>
      <c r="M965" s="18">
        <v>249900</v>
      </c>
      <c r="N965" s="24">
        <f t="shared" si="145"/>
        <v>0.7</v>
      </c>
      <c r="O965" s="25">
        <f t="shared" si="143"/>
        <v>74970</v>
      </c>
      <c r="P965" s="11" t="s">
        <v>20</v>
      </c>
    </row>
    <row r="966" spans="1:16" s="29" customFormat="1" x14ac:dyDescent="0.25">
      <c r="A966" s="23" t="str">
        <f t="shared" ref="A966" si="147">A965</f>
        <v>2025 JAN-JUN D70</v>
      </c>
      <c r="B966" s="10">
        <f t="shared" si="141"/>
        <v>46104</v>
      </c>
      <c r="C966" s="10">
        <f t="shared" si="141"/>
        <v>46113</v>
      </c>
      <c r="D966" s="9">
        <v>3273</v>
      </c>
      <c r="E966" s="9">
        <v>336</v>
      </c>
      <c r="F966" s="9">
        <v>4</v>
      </c>
      <c r="G966" s="18">
        <v>8</v>
      </c>
      <c r="H966" s="18">
        <v>81588</v>
      </c>
      <c r="I966" s="9" t="s">
        <v>17</v>
      </c>
      <c r="J966" s="9">
        <v>52389503</v>
      </c>
      <c r="K966" s="18" t="s">
        <v>3197</v>
      </c>
      <c r="L966" s="18" t="s">
        <v>3204</v>
      </c>
      <c r="M966" s="18">
        <v>249900</v>
      </c>
      <c r="N966" s="24">
        <f t="shared" si="145"/>
        <v>0.7</v>
      </c>
      <c r="O966" s="25">
        <f t="shared" si="143"/>
        <v>74970</v>
      </c>
      <c r="P966" s="11" t="s">
        <v>20</v>
      </c>
    </row>
    <row r="967" spans="1:16" s="29" customFormat="1" x14ac:dyDescent="0.25">
      <c r="A967" s="23" t="str">
        <f t="shared" ref="A967" si="148">A966</f>
        <v>2025 JAN-JUN D70</v>
      </c>
      <c r="B967" s="10">
        <f t="shared" si="141"/>
        <v>46104</v>
      </c>
      <c r="C967" s="10">
        <f t="shared" si="141"/>
        <v>46113</v>
      </c>
      <c r="D967" s="9">
        <v>3273</v>
      </c>
      <c r="E967" s="9">
        <v>336</v>
      </c>
      <c r="F967" s="9">
        <v>4</v>
      </c>
      <c r="G967" s="18">
        <v>8</v>
      </c>
      <c r="H967" s="18">
        <v>81588</v>
      </c>
      <c r="I967" s="9" t="s">
        <v>17</v>
      </c>
      <c r="J967" s="9">
        <v>52389512</v>
      </c>
      <c r="K967" s="18" t="s">
        <v>3197</v>
      </c>
      <c r="L967" s="18" t="s">
        <v>3205</v>
      </c>
      <c r="M967" s="18">
        <v>249900</v>
      </c>
      <c r="N967" s="24">
        <f t="shared" si="145"/>
        <v>0.7</v>
      </c>
      <c r="O967" s="25">
        <f t="shared" si="143"/>
        <v>74970</v>
      </c>
      <c r="P967" s="11" t="s">
        <v>20</v>
      </c>
    </row>
    <row r="968" spans="1:16" s="29" customFormat="1" x14ac:dyDescent="0.25">
      <c r="A968" s="23" t="str">
        <f t="shared" ref="A968" si="149">A967</f>
        <v>2025 JAN-JUN D70</v>
      </c>
      <c r="B968" s="10">
        <f t="shared" si="141"/>
        <v>46104</v>
      </c>
      <c r="C968" s="10">
        <f t="shared" si="141"/>
        <v>46113</v>
      </c>
      <c r="D968" s="9">
        <v>3273</v>
      </c>
      <c r="E968" s="9">
        <v>336</v>
      </c>
      <c r="F968" s="9">
        <v>4</v>
      </c>
      <c r="G968" s="18">
        <v>13</v>
      </c>
      <c r="H968" s="18">
        <v>81676</v>
      </c>
      <c r="I968" s="9" t="s">
        <v>17</v>
      </c>
      <c r="J968" s="9">
        <v>53559890</v>
      </c>
      <c r="K968" s="18" t="s">
        <v>3206</v>
      </c>
      <c r="L968" s="18" t="s">
        <v>3207</v>
      </c>
      <c r="M968" s="18">
        <v>289900</v>
      </c>
      <c r="N968" s="24">
        <f t="shared" si="145"/>
        <v>0.7</v>
      </c>
      <c r="O968" s="25">
        <f t="shared" si="143"/>
        <v>86970</v>
      </c>
      <c r="P968" s="11" t="s">
        <v>20</v>
      </c>
    </row>
    <row r="969" spans="1:16" s="29" customFormat="1" x14ac:dyDescent="0.25">
      <c r="A969" s="23" t="str">
        <f t="shared" ref="A969" si="150">A968</f>
        <v>2025 JAN-JUN D70</v>
      </c>
      <c r="B969" s="10">
        <f t="shared" si="141"/>
        <v>46104</v>
      </c>
      <c r="C969" s="10">
        <f t="shared" si="141"/>
        <v>46113</v>
      </c>
      <c r="D969" s="9">
        <v>3273</v>
      </c>
      <c r="E969" s="9">
        <v>336</v>
      </c>
      <c r="F969" s="9">
        <v>4</v>
      </c>
      <c r="G969" s="18">
        <v>13</v>
      </c>
      <c r="H969" s="18">
        <v>81676</v>
      </c>
      <c r="I969" s="9" t="s">
        <v>17</v>
      </c>
      <c r="J969" s="9">
        <v>53559907</v>
      </c>
      <c r="K969" s="18" t="s">
        <v>3206</v>
      </c>
      <c r="L969" s="18" t="s">
        <v>3208</v>
      </c>
      <c r="M969" s="18">
        <v>289900</v>
      </c>
      <c r="N969" s="24">
        <f t="shared" si="145"/>
        <v>0.7</v>
      </c>
      <c r="O969" s="25">
        <f t="shared" si="143"/>
        <v>86970</v>
      </c>
      <c r="P969" s="11" t="s">
        <v>20</v>
      </c>
    </row>
    <row r="970" spans="1:16" s="29" customFormat="1" x14ac:dyDescent="0.25">
      <c r="A970" s="23" t="str">
        <f t="shared" ref="A970" si="151">A969</f>
        <v>2025 JAN-JUN D70</v>
      </c>
      <c r="B970" s="10">
        <f t="shared" si="141"/>
        <v>46104</v>
      </c>
      <c r="C970" s="10">
        <f t="shared" si="141"/>
        <v>46113</v>
      </c>
      <c r="D970" s="9">
        <v>3273</v>
      </c>
      <c r="E970" s="9">
        <v>336</v>
      </c>
      <c r="F970" s="9">
        <v>4</v>
      </c>
      <c r="G970" s="18">
        <v>13</v>
      </c>
      <c r="H970" s="18">
        <v>81676</v>
      </c>
      <c r="I970" s="9" t="s">
        <v>17</v>
      </c>
      <c r="J970" s="9">
        <v>53559916</v>
      </c>
      <c r="K970" s="18" t="s">
        <v>3206</v>
      </c>
      <c r="L970" s="18" t="s">
        <v>3209</v>
      </c>
      <c r="M970" s="18">
        <v>289900</v>
      </c>
      <c r="N970" s="24">
        <f t="shared" si="145"/>
        <v>0.7</v>
      </c>
      <c r="O970" s="25">
        <f t="shared" si="143"/>
        <v>86970</v>
      </c>
      <c r="P970" s="11" t="s">
        <v>20</v>
      </c>
    </row>
    <row r="971" spans="1:16" s="29" customFormat="1" x14ac:dyDescent="0.25">
      <c r="A971" s="23" t="str">
        <f t="shared" ref="A971" si="152">A970</f>
        <v>2025 JAN-JUN D70</v>
      </c>
      <c r="B971" s="10">
        <f t="shared" si="141"/>
        <v>46104</v>
      </c>
      <c r="C971" s="10">
        <f t="shared" si="141"/>
        <v>46113</v>
      </c>
      <c r="D971" s="9">
        <v>3273</v>
      </c>
      <c r="E971" s="9">
        <v>336</v>
      </c>
      <c r="F971" s="9">
        <v>4</v>
      </c>
      <c r="G971" s="18">
        <v>13</v>
      </c>
      <c r="H971" s="18">
        <v>81676</v>
      </c>
      <c r="I971" s="9" t="s">
        <v>17</v>
      </c>
      <c r="J971" s="9">
        <v>53559925</v>
      </c>
      <c r="K971" s="18" t="s">
        <v>3206</v>
      </c>
      <c r="L971" s="18" t="s">
        <v>3210</v>
      </c>
      <c r="M971" s="18">
        <v>289900</v>
      </c>
      <c r="N971" s="24">
        <f t="shared" si="145"/>
        <v>0.7</v>
      </c>
      <c r="O971" s="25">
        <f t="shared" si="143"/>
        <v>86970</v>
      </c>
      <c r="P971" s="11" t="s">
        <v>20</v>
      </c>
    </row>
    <row r="972" spans="1:16" s="29" customFormat="1" x14ac:dyDescent="0.25">
      <c r="A972" s="23" t="str">
        <f t="shared" ref="A972" si="153">A971</f>
        <v>2025 JAN-JUN D70</v>
      </c>
      <c r="B972" s="10">
        <f t="shared" si="141"/>
        <v>46104</v>
      </c>
      <c r="C972" s="10">
        <f t="shared" si="141"/>
        <v>46113</v>
      </c>
      <c r="D972" s="9">
        <v>3273</v>
      </c>
      <c r="E972" s="9">
        <v>336</v>
      </c>
      <c r="F972" s="9">
        <v>4</v>
      </c>
      <c r="G972" s="18">
        <v>13</v>
      </c>
      <c r="H972" s="18">
        <v>81676</v>
      </c>
      <c r="I972" s="9" t="s">
        <v>17</v>
      </c>
      <c r="J972" s="9">
        <v>53559934</v>
      </c>
      <c r="K972" s="18" t="s">
        <v>3206</v>
      </c>
      <c r="L972" s="18" t="s">
        <v>3211</v>
      </c>
      <c r="M972" s="18">
        <v>289900</v>
      </c>
      <c r="N972" s="24">
        <f t="shared" si="145"/>
        <v>0.7</v>
      </c>
      <c r="O972" s="25">
        <f t="shared" si="143"/>
        <v>86970</v>
      </c>
      <c r="P972" s="11" t="s">
        <v>20</v>
      </c>
    </row>
    <row r="973" spans="1:16" s="29" customFormat="1" x14ac:dyDescent="0.25">
      <c r="A973" s="23" t="str">
        <f t="shared" ref="A973" si="154">A972</f>
        <v>2025 JAN-JUN D70</v>
      </c>
      <c r="B973" s="10">
        <f t="shared" si="141"/>
        <v>46104</v>
      </c>
      <c r="C973" s="10">
        <f t="shared" si="141"/>
        <v>46113</v>
      </c>
      <c r="D973" s="9">
        <v>3273</v>
      </c>
      <c r="E973" s="9">
        <v>336</v>
      </c>
      <c r="F973" s="9">
        <v>4</v>
      </c>
      <c r="G973" s="18">
        <v>13</v>
      </c>
      <c r="H973" s="18">
        <v>81676</v>
      </c>
      <c r="I973" s="9" t="s">
        <v>17</v>
      </c>
      <c r="J973" s="9">
        <v>53559943</v>
      </c>
      <c r="K973" s="18" t="s">
        <v>3206</v>
      </c>
      <c r="L973" s="18" t="s">
        <v>3212</v>
      </c>
      <c r="M973" s="18">
        <v>289900</v>
      </c>
      <c r="N973" s="24">
        <f t="shared" si="145"/>
        <v>0.7</v>
      </c>
      <c r="O973" s="25">
        <f t="shared" si="143"/>
        <v>86970</v>
      </c>
      <c r="P973" s="11" t="s">
        <v>20</v>
      </c>
    </row>
    <row r="974" spans="1:16" s="29" customFormat="1" x14ac:dyDescent="0.25">
      <c r="A974" s="23" t="str">
        <f t="shared" ref="A974" si="155">A973</f>
        <v>2025 JAN-JUN D70</v>
      </c>
      <c r="B974" s="10">
        <f t="shared" si="141"/>
        <v>46104</v>
      </c>
      <c r="C974" s="10">
        <f t="shared" si="141"/>
        <v>46113</v>
      </c>
      <c r="D974" s="9">
        <v>3273</v>
      </c>
      <c r="E974" s="9">
        <v>336</v>
      </c>
      <c r="F974" s="9">
        <v>4</v>
      </c>
      <c r="G974" s="18">
        <v>6</v>
      </c>
      <c r="H974" s="18">
        <v>81588</v>
      </c>
      <c r="I974" s="9" t="s">
        <v>17</v>
      </c>
      <c r="J974" s="9">
        <v>54209640</v>
      </c>
      <c r="K974" s="18" t="s">
        <v>3213</v>
      </c>
      <c r="L974" s="18" t="s">
        <v>3214</v>
      </c>
      <c r="M974" s="18">
        <v>149900</v>
      </c>
      <c r="N974" s="24">
        <f t="shared" si="145"/>
        <v>0.7</v>
      </c>
      <c r="O974" s="25">
        <f t="shared" si="143"/>
        <v>44970</v>
      </c>
      <c r="P974" s="11" t="s">
        <v>20</v>
      </c>
    </row>
    <row r="975" spans="1:16" s="29" customFormat="1" x14ac:dyDescent="0.25">
      <c r="A975" s="23" t="str">
        <f t="shared" ref="A975" si="156">A974</f>
        <v>2025 JAN-JUN D70</v>
      </c>
      <c r="B975" s="10">
        <f t="shared" si="141"/>
        <v>46104</v>
      </c>
      <c r="C975" s="10">
        <f t="shared" si="141"/>
        <v>46113</v>
      </c>
      <c r="D975" s="9">
        <v>3273</v>
      </c>
      <c r="E975" s="9">
        <v>336</v>
      </c>
      <c r="F975" s="9">
        <v>4</v>
      </c>
      <c r="G975" s="18">
        <v>6</v>
      </c>
      <c r="H975" s="18">
        <v>81588</v>
      </c>
      <c r="I975" s="9" t="s">
        <v>17</v>
      </c>
      <c r="J975" s="9">
        <v>54209659</v>
      </c>
      <c r="K975" s="18" t="s">
        <v>3213</v>
      </c>
      <c r="L975" s="18" t="s">
        <v>3215</v>
      </c>
      <c r="M975" s="18">
        <v>149900</v>
      </c>
      <c r="N975" s="24">
        <f t="shared" si="145"/>
        <v>0.7</v>
      </c>
      <c r="O975" s="25">
        <f t="shared" si="143"/>
        <v>44970</v>
      </c>
      <c r="P975" s="11" t="s">
        <v>20</v>
      </c>
    </row>
    <row r="976" spans="1:16" s="29" customFormat="1" x14ac:dyDescent="0.25">
      <c r="A976" s="23" t="str">
        <f t="shared" ref="A976" si="157">A975</f>
        <v>2025 JAN-JUN D70</v>
      </c>
      <c r="B976" s="10">
        <f t="shared" si="141"/>
        <v>46104</v>
      </c>
      <c r="C976" s="10">
        <f t="shared" si="141"/>
        <v>46113</v>
      </c>
      <c r="D976" s="9">
        <v>3273</v>
      </c>
      <c r="E976" s="9">
        <v>336</v>
      </c>
      <c r="F976" s="9">
        <v>4</v>
      </c>
      <c r="G976" s="18">
        <v>6</v>
      </c>
      <c r="H976" s="18">
        <v>81588</v>
      </c>
      <c r="I976" s="9" t="s">
        <v>17</v>
      </c>
      <c r="J976" s="9">
        <v>54209668</v>
      </c>
      <c r="K976" s="18" t="s">
        <v>3213</v>
      </c>
      <c r="L976" s="18" t="s">
        <v>3216</v>
      </c>
      <c r="M976" s="18">
        <v>149900</v>
      </c>
      <c r="N976" s="24">
        <f t="shared" si="145"/>
        <v>0.7</v>
      </c>
      <c r="O976" s="25">
        <f t="shared" si="143"/>
        <v>44970</v>
      </c>
      <c r="P976" s="11" t="s">
        <v>20</v>
      </c>
    </row>
    <row r="977" spans="1:16" s="29" customFormat="1" x14ac:dyDescent="0.25">
      <c r="A977" s="23" t="str">
        <f t="shared" ref="A977" si="158">A976</f>
        <v>2025 JAN-JUN D70</v>
      </c>
      <c r="B977" s="10">
        <f t="shared" si="141"/>
        <v>46104</v>
      </c>
      <c r="C977" s="10">
        <f t="shared" si="141"/>
        <v>46113</v>
      </c>
      <c r="D977" s="9">
        <v>3273</v>
      </c>
      <c r="E977" s="9">
        <v>336</v>
      </c>
      <c r="F977" s="9">
        <v>4</v>
      </c>
      <c r="G977" s="18">
        <v>6</v>
      </c>
      <c r="H977" s="18">
        <v>81588</v>
      </c>
      <c r="I977" s="9" t="s">
        <v>17</v>
      </c>
      <c r="J977" s="9">
        <v>54209677</v>
      </c>
      <c r="K977" s="18" t="s">
        <v>3213</v>
      </c>
      <c r="L977" s="18" t="s">
        <v>3217</v>
      </c>
      <c r="M977" s="18">
        <v>149900</v>
      </c>
      <c r="N977" s="24">
        <f t="shared" si="145"/>
        <v>0.7</v>
      </c>
      <c r="O977" s="25">
        <f t="shared" si="143"/>
        <v>44970</v>
      </c>
      <c r="P977" s="11" t="s">
        <v>20</v>
      </c>
    </row>
    <row r="978" spans="1:16" s="29" customFormat="1" x14ac:dyDescent="0.25">
      <c r="A978" s="23" t="str">
        <f t="shared" ref="A978" si="159">A977</f>
        <v>2025 JAN-JUN D70</v>
      </c>
      <c r="B978" s="10">
        <f t="shared" ref="A972:C987" si="160">B977</f>
        <v>46104</v>
      </c>
      <c r="C978" s="10">
        <f t="shared" si="160"/>
        <v>46113</v>
      </c>
      <c r="D978" s="9">
        <v>3273</v>
      </c>
      <c r="E978" s="9">
        <v>336</v>
      </c>
      <c r="F978" s="9">
        <v>4</v>
      </c>
      <c r="G978" s="18">
        <v>6</v>
      </c>
      <c r="H978" s="18">
        <v>81588</v>
      </c>
      <c r="I978" s="9" t="s">
        <v>17</v>
      </c>
      <c r="J978" s="9">
        <v>54209686</v>
      </c>
      <c r="K978" s="18" t="s">
        <v>3213</v>
      </c>
      <c r="L978" s="18" t="s">
        <v>3218</v>
      </c>
      <c r="M978" s="18">
        <v>149900</v>
      </c>
      <c r="N978" s="24">
        <f t="shared" si="145"/>
        <v>0.7</v>
      </c>
      <c r="O978" s="25">
        <f t="shared" si="143"/>
        <v>44970</v>
      </c>
      <c r="P978" s="11" t="s">
        <v>20</v>
      </c>
    </row>
    <row r="979" spans="1:16" s="29" customFormat="1" x14ac:dyDescent="0.25">
      <c r="A979" s="23" t="str">
        <f t="shared" ref="A979" si="161">A978</f>
        <v>2025 JAN-JUN D70</v>
      </c>
      <c r="B979" s="10">
        <f t="shared" si="160"/>
        <v>46104</v>
      </c>
      <c r="C979" s="10">
        <f t="shared" si="160"/>
        <v>46113</v>
      </c>
      <c r="D979" s="9">
        <v>3273</v>
      </c>
      <c r="E979" s="9">
        <v>336</v>
      </c>
      <c r="F979" s="9">
        <v>4</v>
      </c>
      <c r="G979" s="18">
        <v>6</v>
      </c>
      <c r="H979" s="18">
        <v>81588</v>
      </c>
      <c r="I979" s="9" t="s">
        <v>17</v>
      </c>
      <c r="J979" s="9">
        <v>54209695</v>
      </c>
      <c r="K979" s="18" t="s">
        <v>3213</v>
      </c>
      <c r="L979" s="18" t="s">
        <v>3219</v>
      </c>
      <c r="M979" s="18">
        <v>149900</v>
      </c>
      <c r="N979" s="24">
        <f t="shared" si="145"/>
        <v>0.7</v>
      </c>
      <c r="O979" s="25">
        <f t="shared" si="143"/>
        <v>44970</v>
      </c>
      <c r="P979" s="11" t="s">
        <v>20</v>
      </c>
    </row>
    <row r="980" spans="1:16" s="29" customFormat="1" x14ac:dyDescent="0.25">
      <c r="A980" s="23" t="str">
        <f t="shared" ref="A980" si="162">A979</f>
        <v>2025 JAN-JUN D70</v>
      </c>
      <c r="B980" s="10">
        <f t="shared" si="160"/>
        <v>46104</v>
      </c>
      <c r="C980" s="10">
        <f t="shared" si="160"/>
        <v>46113</v>
      </c>
      <c r="D980" s="9">
        <v>3273</v>
      </c>
      <c r="E980" s="9">
        <v>336</v>
      </c>
      <c r="F980" s="9">
        <v>4</v>
      </c>
      <c r="G980" s="18">
        <v>6</v>
      </c>
      <c r="H980" s="18">
        <v>81588</v>
      </c>
      <c r="I980" s="9" t="s">
        <v>17</v>
      </c>
      <c r="J980" s="9">
        <v>54209702</v>
      </c>
      <c r="K980" s="18" t="s">
        <v>3213</v>
      </c>
      <c r="L980" s="18" t="s">
        <v>3220</v>
      </c>
      <c r="M980" s="18">
        <v>149900</v>
      </c>
      <c r="N980" s="24">
        <f t="shared" si="145"/>
        <v>0.7</v>
      </c>
      <c r="O980" s="25">
        <f t="shared" si="143"/>
        <v>44970</v>
      </c>
      <c r="P980" s="11" t="s">
        <v>20</v>
      </c>
    </row>
    <row r="981" spans="1:16" s="29" customFormat="1" x14ac:dyDescent="0.25">
      <c r="A981" s="23" t="str">
        <f t="shared" ref="A981" si="163">A980</f>
        <v>2025 JAN-JUN D70</v>
      </c>
      <c r="B981" s="10">
        <f t="shared" si="160"/>
        <v>46104</v>
      </c>
      <c r="C981" s="10">
        <f t="shared" si="160"/>
        <v>46113</v>
      </c>
      <c r="D981" s="9">
        <v>3273</v>
      </c>
      <c r="E981" s="9">
        <v>336</v>
      </c>
      <c r="F981" s="9">
        <v>4</v>
      </c>
      <c r="G981" s="18">
        <v>6</v>
      </c>
      <c r="H981" s="18">
        <v>81588</v>
      </c>
      <c r="I981" s="9" t="s">
        <v>17</v>
      </c>
      <c r="J981" s="9">
        <v>54209711</v>
      </c>
      <c r="K981" s="18" t="s">
        <v>3221</v>
      </c>
      <c r="L981" s="18" t="s">
        <v>3222</v>
      </c>
      <c r="M981" s="18">
        <v>149900</v>
      </c>
      <c r="N981" s="24">
        <f t="shared" si="145"/>
        <v>0.7</v>
      </c>
      <c r="O981" s="25">
        <f t="shared" si="143"/>
        <v>44970</v>
      </c>
      <c r="P981" s="11" t="s">
        <v>20</v>
      </c>
    </row>
    <row r="982" spans="1:16" s="29" customFormat="1" x14ac:dyDescent="0.25">
      <c r="A982" s="23" t="str">
        <f t="shared" ref="A982" si="164">A981</f>
        <v>2025 JAN-JUN D70</v>
      </c>
      <c r="B982" s="10">
        <f t="shared" si="160"/>
        <v>46104</v>
      </c>
      <c r="C982" s="10">
        <f t="shared" si="160"/>
        <v>46113</v>
      </c>
      <c r="D982" s="9">
        <v>3273</v>
      </c>
      <c r="E982" s="9">
        <v>336</v>
      </c>
      <c r="F982" s="9">
        <v>4</v>
      </c>
      <c r="G982" s="18">
        <v>6</v>
      </c>
      <c r="H982" s="18">
        <v>81588</v>
      </c>
      <c r="I982" s="9" t="s">
        <v>17</v>
      </c>
      <c r="J982" s="9">
        <v>54209720</v>
      </c>
      <c r="K982" s="18" t="s">
        <v>3221</v>
      </c>
      <c r="L982" s="18" t="s">
        <v>3223</v>
      </c>
      <c r="M982" s="18">
        <v>149900</v>
      </c>
      <c r="N982" s="24">
        <f t="shared" si="145"/>
        <v>0.7</v>
      </c>
      <c r="O982" s="25">
        <f t="shared" si="143"/>
        <v>44970</v>
      </c>
      <c r="P982" s="11" t="s">
        <v>20</v>
      </c>
    </row>
    <row r="983" spans="1:16" s="29" customFormat="1" x14ac:dyDescent="0.25">
      <c r="A983" s="23" t="str">
        <f t="shared" ref="A983" si="165">A982</f>
        <v>2025 JAN-JUN D70</v>
      </c>
      <c r="B983" s="10">
        <f t="shared" si="160"/>
        <v>46104</v>
      </c>
      <c r="C983" s="10">
        <f t="shared" si="160"/>
        <v>46113</v>
      </c>
      <c r="D983" s="9">
        <v>3273</v>
      </c>
      <c r="E983" s="9">
        <v>336</v>
      </c>
      <c r="F983" s="9">
        <v>4</v>
      </c>
      <c r="G983" s="18">
        <v>6</v>
      </c>
      <c r="H983" s="18">
        <v>81588</v>
      </c>
      <c r="I983" s="9" t="s">
        <v>17</v>
      </c>
      <c r="J983" s="9">
        <v>54209739</v>
      </c>
      <c r="K983" s="18" t="s">
        <v>3221</v>
      </c>
      <c r="L983" s="18" t="s">
        <v>3224</v>
      </c>
      <c r="M983" s="18">
        <v>149900</v>
      </c>
      <c r="N983" s="24">
        <f t="shared" si="145"/>
        <v>0.7</v>
      </c>
      <c r="O983" s="25">
        <f t="shared" si="143"/>
        <v>44970</v>
      </c>
      <c r="P983" s="11" t="s">
        <v>20</v>
      </c>
    </row>
    <row r="984" spans="1:16" s="29" customFormat="1" x14ac:dyDescent="0.25">
      <c r="A984" s="23" t="str">
        <f t="shared" ref="A984" si="166">A983</f>
        <v>2025 JAN-JUN D70</v>
      </c>
      <c r="B984" s="10">
        <f t="shared" si="160"/>
        <v>46104</v>
      </c>
      <c r="C984" s="10">
        <f t="shared" si="160"/>
        <v>46113</v>
      </c>
      <c r="D984" s="9">
        <v>3273</v>
      </c>
      <c r="E984" s="9">
        <v>336</v>
      </c>
      <c r="F984" s="9">
        <v>4</v>
      </c>
      <c r="G984" s="18">
        <v>6</v>
      </c>
      <c r="H984" s="18">
        <v>81588</v>
      </c>
      <c r="I984" s="9" t="s">
        <v>17</v>
      </c>
      <c r="J984" s="9">
        <v>54209748</v>
      </c>
      <c r="K984" s="18" t="s">
        <v>3221</v>
      </c>
      <c r="L984" s="18" t="s">
        <v>3225</v>
      </c>
      <c r="M984" s="18">
        <v>149900</v>
      </c>
      <c r="N984" s="24">
        <f t="shared" si="145"/>
        <v>0.7</v>
      </c>
      <c r="O984" s="25">
        <f t="shared" si="143"/>
        <v>44970</v>
      </c>
      <c r="P984" s="11" t="s">
        <v>20</v>
      </c>
    </row>
    <row r="985" spans="1:16" s="29" customFormat="1" x14ac:dyDescent="0.25">
      <c r="A985" s="23" t="str">
        <f t="shared" ref="A985" si="167">A984</f>
        <v>2025 JAN-JUN D70</v>
      </c>
      <c r="B985" s="10">
        <f t="shared" si="160"/>
        <v>46104</v>
      </c>
      <c r="C985" s="10">
        <f t="shared" si="160"/>
        <v>46113</v>
      </c>
      <c r="D985" s="9">
        <v>3273</v>
      </c>
      <c r="E985" s="9">
        <v>336</v>
      </c>
      <c r="F985" s="9">
        <v>4</v>
      </c>
      <c r="G985" s="18">
        <v>6</v>
      </c>
      <c r="H985" s="18">
        <v>81588</v>
      </c>
      <c r="I985" s="9" t="s">
        <v>17</v>
      </c>
      <c r="J985" s="9">
        <v>54209757</v>
      </c>
      <c r="K985" s="18" t="s">
        <v>3221</v>
      </c>
      <c r="L985" s="18" t="s">
        <v>3226</v>
      </c>
      <c r="M985" s="18">
        <v>149900</v>
      </c>
      <c r="N985" s="24">
        <f t="shared" si="145"/>
        <v>0.7</v>
      </c>
      <c r="O985" s="25">
        <f t="shared" si="143"/>
        <v>44970</v>
      </c>
      <c r="P985" s="11" t="s">
        <v>20</v>
      </c>
    </row>
    <row r="986" spans="1:16" s="29" customFormat="1" x14ac:dyDescent="0.25">
      <c r="A986" s="23" t="str">
        <f t="shared" ref="A986" si="168">A985</f>
        <v>2025 JAN-JUN D70</v>
      </c>
      <c r="B986" s="10">
        <f t="shared" si="160"/>
        <v>46104</v>
      </c>
      <c r="C986" s="10">
        <f t="shared" si="160"/>
        <v>46113</v>
      </c>
      <c r="D986" s="9">
        <v>3273</v>
      </c>
      <c r="E986" s="9">
        <v>336</v>
      </c>
      <c r="F986" s="9">
        <v>4</v>
      </c>
      <c r="G986" s="18">
        <v>6</v>
      </c>
      <c r="H986" s="18">
        <v>81588</v>
      </c>
      <c r="I986" s="9" t="s">
        <v>17</v>
      </c>
      <c r="J986" s="9">
        <v>54209766</v>
      </c>
      <c r="K986" s="18" t="s">
        <v>3221</v>
      </c>
      <c r="L986" s="18" t="s">
        <v>3227</v>
      </c>
      <c r="M986" s="18">
        <v>149900</v>
      </c>
      <c r="N986" s="24">
        <f t="shared" si="145"/>
        <v>0.7</v>
      </c>
      <c r="O986" s="25">
        <f t="shared" si="143"/>
        <v>44970</v>
      </c>
      <c r="P986" s="11" t="s">
        <v>20</v>
      </c>
    </row>
    <row r="987" spans="1:16" s="29" customFormat="1" x14ac:dyDescent="0.25">
      <c r="A987" s="23" t="str">
        <f t="shared" ref="A987" si="169">A986</f>
        <v>2025 JAN-JUN D70</v>
      </c>
      <c r="B987" s="10">
        <f t="shared" si="160"/>
        <v>46104</v>
      </c>
      <c r="C987" s="10">
        <f t="shared" si="160"/>
        <v>46113</v>
      </c>
      <c r="D987" s="9">
        <v>3273</v>
      </c>
      <c r="E987" s="9">
        <v>336</v>
      </c>
      <c r="F987" s="9">
        <v>4</v>
      </c>
      <c r="G987" s="18">
        <v>6</v>
      </c>
      <c r="H987" s="18">
        <v>81588</v>
      </c>
      <c r="I987" s="9" t="s">
        <v>17</v>
      </c>
      <c r="J987" s="9">
        <v>54209775</v>
      </c>
      <c r="K987" s="18" t="s">
        <v>3221</v>
      </c>
      <c r="L987" s="18" t="s">
        <v>3228</v>
      </c>
      <c r="M987" s="18">
        <v>149900</v>
      </c>
      <c r="N987" s="24">
        <f t="shared" si="145"/>
        <v>0.7</v>
      </c>
      <c r="O987" s="25">
        <f t="shared" si="143"/>
        <v>44970</v>
      </c>
      <c r="P987" s="11" t="s">
        <v>20</v>
      </c>
    </row>
    <row r="988" spans="1:16" s="29" customFormat="1" x14ac:dyDescent="0.25">
      <c r="A988" s="23" t="str">
        <f t="shared" ref="A988" si="170">A987</f>
        <v>2025 JAN-JUN D70</v>
      </c>
      <c r="B988" s="10">
        <f t="shared" ref="B988:C994" si="171">B987</f>
        <v>46104</v>
      </c>
      <c r="C988" s="10">
        <f t="shared" si="171"/>
        <v>46113</v>
      </c>
      <c r="D988" s="9">
        <v>3273</v>
      </c>
      <c r="E988" s="9">
        <v>336</v>
      </c>
      <c r="F988" s="9">
        <v>4</v>
      </c>
      <c r="G988" s="9">
        <v>10</v>
      </c>
      <c r="H988" s="9">
        <v>81574</v>
      </c>
      <c r="I988" s="9" t="s">
        <v>17</v>
      </c>
      <c r="J988" s="9">
        <v>54209631</v>
      </c>
      <c r="K988" s="9" t="s">
        <v>3229</v>
      </c>
      <c r="L988" s="9" t="s">
        <v>3230</v>
      </c>
      <c r="M988" s="9">
        <v>149900</v>
      </c>
      <c r="N988" s="24">
        <f t="shared" si="145"/>
        <v>0.7</v>
      </c>
      <c r="O988" s="25">
        <f t="shared" si="143"/>
        <v>44970</v>
      </c>
      <c r="P988" s="11" t="s">
        <v>20</v>
      </c>
    </row>
    <row r="989" spans="1:16" s="29" customFormat="1" x14ac:dyDescent="0.25">
      <c r="A989" s="23" t="str">
        <f t="shared" ref="A989" si="172">A988</f>
        <v>2025 JAN-JUN D70</v>
      </c>
      <c r="B989" s="10">
        <f t="shared" si="171"/>
        <v>46104</v>
      </c>
      <c r="C989" s="10">
        <f t="shared" si="171"/>
        <v>46113</v>
      </c>
      <c r="D989" s="9">
        <v>3273</v>
      </c>
      <c r="E989" s="9">
        <v>336</v>
      </c>
      <c r="F989" s="9">
        <v>4</v>
      </c>
      <c r="G989" s="9">
        <v>14</v>
      </c>
      <c r="H989" s="9">
        <v>81676</v>
      </c>
      <c r="I989" s="9" t="s">
        <v>17</v>
      </c>
      <c r="J989" s="9">
        <v>53560011</v>
      </c>
      <c r="K989" s="9" t="s">
        <v>3231</v>
      </c>
      <c r="L989" s="9" t="s">
        <v>3232</v>
      </c>
      <c r="M989" s="9">
        <v>169900</v>
      </c>
      <c r="N989" s="24">
        <f t="shared" si="145"/>
        <v>0.7</v>
      </c>
      <c r="O989" s="25">
        <f t="shared" si="143"/>
        <v>50970</v>
      </c>
      <c r="P989" s="11" t="s">
        <v>20</v>
      </c>
    </row>
    <row r="990" spans="1:16" s="29" customFormat="1" x14ac:dyDescent="0.25">
      <c r="A990" s="23" t="str">
        <f t="shared" ref="A990" si="173">A989</f>
        <v>2025 JAN-JUN D70</v>
      </c>
      <c r="B990" s="10">
        <f t="shared" si="171"/>
        <v>46104</v>
      </c>
      <c r="C990" s="10">
        <f t="shared" si="171"/>
        <v>46113</v>
      </c>
      <c r="D990" s="9">
        <v>3273</v>
      </c>
      <c r="E990" s="9">
        <v>336</v>
      </c>
      <c r="F990" s="9">
        <v>4</v>
      </c>
      <c r="G990" s="9">
        <v>14</v>
      </c>
      <c r="H990" s="9">
        <v>81676</v>
      </c>
      <c r="I990" s="9" t="s">
        <v>17</v>
      </c>
      <c r="J990" s="9">
        <v>53560020</v>
      </c>
      <c r="K990" s="9" t="s">
        <v>3231</v>
      </c>
      <c r="L990" s="9" t="s">
        <v>3233</v>
      </c>
      <c r="M990" s="9">
        <v>169900</v>
      </c>
      <c r="N990" s="24">
        <f t="shared" si="145"/>
        <v>0.7</v>
      </c>
      <c r="O990" s="25">
        <f t="shared" si="143"/>
        <v>50970</v>
      </c>
      <c r="P990" s="11" t="s">
        <v>20</v>
      </c>
    </row>
    <row r="991" spans="1:16" s="29" customFormat="1" x14ac:dyDescent="0.25">
      <c r="A991" s="23" t="str">
        <f t="shared" ref="A991" si="174">A990</f>
        <v>2025 JAN-JUN D70</v>
      </c>
      <c r="B991" s="10">
        <f t="shared" si="171"/>
        <v>46104</v>
      </c>
      <c r="C991" s="10">
        <f t="shared" si="171"/>
        <v>46113</v>
      </c>
      <c r="D991" s="9">
        <v>3273</v>
      </c>
      <c r="E991" s="9">
        <v>336</v>
      </c>
      <c r="F991" s="9">
        <v>4</v>
      </c>
      <c r="G991" s="9">
        <v>14</v>
      </c>
      <c r="H991" s="9">
        <v>81676</v>
      </c>
      <c r="I991" s="9" t="s">
        <v>17</v>
      </c>
      <c r="J991" s="9">
        <v>53560039</v>
      </c>
      <c r="K991" s="9" t="s">
        <v>3231</v>
      </c>
      <c r="L991" s="9" t="s">
        <v>3234</v>
      </c>
      <c r="M991" s="9">
        <v>169900</v>
      </c>
      <c r="N991" s="24">
        <f t="shared" si="145"/>
        <v>0.7</v>
      </c>
      <c r="O991" s="25">
        <f t="shared" si="143"/>
        <v>50970</v>
      </c>
      <c r="P991" s="11" t="s">
        <v>20</v>
      </c>
    </row>
    <row r="992" spans="1:16" s="29" customFormat="1" x14ac:dyDescent="0.25">
      <c r="A992" s="23" t="str">
        <f t="shared" ref="A992" si="175">A991</f>
        <v>2025 JAN-JUN D70</v>
      </c>
      <c r="B992" s="10">
        <f t="shared" si="171"/>
        <v>46104</v>
      </c>
      <c r="C992" s="10">
        <f t="shared" si="171"/>
        <v>46113</v>
      </c>
      <c r="D992" s="9">
        <v>3273</v>
      </c>
      <c r="E992" s="9">
        <v>336</v>
      </c>
      <c r="F992" s="9">
        <v>4</v>
      </c>
      <c r="G992" s="9">
        <v>14</v>
      </c>
      <c r="H992" s="9">
        <v>81676</v>
      </c>
      <c r="I992" s="9" t="s">
        <v>17</v>
      </c>
      <c r="J992" s="9">
        <v>53560048</v>
      </c>
      <c r="K992" s="9" t="s">
        <v>3231</v>
      </c>
      <c r="L992" s="9" t="s">
        <v>3235</v>
      </c>
      <c r="M992" s="9">
        <v>169900</v>
      </c>
      <c r="N992" s="24">
        <f t="shared" si="145"/>
        <v>0.7</v>
      </c>
      <c r="O992" s="25">
        <f t="shared" si="143"/>
        <v>50970</v>
      </c>
      <c r="P992" s="11" t="s">
        <v>20</v>
      </c>
    </row>
    <row r="993" spans="1:16" s="29" customFormat="1" x14ac:dyDescent="0.25">
      <c r="A993" s="23" t="str">
        <f t="shared" ref="A993" si="176">A992</f>
        <v>2025 JAN-JUN D70</v>
      </c>
      <c r="B993" s="10">
        <f t="shared" si="171"/>
        <v>46104</v>
      </c>
      <c r="C993" s="10">
        <f t="shared" si="171"/>
        <v>46113</v>
      </c>
      <c r="D993" s="9">
        <v>3273</v>
      </c>
      <c r="E993" s="9">
        <v>336</v>
      </c>
      <c r="F993" s="9">
        <v>4</v>
      </c>
      <c r="G993" s="9">
        <v>14</v>
      </c>
      <c r="H993" s="9">
        <v>81676</v>
      </c>
      <c r="I993" s="9" t="s">
        <v>17</v>
      </c>
      <c r="J993" s="9">
        <v>53560057</v>
      </c>
      <c r="K993" s="9" t="s">
        <v>3231</v>
      </c>
      <c r="L993" s="9" t="s">
        <v>3236</v>
      </c>
      <c r="M993" s="9">
        <v>169900</v>
      </c>
      <c r="N993" s="24">
        <f t="shared" si="145"/>
        <v>0.7</v>
      </c>
      <c r="O993" s="25">
        <f t="shared" si="143"/>
        <v>50970</v>
      </c>
      <c r="P993" s="11" t="s">
        <v>20</v>
      </c>
    </row>
    <row r="994" spans="1:16" s="29" customFormat="1" x14ac:dyDescent="0.25">
      <c r="A994" s="23" t="str">
        <f t="shared" ref="A994" si="177">A993</f>
        <v>2025 JAN-JUN D70</v>
      </c>
      <c r="B994" s="10">
        <f t="shared" si="171"/>
        <v>46104</v>
      </c>
      <c r="C994" s="10">
        <f t="shared" si="171"/>
        <v>46113</v>
      </c>
      <c r="D994" s="9">
        <v>3273</v>
      </c>
      <c r="E994" s="9">
        <v>336</v>
      </c>
      <c r="F994" s="9">
        <v>4</v>
      </c>
      <c r="G994" s="9">
        <v>14</v>
      </c>
      <c r="H994" s="9">
        <v>81676</v>
      </c>
      <c r="I994" s="9" t="s">
        <v>17</v>
      </c>
      <c r="J994" s="9">
        <v>53560066</v>
      </c>
      <c r="K994" s="9" t="s">
        <v>3231</v>
      </c>
      <c r="L994" s="9" t="s">
        <v>3237</v>
      </c>
      <c r="M994" s="9">
        <v>169900</v>
      </c>
      <c r="N994" s="24">
        <f t="shared" si="145"/>
        <v>0.7</v>
      </c>
      <c r="O994" s="25">
        <f t="shared" si="143"/>
        <v>50970</v>
      </c>
      <c r="P994" s="11" t="s">
        <v>20</v>
      </c>
    </row>
    <row r="995" spans="1:16" s="28" customFormat="1" x14ac:dyDescent="0.25">
      <c r="A995" s="23" t="str">
        <f t="shared" ref="A995" si="178">A994</f>
        <v>2025 JAN-JUN D70</v>
      </c>
      <c r="B995" s="10">
        <f>'[1]2019 ALL D95'!B2</f>
        <v>46104</v>
      </c>
      <c r="C995" s="10">
        <f>'[1]2019 ALL D95'!C2</f>
        <v>46113</v>
      </c>
      <c r="D995" s="11">
        <v>3273</v>
      </c>
      <c r="E995" s="11">
        <v>336</v>
      </c>
      <c r="F995" s="11">
        <v>4</v>
      </c>
      <c r="G995" s="11">
        <v>6</v>
      </c>
      <c r="H995" s="11">
        <v>81588</v>
      </c>
      <c r="I995" s="11" t="s">
        <v>17</v>
      </c>
      <c r="J995" s="11">
        <v>54209784</v>
      </c>
      <c r="K995" s="11" t="s">
        <v>3238</v>
      </c>
      <c r="L995" s="9" t="s">
        <v>3239</v>
      </c>
      <c r="M995" s="11">
        <v>149900</v>
      </c>
      <c r="N995" s="24">
        <f t="shared" si="145"/>
        <v>0.7</v>
      </c>
      <c r="O995" s="25">
        <f t="shared" si="143"/>
        <v>44970</v>
      </c>
      <c r="P995" s="11" t="s">
        <v>20</v>
      </c>
    </row>
    <row r="996" spans="1:16" s="28" customFormat="1" x14ac:dyDescent="0.25">
      <c r="A996" s="23" t="str">
        <f t="shared" ref="A996" si="179">A995</f>
        <v>2025 JAN-JUN D70</v>
      </c>
      <c r="B996" s="10">
        <f t="shared" ref="B996:C1011" si="180">B995</f>
        <v>46104</v>
      </c>
      <c r="C996" s="10">
        <f t="shared" si="180"/>
        <v>46113</v>
      </c>
      <c r="D996" s="11">
        <v>3273</v>
      </c>
      <c r="E996" s="11">
        <v>336</v>
      </c>
      <c r="F996" s="11">
        <v>4</v>
      </c>
      <c r="G996" s="11">
        <v>6</v>
      </c>
      <c r="H996" s="11">
        <v>81588</v>
      </c>
      <c r="I996" s="11" t="s">
        <v>17</v>
      </c>
      <c r="J996" s="11">
        <v>54209793</v>
      </c>
      <c r="K996" s="11" t="s">
        <v>3238</v>
      </c>
      <c r="L996" s="9" t="s">
        <v>3240</v>
      </c>
      <c r="M996" s="11">
        <v>149900</v>
      </c>
      <c r="N996" s="24">
        <f t="shared" si="145"/>
        <v>0.7</v>
      </c>
      <c r="O996" s="25">
        <f t="shared" si="143"/>
        <v>44970</v>
      </c>
      <c r="P996" s="11" t="s">
        <v>20</v>
      </c>
    </row>
    <row r="997" spans="1:16" s="28" customFormat="1" x14ac:dyDescent="0.25">
      <c r="A997" s="23" t="str">
        <f t="shared" ref="A997" si="181">A996</f>
        <v>2025 JAN-JUN D70</v>
      </c>
      <c r="B997" s="10">
        <f t="shared" si="180"/>
        <v>46104</v>
      </c>
      <c r="C997" s="10">
        <f t="shared" si="180"/>
        <v>46113</v>
      </c>
      <c r="D997" s="11">
        <v>3273</v>
      </c>
      <c r="E997" s="11">
        <v>336</v>
      </c>
      <c r="F997" s="11">
        <v>4</v>
      </c>
      <c r="G997" s="11">
        <v>6</v>
      </c>
      <c r="H997" s="11">
        <v>81588</v>
      </c>
      <c r="I997" s="11" t="s">
        <v>17</v>
      </c>
      <c r="J997" s="11">
        <v>54209800</v>
      </c>
      <c r="K997" s="11" t="s">
        <v>3238</v>
      </c>
      <c r="L997" s="9" t="s">
        <v>3241</v>
      </c>
      <c r="M997" s="11">
        <v>149900</v>
      </c>
      <c r="N997" s="24">
        <f t="shared" si="145"/>
        <v>0.7</v>
      </c>
      <c r="O997" s="25">
        <f t="shared" si="143"/>
        <v>44970</v>
      </c>
      <c r="P997" s="11" t="s">
        <v>20</v>
      </c>
    </row>
    <row r="998" spans="1:16" s="28" customFormat="1" x14ac:dyDescent="0.25">
      <c r="A998" s="23" t="str">
        <f t="shared" ref="A998" si="182">A997</f>
        <v>2025 JAN-JUN D70</v>
      </c>
      <c r="B998" s="10">
        <f t="shared" si="180"/>
        <v>46104</v>
      </c>
      <c r="C998" s="10">
        <f t="shared" si="180"/>
        <v>46113</v>
      </c>
      <c r="D998" s="11">
        <v>3273</v>
      </c>
      <c r="E998" s="11">
        <v>336</v>
      </c>
      <c r="F998" s="11">
        <v>4</v>
      </c>
      <c r="G998" s="11">
        <v>6</v>
      </c>
      <c r="H998" s="11">
        <v>81588</v>
      </c>
      <c r="I998" s="11" t="s">
        <v>17</v>
      </c>
      <c r="J998" s="11">
        <v>54209819</v>
      </c>
      <c r="K998" s="11" t="s">
        <v>3238</v>
      </c>
      <c r="L998" s="9" t="s">
        <v>3242</v>
      </c>
      <c r="M998" s="11">
        <v>149900</v>
      </c>
      <c r="N998" s="24">
        <f t="shared" si="145"/>
        <v>0.7</v>
      </c>
      <c r="O998" s="25">
        <f t="shared" si="143"/>
        <v>44970</v>
      </c>
      <c r="P998" s="11" t="s">
        <v>20</v>
      </c>
    </row>
    <row r="999" spans="1:16" s="28" customFormat="1" x14ac:dyDescent="0.25">
      <c r="A999" s="23" t="str">
        <f t="shared" ref="A999" si="183">A998</f>
        <v>2025 JAN-JUN D70</v>
      </c>
      <c r="B999" s="10">
        <f t="shared" si="180"/>
        <v>46104</v>
      </c>
      <c r="C999" s="10">
        <f t="shared" si="180"/>
        <v>46113</v>
      </c>
      <c r="D999" s="11">
        <v>3273</v>
      </c>
      <c r="E999" s="11">
        <v>336</v>
      </c>
      <c r="F999" s="11">
        <v>4</v>
      </c>
      <c r="G999" s="11">
        <v>6</v>
      </c>
      <c r="H999" s="11">
        <v>81588</v>
      </c>
      <c r="I999" s="11" t="s">
        <v>17</v>
      </c>
      <c r="J999" s="11">
        <v>54209828</v>
      </c>
      <c r="K999" s="11" t="s">
        <v>3238</v>
      </c>
      <c r="L999" s="9" t="s">
        <v>3243</v>
      </c>
      <c r="M999" s="11">
        <v>149900</v>
      </c>
      <c r="N999" s="24">
        <f t="shared" si="145"/>
        <v>0.7</v>
      </c>
      <c r="O999" s="25">
        <f t="shared" si="143"/>
        <v>44970</v>
      </c>
      <c r="P999" s="11" t="s">
        <v>20</v>
      </c>
    </row>
    <row r="1000" spans="1:16" s="28" customFormat="1" x14ac:dyDescent="0.25">
      <c r="A1000" s="23" t="str">
        <f t="shared" ref="A1000" si="184">A999</f>
        <v>2025 JAN-JUN D70</v>
      </c>
      <c r="B1000" s="10">
        <f t="shared" si="180"/>
        <v>46104</v>
      </c>
      <c r="C1000" s="10">
        <f t="shared" si="180"/>
        <v>46113</v>
      </c>
      <c r="D1000" s="11">
        <v>3273</v>
      </c>
      <c r="E1000" s="11">
        <v>336</v>
      </c>
      <c r="F1000" s="11">
        <v>4</v>
      </c>
      <c r="G1000" s="11">
        <v>6</v>
      </c>
      <c r="H1000" s="11">
        <v>81588</v>
      </c>
      <c r="I1000" s="11" t="s">
        <v>17</v>
      </c>
      <c r="J1000" s="11">
        <v>54209837</v>
      </c>
      <c r="K1000" s="11" t="s">
        <v>3238</v>
      </c>
      <c r="L1000" s="9" t="s">
        <v>3244</v>
      </c>
      <c r="M1000" s="11">
        <v>149900</v>
      </c>
      <c r="N1000" s="24">
        <f t="shared" si="145"/>
        <v>0.7</v>
      </c>
      <c r="O1000" s="25">
        <f t="shared" si="143"/>
        <v>44970</v>
      </c>
      <c r="P1000" s="11" t="s">
        <v>20</v>
      </c>
    </row>
    <row r="1001" spans="1:16" s="28" customFormat="1" x14ac:dyDescent="0.25">
      <c r="A1001" s="23" t="str">
        <f t="shared" ref="A1001" si="185">A1000</f>
        <v>2025 JAN-JUN D70</v>
      </c>
      <c r="B1001" s="10">
        <f t="shared" si="180"/>
        <v>46104</v>
      </c>
      <c r="C1001" s="10">
        <f t="shared" si="180"/>
        <v>46113</v>
      </c>
      <c r="D1001" s="11">
        <v>3273</v>
      </c>
      <c r="E1001" s="11">
        <v>336</v>
      </c>
      <c r="F1001" s="11">
        <v>4</v>
      </c>
      <c r="G1001" s="11">
        <v>6</v>
      </c>
      <c r="H1001" s="11">
        <v>81588</v>
      </c>
      <c r="I1001" s="11" t="s">
        <v>17</v>
      </c>
      <c r="J1001" s="11">
        <v>54209846</v>
      </c>
      <c r="K1001" s="11" t="s">
        <v>3238</v>
      </c>
      <c r="L1001" s="9" t="s">
        <v>3245</v>
      </c>
      <c r="M1001" s="11">
        <v>149900</v>
      </c>
      <c r="N1001" s="24">
        <f t="shared" si="145"/>
        <v>0.7</v>
      </c>
      <c r="O1001" s="25">
        <f t="shared" si="143"/>
        <v>44970</v>
      </c>
      <c r="P1001" s="11" t="s">
        <v>20</v>
      </c>
    </row>
    <row r="1002" spans="1:16" s="28" customFormat="1" x14ac:dyDescent="0.25">
      <c r="A1002" s="23" t="str">
        <f t="shared" ref="A1002" si="186">A1001</f>
        <v>2025 JAN-JUN D70</v>
      </c>
      <c r="B1002" s="10">
        <f t="shared" si="180"/>
        <v>46104</v>
      </c>
      <c r="C1002" s="10">
        <f t="shared" si="180"/>
        <v>46113</v>
      </c>
      <c r="D1002" s="11">
        <v>3273</v>
      </c>
      <c r="E1002" s="11">
        <v>336</v>
      </c>
      <c r="F1002" s="11">
        <v>4</v>
      </c>
      <c r="G1002" s="11">
        <v>6</v>
      </c>
      <c r="H1002" s="11">
        <v>81588</v>
      </c>
      <c r="I1002" s="11" t="s">
        <v>17</v>
      </c>
      <c r="J1002" s="11">
        <v>54608647</v>
      </c>
      <c r="K1002" s="11" t="s">
        <v>3246</v>
      </c>
      <c r="L1002" s="9" t="s">
        <v>3247</v>
      </c>
      <c r="M1002" s="11">
        <v>149900</v>
      </c>
      <c r="N1002" s="24">
        <f t="shared" si="145"/>
        <v>0.7</v>
      </c>
      <c r="O1002" s="25">
        <f t="shared" si="143"/>
        <v>44970</v>
      </c>
      <c r="P1002" s="11" t="s">
        <v>20</v>
      </c>
    </row>
    <row r="1003" spans="1:16" s="28" customFormat="1" x14ac:dyDescent="0.25">
      <c r="A1003" s="23" t="str">
        <f t="shared" ref="A1003" si="187">A1002</f>
        <v>2025 JAN-JUN D70</v>
      </c>
      <c r="B1003" s="10">
        <f t="shared" si="180"/>
        <v>46104</v>
      </c>
      <c r="C1003" s="10">
        <f t="shared" si="180"/>
        <v>46113</v>
      </c>
      <c r="D1003" s="11">
        <v>3273</v>
      </c>
      <c r="E1003" s="11">
        <v>336</v>
      </c>
      <c r="F1003" s="11">
        <v>4</v>
      </c>
      <c r="G1003" s="11">
        <v>6</v>
      </c>
      <c r="H1003" s="11">
        <v>81588</v>
      </c>
      <c r="I1003" s="11" t="s">
        <v>17</v>
      </c>
      <c r="J1003" s="11">
        <v>54608656</v>
      </c>
      <c r="K1003" s="11" t="s">
        <v>3246</v>
      </c>
      <c r="L1003" s="9" t="s">
        <v>3248</v>
      </c>
      <c r="M1003" s="11">
        <v>149900</v>
      </c>
      <c r="N1003" s="24">
        <f t="shared" si="145"/>
        <v>0.7</v>
      </c>
      <c r="O1003" s="25">
        <f t="shared" si="143"/>
        <v>44970</v>
      </c>
      <c r="P1003" s="11" t="s">
        <v>20</v>
      </c>
    </row>
    <row r="1004" spans="1:16" s="28" customFormat="1" x14ac:dyDescent="0.25">
      <c r="A1004" s="23" t="str">
        <f t="shared" ref="A1004" si="188">A1003</f>
        <v>2025 JAN-JUN D70</v>
      </c>
      <c r="B1004" s="10">
        <f t="shared" si="180"/>
        <v>46104</v>
      </c>
      <c r="C1004" s="10">
        <f t="shared" si="180"/>
        <v>46113</v>
      </c>
      <c r="D1004" s="11">
        <v>3273</v>
      </c>
      <c r="E1004" s="11">
        <v>336</v>
      </c>
      <c r="F1004" s="11">
        <v>4</v>
      </c>
      <c r="G1004" s="11">
        <v>6</v>
      </c>
      <c r="H1004" s="11">
        <v>81588</v>
      </c>
      <c r="I1004" s="11" t="s">
        <v>17</v>
      </c>
      <c r="J1004" s="11">
        <v>54608665</v>
      </c>
      <c r="K1004" s="11" t="s">
        <v>3246</v>
      </c>
      <c r="L1004" s="9" t="s">
        <v>3249</v>
      </c>
      <c r="M1004" s="11">
        <v>149900</v>
      </c>
      <c r="N1004" s="24">
        <f t="shared" si="145"/>
        <v>0.7</v>
      </c>
      <c r="O1004" s="25">
        <f t="shared" si="143"/>
        <v>44970</v>
      </c>
      <c r="P1004" s="11" t="s">
        <v>20</v>
      </c>
    </row>
    <row r="1005" spans="1:16" s="28" customFormat="1" x14ac:dyDescent="0.25">
      <c r="A1005" s="23" t="str">
        <f t="shared" ref="A1005" si="189">A1004</f>
        <v>2025 JAN-JUN D70</v>
      </c>
      <c r="B1005" s="10">
        <f t="shared" si="180"/>
        <v>46104</v>
      </c>
      <c r="C1005" s="10">
        <f t="shared" si="180"/>
        <v>46113</v>
      </c>
      <c r="D1005" s="11">
        <v>3273</v>
      </c>
      <c r="E1005" s="11">
        <v>336</v>
      </c>
      <c r="F1005" s="11">
        <v>4</v>
      </c>
      <c r="G1005" s="11">
        <v>6</v>
      </c>
      <c r="H1005" s="11">
        <v>81588</v>
      </c>
      <c r="I1005" s="11" t="s">
        <v>17</v>
      </c>
      <c r="J1005" s="11">
        <v>54608674</v>
      </c>
      <c r="K1005" s="11" t="s">
        <v>3246</v>
      </c>
      <c r="L1005" s="9" t="s">
        <v>3250</v>
      </c>
      <c r="M1005" s="11">
        <v>149900</v>
      </c>
      <c r="N1005" s="24">
        <f t="shared" si="145"/>
        <v>0.7</v>
      </c>
      <c r="O1005" s="25">
        <f t="shared" si="143"/>
        <v>44970</v>
      </c>
      <c r="P1005" s="11" t="s">
        <v>20</v>
      </c>
    </row>
    <row r="1006" spans="1:16" s="28" customFormat="1" x14ac:dyDescent="0.25">
      <c r="A1006" s="23" t="str">
        <f t="shared" ref="A1006" si="190">A1005</f>
        <v>2025 JAN-JUN D70</v>
      </c>
      <c r="B1006" s="10">
        <f t="shared" si="180"/>
        <v>46104</v>
      </c>
      <c r="C1006" s="10">
        <f t="shared" si="180"/>
        <v>46113</v>
      </c>
      <c r="D1006" s="11">
        <v>3273</v>
      </c>
      <c r="E1006" s="11">
        <v>336</v>
      </c>
      <c r="F1006" s="11">
        <v>4</v>
      </c>
      <c r="G1006" s="11">
        <v>6</v>
      </c>
      <c r="H1006" s="11">
        <v>81588</v>
      </c>
      <c r="I1006" s="11" t="s">
        <v>17</v>
      </c>
      <c r="J1006" s="11">
        <v>54608683</v>
      </c>
      <c r="K1006" s="11" t="s">
        <v>3246</v>
      </c>
      <c r="L1006" s="9" t="s">
        <v>3251</v>
      </c>
      <c r="M1006" s="11">
        <v>149900</v>
      </c>
      <c r="N1006" s="24">
        <f t="shared" si="145"/>
        <v>0.7</v>
      </c>
      <c r="O1006" s="25">
        <f t="shared" si="143"/>
        <v>44970</v>
      </c>
      <c r="P1006" s="11" t="s">
        <v>20</v>
      </c>
    </row>
    <row r="1007" spans="1:16" s="28" customFormat="1" x14ac:dyDescent="0.25">
      <c r="A1007" s="23" t="str">
        <f t="shared" ref="A1007" si="191">A1006</f>
        <v>2025 JAN-JUN D70</v>
      </c>
      <c r="B1007" s="10">
        <f t="shared" si="180"/>
        <v>46104</v>
      </c>
      <c r="C1007" s="10">
        <f t="shared" si="180"/>
        <v>46113</v>
      </c>
      <c r="D1007" s="11">
        <v>3273</v>
      </c>
      <c r="E1007" s="11">
        <v>336</v>
      </c>
      <c r="F1007" s="11">
        <v>4</v>
      </c>
      <c r="G1007" s="11">
        <v>6</v>
      </c>
      <c r="H1007" s="11">
        <v>81588</v>
      </c>
      <c r="I1007" s="11" t="s">
        <v>17</v>
      </c>
      <c r="J1007" s="11">
        <v>54608692</v>
      </c>
      <c r="K1007" s="11" t="s">
        <v>3246</v>
      </c>
      <c r="L1007" s="9" t="s">
        <v>3252</v>
      </c>
      <c r="M1007" s="11">
        <v>149900</v>
      </c>
      <c r="N1007" s="24">
        <f t="shared" si="145"/>
        <v>0.7</v>
      </c>
      <c r="O1007" s="25">
        <f t="shared" si="143"/>
        <v>44970</v>
      </c>
      <c r="P1007" s="11" t="s">
        <v>20</v>
      </c>
    </row>
    <row r="1008" spans="1:16" s="28" customFormat="1" x14ac:dyDescent="0.25">
      <c r="A1008" s="23" t="str">
        <f t="shared" ref="A1008" si="192">A1007</f>
        <v>2025 JAN-JUN D70</v>
      </c>
      <c r="B1008" s="10">
        <f t="shared" si="180"/>
        <v>46104</v>
      </c>
      <c r="C1008" s="10">
        <f t="shared" si="180"/>
        <v>46113</v>
      </c>
      <c r="D1008" s="11">
        <v>3273</v>
      </c>
      <c r="E1008" s="11">
        <v>336</v>
      </c>
      <c r="F1008" s="11">
        <v>4</v>
      </c>
      <c r="G1008" s="11">
        <v>6</v>
      </c>
      <c r="H1008" s="11">
        <v>81588</v>
      </c>
      <c r="I1008" s="11" t="s">
        <v>17</v>
      </c>
      <c r="J1008" s="11">
        <v>54608709</v>
      </c>
      <c r="K1008" s="11" t="s">
        <v>3246</v>
      </c>
      <c r="L1008" s="9" t="s">
        <v>3253</v>
      </c>
      <c r="M1008" s="11">
        <v>149900</v>
      </c>
      <c r="N1008" s="24">
        <f t="shared" si="145"/>
        <v>0.7</v>
      </c>
      <c r="O1008" s="25">
        <f t="shared" si="143"/>
        <v>44970</v>
      </c>
      <c r="P1008" s="11" t="s">
        <v>20</v>
      </c>
    </row>
    <row r="1009" spans="1:16" s="28" customFormat="1" x14ac:dyDescent="0.25">
      <c r="A1009" s="23" t="str">
        <f t="shared" ref="A1009" si="193">A1008</f>
        <v>2025 JAN-JUN D70</v>
      </c>
      <c r="B1009" s="10">
        <f t="shared" si="180"/>
        <v>46104</v>
      </c>
      <c r="C1009" s="10">
        <f t="shared" si="180"/>
        <v>46113</v>
      </c>
      <c r="D1009" s="11">
        <v>3273</v>
      </c>
      <c r="E1009" s="11">
        <v>336</v>
      </c>
      <c r="F1009" s="11">
        <v>4</v>
      </c>
      <c r="G1009" s="11">
        <v>6</v>
      </c>
      <c r="H1009" s="11">
        <v>81588</v>
      </c>
      <c r="I1009" s="11" t="s">
        <v>17</v>
      </c>
      <c r="J1009" s="11">
        <v>54608718</v>
      </c>
      <c r="K1009" s="11" t="s">
        <v>3246</v>
      </c>
      <c r="L1009" s="9" t="s">
        <v>3254</v>
      </c>
      <c r="M1009" s="11">
        <v>149900</v>
      </c>
      <c r="N1009" s="24">
        <f t="shared" si="145"/>
        <v>0.7</v>
      </c>
      <c r="O1009" s="25">
        <f t="shared" si="143"/>
        <v>44970</v>
      </c>
      <c r="P1009" s="11" t="s">
        <v>20</v>
      </c>
    </row>
    <row r="1010" spans="1:16" s="28" customFormat="1" x14ac:dyDescent="0.25">
      <c r="A1010" s="23" t="str">
        <f t="shared" ref="A1010" si="194">A1009</f>
        <v>2025 JAN-JUN D70</v>
      </c>
      <c r="B1010" s="10">
        <f t="shared" si="180"/>
        <v>46104</v>
      </c>
      <c r="C1010" s="10">
        <f t="shared" si="180"/>
        <v>46113</v>
      </c>
      <c r="D1010" s="11">
        <v>3273</v>
      </c>
      <c r="E1010" s="11">
        <v>336</v>
      </c>
      <c r="F1010" s="11">
        <v>4</v>
      </c>
      <c r="G1010" s="11">
        <v>6</v>
      </c>
      <c r="H1010" s="11">
        <v>81588</v>
      </c>
      <c r="I1010" s="11" t="s">
        <v>17</v>
      </c>
      <c r="J1010" s="30">
        <v>54792108</v>
      </c>
      <c r="K1010" s="11" t="s">
        <v>3255</v>
      </c>
      <c r="L1010" s="9" t="s">
        <v>3256</v>
      </c>
      <c r="M1010" s="11">
        <v>139900</v>
      </c>
      <c r="N1010" s="24">
        <f t="shared" si="145"/>
        <v>0.7</v>
      </c>
      <c r="O1010" s="25">
        <f t="shared" si="143"/>
        <v>41970</v>
      </c>
      <c r="P1010" s="11" t="s">
        <v>20</v>
      </c>
    </row>
    <row r="1011" spans="1:16" s="28" customFormat="1" x14ac:dyDescent="0.25">
      <c r="A1011" s="23" t="str">
        <f t="shared" ref="A1011" si="195">A1010</f>
        <v>2025 JAN-JUN D70</v>
      </c>
      <c r="B1011" s="10">
        <f t="shared" si="180"/>
        <v>46104</v>
      </c>
      <c r="C1011" s="10">
        <f t="shared" si="180"/>
        <v>46113</v>
      </c>
      <c r="D1011" s="11">
        <v>3273</v>
      </c>
      <c r="E1011" s="11">
        <v>336</v>
      </c>
      <c r="F1011" s="11">
        <v>4</v>
      </c>
      <c r="G1011" s="11">
        <v>6</v>
      </c>
      <c r="H1011" s="11">
        <v>81588</v>
      </c>
      <c r="I1011" s="11" t="s">
        <v>17</v>
      </c>
      <c r="J1011" s="30">
        <v>54792117</v>
      </c>
      <c r="K1011" s="11" t="s">
        <v>3255</v>
      </c>
      <c r="L1011" s="9" t="s">
        <v>3257</v>
      </c>
      <c r="M1011" s="11">
        <v>139900</v>
      </c>
      <c r="N1011" s="24">
        <f t="shared" si="145"/>
        <v>0.7</v>
      </c>
      <c r="O1011" s="25">
        <f t="shared" si="143"/>
        <v>41970</v>
      </c>
      <c r="P1011" s="11" t="s">
        <v>20</v>
      </c>
    </row>
    <row r="1012" spans="1:16" s="28" customFormat="1" x14ac:dyDescent="0.25">
      <c r="A1012" s="23" t="str">
        <f t="shared" ref="A1012" si="196">A1011</f>
        <v>2025 JAN-JUN D70</v>
      </c>
      <c r="B1012" s="10">
        <f t="shared" ref="B1012:C1027" si="197">B1011</f>
        <v>46104</v>
      </c>
      <c r="C1012" s="10">
        <f t="shared" si="197"/>
        <v>46113</v>
      </c>
      <c r="D1012" s="11">
        <v>3273</v>
      </c>
      <c r="E1012" s="11">
        <v>336</v>
      </c>
      <c r="F1012" s="11">
        <v>4</v>
      </c>
      <c r="G1012" s="11">
        <v>6</v>
      </c>
      <c r="H1012" s="11">
        <v>81588</v>
      </c>
      <c r="I1012" s="11" t="s">
        <v>17</v>
      </c>
      <c r="J1012" s="30">
        <v>54792126</v>
      </c>
      <c r="K1012" s="11" t="s">
        <v>3255</v>
      </c>
      <c r="L1012" s="9" t="s">
        <v>3258</v>
      </c>
      <c r="M1012" s="11">
        <v>139900</v>
      </c>
      <c r="N1012" s="24">
        <f t="shared" si="145"/>
        <v>0.7</v>
      </c>
      <c r="O1012" s="25">
        <f t="shared" si="143"/>
        <v>41970</v>
      </c>
      <c r="P1012" s="11" t="s">
        <v>20</v>
      </c>
    </row>
    <row r="1013" spans="1:16" s="28" customFormat="1" x14ac:dyDescent="0.25">
      <c r="A1013" s="23" t="str">
        <f t="shared" ref="A1013" si="198">A1012</f>
        <v>2025 JAN-JUN D70</v>
      </c>
      <c r="B1013" s="10">
        <f t="shared" si="197"/>
        <v>46104</v>
      </c>
      <c r="C1013" s="10">
        <f t="shared" si="197"/>
        <v>46113</v>
      </c>
      <c r="D1013" s="11">
        <v>3273</v>
      </c>
      <c r="E1013" s="11">
        <v>336</v>
      </c>
      <c r="F1013" s="11">
        <v>4</v>
      </c>
      <c r="G1013" s="11">
        <v>6</v>
      </c>
      <c r="H1013" s="11">
        <v>81588</v>
      </c>
      <c r="I1013" s="11" t="s">
        <v>17</v>
      </c>
      <c r="J1013" s="30">
        <v>54792135</v>
      </c>
      <c r="K1013" s="11" t="s">
        <v>3255</v>
      </c>
      <c r="L1013" s="9" t="s">
        <v>3259</v>
      </c>
      <c r="M1013" s="11">
        <v>139900</v>
      </c>
      <c r="N1013" s="24">
        <f t="shared" si="145"/>
        <v>0.7</v>
      </c>
      <c r="O1013" s="25">
        <f t="shared" si="143"/>
        <v>41970</v>
      </c>
      <c r="P1013" s="11" t="s">
        <v>20</v>
      </c>
    </row>
    <row r="1014" spans="1:16" s="28" customFormat="1" x14ac:dyDescent="0.25">
      <c r="A1014" s="23" t="str">
        <f t="shared" ref="A1014" si="199">A1013</f>
        <v>2025 JAN-JUN D70</v>
      </c>
      <c r="B1014" s="10">
        <f t="shared" si="197"/>
        <v>46104</v>
      </c>
      <c r="C1014" s="10">
        <f t="shared" si="197"/>
        <v>46113</v>
      </c>
      <c r="D1014" s="11">
        <v>3273</v>
      </c>
      <c r="E1014" s="11">
        <v>336</v>
      </c>
      <c r="F1014" s="11">
        <v>4</v>
      </c>
      <c r="G1014" s="11">
        <v>6</v>
      </c>
      <c r="H1014" s="11">
        <v>81588</v>
      </c>
      <c r="I1014" s="11" t="s">
        <v>17</v>
      </c>
      <c r="J1014" s="30">
        <v>54792144</v>
      </c>
      <c r="K1014" s="11" t="s">
        <v>3255</v>
      </c>
      <c r="L1014" s="9" t="s">
        <v>3260</v>
      </c>
      <c r="M1014" s="11">
        <v>139900</v>
      </c>
      <c r="N1014" s="24">
        <f t="shared" si="145"/>
        <v>0.7</v>
      </c>
      <c r="O1014" s="25">
        <f t="shared" si="143"/>
        <v>41970</v>
      </c>
      <c r="P1014" s="11" t="s">
        <v>20</v>
      </c>
    </row>
    <row r="1015" spans="1:16" s="28" customFormat="1" x14ac:dyDescent="0.25">
      <c r="A1015" s="23" t="str">
        <f t="shared" ref="A1015" si="200">A1014</f>
        <v>2025 JAN-JUN D70</v>
      </c>
      <c r="B1015" s="10">
        <f t="shared" si="197"/>
        <v>46104</v>
      </c>
      <c r="C1015" s="10">
        <f t="shared" si="197"/>
        <v>46113</v>
      </c>
      <c r="D1015" s="11">
        <v>3273</v>
      </c>
      <c r="E1015" s="11">
        <v>336</v>
      </c>
      <c r="F1015" s="11">
        <v>4</v>
      </c>
      <c r="G1015" s="11">
        <v>6</v>
      </c>
      <c r="H1015" s="11">
        <v>81588</v>
      </c>
      <c r="I1015" s="11" t="s">
        <v>17</v>
      </c>
      <c r="J1015" s="30">
        <v>54792153</v>
      </c>
      <c r="K1015" s="11" t="s">
        <v>3255</v>
      </c>
      <c r="L1015" s="9" t="s">
        <v>3261</v>
      </c>
      <c r="M1015" s="11">
        <v>139900</v>
      </c>
      <c r="N1015" s="24">
        <f t="shared" si="145"/>
        <v>0.7</v>
      </c>
      <c r="O1015" s="25">
        <f t="shared" si="143"/>
        <v>41970</v>
      </c>
      <c r="P1015" s="11" t="s">
        <v>20</v>
      </c>
    </row>
    <row r="1016" spans="1:16" s="28" customFormat="1" x14ac:dyDescent="0.25">
      <c r="A1016" s="23" t="str">
        <f t="shared" ref="A1016" si="201">A1015</f>
        <v>2025 JAN-JUN D70</v>
      </c>
      <c r="B1016" s="10">
        <f t="shared" si="197"/>
        <v>46104</v>
      </c>
      <c r="C1016" s="10">
        <f t="shared" si="197"/>
        <v>46113</v>
      </c>
      <c r="D1016" s="11">
        <v>3273</v>
      </c>
      <c r="E1016" s="11">
        <v>336</v>
      </c>
      <c r="F1016" s="11">
        <v>4</v>
      </c>
      <c r="G1016" s="11">
        <v>6</v>
      </c>
      <c r="H1016" s="11">
        <v>81588</v>
      </c>
      <c r="I1016" s="11" t="s">
        <v>17</v>
      </c>
      <c r="J1016" s="30">
        <v>54792162</v>
      </c>
      <c r="K1016" s="11" t="s">
        <v>3255</v>
      </c>
      <c r="L1016" s="9" t="s">
        <v>3262</v>
      </c>
      <c r="M1016" s="11">
        <v>139900</v>
      </c>
      <c r="N1016" s="24">
        <f t="shared" si="145"/>
        <v>0.7</v>
      </c>
      <c r="O1016" s="25">
        <f t="shared" si="143"/>
        <v>41970</v>
      </c>
      <c r="P1016" s="11" t="s">
        <v>20</v>
      </c>
    </row>
    <row r="1017" spans="1:16" s="28" customFormat="1" x14ac:dyDescent="0.25">
      <c r="A1017" s="23" t="str">
        <f t="shared" ref="A1017" si="202">A1016</f>
        <v>2025 JAN-JUN D70</v>
      </c>
      <c r="B1017" s="10">
        <f t="shared" si="197"/>
        <v>46104</v>
      </c>
      <c r="C1017" s="10">
        <f t="shared" si="197"/>
        <v>46113</v>
      </c>
      <c r="D1017" s="11">
        <v>3273</v>
      </c>
      <c r="E1017" s="11">
        <v>336</v>
      </c>
      <c r="F1017" s="11">
        <v>4</v>
      </c>
      <c r="G1017" s="11">
        <v>6</v>
      </c>
      <c r="H1017" s="11">
        <v>81588</v>
      </c>
      <c r="I1017" s="11" t="s">
        <v>17</v>
      </c>
      <c r="J1017" s="30">
        <v>54792171</v>
      </c>
      <c r="K1017" s="11" t="s">
        <v>3255</v>
      </c>
      <c r="L1017" s="9" t="s">
        <v>3263</v>
      </c>
      <c r="M1017" s="11">
        <v>139900</v>
      </c>
      <c r="N1017" s="24">
        <f t="shared" si="145"/>
        <v>0.7</v>
      </c>
      <c r="O1017" s="25">
        <f t="shared" si="143"/>
        <v>41970</v>
      </c>
      <c r="P1017" s="11" t="s">
        <v>20</v>
      </c>
    </row>
    <row r="1018" spans="1:16" s="28" customFormat="1" x14ac:dyDescent="0.25">
      <c r="A1018" s="23" t="str">
        <f t="shared" ref="A1018" si="203">A1017</f>
        <v>2025 JAN-JUN D70</v>
      </c>
      <c r="B1018" s="10">
        <f t="shared" si="197"/>
        <v>46104</v>
      </c>
      <c r="C1018" s="10">
        <f t="shared" si="197"/>
        <v>46113</v>
      </c>
      <c r="D1018" s="11">
        <v>3273</v>
      </c>
      <c r="E1018" s="11">
        <v>336</v>
      </c>
      <c r="F1018" s="11">
        <v>4</v>
      </c>
      <c r="G1018" s="11">
        <v>6</v>
      </c>
      <c r="H1018" s="11">
        <v>81676</v>
      </c>
      <c r="I1018" s="11" t="s">
        <v>17</v>
      </c>
      <c r="J1018" s="30">
        <v>54718519</v>
      </c>
      <c r="K1018" s="11" t="s">
        <v>3264</v>
      </c>
      <c r="L1018" s="9" t="s">
        <v>3265</v>
      </c>
      <c r="M1018" s="11">
        <v>119900</v>
      </c>
      <c r="N1018" s="24">
        <f t="shared" si="145"/>
        <v>0.7</v>
      </c>
      <c r="O1018" s="25">
        <f t="shared" si="143"/>
        <v>35970</v>
      </c>
      <c r="P1018" s="11" t="s">
        <v>20</v>
      </c>
    </row>
    <row r="1019" spans="1:16" s="28" customFormat="1" x14ac:dyDescent="0.25">
      <c r="A1019" s="23" t="str">
        <f t="shared" ref="A1019" si="204">A1018</f>
        <v>2025 JAN-JUN D70</v>
      </c>
      <c r="B1019" s="10">
        <f t="shared" si="197"/>
        <v>46104</v>
      </c>
      <c r="C1019" s="10">
        <f t="shared" si="197"/>
        <v>46113</v>
      </c>
      <c r="D1019" s="11">
        <v>3273</v>
      </c>
      <c r="E1019" s="11">
        <v>336</v>
      </c>
      <c r="F1019" s="11">
        <v>4</v>
      </c>
      <c r="G1019" s="11">
        <v>6</v>
      </c>
      <c r="H1019" s="11">
        <v>81676</v>
      </c>
      <c r="I1019" s="11" t="s">
        <v>17</v>
      </c>
      <c r="J1019" s="30">
        <v>54718528</v>
      </c>
      <c r="K1019" s="11" t="s">
        <v>3264</v>
      </c>
      <c r="L1019" s="9" t="s">
        <v>3266</v>
      </c>
      <c r="M1019" s="11">
        <v>119900</v>
      </c>
      <c r="N1019" s="24">
        <f t="shared" si="145"/>
        <v>0.7</v>
      </c>
      <c r="O1019" s="25">
        <f t="shared" si="143"/>
        <v>35970</v>
      </c>
      <c r="P1019" s="11" t="s">
        <v>20</v>
      </c>
    </row>
    <row r="1020" spans="1:16" s="28" customFormat="1" x14ac:dyDescent="0.25">
      <c r="A1020" s="23" t="str">
        <f t="shared" ref="A1020" si="205">A1019</f>
        <v>2025 JAN-JUN D70</v>
      </c>
      <c r="B1020" s="10">
        <f t="shared" si="197"/>
        <v>46104</v>
      </c>
      <c r="C1020" s="10">
        <f t="shared" si="197"/>
        <v>46113</v>
      </c>
      <c r="D1020" s="11">
        <v>3273</v>
      </c>
      <c r="E1020" s="11">
        <v>336</v>
      </c>
      <c r="F1020" s="11">
        <v>4</v>
      </c>
      <c r="G1020" s="11">
        <v>6</v>
      </c>
      <c r="H1020" s="11">
        <v>81676</v>
      </c>
      <c r="I1020" s="11" t="s">
        <v>17</v>
      </c>
      <c r="J1020" s="30">
        <v>54718537</v>
      </c>
      <c r="K1020" s="11" t="s">
        <v>3264</v>
      </c>
      <c r="L1020" s="9" t="s">
        <v>3267</v>
      </c>
      <c r="M1020" s="11">
        <v>119900</v>
      </c>
      <c r="N1020" s="24">
        <f t="shared" si="145"/>
        <v>0.7</v>
      </c>
      <c r="O1020" s="25">
        <f t="shared" si="143"/>
        <v>35970</v>
      </c>
      <c r="P1020" s="11" t="s">
        <v>20</v>
      </c>
    </row>
    <row r="1021" spans="1:16" s="28" customFormat="1" x14ac:dyDescent="0.25">
      <c r="A1021" s="23" t="str">
        <f t="shared" ref="A1021" si="206">A1020</f>
        <v>2025 JAN-JUN D70</v>
      </c>
      <c r="B1021" s="10">
        <f t="shared" si="197"/>
        <v>46104</v>
      </c>
      <c r="C1021" s="10">
        <f t="shared" si="197"/>
        <v>46113</v>
      </c>
      <c r="D1021" s="11">
        <v>3273</v>
      </c>
      <c r="E1021" s="11">
        <v>336</v>
      </c>
      <c r="F1021" s="11">
        <v>4</v>
      </c>
      <c r="G1021" s="11">
        <v>6</v>
      </c>
      <c r="H1021" s="11">
        <v>81676</v>
      </c>
      <c r="I1021" s="11" t="s">
        <v>17</v>
      </c>
      <c r="J1021" s="30">
        <v>54718546</v>
      </c>
      <c r="K1021" s="11" t="s">
        <v>3264</v>
      </c>
      <c r="L1021" s="9" t="s">
        <v>3268</v>
      </c>
      <c r="M1021" s="11">
        <v>119900</v>
      </c>
      <c r="N1021" s="24">
        <f t="shared" si="145"/>
        <v>0.7</v>
      </c>
      <c r="O1021" s="25">
        <f t="shared" si="143"/>
        <v>35970</v>
      </c>
      <c r="P1021" s="11" t="s">
        <v>20</v>
      </c>
    </row>
    <row r="1022" spans="1:16" s="28" customFormat="1" x14ac:dyDescent="0.25">
      <c r="A1022" s="23" t="str">
        <f t="shared" ref="A1022" si="207">A1021</f>
        <v>2025 JAN-JUN D70</v>
      </c>
      <c r="B1022" s="10">
        <f t="shared" si="197"/>
        <v>46104</v>
      </c>
      <c r="C1022" s="10">
        <f t="shared" si="197"/>
        <v>46113</v>
      </c>
      <c r="D1022" s="11">
        <v>3273</v>
      </c>
      <c r="E1022" s="11">
        <v>336</v>
      </c>
      <c r="F1022" s="11">
        <v>4</v>
      </c>
      <c r="G1022" s="11">
        <v>6</v>
      </c>
      <c r="H1022" s="11">
        <v>81676</v>
      </c>
      <c r="I1022" s="11" t="s">
        <v>17</v>
      </c>
      <c r="J1022" s="30">
        <v>54718555</v>
      </c>
      <c r="K1022" s="11" t="s">
        <v>3264</v>
      </c>
      <c r="L1022" s="9" t="s">
        <v>3269</v>
      </c>
      <c r="M1022" s="11">
        <v>119900</v>
      </c>
      <c r="N1022" s="24">
        <f t="shared" si="145"/>
        <v>0.7</v>
      </c>
      <c r="O1022" s="25">
        <f t="shared" si="143"/>
        <v>35970</v>
      </c>
      <c r="P1022" s="11" t="s">
        <v>20</v>
      </c>
    </row>
    <row r="1023" spans="1:16" s="28" customFormat="1" x14ac:dyDescent="0.25">
      <c r="A1023" s="23" t="str">
        <f t="shared" ref="A1023" si="208">A1022</f>
        <v>2025 JAN-JUN D70</v>
      </c>
      <c r="B1023" s="10">
        <f t="shared" si="197"/>
        <v>46104</v>
      </c>
      <c r="C1023" s="10">
        <f t="shared" si="197"/>
        <v>46113</v>
      </c>
      <c r="D1023" s="11">
        <v>3273</v>
      </c>
      <c r="E1023" s="11">
        <v>336</v>
      </c>
      <c r="F1023" s="11">
        <v>4</v>
      </c>
      <c r="G1023" s="11">
        <v>6</v>
      </c>
      <c r="H1023" s="11">
        <v>81676</v>
      </c>
      <c r="I1023" s="11" t="s">
        <v>17</v>
      </c>
      <c r="J1023" s="30">
        <v>54718564</v>
      </c>
      <c r="K1023" s="11" t="s">
        <v>3264</v>
      </c>
      <c r="L1023" s="9" t="s">
        <v>3270</v>
      </c>
      <c r="M1023" s="11">
        <v>119900</v>
      </c>
      <c r="N1023" s="24">
        <f t="shared" si="145"/>
        <v>0.7</v>
      </c>
      <c r="O1023" s="25">
        <f t="shared" si="143"/>
        <v>35970</v>
      </c>
      <c r="P1023" s="11" t="s">
        <v>20</v>
      </c>
    </row>
    <row r="1024" spans="1:16" s="28" customFormat="1" x14ac:dyDescent="0.25">
      <c r="A1024" s="23" t="str">
        <f t="shared" ref="A1024" si="209">A1023</f>
        <v>2025 JAN-JUN D70</v>
      </c>
      <c r="B1024" s="10">
        <f t="shared" si="197"/>
        <v>46104</v>
      </c>
      <c r="C1024" s="10">
        <f t="shared" si="197"/>
        <v>46113</v>
      </c>
      <c r="D1024" s="11">
        <v>3273</v>
      </c>
      <c r="E1024" s="11">
        <v>336</v>
      </c>
      <c r="F1024" s="11">
        <v>4</v>
      </c>
      <c r="G1024" s="11">
        <v>6</v>
      </c>
      <c r="H1024" s="11">
        <v>81676</v>
      </c>
      <c r="I1024" s="11" t="s">
        <v>17</v>
      </c>
      <c r="J1024" s="30">
        <v>54718573</v>
      </c>
      <c r="K1024" s="11" t="s">
        <v>3264</v>
      </c>
      <c r="L1024" s="9" t="s">
        <v>3271</v>
      </c>
      <c r="M1024" s="11">
        <v>119900</v>
      </c>
      <c r="N1024" s="24">
        <f t="shared" si="145"/>
        <v>0.7</v>
      </c>
      <c r="O1024" s="25">
        <f t="shared" si="143"/>
        <v>35970</v>
      </c>
      <c r="P1024" s="11" t="s">
        <v>20</v>
      </c>
    </row>
    <row r="1025" spans="1:16" s="28" customFormat="1" x14ac:dyDescent="0.25">
      <c r="A1025" s="23" t="str">
        <f t="shared" ref="A1025" si="210">A1024</f>
        <v>2025 JAN-JUN D70</v>
      </c>
      <c r="B1025" s="10">
        <f t="shared" si="197"/>
        <v>46104</v>
      </c>
      <c r="C1025" s="10">
        <f t="shared" si="197"/>
        <v>46113</v>
      </c>
      <c r="D1025" s="11">
        <v>3273</v>
      </c>
      <c r="E1025" s="11">
        <v>336</v>
      </c>
      <c r="F1025" s="11">
        <v>4</v>
      </c>
      <c r="G1025" s="11">
        <v>6</v>
      </c>
      <c r="H1025" s="11">
        <v>81676</v>
      </c>
      <c r="I1025" s="11" t="s">
        <v>17</v>
      </c>
      <c r="J1025" s="30">
        <v>54718582</v>
      </c>
      <c r="K1025" s="11" t="s">
        <v>3264</v>
      </c>
      <c r="L1025" s="9" t="s">
        <v>3272</v>
      </c>
      <c r="M1025" s="11">
        <v>119900</v>
      </c>
      <c r="N1025" s="24">
        <f t="shared" si="145"/>
        <v>0.7</v>
      </c>
      <c r="O1025" s="25">
        <f t="shared" si="143"/>
        <v>35970</v>
      </c>
      <c r="P1025" s="11" t="s">
        <v>20</v>
      </c>
    </row>
    <row r="1026" spans="1:16" s="28" customFormat="1" x14ac:dyDescent="0.25">
      <c r="A1026" s="23" t="str">
        <f t="shared" ref="A1026" si="211">A1025</f>
        <v>2025 JAN-JUN D70</v>
      </c>
      <c r="B1026" s="10">
        <f t="shared" si="197"/>
        <v>46104</v>
      </c>
      <c r="C1026" s="10">
        <f t="shared" si="197"/>
        <v>46113</v>
      </c>
      <c r="D1026" s="11">
        <v>3273</v>
      </c>
      <c r="E1026" s="11">
        <v>336</v>
      </c>
      <c r="F1026" s="11">
        <v>4</v>
      </c>
      <c r="G1026" s="11">
        <v>6</v>
      </c>
      <c r="H1026" s="11">
        <v>81676</v>
      </c>
      <c r="I1026" s="11" t="s">
        <v>17</v>
      </c>
      <c r="J1026" s="30">
        <v>54792260</v>
      </c>
      <c r="K1026" s="11" t="s">
        <v>3273</v>
      </c>
      <c r="L1026" s="9" t="s">
        <v>3274</v>
      </c>
      <c r="M1026" s="11">
        <v>119900</v>
      </c>
      <c r="N1026" s="24">
        <f t="shared" si="145"/>
        <v>0.7</v>
      </c>
      <c r="O1026" s="25">
        <f t="shared" si="143"/>
        <v>35970</v>
      </c>
      <c r="P1026" s="11" t="s">
        <v>20</v>
      </c>
    </row>
    <row r="1027" spans="1:16" s="28" customFormat="1" x14ac:dyDescent="0.25">
      <c r="A1027" s="23" t="str">
        <f t="shared" ref="A1027" si="212">A1026</f>
        <v>2025 JAN-JUN D70</v>
      </c>
      <c r="B1027" s="10">
        <f t="shared" si="197"/>
        <v>46104</v>
      </c>
      <c r="C1027" s="10">
        <f t="shared" si="197"/>
        <v>46113</v>
      </c>
      <c r="D1027" s="11">
        <v>3273</v>
      </c>
      <c r="E1027" s="11">
        <v>336</v>
      </c>
      <c r="F1027" s="11">
        <v>4</v>
      </c>
      <c r="G1027" s="11">
        <v>6</v>
      </c>
      <c r="H1027" s="11">
        <v>81676</v>
      </c>
      <c r="I1027" s="11" t="s">
        <v>17</v>
      </c>
      <c r="J1027" s="30">
        <v>54792279</v>
      </c>
      <c r="K1027" s="11" t="s">
        <v>3273</v>
      </c>
      <c r="L1027" s="9" t="s">
        <v>3275</v>
      </c>
      <c r="M1027" s="11">
        <v>119900</v>
      </c>
      <c r="N1027" s="24">
        <f t="shared" si="145"/>
        <v>0.7</v>
      </c>
      <c r="O1027" s="25">
        <f t="shared" ref="O1027:O1079" si="213">M1027-((70*M1027)/100)</f>
        <v>35970</v>
      </c>
      <c r="P1027" s="11" t="s">
        <v>20</v>
      </c>
    </row>
    <row r="1028" spans="1:16" s="28" customFormat="1" x14ac:dyDescent="0.25">
      <c r="A1028" s="23" t="str">
        <f t="shared" ref="A1028" si="214">A1027</f>
        <v>2025 JAN-JUN D70</v>
      </c>
      <c r="B1028" s="10">
        <f t="shared" ref="B1028:C1043" si="215">B1027</f>
        <v>46104</v>
      </c>
      <c r="C1028" s="10">
        <f t="shared" si="215"/>
        <v>46113</v>
      </c>
      <c r="D1028" s="11">
        <v>3273</v>
      </c>
      <c r="E1028" s="11">
        <v>336</v>
      </c>
      <c r="F1028" s="11">
        <v>4</v>
      </c>
      <c r="G1028" s="11">
        <v>6</v>
      </c>
      <c r="H1028" s="11">
        <v>81676</v>
      </c>
      <c r="I1028" s="11" t="s">
        <v>17</v>
      </c>
      <c r="J1028" s="30">
        <v>54792288</v>
      </c>
      <c r="K1028" s="11" t="s">
        <v>3273</v>
      </c>
      <c r="L1028" s="9" t="s">
        <v>3276</v>
      </c>
      <c r="M1028" s="11">
        <v>119900</v>
      </c>
      <c r="N1028" s="24">
        <f t="shared" ref="N1028:N1079" si="216">N1027</f>
        <v>0.7</v>
      </c>
      <c r="O1028" s="25">
        <f t="shared" si="213"/>
        <v>35970</v>
      </c>
      <c r="P1028" s="11" t="s">
        <v>20</v>
      </c>
    </row>
    <row r="1029" spans="1:16" s="28" customFormat="1" x14ac:dyDescent="0.25">
      <c r="A1029" s="23" t="str">
        <f t="shared" ref="A1029" si="217">A1028</f>
        <v>2025 JAN-JUN D70</v>
      </c>
      <c r="B1029" s="10">
        <f t="shared" si="215"/>
        <v>46104</v>
      </c>
      <c r="C1029" s="10">
        <f t="shared" si="215"/>
        <v>46113</v>
      </c>
      <c r="D1029" s="11">
        <v>3273</v>
      </c>
      <c r="E1029" s="11">
        <v>336</v>
      </c>
      <c r="F1029" s="11">
        <v>4</v>
      </c>
      <c r="G1029" s="11">
        <v>6</v>
      </c>
      <c r="H1029" s="11">
        <v>81676</v>
      </c>
      <c r="I1029" s="11" t="s">
        <v>17</v>
      </c>
      <c r="J1029" s="30">
        <v>54792297</v>
      </c>
      <c r="K1029" s="11" t="s">
        <v>3273</v>
      </c>
      <c r="L1029" s="9" t="s">
        <v>3277</v>
      </c>
      <c r="M1029" s="11">
        <v>119900</v>
      </c>
      <c r="N1029" s="24">
        <f t="shared" si="216"/>
        <v>0.7</v>
      </c>
      <c r="O1029" s="25">
        <f t="shared" si="213"/>
        <v>35970</v>
      </c>
      <c r="P1029" s="11" t="s">
        <v>20</v>
      </c>
    </row>
    <row r="1030" spans="1:16" s="28" customFormat="1" x14ac:dyDescent="0.25">
      <c r="A1030" s="23" t="str">
        <f t="shared" ref="A1030" si="218">A1029</f>
        <v>2025 JAN-JUN D70</v>
      </c>
      <c r="B1030" s="10">
        <f t="shared" si="215"/>
        <v>46104</v>
      </c>
      <c r="C1030" s="10">
        <f t="shared" si="215"/>
        <v>46113</v>
      </c>
      <c r="D1030" s="11">
        <v>3273</v>
      </c>
      <c r="E1030" s="11">
        <v>336</v>
      </c>
      <c r="F1030" s="11">
        <v>4</v>
      </c>
      <c r="G1030" s="11">
        <v>6</v>
      </c>
      <c r="H1030" s="11">
        <v>81676</v>
      </c>
      <c r="I1030" s="11" t="s">
        <v>17</v>
      </c>
      <c r="J1030" s="30">
        <v>54792304</v>
      </c>
      <c r="K1030" s="11" t="s">
        <v>3273</v>
      </c>
      <c r="L1030" s="9" t="s">
        <v>3278</v>
      </c>
      <c r="M1030" s="11">
        <v>119900</v>
      </c>
      <c r="N1030" s="24">
        <f t="shared" si="216"/>
        <v>0.7</v>
      </c>
      <c r="O1030" s="25">
        <f t="shared" si="213"/>
        <v>35970</v>
      </c>
      <c r="P1030" s="11" t="s">
        <v>20</v>
      </c>
    </row>
    <row r="1031" spans="1:16" s="28" customFormat="1" x14ac:dyDescent="0.25">
      <c r="A1031" s="23" t="str">
        <f t="shared" ref="A1031" si="219">A1030</f>
        <v>2025 JAN-JUN D70</v>
      </c>
      <c r="B1031" s="10">
        <f t="shared" si="215"/>
        <v>46104</v>
      </c>
      <c r="C1031" s="10">
        <f t="shared" si="215"/>
        <v>46113</v>
      </c>
      <c r="D1031" s="11">
        <v>3273</v>
      </c>
      <c r="E1031" s="11">
        <v>336</v>
      </c>
      <c r="F1031" s="11">
        <v>4</v>
      </c>
      <c r="G1031" s="11">
        <v>6</v>
      </c>
      <c r="H1031" s="11">
        <v>81676</v>
      </c>
      <c r="I1031" s="11" t="s">
        <v>17</v>
      </c>
      <c r="J1031" s="30">
        <v>54792313</v>
      </c>
      <c r="K1031" s="11" t="s">
        <v>3273</v>
      </c>
      <c r="L1031" s="9" t="s">
        <v>3279</v>
      </c>
      <c r="M1031" s="11">
        <v>119900</v>
      </c>
      <c r="N1031" s="24">
        <f t="shared" si="216"/>
        <v>0.7</v>
      </c>
      <c r="O1031" s="25">
        <f t="shared" si="213"/>
        <v>35970</v>
      </c>
      <c r="P1031" s="11" t="s">
        <v>20</v>
      </c>
    </row>
    <row r="1032" spans="1:16" s="28" customFormat="1" x14ac:dyDescent="0.25">
      <c r="A1032" s="23" t="str">
        <f t="shared" ref="A1032" si="220">A1031</f>
        <v>2025 JAN-JUN D70</v>
      </c>
      <c r="B1032" s="10">
        <f t="shared" si="215"/>
        <v>46104</v>
      </c>
      <c r="C1032" s="10">
        <f t="shared" si="215"/>
        <v>46113</v>
      </c>
      <c r="D1032" s="11">
        <v>3273</v>
      </c>
      <c r="E1032" s="11">
        <v>336</v>
      </c>
      <c r="F1032" s="11">
        <v>4</v>
      </c>
      <c r="G1032" s="11">
        <v>6</v>
      </c>
      <c r="H1032" s="11">
        <v>81676</v>
      </c>
      <c r="I1032" s="11" t="s">
        <v>17</v>
      </c>
      <c r="J1032" s="30">
        <v>54792322</v>
      </c>
      <c r="K1032" s="11" t="s">
        <v>3273</v>
      </c>
      <c r="L1032" s="9" t="s">
        <v>3280</v>
      </c>
      <c r="M1032" s="11">
        <v>119900</v>
      </c>
      <c r="N1032" s="24">
        <f t="shared" si="216"/>
        <v>0.7</v>
      </c>
      <c r="O1032" s="25">
        <f t="shared" si="213"/>
        <v>35970</v>
      </c>
      <c r="P1032" s="11" t="s">
        <v>20</v>
      </c>
    </row>
    <row r="1033" spans="1:16" s="28" customFormat="1" x14ac:dyDescent="0.25">
      <c r="A1033" s="23" t="str">
        <f t="shared" ref="A1033" si="221">A1032</f>
        <v>2025 JAN-JUN D70</v>
      </c>
      <c r="B1033" s="10">
        <f t="shared" si="215"/>
        <v>46104</v>
      </c>
      <c r="C1033" s="10">
        <f t="shared" si="215"/>
        <v>46113</v>
      </c>
      <c r="D1033" s="11">
        <v>3273</v>
      </c>
      <c r="E1033" s="11">
        <v>336</v>
      </c>
      <c r="F1033" s="11">
        <v>4</v>
      </c>
      <c r="G1033" s="11">
        <v>6</v>
      </c>
      <c r="H1033" s="11">
        <v>81676</v>
      </c>
      <c r="I1033" s="11" t="s">
        <v>17</v>
      </c>
      <c r="J1033" s="30">
        <v>54792331</v>
      </c>
      <c r="K1033" s="11" t="s">
        <v>3273</v>
      </c>
      <c r="L1033" s="9" t="s">
        <v>3281</v>
      </c>
      <c r="M1033" s="11">
        <v>119900</v>
      </c>
      <c r="N1033" s="24">
        <f t="shared" si="216"/>
        <v>0.7</v>
      </c>
      <c r="O1033" s="25">
        <f t="shared" si="213"/>
        <v>35970</v>
      </c>
      <c r="P1033" s="11" t="s">
        <v>20</v>
      </c>
    </row>
    <row r="1034" spans="1:16" s="28" customFormat="1" x14ac:dyDescent="0.25">
      <c r="A1034" s="23" t="str">
        <f t="shared" ref="A1034" si="222">A1033</f>
        <v>2025 JAN-JUN D70</v>
      </c>
      <c r="B1034" s="10">
        <f t="shared" si="215"/>
        <v>46104</v>
      </c>
      <c r="C1034" s="10">
        <f t="shared" si="215"/>
        <v>46113</v>
      </c>
      <c r="D1034" s="11">
        <v>3273</v>
      </c>
      <c r="E1034" s="11">
        <v>336</v>
      </c>
      <c r="F1034" s="11">
        <v>4</v>
      </c>
      <c r="G1034" s="11">
        <v>6</v>
      </c>
      <c r="H1034" s="11">
        <v>81676</v>
      </c>
      <c r="I1034" s="11" t="s">
        <v>17</v>
      </c>
      <c r="J1034" s="30">
        <v>54792340</v>
      </c>
      <c r="K1034" s="11" t="s">
        <v>3282</v>
      </c>
      <c r="L1034" s="9" t="s">
        <v>3283</v>
      </c>
      <c r="M1034" s="11">
        <v>119900</v>
      </c>
      <c r="N1034" s="24">
        <f t="shared" si="216"/>
        <v>0.7</v>
      </c>
      <c r="O1034" s="25">
        <f t="shared" si="213"/>
        <v>35970</v>
      </c>
      <c r="P1034" s="11" t="s">
        <v>20</v>
      </c>
    </row>
    <row r="1035" spans="1:16" s="28" customFormat="1" x14ac:dyDescent="0.25">
      <c r="A1035" s="23" t="str">
        <f t="shared" ref="A1035" si="223">A1034</f>
        <v>2025 JAN-JUN D70</v>
      </c>
      <c r="B1035" s="10">
        <f t="shared" si="215"/>
        <v>46104</v>
      </c>
      <c r="C1035" s="10">
        <f t="shared" si="215"/>
        <v>46113</v>
      </c>
      <c r="D1035" s="11">
        <v>3273</v>
      </c>
      <c r="E1035" s="11">
        <v>336</v>
      </c>
      <c r="F1035" s="11">
        <v>4</v>
      </c>
      <c r="G1035" s="11">
        <v>6</v>
      </c>
      <c r="H1035" s="11">
        <v>81676</v>
      </c>
      <c r="I1035" s="11" t="s">
        <v>17</v>
      </c>
      <c r="J1035" s="30">
        <v>54792359</v>
      </c>
      <c r="K1035" s="11" t="s">
        <v>3282</v>
      </c>
      <c r="L1035" s="9" t="s">
        <v>3284</v>
      </c>
      <c r="M1035" s="11">
        <v>119900</v>
      </c>
      <c r="N1035" s="24">
        <f t="shared" si="216"/>
        <v>0.7</v>
      </c>
      <c r="O1035" s="25">
        <f t="shared" si="213"/>
        <v>35970</v>
      </c>
      <c r="P1035" s="11" t="s">
        <v>20</v>
      </c>
    </row>
    <row r="1036" spans="1:16" s="28" customFormat="1" x14ac:dyDescent="0.25">
      <c r="A1036" s="23" t="str">
        <f t="shared" ref="A1036" si="224">A1035</f>
        <v>2025 JAN-JUN D70</v>
      </c>
      <c r="B1036" s="10">
        <f t="shared" si="215"/>
        <v>46104</v>
      </c>
      <c r="C1036" s="10">
        <f t="shared" si="215"/>
        <v>46113</v>
      </c>
      <c r="D1036" s="11">
        <v>3273</v>
      </c>
      <c r="E1036" s="11">
        <v>336</v>
      </c>
      <c r="F1036" s="11">
        <v>4</v>
      </c>
      <c r="G1036" s="11">
        <v>6</v>
      </c>
      <c r="H1036" s="11">
        <v>81676</v>
      </c>
      <c r="I1036" s="11" t="s">
        <v>17</v>
      </c>
      <c r="J1036" s="30">
        <v>54792368</v>
      </c>
      <c r="K1036" s="11" t="s">
        <v>3282</v>
      </c>
      <c r="L1036" s="9" t="s">
        <v>3285</v>
      </c>
      <c r="M1036" s="11">
        <v>119900</v>
      </c>
      <c r="N1036" s="24">
        <f t="shared" si="216"/>
        <v>0.7</v>
      </c>
      <c r="O1036" s="25">
        <f t="shared" si="213"/>
        <v>35970</v>
      </c>
      <c r="P1036" s="11" t="s">
        <v>20</v>
      </c>
    </row>
    <row r="1037" spans="1:16" s="28" customFormat="1" x14ac:dyDescent="0.25">
      <c r="A1037" s="23" t="str">
        <f t="shared" ref="A1037" si="225">A1036</f>
        <v>2025 JAN-JUN D70</v>
      </c>
      <c r="B1037" s="10">
        <f t="shared" si="215"/>
        <v>46104</v>
      </c>
      <c r="C1037" s="10">
        <f t="shared" si="215"/>
        <v>46113</v>
      </c>
      <c r="D1037" s="11">
        <v>3273</v>
      </c>
      <c r="E1037" s="11">
        <v>336</v>
      </c>
      <c r="F1037" s="11">
        <v>4</v>
      </c>
      <c r="G1037" s="11">
        <v>6</v>
      </c>
      <c r="H1037" s="11">
        <v>81676</v>
      </c>
      <c r="I1037" s="11" t="s">
        <v>17</v>
      </c>
      <c r="J1037" s="30">
        <v>54792377</v>
      </c>
      <c r="K1037" s="11" t="s">
        <v>3282</v>
      </c>
      <c r="L1037" s="9" t="s">
        <v>3286</v>
      </c>
      <c r="M1037" s="11">
        <v>119900</v>
      </c>
      <c r="N1037" s="24">
        <f t="shared" si="216"/>
        <v>0.7</v>
      </c>
      <c r="O1037" s="25">
        <f t="shared" si="213"/>
        <v>35970</v>
      </c>
      <c r="P1037" s="11" t="s">
        <v>20</v>
      </c>
    </row>
    <row r="1038" spans="1:16" s="28" customFormat="1" x14ac:dyDescent="0.25">
      <c r="A1038" s="23" t="str">
        <f t="shared" ref="A1038" si="226">A1037</f>
        <v>2025 JAN-JUN D70</v>
      </c>
      <c r="B1038" s="10">
        <f t="shared" si="215"/>
        <v>46104</v>
      </c>
      <c r="C1038" s="10">
        <f t="shared" si="215"/>
        <v>46113</v>
      </c>
      <c r="D1038" s="11">
        <v>3273</v>
      </c>
      <c r="E1038" s="11">
        <v>336</v>
      </c>
      <c r="F1038" s="11">
        <v>4</v>
      </c>
      <c r="G1038" s="11">
        <v>6</v>
      </c>
      <c r="H1038" s="11">
        <v>81676</v>
      </c>
      <c r="I1038" s="11" t="s">
        <v>17</v>
      </c>
      <c r="J1038" s="30">
        <v>54792386</v>
      </c>
      <c r="K1038" s="11" t="s">
        <v>3282</v>
      </c>
      <c r="L1038" s="9" t="s">
        <v>3287</v>
      </c>
      <c r="M1038" s="11">
        <v>119900</v>
      </c>
      <c r="N1038" s="24">
        <f t="shared" si="216"/>
        <v>0.7</v>
      </c>
      <c r="O1038" s="25">
        <f t="shared" si="213"/>
        <v>35970</v>
      </c>
      <c r="P1038" s="11" t="s">
        <v>20</v>
      </c>
    </row>
    <row r="1039" spans="1:16" s="28" customFormat="1" x14ac:dyDescent="0.25">
      <c r="A1039" s="23" t="str">
        <f t="shared" ref="A1039" si="227">A1038</f>
        <v>2025 JAN-JUN D70</v>
      </c>
      <c r="B1039" s="10">
        <f t="shared" si="215"/>
        <v>46104</v>
      </c>
      <c r="C1039" s="10">
        <f t="shared" si="215"/>
        <v>46113</v>
      </c>
      <c r="D1039" s="11">
        <v>3273</v>
      </c>
      <c r="E1039" s="11">
        <v>336</v>
      </c>
      <c r="F1039" s="11">
        <v>4</v>
      </c>
      <c r="G1039" s="11">
        <v>6</v>
      </c>
      <c r="H1039" s="11">
        <v>81676</v>
      </c>
      <c r="I1039" s="11" t="s">
        <v>17</v>
      </c>
      <c r="J1039" s="30">
        <v>54792395</v>
      </c>
      <c r="K1039" s="11" t="s">
        <v>3282</v>
      </c>
      <c r="L1039" s="9" t="s">
        <v>3288</v>
      </c>
      <c r="M1039" s="11">
        <v>119900</v>
      </c>
      <c r="N1039" s="24">
        <f t="shared" si="216"/>
        <v>0.7</v>
      </c>
      <c r="O1039" s="25">
        <f t="shared" si="213"/>
        <v>35970</v>
      </c>
      <c r="P1039" s="11" t="s">
        <v>20</v>
      </c>
    </row>
    <row r="1040" spans="1:16" s="28" customFormat="1" x14ac:dyDescent="0.25">
      <c r="A1040" s="23" t="str">
        <f t="shared" ref="A1040" si="228">A1039</f>
        <v>2025 JAN-JUN D70</v>
      </c>
      <c r="B1040" s="10">
        <f t="shared" si="215"/>
        <v>46104</v>
      </c>
      <c r="C1040" s="10">
        <f t="shared" si="215"/>
        <v>46113</v>
      </c>
      <c r="D1040" s="11">
        <v>3273</v>
      </c>
      <c r="E1040" s="11">
        <v>336</v>
      </c>
      <c r="F1040" s="11">
        <v>4</v>
      </c>
      <c r="G1040" s="11">
        <v>6</v>
      </c>
      <c r="H1040" s="11">
        <v>81676</v>
      </c>
      <c r="I1040" s="11" t="s">
        <v>17</v>
      </c>
      <c r="J1040" s="30">
        <v>54792402</v>
      </c>
      <c r="K1040" s="11" t="s">
        <v>3282</v>
      </c>
      <c r="L1040" s="9" t="s">
        <v>3289</v>
      </c>
      <c r="M1040" s="11">
        <v>119900</v>
      </c>
      <c r="N1040" s="24">
        <f t="shared" si="216"/>
        <v>0.7</v>
      </c>
      <c r="O1040" s="25">
        <f t="shared" si="213"/>
        <v>35970</v>
      </c>
      <c r="P1040" s="11" t="s">
        <v>20</v>
      </c>
    </row>
    <row r="1041" spans="1:16" s="28" customFormat="1" x14ac:dyDescent="0.25">
      <c r="A1041" s="23" t="str">
        <f t="shared" ref="A1041" si="229">A1040</f>
        <v>2025 JAN-JUN D70</v>
      </c>
      <c r="B1041" s="10">
        <f t="shared" si="215"/>
        <v>46104</v>
      </c>
      <c r="C1041" s="10">
        <f t="shared" si="215"/>
        <v>46113</v>
      </c>
      <c r="D1041" s="11">
        <v>3273</v>
      </c>
      <c r="E1041" s="11">
        <v>336</v>
      </c>
      <c r="F1041" s="11">
        <v>4</v>
      </c>
      <c r="G1041" s="11">
        <v>6</v>
      </c>
      <c r="H1041" s="11">
        <v>81676</v>
      </c>
      <c r="I1041" s="11" t="s">
        <v>17</v>
      </c>
      <c r="J1041" s="30">
        <v>54792411</v>
      </c>
      <c r="K1041" s="11" t="s">
        <v>3282</v>
      </c>
      <c r="L1041" s="9" t="s">
        <v>3290</v>
      </c>
      <c r="M1041" s="11">
        <v>119900</v>
      </c>
      <c r="N1041" s="24">
        <f t="shared" si="216"/>
        <v>0.7</v>
      </c>
      <c r="O1041" s="25">
        <f t="shared" si="213"/>
        <v>35970</v>
      </c>
      <c r="P1041" s="11" t="s">
        <v>20</v>
      </c>
    </row>
    <row r="1042" spans="1:16" s="28" customFormat="1" x14ac:dyDescent="0.25">
      <c r="A1042" s="23" t="str">
        <f t="shared" ref="A1042" si="230">A1041</f>
        <v>2025 JAN-JUN D70</v>
      </c>
      <c r="B1042" s="10">
        <f t="shared" si="215"/>
        <v>46104</v>
      </c>
      <c r="C1042" s="10">
        <f t="shared" si="215"/>
        <v>46113</v>
      </c>
      <c r="D1042" s="11">
        <v>3273</v>
      </c>
      <c r="E1042" s="11">
        <v>336</v>
      </c>
      <c r="F1042" s="11">
        <v>4</v>
      </c>
      <c r="G1042" s="11">
        <v>8</v>
      </c>
      <c r="H1042" s="11">
        <v>81676</v>
      </c>
      <c r="I1042" s="11" t="s">
        <v>17</v>
      </c>
      <c r="J1042" s="30">
        <v>54735036</v>
      </c>
      <c r="K1042" s="11" t="s">
        <v>3291</v>
      </c>
      <c r="L1042" s="9" t="s">
        <v>3292</v>
      </c>
      <c r="M1042" s="11">
        <v>229900</v>
      </c>
      <c r="N1042" s="24">
        <f t="shared" si="216"/>
        <v>0.7</v>
      </c>
      <c r="O1042" s="25">
        <f t="shared" si="213"/>
        <v>68970</v>
      </c>
      <c r="P1042" s="11" t="s">
        <v>20</v>
      </c>
    </row>
    <row r="1043" spans="1:16" s="28" customFormat="1" x14ac:dyDescent="0.25">
      <c r="A1043" s="23" t="str">
        <f t="shared" ref="A1043" si="231">A1042</f>
        <v>2025 JAN-JUN D70</v>
      </c>
      <c r="B1043" s="10">
        <f t="shared" si="215"/>
        <v>46104</v>
      </c>
      <c r="C1043" s="10">
        <f t="shared" si="215"/>
        <v>46113</v>
      </c>
      <c r="D1043" s="11">
        <v>3273</v>
      </c>
      <c r="E1043" s="11">
        <v>336</v>
      </c>
      <c r="F1043" s="11">
        <v>4</v>
      </c>
      <c r="G1043" s="11">
        <v>8</v>
      </c>
      <c r="H1043" s="11">
        <v>81676</v>
      </c>
      <c r="I1043" s="11" t="s">
        <v>17</v>
      </c>
      <c r="J1043" s="30">
        <v>54735045</v>
      </c>
      <c r="K1043" s="11" t="s">
        <v>3291</v>
      </c>
      <c r="L1043" s="9" t="s">
        <v>3293</v>
      </c>
      <c r="M1043" s="11">
        <v>229900</v>
      </c>
      <c r="N1043" s="24">
        <f t="shared" si="216"/>
        <v>0.7</v>
      </c>
      <c r="O1043" s="25">
        <f t="shared" si="213"/>
        <v>68970</v>
      </c>
      <c r="P1043" s="11" t="s">
        <v>20</v>
      </c>
    </row>
    <row r="1044" spans="1:16" s="28" customFormat="1" x14ac:dyDescent="0.25">
      <c r="A1044" s="23" t="str">
        <f t="shared" ref="A1044" si="232">A1043</f>
        <v>2025 JAN-JUN D70</v>
      </c>
      <c r="B1044" s="10">
        <f t="shared" ref="B1044:C1059" si="233">B1043</f>
        <v>46104</v>
      </c>
      <c r="C1044" s="10">
        <f t="shared" si="233"/>
        <v>46113</v>
      </c>
      <c r="D1044" s="11">
        <v>3273</v>
      </c>
      <c r="E1044" s="11">
        <v>336</v>
      </c>
      <c r="F1044" s="11">
        <v>4</v>
      </c>
      <c r="G1044" s="11">
        <v>8</v>
      </c>
      <c r="H1044" s="11">
        <v>81676</v>
      </c>
      <c r="I1044" s="11" t="s">
        <v>17</v>
      </c>
      <c r="J1044" s="30">
        <v>54735054</v>
      </c>
      <c r="K1044" s="11" t="s">
        <v>3291</v>
      </c>
      <c r="L1044" s="9" t="s">
        <v>3294</v>
      </c>
      <c r="M1044" s="11">
        <v>229900</v>
      </c>
      <c r="N1044" s="24">
        <f t="shared" si="216"/>
        <v>0.7</v>
      </c>
      <c r="O1044" s="25">
        <f t="shared" si="213"/>
        <v>68970</v>
      </c>
      <c r="P1044" s="11" t="s">
        <v>20</v>
      </c>
    </row>
    <row r="1045" spans="1:16" s="28" customFormat="1" x14ac:dyDescent="0.25">
      <c r="A1045" s="23" t="str">
        <f t="shared" ref="A1045" si="234">A1044</f>
        <v>2025 JAN-JUN D70</v>
      </c>
      <c r="B1045" s="10">
        <f t="shared" si="233"/>
        <v>46104</v>
      </c>
      <c r="C1045" s="10">
        <f t="shared" si="233"/>
        <v>46113</v>
      </c>
      <c r="D1045" s="11">
        <v>3273</v>
      </c>
      <c r="E1045" s="11">
        <v>336</v>
      </c>
      <c r="F1045" s="11">
        <v>4</v>
      </c>
      <c r="G1045" s="11">
        <v>8</v>
      </c>
      <c r="H1045" s="11">
        <v>81676</v>
      </c>
      <c r="I1045" s="11" t="s">
        <v>17</v>
      </c>
      <c r="J1045" s="30">
        <v>54735063</v>
      </c>
      <c r="K1045" s="11" t="s">
        <v>3291</v>
      </c>
      <c r="L1045" s="9" t="s">
        <v>3295</v>
      </c>
      <c r="M1045" s="11">
        <v>229900</v>
      </c>
      <c r="N1045" s="24">
        <f t="shared" si="216"/>
        <v>0.7</v>
      </c>
      <c r="O1045" s="25">
        <f t="shared" si="213"/>
        <v>68970</v>
      </c>
      <c r="P1045" s="11" t="s">
        <v>20</v>
      </c>
    </row>
    <row r="1046" spans="1:16" s="28" customFormat="1" x14ac:dyDescent="0.25">
      <c r="A1046" s="23" t="str">
        <f t="shared" ref="A1046" si="235">A1045</f>
        <v>2025 JAN-JUN D70</v>
      </c>
      <c r="B1046" s="10">
        <f t="shared" si="233"/>
        <v>46104</v>
      </c>
      <c r="C1046" s="10">
        <f t="shared" si="233"/>
        <v>46113</v>
      </c>
      <c r="D1046" s="11">
        <v>3273</v>
      </c>
      <c r="E1046" s="11">
        <v>336</v>
      </c>
      <c r="F1046" s="11">
        <v>4</v>
      </c>
      <c r="G1046" s="11">
        <v>8</v>
      </c>
      <c r="H1046" s="11">
        <v>81676</v>
      </c>
      <c r="I1046" s="11" t="s">
        <v>17</v>
      </c>
      <c r="J1046" s="30">
        <v>54735072</v>
      </c>
      <c r="K1046" s="11" t="s">
        <v>3291</v>
      </c>
      <c r="L1046" s="9" t="s">
        <v>3296</v>
      </c>
      <c r="M1046" s="11">
        <v>229900</v>
      </c>
      <c r="N1046" s="24">
        <f t="shared" si="216"/>
        <v>0.7</v>
      </c>
      <c r="O1046" s="25">
        <f t="shared" si="213"/>
        <v>68970</v>
      </c>
      <c r="P1046" s="11" t="s">
        <v>20</v>
      </c>
    </row>
    <row r="1047" spans="1:16" s="28" customFormat="1" x14ac:dyDescent="0.25">
      <c r="A1047" s="23" t="str">
        <f t="shared" ref="A1047" si="236">A1046</f>
        <v>2025 JAN-JUN D70</v>
      </c>
      <c r="B1047" s="10">
        <f t="shared" si="233"/>
        <v>46104</v>
      </c>
      <c r="C1047" s="10">
        <f t="shared" si="233"/>
        <v>46113</v>
      </c>
      <c r="D1047" s="11">
        <v>3273</v>
      </c>
      <c r="E1047" s="11">
        <v>336</v>
      </c>
      <c r="F1047" s="11">
        <v>4</v>
      </c>
      <c r="G1047" s="11">
        <v>8</v>
      </c>
      <c r="H1047" s="11">
        <v>81676</v>
      </c>
      <c r="I1047" s="11" t="s">
        <v>17</v>
      </c>
      <c r="J1047" s="30">
        <v>54735081</v>
      </c>
      <c r="K1047" s="11" t="s">
        <v>3291</v>
      </c>
      <c r="L1047" s="9" t="s">
        <v>3297</v>
      </c>
      <c r="M1047" s="11">
        <v>229900</v>
      </c>
      <c r="N1047" s="24">
        <f t="shared" si="216"/>
        <v>0.7</v>
      </c>
      <c r="O1047" s="25">
        <f t="shared" si="213"/>
        <v>68970</v>
      </c>
      <c r="P1047" s="11" t="s">
        <v>20</v>
      </c>
    </row>
    <row r="1048" spans="1:16" s="28" customFormat="1" x14ac:dyDescent="0.25">
      <c r="A1048" s="23" t="str">
        <f t="shared" ref="A1048" si="237">A1047</f>
        <v>2025 JAN-JUN D70</v>
      </c>
      <c r="B1048" s="10">
        <f t="shared" si="233"/>
        <v>46104</v>
      </c>
      <c r="C1048" s="10">
        <f t="shared" si="233"/>
        <v>46113</v>
      </c>
      <c r="D1048" s="11">
        <v>3273</v>
      </c>
      <c r="E1048" s="11">
        <v>336</v>
      </c>
      <c r="F1048" s="11">
        <v>4</v>
      </c>
      <c r="G1048" s="11">
        <v>8</v>
      </c>
      <c r="H1048" s="11">
        <v>81676</v>
      </c>
      <c r="I1048" s="11" t="s">
        <v>17</v>
      </c>
      <c r="J1048" s="30">
        <v>54735090</v>
      </c>
      <c r="K1048" s="11" t="s">
        <v>3291</v>
      </c>
      <c r="L1048" s="9" t="s">
        <v>3298</v>
      </c>
      <c r="M1048" s="11">
        <v>229900</v>
      </c>
      <c r="N1048" s="24">
        <f t="shared" si="216"/>
        <v>0.7</v>
      </c>
      <c r="O1048" s="25">
        <f t="shared" si="213"/>
        <v>68970</v>
      </c>
      <c r="P1048" s="11" t="s">
        <v>20</v>
      </c>
    </row>
    <row r="1049" spans="1:16" s="28" customFormat="1" x14ac:dyDescent="0.25">
      <c r="A1049" s="23" t="str">
        <f t="shared" ref="A1049" si="238">A1048</f>
        <v>2025 JAN-JUN D70</v>
      </c>
      <c r="B1049" s="10">
        <f t="shared" si="233"/>
        <v>46104</v>
      </c>
      <c r="C1049" s="10">
        <f t="shared" si="233"/>
        <v>46113</v>
      </c>
      <c r="D1049" s="11">
        <v>3273</v>
      </c>
      <c r="E1049" s="11">
        <v>336</v>
      </c>
      <c r="F1049" s="11">
        <v>4</v>
      </c>
      <c r="G1049" s="11">
        <v>8</v>
      </c>
      <c r="H1049" s="11">
        <v>81676</v>
      </c>
      <c r="I1049" s="11" t="s">
        <v>17</v>
      </c>
      <c r="J1049" s="30">
        <v>54735107</v>
      </c>
      <c r="K1049" s="11" t="s">
        <v>3291</v>
      </c>
      <c r="L1049" s="9" t="s">
        <v>3299</v>
      </c>
      <c r="M1049" s="11">
        <v>229900</v>
      </c>
      <c r="N1049" s="24">
        <f t="shared" si="216"/>
        <v>0.7</v>
      </c>
      <c r="O1049" s="25">
        <f t="shared" si="213"/>
        <v>68970</v>
      </c>
      <c r="P1049" s="11" t="s">
        <v>20</v>
      </c>
    </row>
    <row r="1050" spans="1:16" s="28" customFormat="1" x14ac:dyDescent="0.25">
      <c r="A1050" s="23" t="str">
        <f t="shared" ref="A1050" si="239">A1049</f>
        <v>2025 JAN-JUN D70</v>
      </c>
      <c r="B1050" s="10">
        <f t="shared" si="233"/>
        <v>46104</v>
      </c>
      <c r="C1050" s="10">
        <f t="shared" si="233"/>
        <v>46113</v>
      </c>
      <c r="D1050" s="11">
        <v>3273</v>
      </c>
      <c r="E1050" s="11">
        <v>336</v>
      </c>
      <c r="F1050" s="11">
        <v>4</v>
      </c>
      <c r="G1050" s="11">
        <v>6</v>
      </c>
      <c r="H1050" s="11">
        <v>81588</v>
      </c>
      <c r="I1050" s="11" t="s">
        <v>17</v>
      </c>
      <c r="J1050" s="30">
        <v>54792180</v>
      </c>
      <c r="K1050" s="11" t="s">
        <v>3300</v>
      </c>
      <c r="L1050" s="9" t="s">
        <v>3301</v>
      </c>
      <c r="M1050" s="11">
        <v>139900</v>
      </c>
      <c r="N1050" s="24">
        <f t="shared" si="216"/>
        <v>0.7</v>
      </c>
      <c r="O1050" s="25">
        <f t="shared" si="213"/>
        <v>41970</v>
      </c>
      <c r="P1050" s="11" t="s">
        <v>20</v>
      </c>
    </row>
    <row r="1051" spans="1:16" s="28" customFormat="1" x14ac:dyDescent="0.25">
      <c r="A1051" s="23" t="str">
        <f t="shared" ref="A1051" si="240">A1050</f>
        <v>2025 JAN-JUN D70</v>
      </c>
      <c r="B1051" s="10">
        <f t="shared" si="233"/>
        <v>46104</v>
      </c>
      <c r="C1051" s="10">
        <f t="shared" si="233"/>
        <v>46113</v>
      </c>
      <c r="D1051" s="11">
        <v>3273</v>
      </c>
      <c r="E1051" s="11">
        <v>336</v>
      </c>
      <c r="F1051" s="11">
        <v>4</v>
      </c>
      <c r="G1051" s="11">
        <v>6</v>
      </c>
      <c r="H1051" s="11">
        <v>81588</v>
      </c>
      <c r="I1051" s="11" t="s">
        <v>17</v>
      </c>
      <c r="J1051" s="30">
        <v>54792199</v>
      </c>
      <c r="K1051" s="11" t="s">
        <v>3300</v>
      </c>
      <c r="L1051" s="9" t="s">
        <v>3302</v>
      </c>
      <c r="M1051" s="11">
        <v>139900</v>
      </c>
      <c r="N1051" s="24">
        <f t="shared" si="216"/>
        <v>0.7</v>
      </c>
      <c r="O1051" s="25">
        <f t="shared" si="213"/>
        <v>41970</v>
      </c>
      <c r="P1051" s="11" t="s">
        <v>20</v>
      </c>
    </row>
    <row r="1052" spans="1:16" s="28" customFormat="1" x14ac:dyDescent="0.25">
      <c r="A1052" s="23" t="str">
        <f t="shared" ref="A1052" si="241">A1051</f>
        <v>2025 JAN-JUN D70</v>
      </c>
      <c r="B1052" s="10">
        <f t="shared" si="233"/>
        <v>46104</v>
      </c>
      <c r="C1052" s="10">
        <f t="shared" si="233"/>
        <v>46113</v>
      </c>
      <c r="D1052" s="11">
        <v>3273</v>
      </c>
      <c r="E1052" s="11">
        <v>336</v>
      </c>
      <c r="F1052" s="11">
        <v>4</v>
      </c>
      <c r="G1052" s="11">
        <v>6</v>
      </c>
      <c r="H1052" s="11">
        <v>81588</v>
      </c>
      <c r="I1052" s="11" t="s">
        <v>17</v>
      </c>
      <c r="J1052" s="30">
        <v>54792206</v>
      </c>
      <c r="K1052" s="11" t="s">
        <v>3300</v>
      </c>
      <c r="L1052" s="9" t="s">
        <v>3303</v>
      </c>
      <c r="M1052" s="11">
        <v>139900</v>
      </c>
      <c r="N1052" s="24">
        <f t="shared" si="216"/>
        <v>0.7</v>
      </c>
      <c r="O1052" s="25">
        <f t="shared" si="213"/>
        <v>41970</v>
      </c>
      <c r="P1052" s="11" t="s">
        <v>20</v>
      </c>
    </row>
    <row r="1053" spans="1:16" s="28" customFormat="1" x14ac:dyDescent="0.25">
      <c r="A1053" s="23" t="str">
        <f t="shared" ref="A1053" si="242">A1052</f>
        <v>2025 JAN-JUN D70</v>
      </c>
      <c r="B1053" s="10">
        <f t="shared" si="233"/>
        <v>46104</v>
      </c>
      <c r="C1053" s="10">
        <f t="shared" si="233"/>
        <v>46113</v>
      </c>
      <c r="D1053" s="11">
        <v>3273</v>
      </c>
      <c r="E1053" s="11">
        <v>336</v>
      </c>
      <c r="F1053" s="11">
        <v>4</v>
      </c>
      <c r="G1053" s="11">
        <v>6</v>
      </c>
      <c r="H1053" s="11">
        <v>81588</v>
      </c>
      <c r="I1053" s="11" t="s">
        <v>17</v>
      </c>
      <c r="J1053" s="30">
        <v>54792215</v>
      </c>
      <c r="K1053" s="11" t="s">
        <v>3300</v>
      </c>
      <c r="L1053" s="9" t="s">
        <v>3304</v>
      </c>
      <c r="M1053" s="11">
        <v>139900</v>
      </c>
      <c r="N1053" s="24">
        <f t="shared" si="216"/>
        <v>0.7</v>
      </c>
      <c r="O1053" s="25">
        <f t="shared" si="213"/>
        <v>41970</v>
      </c>
      <c r="P1053" s="11" t="s">
        <v>20</v>
      </c>
    </row>
    <row r="1054" spans="1:16" s="28" customFormat="1" x14ac:dyDescent="0.25">
      <c r="A1054" s="23" t="str">
        <f t="shared" ref="A1054" si="243">A1053</f>
        <v>2025 JAN-JUN D70</v>
      </c>
      <c r="B1054" s="10">
        <f t="shared" si="233"/>
        <v>46104</v>
      </c>
      <c r="C1054" s="10">
        <f t="shared" si="233"/>
        <v>46113</v>
      </c>
      <c r="D1054" s="11">
        <v>3273</v>
      </c>
      <c r="E1054" s="11">
        <v>336</v>
      </c>
      <c r="F1054" s="11">
        <v>4</v>
      </c>
      <c r="G1054" s="11">
        <v>6</v>
      </c>
      <c r="H1054" s="11">
        <v>81588</v>
      </c>
      <c r="I1054" s="11" t="s">
        <v>17</v>
      </c>
      <c r="J1054" s="30">
        <v>54792224</v>
      </c>
      <c r="K1054" s="11" t="s">
        <v>3300</v>
      </c>
      <c r="L1054" s="9" t="s">
        <v>3305</v>
      </c>
      <c r="M1054" s="11">
        <v>139900</v>
      </c>
      <c r="N1054" s="24">
        <f t="shared" si="216"/>
        <v>0.7</v>
      </c>
      <c r="O1054" s="25">
        <f t="shared" si="213"/>
        <v>41970</v>
      </c>
      <c r="P1054" s="11" t="s">
        <v>20</v>
      </c>
    </row>
    <row r="1055" spans="1:16" s="28" customFormat="1" x14ac:dyDescent="0.25">
      <c r="A1055" s="23" t="str">
        <f t="shared" ref="A1055" si="244">A1054</f>
        <v>2025 JAN-JUN D70</v>
      </c>
      <c r="B1055" s="10">
        <f t="shared" si="233"/>
        <v>46104</v>
      </c>
      <c r="C1055" s="10">
        <f t="shared" si="233"/>
        <v>46113</v>
      </c>
      <c r="D1055" s="11">
        <v>3273</v>
      </c>
      <c r="E1055" s="11">
        <v>336</v>
      </c>
      <c r="F1055" s="11">
        <v>4</v>
      </c>
      <c r="G1055" s="11">
        <v>6</v>
      </c>
      <c r="H1055" s="11">
        <v>81588</v>
      </c>
      <c r="I1055" s="11" t="s">
        <v>17</v>
      </c>
      <c r="J1055" s="30">
        <v>54792233</v>
      </c>
      <c r="K1055" s="11" t="s">
        <v>3300</v>
      </c>
      <c r="L1055" s="9" t="s">
        <v>3306</v>
      </c>
      <c r="M1055" s="11">
        <v>139900</v>
      </c>
      <c r="N1055" s="24">
        <f t="shared" si="216"/>
        <v>0.7</v>
      </c>
      <c r="O1055" s="25">
        <f t="shared" si="213"/>
        <v>41970</v>
      </c>
      <c r="P1055" s="11" t="s">
        <v>20</v>
      </c>
    </row>
    <row r="1056" spans="1:16" s="28" customFormat="1" x14ac:dyDescent="0.25">
      <c r="A1056" s="23" t="str">
        <f t="shared" ref="A1056" si="245">A1055</f>
        <v>2025 JAN-JUN D70</v>
      </c>
      <c r="B1056" s="10">
        <f t="shared" si="233"/>
        <v>46104</v>
      </c>
      <c r="C1056" s="10">
        <f t="shared" si="233"/>
        <v>46113</v>
      </c>
      <c r="D1056" s="11">
        <v>3273</v>
      </c>
      <c r="E1056" s="11">
        <v>336</v>
      </c>
      <c r="F1056" s="11">
        <v>4</v>
      </c>
      <c r="G1056" s="11">
        <v>6</v>
      </c>
      <c r="H1056" s="11">
        <v>81588</v>
      </c>
      <c r="I1056" s="11" t="s">
        <v>17</v>
      </c>
      <c r="J1056" s="30">
        <v>54792242</v>
      </c>
      <c r="K1056" s="11" t="s">
        <v>3300</v>
      </c>
      <c r="L1056" s="9" t="s">
        <v>3307</v>
      </c>
      <c r="M1056" s="11">
        <v>139900</v>
      </c>
      <c r="N1056" s="24">
        <f t="shared" si="216"/>
        <v>0.7</v>
      </c>
      <c r="O1056" s="25">
        <f t="shared" si="213"/>
        <v>41970</v>
      </c>
      <c r="P1056" s="11" t="s">
        <v>20</v>
      </c>
    </row>
    <row r="1057" spans="1:16" s="28" customFormat="1" x14ac:dyDescent="0.25">
      <c r="A1057" s="23" t="str">
        <f t="shared" ref="A1057" si="246">A1056</f>
        <v>2025 JAN-JUN D70</v>
      </c>
      <c r="B1057" s="10">
        <f t="shared" si="233"/>
        <v>46104</v>
      </c>
      <c r="C1057" s="10">
        <f t="shared" si="233"/>
        <v>46113</v>
      </c>
      <c r="D1057" s="11">
        <v>3273</v>
      </c>
      <c r="E1057" s="11">
        <v>336</v>
      </c>
      <c r="F1057" s="11">
        <v>4</v>
      </c>
      <c r="G1057" s="11">
        <v>6</v>
      </c>
      <c r="H1057" s="11">
        <v>81588</v>
      </c>
      <c r="I1057" s="11" t="s">
        <v>17</v>
      </c>
      <c r="J1057" s="30">
        <v>54792251</v>
      </c>
      <c r="K1057" s="11" t="s">
        <v>3300</v>
      </c>
      <c r="L1057" s="9" t="s">
        <v>3308</v>
      </c>
      <c r="M1057" s="11">
        <v>139900</v>
      </c>
      <c r="N1057" s="24">
        <f t="shared" si="216"/>
        <v>0.7</v>
      </c>
      <c r="O1057" s="25">
        <f t="shared" si="213"/>
        <v>41970</v>
      </c>
      <c r="P1057" s="11" t="s">
        <v>20</v>
      </c>
    </row>
    <row r="1058" spans="1:16" s="28" customFormat="1" x14ac:dyDescent="0.25">
      <c r="A1058" s="23" t="str">
        <f t="shared" ref="A1058" si="247">A1057</f>
        <v>2025 JAN-JUN D70</v>
      </c>
      <c r="B1058" s="10">
        <f t="shared" si="233"/>
        <v>46104</v>
      </c>
      <c r="C1058" s="10">
        <f t="shared" si="233"/>
        <v>46113</v>
      </c>
      <c r="D1058" s="11">
        <v>3273</v>
      </c>
      <c r="E1058" s="11">
        <v>336</v>
      </c>
      <c r="F1058" s="11">
        <v>4</v>
      </c>
      <c r="G1058" s="11">
        <v>8</v>
      </c>
      <c r="H1058" s="11">
        <v>81588</v>
      </c>
      <c r="I1058" s="11" t="s">
        <v>17</v>
      </c>
      <c r="J1058" s="11">
        <v>51102788</v>
      </c>
      <c r="K1058" s="11" t="s">
        <v>3309</v>
      </c>
      <c r="L1058" s="9" t="s">
        <v>3310</v>
      </c>
      <c r="M1058" s="11">
        <v>299900</v>
      </c>
      <c r="N1058" s="24">
        <f t="shared" si="216"/>
        <v>0.7</v>
      </c>
      <c r="O1058" s="25">
        <f t="shared" si="213"/>
        <v>89970</v>
      </c>
      <c r="P1058" s="11" t="s">
        <v>20</v>
      </c>
    </row>
    <row r="1059" spans="1:16" s="28" customFormat="1" x14ac:dyDescent="0.25">
      <c r="A1059" s="23" t="str">
        <f t="shared" ref="A1059" si="248">A1058</f>
        <v>2025 JAN-JUN D70</v>
      </c>
      <c r="B1059" s="10">
        <f t="shared" si="233"/>
        <v>46104</v>
      </c>
      <c r="C1059" s="10">
        <f t="shared" si="233"/>
        <v>46113</v>
      </c>
      <c r="D1059" s="11">
        <v>3273</v>
      </c>
      <c r="E1059" s="11">
        <v>336</v>
      </c>
      <c r="F1059" s="11">
        <v>4</v>
      </c>
      <c r="G1059" s="11">
        <v>8</v>
      </c>
      <c r="H1059" s="11">
        <v>81588</v>
      </c>
      <c r="I1059" s="11" t="s">
        <v>17</v>
      </c>
      <c r="J1059" s="11">
        <v>51102797</v>
      </c>
      <c r="K1059" s="11" t="s">
        <v>3309</v>
      </c>
      <c r="L1059" s="9" t="s">
        <v>3311</v>
      </c>
      <c r="M1059" s="11">
        <v>299900</v>
      </c>
      <c r="N1059" s="24">
        <f t="shared" si="216"/>
        <v>0.7</v>
      </c>
      <c r="O1059" s="25">
        <f t="shared" si="213"/>
        <v>89970</v>
      </c>
      <c r="P1059" s="11" t="s">
        <v>20</v>
      </c>
    </row>
    <row r="1060" spans="1:16" s="28" customFormat="1" x14ac:dyDescent="0.25">
      <c r="A1060" s="23" t="str">
        <f t="shared" ref="A1060" si="249">A1059</f>
        <v>2025 JAN-JUN D70</v>
      </c>
      <c r="B1060" s="10">
        <f t="shared" ref="B1060:C1075" si="250">B1059</f>
        <v>46104</v>
      </c>
      <c r="C1060" s="10">
        <f t="shared" si="250"/>
        <v>46113</v>
      </c>
      <c r="D1060" s="11">
        <v>3273</v>
      </c>
      <c r="E1060" s="11">
        <v>336</v>
      </c>
      <c r="F1060" s="11">
        <v>4</v>
      </c>
      <c r="G1060" s="11">
        <v>8</v>
      </c>
      <c r="H1060" s="11">
        <v>81588</v>
      </c>
      <c r="I1060" s="11" t="s">
        <v>17</v>
      </c>
      <c r="J1060" s="11">
        <v>51102804</v>
      </c>
      <c r="K1060" s="11" t="s">
        <v>3309</v>
      </c>
      <c r="L1060" s="9" t="s">
        <v>3312</v>
      </c>
      <c r="M1060" s="11">
        <v>299900</v>
      </c>
      <c r="N1060" s="24">
        <f t="shared" si="216"/>
        <v>0.7</v>
      </c>
      <c r="O1060" s="25">
        <f t="shared" si="213"/>
        <v>89970</v>
      </c>
      <c r="P1060" s="11" t="s">
        <v>20</v>
      </c>
    </row>
    <row r="1061" spans="1:16" s="28" customFormat="1" x14ac:dyDescent="0.25">
      <c r="A1061" s="23" t="str">
        <f t="shared" ref="A1061" si="251">A1060</f>
        <v>2025 JAN-JUN D70</v>
      </c>
      <c r="B1061" s="10">
        <f t="shared" si="250"/>
        <v>46104</v>
      </c>
      <c r="C1061" s="10">
        <f t="shared" si="250"/>
        <v>46113</v>
      </c>
      <c r="D1061" s="11">
        <v>3273</v>
      </c>
      <c r="E1061" s="11">
        <v>336</v>
      </c>
      <c r="F1061" s="11">
        <v>4</v>
      </c>
      <c r="G1061" s="11">
        <v>8</v>
      </c>
      <c r="H1061" s="11">
        <v>81588</v>
      </c>
      <c r="I1061" s="11" t="s">
        <v>17</v>
      </c>
      <c r="J1061" s="11">
        <v>51102813</v>
      </c>
      <c r="K1061" s="11" t="s">
        <v>3309</v>
      </c>
      <c r="L1061" s="9" t="s">
        <v>3313</v>
      </c>
      <c r="M1061" s="11">
        <v>299900</v>
      </c>
      <c r="N1061" s="24">
        <f t="shared" si="216"/>
        <v>0.7</v>
      </c>
      <c r="O1061" s="25">
        <f t="shared" si="213"/>
        <v>89970</v>
      </c>
      <c r="P1061" s="11" t="s">
        <v>20</v>
      </c>
    </row>
    <row r="1062" spans="1:16" s="28" customFormat="1" x14ac:dyDescent="0.25">
      <c r="A1062" s="23" t="str">
        <f t="shared" ref="A1062" si="252">A1061</f>
        <v>2025 JAN-JUN D70</v>
      </c>
      <c r="B1062" s="10">
        <f t="shared" si="250"/>
        <v>46104</v>
      </c>
      <c r="C1062" s="10">
        <f t="shared" si="250"/>
        <v>46113</v>
      </c>
      <c r="D1062" s="11">
        <v>3273</v>
      </c>
      <c r="E1062" s="11">
        <v>336</v>
      </c>
      <c r="F1062" s="11">
        <v>4</v>
      </c>
      <c r="G1062" s="11">
        <v>8</v>
      </c>
      <c r="H1062" s="11">
        <v>81588</v>
      </c>
      <c r="I1062" s="11" t="s">
        <v>17</v>
      </c>
      <c r="J1062" s="11">
        <v>51102822</v>
      </c>
      <c r="K1062" s="11" t="s">
        <v>3309</v>
      </c>
      <c r="L1062" s="9" t="s">
        <v>3314</v>
      </c>
      <c r="M1062" s="11">
        <v>299900</v>
      </c>
      <c r="N1062" s="24">
        <f t="shared" si="216"/>
        <v>0.7</v>
      </c>
      <c r="O1062" s="25">
        <f t="shared" si="213"/>
        <v>89970</v>
      </c>
      <c r="P1062" s="11" t="s">
        <v>20</v>
      </c>
    </row>
    <row r="1063" spans="1:16" s="28" customFormat="1" x14ac:dyDescent="0.25">
      <c r="A1063" s="23" t="str">
        <f t="shared" ref="A1063" si="253">A1062</f>
        <v>2025 JAN-JUN D70</v>
      </c>
      <c r="B1063" s="10">
        <f t="shared" si="250"/>
        <v>46104</v>
      </c>
      <c r="C1063" s="10">
        <f t="shared" si="250"/>
        <v>46113</v>
      </c>
      <c r="D1063" s="11">
        <v>3273</v>
      </c>
      <c r="E1063" s="11">
        <v>336</v>
      </c>
      <c r="F1063" s="11">
        <v>4</v>
      </c>
      <c r="G1063" s="11">
        <v>8</v>
      </c>
      <c r="H1063" s="11">
        <v>81588</v>
      </c>
      <c r="I1063" s="11" t="s">
        <v>17</v>
      </c>
      <c r="J1063" s="11">
        <v>51102831</v>
      </c>
      <c r="K1063" s="11" t="s">
        <v>3309</v>
      </c>
      <c r="L1063" s="9" t="s">
        <v>3315</v>
      </c>
      <c r="M1063" s="11">
        <v>299900</v>
      </c>
      <c r="N1063" s="24">
        <f t="shared" si="216"/>
        <v>0.7</v>
      </c>
      <c r="O1063" s="25">
        <f t="shared" si="213"/>
        <v>89970</v>
      </c>
      <c r="P1063" s="11" t="s">
        <v>20</v>
      </c>
    </row>
    <row r="1064" spans="1:16" s="28" customFormat="1" x14ac:dyDescent="0.25">
      <c r="A1064" s="23" t="str">
        <f t="shared" ref="A1064" si="254">A1063</f>
        <v>2025 JAN-JUN D70</v>
      </c>
      <c r="B1064" s="10">
        <f t="shared" si="250"/>
        <v>46104</v>
      </c>
      <c r="C1064" s="10">
        <f t="shared" si="250"/>
        <v>46113</v>
      </c>
      <c r="D1064" s="11">
        <v>3273</v>
      </c>
      <c r="E1064" s="11">
        <v>336</v>
      </c>
      <c r="F1064" s="11">
        <v>4</v>
      </c>
      <c r="G1064" s="11">
        <v>8</v>
      </c>
      <c r="H1064" s="11">
        <v>81588</v>
      </c>
      <c r="I1064" s="11" t="s">
        <v>17</v>
      </c>
      <c r="J1064" s="11">
        <v>51102840</v>
      </c>
      <c r="K1064" s="11" t="s">
        <v>3309</v>
      </c>
      <c r="L1064" s="9" t="s">
        <v>3316</v>
      </c>
      <c r="M1064" s="11">
        <v>299900</v>
      </c>
      <c r="N1064" s="24">
        <f t="shared" si="216"/>
        <v>0.7</v>
      </c>
      <c r="O1064" s="25">
        <f t="shared" si="213"/>
        <v>89970</v>
      </c>
      <c r="P1064" s="11" t="s">
        <v>20</v>
      </c>
    </row>
    <row r="1065" spans="1:16" s="28" customFormat="1" x14ac:dyDescent="0.25">
      <c r="A1065" s="23" t="str">
        <f t="shared" ref="A1065" si="255">A1064</f>
        <v>2025 JAN-JUN D70</v>
      </c>
      <c r="B1065" s="10">
        <f t="shared" si="250"/>
        <v>46104</v>
      </c>
      <c r="C1065" s="10">
        <f t="shared" si="250"/>
        <v>46113</v>
      </c>
      <c r="D1065" s="11">
        <v>3273</v>
      </c>
      <c r="E1065" s="11">
        <v>336</v>
      </c>
      <c r="F1065" s="11">
        <v>4</v>
      </c>
      <c r="G1065" s="11">
        <v>8</v>
      </c>
      <c r="H1065" s="11">
        <v>81588</v>
      </c>
      <c r="I1065" s="11" t="s">
        <v>17</v>
      </c>
      <c r="J1065" s="11">
        <v>51102859</v>
      </c>
      <c r="K1065" s="11" t="s">
        <v>3309</v>
      </c>
      <c r="L1065" s="9" t="s">
        <v>3317</v>
      </c>
      <c r="M1065" s="11">
        <v>299900</v>
      </c>
      <c r="N1065" s="24">
        <f t="shared" si="216"/>
        <v>0.7</v>
      </c>
      <c r="O1065" s="25">
        <f t="shared" si="213"/>
        <v>89970</v>
      </c>
      <c r="P1065" s="11" t="s">
        <v>20</v>
      </c>
    </row>
    <row r="1066" spans="1:16" s="28" customFormat="1" x14ac:dyDescent="0.25">
      <c r="A1066" s="23" t="str">
        <f t="shared" ref="A1066" si="256">A1065</f>
        <v>2025 JAN-JUN D70</v>
      </c>
      <c r="B1066" s="10">
        <f t="shared" si="250"/>
        <v>46104</v>
      </c>
      <c r="C1066" s="10">
        <f t="shared" si="250"/>
        <v>46113</v>
      </c>
      <c r="D1066" s="11">
        <v>3273</v>
      </c>
      <c r="E1066" s="11">
        <v>336</v>
      </c>
      <c r="F1066" s="11">
        <v>4</v>
      </c>
      <c r="G1066" s="19">
        <v>6</v>
      </c>
      <c r="H1066" s="19">
        <v>81588</v>
      </c>
      <c r="I1066" s="11" t="s">
        <v>17</v>
      </c>
      <c r="J1066" s="19">
        <v>54808547</v>
      </c>
      <c r="K1066" s="19" t="s">
        <v>3318</v>
      </c>
      <c r="L1066" s="18" t="s">
        <v>3319</v>
      </c>
      <c r="M1066" s="19">
        <v>149900</v>
      </c>
      <c r="N1066" s="24">
        <f t="shared" si="216"/>
        <v>0.7</v>
      </c>
      <c r="O1066" s="25">
        <f t="shared" si="213"/>
        <v>44970</v>
      </c>
      <c r="P1066" s="11" t="s">
        <v>20</v>
      </c>
    </row>
    <row r="1067" spans="1:16" s="28" customFormat="1" x14ac:dyDescent="0.25">
      <c r="A1067" s="23" t="str">
        <f t="shared" ref="A1067" si="257">A1066</f>
        <v>2025 JAN-JUN D70</v>
      </c>
      <c r="B1067" s="10">
        <f t="shared" si="250"/>
        <v>46104</v>
      </c>
      <c r="C1067" s="10">
        <f t="shared" si="250"/>
        <v>46113</v>
      </c>
      <c r="D1067" s="11">
        <v>3273</v>
      </c>
      <c r="E1067" s="11">
        <v>336</v>
      </c>
      <c r="F1067" s="11">
        <v>4</v>
      </c>
      <c r="G1067" s="19">
        <v>6</v>
      </c>
      <c r="H1067" s="19">
        <v>81588</v>
      </c>
      <c r="I1067" s="11" t="s">
        <v>17</v>
      </c>
      <c r="J1067" s="19">
        <v>54808556</v>
      </c>
      <c r="K1067" s="19" t="s">
        <v>3318</v>
      </c>
      <c r="L1067" s="18" t="s">
        <v>3320</v>
      </c>
      <c r="M1067" s="19">
        <v>149900</v>
      </c>
      <c r="N1067" s="24">
        <f t="shared" si="216"/>
        <v>0.7</v>
      </c>
      <c r="O1067" s="25">
        <f t="shared" si="213"/>
        <v>44970</v>
      </c>
      <c r="P1067" s="11" t="s">
        <v>20</v>
      </c>
    </row>
    <row r="1068" spans="1:16" s="28" customFormat="1" x14ac:dyDescent="0.25">
      <c r="A1068" s="23" t="str">
        <f t="shared" ref="A1068" si="258">A1067</f>
        <v>2025 JAN-JUN D70</v>
      </c>
      <c r="B1068" s="10">
        <f t="shared" si="250"/>
        <v>46104</v>
      </c>
      <c r="C1068" s="10">
        <f t="shared" si="250"/>
        <v>46113</v>
      </c>
      <c r="D1068" s="11">
        <v>3273</v>
      </c>
      <c r="E1068" s="11">
        <v>336</v>
      </c>
      <c r="F1068" s="11">
        <v>4</v>
      </c>
      <c r="G1068" s="19">
        <v>6</v>
      </c>
      <c r="H1068" s="19">
        <v>81588</v>
      </c>
      <c r="I1068" s="11" t="s">
        <v>17</v>
      </c>
      <c r="J1068" s="19">
        <v>54808565</v>
      </c>
      <c r="K1068" s="19" t="s">
        <v>3318</v>
      </c>
      <c r="L1068" s="18" t="s">
        <v>3321</v>
      </c>
      <c r="M1068" s="19">
        <v>149900</v>
      </c>
      <c r="N1068" s="24">
        <f t="shared" si="216"/>
        <v>0.7</v>
      </c>
      <c r="O1068" s="25">
        <f t="shared" si="213"/>
        <v>44970</v>
      </c>
      <c r="P1068" s="11" t="s">
        <v>20</v>
      </c>
    </row>
    <row r="1069" spans="1:16" s="28" customFormat="1" x14ac:dyDescent="0.25">
      <c r="A1069" s="23" t="str">
        <f t="shared" ref="A1069" si="259">A1068</f>
        <v>2025 JAN-JUN D70</v>
      </c>
      <c r="B1069" s="10">
        <f t="shared" si="250"/>
        <v>46104</v>
      </c>
      <c r="C1069" s="10">
        <f t="shared" si="250"/>
        <v>46113</v>
      </c>
      <c r="D1069" s="11">
        <v>3273</v>
      </c>
      <c r="E1069" s="11">
        <v>336</v>
      </c>
      <c r="F1069" s="11">
        <v>4</v>
      </c>
      <c r="G1069" s="19">
        <v>6</v>
      </c>
      <c r="H1069" s="19">
        <v>81588</v>
      </c>
      <c r="I1069" s="11" t="s">
        <v>17</v>
      </c>
      <c r="J1069" s="19">
        <v>54808574</v>
      </c>
      <c r="K1069" s="19" t="s">
        <v>3318</v>
      </c>
      <c r="L1069" s="18" t="s">
        <v>3322</v>
      </c>
      <c r="M1069" s="19">
        <v>149900</v>
      </c>
      <c r="N1069" s="24">
        <f t="shared" si="216"/>
        <v>0.7</v>
      </c>
      <c r="O1069" s="25">
        <f t="shared" si="213"/>
        <v>44970</v>
      </c>
      <c r="P1069" s="11" t="s">
        <v>20</v>
      </c>
    </row>
    <row r="1070" spans="1:16" s="28" customFormat="1" x14ac:dyDescent="0.25">
      <c r="A1070" s="23" t="str">
        <f t="shared" ref="A1070" si="260">A1069</f>
        <v>2025 JAN-JUN D70</v>
      </c>
      <c r="B1070" s="10">
        <f t="shared" si="250"/>
        <v>46104</v>
      </c>
      <c r="C1070" s="10">
        <f t="shared" si="250"/>
        <v>46113</v>
      </c>
      <c r="D1070" s="11">
        <v>3273</v>
      </c>
      <c r="E1070" s="11">
        <v>336</v>
      </c>
      <c r="F1070" s="11">
        <v>4</v>
      </c>
      <c r="G1070" s="19">
        <v>6</v>
      </c>
      <c r="H1070" s="19">
        <v>81588</v>
      </c>
      <c r="I1070" s="11" t="s">
        <v>17</v>
      </c>
      <c r="J1070" s="19">
        <v>54808583</v>
      </c>
      <c r="K1070" s="19" t="s">
        <v>3318</v>
      </c>
      <c r="L1070" s="18" t="s">
        <v>3323</v>
      </c>
      <c r="M1070" s="19">
        <v>149900</v>
      </c>
      <c r="N1070" s="24">
        <f t="shared" si="216"/>
        <v>0.7</v>
      </c>
      <c r="O1070" s="25">
        <f t="shared" si="213"/>
        <v>44970</v>
      </c>
      <c r="P1070" s="11" t="s">
        <v>20</v>
      </c>
    </row>
    <row r="1071" spans="1:16" s="28" customFormat="1" x14ac:dyDescent="0.25">
      <c r="A1071" s="23" t="str">
        <f t="shared" ref="A1071" si="261">A1070</f>
        <v>2025 JAN-JUN D70</v>
      </c>
      <c r="B1071" s="10">
        <f t="shared" si="250"/>
        <v>46104</v>
      </c>
      <c r="C1071" s="10">
        <f t="shared" si="250"/>
        <v>46113</v>
      </c>
      <c r="D1071" s="11">
        <v>3273</v>
      </c>
      <c r="E1071" s="11">
        <v>336</v>
      </c>
      <c r="F1071" s="11">
        <v>4</v>
      </c>
      <c r="G1071" s="19">
        <v>6</v>
      </c>
      <c r="H1071" s="19">
        <v>81588</v>
      </c>
      <c r="I1071" s="11" t="s">
        <v>17</v>
      </c>
      <c r="J1071" s="19">
        <v>54808592</v>
      </c>
      <c r="K1071" s="19" t="s">
        <v>3318</v>
      </c>
      <c r="L1071" s="18" t="s">
        <v>3324</v>
      </c>
      <c r="M1071" s="19">
        <v>149900</v>
      </c>
      <c r="N1071" s="24">
        <f t="shared" si="216"/>
        <v>0.7</v>
      </c>
      <c r="O1071" s="25">
        <f t="shared" si="213"/>
        <v>44970</v>
      </c>
      <c r="P1071" s="11" t="s">
        <v>20</v>
      </c>
    </row>
    <row r="1072" spans="1:16" s="28" customFormat="1" x14ac:dyDescent="0.25">
      <c r="A1072" s="23" t="str">
        <f t="shared" ref="A1072" si="262">A1071</f>
        <v>2025 JAN-JUN D70</v>
      </c>
      <c r="B1072" s="10">
        <f t="shared" si="250"/>
        <v>46104</v>
      </c>
      <c r="C1072" s="10">
        <f t="shared" si="250"/>
        <v>46113</v>
      </c>
      <c r="D1072" s="11">
        <v>3273</v>
      </c>
      <c r="E1072" s="11">
        <v>336</v>
      </c>
      <c r="F1072" s="11">
        <v>4</v>
      </c>
      <c r="G1072" s="19">
        <v>6</v>
      </c>
      <c r="H1072" s="19">
        <v>81588</v>
      </c>
      <c r="I1072" s="11" t="s">
        <v>17</v>
      </c>
      <c r="J1072" s="19">
        <v>54808609</v>
      </c>
      <c r="K1072" s="19" t="s">
        <v>3318</v>
      </c>
      <c r="L1072" s="18" t="s">
        <v>3325</v>
      </c>
      <c r="M1072" s="19">
        <v>149900</v>
      </c>
      <c r="N1072" s="24">
        <f t="shared" si="216"/>
        <v>0.7</v>
      </c>
      <c r="O1072" s="25">
        <f t="shared" si="213"/>
        <v>44970</v>
      </c>
      <c r="P1072" s="11" t="s">
        <v>20</v>
      </c>
    </row>
    <row r="1073" spans="1:16" s="28" customFormat="1" x14ac:dyDescent="0.25">
      <c r="A1073" s="23" t="str">
        <f t="shared" ref="A1073" si="263">A1072</f>
        <v>2025 JAN-JUN D70</v>
      </c>
      <c r="B1073" s="10">
        <f t="shared" si="250"/>
        <v>46104</v>
      </c>
      <c r="C1073" s="10">
        <f t="shared" si="250"/>
        <v>46113</v>
      </c>
      <c r="D1073" s="11">
        <v>3273</v>
      </c>
      <c r="E1073" s="11">
        <v>336</v>
      </c>
      <c r="F1073" s="11">
        <v>4</v>
      </c>
      <c r="G1073" s="19">
        <v>6</v>
      </c>
      <c r="H1073" s="19">
        <v>81588</v>
      </c>
      <c r="I1073" s="11" t="s">
        <v>17</v>
      </c>
      <c r="J1073" s="19">
        <v>54808618</v>
      </c>
      <c r="K1073" s="19" t="s">
        <v>3318</v>
      </c>
      <c r="L1073" s="18" t="s">
        <v>3326</v>
      </c>
      <c r="M1073" s="19">
        <v>149900</v>
      </c>
      <c r="N1073" s="24">
        <f t="shared" si="216"/>
        <v>0.7</v>
      </c>
      <c r="O1073" s="25">
        <f t="shared" si="213"/>
        <v>44970</v>
      </c>
      <c r="P1073" s="11" t="s">
        <v>20</v>
      </c>
    </row>
    <row r="1074" spans="1:16" s="28" customFormat="1" x14ac:dyDescent="0.25">
      <c r="A1074" s="23" t="str">
        <f t="shared" ref="A1074" si="264">A1073</f>
        <v>2025 JAN-JUN D70</v>
      </c>
      <c r="B1074" s="10">
        <f t="shared" si="250"/>
        <v>46104</v>
      </c>
      <c r="C1074" s="10">
        <f t="shared" si="250"/>
        <v>46113</v>
      </c>
      <c r="D1074" s="11">
        <v>3273</v>
      </c>
      <c r="E1074" s="11">
        <v>336</v>
      </c>
      <c r="F1074" s="11">
        <v>4</v>
      </c>
      <c r="G1074" s="11">
        <v>4</v>
      </c>
      <c r="H1074" s="11">
        <v>81676</v>
      </c>
      <c r="I1074" s="11" t="s">
        <v>17</v>
      </c>
      <c r="J1074" s="11">
        <v>53560557</v>
      </c>
      <c r="K1074" s="11" t="s">
        <v>3327</v>
      </c>
      <c r="L1074" s="9" t="s">
        <v>3328</v>
      </c>
      <c r="M1074" s="11">
        <v>249900</v>
      </c>
      <c r="N1074" s="24">
        <f t="shared" si="216"/>
        <v>0.7</v>
      </c>
      <c r="O1074" s="25">
        <f t="shared" si="213"/>
        <v>74970</v>
      </c>
      <c r="P1074" s="11" t="s">
        <v>20</v>
      </c>
    </row>
    <row r="1075" spans="1:16" s="28" customFormat="1" x14ac:dyDescent="0.25">
      <c r="A1075" s="23" t="str">
        <f t="shared" ref="A1075" si="265">A1074</f>
        <v>2025 JAN-JUN D70</v>
      </c>
      <c r="B1075" s="10">
        <f t="shared" si="250"/>
        <v>46104</v>
      </c>
      <c r="C1075" s="10">
        <f t="shared" si="250"/>
        <v>46113</v>
      </c>
      <c r="D1075" s="11">
        <v>3273</v>
      </c>
      <c r="E1075" s="11">
        <v>336</v>
      </c>
      <c r="F1075" s="11">
        <v>4</v>
      </c>
      <c r="G1075" s="11">
        <v>4</v>
      </c>
      <c r="H1075" s="11">
        <v>81676</v>
      </c>
      <c r="I1075" s="11" t="s">
        <v>17</v>
      </c>
      <c r="J1075" s="11">
        <v>53560566</v>
      </c>
      <c r="K1075" s="11" t="s">
        <v>3327</v>
      </c>
      <c r="L1075" s="9" t="s">
        <v>3329</v>
      </c>
      <c r="M1075" s="11">
        <v>249900</v>
      </c>
      <c r="N1075" s="24">
        <f t="shared" si="216"/>
        <v>0.7</v>
      </c>
      <c r="O1075" s="25">
        <f t="shared" si="213"/>
        <v>74970</v>
      </c>
      <c r="P1075" s="11" t="s">
        <v>20</v>
      </c>
    </row>
    <row r="1076" spans="1:16" s="28" customFormat="1" x14ac:dyDescent="0.25">
      <c r="A1076" s="23" t="str">
        <f t="shared" ref="A1076" si="266">A1075</f>
        <v>2025 JAN-JUN D70</v>
      </c>
      <c r="B1076" s="10">
        <f t="shared" ref="B1076:C1079" si="267">B1075</f>
        <v>46104</v>
      </c>
      <c r="C1076" s="10">
        <f t="shared" si="267"/>
        <v>46113</v>
      </c>
      <c r="D1076" s="11">
        <v>3273</v>
      </c>
      <c r="E1076" s="11">
        <v>336</v>
      </c>
      <c r="F1076" s="11">
        <v>4</v>
      </c>
      <c r="G1076" s="11">
        <v>4</v>
      </c>
      <c r="H1076" s="11">
        <v>81676</v>
      </c>
      <c r="I1076" s="11" t="s">
        <v>17</v>
      </c>
      <c r="J1076" s="11">
        <v>53560575</v>
      </c>
      <c r="K1076" s="11" t="s">
        <v>3327</v>
      </c>
      <c r="L1076" s="9" t="s">
        <v>3330</v>
      </c>
      <c r="M1076" s="11">
        <v>249900</v>
      </c>
      <c r="N1076" s="24">
        <f t="shared" si="216"/>
        <v>0.7</v>
      </c>
      <c r="O1076" s="25">
        <f t="shared" si="213"/>
        <v>74970</v>
      </c>
      <c r="P1076" s="11" t="s">
        <v>20</v>
      </c>
    </row>
    <row r="1077" spans="1:16" s="28" customFormat="1" x14ac:dyDescent="0.25">
      <c r="A1077" s="23" t="str">
        <f t="shared" ref="A1077" si="268">A1076</f>
        <v>2025 JAN-JUN D70</v>
      </c>
      <c r="B1077" s="10">
        <f t="shared" si="267"/>
        <v>46104</v>
      </c>
      <c r="C1077" s="10">
        <f t="shared" si="267"/>
        <v>46113</v>
      </c>
      <c r="D1077" s="11">
        <v>3273</v>
      </c>
      <c r="E1077" s="11">
        <v>336</v>
      </c>
      <c r="F1077" s="11">
        <v>4</v>
      </c>
      <c r="G1077" s="11">
        <v>4</v>
      </c>
      <c r="H1077" s="11">
        <v>81676</v>
      </c>
      <c r="I1077" s="11" t="s">
        <v>17</v>
      </c>
      <c r="J1077" s="11">
        <v>53560584</v>
      </c>
      <c r="K1077" s="11" t="s">
        <v>3327</v>
      </c>
      <c r="L1077" s="9" t="s">
        <v>3331</v>
      </c>
      <c r="M1077" s="11">
        <v>249900</v>
      </c>
      <c r="N1077" s="24">
        <f t="shared" si="216"/>
        <v>0.7</v>
      </c>
      <c r="O1077" s="25">
        <f t="shared" si="213"/>
        <v>74970</v>
      </c>
      <c r="P1077" s="11" t="s">
        <v>20</v>
      </c>
    </row>
    <row r="1078" spans="1:16" s="28" customFormat="1" x14ac:dyDescent="0.25">
      <c r="A1078" s="23" t="str">
        <f t="shared" ref="A1078" si="269">A1077</f>
        <v>2025 JAN-JUN D70</v>
      </c>
      <c r="B1078" s="10">
        <f t="shared" si="267"/>
        <v>46104</v>
      </c>
      <c r="C1078" s="10">
        <f t="shared" si="267"/>
        <v>46113</v>
      </c>
      <c r="D1078" s="11">
        <v>3273</v>
      </c>
      <c r="E1078" s="11">
        <v>336</v>
      </c>
      <c r="F1078" s="11">
        <v>4</v>
      </c>
      <c r="G1078" s="11">
        <v>4</v>
      </c>
      <c r="H1078" s="11">
        <v>81676</v>
      </c>
      <c r="I1078" s="11" t="s">
        <v>17</v>
      </c>
      <c r="J1078" s="11">
        <v>53560593</v>
      </c>
      <c r="K1078" s="11" t="s">
        <v>3327</v>
      </c>
      <c r="L1078" s="9" t="s">
        <v>3332</v>
      </c>
      <c r="M1078" s="11">
        <v>249900</v>
      </c>
      <c r="N1078" s="24">
        <f t="shared" si="216"/>
        <v>0.7</v>
      </c>
      <c r="O1078" s="25">
        <f t="shared" si="213"/>
        <v>74970</v>
      </c>
      <c r="P1078" s="11" t="s">
        <v>20</v>
      </c>
    </row>
    <row r="1079" spans="1:16" s="28" customFormat="1" x14ac:dyDescent="0.25">
      <c r="A1079" s="23" t="str">
        <f t="shared" ref="A1079" si="270">A1078</f>
        <v>2025 JAN-JUN D70</v>
      </c>
      <c r="B1079" s="10">
        <f t="shared" si="267"/>
        <v>46104</v>
      </c>
      <c r="C1079" s="10">
        <f t="shared" si="267"/>
        <v>46113</v>
      </c>
      <c r="D1079" s="11">
        <v>3273</v>
      </c>
      <c r="E1079" s="11">
        <v>336</v>
      </c>
      <c r="F1079" s="11">
        <v>4</v>
      </c>
      <c r="G1079" s="11">
        <v>4</v>
      </c>
      <c r="H1079" s="11">
        <v>81676</v>
      </c>
      <c r="I1079" s="11" t="s">
        <v>17</v>
      </c>
      <c r="J1079" s="11">
        <v>53560600</v>
      </c>
      <c r="K1079" s="11" t="s">
        <v>3327</v>
      </c>
      <c r="L1079" s="9" t="s">
        <v>3333</v>
      </c>
      <c r="M1079" s="11">
        <v>249900</v>
      </c>
      <c r="N1079" s="24">
        <f t="shared" si="216"/>
        <v>0.7</v>
      </c>
      <c r="O1079" s="25">
        <f t="shared" si="213"/>
        <v>74970</v>
      </c>
      <c r="P1079" s="11" t="s">
        <v>20</v>
      </c>
    </row>
  </sheetData>
  <autoFilter ref="A1:P994" xr:uid="{B6296A4C-81EF-412F-A366-6242EADE0397}"/>
  <conditionalFormatting sqref="J857:J912">
    <cfRule type="duplicateValues" dxfId="27" priority="4"/>
  </conditionalFormatting>
  <conditionalFormatting sqref="J995:J1073">
    <cfRule type="duplicateValues" dxfId="26" priority="3"/>
  </conditionalFormatting>
  <conditionalFormatting sqref="J995:J1079">
    <cfRule type="duplicateValues" dxfId="25" priority="2"/>
  </conditionalFormatting>
  <conditionalFormatting sqref="J1074:J1079">
    <cfRule type="duplicateValues" dxfId="24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6CBA-ABB7-4411-9EAD-D433977B5D74}">
  <sheetPr>
    <tabColor rgb="FFFFFF00"/>
  </sheetPr>
  <dimension ref="A1:P8"/>
  <sheetViews>
    <sheetView topLeftCell="K1" zoomScale="89" zoomScaleNormal="89" workbookViewId="0">
      <pane ySplit="2" topLeftCell="A3" activePane="bottomLeft" state="frozen"/>
      <selection activeCell="B2" sqref="B2:C2"/>
      <selection pane="bottomLeft" activeCell="P3" sqref="P3"/>
    </sheetView>
  </sheetViews>
  <sheetFormatPr defaultRowHeight="15" x14ac:dyDescent="0.25"/>
  <cols>
    <col min="1" max="1" width="34.7109375" style="29" customWidth="1"/>
    <col min="2" max="2" width="12.7109375" style="29" customWidth="1"/>
    <col min="3" max="6" width="13.140625" style="29" customWidth="1"/>
    <col min="7" max="7" width="6.7109375" style="29" customWidth="1"/>
    <col min="8" max="8" width="8.7109375" style="29" bestFit="1" customWidth="1"/>
    <col min="9" max="9" width="11.7109375" style="29" bestFit="1" customWidth="1"/>
    <col min="10" max="10" width="10.140625" style="29" bestFit="1" customWidth="1"/>
    <col min="11" max="11" width="12.28515625" style="29" bestFit="1" customWidth="1"/>
    <col min="12" max="12" width="102.28515625" style="29" bestFit="1" customWidth="1"/>
    <col min="13" max="13" width="16.140625" style="29" bestFit="1" customWidth="1"/>
    <col min="14" max="14" width="9.85546875" style="29" customWidth="1"/>
    <col min="15" max="15" width="15.140625" style="29" bestFit="1" customWidth="1"/>
    <col min="16" max="16" width="22.42578125" style="29" bestFit="1" customWidth="1"/>
    <col min="17" max="17" width="10.5703125" bestFit="1" customWidth="1"/>
  </cols>
  <sheetData>
    <row r="1" spans="1:16" s="8" customFormat="1" ht="33" customHeight="1" x14ac:dyDescent="0.25">
      <c r="A1" s="1" t="s">
        <v>0</v>
      </c>
      <c r="B1" s="31" t="s">
        <v>1</v>
      </c>
      <c r="C1" s="31" t="s">
        <v>2</v>
      </c>
      <c r="D1" s="1" t="s">
        <v>3</v>
      </c>
      <c r="E1" s="1" t="s">
        <v>4</v>
      </c>
      <c r="F1" s="1" t="s">
        <v>5</v>
      </c>
      <c r="G1" s="22" t="s">
        <v>6</v>
      </c>
      <c r="H1" s="22" t="s">
        <v>7</v>
      </c>
      <c r="I1" s="1" t="s">
        <v>8</v>
      </c>
      <c r="J1" s="22" t="s">
        <v>9</v>
      </c>
      <c r="K1" s="1" t="s">
        <v>10</v>
      </c>
      <c r="L1" s="1" t="s">
        <v>11</v>
      </c>
      <c r="M1" s="32" t="s">
        <v>12</v>
      </c>
      <c r="N1" s="33" t="s">
        <v>13</v>
      </c>
      <c r="O1" s="34" t="s">
        <v>14</v>
      </c>
      <c r="P1" s="1" t="s">
        <v>15</v>
      </c>
    </row>
    <row r="2" spans="1:16" s="29" customFormat="1" x14ac:dyDescent="0.25">
      <c r="A2" s="18" t="s">
        <v>3334</v>
      </c>
      <c r="B2" s="35">
        <f>'[1]2025 AUG B1G1'!B64</f>
        <v>46104</v>
      </c>
      <c r="C2" s="35">
        <f>'[1]2025 AUG B1G1'!C64</f>
        <v>46113</v>
      </c>
      <c r="D2" s="18">
        <f>'[1]2025 AUG B1G1'!D64</f>
        <v>3273</v>
      </c>
      <c r="E2" s="18">
        <f>'[1]2025 AUG B1G1'!E64</f>
        <v>336</v>
      </c>
      <c r="F2" s="18">
        <f>'[1]2025 AUG B1G1'!F64</f>
        <v>4</v>
      </c>
      <c r="G2" s="18">
        <v>8</v>
      </c>
      <c r="H2" s="18">
        <v>81588</v>
      </c>
      <c r="I2" s="18" t="str">
        <f>'[1]2025 AUG B1G1'!I64</f>
        <v>DISNEY</v>
      </c>
      <c r="J2" s="18">
        <v>55347874</v>
      </c>
      <c r="K2" s="18" t="s">
        <v>3335</v>
      </c>
      <c r="L2" s="18" t="s">
        <v>3336</v>
      </c>
      <c r="M2" s="36">
        <v>199900</v>
      </c>
      <c r="N2" s="37" t="s">
        <v>3795</v>
      </c>
      <c r="O2" s="36" t="s">
        <v>3796</v>
      </c>
      <c r="P2" s="18" t="s">
        <v>3346</v>
      </c>
    </row>
    <row r="3" spans="1:16" s="29" customFormat="1" x14ac:dyDescent="0.25">
      <c r="A3" s="18" t="str">
        <f t="shared" ref="A3:F8" si="0">A2</f>
        <v>2025 SEPT B1G1</v>
      </c>
      <c r="B3" s="35">
        <f t="shared" si="0"/>
        <v>46104</v>
      </c>
      <c r="C3" s="35">
        <f t="shared" si="0"/>
        <v>46113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8</v>
      </c>
      <c r="H3" s="18">
        <v>81588</v>
      </c>
      <c r="I3" s="18" t="str">
        <f t="shared" ref="I3:I8" si="1">I2</f>
        <v>DISNEY</v>
      </c>
      <c r="J3" s="18">
        <v>55347883</v>
      </c>
      <c r="K3" s="18" t="s">
        <v>3335</v>
      </c>
      <c r="L3" s="18" t="s">
        <v>3337</v>
      </c>
      <c r="M3" s="36">
        <v>199900</v>
      </c>
      <c r="N3" s="37" t="str">
        <f>N2</f>
        <v xml:space="preserve">BXGY </v>
      </c>
      <c r="O3" s="36" t="str">
        <f>O2</f>
        <v>B1G1</v>
      </c>
      <c r="P3" s="18" t="str">
        <f>P2</f>
        <v>BXGY</v>
      </c>
    </row>
    <row r="4" spans="1:16" s="29" customFormat="1" x14ac:dyDescent="0.25">
      <c r="A4" s="18" t="str">
        <f t="shared" si="0"/>
        <v>2025 SEPT B1G1</v>
      </c>
      <c r="B4" s="35">
        <f t="shared" si="0"/>
        <v>46104</v>
      </c>
      <c r="C4" s="35">
        <f t="shared" si="0"/>
        <v>46113</v>
      </c>
      <c r="D4" s="18">
        <f t="shared" si="0"/>
        <v>3273</v>
      </c>
      <c r="E4" s="18">
        <f t="shared" si="0"/>
        <v>336</v>
      </c>
      <c r="F4" s="18">
        <f t="shared" si="0"/>
        <v>4</v>
      </c>
      <c r="G4" s="18">
        <v>8</v>
      </c>
      <c r="H4" s="18">
        <v>81588</v>
      </c>
      <c r="I4" s="18" t="str">
        <f t="shared" si="1"/>
        <v>DISNEY</v>
      </c>
      <c r="J4" s="18">
        <v>55347892</v>
      </c>
      <c r="K4" s="18" t="s">
        <v>3335</v>
      </c>
      <c r="L4" s="18" t="s">
        <v>3338</v>
      </c>
      <c r="M4" s="36">
        <v>199900</v>
      </c>
      <c r="N4" s="37" t="str">
        <f t="shared" ref="N4:P8" si="2">N3</f>
        <v xml:space="preserve">BXGY </v>
      </c>
      <c r="O4" s="36" t="str">
        <f t="shared" si="2"/>
        <v>B1G1</v>
      </c>
      <c r="P4" s="18" t="str">
        <f t="shared" si="2"/>
        <v>BXGY</v>
      </c>
    </row>
    <row r="5" spans="1:16" s="29" customFormat="1" x14ac:dyDescent="0.25">
      <c r="A5" s="18" t="str">
        <f t="shared" si="0"/>
        <v>2025 SEPT B1G1</v>
      </c>
      <c r="B5" s="35">
        <f t="shared" si="0"/>
        <v>46104</v>
      </c>
      <c r="C5" s="35">
        <f t="shared" si="0"/>
        <v>46113</v>
      </c>
      <c r="D5" s="18">
        <f t="shared" si="0"/>
        <v>3273</v>
      </c>
      <c r="E5" s="18">
        <f t="shared" si="0"/>
        <v>336</v>
      </c>
      <c r="F5" s="18">
        <f t="shared" si="0"/>
        <v>4</v>
      </c>
      <c r="G5" s="18">
        <v>8</v>
      </c>
      <c r="H5" s="18">
        <v>81588</v>
      </c>
      <c r="I5" s="18" t="str">
        <f t="shared" si="1"/>
        <v>DISNEY</v>
      </c>
      <c r="J5" s="18">
        <v>55347909</v>
      </c>
      <c r="K5" s="18" t="s">
        <v>3335</v>
      </c>
      <c r="L5" s="18" t="s">
        <v>3339</v>
      </c>
      <c r="M5" s="36">
        <v>199900</v>
      </c>
      <c r="N5" s="37" t="str">
        <f t="shared" si="2"/>
        <v xml:space="preserve">BXGY </v>
      </c>
      <c r="O5" s="36" t="str">
        <f t="shared" si="2"/>
        <v>B1G1</v>
      </c>
      <c r="P5" s="18" t="str">
        <f t="shared" si="2"/>
        <v>BXGY</v>
      </c>
    </row>
    <row r="6" spans="1:16" s="29" customFormat="1" x14ac:dyDescent="0.25">
      <c r="A6" s="18" t="str">
        <f t="shared" si="0"/>
        <v>2025 SEPT B1G1</v>
      </c>
      <c r="B6" s="35">
        <f t="shared" si="0"/>
        <v>46104</v>
      </c>
      <c r="C6" s="35">
        <f t="shared" si="0"/>
        <v>46113</v>
      </c>
      <c r="D6" s="18">
        <f t="shared" si="0"/>
        <v>3273</v>
      </c>
      <c r="E6" s="18">
        <f t="shared" si="0"/>
        <v>336</v>
      </c>
      <c r="F6" s="18">
        <f t="shared" si="0"/>
        <v>4</v>
      </c>
      <c r="G6" s="18">
        <v>8</v>
      </c>
      <c r="H6" s="18">
        <v>81588</v>
      </c>
      <c r="I6" s="18" t="str">
        <f t="shared" si="1"/>
        <v>DISNEY</v>
      </c>
      <c r="J6" s="18">
        <v>55347918</v>
      </c>
      <c r="K6" s="18" t="s">
        <v>3335</v>
      </c>
      <c r="L6" s="18" t="s">
        <v>3340</v>
      </c>
      <c r="M6" s="36">
        <v>199900</v>
      </c>
      <c r="N6" s="37" t="str">
        <f t="shared" si="2"/>
        <v xml:space="preserve">BXGY </v>
      </c>
      <c r="O6" s="36" t="str">
        <f t="shared" si="2"/>
        <v>B1G1</v>
      </c>
      <c r="P6" s="18" t="str">
        <f t="shared" si="2"/>
        <v>BXGY</v>
      </c>
    </row>
    <row r="7" spans="1:16" s="29" customFormat="1" x14ac:dyDescent="0.25">
      <c r="A7" s="18" t="str">
        <f t="shared" si="0"/>
        <v>2025 SEPT B1G1</v>
      </c>
      <c r="B7" s="35">
        <f t="shared" si="0"/>
        <v>46104</v>
      </c>
      <c r="C7" s="35">
        <f t="shared" si="0"/>
        <v>46113</v>
      </c>
      <c r="D7" s="18">
        <f t="shared" si="0"/>
        <v>3273</v>
      </c>
      <c r="E7" s="18">
        <f t="shared" si="0"/>
        <v>336</v>
      </c>
      <c r="F7" s="18">
        <f t="shared" si="0"/>
        <v>4</v>
      </c>
      <c r="G7" s="18">
        <v>8</v>
      </c>
      <c r="H7" s="18">
        <v>81588</v>
      </c>
      <c r="I7" s="18" t="str">
        <f t="shared" si="1"/>
        <v>DISNEY</v>
      </c>
      <c r="J7" s="18">
        <v>55347927</v>
      </c>
      <c r="K7" s="18" t="s">
        <v>3335</v>
      </c>
      <c r="L7" s="18" t="s">
        <v>3341</v>
      </c>
      <c r="M7" s="36">
        <v>199900</v>
      </c>
      <c r="N7" s="37" t="str">
        <f t="shared" si="2"/>
        <v xml:space="preserve">BXGY </v>
      </c>
      <c r="O7" s="36" t="str">
        <f t="shared" si="2"/>
        <v>B1G1</v>
      </c>
      <c r="P7" s="18" t="str">
        <f t="shared" si="2"/>
        <v>BXGY</v>
      </c>
    </row>
    <row r="8" spans="1:16" s="29" customFormat="1" x14ac:dyDescent="0.25">
      <c r="A8" s="18" t="str">
        <f t="shared" si="0"/>
        <v>2025 SEPT B1G1</v>
      </c>
      <c r="B8" s="35">
        <f t="shared" si="0"/>
        <v>46104</v>
      </c>
      <c r="C8" s="35">
        <f t="shared" si="0"/>
        <v>46113</v>
      </c>
      <c r="D8" s="18">
        <f t="shared" si="0"/>
        <v>3273</v>
      </c>
      <c r="E8" s="18">
        <f t="shared" si="0"/>
        <v>336</v>
      </c>
      <c r="F8" s="18">
        <f t="shared" si="0"/>
        <v>4</v>
      </c>
      <c r="G8" s="18">
        <v>8</v>
      </c>
      <c r="H8" s="18">
        <v>81588</v>
      </c>
      <c r="I8" s="18" t="str">
        <f t="shared" si="1"/>
        <v>DISNEY</v>
      </c>
      <c r="J8" s="18">
        <v>55347936</v>
      </c>
      <c r="K8" s="18" t="s">
        <v>3335</v>
      </c>
      <c r="L8" s="18" t="s">
        <v>3342</v>
      </c>
      <c r="M8" s="36">
        <v>199900</v>
      </c>
      <c r="N8" s="37" t="str">
        <f t="shared" si="2"/>
        <v xml:space="preserve">BXGY </v>
      </c>
      <c r="O8" s="36" t="str">
        <f t="shared" si="2"/>
        <v>B1G1</v>
      </c>
      <c r="P8" s="18" t="str">
        <f t="shared" si="2"/>
        <v>BXGY</v>
      </c>
    </row>
  </sheetData>
  <conditionalFormatting sqref="J1">
    <cfRule type="duplicateValues" dxfId="23" priority="1"/>
    <cfRule type="duplicateValues" dxfId="22" priority="2"/>
    <cfRule type="duplicateValues" dxfId="21" priority="3"/>
    <cfRule type="duplicateValues" dxfId="20" priority="4"/>
    <cfRule type="duplicateValues" dxfId="19" priority="5"/>
    <cfRule type="duplicateValues" dxfId="18" priority="6"/>
  </conditionalFormatting>
  <conditionalFormatting sqref="J1:J1048576">
    <cfRule type="duplicateValues" dxfId="17" priority="12"/>
  </conditionalFormatting>
  <conditionalFormatting sqref="J2:J8">
    <cfRule type="duplicateValues" dxfId="16" priority="8"/>
  </conditionalFormatting>
  <conditionalFormatting sqref="J9:J1048576">
    <cfRule type="duplicateValues" dxfId="15" priority="9"/>
    <cfRule type="duplicateValues" dxfId="14" priority="10"/>
    <cfRule type="duplicateValues" dxfId="13" priority="11"/>
  </conditionalFormatting>
  <conditionalFormatting sqref="Q2:Q1048576 J2:J1048576">
    <cfRule type="duplicateValues" dxfId="12" priority="7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40F9-59A9-4F1B-B7DD-66867FF331C4}">
  <sheetPr>
    <tabColor rgb="FFFFFF00"/>
  </sheetPr>
  <dimension ref="A1:P387"/>
  <sheetViews>
    <sheetView tabSelected="1" topLeftCell="L86" workbookViewId="0">
      <selection activeCell="P2" sqref="P2:P387"/>
    </sheetView>
  </sheetViews>
  <sheetFormatPr defaultRowHeight="15" x14ac:dyDescent="0.25"/>
  <cols>
    <col min="1" max="1" width="24.7109375" bestFit="1" customWidth="1"/>
    <col min="2" max="2" width="11.42578125" bestFit="1" customWidth="1"/>
    <col min="3" max="3" width="10.42578125" bestFit="1" customWidth="1"/>
    <col min="12" max="12" width="85.7109375" bestFit="1" customWidth="1"/>
    <col min="13" max="13" width="17.5703125" style="28" bestFit="1" customWidth="1"/>
    <col min="14" max="14" width="7.85546875" style="28" bestFit="1" customWidth="1"/>
    <col min="15" max="15" width="16.5703125" style="28" bestFit="1" customWidth="1"/>
    <col min="16" max="16" width="15.140625" style="28" bestFit="1" customWidth="1"/>
  </cols>
  <sheetData>
    <row r="1" spans="1:16" s="8" customFormat="1" ht="33" customHeight="1" x14ac:dyDescent="0.25">
      <c r="A1" s="38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5</v>
      </c>
      <c r="G1" s="41" t="s">
        <v>6</v>
      </c>
      <c r="H1" s="41" t="s">
        <v>7</v>
      </c>
      <c r="I1" s="40" t="s">
        <v>8</v>
      </c>
      <c r="J1" s="41" t="s">
        <v>9</v>
      </c>
      <c r="K1" s="40" t="s">
        <v>10</v>
      </c>
      <c r="L1" s="38" t="s">
        <v>11</v>
      </c>
      <c r="M1" s="42" t="s">
        <v>12</v>
      </c>
      <c r="N1" s="43" t="s">
        <v>13</v>
      </c>
      <c r="O1" s="44" t="s">
        <v>14</v>
      </c>
      <c r="P1" s="40" t="s">
        <v>15</v>
      </c>
    </row>
    <row r="2" spans="1:16" x14ac:dyDescent="0.25">
      <c r="A2" s="45" t="s">
        <v>3343</v>
      </c>
      <c r="B2" s="46">
        <v>46104</v>
      </c>
      <c r="C2" s="46">
        <v>46113</v>
      </c>
      <c r="D2" s="47">
        <v>3273</v>
      </c>
      <c r="E2" s="47">
        <v>336</v>
      </c>
      <c r="F2" s="47">
        <v>4</v>
      </c>
      <c r="G2" s="45">
        <v>1</v>
      </c>
      <c r="H2" s="45">
        <v>81588</v>
      </c>
      <c r="I2" s="48" t="s">
        <v>17</v>
      </c>
      <c r="J2" s="45">
        <v>61092431</v>
      </c>
      <c r="K2" s="45" t="s">
        <v>3344</v>
      </c>
      <c r="L2" s="45" t="s">
        <v>3345</v>
      </c>
      <c r="M2" s="49">
        <v>99900</v>
      </c>
      <c r="N2" s="51">
        <v>0.3</v>
      </c>
      <c r="O2" s="52">
        <f>M2-((30*M2)/100)</f>
        <v>69930</v>
      </c>
      <c r="P2" s="48" t="s">
        <v>20</v>
      </c>
    </row>
    <row r="3" spans="1:16" x14ac:dyDescent="0.25">
      <c r="A3" s="45" t="str">
        <f>A2</f>
        <v>2025 OKT NOV B1 DISC  30%</v>
      </c>
      <c r="B3" s="46">
        <v>46104</v>
      </c>
      <c r="C3" s="46">
        <v>46113</v>
      </c>
      <c r="D3" s="47">
        <v>3273</v>
      </c>
      <c r="E3" s="47">
        <v>336</v>
      </c>
      <c r="F3" s="47">
        <v>4</v>
      </c>
      <c r="G3" s="45">
        <v>1</v>
      </c>
      <c r="H3" s="45">
        <v>81588</v>
      </c>
      <c r="I3" s="48" t="s">
        <v>17</v>
      </c>
      <c r="J3" s="45">
        <v>61092440</v>
      </c>
      <c r="K3" s="45" t="s">
        <v>3344</v>
      </c>
      <c r="L3" s="45" t="s">
        <v>3347</v>
      </c>
      <c r="M3" s="49">
        <v>99900</v>
      </c>
      <c r="N3" s="51">
        <f>N2</f>
        <v>0.3</v>
      </c>
      <c r="O3" s="52">
        <f t="shared" ref="O3:O66" si="0">M3-((30*M3)/100)</f>
        <v>69930</v>
      </c>
      <c r="P3" s="48" t="s">
        <v>20</v>
      </c>
    </row>
    <row r="4" spans="1:16" x14ac:dyDescent="0.25">
      <c r="A4" s="45" t="str">
        <f t="shared" ref="A4:A67" si="1">A3</f>
        <v>2025 OKT NOV B1 DISC  30%</v>
      </c>
      <c r="B4" s="46">
        <v>46104</v>
      </c>
      <c r="C4" s="46">
        <v>46113</v>
      </c>
      <c r="D4" s="47">
        <v>3273</v>
      </c>
      <c r="E4" s="47">
        <v>336</v>
      </c>
      <c r="F4" s="47">
        <v>4</v>
      </c>
      <c r="G4" s="45">
        <v>1</v>
      </c>
      <c r="H4" s="45">
        <v>81588</v>
      </c>
      <c r="I4" s="48" t="s">
        <v>17</v>
      </c>
      <c r="J4" s="45">
        <v>61092459</v>
      </c>
      <c r="K4" s="45" t="s">
        <v>3344</v>
      </c>
      <c r="L4" s="45" t="s">
        <v>3348</v>
      </c>
      <c r="M4" s="49">
        <v>99900</v>
      </c>
      <c r="N4" s="51">
        <f t="shared" ref="N4:N67" si="2">N3</f>
        <v>0.3</v>
      </c>
      <c r="O4" s="52">
        <f t="shared" si="0"/>
        <v>69930</v>
      </c>
      <c r="P4" s="48" t="s">
        <v>20</v>
      </c>
    </row>
    <row r="5" spans="1:16" x14ac:dyDescent="0.25">
      <c r="A5" s="45" t="str">
        <f t="shared" si="1"/>
        <v>2025 OKT NOV B1 DISC  30%</v>
      </c>
      <c r="B5" s="46">
        <v>46104</v>
      </c>
      <c r="C5" s="46">
        <v>46113</v>
      </c>
      <c r="D5" s="47">
        <v>3273</v>
      </c>
      <c r="E5" s="47">
        <v>336</v>
      </c>
      <c r="F5" s="47">
        <v>4</v>
      </c>
      <c r="G5" s="45">
        <v>1</v>
      </c>
      <c r="H5" s="45">
        <v>81588</v>
      </c>
      <c r="I5" s="48" t="s">
        <v>17</v>
      </c>
      <c r="J5" s="45">
        <v>61092468</v>
      </c>
      <c r="K5" s="45" t="s">
        <v>3344</v>
      </c>
      <c r="L5" s="45" t="s">
        <v>3349</v>
      </c>
      <c r="M5" s="49">
        <v>99900</v>
      </c>
      <c r="N5" s="51">
        <f t="shared" si="2"/>
        <v>0.3</v>
      </c>
      <c r="O5" s="52">
        <f t="shared" si="0"/>
        <v>69930</v>
      </c>
      <c r="P5" s="48" t="s">
        <v>20</v>
      </c>
    </row>
    <row r="6" spans="1:16" x14ac:dyDescent="0.25">
      <c r="A6" s="45" t="str">
        <f t="shared" si="1"/>
        <v>2025 OKT NOV B1 DISC  30%</v>
      </c>
      <c r="B6" s="46">
        <v>46104</v>
      </c>
      <c r="C6" s="46">
        <v>46113</v>
      </c>
      <c r="D6" s="47">
        <v>3273</v>
      </c>
      <c r="E6" s="47">
        <v>336</v>
      </c>
      <c r="F6" s="47">
        <v>4</v>
      </c>
      <c r="G6" s="45">
        <v>1</v>
      </c>
      <c r="H6" s="45">
        <v>81588</v>
      </c>
      <c r="I6" s="48" t="s">
        <v>17</v>
      </c>
      <c r="J6" s="45">
        <v>61092477</v>
      </c>
      <c r="K6" s="45" t="s">
        <v>3350</v>
      </c>
      <c r="L6" s="45" t="s">
        <v>3351</v>
      </c>
      <c r="M6" s="49">
        <v>99900</v>
      </c>
      <c r="N6" s="51">
        <f t="shared" si="2"/>
        <v>0.3</v>
      </c>
      <c r="O6" s="52">
        <f t="shared" si="0"/>
        <v>69930</v>
      </c>
      <c r="P6" s="48" t="s">
        <v>20</v>
      </c>
    </row>
    <row r="7" spans="1:16" x14ac:dyDescent="0.25">
      <c r="A7" s="45" t="str">
        <f t="shared" si="1"/>
        <v>2025 OKT NOV B1 DISC  30%</v>
      </c>
      <c r="B7" s="46">
        <v>46104</v>
      </c>
      <c r="C7" s="46">
        <v>46113</v>
      </c>
      <c r="D7" s="47">
        <v>3273</v>
      </c>
      <c r="E7" s="47">
        <v>336</v>
      </c>
      <c r="F7" s="47">
        <v>4</v>
      </c>
      <c r="G7" s="45">
        <v>1</v>
      </c>
      <c r="H7" s="45">
        <v>81588</v>
      </c>
      <c r="I7" s="48" t="s">
        <v>17</v>
      </c>
      <c r="J7" s="45">
        <v>61092486</v>
      </c>
      <c r="K7" s="45" t="s">
        <v>3350</v>
      </c>
      <c r="L7" s="45" t="s">
        <v>3352</v>
      </c>
      <c r="M7" s="49">
        <v>99900</v>
      </c>
      <c r="N7" s="51">
        <f t="shared" si="2"/>
        <v>0.3</v>
      </c>
      <c r="O7" s="52">
        <f t="shared" si="0"/>
        <v>69930</v>
      </c>
      <c r="P7" s="48" t="s">
        <v>20</v>
      </c>
    </row>
    <row r="8" spans="1:16" x14ac:dyDescent="0.25">
      <c r="A8" s="45" t="str">
        <f t="shared" si="1"/>
        <v>2025 OKT NOV B1 DISC  30%</v>
      </c>
      <c r="B8" s="46">
        <v>46104</v>
      </c>
      <c r="C8" s="46">
        <v>46113</v>
      </c>
      <c r="D8" s="47">
        <v>3273</v>
      </c>
      <c r="E8" s="47">
        <v>336</v>
      </c>
      <c r="F8" s="47">
        <v>4</v>
      </c>
      <c r="G8" s="45">
        <v>1</v>
      </c>
      <c r="H8" s="45">
        <v>81588</v>
      </c>
      <c r="I8" s="48" t="s">
        <v>17</v>
      </c>
      <c r="J8" s="45">
        <v>61092495</v>
      </c>
      <c r="K8" s="45" t="s">
        <v>3350</v>
      </c>
      <c r="L8" s="45" t="s">
        <v>3353</v>
      </c>
      <c r="M8" s="49">
        <v>99900</v>
      </c>
      <c r="N8" s="51">
        <f t="shared" si="2"/>
        <v>0.3</v>
      </c>
      <c r="O8" s="52">
        <f t="shared" si="0"/>
        <v>69930</v>
      </c>
      <c r="P8" s="48" t="s">
        <v>20</v>
      </c>
    </row>
    <row r="9" spans="1:16" x14ac:dyDescent="0.25">
      <c r="A9" s="45" t="str">
        <f t="shared" si="1"/>
        <v>2025 OKT NOV B1 DISC  30%</v>
      </c>
      <c r="B9" s="46">
        <v>46104</v>
      </c>
      <c r="C9" s="46">
        <v>46113</v>
      </c>
      <c r="D9" s="47">
        <v>3273</v>
      </c>
      <c r="E9" s="47">
        <v>336</v>
      </c>
      <c r="F9" s="47">
        <v>4</v>
      </c>
      <c r="G9" s="45">
        <v>1</v>
      </c>
      <c r="H9" s="45">
        <v>81588</v>
      </c>
      <c r="I9" s="48" t="s">
        <v>17</v>
      </c>
      <c r="J9" s="45">
        <v>61092502</v>
      </c>
      <c r="K9" s="45" t="s">
        <v>3350</v>
      </c>
      <c r="L9" s="45" t="s">
        <v>3354</v>
      </c>
      <c r="M9" s="49">
        <v>99900</v>
      </c>
      <c r="N9" s="51">
        <f t="shared" si="2"/>
        <v>0.3</v>
      </c>
      <c r="O9" s="52">
        <f t="shared" si="0"/>
        <v>69930</v>
      </c>
      <c r="P9" s="48" t="s">
        <v>20</v>
      </c>
    </row>
    <row r="10" spans="1:16" x14ac:dyDescent="0.25">
      <c r="A10" s="45" t="str">
        <f t="shared" si="1"/>
        <v>2025 OKT NOV B1 DISC  30%</v>
      </c>
      <c r="B10" s="46">
        <v>46104</v>
      </c>
      <c r="C10" s="46">
        <v>46113</v>
      </c>
      <c r="D10" s="47">
        <v>3273</v>
      </c>
      <c r="E10" s="47">
        <v>336</v>
      </c>
      <c r="F10" s="47">
        <v>4</v>
      </c>
      <c r="G10" s="45">
        <v>1</v>
      </c>
      <c r="H10" s="45">
        <v>81588</v>
      </c>
      <c r="I10" s="48" t="s">
        <v>17</v>
      </c>
      <c r="J10" s="45">
        <v>61092511</v>
      </c>
      <c r="K10" s="45" t="s">
        <v>3355</v>
      </c>
      <c r="L10" s="45" t="s">
        <v>3356</v>
      </c>
      <c r="M10" s="49">
        <v>99900</v>
      </c>
      <c r="N10" s="51">
        <f t="shared" si="2"/>
        <v>0.3</v>
      </c>
      <c r="O10" s="52">
        <f t="shared" si="0"/>
        <v>69930</v>
      </c>
      <c r="P10" s="48" t="s">
        <v>20</v>
      </c>
    </row>
    <row r="11" spans="1:16" x14ac:dyDescent="0.25">
      <c r="A11" s="45" t="str">
        <f t="shared" si="1"/>
        <v>2025 OKT NOV B1 DISC  30%</v>
      </c>
      <c r="B11" s="46">
        <v>46104</v>
      </c>
      <c r="C11" s="46">
        <v>46113</v>
      </c>
      <c r="D11" s="47">
        <v>3273</v>
      </c>
      <c r="E11" s="47">
        <v>336</v>
      </c>
      <c r="F11" s="47">
        <v>4</v>
      </c>
      <c r="G11" s="45">
        <v>1</v>
      </c>
      <c r="H11" s="45">
        <v>81588</v>
      </c>
      <c r="I11" s="48" t="s">
        <v>17</v>
      </c>
      <c r="J11" s="45">
        <v>61092520</v>
      </c>
      <c r="K11" s="45" t="s">
        <v>3355</v>
      </c>
      <c r="L11" s="45" t="s">
        <v>3357</v>
      </c>
      <c r="M11" s="49">
        <v>99900</v>
      </c>
      <c r="N11" s="51">
        <f t="shared" si="2"/>
        <v>0.3</v>
      </c>
      <c r="O11" s="52">
        <f t="shared" si="0"/>
        <v>69930</v>
      </c>
      <c r="P11" s="48" t="s">
        <v>20</v>
      </c>
    </row>
    <row r="12" spans="1:16" x14ac:dyDescent="0.25">
      <c r="A12" s="45" t="str">
        <f t="shared" si="1"/>
        <v>2025 OKT NOV B1 DISC  30%</v>
      </c>
      <c r="B12" s="46">
        <v>46104</v>
      </c>
      <c r="C12" s="46">
        <v>46113</v>
      </c>
      <c r="D12" s="47">
        <v>3273</v>
      </c>
      <c r="E12" s="47">
        <v>336</v>
      </c>
      <c r="F12" s="47">
        <v>4</v>
      </c>
      <c r="G12" s="45">
        <v>1</v>
      </c>
      <c r="H12" s="45">
        <v>81588</v>
      </c>
      <c r="I12" s="48" t="s">
        <v>17</v>
      </c>
      <c r="J12" s="45">
        <v>61092539</v>
      </c>
      <c r="K12" s="45" t="s">
        <v>3355</v>
      </c>
      <c r="L12" s="45" t="s">
        <v>3358</v>
      </c>
      <c r="M12" s="49">
        <v>99900</v>
      </c>
      <c r="N12" s="51">
        <f t="shared" si="2"/>
        <v>0.3</v>
      </c>
      <c r="O12" s="52">
        <f t="shared" si="0"/>
        <v>69930</v>
      </c>
      <c r="P12" s="48" t="s">
        <v>20</v>
      </c>
    </row>
    <row r="13" spans="1:16" x14ac:dyDescent="0.25">
      <c r="A13" s="45" t="str">
        <f t="shared" si="1"/>
        <v>2025 OKT NOV B1 DISC  30%</v>
      </c>
      <c r="B13" s="46">
        <v>46104</v>
      </c>
      <c r="C13" s="46">
        <v>46113</v>
      </c>
      <c r="D13" s="47">
        <v>3273</v>
      </c>
      <c r="E13" s="47">
        <v>336</v>
      </c>
      <c r="F13" s="47">
        <v>4</v>
      </c>
      <c r="G13" s="45">
        <v>1</v>
      </c>
      <c r="H13" s="45">
        <v>81588</v>
      </c>
      <c r="I13" s="48" t="s">
        <v>17</v>
      </c>
      <c r="J13" s="45">
        <v>61092548</v>
      </c>
      <c r="K13" s="45" t="s">
        <v>3355</v>
      </c>
      <c r="L13" s="45" t="s">
        <v>3359</v>
      </c>
      <c r="M13" s="49">
        <v>99900</v>
      </c>
      <c r="N13" s="51">
        <f t="shared" si="2"/>
        <v>0.3</v>
      </c>
      <c r="O13" s="52">
        <f t="shared" si="0"/>
        <v>69930</v>
      </c>
      <c r="P13" s="48" t="s">
        <v>20</v>
      </c>
    </row>
    <row r="14" spans="1:16" x14ac:dyDescent="0.25">
      <c r="A14" s="45" t="str">
        <f t="shared" si="1"/>
        <v>2025 OKT NOV B1 DISC  30%</v>
      </c>
      <c r="B14" s="46">
        <v>46104</v>
      </c>
      <c r="C14" s="46">
        <v>46113</v>
      </c>
      <c r="D14" s="47">
        <v>3273</v>
      </c>
      <c r="E14" s="47">
        <v>336</v>
      </c>
      <c r="F14" s="47">
        <v>4</v>
      </c>
      <c r="G14" s="45">
        <v>1</v>
      </c>
      <c r="H14" s="45">
        <v>81588</v>
      </c>
      <c r="I14" s="48" t="s">
        <v>17</v>
      </c>
      <c r="J14" s="45">
        <v>61092557</v>
      </c>
      <c r="K14" s="45" t="s">
        <v>3360</v>
      </c>
      <c r="L14" s="45" t="s">
        <v>3361</v>
      </c>
      <c r="M14" s="49">
        <v>99900</v>
      </c>
      <c r="N14" s="51">
        <f t="shared" si="2"/>
        <v>0.3</v>
      </c>
      <c r="O14" s="52">
        <f t="shared" si="0"/>
        <v>69930</v>
      </c>
      <c r="P14" s="48" t="s">
        <v>20</v>
      </c>
    </row>
    <row r="15" spans="1:16" x14ac:dyDescent="0.25">
      <c r="A15" s="45" t="str">
        <f t="shared" si="1"/>
        <v>2025 OKT NOV B1 DISC  30%</v>
      </c>
      <c r="B15" s="46">
        <v>46104</v>
      </c>
      <c r="C15" s="46">
        <v>46113</v>
      </c>
      <c r="D15" s="47">
        <v>3273</v>
      </c>
      <c r="E15" s="47">
        <v>336</v>
      </c>
      <c r="F15" s="47">
        <v>4</v>
      </c>
      <c r="G15" s="45">
        <v>1</v>
      </c>
      <c r="H15" s="45">
        <v>81588</v>
      </c>
      <c r="I15" s="48" t="s">
        <v>17</v>
      </c>
      <c r="J15" s="45">
        <v>61092566</v>
      </c>
      <c r="K15" s="45" t="s">
        <v>3360</v>
      </c>
      <c r="L15" s="45" t="s">
        <v>3362</v>
      </c>
      <c r="M15" s="49">
        <v>99900</v>
      </c>
      <c r="N15" s="51">
        <f t="shared" si="2"/>
        <v>0.3</v>
      </c>
      <c r="O15" s="52">
        <f t="shared" si="0"/>
        <v>69930</v>
      </c>
      <c r="P15" s="48" t="s">
        <v>20</v>
      </c>
    </row>
    <row r="16" spans="1:16" x14ac:dyDescent="0.25">
      <c r="A16" s="45" t="str">
        <f t="shared" si="1"/>
        <v>2025 OKT NOV B1 DISC  30%</v>
      </c>
      <c r="B16" s="46">
        <v>46104</v>
      </c>
      <c r="C16" s="46">
        <v>46113</v>
      </c>
      <c r="D16" s="47">
        <v>3273</v>
      </c>
      <c r="E16" s="47">
        <v>336</v>
      </c>
      <c r="F16" s="47">
        <v>4</v>
      </c>
      <c r="G16" s="45">
        <v>1</v>
      </c>
      <c r="H16" s="45">
        <v>81588</v>
      </c>
      <c r="I16" s="48" t="s">
        <v>17</v>
      </c>
      <c r="J16" s="45">
        <v>61092575</v>
      </c>
      <c r="K16" s="45" t="s">
        <v>3360</v>
      </c>
      <c r="L16" s="45" t="s">
        <v>3363</v>
      </c>
      <c r="M16" s="49">
        <v>99900</v>
      </c>
      <c r="N16" s="51">
        <f t="shared" si="2"/>
        <v>0.3</v>
      </c>
      <c r="O16" s="52">
        <f t="shared" si="0"/>
        <v>69930</v>
      </c>
      <c r="P16" s="48" t="s">
        <v>20</v>
      </c>
    </row>
    <row r="17" spans="1:16" x14ac:dyDescent="0.25">
      <c r="A17" s="45" t="str">
        <f t="shared" si="1"/>
        <v>2025 OKT NOV B1 DISC  30%</v>
      </c>
      <c r="B17" s="46">
        <v>46104</v>
      </c>
      <c r="C17" s="46">
        <v>46113</v>
      </c>
      <c r="D17" s="47">
        <v>3273</v>
      </c>
      <c r="E17" s="47">
        <v>336</v>
      </c>
      <c r="F17" s="47">
        <v>4</v>
      </c>
      <c r="G17" s="45">
        <v>1</v>
      </c>
      <c r="H17" s="45">
        <v>81588</v>
      </c>
      <c r="I17" s="48" t="s">
        <v>17</v>
      </c>
      <c r="J17" s="45">
        <v>61092584</v>
      </c>
      <c r="K17" s="45" t="s">
        <v>3360</v>
      </c>
      <c r="L17" s="45" t="s">
        <v>3364</v>
      </c>
      <c r="M17" s="49">
        <v>99900</v>
      </c>
      <c r="N17" s="51">
        <f t="shared" si="2"/>
        <v>0.3</v>
      </c>
      <c r="O17" s="52">
        <f t="shared" si="0"/>
        <v>69930</v>
      </c>
      <c r="P17" s="48" t="s">
        <v>20</v>
      </c>
    </row>
    <row r="18" spans="1:16" x14ac:dyDescent="0.25">
      <c r="A18" s="45" t="str">
        <f t="shared" si="1"/>
        <v>2025 OKT NOV B1 DISC  30%</v>
      </c>
      <c r="B18" s="46">
        <v>46104</v>
      </c>
      <c r="C18" s="46">
        <v>46113</v>
      </c>
      <c r="D18" s="47">
        <v>3273</v>
      </c>
      <c r="E18" s="47">
        <v>336</v>
      </c>
      <c r="F18" s="47">
        <v>4</v>
      </c>
      <c r="G18" s="45">
        <v>3</v>
      </c>
      <c r="H18" s="45">
        <v>81588</v>
      </c>
      <c r="I18" s="48" t="s">
        <v>17</v>
      </c>
      <c r="J18" s="45">
        <v>61092593</v>
      </c>
      <c r="K18" s="45" t="s">
        <v>3365</v>
      </c>
      <c r="L18" s="45" t="s">
        <v>3366</v>
      </c>
      <c r="M18" s="49">
        <v>179900</v>
      </c>
      <c r="N18" s="51">
        <f t="shared" si="2"/>
        <v>0.3</v>
      </c>
      <c r="O18" s="52">
        <f t="shared" si="0"/>
        <v>125930</v>
      </c>
      <c r="P18" s="48" t="s">
        <v>20</v>
      </c>
    </row>
    <row r="19" spans="1:16" x14ac:dyDescent="0.25">
      <c r="A19" s="45" t="str">
        <f t="shared" si="1"/>
        <v>2025 OKT NOV B1 DISC  30%</v>
      </c>
      <c r="B19" s="46">
        <v>46104</v>
      </c>
      <c r="C19" s="46">
        <v>46113</v>
      </c>
      <c r="D19" s="47">
        <v>3273</v>
      </c>
      <c r="E19" s="47">
        <v>336</v>
      </c>
      <c r="F19" s="47">
        <v>4</v>
      </c>
      <c r="G19" s="45">
        <v>3</v>
      </c>
      <c r="H19" s="45">
        <v>81588</v>
      </c>
      <c r="I19" s="48" t="s">
        <v>17</v>
      </c>
      <c r="J19" s="45">
        <v>61092600</v>
      </c>
      <c r="K19" s="45" t="s">
        <v>3365</v>
      </c>
      <c r="L19" s="45" t="s">
        <v>3367</v>
      </c>
      <c r="M19" s="49">
        <v>179900</v>
      </c>
      <c r="N19" s="51">
        <f t="shared" si="2"/>
        <v>0.3</v>
      </c>
      <c r="O19" s="52">
        <f t="shared" si="0"/>
        <v>125930</v>
      </c>
      <c r="P19" s="48" t="s">
        <v>20</v>
      </c>
    </row>
    <row r="20" spans="1:16" x14ac:dyDescent="0.25">
      <c r="A20" s="45" t="str">
        <f t="shared" si="1"/>
        <v>2025 OKT NOV B1 DISC  30%</v>
      </c>
      <c r="B20" s="46">
        <v>46104</v>
      </c>
      <c r="C20" s="46">
        <v>46113</v>
      </c>
      <c r="D20" s="47">
        <v>3273</v>
      </c>
      <c r="E20" s="47">
        <v>336</v>
      </c>
      <c r="F20" s="47">
        <v>4</v>
      </c>
      <c r="G20" s="45">
        <v>3</v>
      </c>
      <c r="H20" s="45">
        <v>81588</v>
      </c>
      <c r="I20" s="48" t="s">
        <v>17</v>
      </c>
      <c r="J20" s="45">
        <v>61092619</v>
      </c>
      <c r="K20" s="45" t="s">
        <v>3365</v>
      </c>
      <c r="L20" s="45" t="s">
        <v>3368</v>
      </c>
      <c r="M20" s="49">
        <v>179900</v>
      </c>
      <c r="N20" s="51">
        <f t="shared" si="2"/>
        <v>0.3</v>
      </c>
      <c r="O20" s="52">
        <f t="shared" si="0"/>
        <v>125930</v>
      </c>
      <c r="P20" s="48" t="s">
        <v>20</v>
      </c>
    </row>
    <row r="21" spans="1:16" x14ac:dyDescent="0.25">
      <c r="A21" s="45" t="str">
        <f t="shared" si="1"/>
        <v>2025 OKT NOV B1 DISC  30%</v>
      </c>
      <c r="B21" s="46">
        <v>46104</v>
      </c>
      <c r="C21" s="46">
        <v>46113</v>
      </c>
      <c r="D21" s="47">
        <v>3273</v>
      </c>
      <c r="E21" s="47">
        <v>336</v>
      </c>
      <c r="F21" s="47">
        <v>4</v>
      </c>
      <c r="G21" s="45">
        <v>3</v>
      </c>
      <c r="H21" s="45">
        <v>81588</v>
      </c>
      <c r="I21" s="48" t="s">
        <v>17</v>
      </c>
      <c r="J21" s="45">
        <v>61092628</v>
      </c>
      <c r="K21" s="45" t="s">
        <v>3365</v>
      </c>
      <c r="L21" s="45" t="s">
        <v>3369</v>
      </c>
      <c r="M21" s="49">
        <v>179900</v>
      </c>
      <c r="N21" s="51">
        <f t="shared" si="2"/>
        <v>0.3</v>
      </c>
      <c r="O21" s="52">
        <f t="shared" si="0"/>
        <v>125930</v>
      </c>
      <c r="P21" s="48" t="s">
        <v>20</v>
      </c>
    </row>
    <row r="22" spans="1:16" x14ac:dyDescent="0.25">
      <c r="A22" s="45" t="str">
        <f t="shared" si="1"/>
        <v>2025 OKT NOV B1 DISC  30%</v>
      </c>
      <c r="B22" s="46">
        <v>46104</v>
      </c>
      <c r="C22" s="46">
        <v>46113</v>
      </c>
      <c r="D22" s="47">
        <v>3273</v>
      </c>
      <c r="E22" s="47">
        <v>336</v>
      </c>
      <c r="F22" s="47">
        <v>4</v>
      </c>
      <c r="G22" s="45">
        <v>4</v>
      </c>
      <c r="H22" s="45">
        <v>81588</v>
      </c>
      <c r="I22" s="48" t="s">
        <v>17</v>
      </c>
      <c r="J22" s="45">
        <v>61092637</v>
      </c>
      <c r="K22" s="45" t="s">
        <v>3370</v>
      </c>
      <c r="L22" s="45" t="s">
        <v>3371</v>
      </c>
      <c r="M22" s="49">
        <v>129900</v>
      </c>
      <c r="N22" s="51">
        <f t="shared" si="2"/>
        <v>0.3</v>
      </c>
      <c r="O22" s="52">
        <f t="shared" si="0"/>
        <v>90930</v>
      </c>
      <c r="P22" s="48" t="s">
        <v>20</v>
      </c>
    </row>
    <row r="23" spans="1:16" x14ac:dyDescent="0.25">
      <c r="A23" s="45" t="str">
        <f t="shared" si="1"/>
        <v>2025 OKT NOV B1 DISC  30%</v>
      </c>
      <c r="B23" s="46">
        <v>46104</v>
      </c>
      <c r="C23" s="46">
        <v>46113</v>
      </c>
      <c r="D23" s="47">
        <v>3273</v>
      </c>
      <c r="E23" s="47">
        <v>336</v>
      </c>
      <c r="F23" s="47">
        <v>4</v>
      </c>
      <c r="G23" s="45">
        <v>4</v>
      </c>
      <c r="H23" s="45">
        <v>81588</v>
      </c>
      <c r="I23" s="48" t="s">
        <v>17</v>
      </c>
      <c r="J23" s="45">
        <v>61092646</v>
      </c>
      <c r="K23" s="45" t="s">
        <v>3370</v>
      </c>
      <c r="L23" s="45" t="s">
        <v>3372</v>
      </c>
      <c r="M23" s="49">
        <v>129900</v>
      </c>
      <c r="N23" s="51">
        <f t="shared" si="2"/>
        <v>0.3</v>
      </c>
      <c r="O23" s="52">
        <f t="shared" si="0"/>
        <v>90930</v>
      </c>
      <c r="P23" s="48" t="s">
        <v>20</v>
      </c>
    </row>
    <row r="24" spans="1:16" x14ac:dyDescent="0.25">
      <c r="A24" s="45" t="str">
        <f t="shared" si="1"/>
        <v>2025 OKT NOV B1 DISC  30%</v>
      </c>
      <c r="B24" s="46">
        <v>46104</v>
      </c>
      <c r="C24" s="46">
        <v>46113</v>
      </c>
      <c r="D24" s="47">
        <v>3273</v>
      </c>
      <c r="E24" s="47">
        <v>336</v>
      </c>
      <c r="F24" s="47">
        <v>4</v>
      </c>
      <c r="G24" s="45">
        <v>4</v>
      </c>
      <c r="H24" s="45">
        <v>81588</v>
      </c>
      <c r="I24" s="48" t="s">
        <v>17</v>
      </c>
      <c r="J24" s="45">
        <v>61092655</v>
      </c>
      <c r="K24" s="45" t="s">
        <v>3370</v>
      </c>
      <c r="L24" s="45" t="s">
        <v>3373</v>
      </c>
      <c r="M24" s="49">
        <v>129900</v>
      </c>
      <c r="N24" s="51">
        <f t="shared" si="2"/>
        <v>0.3</v>
      </c>
      <c r="O24" s="52">
        <f t="shared" si="0"/>
        <v>90930</v>
      </c>
      <c r="P24" s="48" t="s">
        <v>20</v>
      </c>
    </row>
    <row r="25" spans="1:16" x14ac:dyDescent="0.25">
      <c r="A25" s="45" t="str">
        <f t="shared" si="1"/>
        <v>2025 OKT NOV B1 DISC  30%</v>
      </c>
      <c r="B25" s="46">
        <v>46104</v>
      </c>
      <c r="C25" s="46">
        <v>46113</v>
      </c>
      <c r="D25" s="47">
        <v>3273</v>
      </c>
      <c r="E25" s="47">
        <v>336</v>
      </c>
      <c r="F25" s="47">
        <v>4</v>
      </c>
      <c r="G25" s="45">
        <v>4</v>
      </c>
      <c r="H25" s="45">
        <v>81588</v>
      </c>
      <c r="I25" s="48" t="s">
        <v>17</v>
      </c>
      <c r="J25" s="45">
        <v>61092664</v>
      </c>
      <c r="K25" s="45" t="s">
        <v>3370</v>
      </c>
      <c r="L25" s="45" t="s">
        <v>3374</v>
      </c>
      <c r="M25" s="49">
        <v>129900</v>
      </c>
      <c r="N25" s="51">
        <f t="shared" si="2"/>
        <v>0.3</v>
      </c>
      <c r="O25" s="52">
        <f t="shared" si="0"/>
        <v>90930</v>
      </c>
      <c r="P25" s="48" t="s">
        <v>20</v>
      </c>
    </row>
    <row r="26" spans="1:16" x14ac:dyDescent="0.25">
      <c r="A26" s="45" t="str">
        <f t="shared" si="1"/>
        <v>2025 OKT NOV B1 DISC  30%</v>
      </c>
      <c r="B26" s="46">
        <v>46104</v>
      </c>
      <c r="C26" s="46">
        <v>46113</v>
      </c>
      <c r="D26" s="47">
        <v>3273</v>
      </c>
      <c r="E26" s="47">
        <v>336</v>
      </c>
      <c r="F26" s="47">
        <v>4</v>
      </c>
      <c r="G26" s="45">
        <v>4</v>
      </c>
      <c r="H26" s="45">
        <v>81588</v>
      </c>
      <c r="I26" s="48" t="s">
        <v>17</v>
      </c>
      <c r="J26" s="45">
        <v>61092673</v>
      </c>
      <c r="K26" s="45" t="s">
        <v>3375</v>
      </c>
      <c r="L26" s="45" t="s">
        <v>3376</v>
      </c>
      <c r="M26" s="49">
        <v>129900</v>
      </c>
      <c r="N26" s="51">
        <f t="shared" si="2"/>
        <v>0.3</v>
      </c>
      <c r="O26" s="52">
        <f t="shared" si="0"/>
        <v>90930</v>
      </c>
      <c r="P26" s="48" t="s">
        <v>20</v>
      </c>
    </row>
    <row r="27" spans="1:16" x14ac:dyDescent="0.25">
      <c r="A27" s="45" t="str">
        <f t="shared" si="1"/>
        <v>2025 OKT NOV B1 DISC  30%</v>
      </c>
      <c r="B27" s="46">
        <v>46104</v>
      </c>
      <c r="C27" s="46">
        <v>46113</v>
      </c>
      <c r="D27" s="47">
        <v>3273</v>
      </c>
      <c r="E27" s="47">
        <v>336</v>
      </c>
      <c r="F27" s="47">
        <v>4</v>
      </c>
      <c r="G27" s="45">
        <v>4</v>
      </c>
      <c r="H27" s="45">
        <v>81588</v>
      </c>
      <c r="I27" s="48" t="s">
        <v>17</v>
      </c>
      <c r="J27" s="45">
        <v>61092682</v>
      </c>
      <c r="K27" s="45" t="s">
        <v>3375</v>
      </c>
      <c r="L27" s="45" t="s">
        <v>3377</v>
      </c>
      <c r="M27" s="49">
        <v>129900</v>
      </c>
      <c r="N27" s="51">
        <f t="shared" si="2"/>
        <v>0.3</v>
      </c>
      <c r="O27" s="52">
        <f t="shared" si="0"/>
        <v>90930</v>
      </c>
      <c r="P27" s="48" t="s">
        <v>20</v>
      </c>
    </row>
    <row r="28" spans="1:16" x14ac:dyDescent="0.25">
      <c r="A28" s="45" t="str">
        <f t="shared" si="1"/>
        <v>2025 OKT NOV B1 DISC  30%</v>
      </c>
      <c r="B28" s="46">
        <v>46104</v>
      </c>
      <c r="C28" s="46">
        <v>46113</v>
      </c>
      <c r="D28" s="47">
        <v>3273</v>
      </c>
      <c r="E28" s="47">
        <v>336</v>
      </c>
      <c r="F28" s="47">
        <v>4</v>
      </c>
      <c r="G28" s="45">
        <v>4</v>
      </c>
      <c r="H28" s="45">
        <v>81588</v>
      </c>
      <c r="I28" s="48" t="s">
        <v>17</v>
      </c>
      <c r="J28" s="45">
        <v>61092691</v>
      </c>
      <c r="K28" s="45" t="s">
        <v>3375</v>
      </c>
      <c r="L28" s="45" t="s">
        <v>3378</v>
      </c>
      <c r="M28" s="49">
        <v>129900</v>
      </c>
      <c r="N28" s="51">
        <f t="shared" si="2"/>
        <v>0.3</v>
      </c>
      <c r="O28" s="52">
        <f t="shared" si="0"/>
        <v>90930</v>
      </c>
      <c r="P28" s="48" t="s">
        <v>20</v>
      </c>
    </row>
    <row r="29" spans="1:16" x14ac:dyDescent="0.25">
      <c r="A29" s="45" t="str">
        <f t="shared" si="1"/>
        <v>2025 OKT NOV B1 DISC  30%</v>
      </c>
      <c r="B29" s="46">
        <v>46104</v>
      </c>
      <c r="C29" s="46">
        <v>46113</v>
      </c>
      <c r="D29" s="47">
        <v>3273</v>
      </c>
      <c r="E29" s="47">
        <v>336</v>
      </c>
      <c r="F29" s="47">
        <v>4</v>
      </c>
      <c r="G29" s="45">
        <v>4</v>
      </c>
      <c r="H29" s="45">
        <v>81588</v>
      </c>
      <c r="I29" s="48" t="s">
        <v>17</v>
      </c>
      <c r="J29" s="45">
        <v>61092708</v>
      </c>
      <c r="K29" s="45" t="s">
        <v>3375</v>
      </c>
      <c r="L29" s="45" t="s">
        <v>3379</v>
      </c>
      <c r="M29" s="49">
        <v>129900</v>
      </c>
      <c r="N29" s="51">
        <f t="shared" si="2"/>
        <v>0.3</v>
      </c>
      <c r="O29" s="52">
        <f t="shared" si="0"/>
        <v>90930</v>
      </c>
      <c r="P29" s="48" t="s">
        <v>20</v>
      </c>
    </row>
    <row r="30" spans="1:16" x14ac:dyDescent="0.25">
      <c r="A30" s="45" t="str">
        <f t="shared" si="1"/>
        <v>2025 OKT NOV B1 DISC  30%</v>
      </c>
      <c r="B30" s="46">
        <v>46104</v>
      </c>
      <c r="C30" s="46">
        <v>46113</v>
      </c>
      <c r="D30" s="47">
        <v>3273</v>
      </c>
      <c r="E30" s="47">
        <v>336</v>
      </c>
      <c r="F30" s="47">
        <v>4</v>
      </c>
      <c r="G30" s="45">
        <v>1</v>
      </c>
      <c r="H30" s="45">
        <v>81588</v>
      </c>
      <c r="I30" s="48" t="s">
        <v>17</v>
      </c>
      <c r="J30" s="45">
        <v>61092753</v>
      </c>
      <c r="K30" s="45" t="s">
        <v>3380</v>
      </c>
      <c r="L30" s="45" t="s">
        <v>3381</v>
      </c>
      <c r="M30" s="49">
        <v>99900</v>
      </c>
      <c r="N30" s="51">
        <f t="shared" si="2"/>
        <v>0.3</v>
      </c>
      <c r="O30" s="52">
        <f t="shared" si="0"/>
        <v>69930</v>
      </c>
      <c r="P30" s="48" t="s">
        <v>20</v>
      </c>
    </row>
    <row r="31" spans="1:16" x14ac:dyDescent="0.25">
      <c r="A31" s="45" t="str">
        <f t="shared" si="1"/>
        <v>2025 OKT NOV B1 DISC  30%</v>
      </c>
      <c r="B31" s="46">
        <v>46104</v>
      </c>
      <c r="C31" s="46">
        <v>46113</v>
      </c>
      <c r="D31" s="47">
        <v>3273</v>
      </c>
      <c r="E31" s="47">
        <v>336</v>
      </c>
      <c r="F31" s="47">
        <v>4</v>
      </c>
      <c r="G31" s="45">
        <v>1</v>
      </c>
      <c r="H31" s="45">
        <v>81588</v>
      </c>
      <c r="I31" s="48" t="s">
        <v>17</v>
      </c>
      <c r="J31" s="45">
        <v>61092762</v>
      </c>
      <c r="K31" s="45" t="s">
        <v>3380</v>
      </c>
      <c r="L31" s="45" t="s">
        <v>3382</v>
      </c>
      <c r="M31" s="49">
        <v>99900</v>
      </c>
      <c r="N31" s="51">
        <f t="shared" si="2"/>
        <v>0.3</v>
      </c>
      <c r="O31" s="52">
        <f t="shared" si="0"/>
        <v>69930</v>
      </c>
      <c r="P31" s="48" t="s">
        <v>20</v>
      </c>
    </row>
    <row r="32" spans="1:16" x14ac:dyDescent="0.25">
      <c r="A32" s="45" t="str">
        <f t="shared" si="1"/>
        <v>2025 OKT NOV B1 DISC  30%</v>
      </c>
      <c r="B32" s="46">
        <v>46104</v>
      </c>
      <c r="C32" s="46">
        <v>46113</v>
      </c>
      <c r="D32" s="47">
        <v>3273</v>
      </c>
      <c r="E32" s="47">
        <v>336</v>
      </c>
      <c r="F32" s="47">
        <v>4</v>
      </c>
      <c r="G32" s="45">
        <v>1</v>
      </c>
      <c r="H32" s="45">
        <v>81588</v>
      </c>
      <c r="I32" s="48" t="s">
        <v>17</v>
      </c>
      <c r="J32" s="45">
        <v>61092771</v>
      </c>
      <c r="K32" s="45" t="s">
        <v>3380</v>
      </c>
      <c r="L32" s="45" t="s">
        <v>3383</v>
      </c>
      <c r="M32" s="49">
        <v>99900</v>
      </c>
      <c r="N32" s="51">
        <f t="shared" si="2"/>
        <v>0.3</v>
      </c>
      <c r="O32" s="52">
        <f t="shared" si="0"/>
        <v>69930</v>
      </c>
      <c r="P32" s="48" t="s">
        <v>20</v>
      </c>
    </row>
    <row r="33" spans="1:16" x14ac:dyDescent="0.25">
      <c r="A33" s="45" t="str">
        <f t="shared" si="1"/>
        <v>2025 OKT NOV B1 DISC  30%</v>
      </c>
      <c r="B33" s="46">
        <v>46104</v>
      </c>
      <c r="C33" s="46">
        <v>46113</v>
      </c>
      <c r="D33" s="47">
        <v>3273</v>
      </c>
      <c r="E33" s="47">
        <v>336</v>
      </c>
      <c r="F33" s="47">
        <v>4</v>
      </c>
      <c r="G33" s="45">
        <v>1</v>
      </c>
      <c r="H33" s="45">
        <v>81588</v>
      </c>
      <c r="I33" s="48" t="s">
        <v>17</v>
      </c>
      <c r="J33" s="45">
        <v>61092780</v>
      </c>
      <c r="K33" s="45" t="s">
        <v>3380</v>
      </c>
      <c r="L33" s="45" t="s">
        <v>3384</v>
      </c>
      <c r="M33" s="49">
        <v>99900</v>
      </c>
      <c r="N33" s="51">
        <f t="shared" si="2"/>
        <v>0.3</v>
      </c>
      <c r="O33" s="52">
        <f t="shared" si="0"/>
        <v>69930</v>
      </c>
      <c r="P33" s="48" t="s">
        <v>20</v>
      </c>
    </row>
    <row r="34" spans="1:16" x14ac:dyDescent="0.25">
      <c r="A34" s="45" t="str">
        <f t="shared" si="1"/>
        <v>2025 OKT NOV B1 DISC  30%</v>
      </c>
      <c r="B34" s="46">
        <v>46104</v>
      </c>
      <c r="C34" s="46">
        <v>46113</v>
      </c>
      <c r="D34" s="47">
        <v>3273</v>
      </c>
      <c r="E34" s="47">
        <v>336</v>
      </c>
      <c r="F34" s="47">
        <v>4</v>
      </c>
      <c r="G34" s="45">
        <v>3</v>
      </c>
      <c r="H34" s="45">
        <v>81588</v>
      </c>
      <c r="I34" s="48" t="s">
        <v>17</v>
      </c>
      <c r="J34" s="45">
        <v>61092799</v>
      </c>
      <c r="K34" s="45" t="s">
        <v>3385</v>
      </c>
      <c r="L34" s="45" t="s">
        <v>3386</v>
      </c>
      <c r="M34" s="49">
        <v>199900</v>
      </c>
      <c r="N34" s="51">
        <f t="shared" si="2"/>
        <v>0.3</v>
      </c>
      <c r="O34" s="52">
        <f t="shared" si="0"/>
        <v>139930</v>
      </c>
      <c r="P34" s="48" t="s">
        <v>20</v>
      </c>
    </row>
    <row r="35" spans="1:16" x14ac:dyDescent="0.25">
      <c r="A35" s="45" t="str">
        <f t="shared" si="1"/>
        <v>2025 OKT NOV B1 DISC  30%</v>
      </c>
      <c r="B35" s="46">
        <v>46104</v>
      </c>
      <c r="C35" s="46">
        <v>46113</v>
      </c>
      <c r="D35" s="47">
        <v>3273</v>
      </c>
      <c r="E35" s="47">
        <v>336</v>
      </c>
      <c r="F35" s="47">
        <v>4</v>
      </c>
      <c r="G35" s="45">
        <v>3</v>
      </c>
      <c r="H35" s="45">
        <v>81588</v>
      </c>
      <c r="I35" s="48" t="s">
        <v>17</v>
      </c>
      <c r="J35" s="45">
        <v>61092806</v>
      </c>
      <c r="K35" s="45" t="s">
        <v>3385</v>
      </c>
      <c r="L35" s="45" t="s">
        <v>3387</v>
      </c>
      <c r="M35" s="49">
        <v>199900</v>
      </c>
      <c r="N35" s="51">
        <f t="shared" si="2"/>
        <v>0.3</v>
      </c>
      <c r="O35" s="52">
        <f t="shared" si="0"/>
        <v>139930</v>
      </c>
      <c r="P35" s="48" t="s">
        <v>20</v>
      </c>
    </row>
    <row r="36" spans="1:16" x14ac:dyDescent="0.25">
      <c r="A36" s="45" t="str">
        <f t="shared" si="1"/>
        <v>2025 OKT NOV B1 DISC  30%</v>
      </c>
      <c r="B36" s="46">
        <v>46104</v>
      </c>
      <c r="C36" s="46">
        <v>46113</v>
      </c>
      <c r="D36" s="47">
        <v>3273</v>
      </c>
      <c r="E36" s="47">
        <v>336</v>
      </c>
      <c r="F36" s="47">
        <v>4</v>
      </c>
      <c r="G36" s="45">
        <v>3</v>
      </c>
      <c r="H36" s="45">
        <v>81588</v>
      </c>
      <c r="I36" s="48" t="s">
        <v>17</v>
      </c>
      <c r="J36" s="45">
        <v>61092815</v>
      </c>
      <c r="K36" s="45" t="s">
        <v>3385</v>
      </c>
      <c r="L36" s="45" t="s">
        <v>3388</v>
      </c>
      <c r="M36" s="49">
        <v>199900</v>
      </c>
      <c r="N36" s="51">
        <f t="shared" si="2"/>
        <v>0.3</v>
      </c>
      <c r="O36" s="52">
        <f t="shared" si="0"/>
        <v>139930</v>
      </c>
      <c r="P36" s="48" t="s">
        <v>20</v>
      </c>
    </row>
    <row r="37" spans="1:16" x14ac:dyDescent="0.25">
      <c r="A37" s="45" t="str">
        <f t="shared" si="1"/>
        <v>2025 OKT NOV B1 DISC  30%</v>
      </c>
      <c r="B37" s="46">
        <v>46104</v>
      </c>
      <c r="C37" s="46">
        <v>46113</v>
      </c>
      <c r="D37" s="47">
        <v>3273</v>
      </c>
      <c r="E37" s="47">
        <v>336</v>
      </c>
      <c r="F37" s="47">
        <v>4</v>
      </c>
      <c r="G37" s="45">
        <v>3</v>
      </c>
      <c r="H37" s="45">
        <v>81588</v>
      </c>
      <c r="I37" s="48" t="s">
        <v>17</v>
      </c>
      <c r="J37" s="45">
        <v>61092824</v>
      </c>
      <c r="K37" s="45" t="s">
        <v>3385</v>
      </c>
      <c r="L37" s="45" t="s">
        <v>3389</v>
      </c>
      <c r="M37" s="49">
        <v>199900</v>
      </c>
      <c r="N37" s="51">
        <f t="shared" si="2"/>
        <v>0.3</v>
      </c>
      <c r="O37" s="52">
        <f t="shared" si="0"/>
        <v>139930</v>
      </c>
      <c r="P37" s="48" t="s">
        <v>20</v>
      </c>
    </row>
    <row r="38" spans="1:16" x14ac:dyDescent="0.25">
      <c r="A38" s="45" t="str">
        <f t="shared" si="1"/>
        <v>2025 OKT NOV B1 DISC  30%</v>
      </c>
      <c r="B38" s="46">
        <v>46104</v>
      </c>
      <c r="C38" s="46">
        <v>46113</v>
      </c>
      <c r="D38" s="47">
        <v>3273</v>
      </c>
      <c r="E38" s="47">
        <v>336</v>
      </c>
      <c r="F38" s="47">
        <v>4</v>
      </c>
      <c r="G38" s="45">
        <v>4</v>
      </c>
      <c r="H38" s="45">
        <v>81574</v>
      </c>
      <c r="I38" s="48" t="s">
        <v>17</v>
      </c>
      <c r="J38" s="45">
        <v>61092833</v>
      </c>
      <c r="K38" s="45" t="s">
        <v>3390</v>
      </c>
      <c r="L38" s="45" t="s">
        <v>3391</v>
      </c>
      <c r="M38" s="49">
        <v>179900</v>
      </c>
      <c r="N38" s="51">
        <f t="shared" si="2"/>
        <v>0.3</v>
      </c>
      <c r="O38" s="52">
        <f t="shared" si="0"/>
        <v>125930</v>
      </c>
      <c r="P38" s="48" t="s">
        <v>20</v>
      </c>
    </row>
    <row r="39" spans="1:16" x14ac:dyDescent="0.25">
      <c r="A39" s="45" t="str">
        <f t="shared" si="1"/>
        <v>2025 OKT NOV B1 DISC  30%</v>
      </c>
      <c r="B39" s="46">
        <v>46104</v>
      </c>
      <c r="C39" s="46">
        <v>46113</v>
      </c>
      <c r="D39" s="47">
        <v>3273</v>
      </c>
      <c r="E39" s="47">
        <v>336</v>
      </c>
      <c r="F39" s="47">
        <v>4</v>
      </c>
      <c r="G39" s="45">
        <v>4</v>
      </c>
      <c r="H39" s="45">
        <v>81574</v>
      </c>
      <c r="I39" s="48" t="s">
        <v>17</v>
      </c>
      <c r="J39" s="45">
        <v>61092842</v>
      </c>
      <c r="K39" s="45" t="s">
        <v>3390</v>
      </c>
      <c r="L39" s="45" t="s">
        <v>3392</v>
      </c>
      <c r="M39" s="49">
        <v>179900</v>
      </c>
      <c r="N39" s="51">
        <f t="shared" si="2"/>
        <v>0.3</v>
      </c>
      <c r="O39" s="52">
        <f t="shared" si="0"/>
        <v>125930</v>
      </c>
      <c r="P39" s="48" t="s">
        <v>20</v>
      </c>
    </row>
    <row r="40" spans="1:16" x14ac:dyDescent="0.25">
      <c r="A40" s="45" t="str">
        <f t="shared" si="1"/>
        <v>2025 OKT NOV B1 DISC  30%</v>
      </c>
      <c r="B40" s="46">
        <v>46104</v>
      </c>
      <c r="C40" s="46">
        <v>46113</v>
      </c>
      <c r="D40" s="47">
        <v>3273</v>
      </c>
      <c r="E40" s="47">
        <v>336</v>
      </c>
      <c r="F40" s="47">
        <v>4</v>
      </c>
      <c r="G40" s="45">
        <v>4</v>
      </c>
      <c r="H40" s="45">
        <v>81574</v>
      </c>
      <c r="I40" s="48" t="s">
        <v>17</v>
      </c>
      <c r="J40" s="45">
        <v>61092851</v>
      </c>
      <c r="K40" s="45" t="s">
        <v>3390</v>
      </c>
      <c r="L40" s="45" t="s">
        <v>3393</v>
      </c>
      <c r="M40" s="49">
        <v>179900</v>
      </c>
      <c r="N40" s="51">
        <f t="shared" si="2"/>
        <v>0.3</v>
      </c>
      <c r="O40" s="52">
        <f t="shared" si="0"/>
        <v>125930</v>
      </c>
      <c r="P40" s="48" t="s">
        <v>20</v>
      </c>
    </row>
    <row r="41" spans="1:16" x14ac:dyDescent="0.25">
      <c r="A41" s="45" t="str">
        <f t="shared" si="1"/>
        <v>2025 OKT NOV B1 DISC  30%</v>
      </c>
      <c r="B41" s="46">
        <v>46104</v>
      </c>
      <c r="C41" s="46">
        <v>46113</v>
      </c>
      <c r="D41" s="47">
        <v>3273</v>
      </c>
      <c r="E41" s="47">
        <v>336</v>
      </c>
      <c r="F41" s="47">
        <v>4</v>
      </c>
      <c r="G41" s="45">
        <v>4</v>
      </c>
      <c r="H41" s="45">
        <v>81574</v>
      </c>
      <c r="I41" s="48" t="s">
        <v>17</v>
      </c>
      <c r="J41" s="45">
        <v>61092860</v>
      </c>
      <c r="K41" s="45" t="s">
        <v>3390</v>
      </c>
      <c r="L41" s="45" t="s">
        <v>3394</v>
      </c>
      <c r="M41" s="49">
        <v>179900</v>
      </c>
      <c r="N41" s="51">
        <f t="shared" si="2"/>
        <v>0.3</v>
      </c>
      <c r="O41" s="52">
        <f t="shared" si="0"/>
        <v>125930</v>
      </c>
      <c r="P41" s="48" t="s">
        <v>20</v>
      </c>
    </row>
    <row r="42" spans="1:16" x14ac:dyDescent="0.25">
      <c r="A42" s="45" t="str">
        <f t="shared" si="1"/>
        <v>2025 OKT NOV B1 DISC  30%</v>
      </c>
      <c r="B42" s="46">
        <v>46104</v>
      </c>
      <c r="C42" s="46">
        <v>46113</v>
      </c>
      <c r="D42" s="47">
        <v>3273</v>
      </c>
      <c r="E42" s="47">
        <v>336</v>
      </c>
      <c r="F42" s="47">
        <v>4</v>
      </c>
      <c r="G42" s="45">
        <v>1</v>
      </c>
      <c r="H42" s="45">
        <v>81588</v>
      </c>
      <c r="I42" s="48" t="s">
        <v>17</v>
      </c>
      <c r="J42" s="45">
        <v>61092879</v>
      </c>
      <c r="K42" s="45" t="s">
        <v>3395</v>
      </c>
      <c r="L42" s="45" t="s">
        <v>3396</v>
      </c>
      <c r="M42" s="49">
        <v>99900</v>
      </c>
      <c r="N42" s="51">
        <f t="shared" si="2"/>
        <v>0.3</v>
      </c>
      <c r="O42" s="52">
        <f t="shared" si="0"/>
        <v>69930</v>
      </c>
      <c r="P42" s="48" t="s">
        <v>20</v>
      </c>
    </row>
    <row r="43" spans="1:16" x14ac:dyDescent="0.25">
      <c r="A43" s="45" t="str">
        <f t="shared" si="1"/>
        <v>2025 OKT NOV B1 DISC  30%</v>
      </c>
      <c r="B43" s="46">
        <v>46104</v>
      </c>
      <c r="C43" s="46">
        <v>46113</v>
      </c>
      <c r="D43" s="47">
        <v>3273</v>
      </c>
      <c r="E43" s="47">
        <v>336</v>
      </c>
      <c r="F43" s="47">
        <v>4</v>
      </c>
      <c r="G43" s="45">
        <v>1</v>
      </c>
      <c r="H43" s="45">
        <v>81588</v>
      </c>
      <c r="I43" s="48" t="s">
        <v>17</v>
      </c>
      <c r="J43" s="45">
        <v>61092888</v>
      </c>
      <c r="K43" s="45" t="s">
        <v>3395</v>
      </c>
      <c r="L43" s="45" t="s">
        <v>3397</v>
      </c>
      <c r="M43" s="49">
        <v>99900</v>
      </c>
      <c r="N43" s="51">
        <f t="shared" si="2"/>
        <v>0.3</v>
      </c>
      <c r="O43" s="52">
        <f t="shared" si="0"/>
        <v>69930</v>
      </c>
      <c r="P43" s="48" t="s">
        <v>20</v>
      </c>
    </row>
    <row r="44" spans="1:16" x14ac:dyDescent="0.25">
      <c r="A44" s="45" t="str">
        <f t="shared" si="1"/>
        <v>2025 OKT NOV B1 DISC  30%</v>
      </c>
      <c r="B44" s="46">
        <v>46104</v>
      </c>
      <c r="C44" s="46">
        <v>46113</v>
      </c>
      <c r="D44" s="47">
        <v>3273</v>
      </c>
      <c r="E44" s="47">
        <v>336</v>
      </c>
      <c r="F44" s="47">
        <v>4</v>
      </c>
      <c r="G44" s="45">
        <v>1</v>
      </c>
      <c r="H44" s="45">
        <v>81588</v>
      </c>
      <c r="I44" s="48" t="s">
        <v>17</v>
      </c>
      <c r="J44" s="45">
        <v>61092897</v>
      </c>
      <c r="K44" s="45" t="s">
        <v>3395</v>
      </c>
      <c r="L44" s="45" t="s">
        <v>3398</v>
      </c>
      <c r="M44" s="49">
        <v>99900</v>
      </c>
      <c r="N44" s="51">
        <f t="shared" si="2"/>
        <v>0.3</v>
      </c>
      <c r="O44" s="52">
        <f t="shared" si="0"/>
        <v>69930</v>
      </c>
      <c r="P44" s="48" t="s">
        <v>20</v>
      </c>
    </row>
    <row r="45" spans="1:16" x14ac:dyDescent="0.25">
      <c r="A45" s="45" t="str">
        <f t="shared" si="1"/>
        <v>2025 OKT NOV B1 DISC  30%</v>
      </c>
      <c r="B45" s="46">
        <v>46104</v>
      </c>
      <c r="C45" s="46">
        <v>46113</v>
      </c>
      <c r="D45" s="47">
        <v>3273</v>
      </c>
      <c r="E45" s="47">
        <v>336</v>
      </c>
      <c r="F45" s="47">
        <v>4</v>
      </c>
      <c r="G45" s="45">
        <v>1</v>
      </c>
      <c r="H45" s="45">
        <v>81588</v>
      </c>
      <c r="I45" s="48" t="s">
        <v>17</v>
      </c>
      <c r="J45" s="45">
        <v>61092904</v>
      </c>
      <c r="K45" s="45" t="s">
        <v>3395</v>
      </c>
      <c r="L45" s="45" t="s">
        <v>3399</v>
      </c>
      <c r="M45" s="49">
        <v>99900</v>
      </c>
      <c r="N45" s="51">
        <f t="shared" si="2"/>
        <v>0.3</v>
      </c>
      <c r="O45" s="52">
        <f t="shared" si="0"/>
        <v>69930</v>
      </c>
      <c r="P45" s="48" t="s">
        <v>20</v>
      </c>
    </row>
    <row r="46" spans="1:16" x14ac:dyDescent="0.25">
      <c r="A46" s="45" t="str">
        <f t="shared" si="1"/>
        <v>2025 OKT NOV B1 DISC  30%</v>
      </c>
      <c r="B46" s="46">
        <v>46104</v>
      </c>
      <c r="C46" s="46">
        <v>46113</v>
      </c>
      <c r="D46" s="47">
        <v>3273</v>
      </c>
      <c r="E46" s="47">
        <v>336</v>
      </c>
      <c r="F46" s="47">
        <v>4</v>
      </c>
      <c r="G46" s="45">
        <v>1</v>
      </c>
      <c r="H46" s="45">
        <v>81588</v>
      </c>
      <c r="I46" s="48" t="s">
        <v>17</v>
      </c>
      <c r="J46" s="45">
        <v>61092913</v>
      </c>
      <c r="K46" s="45" t="s">
        <v>3400</v>
      </c>
      <c r="L46" s="45" t="s">
        <v>3401</v>
      </c>
      <c r="M46" s="49">
        <v>99900</v>
      </c>
      <c r="N46" s="51">
        <f t="shared" si="2"/>
        <v>0.3</v>
      </c>
      <c r="O46" s="52">
        <f t="shared" si="0"/>
        <v>69930</v>
      </c>
      <c r="P46" s="48" t="s">
        <v>20</v>
      </c>
    </row>
    <row r="47" spans="1:16" x14ac:dyDescent="0.25">
      <c r="A47" s="45" t="str">
        <f t="shared" si="1"/>
        <v>2025 OKT NOV B1 DISC  30%</v>
      </c>
      <c r="B47" s="46">
        <v>46104</v>
      </c>
      <c r="C47" s="46">
        <v>46113</v>
      </c>
      <c r="D47" s="47">
        <v>3273</v>
      </c>
      <c r="E47" s="47">
        <v>336</v>
      </c>
      <c r="F47" s="47">
        <v>4</v>
      </c>
      <c r="G47" s="45">
        <v>1</v>
      </c>
      <c r="H47" s="45">
        <v>81588</v>
      </c>
      <c r="I47" s="48" t="s">
        <v>17</v>
      </c>
      <c r="J47" s="45">
        <v>61092922</v>
      </c>
      <c r="K47" s="45" t="s">
        <v>3400</v>
      </c>
      <c r="L47" s="45" t="s">
        <v>3402</v>
      </c>
      <c r="M47" s="49">
        <v>99900</v>
      </c>
      <c r="N47" s="51">
        <f t="shared" si="2"/>
        <v>0.3</v>
      </c>
      <c r="O47" s="52">
        <f t="shared" si="0"/>
        <v>69930</v>
      </c>
      <c r="P47" s="48" t="s">
        <v>20</v>
      </c>
    </row>
    <row r="48" spans="1:16" x14ac:dyDescent="0.25">
      <c r="A48" s="45" t="str">
        <f t="shared" si="1"/>
        <v>2025 OKT NOV B1 DISC  30%</v>
      </c>
      <c r="B48" s="46">
        <v>46104</v>
      </c>
      <c r="C48" s="46">
        <v>46113</v>
      </c>
      <c r="D48" s="47">
        <v>3273</v>
      </c>
      <c r="E48" s="47">
        <v>336</v>
      </c>
      <c r="F48" s="47">
        <v>4</v>
      </c>
      <c r="G48" s="45">
        <v>1</v>
      </c>
      <c r="H48" s="45">
        <v>81588</v>
      </c>
      <c r="I48" s="48" t="s">
        <v>17</v>
      </c>
      <c r="J48" s="45">
        <v>61092931</v>
      </c>
      <c r="K48" s="45" t="s">
        <v>3400</v>
      </c>
      <c r="L48" s="45" t="s">
        <v>3403</v>
      </c>
      <c r="M48" s="49">
        <v>99900</v>
      </c>
      <c r="N48" s="51">
        <f t="shared" si="2"/>
        <v>0.3</v>
      </c>
      <c r="O48" s="52">
        <f t="shared" si="0"/>
        <v>69930</v>
      </c>
      <c r="P48" s="48" t="s">
        <v>20</v>
      </c>
    </row>
    <row r="49" spans="1:16" x14ac:dyDescent="0.25">
      <c r="A49" s="45" t="str">
        <f t="shared" si="1"/>
        <v>2025 OKT NOV B1 DISC  30%</v>
      </c>
      <c r="B49" s="46">
        <v>46104</v>
      </c>
      <c r="C49" s="46">
        <v>46113</v>
      </c>
      <c r="D49" s="47">
        <v>3273</v>
      </c>
      <c r="E49" s="47">
        <v>336</v>
      </c>
      <c r="F49" s="47">
        <v>4</v>
      </c>
      <c r="G49" s="45">
        <v>1</v>
      </c>
      <c r="H49" s="45">
        <v>81588</v>
      </c>
      <c r="I49" s="48" t="s">
        <v>17</v>
      </c>
      <c r="J49" s="45">
        <v>61092940</v>
      </c>
      <c r="K49" s="45" t="s">
        <v>3400</v>
      </c>
      <c r="L49" s="45" t="s">
        <v>3404</v>
      </c>
      <c r="M49" s="49">
        <v>99900</v>
      </c>
      <c r="N49" s="51">
        <f t="shared" si="2"/>
        <v>0.3</v>
      </c>
      <c r="O49" s="52">
        <f t="shared" si="0"/>
        <v>69930</v>
      </c>
      <c r="P49" s="48" t="s">
        <v>20</v>
      </c>
    </row>
    <row r="50" spans="1:16" x14ac:dyDescent="0.25">
      <c r="A50" s="45" t="str">
        <f t="shared" si="1"/>
        <v>2025 OKT NOV B1 DISC  30%</v>
      </c>
      <c r="B50" s="46">
        <v>46104</v>
      </c>
      <c r="C50" s="46">
        <v>46113</v>
      </c>
      <c r="D50" s="47">
        <v>3273</v>
      </c>
      <c r="E50" s="47">
        <v>336</v>
      </c>
      <c r="F50" s="47">
        <v>4</v>
      </c>
      <c r="G50" s="45">
        <v>1</v>
      </c>
      <c r="H50" s="45">
        <v>81588</v>
      </c>
      <c r="I50" s="48" t="s">
        <v>17</v>
      </c>
      <c r="J50" s="45">
        <v>61092959</v>
      </c>
      <c r="K50" s="45" t="s">
        <v>3405</v>
      </c>
      <c r="L50" s="45" t="s">
        <v>3406</v>
      </c>
      <c r="M50" s="49">
        <v>99900</v>
      </c>
      <c r="N50" s="51">
        <f t="shared" si="2"/>
        <v>0.3</v>
      </c>
      <c r="O50" s="52">
        <f t="shared" si="0"/>
        <v>69930</v>
      </c>
      <c r="P50" s="48" t="s">
        <v>20</v>
      </c>
    </row>
    <row r="51" spans="1:16" x14ac:dyDescent="0.25">
      <c r="A51" s="45" t="str">
        <f t="shared" si="1"/>
        <v>2025 OKT NOV B1 DISC  30%</v>
      </c>
      <c r="B51" s="46">
        <v>46104</v>
      </c>
      <c r="C51" s="46">
        <v>46113</v>
      </c>
      <c r="D51" s="47">
        <v>3273</v>
      </c>
      <c r="E51" s="47">
        <v>336</v>
      </c>
      <c r="F51" s="47">
        <v>4</v>
      </c>
      <c r="G51" s="45">
        <v>1</v>
      </c>
      <c r="H51" s="45">
        <v>81588</v>
      </c>
      <c r="I51" s="48" t="s">
        <v>17</v>
      </c>
      <c r="J51" s="45">
        <v>61092968</v>
      </c>
      <c r="K51" s="45" t="s">
        <v>3405</v>
      </c>
      <c r="L51" s="45" t="s">
        <v>3407</v>
      </c>
      <c r="M51" s="49">
        <v>99900</v>
      </c>
      <c r="N51" s="51">
        <f t="shared" si="2"/>
        <v>0.3</v>
      </c>
      <c r="O51" s="52">
        <f t="shared" si="0"/>
        <v>69930</v>
      </c>
      <c r="P51" s="48" t="s">
        <v>20</v>
      </c>
    </row>
    <row r="52" spans="1:16" x14ac:dyDescent="0.25">
      <c r="A52" s="45" t="str">
        <f t="shared" si="1"/>
        <v>2025 OKT NOV B1 DISC  30%</v>
      </c>
      <c r="B52" s="46">
        <v>46104</v>
      </c>
      <c r="C52" s="46">
        <v>46113</v>
      </c>
      <c r="D52" s="47">
        <v>3273</v>
      </c>
      <c r="E52" s="47">
        <v>336</v>
      </c>
      <c r="F52" s="47">
        <v>4</v>
      </c>
      <c r="G52" s="45">
        <v>1</v>
      </c>
      <c r="H52" s="45">
        <v>81588</v>
      </c>
      <c r="I52" s="48" t="s">
        <v>17</v>
      </c>
      <c r="J52" s="45">
        <v>61092977</v>
      </c>
      <c r="K52" s="45" t="s">
        <v>3405</v>
      </c>
      <c r="L52" s="45" t="s">
        <v>3408</v>
      </c>
      <c r="M52" s="49">
        <v>99900</v>
      </c>
      <c r="N52" s="51">
        <f t="shared" si="2"/>
        <v>0.3</v>
      </c>
      <c r="O52" s="52">
        <f t="shared" si="0"/>
        <v>69930</v>
      </c>
      <c r="P52" s="48" t="s">
        <v>20</v>
      </c>
    </row>
    <row r="53" spans="1:16" x14ac:dyDescent="0.25">
      <c r="A53" s="45" t="str">
        <f t="shared" si="1"/>
        <v>2025 OKT NOV B1 DISC  30%</v>
      </c>
      <c r="B53" s="46">
        <v>46104</v>
      </c>
      <c r="C53" s="46">
        <v>46113</v>
      </c>
      <c r="D53" s="47">
        <v>3273</v>
      </c>
      <c r="E53" s="47">
        <v>336</v>
      </c>
      <c r="F53" s="47">
        <v>4</v>
      </c>
      <c r="G53" s="45">
        <v>1</v>
      </c>
      <c r="H53" s="45">
        <v>81588</v>
      </c>
      <c r="I53" s="48" t="s">
        <v>17</v>
      </c>
      <c r="J53" s="45">
        <v>61092986</v>
      </c>
      <c r="K53" s="45" t="s">
        <v>3405</v>
      </c>
      <c r="L53" s="45" t="s">
        <v>3409</v>
      </c>
      <c r="M53" s="49">
        <v>99900</v>
      </c>
      <c r="N53" s="51">
        <f t="shared" si="2"/>
        <v>0.3</v>
      </c>
      <c r="O53" s="52">
        <f t="shared" si="0"/>
        <v>69930</v>
      </c>
      <c r="P53" s="48" t="s">
        <v>20</v>
      </c>
    </row>
    <row r="54" spans="1:16" x14ac:dyDescent="0.25">
      <c r="A54" s="45" t="str">
        <f t="shared" si="1"/>
        <v>2025 OKT NOV B1 DISC  30%</v>
      </c>
      <c r="B54" s="46">
        <v>46104</v>
      </c>
      <c r="C54" s="46">
        <v>46113</v>
      </c>
      <c r="D54" s="47">
        <v>3273</v>
      </c>
      <c r="E54" s="47">
        <v>336</v>
      </c>
      <c r="F54" s="47">
        <v>4</v>
      </c>
      <c r="G54" s="45">
        <v>4</v>
      </c>
      <c r="H54" s="45">
        <v>81588</v>
      </c>
      <c r="I54" s="48" t="s">
        <v>17</v>
      </c>
      <c r="J54" s="45">
        <v>61092995</v>
      </c>
      <c r="K54" s="45" t="s">
        <v>3410</v>
      </c>
      <c r="L54" s="45" t="s">
        <v>3411</v>
      </c>
      <c r="M54" s="49">
        <v>129900</v>
      </c>
      <c r="N54" s="51">
        <f t="shared" si="2"/>
        <v>0.3</v>
      </c>
      <c r="O54" s="52">
        <f t="shared" si="0"/>
        <v>90930</v>
      </c>
      <c r="P54" s="48" t="s">
        <v>20</v>
      </c>
    </row>
    <row r="55" spans="1:16" x14ac:dyDescent="0.25">
      <c r="A55" s="45" t="str">
        <f t="shared" si="1"/>
        <v>2025 OKT NOV B1 DISC  30%</v>
      </c>
      <c r="B55" s="46">
        <v>46104</v>
      </c>
      <c r="C55" s="46">
        <v>46113</v>
      </c>
      <c r="D55" s="47">
        <v>3273</v>
      </c>
      <c r="E55" s="47">
        <v>336</v>
      </c>
      <c r="F55" s="47">
        <v>4</v>
      </c>
      <c r="G55" s="45">
        <v>4</v>
      </c>
      <c r="H55" s="45">
        <v>81588</v>
      </c>
      <c r="I55" s="48" t="s">
        <v>17</v>
      </c>
      <c r="J55" s="45">
        <v>61093001</v>
      </c>
      <c r="K55" s="45" t="s">
        <v>3410</v>
      </c>
      <c r="L55" s="45" t="s">
        <v>3412</v>
      </c>
      <c r="M55" s="49">
        <v>129900</v>
      </c>
      <c r="N55" s="51">
        <f t="shared" si="2"/>
        <v>0.3</v>
      </c>
      <c r="O55" s="52">
        <f t="shared" si="0"/>
        <v>90930</v>
      </c>
      <c r="P55" s="48" t="s">
        <v>20</v>
      </c>
    </row>
    <row r="56" spans="1:16" x14ac:dyDescent="0.25">
      <c r="A56" s="45" t="str">
        <f t="shared" si="1"/>
        <v>2025 OKT NOV B1 DISC  30%</v>
      </c>
      <c r="B56" s="46">
        <v>46104</v>
      </c>
      <c r="C56" s="46">
        <v>46113</v>
      </c>
      <c r="D56" s="47">
        <v>3273</v>
      </c>
      <c r="E56" s="47">
        <v>336</v>
      </c>
      <c r="F56" s="47">
        <v>4</v>
      </c>
      <c r="G56" s="45">
        <v>4</v>
      </c>
      <c r="H56" s="45">
        <v>81588</v>
      </c>
      <c r="I56" s="48" t="s">
        <v>17</v>
      </c>
      <c r="J56" s="45">
        <v>61093010</v>
      </c>
      <c r="K56" s="45" t="s">
        <v>3410</v>
      </c>
      <c r="L56" s="45" t="s">
        <v>3413</v>
      </c>
      <c r="M56" s="49">
        <v>129900</v>
      </c>
      <c r="N56" s="51">
        <f t="shared" si="2"/>
        <v>0.3</v>
      </c>
      <c r="O56" s="52">
        <f t="shared" si="0"/>
        <v>90930</v>
      </c>
      <c r="P56" s="48" t="s">
        <v>20</v>
      </c>
    </row>
    <row r="57" spans="1:16" x14ac:dyDescent="0.25">
      <c r="A57" s="45" t="str">
        <f t="shared" si="1"/>
        <v>2025 OKT NOV B1 DISC  30%</v>
      </c>
      <c r="B57" s="46">
        <v>46104</v>
      </c>
      <c r="C57" s="46">
        <v>46113</v>
      </c>
      <c r="D57" s="47">
        <v>3273</v>
      </c>
      <c r="E57" s="47">
        <v>336</v>
      </c>
      <c r="F57" s="47">
        <v>4</v>
      </c>
      <c r="G57" s="45">
        <v>4</v>
      </c>
      <c r="H57" s="45">
        <v>81588</v>
      </c>
      <c r="I57" s="48" t="s">
        <v>17</v>
      </c>
      <c r="J57" s="45">
        <v>61093029</v>
      </c>
      <c r="K57" s="45" t="s">
        <v>3410</v>
      </c>
      <c r="L57" s="45" t="s">
        <v>3414</v>
      </c>
      <c r="M57" s="49">
        <v>129900</v>
      </c>
      <c r="N57" s="51">
        <f t="shared" si="2"/>
        <v>0.3</v>
      </c>
      <c r="O57" s="52">
        <f t="shared" si="0"/>
        <v>90930</v>
      </c>
      <c r="P57" s="48" t="s">
        <v>20</v>
      </c>
    </row>
    <row r="58" spans="1:16" x14ac:dyDescent="0.25">
      <c r="A58" s="45" t="str">
        <f t="shared" si="1"/>
        <v>2025 OKT NOV B1 DISC  30%</v>
      </c>
      <c r="B58" s="46">
        <v>46104</v>
      </c>
      <c r="C58" s="46">
        <v>46113</v>
      </c>
      <c r="D58" s="47">
        <v>3273</v>
      </c>
      <c r="E58" s="47">
        <v>336</v>
      </c>
      <c r="F58" s="47">
        <v>4</v>
      </c>
      <c r="G58" s="45">
        <v>9</v>
      </c>
      <c r="H58" s="45">
        <v>81588</v>
      </c>
      <c r="I58" s="48" t="s">
        <v>17</v>
      </c>
      <c r="J58" s="45">
        <v>61093387</v>
      </c>
      <c r="K58" s="45" t="s">
        <v>3415</v>
      </c>
      <c r="L58" s="45" t="s">
        <v>3416</v>
      </c>
      <c r="M58" s="49">
        <v>149900</v>
      </c>
      <c r="N58" s="51">
        <f t="shared" si="2"/>
        <v>0.3</v>
      </c>
      <c r="O58" s="52">
        <f t="shared" si="0"/>
        <v>104930</v>
      </c>
      <c r="P58" s="48" t="s">
        <v>20</v>
      </c>
    </row>
    <row r="59" spans="1:16" x14ac:dyDescent="0.25">
      <c r="A59" s="45" t="str">
        <f t="shared" si="1"/>
        <v>2025 OKT NOV B1 DISC  30%</v>
      </c>
      <c r="B59" s="46">
        <v>46104</v>
      </c>
      <c r="C59" s="46">
        <v>46113</v>
      </c>
      <c r="D59" s="47">
        <v>3273</v>
      </c>
      <c r="E59" s="47">
        <v>336</v>
      </c>
      <c r="F59" s="47">
        <v>4</v>
      </c>
      <c r="G59" s="45">
        <v>9</v>
      </c>
      <c r="H59" s="45">
        <v>81588</v>
      </c>
      <c r="I59" s="48" t="s">
        <v>17</v>
      </c>
      <c r="J59" s="45">
        <v>61093396</v>
      </c>
      <c r="K59" s="45" t="s">
        <v>3415</v>
      </c>
      <c r="L59" s="45" t="s">
        <v>3417</v>
      </c>
      <c r="M59" s="49">
        <v>149900</v>
      </c>
      <c r="N59" s="51">
        <f t="shared" si="2"/>
        <v>0.3</v>
      </c>
      <c r="O59" s="52">
        <f t="shared" si="0"/>
        <v>104930</v>
      </c>
      <c r="P59" s="48" t="s">
        <v>20</v>
      </c>
    </row>
    <row r="60" spans="1:16" x14ac:dyDescent="0.25">
      <c r="A60" s="45" t="str">
        <f t="shared" si="1"/>
        <v>2025 OKT NOV B1 DISC  30%</v>
      </c>
      <c r="B60" s="46">
        <v>46104</v>
      </c>
      <c r="C60" s="46">
        <v>46113</v>
      </c>
      <c r="D60" s="47">
        <v>3273</v>
      </c>
      <c r="E60" s="47">
        <v>336</v>
      </c>
      <c r="F60" s="47">
        <v>4</v>
      </c>
      <c r="G60" s="45">
        <v>9</v>
      </c>
      <c r="H60" s="45">
        <v>81588</v>
      </c>
      <c r="I60" s="48" t="s">
        <v>17</v>
      </c>
      <c r="J60" s="45">
        <v>61093403</v>
      </c>
      <c r="K60" s="45" t="s">
        <v>3415</v>
      </c>
      <c r="L60" s="45" t="s">
        <v>3418</v>
      </c>
      <c r="M60" s="49">
        <v>149900</v>
      </c>
      <c r="N60" s="51">
        <f t="shared" si="2"/>
        <v>0.3</v>
      </c>
      <c r="O60" s="52">
        <f t="shared" si="0"/>
        <v>104930</v>
      </c>
      <c r="P60" s="48" t="s">
        <v>20</v>
      </c>
    </row>
    <row r="61" spans="1:16" x14ac:dyDescent="0.25">
      <c r="A61" s="45" t="str">
        <f t="shared" si="1"/>
        <v>2025 OKT NOV B1 DISC  30%</v>
      </c>
      <c r="B61" s="46">
        <v>46104</v>
      </c>
      <c r="C61" s="46">
        <v>46113</v>
      </c>
      <c r="D61" s="47">
        <v>3273</v>
      </c>
      <c r="E61" s="47">
        <v>336</v>
      </c>
      <c r="F61" s="47">
        <v>4</v>
      </c>
      <c r="G61" s="45">
        <v>9</v>
      </c>
      <c r="H61" s="45">
        <v>81588</v>
      </c>
      <c r="I61" s="48" t="s">
        <v>17</v>
      </c>
      <c r="J61" s="45">
        <v>61093412</v>
      </c>
      <c r="K61" s="45" t="s">
        <v>3415</v>
      </c>
      <c r="L61" s="45" t="s">
        <v>3419</v>
      </c>
      <c r="M61" s="49">
        <v>149900</v>
      </c>
      <c r="N61" s="51">
        <f t="shared" si="2"/>
        <v>0.3</v>
      </c>
      <c r="O61" s="52">
        <f t="shared" si="0"/>
        <v>104930</v>
      </c>
      <c r="P61" s="48" t="s">
        <v>20</v>
      </c>
    </row>
    <row r="62" spans="1:16" x14ac:dyDescent="0.25">
      <c r="A62" s="45" t="str">
        <f t="shared" si="1"/>
        <v>2025 OKT NOV B1 DISC  30%</v>
      </c>
      <c r="B62" s="46">
        <v>46104</v>
      </c>
      <c r="C62" s="46">
        <v>46113</v>
      </c>
      <c r="D62" s="47">
        <v>3273</v>
      </c>
      <c r="E62" s="47">
        <v>336</v>
      </c>
      <c r="F62" s="47">
        <v>4</v>
      </c>
      <c r="G62" s="45">
        <v>9</v>
      </c>
      <c r="H62" s="45">
        <v>81588</v>
      </c>
      <c r="I62" s="48" t="s">
        <v>17</v>
      </c>
      <c r="J62" s="45">
        <v>61093421</v>
      </c>
      <c r="K62" s="45" t="s">
        <v>3415</v>
      </c>
      <c r="L62" s="45" t="s">
        <v>3420</v>
      </c>
      <c r="M62" s="49">
        <v>149900</v>
      </c>
      <c r="N62" s="51">
        <f t="shared" si="2"/>
        <v>0.3</v>
      </c>
      <c r="O62" s="52">
        <f t="shared" si="0"/>
        <v>104930</v>
      </c>
      <c r="P62" s="48" t="s">
        <v>20</v>
      </c>
    </row>
    <row r="63" spans="1:16" x14ac:dyDescent="0.25">
      <c r="A63" s="45" t="str">
        <f t="shared" si="1"/>
        <v>2025 OKT NOV B1 DISC  30%</v>
      </c>
      <c r="B63" s="46">
        <v>46104</v>
      </c>
      <c r="C63" s="46">
        <v>46113</v>
      </c>
      <c r="D63" s="47">
        <v>3273</v>
      </c>
      <c r="E63" s="47">
        <v>336</v>
      </c>
      <c r="F63" s="47">
        <v>4</v>
      </c>
      <c r="G63" s="45">
        <v>9</v>
      </c>
      <c r="H63" s="45">
        <v>81588</v>
      </c>
      <c r="I63" s="48" t="s">
        <v>17</v>
      </c>
      <c r="J63" s="45">
        <v>61093430</v>
      </c>
      <c r="K63" s="45" t="s">
        <v>3415</v>
      </c>
      <c r="L63" s="45" t="s">
        <v>3421</v>
      </c>
      <c r="M63" s="49">
        <v>149900</v>
      </c>
      <c r="N63" s="51">
        <f t="shared" si="2"/>
        <v>0.3</v>
      </c>
      <c r="O63" s="52">
        <f t="shared" si="0"/>
        <v>104930</v>
      </c>
      <c r="P63" s="48" t="s">
        <v>20</v>
      </c>
    </row>
    <row r="64" spans="1:16" x14ac:dyDescent="0.25">
      <c r="A64" s="45" t="str">
        <f t="shared" si="1"/>
        <v>2025 OKT NOV B1 DISC  30%</v>
      </c>
      <c r="B64" s="46">
        <v>46104</v>
      </c>
      <c r="C64" s="46">
        <v>46113</v>
      </c>
      <c r="D64" s="47">
        <v>3273</v>
      </c>
      <c r="E64" s="47">
        <v>336</v>
      </c>
      <c r="F64" s="47">
        <v>4</v>
      </c>
      <c r="G64" s="45">
        <v>9</v>
      </c>
      <c r="H64" s="45">
        <v>81588</v>
      </c>
      <c r="I64" s="48" t="s">
        <v>17</v>
      </c>
      <c r="J64" s="45">
        <v>61093449</v>
      </c>
      <c r="K64" s="45" t="s">
        <v>3415</v>
      </c>
      <c r="L64" s="45" t="s">
        <v>3422</v>
      </c>
      <c r="M64" s="49">
        <v>149900</v>
      </c>
      <c r="N64" s="51">
        <f t="shared" si="2"/>
        <v>0.3</v>
      </c>
      <c r="O64" s="52">
        <f t="shared" si="0"/>
        <v>104930</v>
      </c>
      <c r="P64" s="48" t="s">
        <v>20</v>
      </c>
    </row>
    <row r="65" spans="1:16" x14ac:dyDescent="0.25">
      <c r="A65" s="45" t="str">
        <f t="shared" si="1"/>
        <v>2025 OKT NOV B1 DISC  30%</v>
      </c>
      <c r="B65" s="46">
        <v>46104</v>
      </c>
      <c r="C65" s="46">
        <v>46113</v>
      </c>
      <c r="D65" s="47">
        <v>3273</v>
      </c>
      <c r="E65" s="47">
        <v>336</v>
      </c>
      <c r="F65" s="47">
        <v>4</v>
      </c>
      <c r="G65" s="45">
        <v>8</v>
      </c>
      <c r="H65" s="45">
        <v>81574</v>
      </c>
      <c r="I65" s="48" t="s">
        <v>17</v>
      </c>
      <c r="J65" s="45">
        <v>61093458</v>
      </c>
      <c r="K65" s="45" t="s">
        <v>3423</v>
      </c>
      <c r="L65" s="45" t="s">
        <v>3424</v>
      </c>
      <c r="M65" s="49">
        <v>229900</v>
      </c>
      <c r="N65" s="51">
        <f t="shared" si="2"/>
        <v>0.3</v>
      </c>
      <c r="O65" s="52">
        <f t="shared" si="0"/>
        <v>160930</v>
      </c>
      <c r="P65" s="48" t="s">
        <v>20</v>
      </c>
    </row>
    <row r="66" spans="1:16" x14ac:dyDescent="0.25">
      <c r="A66" s="45" t="str">
        <f t="shared" si="1"/>
        <v>2025 OKT NOV B1 DISC  30%</v>
      </c>
      <c r="B66" s="46">
        <v>46104</v>
      </c>
      <c r="C66" s="46">
        <v>46113</v>
      </c>
      <c r="D66" s="47">
        <v>3273</v>
      </c>
      <c r="E66" s="47">
        <v>336</v>
      </c>
      <c r="F66" s="47">
        <v>4</v>
      </c>
      <c r="G66" s="45">
        <v>8</v>
      </c>
      <c r="H66" s="45">
        <v>81574</v>
      </c>
      <c r="I66" s="48" t="s">
        <v>17</v>
      </c>
      <c r="J66" s="45">
        <v>61093467</v>
      </c>
      <c r="K66" s="45" t="s">
        <v>3423</v>
      </c>
      <c r="L66" s="45" t="s">
        <v>3425</v>
      </c>
      <c r="M66" s="49">
        <v>229900</v>
      </c>
      <c r="N66" s="51">
        <f t="shared" si="2"/>
        <v>0.3</v>
      </c>
      <c r="O66" s="52">
        <f t="shared" si="0"/>
        <v>160930</v>
      </c>
      <c r="P66" s="48" t="s">
        <v>20</v>
      </c>
    </row>
    <row r="67" spans="1:16" x14ac:dyDescent="0.25">
      <c r="A67" s="45" t="str">
        <f t="shared" si="1"/>
        <v>2025 OKT NOV B1 DISC  30%</v>
      </c>
      <c r="B67" s="46">
        <v>46104</v>
      </c>
      <c r="C67" s="46">
        <v>46113</v>
      </c>
      <c r="D67" s="47">
        <v>3273</v>
      </c>
      <c r="E67" s="47">
        <v>336</v>
      </c>
      <c r="F67" s="47">
        <v>4</v>
      </c>
      <c r="G67" s="45">
        <v>8</v>
      </c>
      <c r="H67" s="45">
        <v>81574</v>
      </c>
      <c r="I67" s="48" t="s">
        <v>17</v>
      </c>
      <c r="J67" s="45">
        <v>61093476</v>
      </c>
      <c r="K67" s="45" t="s">
        <v>3423</v>
      </c>
      <c r="L67" s="45" t="s">
        <v>3426</v>
      </c>
      <c r="M67" s="49">
        <v>229900</v>
      </c>
      <c r="N67" s="51">
        <f t="shared" si="2"/>
        <v>0.3</v>
      </c>
      <c r="O67" s="52">
        <f t="shared" ref="O67:O130" si="3">M67-((30*M67)/100)</f>
        <v>160930</v>
      </c>
      <c r="P67" s="48" t="s">
        <v>20</v>
      </c>
    </row>
    <row r="68" spans="1:16" x14ac:dyDescent="0.25">
      <c r="A68" s="45" t="str">
        <f t="shared" ref="A68:A131" si="4">A67</f>
        <v>2025 OKT NOV B1 DISC  30%</v>
      </c>
      <c r="B68" s="46">
        <v>46104</v>
      </c>
      <c r="C68" s="46">
        <v>46113</v>
      </c>
      <c r="D68" s="47">
        <v>3273</v>
      </c>
      <c r="E68" s="47">
        <v>336</v>
      </c>
      <c r="F68" s="47">
        <v>4</v>
      </c>
      <c r="G68" s="45">
        <v>8</v>
      </c>
      <c r="H68" s="45">
        <v>81574</v>
      </c>
      <c r="I68" s="48" t="s">
        <v>17</v>
      </c>
      <c r="J68" s="45">
        <v>61093485</v>
      </c>
      <c r="K68" s="45" t="s">
        <v>3423</v>
      </c>
      <c r="L68" s="45" t="s">
        <v>3427</v>
      </c>
      <c r="M68" s="49">
        <v>229900</v>
      </c>
      <c r="N68" s="51">
        <f t="shared" ref="N68:N131" si="5">N67</f>
        <v>0.3</v>
      </c>
      <c r="O68" s="52">
        <f t="shared" si="3"/>
        <v>160930</v>
      </c>
      <c r="P68" s="48" t="s">
        <v>20</v>
      </c>
    </row>
    <row r="69" spans="1:16" x14ac:dyDescent="0.25">
      <c r="A69" s="45" t="str">
        <f t="shared" si="4"/>
        <v>2025 OKT NOV B1 DISC  30%</v>
      </c>
      <c r="B69" s="46">
        <v>46104</v>
      </c>
      <c r="C69" s="46">
        <v>46113</v>
      </c>
      <c r="D69" s="47">
        <v>3273</v>
      </c>
      <c r="E69" s="47">
        <v>336</v>
      </c>
      <c r="F69" s="47">
        <v>4</v>
      </c>
      <c r="G69" s="45">
        <v>8</v>
      </c>
      <c r="H69" s="45">
        <v>81574</v>
      </c>
      <c r="I69" s="48" t="s">
        <v>17</v>
      </c>
      <c r="J69" s="45">
        <v>61093494</v>
      </c>
      <c r="K69" s="45" t="s">
        <v>3423</v>
      </c>
      <c r="L69" s="45" t="s">
        <v>3428</v>
      </c>
      <c r="M69" s="49">
        <v>229900</v>
      </c>
      <c r="N69" s="51">
        <f t="shared" si="5"/>
        <v>0.3</v>
      </c>
      <c r="O69" s="52">
        <f t="shared" si="3"/>
        <v>160930</v>
      </c>
      <c r="P69" s="48" t="s">
        <v>20</v>
      </c>
    </row>
    <row r="70" spans="1:16" x14ac:dyDescent="0.25">
      <c r="A70" s="45" t="str">
        <f t="shared" si="4"/>
        <v>2025 OKT NOV B1 DISC  30%</v>
      </c>
      <c r="B70" s="46">
        <v>46104</v>
      </c>
      <c r="C70" s="46">
        <v>46113</v>
      </c>
      <c r="D70" s="47">
        <v>3273</v>
      </c>
      <c r="E70" s="47">
        <v>336</v>
      </c>
      <c r="F70" s="47">
        <v>4</v>
      </c>
      <c r="G70" s="45">
        <v>8</v>
      </c>
      <c r="H70" s="45">
        <v>81574</v>
      </c>
      <c r="I70" s="48" t="s">
        <v>17</v>
      </c>
      <c r="J70" s="45">
        <v>61093501</v>
      </c>
      <c r="K70" s="45" t="s">
        <v>3423</v>
      </c>
      <c r="L70" s="45" t="s">
        <v>3429</v>
      </c>
      <c r="M70" s="49">
        <v>229900</v>
      </c>
      <c r="N70" s="51">
        <f t="shared" si="5"/>
        <v>0.3</v>
      </c>
      <c r="O70" s="52">
        <f t="shared" si="3"/>
        <v>160930</v>
      </c>
      <c r="P70" s="48" t="s">
        <v>20</v>
      </c>
    </row>
    <row r="71" spans="1:16" x14ac:dyDescent="0.25">
      <c r="A71" s="45" t="str">
        <f t="shared" si="4"/>
        <v>2025 OKT NOV B1 DISC  30%</v>
      </c>
      <c r="B71" s="46">
        <v>46104</v>
      </c>
      <c r="C71" s="46">
        <v>46113</v>
      </c>
      <c r="D71" s="47">
        <v>3273</v>
      </c>
      <c r="E71" s="47">
        <v>336</v>
      </c>
      <c r="F71" s="47">
        <v>4</v>
      </c>
      <c r="G71" s="45">
        <v>8</v>
      </c>
      <c r="H71" s="45">
        <v>81574</v>
      </c>
      <c r="I71" s="48" t="s">
        <v>17</v>
      </c>
      <c r="J71" s="45">
        <v>61093510</v>
      </c>
      <c r="K71" s="45" t="s">
        <v>3423</v>
      </c>
      <c r="L71" s="45" t="s">
        <v>3430</v>
      </c>
      <c r="M71" s="49">
        <v>229900</v>
      </c>
      <c r="N71" s="51">
        <f t="shared" si="5"/>
        <v>0.3</v>
      </c>
      <c r="O71" s="52">
        <f t="shared" si="3"/>
        <v>160930</v>
      </c>
      <c r="P71" s="48" t="s">
        <v>20</v>
      </c>
    </row>
    <row r="72" spans="1:16" x14ac:dyDescent="0.25">
      <c r="A72" s="45" t="str">
        <f t="shared" si="4"/>
        <v>2025 OKT NOV B1 DISC  30%</v>
      </c>
      <c r="B72" s="46">
        <v>46104</v>
      </c>
      <c r="C72" s="46">
        <v>46113</v>
      </c>
      <c r="D72" s="47">
        <v>3273</v>
      </c>
      <c r="E72" s="47">
        <v>336</v>
      </c>
      <c r="F72" s="47">
        <v>4</v>
      </c>
      <c r="G72" s="45">
        <v>6</v>
      </c>
      <c r="H72" s="45">
        <v>81588</v>
      </c>
      <c r="I72" s="48" t="s">
        <v>17</v>
      </c>
      <c r="J72" s="45">
        <v>61093592</v>
      </c>
      <c r="K72" s="45" t="s">
        <v>3431</v>
      </c>
      <c r="L72" s="45" t="s">
        <v>3432</v>
      </c>
      <c r="M72" s="49">
        <v>99900</v>
      </c>
      <c r="N72" s="51">
        <f t="shared" si="5"/>
        <v>0.3</v>
      </c>
      <c r="O72" s="52">
        <f t="shared" si="3"/>
        <v>69930</v>
      </c>
      <c r="P72" s="48" t="s">
        <v>20</v>
      </c>
    </row>
    <row r="73" spans="1:16" x14ac:dyDescent="0.25">
      <c r="A73" s="45" t="str">
        <f t="shared" si="4"/>
        <v>2025 OKT NOV B1 DISC  30%</v>
      </c>
      <c r="B73" s="46">
        <v>46104</v>
      </c>
      <c r="C73" s="46">
        <v>46113</v>
      </c>
      <c r="D73" s="47">
        <v>3273</v>
      </c>
      <c r="E73" s="47">
        <v>336</v>
      </c>
      <c r="F73" s="47">
        <v>4</v>
      </c>
      <c r="G73" s="45">
        <v>6</v>
      </c>
      <c r="H73" s="45">
        <v>81588</v>
      </c>
      <c r="I73" s="48" t="s">
        <v>17</v>
      </c>
      <c r="J73" s="45">
        <v>61093609</v>
      </c>
      <c r="K73" s="45" t="s">
        <v>3431</v>
      </c>
      <c r="L73" s="45" t="s">
        <v>3433</v>
      </c>
      <c r="M73" s="49">
        <v>99900</v>
      </c>
      <c r="N73" s="51">
        <f t="shared" si="5"/>
        <v>0.3</v>
      </c>
      <c r="O73" s="52">
        <f t="shared" si="3"/>
        <v>69930</v>
      </c>
      <c r="P73" s="48" t="s">
        <v>20</v>
      </c>
    </row>
    <row r="74" spans="1:16" x14ac:dyDescent="0.25">
      <c r="A74" s="45" t="str">
        <f t="shared" si="4"/>
        <v>2025 OKT NOV B1 DISC  30%</v>
      </c>
      <c r="B74" s="46">
        <v>46104</v>
      </c>
      <c r="C74" s="46">
        <v>46113</v>
      </c>
      <c r="D74" s="47">
        <v>3273</v>
      </c>
      <c r="E74" s="47">
        <v>336</v>
      </c>
      <c r="F74" s="47">
        <v>4</v>
      </c>
      <c r="G74" s="45">
        <v>6</v>
      </c>
      <c r="H74" s="45">
        <v>81588</v>
      </c>
      <c r="I74" s="48" t="s">
        <v>17</v>
      </c>
      <c r="J74" s="45">
        <v>61093618</v>
      </c>
      <c r="K74" s="45" t="s">
        <v>3431</v>
      </c>
      <c r="L74" s="45" t="s">
        <v>3434</v>
      </c>
      <c r="M74" s="49">
        <v>99900</v>
      </c>
      <c r="N74" s="51">
        <f t="shared" si="5"/>
        <v>0.3</v>
      </c>
      <c r="O74" s="52">
        <f t="shared" si="3"/>
        <v>69930</v>
      </c>
      <c r="P74" s="48" t="s">
        <v>20</v>
      </c>
    </row>
    <row r="75" spans="1:16" x14ac:dyDescent="0.25">
      <c r="A75" s="45" t="str">
        <f t="shared" si="4"/>
        <v>2025 OKT NOV B1 DISC  30%</v>
      </c>
      <c r="B75" s="46">
        <v>46104</v>
      </c>
      <c r="C75" s="46">
        <v>46113</v>
      </c>
      <c r="D75" s="47">
        <v>3273</v>
      </c>
      <c r="E75" s="47">
        <v>336</v>
      </c>
      <c r="F75" s="47">
        <v>4</v>
      </c>
      <c r="G75" s="45">
        <v>6</v>
      </c>
      <c r="H75" s="45">
        <v>81588</v>
      </c>
      <c r="I75" s="48" t="s">
        <v>17</v>
      </c>
      <c r="J75" s="45">
        <v>61093627</v>
      </c>
      <c r="K75" s="45" t="s">
        <v>3431</v>
      </c>
      <c r="L75" s="45" t="s">
        <v>3435</v>
      </c>
      <c r="M75" s="49">
        <v>99900</v>
      </c>
      <c r="N75" s="51">
        <f t="shared" si="5"/>
        <v>0.3</v>
      </c>
      <c r="O75" s="52">
        <f t="shared" si="3"/>
        <v>69930</v>
      </c>
      <c r="P75" s="48" t="s">
        <v>20</v>
      </c>
    </row>
    <row r="76" spans="1:16" x14ac:dyDescent="0.25">
      <c r="A76" s="45" t="str">
        <f t="shared" si="4"/>
        <v>2025 OKT NOV B1 DISC  30%</v>
      </c>
      <c r="B76" s="46">
        <v>46104</v>
      </c>
      <c r="C76" s="46">
        <v>46113</v>
      </c>
      <c r="D76" s="47">
        <v>3273</v>
      </c>
      <c r="E76" s="47">
        <v>336</v>
      </c>
      <c r="F76" s="47">
        <v>4</v>
      </c>
      <c r="G76" s="45">
        <v>6</v>
      </c>
      <c r="H76" s="45">
        <v>81588</v>
      </c>
      <c r="I76" s="48" t="s">
        <v>17</v>
      </c>
      <c r="J76" s="45">
        <v>61093636</v>
      </c>
      <c r="K76" s="45" t="s">
        <v>3431</v>
      </c>
      <c r="L76" s="45" t="s">
        <v>3436</v>
      </c>
      <c r="M76" s="49">
        <v>99900</v>
      </c>
      <c r="N76" s="51">
        <f t="shared" si="5"/>
        <v>0.3</v>
      </c>
      <c r="O76" s="52">
        <f t="shared" si="3"/>
        <v>69930</v>
      </c>
      <c r="P76" s="48" t="s">
        <v>20</v>
      </c>
    </row>
    <row r="77" spans="1:16" x14ac:dyDescent="0.25">
      <c r="A77" s="45" t="str">
        <f t="shared" si="4"/>
        <v>2025 OKT NOV B1 DISC  30%</v>
      </c>
      <c r="B77" s="46">
        <v>46104</v>
      </c>
      <c r="C77" s="46">
        <v>46113</v>
      </c>
      <c r="D77" s="47">
        <v>3273</v>
      </c>
      <c r="E77" s="47">
        <v>336</v>
      </c>
      <c r="F77" s="47">
        <v>4</v>
      </c>
      <c r="G77" s="45">
        <v>6</v>
      </c>
      <c r="H77" s="45">
        <v>81588</v>
      </c>
      <c r="I77" s="48" t="s">
        <v>17</v>
      </c>
      <c r="J77" s="45">
        <v>61093645</v>
      </c>
      <c r="K77" s="45" t="s">
        <v>3431</v>
      </c>
      <c r="L77" s="45" t="s">
        <v>3437</v>
      </c>
      <c r="M77" s="49">
        <v>99900</v>
      </c>
      <c r="N77" s="51">
        <f t="shared" si="5"/>
        <v>0.3</v>
      </c>
      <c r="O77" s="52">
        <f t="shared" si="3"/>
        <v>69930</v>
      </c>
      <c r="P77" s="48" t="s">
        <v>20</v>
      </c>
    </row>
    <row r="78" spans="1:16" x14ac:dyDescent="0.25">
      <c r="A78" s="45" t="str">
        <f t="shared" si="4"/>
        <v>2025 OKT NOV B1 DISC  30%</v>
      </c>
      <c r="B78" s="46">
        <v>46104</v>
      </c>
      <c r="C78" s="46">
        <v>46113</v>
      </c>
      <c r="D78" s="47">
        <v>3273</v>
      </c>
      <c r="E78" s="47">
        <v>336</v>
      </c>
      <c r="F78" s="47">
        <v>4</v>
      </c>
      <c r="G78" s="45">
        <v>6</v>
      </c>
      <c r="H78" s="45">
        <v>81588</v>
      </c>
      <c r="I78" s="48" t="s">
        <v>17</v>
      </c>
      <c r="J78" s="45">
        <v>61093654</v>
      </c>
      <c r="K78" s="45" t="s">
        <v>3431</v>
      </c>
      <c r="L78" s="45" t="s">
        <v>3438</v>
      </c>
      <c r="M78" s="49">
        <v>99900</v>
      </c>
      <c r="N78" s="51">
        <f t="shared" si="5"/>
        <v>0.3</v>
      </c>
      <c r="O78" s="52">
        <f t="shared" si="3"/>
        <v>69930</v>
      </c>
      <c r="P78" s="48" t="s">
        <v>20</v>
      </c>
    </row>
    <row r="79" spans="1:16" x14ac:dyDescent="0.25">
      <c r="A79" s="45" t="str">
        <f t="shared" si="4"/>
        <v>2025 OKT NOV B1 DISC  30%</v>
      </c>
      <c r="B79" s="46">
        <v>46104</v>
      </c>
      <c r="C79" s="46">
        <v>46113</v>
      </c>
      <c r="D79" s="47">
        <v>3273</v>
      </c>
      <c r="E79" s="47">
        <v>336</v>
      </c>
      <c r="F79" s="47">
        <v>4</v>
      </c>
      <c r="G79" s="45">
        <v>6</v>
      </c>
      <c r="H79" s="45">
        <v>81588</v>
      </c>
      <c r="I79" s="48" t="s">
        <v>17</v>
      </c>
      <c r="J79" s="45">
        <v>61093805</v>
      </c>
      <c r="K79" s="45" t="s">
        <v>3439</v>
      </c>
      <c r="L79" s="45" t="s">
        <v>3440</v>
      </c>
      <c r="M79" s="49">
        <v>99900</v>
      </c>
      <c r="N79" s="51">
        <f t="shared" si="5"/>
        <v>0.3</v>
      </c>
      <c r="O79" s="52">
        <f t="shared" si="3"/>
        <v>69930</v>
      </c>
      <c r="P79" s="48" t="s">
        <v>20</v>
      </c>
    </row>
    <row r="80" spans="1:16" x14ac:dyDescent="0.25">
      <c r="A80" s="45" t="str">
        <f t="shared" si="4"/>
        <v>2025 OKT NOV B1 DISC  30%</v>
      </c>
      <c r="B80" s="46">
        <v>46104</v>
      </c>
      <c r="C80" s="46">
        <v>46113</v>
      </c>
      <c r="D80" s="47">
        <v>3273</v>
      </c>
      <c r="E80" s="47">
        <v>336</v>
      </c>
      <c r="F80" s="47">
        <v>4</v>
      </c>
      <c r="G80" s="45">
        <v>6</v>
      </c>
      <c r="H80" s="45">
        <v>81588</v>
      </c>
      <c r="I80" s="48" t="s">
        <v>17</v>
      </c>
      <c r="J80" s="45">
        <v>61093814</v>
      </c>
      <c r="K80" s="45" t="s">
        <v>3439</v>
      </c>
      <c r="L80" s="45" t="s">
        <v>3441</v>
      </c>
      <c r="M80" s="49">
        <v>99900</v>
      </c>
      <c r="N80" s="51">
        <f t="shared" si="5"/>
        <v>0.3</v>
      </c>
      <c r="O80" s="52">
        <f t="shared" si="3"/>
        <v>69930</v>
      </c>
      <c r="P80" s="48" t="s">
        <v>20</v>
      </c>
    </row>
    <row r="81" spans="1:16" x14ac:dyDescent="0.25">
      <c r="A81" s="45" t="str">
        <f t="shared" si="4"/>
        <v>2025 OKT NOV B1 DISC  30%</v>
      </c>
      <c r="B81" s="46">
        <v>46104</v>
      </c>
      <c r="C81" s="46">
        <v>46113</v>
      </c>
      <c r="D81" s="47">
        <v>3273</v>
      </c>
      <c r="E81" s="47">
        <v>336</v>
      </c>
      <c r="F81" s="47">
        <v>4</v>
      </c>
      <c r="G81" s="45">
        <v>6</v>
      </c>
      <c r="H81" s="45">
        <v>81588</v>
      </c>
      <c r="I81" s="48" t="s">
        <v>17</v>
      </c>
      <c r="J81" s="45">
        <v>61093823</v>
      </c>
      <c r="K81" s="45" t="s">
        <v>3439</v>
      </c>
      <c r="L81" s="45" t="s">
        <v>3442</v>
      </c>
      <c r="M81" s="49">
        <v>99900</v>
      </c>
      <c r="N81" s="51">
        <f t="shared" si="5"/>
        <v>0.3</v>
      </c>
      <c r="O81" s="52">
        <f t="shared" si="3"/>
        <v>69930</v>
      </c>
      <c r="P81" s="48" t="s">
        <v>20</v>
      </c>
    </row>
    <row r="82" spans="1:16" x14ac:dyDescent="0.25">
      <c r="A82" s="45" t="str">
        <f t="shared" si="4"/>
        <v>2025 OKT NOV B1 DISC  30%</v>
      </c>
      <c r="B82" s="46">
        <v>46104</v>
      </c>
      <c r="C82" s="46">
        <v>46113</v>
      </c>
      <c r="D82" s="47">
        <v>3273</v>
      </c>
      <c r="E82" s="47">
        <v>336</v>
      </c>
      <c r="F82" s="47">
        <v>4</v>
      </c>
      <c r="G82" s="45">
        <v>6</v>
      </c>
      <c r="H82" s="45">
        <v>81588</v>
      </c>
      <c r="I82" s="48" t="s">
        <v>17</v>
      </c>
      <c r="J82" s="45">
        <v>61093832</v>
      </c>
      <c r="K82" s="45" t="s">
        <v>3439</v>
      </c>
      <c r="L82" s="45" t="s">
        <v>3443</v>
      </c>
      <c r="M82" s="49">
        <v>99900</v>
      </c>
      <c r="N82" s="51">
        <f t="shared" si="5"/>
        <v>0.3</v>
      </c>
      <c r="O82" s="52">
        <f t="shared" si="3"/>
        <v>69930</v>
      </c>
      <c r="P82" s="48" t="s">
        <v>20</v>
      </c>
    </row>
    <row r="83" spans="1:16" x14ac:dyDescent="0.25">
      <c r="A83" s="45" t="str">
        <f t="shared" si="4"/>
        <v>2025 OKT NOV B1 DISC  30%</v>
      </c>
      <c r="B83" s="46">
        <v>46104</v>
      </c>
      <c r="C83" s="46">
        <v>46113</v>
      </c>
      <c r="D83" s="47">
        <v>3273</v>
      </c>
      <c r="E83" s="47">
        <v>336</v>
      </c>
      <c r="F83" s="47">
        <v>4</v>
      </c>
      <c r="G83" s="45">
        <v>6</v>
      </c>
      <c r="H83" s="45">
        <v>81588</v>
      </c>
      <c r="I83" s="48" t="s">
        <v>17</v>
      </c>
      <c r="J83" s="45">
        <v>61093841</v>
      </c>
      <c r="K83" s="45" t="s">
        <v>3439</v>
      </c>
      <c r="L83" s="45" t="s">
        <v>3444</v>
      </c>
      <c r="M83" s="49">
        <v>99900</v>
      </c>
      <c r="N83" s="51">
        <f t="shared" si="5"/>
        <v>0.3</v>
      </c>
      <c r="O83" s="52">
        <f t="shared" si="3"/>
        <v>69930</v>
      </c>
      <c r="P83" s="48" t="s">
        <v>20</v>
      </c>
    </row>
    <row r="84" spans="1:16" x14ac:dyDescent="0.25">
      <c r="A84" s="45" t="str">
        <f t="shared" si="4"/>
        <v>2025 OKT NOV B1 DISC  30%</v>
      </c>
      <c r="B84" s="46">
        <v>46104</v>
      </c>
      <c r="C84" s="46">
        <v>46113</v>
      </c>
      <c r="D84" s="47">
        <v>3273</v>
      </c>
      <c r="E84" s="47">
        <v>336</v>
      </c>
      <c r="F84" s="47">
        <v>4</v>
      </c>
      <c r="G84" s="45">
        <v>6</v>
      </c>
      <c r="H84" s="45">
        <v>81588</v>
      </c>
      <c r="I84" s="48" t="s">
        <v>17</v>
      </c>
      <c r="J84" s="45">
        <v>61093850</v>
      </c>
      <c r="K84" s="45" t="s">
        <v>3439</v>
      </c>
      <c r="L84" s="45" t="s">
        <v>3445</v>
      </c>
      <c r="M84" s="49">
        <v>99900</v>
      </c>
      <c r="N84" s="51">
        <f t="shared" si="5"/>
        <v>0.3</v>
      </c>
      <c r="O84" s="52">
        <f t="shared" si="3"/>
        <v>69930</v>
      </c>
      <c r="P84" s="48" t="s">
        <v>20</v>
      </c>
    </row>
    <row r="85" spans="1:16" x14ac:dyDescent="0.25">
      <c r="A85" s="45" t="str">
        <f t="shared" si="4"/>
        <v>2025 OKT NOV B1 DISC  30%</v>
      </c>
      <c r="B85" s="46">
        <v>46104</v>
      </c>
      <c r="C85" s="46">
        <v>46113</v>
      </c>
      <c r="D85" s="47">
        <v>3273</v>
      </c>
      <c r="E85" s="47">
        <v>336</v>
      </c>
      <c r="F85" s="47">
        <v>4</v>
      </c>
      <c r="G85" s="45">
        <v>6</v>
      </c>
      <c r="H85" s="45">
        <v>81588</v>
      </c>
      <c r="I85" s="48" t="s">
        <v>17</v>
      </c>
      <c r="J85" s="45">
        <v>61093869</v>
      </c>
      <c r="K85" s="45" t="s">
        <v>3439</v>
      </c>
      <c r="L85" s="45" t="s">
        <v>3446</v>
      </c>
      <c r="M85" s="49">
        <v>99900</v>
      </c>
      <c r="N85" s="51">
        <f t="shared" si="5"/>
        <v>0.3</v>
      </c>
      <c r="O85" s="52">
        <f t="shared" si="3"/>
        <v>69930</v>
      </c>
      <c r="P85" s="48" t="s">
        <v>20</v>
      </c>
    </row>
    <row r="86" spans="1:16" x14ac:dyDescent="0.25">
      <c r="A86" s="45" t="str">
        <f t="shared" si="4"/>
        <v>2025 OKT NOV B1 DISC  30%</v>
      </c>
      <c r="B86" s="46">
        <v>46104</v>
      </c>
      <c r="C86" s="46">
        <v>46113</v>
      </c>
      <c r="D86" s="47">
        <v>3273</v>
      </c>
      <c r="E86" s="47">
        <v>336</v>
      </c>
      <c r="F86" s="47">
        <v>4</v>
      </c>
      <c r="G86" s="45">
        <v>6</v>
      </c>
      <c r="H86" s="45">
        <v>81676</v>
      </c>
      <c r="I86" s="48" t="s">
        <v>17</v>
      </c>
      <c r="J86" s="45">
        <v>61093949</v>
      </c>
      <c r="K86" s="45" t="s">
        <v>3447</v>
      </c>
      <c r="L86" s="45" t="s">
        <v>3448</v>
      </c>
      <c r="M86" s="49">
        <v>99900</v>
      </c>
      <c r="N86" s="51">
        <f t="shared" si="5"/>
        <v>0.3</v>
      </c>
      <c r="O86" s="52">
        <f t="shared" si="3"/>
        <v>69930</v>
      </c>
      <c r="P86" s="48" t="s">
        <v>20</v>
      </c>
    </row>
    <row r="87" spans="1:16" x14ac:dyDescent="0.25">
      <c r="A87" s="45" t="str">
        <f t="shared" si="4"/>
        <v>2025 OKT NOV B1 DISC  30%</v>
      </c>
      <c r="B87" s="46">
        <v>46104</v>
      </c>
      <c r="C87" s="46">
        <v>46113</v>
      </c>
      <c r="D87" s="47">
        <v>3273</v>
      </c>
      <c r="E87" s="47">
        <v>336</v>
      </c>
      <c r="F87" s="47">
        <v>4</v>
      </c>
      <c r="G87" s="45">
        <v>6</v>
      </c>
      <c r="H87" s="45">
        <v>81676</v>
      </c>
      <c r="I87" s="48" t="s">
        <v>17</v>
      </c>
      <c r="J87" s="45">
        <v>61093958</v>
      </c>
      <c r="K87" s="45" t="s">
        <v>3447</v>
      </c>
      <c r="L87" s="45" t="s">
        <v>3449</v>
      </c>
      <c r="M87" s="49">
        <v>99900</v>
      </c>
      <c r="N87" s="51">
        <f t="shared" si="5"/>
        <v>0.3</v>
      </c>
      <c r="O87" s="52">
        <f t="shared" si="3"/>
        <v>69930</v>
      </c>
      <c r="P87" s="48" t="s">
        <v>20</v>
      </c>
    </row>
    <row r="88" spans="1:16" x14ac:dyDescent="0.25">
      <c r="A88" s="45" t="str">
        <f t="shared" si="4"/>
        <v>2025 OKT NOV B1 DISC  30%</v>
      </c>
      <c r="B88" s="46">
        <v>46104</v>
      </c>
      <c r="C88" s="46">
        <v>46113</v>
      </c>
      <c r="D88" s="47">
        <v>3273</v>
      </c>
      <c r="E88" s="47">
        <v>336</v>
      </c>
      <c r="F88" s="47">
        <v>4</v>
      </c>
      <c r="G88" s="45">
        <v>6</v>
      </c>
      <c r="H88" s="45">
        <v>81676</v>
      </c>
      <c r="I88" s="48" t="s">
        <v>17</v>
      </c>
      <c r="J88" s="45">
        <v>61093967</v>
      </c>
      <c r="K88" s="45" t="s">
        <v>3447</v>
      </c>
      <c r="L88" s="45" t="s">
        <v>3450</v>
      </c>
      <c r="M88" s="49">
        <v>99900</v>
      </c>
      <c r="N88" s="51">
        <f t="shared" si="5"/>
        <v>0.3</v>
      </c>
      <c r="O88" s="52">
        <f t="shared" si="3"/>
        <v>69930</v>
      </c>
      <c r="P88" s="48" t="s">
        <v>20</v>
      </c>
    </row>
    <row r="89" spans="1:16" x14ac:dyDescent="0.25">
      <c r="A89" s="45" t="str">
        <f t="shared" si="4"/>
        <v>2025 OKT NOV B1 DISC  30%</v>
      </c>
      <c r="B89" s="46">
        <v>46104</v>
      </c>
      <c r="C89" s="46">
        <v>46113</v>
      </c>
      <c r="D89" s="47">
        <v>3273</v>
      </c>
      <c r="E89" s="47">
        <v>336</v>
      </c>
      <c r="F89" s="47">
        <v>4</v>
      </c>
      <c r="G89" s="45">
        <v>6</v>
      </c>
      <c r="H89" s="45">
        <v>81676</v>
      </c>
      <c r="I89" s="48" t="s">
        <v>17</v>
      </c>
      <c r="J89" s="45">
        <v>61093976</v>
      </c>
      <c r="K89" s="45" t="s">
        <v>3447</v>
      </c>
      <c r="L89" s="45" t="s">
        <v>3451</v>
      </c>
      <c r="M89" s="49">
        <v>99900</v>
      </c>
      <c r="N89" s="51">
        <f t="shared" si="5"/>
        <v>0.3</v>
      </c>
      <c r="O89" s="52">
        <f t="shared" si="3"/>
        <v>69930</v>
      </c>
      <c r="P89" s="48" t="s">
        <v>20</v>
      </c>
    </row>
    <row r="90" spans="1:16" x14ac:dyDescent="0.25">
      <c r="A90" s="45" t="str">
        <f t="shared" si="4"/>
        <v>2025 OKT NOV B1 DISC  30%</v>
      </c>
      <c r="B90" s="46">
        <v>46104</v>
      </c>
      <c r="C90" s="46">
        <v>46113</v>
      </c>
      <c r="D90" s="47">
        <v>3273</v>
      </c>
      <c r="E90" s="47">
        <v>336</v>
      </c>
      <c r="F90" s="47">
        <v>4</v>
      </c>
      <c r="G90" s="45">
        <v>8</v>
      </c>
      <c r="H90" s="45">
        <v>81676</v>
      </c>
      <c r="I90" s="48" t="s">
        <v>17</v>
      </c>
      <c r="J90" s="45">
        <v>61094055</v>
      </c>
      <c r="K90" s="45" t="s">
        <v>3452</v>
      </c>
      <c r="L90" s="45" t="s">
        <v>3453</v>
      </c>
      <c r="M90" s="49">
        <v>229900</v>
      </c>
      <c r="N90" s="51">
        <f t="shared" si="5"/>
        <v>0.3</v>
      </c>
      <c r="O90" s="52">
        <f t="shared" si="3"/>
        <v>160930</v>
      </c>
      <c r="P90" s="48" t="s">
        <v>20</v>
      </c>
    </row>
    <row r="91" spans="1:16" x14ac:dyDescent="0.25">
      <c r="A91" s="45" t="str">
        <f t="shared" si="4"/>
        <v>2025 OKT NOV B1 DISC  30%</v>
      </c>
      <c r="B91" s="46">
        <v>46104</v>
      </c>
      <c r="C91" s="46">
        <v>46113</v>
      </c>
      <c r="D91" s="47">
        <v>3273</v>
      </c>
      <c r="E91" s="47">
        <v>336</v>
      </c>
      <c r="F91" s="47">
        <v>4</v>
      </c>
      <c r="G91" s="45">
        <v>8</v>
      </c>
      <c r="H91" s="45">
        <v>81676</v>
      </c>
      <c r="I91" s="48" t="s">
        <v>17</v>
      </c>
      <c r="J91" s="45">
        <v>61094064</v>
      </c>
      <c r="K91" s="45" t="s">
        <v>3452</v>
      </c>
      <c r="L91" s="45" t="s">
        <v>3454</v>
      </c>
      <c r="M91" s="49">
        <v>229900</v>
      </c>
      <c r="N91" s="51">
        <f t="shared" si="5"/>
        <v>0.3</v>
      </c>
      <c r="O91" s="52">
        <f t="shared" si="3"/>
        <v>160930</v>
      </c>
      <c r="P91" s="48" t="s">
        <v>20</v>
      </c>
    </row>
    <row r="92" spans="1:16" x14ac:dyDescent="0.25">
      <c r="A92" s="45" t="str">
        <f t="shared" si="4"/>
        <v>2025 OKT NOV B1 DISC  30%</v>
      </c>
      <c r="B92" s="46">
        <v>46104</v>
      </c>
      <c r="C92" s="46">
        <v>46113</v>
      </c>
      <c r="D92" s="47">
        <v>3273</v>
      </c>
      <c r="E92" s="47">
        <v>336</v>
      </c>
      <c r="F92" s="47">
        <v>4</v>
      </c>
      <c r="G92" s="45">
        <v>8</v>
      </c>
      <c r="H92" s="45">
        <v>81676</v>
      </c>
      <c r="I92" s="48" t="s">
        <v>17</v>
      </c>
      <c r="J92" s="45">
        <v>61094073</v>
      </c>
      <c r="K92" s="45" t="s">
        <v>3452</v>
      </c>
      <c r="L92" s="45" t="s">
        <v>3455</v>
      </c>
      <c r="M92" s="49">
        <v>229900</v>
      </c>
      <c r="N92" s="51">
        <f t="shared" si="5"/>
        <v>0.3</v>
      </c>
      <c r="O92" s="52">
        <f t="shared" si="3"/>
        <v>160930</v>
      </c>
      <c r="P92" s="48" t="s">
        <v>20</v>
      </c>
    </row>
    <row r="93" spans="1:16" x14ac:dyDescent="0.25">
      <c r="A93" s="45" t="str">
        <f t="shared" si="4"/>
        <v>2025 OKT NOV B1 DISC  30%</v>
      </c>
      <c r="B93" s="46">
        <v>46104</v>
      </c>
      <c r="C93" s="46">
        <v>46113</v>
      </c>
      <c r="D93" s="47">
        <v>3273</v>
      </c>
      <c r="E93" s="47">
        <v>336</v>
      </c>
      <c r="F93" s="47">
        <v>4</v>
      </c>
      <c r="G93" s="45">
        <v>8</v>
      </c>
      <c r="H93" s="45">
        <v>81676</v>
      </c>
      <c r="I93" s="48" t="s">
        <v>17</v>
      </c>
      <c r="J93" s="45">
        <v>61094082</v>
      </c>
      <c r="K93" s="45" t="s">
        <v>3452</v>
      </c>
      <c r="L93" s="45" t="s">
        <v>3456</v>
      </c>
      <c r="M93" s="49">
        <v>229900</v>
      </c>
      <c r="N93" s="51">
        <f t="shared" si="5"/>
        <v>0.3</v>
      </c>
      <c r="O93" s="52">
        <f t="shared" si="3"/>
        <v>160930</v>
      </c>
      <c r="P93" s="48" t="s">
        <v>20</v>
      </c>
    </row>
    <row r="94" spans="1:16" x14ac:dyDescent="0.25">
      <c r="A94" s="45" t="str">
        <f t="shared" si="4"/>
        <v>2025 OKT NOV B1 DISC  30%</v>
      </c>
      <c r="B94" s="46">
        <v>46104</v>
      </c>
      <c r="C94" s="46">
        <v>46113</v>
      </c>
      <c r="D94" s="47">
        <v>3273</v>
      </c>
      <c r="E94" s="47">
        <v>336</v>
      </c>
      <c r="F94" s="47">
        <v>4</v>
      </c>
      <c r="G94" s="45">
        <v>8</v>
      </c>
      <c r="H94" s="45">
        <v>81676</v>
      </c>
      <c r="I94" s="48" t="s">
        <v>17</v>
      </c>
      <c r="J94" s="45">
        <v>61094091</v>
      </c>
      <c r="K94" s="45" t="s">
        <v>3452</v>
      </c>
      <c r="L94" s="45" t="s">
        <v>3457</v>
      </c>
      <c r="M94" s="49">
        <v>229900</v>
      </c>
      <c r="N94" s="51">
        <f t="shared" si="5"/>
        <v>0.3</v>
      </c>
      <c r="O94" s="52">
        <f t="shared" si="3"/>
        <v>160930</v>
      </c>
      <c r="P94" s="48" t="s">
        <v>20</v>
      </c>
    </row>
    <row r="95" spans="1:16" x14ac:dyDescent="0.25">
      <c r="A95" s="45" t="str">
        <f t="shared" si="4"/>
        <v>2025 OKT NOV B1 DISC  30%</v>
      </c>
      <c r="B95" s="46">
        <v>46104</v>
      </c>
      <c r="C95" s="46">
        <v>46113</v>
      </c>
      <c r="D95" s="47">
        <v>3273</v>
      </c>
      <c r="E95" s="47">
        <v>336</v>
      </c>
      <c r="F95" s="47">
        <v>4</v>
      </c>
      <c r="G95" s="45">
        <v>8</v>
      </c>
      <c r="H95" s="45">
        <v>81676</v>
      </c>
      <c r="I95" s="48" t="s">
        <v>17</v>
      </c>
      <c r="J95" s="45">
        <v>61094108</v>
      </c>
      <c r="K95" s="45" t="s">
        <v>3452</v>
      </c>
      <c r="L95" s="45" t="s">
        <v>3458</v>
      </c>
      <c r="M95" s="49">
        <v>229900</v>
      </c>
      <c r="N95" s="51">
        <f t="shared" si="5"/>
        <v>0.3</v>
      </c>
      <c r="O95" s="52">
        <f t="shared" si="3"/>
        <v>160930</v>
      </c>
      <c r="P95" s="48" t="s">
        <v>20</v>
      </c>
    </row>
    <row r="96" spans="1:16" x14ac:dyDescent="0.25">
      <c r="A96" s="45" t="str">
        <f t="shared" si="4"/>
        <v>2025 OKT NOV B1 DISC  30%</v>
      </c>
      <c r="B96" s="46">
        <v>46104</v>
      </c>
      <c r="C96" s="46">
        <v>46113</v>
      </c>
      <c r="D96" s="47">
        <v>3273</v>
      </c>
      <c r="E96" s="47">
        <v>336</v>
      </c>
      <c r="F96" s="47">
        <v>4</v>
      </c>
      <c r="G96" s="45">
        <v>8</v>
      </c>
      <c r="H96" s="45">
        <v>81676</v>
      </c>
      <c r="I96" s="48" t="s">
        <v>17</v>
      </c>
      <c r="J96" s="45">
        <v>61094117</v>
      </c>
      <c r="K96" s="45" t="s">
        <v>3452</v>
      </c>
      <c r="L96" s="45" t="s">
        <v>3459</v>
      </c>
      <c r="M96" s="49">
        <v>229900</v>
      </c>
      <c r="N96" s="51">
        <f t="shared" si="5"/>
        <v>0.3</v>
      </c>
      <c r="O96" s="52">
        <f t="shared" si="3"/>
        <v>160930</v>
      </c>
      <c r="P96" s="48" t="s">
        <v>20</v>
      </c>
    </row>
    <row r="97" spans="1:16" x14ac:dyDescent="0.25">
      <c r="A97" s="45" t="str">
        <f t="shared" si="4"/>
        <v>2025 OKT NOV B1 DISC  30%</v>
      </c>
      <c r="B97" s="46">
        <v>46104</v>
      </c>
      <c r="C97" s="46">
        <v>46113</v>
      </c>
      <c r="D97" s="47">
        <v>3273</v>
      </c>
      <c r="E97" s="47">
        <v>336</v>
      </c>
      <c r="F97" s="47">
        <v>4</v>
      </c>
      <c r="G97" s="45">
        <v>9</v>
      </c>
      <c r="H97" s="45">
        <v>81588</v>
      </c>
      <c r="I97" s="48" t="s">
        <v>17</v>
      </c>
      <c r="J97" s="45">
        <v>61094199</v>
      </c>
      <c r="K97" s="45" t="s">
        <v>3460</v>
      </c>
      <c r="L97" s="45" t="s">
        <v>3461</v>
      </c>
      <c r="M97" s="49">
        <v>129900</v>
      </c>
      <c r="N97" s="51">
        <f t="shared" si="5"/>
        <v>0.3</v>
      </c>
      <c r="O97" s="52">
        <f t="shared" si="3"/>
        <v>90930</v>
      </c>
      <c r="P97" s="48" t="s">
        <v>20</v>
      </c>
    </row>
    <row r="98" spans="1:16" x14ac:dyDescent="0.25">
      <c r="A98" s="45" t="str">
        <f t="shared" si="4"/>
        <v>2025 OKT NOV B1 DISC  30%</v>
      </c>
      <c r="B98" s="46">
        <v>46104</v>
      </c>
      <c r="C98" s="46">
        <v>46113</v>
      </c>
      <c r="D98" s="47">
        <v>3273</v>
      </c>
      <c r="E98" s="47">
        <v>336</v>
      </c>
      <c r="F98" s="47">
        <v>4</v>
      </c>
      <c r="G98" s="45">
        <v>9</v>
      </c>
      <c r="H98" s="45">
        <v>81588</v>
      </c>
      <c r="I98" s="48" t="s">
        <v>17</v>
      </c>
      <c r="J98" s="45">
        <v>61094206</v>
      </c>
      <c r="K98" s="45" t="s">
        <v>3460</v>
      </c>
      <c r="L98" s="45" t="s">
        <v>3462</v>
      </c>
      <c r="M98" s="49">
        <v>129900</v>
      </c>
      <c r="N98" s="51">
        <f t="shared" si="5"/>
        <v>0.3</v>
      </c>
      <c r="O98" s="52">
        <f t="shared" si="3"/>
        <v>90930</v>
      </c>
      <c r="P98" s="48" t="s">
        <v>20</v>
      </c>
    </row>
    <row r="99" spans="1:16" x14ac:dyDescent="0.25">
      <c r="A99" s="45" t="str">
        <f t="shared" si="4"/>
        <v>2025 OKT NOV B1 DISC  30%</v>
      </c>
      <c r="B99" s="46">
        <v>46104</v>
      </c>
      <c r="C99" s="46">
        <v>46113</v>
      </c>
      <c r="D99" s="47">
        <v>3273</v>
      </c>
      <c r="E99" s="47">
        <v>336</v>
      </c>
      <c r="F99" s="47">
        <v>4</v>
      </c>
      <c r="G99" s="45">
        <v>9</v>
      </c>
      <c r="H99" s="45">
        <v>81588</v>
      </c>
      <c r="I99" s="48" t="s">
        <v>17</v>
      </c>
      <c r="J99" s="45">
        <v>61094215</v>
      </c>
      <c r="K99" s="45" t="s">
        <v>3460</v>
      </c>
      <c r="L99" s="45" t="s">
        <v>3463</v>
      </c>
      <c r="M99" s="49">
        <v>129900</v>
      </c>
      <c r="N99" s="51">
        <f t="shared" si="5"/>
        <v>0.3</v>
      </c>
      <c r="O99" s="52">
        <f t="shared" si="3"/>
        <v>90930</v>
      </c>
      <c r="P99" s="48" t="s">
        <v>20</v>
      </c>
    </row>
    <row r="100" spans="1:16" x14ac:dyDescent="0.25">
      <c r="A100" s="45" t="str">
        <f t="shared" si="4"/>
        <v>2025 OKT NOV B1 DISC  30%</v>
      </c>
      <c r="B100" s="46">
        <v>46104</v>
      </c>
      <c r="C100" s="46">
        <v>46113</v>
      </c>
      <c r="D100" s="47">
        <v>3273</v>
      </c>
      <c r="E100" s="47">
        <v>336</v>
      </c>
      <c r="F100" s="47">
        <v>4</v>
      </c>
      <c r="G100" s="45">
        <v>9</v>
      </c>
      <c r="H100" s="45">
        <v>81588</v>
      </c>
      <c r="I100" s="48" t="s">
        <v>17</v>
      </c>
      <c r="J100" s="45">
        <v>61094224</v>
      </c>
      <c r="K100" s="45" t="s">
        <v>3460</v>
      </c>
      <c r="L100" s="45" t="s">
        <v>3464</v>
      </c>
      <c r="M100" s="49">
        <v>129900</v>
      </c>
      <c r="N100" s="51">
        <f t="shared" si="5"/>
        <v>0.3</v>
      </c>
      <c r="O100" s="52">
        <f t="shared" si="3"/>
        <v>90930</v>
      </c>
      <c r="P100" s="48" t="s">
        <v>20</v>
      </c>
    </row>
    <row r="101" spans="1:16" x14ac:dyDescent="0.25">
      <c r="A101" s="45" t="str">
        <f t="shared" si="4"/>
        <v>2025 OKT NOV B1 DISC  30%</v>
      </c>
      <c r="B101" s="46">
        <v>46104</v>
      </c>
      <c r="C101" s="46">
        <v>46113</v>
      </c>
      <c r="D101" s="47">
        <v>3273</v>
      </c>
      <c r="E101" s="47">
        <v>336</v>
      </c>
      <c r="F101" s="47">
        <v>4</v>
      </c>
      <c r="G101" s="45">
        <v>9</v>
      </c>
      <c r="H101" s="45">
        <v>81588</v>
      </c>
      <c r="I101" s="48" t="s">
        <v>17</v>
      </c>
      <c r="J101" s="45">
        <v>61094233</v>
      </c>
      <c r="K101" s="45" t="s">
        <v>3460</v>
      </c>
      <c r="L101" s="45" t="s">
        <v>3465</v>
      </c>
      <c r="M101" s="49">
        <v>129900</v>
      </c>
      <c r="N101" s="51">
        <f t="shared" si="5"/>
        <v>0.3</v>
      </c>
      <c r="O101" s="52">
        <f t="shared" si="3"/>
        <v>90930</v>
      </c>
      <c r="P101" s="48" t="s">
        <v>20</v>
      </c>
    </row>
    <row r="102" spans="1:16" x14ac:dyDescent="0.25">
      <c r="A102" s="45" t="str">
        <f t="shared" si="4"/>
        <v>2025 OKT NOV B1 DISC  30%</v>
      </c>
      <c r="B102" s="46">
        <v>46104</v>
      </c>
      <c r="C102" s="46">
        <v>46113</v>
      </c>
      <c r="D102" s="47">
        <v>3273</v>
      </c>
      <c r="E102" s="47">
        <v>336</v>
      </c>
      <c r="F102" s="47">
        <v>4</v>
      </c>
      <c r="G102" s="45">
        <v>9</v>
      </c>
      <c r="H102" s="45">
        <v>81588</v>
      </c>
      <c r="I102" s="48" t="s">
        <v>17</v>
      </c>
      <c r="J102" s="45">
        <v>61094242</v>
      </c>
      <c r="K102" s="45" t="s">
        <v>3460</v>
      </c>
      <c r="L102" s="45" t="s">
        <v>3466</v>
      </c>
      <c r="M102" s="49">
        <v>129900</v>
      </c>
      <c r="N102" s="51">
        <f t="shared" si="5"/>
        <v>0.3</v>
      </c>
      <c r="O102" s="52">
        <f t="shared" si="3"/>
        <v>90930</v>
      </c>
      <c r="P102" s="48" t="s">
        <v>20</v>
      </c>
    </row>
    <row r="103" spans="1:16" x14ac:dyDescent="0.25">
      <c r="A103" s="45" t="str">
        <f t="shared" si="4"/>
        <v>2025 OKT NOV B1 DISC  30%</v>
      </c>
      <c r="B103" s="46">
        <v>46104</v>
      </c>
      <c r="C103" s="46">
        <v>46113</v>
      </c>
      <c r="D103" s="47">
        <v>3273</v>
      </c>
      <c r="E103" s="47">
        <v>336</v>
      </c>
      <c r="F103" s="47">
        <v>4</v>
      </c>
      <c r="G103" s="45">
        <v>9</v>
      </c>
      <c r="H103" s="45">
        <v>81588</v>
      </c>
      <c r="I103" s="48" t="s">
        <v>17</v>
      </c>
      <c r="J103" s="45">
        <v>61094251</v>
      </c>
      <c r="K103" s="45" t="s">
        <v>3460</v>
      </c>
      <c r="L103" s="45" t="s">
        <v>3467</v>
      </c>
      <c r="M103" s="49">
        <v>129900</v>
      </c>
      <c r="N103" s="51">
        <f t="shared" si="5"/>
        <v>0.3</v>
      </c>
      <c r="O103" s="52">
        <f t="shared" si="3"/>
        <v>90930</v>
      </c>
      <c r="P103" s="48" t="s">
        <v>20</v>
      </c>
    </row>
    <row r="104" spans="1:16" x14ac:dyDescent="0.25">
      <c r="A104" s="45" t="str">
        <f t="shared" si="4"/>
        <v>2025 OKT NOV B1 DISC  30%</v>
      </c>
      <c r="B104" s="46">
        <v>46104</v>
      </c>
      <c r="C104" s="46">
        <v>46113</v>
      </c>
      <c r="D104" s="47">
        <v>3273</v>
      </c>
      <c r="E104" s="47">
        <v>336</v>
      </c>
      <c r="F104" s="47">
        <v>4</v>
      </c>
      <c r="G104" s="45">
        <v>10</v>
      </c>
      <c r="H104" s="45">
        <v>81574</v>
      </c>
      <c r="I104" s="48" t="s">
        <v>17</v>
      </c>
      <c r="J104" s="45">
        <v>61094260</v>
      </c>
      <c r="K104" s="45" t="s">
        <v>3468</v>
      </c>
      <c r="L104" s="45" t="s">
        <v>3469</v>
      </c>
      <c r="M104" s="49">
        <v>99900</v>
      </c>
      <c r="N104" s="51">
        <f t="shared" si="5"/>
        <v>0.3</v>
      </c>
      <c r="O104" s="52">
        <f t="shared" si="3"/>
        <v>69930</v>
      </c>
      <c r="P104" s="48" t="s">
        <v>20</v>
      </c>
    </row>
    <row r="105" spans="1:16" x14ac:dyDescent="0.25">
      <c r="A105" s="45" t="str">
        <f t="shared" si="4"/>
        <v>2025 OKT NOV B1 DISC  30%</v>
      </c>
      <c r="B105" s="46">
        <v>46104</v>
      </c>
      <c r="C105" s="46">
        <v>46113</v>
      </c>
      <c r="D105" s="47">
        <v>3273</v>
      </c>
      <c r="E105" s="47">
        <v>336</v>
      </c>
      <c r="F105" s="47">
        <v>4</v>
      </c>
      <c r="G105" s="45">
        <v>1</v>
      </c>
      <c r="H105" s="45">
        <v>81676</v>
      </c>
      <c r="I105" s="48" t="s">
        <v>17</v>
      </c>
      <c r="J105" s="45">
        <v>55586302</v>
      </c>
      <c r="K105" s="45" t="s">
        <v>3470</v>
      </c>
      <c r="L105" s="45" t="s">
        <v>3471</v>
      </c>
      <c r="M105" s="50">
        <v>99900</v>
      </c>
      <c r="N105" s="51">
        <f t="shared" si="5"/>
        <v>0.3</v>
      </c>
      <c r="O105" s="52">
        <f t="shared" si="3"/>
        <v>69930</v>
      </c>
      <c r="P105" s="48" t="s">
        <v>20</v>
      </c>
    </row>
    <row r="106" spans="1:16" x14ac:dyDescent="0.25">
      <c r="A106" s="45" t="str">
        <f t="shared" si="4"/>
        <v>2025 OKT NOV B1 DISC  30%</v>
      </c>
      <c r="B106" s="46">
        <v>46104</v>
      </c>
      <c r="C106" s="46">
        <v>46113</v>
      </c>
      <c r="D106" s="47">
        <v>3273</v>
      </c>
      <c r="E106" s="47">
        <v>336</v>
      </c>
      <c r="F106" s="47">
        <v>4</v>
      </c>
      <c r="G106" s="45">
        <v>1</v>
      </c>
      <c r="H106" s="45">
        <v>81676</v>
      </c>
      <c r="I106" s="48" t="s">
        <v>17</v>
      </c>
      <c r="J106" s="45">
        <v>55586311</v>
      </c>
      <c r="K106" s="45" t="s">
        <v>3470</v>
      </c>
      <c r="L106" s="45" t="s">
        <v>3472</v>
      </c>
      <c r="M106" s="50">
        <v>99900</v>
      </c>
      <c r="N106" s="51">
        <f t="shared" si="5"/>
        <v>0.3</v>
      </c>
      <c r="O106" s="52">
        <f t="shared" si="3"/>
        <v>69930</v>
      </c>
      <c r="P106" s="48" t="s">
        <v>20</v>
      </c>
    </row>
    <row r="107" spans="1:16" x14ac:dyDescent="0.25">
      <c r="A107" s="45" t="str">
        <f t="shared" si="4"/>
        <v>2025 OKT NOV B1 DISC  30%</v>
      </c>
      <c r="B107" s="46">
        <v>46104</v>
      </c>
      <c r="C107" s="46">
        <v>46113</v>
      </c>
      <c r="D107" s="47">
        <v>3273</v>
      </c>
      <c r="E107" s="47">
        <v>336</v>
      </c>
      <c r="F107" s="47">
        <v>4</v>
      </c>
      <c r="G107" s="45">
        <v>1</v>
      </c>
      <c r="H107" s="45">
        <v>81676</v>
      </c>
      <c r="I107" s="48" t="s">
        <v>17</v>
      </c>
      <c r="J107" s="45">
        <v>55586320</v>
      </c>
      <c r="K107" s="45" t="s">
        <v>3470</v>
      </c>
      <c r="L107" s="45" t="s">
        <v>3473</v>
      </c>
      <c r="M107" s="50">
        <v>99900</v>
      </c>
      <c r="N107" s="51">
        <f t="shared" si="5"/>
        <v>0.3</v>
      </c>
      <c r="O107" s="52">
        <f t="shared" si="3"/>
        <v>69930</v>
      </c>
      <c r="P107" s="48" t="s">
        <v>20</v>
      </c>
    </row>
    <row r="108" spans="1:16" x14ac:dyDescent="0.25">
      <c r="A108" s="45" t="str">
        <f t="shared" si="4"/>
        <v>2025 OKT NOV B1 DISC  30%</v>
      </c>
      <c r="B108" s="46">
        <v>46104</v>
      </c>
      <c r="C108" s="46">
        <v>46113</v>
      </c>
      <c r="D108" s="47">
        <v>3273</v>
      </c>
      <c r="E108" s="47">
        <v>336</v>
      </c>
      <c r="F108" s="47">
        <v>4</v>
      </c>
      <c r="G108" s="45">
        <v>1</v>
      </c>
      <c r="H108" s="45">
        <v>81676</v>
      </c>
      <c r="I108" s="48" t="s">
        <v>17</v>
      </c>
      <c r="J108" s="45">
        <v>55586339</v>
      </c>
      <c r="K108" s="45" t="s">
        <v>3470</v>
      </c>
      <c r="L108" s="45" t="s">
        <v>3474</v>
      </c>
      <c r="M108" s="50">
        <v>99900</v>
      </c>
      <c r="N108" s="51">
        <f t="shared" si="5"/>
        <v>0.3</v>
      </c>
      <c r="O108" s="52">
        <f t="shared" si="3"/>
        <v>69930</v>
      </c>
      <c r="P108" s="48" t="s">
        <v>20</v>
      </c>
    </row>
    <row r="109" spans="1:16" x14ac:dyDescent="0.25">
      <c r="A109" s="45" t="str">
        <f t="shared" si="4"/>
        <v>2025 OKT NOV B1 DISC  30%</v>
      </c>
      <c r="B109" s="46">
        <v>46104</v>
      </c>
      <c r="C109" s="46">
        <v>46113</v>
      </c>
      <c r="D109" s="47">
        <v>3273</v>
      </c>
      <c r="E109" s="47">
        <v>336</v>
      </c>
      <c r="F109" s="47">
        <v>4</v>
      </c>
      <c r="G109" s="45">
        <v>1</v>
      </c>
      <c r="H109" s="45">
        <v>81676</v>
      </c>
      <c r="I109" s="48" t="s">
        <v>17</v>
      </c>
      <c r="J109" s="45">
        <v>55586348</v>
      </c>
      <c r="K109" s="45" t="s">
        <v>3470</v>
      </c>
      <c r="L109" s="45" t="s">
        <v>3475</v>
      </c>
      <c r="M109" s="50">
        <v>99900</v>
      </c>
      <c r="N109" s="51">
        <f t="shared" si="5"/>
        <v>0.3</v>
      </c>
      <c r="O109" s="52">
        <f t="shared" si="3"/>
        <v>69930</v>
      </c>
      <c r="P109" s="48" t="s">
        <v>20</v>
      </c>
    </row>
    <row r="110" spans="1:16" x14ac:dyDescent="0.25">
      <c r="A110" s="45" t="str">
        <f t="shared" si="4"/>
        <v>2025 OKT NOV B1 DISC  30%</v>
      </c>
      <c r="B110" s="46">
        <v>46104</v>
      </c>
      <c r="C110" s="46">
        <v>46113</v>
      </c>
      <c r="D110" s="47">
        <v>3273</v>
      </c>
      <c r="E110" s="47">
        <v>336</v>
      </c>
      <c r="F110" s="47">
        <v>4</v>
      </c>
      <c r="G110" s="45">
        <v>1</v>
      </c>
      <c r="H110" s="45">
        <v>81676</v>
      </c>
      <c r="I110" s="48" t="s">
        <v>17</v>
      </c>
      <c r="J110" s="45">
        <v>55586357</v>
      </c>
      <c r="K110" s="45" t="s">
        <v>3470</v>
      </c>
      <c r="L110" s="45" t="s">
        <v>3476</v>
      </c>
      <c r="M110" s="50">
        <v>99900</v>
      </c>
      <c r="N110" s="51">
        <f t="shared" si="5"/>
        <v>0.3</v>
      </c>
      <c r="O110" s="52">
        <f t="shared" si="3"/>
        <v>69930</v>
      </c>
      <c r="P110" s="48" t="s">
        <v>20</v>
      </c>
    </row>
    <row r="111" spans="1:16" x14ac:dyDescent="0.25">
      <c r="A111" s="45" t="str">
        <f t="shared" si="4"/>
        <v>2025 OKT NOV B1 DISC  30%</v>
      </c>
      <c r="B111" s="46">
        <v>46104</v>
      </c>
      <c r="C111" s="46">
        <v>46113</v>
      </c>
      <c r="D111" s="47">
        <v>3273</v>
      </c>
      <c r="E111" s="47">
        <v>336</v>
      </c>
      <c r="F111" s="47">
        <v>4</v>
      </c>
      <c r="G111" s="45">
        <v>1</v>
      </c>
      <c r="H111" s="45">
        <v>81676</v>
      </c>
      <c r="I111" s="48" t="s">
        <v>17</v>
      </c>
      <c r="J111" s="45">
        <v>55586366</v>
      </c>
      <c r="K111" s="45" t="s">
        <v>3470</v>
      </c>
      <c r="L111" s="45" t="s">
        <v>3477</v>
      </c>
      <c r="M111" s="50">
        <v>99900</v>
      </c>
      <c r="N111" s="51">
        <f t="shared" si="5"/>
        <v>0.3</v>
      </c>
      <c r="O111" s="52">
        <f t="shared" si="3"/>
        <v>69930</v>
      </c>
      <c r="P111" s="48" t="s">
        <v>20</v>
      </c>
    </row>
    <row r="112" spans="1:16" x14ac:dyDescent="0.25">
      <c r="A112" s="45" t="str">
        <f t="shared" si="4"/>
        <v>2025 OKT NOV B1 DISC  30%</v>
      </c>
      <c r="B112" s="46">
        <v>46104</v>
      </c>
      <c r="C112" s="46">
        <v>46113</v>
      </c>
      <c r="D112" s="47">
        <v>3273</v>
      </c>
      <c r="E112" s="47">
        <v>336</v>
      </c>
      <c r="F112" s="47">
        <v>4</v>
      </c>
      <c r="G112" s="45">
        <v>1</v>
      </c>
      <c r="H112" s="45">
        <v>81676</v>
      </c>
      <c r="I112" s="48" t="s">
        <v>17</v>
      </c>
      <c r="J112" s="45">
        <v>55586375</v>
      </c>
      <c r="K112" s="45" t="s">
        <v>3478</v>
      </c>
      <c r="L112" s="45" t="s">
        <v>3479</v>
      </c>
      <c r="M112" s="50">
        <v>99900</v>
      </c>
      <c r="N112" s="51">
        <f t="shared" si="5"/>
        <v>0.3</v>
      </c>
      <c r="O112" s="52">
        <f t="shared" si="3"/>
        <v>69930</v>
      </c>
      <c r="P112" s="48" t="s">
        <v>20</v>
      </c>
    </row>
    <row r="113" spans="1:16" x14ac:dyDescent="0.25">
      <c r="A113" s="45" t="str">
        <f t="shared" si="4"/>
        <v>2025 OKT NOV B1 DISC  30%</v>
      </c>
      <c r="B113" s="46">
        <v>46104</v>
      </c>
      <c r="C113" s="46">
        <v>46113</v>
      </c>
      <c r="D113" s="47">
        <v>3273</v>
      </c>
      <c r="E113" s="47">
        <v>336</v>
      </c>
      <c r="F113" s="47">
        <v>4</v>
      </c>
      <c r="G113" s="45">
        <v>1</v>
      </c>
      <c r="H113" s="45">
        <v>81676</v>
      </c>
      <c r="I113" s="48" t="s">
        <v>17</v>
      </c>
      <c r="J113" s="45">
        <v>55586384</v>
      </c>
      <c r="K113" s="45" t="s">
        <v>3478</v>
      </c>
      <c r="L113" s="45" t="s">
        <v>3480</v>
      </c>
      <c r="M113" s="50">
        <v>99900</v>
      </c>
      <c r="N113" s="51">
        <f t="shared" si="5"/>
        <v>0.3</v>
      </c>
      <c r="O113" s="52">
        <f t="shared" si="3"/>
        <v>69930</v>
      </c>
      <c r="P113" s="48" t="s">
        <v>20</v>
      </c>
    </row>
    <row r="114" spans="1:16" x14ac:dyDescent="0.25">
      <c r="A114" s="45" t="str">
        <f t="shared" si="4"/>
        <v>2025 OKT NOV B1 DISC  30%</v>
      </c>
      <c r="B114" s="46">
        <v>46104</v>
      </c>
      <c r="C114" s="46">
        <v>46113</v>
      </c>
      <c r="D114" s="47">
        <v>3273</v>
      </c>
      <c r="E114" s="47">
        <v>336</v>
      </c>
      <c r="F114" s="47">
        <v>4</v>
      </c>
      <c r="G114" s="45">
        <v>1</v>
      </c>
      <c r="H114" s="45">
        <v>81676</v>
      </c>
      <c r="I114" s="48" t="s">
        <v>17</v>
      </c>
      <c r="J114" s="45">
        <v>55586393</v>
      </c>
      <c r="K114" s="45" t="s">
        <v>3478</v>
      </c>
      <c r="L114" s="45" t="s">
        <v>3481</v>
      </c>
      <c r="M114" s="50">
        <v>99900</v>
      </c>
      <c r="N114" s="51">
        <f t="shared" si="5"/>
        <v>0.3</v>
      </c>
      <c r="O114" s="52">
        <f t="shared" si="3"/>
        <v>69930</v>
      </c>
      <c r="P114" s="48" t="s">
        <v>20</v>
      </c>
    </row>
    <row r="115" spans="1:16" x14ac:dyDescent="0.25">
      <c r="A115" s="45" t="str">
        <f t="shared" si="4"/>
        <v>2025 OKT NOV B1 DISC  30%</v>
      </c>
      <c r="B115" s="46">
        <v>46104</v>
      </c>
      <c r="C115" s="46">
        <v>46113</v>
      </c>
      <c r="D115" s="47">
        <v>3273</v>
      </c>
      <c r="E115" s="47">
        <v>336</v>
      </c>
      <c r="F115" s="47">
        <v>4</v>
      </c>
      <c r="G115" s="45">
        <v>1</v>
      </c>
      <c r="H115" s="45">
        <v>81676</v>
      </c>
      <c r="I115" s="48" t="s">
        <v>17</v>
      </c>
      <c r="J115" s="45">
        <v>55586400</v>
      </c>
      <c r="K115" s="45" t="s">
        <v>3478</v>
      </c>
      <c r="L115" s="45" t="s">
        <v>3482</v>
      </c>
      <c r="M115" s="50">
        <v>99900</v>
      </c>
      <c r="N115" s="51">
        <f t="shared" si="5"/>
        <v>0.3</v>
      </c>
      <c r="O115" s="52">
        <f t="shared" si="3"/>
        <v>69930</v>
      </c>
      <c r="P115" s="48" t="s">
        <v>20</v>
      </c>
    </row>
    <row r="116" spans="1:16" x14ac:dyDescent="0.25">
      <c r="A116" s="45" t="str">
        <f t="shared" si="4"/>
        <v>2025 OKT NOV B1 DISC  30%</v>
      </c>
      <c r="B116" s="46">
        <v>46104</v>
      </c>
      <c r="C116" s="46">
        <v>46113</v>
      </c>
      <c r="D116" s="47">
        <v>3273</v>
      </c>
      <c r="E116" s="47">
        <v>336</v>
      </c>
      <c r="F116" s="47">
        <v>4</v>
      </c>
      <c r="G116" s="45">
        <v>1</v>
      </c>
      <c r="H116" s="45">
        <v>81676</v>
      </c>
      <c r="I116" s="48" t="s">
        <v>17</v>
      </c>
      <c r="J116" s="45">
        <v>55586419</v>
      </c>
      <c r="K116" s="45" t="s">
        <v>3478</v>
      </c>
      <c r="L116" s="45" t="s">
        <v>3483</v>
      </c>
      <c r="M116" s="50">
        <v>99900</v>
      </c>
      <c r="N116" s="51">
        <f t="shared" si="5"/>
        <v>0.3</v>
      </c>
      <c r="O116" s="52">
        <f t="shared" si="3"/>
        <v>69930</v>
      </c>
      <c r="P116" s="48" t="s">
        <v>20</v>
      </c>
    </row>
    <row r="117" spans="1:16" x14ac:dyDescent="0.25">
      <c r="A117" s="45" t="str">
        <f t="shared" si="4"/>
        <v>2025 OKT NOV B1 DISC  30%</v>
      </c>
      <c r="B117" s="46">
        <v>46104</v>
      </c>
      <c r="C117" s="46">
        <v>46113</v>
      </c>
      <c r="D117" s="47">
        <v>3273</v>
      </c>
      <c r="E117" s="47">
        <v>336</v>
      </c>
      <c r="F117" s="47">
        <v>4</v>
      </c>
      <c r="G117" s="45">
        <v>1</v>
      </c>
      <c r="H117" s="45">
        <v>81676</v>
      </c>
      <c r="I117" s="48" t="s">
        <v>17</v>
      </c>
      <c r="J117" s="45">
        <v>55586428</v>
      </c>
      <c r="K117" s="45" t="s">
        <v>3478</v>
      </c>
      <c r="L117" s="45" t="s">
        <v>3484</v>
      </c>
      <c r="M117" s="50">
        <v>99900</v>
      </c>
      <c r="N117" s="51">
        <f t="shared" si="5"/>
        <v>0.3</v>
      </c>
      <c r="O117" s="52">
        <f t="shared" si="3"/>
        <v>69930</v>
      </c>
      <c r="P117" s="48" t="s">
        <v>20</v>
      </c>
    </row>
    <row r="118" spans="1:16" x14ac:dyDescent="0.25">
      <c r="A118" s="45" t="str">
        <f t="shared" si="4"/>
        <v>2025 OKT NOV B1 DISC  30%</v>
      </c>
      <c r="B118" s="46">
        <v>46104</v>
      </c>
      <c r="C118" s="46">
        <v>46113</v>
      </c>
      <c r="D118" s="47">
        <v>3273</v>
      </c>
      <c r="E118" s="47">
        <v>336</v>
      </c>
      <c r="F118" s="47">
        <v>4</v>
      </c>
      <c r="G118" s="45">
        <v>1</v>
      </c>
      <c r="H118" s="45">
        <v>81676</v>
      </c>
      <c r="I118" s="48" t="s">
        <v>17</v>
      </c>
      <c r="J118" s="45">
        <v>55586437</v>
      </c>
      <c r="K118" s="45" t="s">
        <v>3478</v>
      </c>
      <c r="L118" s="45" t="s">
        <v>3485</v>
      </c>
      <c r="M118" s="50">
        <v>99900</v>
      </c>
      <c r="N118" s="51">
        <f t="shared" si="5"/>
        <v>0.3</v>
      </c>
      <c r="O118" s="52">
        <f t="shared" si="3"/>
        <v>69930</v>
      </c>
      <c r="P118" s="48" t="s">
        <v>20</v>
      </c>
    </row>
    <row r="119" spans="1:16" x14ac:dyDescent="0.25">
      <c r="A119" s="45" t="str">
        <f t="shared" si="4"/>
        <v>2025 OKT NOV B1 DISC  30%</v>
      </c>
      <c r="B119" s="46">
        <v>46104</v>
      </c>
      <c r="C119" s="46">
        <v>46113</v>
      </c>
      <c r="D119" s="47">
        <v>3273</v>
      </c>
      <c r="E119" s="47">
        <v>336</v>
      </c>
      <c r="F119" s="47">
        <v>4</v>
      </c>
      <c r="G119" s="45">
        <v>8</v>
      </c>
      <c r="H119" s="45">
        <v>81588</v>
      </c>
      <c r="I119" s="48" t="s">
        <v>17</v>
      </c>
      <c r="J119" s="45">
        <v>55586517</v>
      </c>
      <c r="K119" s="45" t="s">
        <v>3486</v>
      </c>
      <c r="L119" s="45" t="s">
        <v>3487</v>
      </c>
      <c r="M119" s="50">
        <v>199900</v>
      </c>
      <c r="N119" s="51">
        <f t="shared" si="5"/>
        <v>0.3</v>
      </c>
      <c r="O119" s="52">
        <f t="shared" si="3"/>
        <v>139930</v>
      </c>
      <c r="P119" s="48" t="s">
        <v>20</v>
      </c>
    </row>
    <row r="120" spans="1:16" x14ac:dyDescent="0.25">
      <c r="A120" s="45" t="str">
        <f t="shared" si="4"/>
        <v>2025 OKT NOV B1 DISC  30%</v>
      </c>
      <c r="B120" s="46">
        <v>46104</v>
      </c>
      <c r="C120" s="46">
        <v>46113</v>
      </c>
      <c r="D120" s="47">
        <v>3273</v>
      </c>
      <c r="E120" s="47">
        <v>336</v>
      </c>
      <c r="F120" s="47">
        <v>4</v>
      </c>
      <c r="G120" s="45">
        <v>8</v>
      </c>
      <c r="H120" s="45">
        <v>81588</v>
      </c>
      <c r="I120" s="48" t="s">
        <v>17</v>
      </c>
      <c r="J120" s="45">
        <v>55586526</v>
      </c>
      <c r="K120" s="45" t="s">
        <v>3486</v>
      </c>
      <c r="L120" s="45" t="s">
        <v>3488</v>
      </c>
      <c r="M120" s="50">
        <v>199900</v>
      </c>
      <c r="N120" s="51">
        <f t="shared" si="5"/>
        <v>0.3</v>
      </c>
      <c r="O120" s="52">
        <f t="shared" si="3"/>
        <v>139930</v>
      </c>
      <c r="P120" s="48" t="s">
        <v>20</v>
      </c>
    </row>
    <row r="121" spans="1:16" x14ac:dyDescent="0.25">
      <c r="A121" s="45" t="str">
        <f t="shared" si="4"/>
        <v>2025 OKT NOV B1 DISC  30%</v>
      </c>
      <c r="B121" s="46">
        <v>46104</v>
      </c>
      <c r="C121" s="46">
        <v>46113</v>
      </c>
      <c r="D121" s="47">
        <v>3273</v>
      </c>
      <c r="E121" s="47">
        <v>336</v>
      </c>
      <c r="F121" s="47">
        <v>4</v>
      </c>
      <c r="G121" s="45">
        <v>8</v>
      </c>
      <c r="H121" s="45">
        <v>81588</v>
      </c>
      <c r="I121" s="48" t="s">
        <v>17</v>
      </c>
      <c r="J121" s="45">
        <v>55586535</v>
      </c>
      <c r="K121" s="45" t="s">
        <v>3486</v>
      </c>
      <c r="L121" s="45" t="s">
        <v>3489</v>
      </c>
      <c r="M121" s="50">
        <v>199900</v>
      </c>
      <c r="N121" s="51">
        <f t="shared" si="5"/>
        <v>0.3</v>
      </c>
      <c r="O121" s="52">
        <f t="shared" si="3"/>
        <v>139930</v>
      </c>
      <c r="P121" s="48" t="s">
        <v>20</v>
      </c>
    </row>
    <row r="122" spans="1:16" x14ac:dyDescent="0.25">
      <c r="A122" s="45" t="str">
        <f t="shared" si="4"/>
        <v>2025 OKT NOV B1 DISC  30%</v>
      </c>
      <c r="B122" s="46">
        <v>46104</v>
      </c>
      <c r="C122" s="46">
        <v>46113</v>
      </c>
      <c r="D122" s="47">
        <v>3273</v>
      </c>
      <c r="E122" s="47">
        <v>336</v>
      </c>
      <c r="F122" s="47">
        <v>4</v>
      </c>
      <c r="G122" s="45">
        <v>8</v>
      </c>
      <c r="H122" s="45">
        <v>81588</v>
      </c>
      <c r="I122" s="48" t="s">
        <v>17</v>
      </c>
      <c r="J122" s="45">
        <v>55586544</v>
      </c>
      <c r="K122" s="45" t="s">
        <v>3486</v>
      </c>
      <c r="L122" s="45" t="s">
        <v>3490</v>
      </c>
      <c r="M122" s="50">
        <v>199900</v>
      </c>
      <c r="N122" s="51">
        <f t="shared" si="5"/>
        <v>0.3</v>
      </c>
      <c r="O122" s="52">
        <f t="shared" si="3"/>
        <v>139930</v>
      </c>
      <c r="P122" s="48" t="s">
        <v>20</v>
      </c>
    </row>
    <row r="123" spans="1:16" x14ac:dyDescent="0.25">
      <c r="A123" s="45" t="str">
        <f t="shared" si="4"/>
        <v>2025 OKT NOV B1 DISC  30%</v>
      </c>
      <c r="B123" s="46">
        <v>46104</v>
      </c>
      <c r="C123" s="46">
        <v>46113</v>
      </c>
      <c r="D123" s="47">
        <v>3273</v>
      </c>
      <c r="E123" s="47">
        <v>336</v>
      </c>
      <c r="F123" s="47">
        <v>4</v>
      </c>
      <c r="G123" s="45">
        <v>8</v>
      </c>
      <c r="H123" s="45">
        <v>81588</v>
      </c>
      <c r="I123" s="48" t="s">
        <v>17</v>
      </c>
      <c r="J123" s="45">
        <v>55586553</v>
      </c>
      <c r="K123" s="45" t="s">
        <v>3486</v>
      </c>
      <c r="L123" s="45" t="s">
        <v>3491</v>
      </c>
      <c r="M123" s="50">
        <v>199900</v>
      </c>
      <c r="N123" s="51">
        <f t="shared" si="5"/>
        <v>0.3</v>
      </c>
      <c r="O123" s="52">
        <f t="shared" si="3"/>
        <v>139930</v>
      </c>
      <c r="P123" s="48" t="s">
        <v>20</v>
      </c>
    </row>
    <row r="124" spans="1:16" x14ac:dyDescent="0.25">
      <c r="A124" s="45" t="str">
        <f t="shared" si="4"/>
        <v>2025 OKT NOV B1 DISC  30%</v>
      </c>
      <c r="B124" s="46">
        <v>46104</v>
      </c>
      <c r="C124" s="46">
        <v>46113</v>
      </c>
      <c r="D124" s="47">
        <v>3273</v>
      </c>
      <c r="E124" s="47">
        <v>336</v>
      </c>
      <c r="F124" s="47">
        <v>4</v>
      </c>
      <c r="G124" s="45">
        <v>8</v>
      </c>
      <c r="H124" s="45">
        <v>81588</v>
      </c>
      <c r="I124" s="48" t="s">
        <v>17</v>
      </c>
      <c r="J124" s="45">
        <v>55586562</v>
      </c>
      <c r="K124" s="45" t="s">
        <v>3486</v>
      </c>
      <c r="L124" s="45" t="s">
        <v>3492</v>
      </c>
      <c r="M124" s="50">
        <v>199900</v>
      </c>
      <c r="N124" s="51">
        <f t="shared" si="5"/>
        <v>0.3</v>
      </c>
      <c r="O124" s="52">
        <f t="shared" si="3"/>
        <v>139930</v>
      </c>
      <c r="P124" s="48" t="s">
        <v>20</v>
      </c>
    </row>
    <row r="125" spans="1:16" x14ac:dyDescent="0.25">
      <c r="A125" s="45" t="str">
        <f t="shared" si="4"/>
        <v>2025 OKT NOV B1 DISC  30%</v>
      </c>
      <c r="B125" s="46">
        <v>46104</v>
      </c>
      <c r="C125" s="46">
        <v>46113</v>
      </c>
      <c r="D125" s="47">
        <v>3273</v>
      </c>
      <c r="E125" s="47">
        <v>336</v>
      </c>
      <c r="F125" s="47">
        <v>4</v>
      </c>
      <c r="G125" s="45">
        <v>8</v>
      </c>
      <c r="H125" s="45">
        <v>81588</v>
      </c>
      <c r="I125" s="48" t="s">
        <v>17</v>
      </c>
      <c r="J125" s="45">
        <v>55586571</v>
      </c>
      <c r="K125" s="45" t="s">
        <v>3486</v>
      </c>
      <c r="L125" s="45" t="s">
        <v>3493</v>
      </c>
      <c r="M125" s="50">
        <v>199900</v>
      </c>
      <c r="N125" s="51">
        <f t="shared" si="5"/>
        <v>0.3</v>
      </c>
      <c r="O125" s="52">
        <f t="shared" si="3"/>
        <v>139930</v>
      </c>
      <c r="P125" s="48" t="s">
        <v>20</v>
      </c>
    </row>
    <row r="126" spans="1:16" x14ac:dyDescent="0.25">
      <c r="A126" s="45" t="str">
        <f t="shared" si="4"/>
        <v>2025 OKT NOV B1 DISC  30%</v>
      </c>
      <c r="B126" s="46">
        <v>46104</v>
      </c>
      <c r="C126" s="46">
        <v>46113</v>
      </c>
      <c r="D126" s="47">
        <v>3273</v>
      </c>
      <c r="E126" s="47">
        <v>336</v>
      </c>
      <c r="F126" s="47">
        <v>4</v>
      </c>
      <c r="G126" s="45">
        <v>9</v>
      </c>
      <c r="H126" s="45">
        <v>81588</v>
      </c>
      <c r="I126" s="48" t="s">
        <v>17</v>
      </c>
      <c r="J126" s="45">
        <v>55586580</v>
      </c>
      <c r="K126" s="45" t="s">
        <v>3494</v>
      </c>
      <c r="L126" s="45" t="s">
        <v>3495</v>
      </c>
      <c r="M126" s="50">
        <v>149900</v>
      </c>
      <c r="N126" s="51">
        <f t="shared" si="5"/>
        <v>0.3</v>
      </c>
      <c r="O126" s="52">
        <f t="shared" si="3"/>
        <v>104930</v>
      </c>
      <c r="P126" s="48" t="s">
        <v>20</v>
      </c>
    </row>
    <row r="127" spans="1:16" x14ac:dyDescent="0.25">
      <c r="A127" s="45" t="str">
        <f t="shared" si="4"/>
        <v>2025 OKT NOV B1 DISC  30%</v>
      </c>
      <c r="B127" s="46">
        <v>46104</v>
      </c>
      <c r="C127" s="46">
        <v>46113</v>
      </c>
      <c r="D127" s="47">
        <v>3273</v>
      </c>
      <c r="E127" s="47">
        <v>336</v>
      </c>
      <c r="F127" s="47">
        <v>4</v>
      </c>
      <c r="G127" s="45">
        <v>9</v>
      </c>
      <c r="H127" s="45">
        <v>81588</v>
      </c>
      <c r="I127" s="48" t="s">
        <v>17</v>
      </c>
      <c r="J127" s="45">
        <v>55586599</v>
      </c>
      <c r="K127" s="45" t="s">
        <v>3494</v>
      </c>
      <c r="L127" s="45" t="s">
        <v>3496</v>
      </c>
      <c r="M127" s="50">
        <v>149900</v>
      </c>
      <c r="N127" s="51">
        <f t="shared" si="5"/>
        <v>0.3</v>
      </c>
      <c r="O127" s="52">
        <f t="shared" si="3"/>
        <v>104930</v>
      </c>
      <c r="P127" s="48" t="s">
        <v>20</v>
      </c>
    </row>
    <row r="128" spans="1:16" x14ac:dyDescent="0.25">
      <c r="A128" s="45" t="str">
        <f t="shared" si="4"/>
        <v>2025 OKT NOV B1 DISC  30%</v>
      </c>
      <c r="B128" s="46">
        <v>46104</v>
      </c>
      <c r="C128" s="46">
        <v>46113</v>
      </c>
      <c r="D128" s="47">
        <v>3273</v>
      </c>
      <c r="E128" s="47">
        <v>336</v>
      </c>
      <c r="F128" s="47">
        <v>4</v>
      </c>
      <c r="G128" s="45">
        <v>9</v>
      </c>
      <c r="H128" s="45">
        <v>81588</v>
      </c>
      <c r="I128" s="48" t="s">
        <v>17</v>
      </c>
      <c r="J128" s="45">
        <v>55586606</v>
      </c>
      <c r="K128" s="45" t="s">
        <v>3494</v>
      </c>
      <c r="L128" s="45" t="s">
        <v>3497</v>
      </c>
      <c r="M128" s="50">
        <v>149900</v>
      </c>
      <c r="N128" s="51">
        <f t="shared" si="5"/>
        <v>0.3</v>
      </c>
      <c r="O128" s="52">
        <f t="shared" si="3"/>
        <v>104930</v>
      </c>
      <c r="P128" s="48" t="s">
        <v>20</v>
      </c>
    </row>
    <row r="129" spans="1:16" x14ac:dyDescent="0.25">
      <c r="A129" s="45" t="str">
        <f t="shared" si="4"/>
        <v>2025 OKT NOV B1 DISC  30%</v>
      </c>
      <c r="B129" s="46">
        <v>46104</v>
      </c>
      <c r="C129" s="46">
        <v>46113</v>
      </c>
      <c r="D129" s="47">
        <v>3273</v>
      </c>
      <c r="E129" s="47">
        <v>336</v>
      </c>
      <c r="F129" s="47">
        <v>4</v>
      </c>
      <c r="G129" s="45">
        <v>9</v>
      </c>
      <c r="H129" s="45">
        <v>81588</v>
      </c>
      <c r="I129" s="48" t="s">
        <v>17</v>
      </c>
      <c r="J129" s="45">
        <v>55586615</v>
      </c>
      <c r="K129" s="45" t="s">
        <v>3494</v>
      </c>
      <c r="L129" s="45" t="s">
        <v>3498</v>
      </c>
      <c r="M129" s="50">
        <v>149900</v>
      </c>
      <c r="N129" s="51">
        <f t="shared" si="5"/>
        <v>0.3</v>
      </c>
      <c r="O129" s="52">
        <f t="shared" si="3"/>
        <v>104930</v>
      </c>
      <c r="P129" s="48" t="s">
        <v>20</v>
      </c>
    </row>
    <row r="130" spans="1:16" x14ac:dyDescent="0.25">
      <c r="A130" s="45" t="str">
        <f t="shared" si="4"/>
        <v>2025 OKT NOV B1 DISC  30%</v>
      </c>
      <c r="B130" s="46">
        <v>46104</v>
      </c>
      <c r="C130" s="46">
        <v>46113</v>
      </c>
      <c r="D130" s="47">
        <v>3273</v>
      </c>
      <c r="E130" s="47">
        <v>336</v>
      </c>
      <c r="F130" s="47">
        <v>4</v>
      </c>
      <c r="G130" s="45">
        <v>9</v>
      </c>
      <c r="H130" s="45">
        <v>81588</v>
      </c>
      <c r="I130" s="48" t="s">
        <v>17</v>
      </c>
      <c r="J130" s="45">
        <v>55586624</v>
      </c>
      <c r="K130" s="45" t="s">
        <v>3494</v>
      </c>
      <c r="L130" s="45" t="s">
        <v>3499</v>
      </c>
      <c r="M130" s="50">
        <v>149900</v>
      </c>
      <c r="N130" s="51">
        <f t="shared" si="5"/>
        <v>0.3</v>
      </c>
      <c r="O130" s="52">
        <f t="shared" si="3"/>
        <v>104930</v>
      </c>
      <c r="P130" s="48" t="s">
        <v>20</v>
      </c>
    </row>
    <row r="131" spans="1:16" x14ac:dyDescent="0.25">
      <c r="A131" s="45" t="str">
        <f t="shared" si="4"/>
        <v>2025 OKT NOV B1 DISC  30%</v>
      </c>
      <c r="B131" s="46">
        <v>46104</v>
      </c>
      <c r="C131" s="46">
        <v>46113</v>
      </c>
      <c r="D131" s="47">
        <v>3273</v>
      </c>
      <c r="E131" s="47">
        <v>336</v>
      </c>
      <c r="F131" s="47">
        <v>4</v>
      </c>
      <c r="G131" s="45">
        <v>9</v>
      </c>
      <c r="H131" s="45">
        <v>81588</v>
      </c>
      <c r="I131" s="48" t="s">
        <v>17</v>
      </c>
      <c r="J131" s="45">
        <v>55586633</v>
      </c>
      <c r="K131" s="45" t="s">
        <v>3494</v>
      </c>
      <c r="L131" s="45" t="s">
        <v>3500</v>
      </c>
      <c r="M131" s="50">
        <v>149900</v>
      </c>
      <c r="N131" s="51">
        <f t="shared" si="5"/>
        <v>0.3</v>
      </c>
      <c r="O131" s="52">
        <f t="shared" ref="O131:O194" si="6">M131-((30*M131)/100)</f>
        <v>104930</v>
      </c>
      <c r="P131" s="48" t="s">
        <v>20</v>
      </c>
    </row>
    <row r="132" spans="1:16" x14ac:dyDescent="0.25">
      <c r="A132" s="45" t="str">
        <f t="shared" ref="A132:A195" si="7">A131</f>
        <v>2025 OKT NOV B1 DISC  30%</v>
      </c>
      <c r="B132" s="46">
        <v>46104</v>
      </c>
      <c r="C132" s="46">
        <v>46113</v>
      </c>
      <c r="D132" s="47">
        <v>3273</v>
      </c>
      <c r="E132" s="47">
        <v>336</v>
      </c>
      <c r="F132" s="47">
        <v>4</v>
      </c>
      <c r="G132" s="45">
        <v>9</v>
      </c>
      <c r="H132" s="45">
        <v>81588</v>
      </c>
      <c r="I132" s="48" t="s">
        <v>17</v>
      </c>
      <c r="J132" s="45">
        <v>55586642</v>
      </c>
      <c r="K132" s="45" t="s">
        <v>3494</v>
      </c>
      <c r="L132" s="45" t="s">
        <v>3501</v>
      </c>
      <c r="M132" s="50">
        <v>149900</v>
      </c>
      <c r="N132" s="51">
        <f t="shared" ref="N132:N195" si="8">N131</f>
        <v>0.3</v>
      </c>
      <c r="O132" s="52">
        <f t="shared" si="6"/>
        <v>104930</v>
      </c>
      <c r="P132" s="48" t="s">
        <v>20</v>
      </c>
    </row>
    <row r="133" spans="1:16" x14ac:dyDescent="0.25">
      <c r="A133" s="45" t="str">
        <f t="shared" si="7"/>
        <v>2025 OKT NOV B1 DISC  30%</v>
      </c>
      <c r="B133" s="46">
        <v>46104</v>
      </c>
      <c r="C133" s="46">
        <v>46113</v>
      </c>
      <c r="D133" s="47">
        <v>3273</v>
      </c>
      <c r="E133" s="47">
        <v>336</v>
      </c>
      <c r="F133" s="47">
        <v>4</v>
      </c>
      <c r="G133" s="45">
        <v>6</v>
      </c>
      <c r="H133" s="45">
        <v>81588</v>
      </c>
      <c r="I133" s="48" t="s">
        <v>17</v>
      </c>
      <c r="J133" s="45">
        <v>61093038</v>
      </c>
      <c r="K133" s="45" t="s">
        <v>3502</v>
      </c>
      <c r="L133" s="45" t="s">
        <v>3503</v>
      </c>
      <c r="M133" s="50">
        <v>99900</v>
      </c>
      <c r="N133" s="51">
        <f t="shared" si="8"/>
        <v>0.3</v>
      </c>
      <c r="O133" s="52">
        <f t="shared" si="6"/>
        <v>69930</v>
      </c>
      <c r="P133" s="48" t="s">
        <v>20</v>
      </c>
    </row>
    <row r="134" spans="1:16" x14ac:dyDescent="0.25">
      <c r="A134" s="45" t="str">
        <f t="shared" si="7"/>
        <v>2025 OKT NOV B1 DISC  30%</v>
      </c>
      <c r="B134" s="46">
        <v>46104</v>
      </c>
      <c r="C134" s="46">
        <v>46113</v>
      </c>
      <c r="D134" s="47">
        <v>3273</v>
      </c>
      <c r="E134" s="47">
        <v>336</v>
      </c>
      <c r="F134" s="47">
        <v>4</v>
      </c>
      <c r="G134" s="45">
        <v>6</v>
      </c>
      <c r="H134" s="45">
        <v>81588</v>
      </c>
      <c r="I134" s="48" t="s">
        <v>17</v>
      </c>
      <c r="J134" s="45">
        <v>61093047</v>
      </c>
      <c r="K134" s="45" t="s">
        <v>3502</v>
      </c>
      <c r="L134" s="45" t="s">
        <v>3504</v>
      </c>
      <c r="M134" s="50">
        <v>99900</v>
      </c>
      <c r="N134" s="51">
        <f t="shared" si="8"/>
        <v>0.3</v>
      </c>
      <c r="O134" s="52">
        <f t="shared" si="6"/>
        <v>69930</v>
      </c>
      <c r="P134" s="48" t="s">
        <v>20</v>
      </c>
    </row>
    <row r="135" spans="1:16" x14ac:dyDescent="0.25">
      <c r="A135" s="45" t="str">
        <f t="shared" si="7"/>
        <v>2025 OKT NOV B1 DISC  30%</v>
      </c>
      <c r="B135" s="46">
        <v>46104</v>
      </c>
      <c r="C135" s="46">
        <v>46113</v>
      </c>
      <c r="D135" s="47">
        <v>3273</v>
      </c>
      <c r="E135" s="47">
        <v>336</v>
      </c>
      <c r="F135" s="47">
        <v>4</v>
      </c>
      <c r="G135" s="45">
        <v>6</v>
      </c>
      <c r="H135" s="45">
        <v>81588</v>
      </c>
      <c r="I135" s="48" t="s">
        <v>17</v>
      </c>
      <c r="J135" s="45">
        <v>61093056</v>
      </c>
      <c r="K135" s="45" t="s">
        <v>3502</v>
      </c>
      <c r="L135" s="45" t="s">
        <v>3505</v>
      </c>
      <c r="M135" s="50">
        <v>99900</v>
      </c>
      <c r="N135" s="51">
        <f t="shared" si="8"/>
        <v>0.3</v>
      </c>
      <c r="O135" s="52">
        <f t="shared" si="6"/>
        <v>69930</v>
      </c>
      <c r="P135" s="48" t="s">
        <v>20</v>
      </c>
    </row>
    <row r="136" spans="1:16" x14ac:dyDescent="0.25">
      <c r="A136" s="45" t="str">
        <f t="shared" si="7"/>
        <v>2025 OKT NOV B1 DISC  30%</v>
      </c>
      <c r="B136" s="46">
        <v>46104</v>
      </c>
      <c r="C136" s="46">
        <v>46113</v>
      </c>
      <c r="D136" s="47">
        <v>3273</v>
      </c>
      <c r="E136" s="47">
        <v>336</v>
      </c>
      <c r="F136" s="47">
        <v>4</v>
      </c>
      <c r="G136" s="45">
        <v>6</v>
      </c>
      <c r="H136" s="45">
        <v>81588</v>
      </c>
      <c r="I136" s="48" t="s">
        <v>17</v>
      </c>
      <c r="J136" s="45">
        <v>61093065</v>
      </c>
      <c r="K136" s="45" t="s">
        <v>3502</v>
      </c>
      <c r="L136" s="45" t="s">
        <v>3506</v>
      </c>
      <c r="M136" s="50">
        <v>99900</v>
      </c>
      <c r="N136" s="51">
        <f t="shared" si="8"/>
        <v>0.3</v>
      </c>
      <c r="O136" s="52">
        <f t="shared" si="6"/>
        <v>69930</v>
      </c>
      <c r="P136" s="48" t="s">
        <v>20</v>
      </c>
    </row>
    <row r="137" spans="1:16" x14ac:dyDescent="0.25">
      <c r="A137" s="45" t="str">
        <f t="shared" si="7"/>
        <v>2025 OKT NOV B1 DISC  30%</v>
      </c>
      <c r="B137" s="46">
        <v>46104</v>
      </c>
      <c r="C137" s="46">
        <v>46113</v>
      </c>
      <c r="D137" s="47">
        <v>3273</v>
      </c>
      <c r="E137" s="47">
        <v>336</v>
      </c>
      <c r="F137" s="47">
        <v>4</v>
      </c>
      <c r="G137" s="45">
        <v>6</v>
      </c>
      <c r="H137" s="45">
        <v>81588</v>
      </c>
      <c r="I137" s="48" t="s">
        <v>17</v>
      </c>
      <c r="J137" s="45">
        <v>61093074</v>
      </c>
      <c r="K137" s="45" t="s">
        <v>3502</v>
      </c>
      <c r="L137" s="45" t="s">
        <v>3507</v>
      </c>
      <c r="M137" s="50">
        <v>99900</v>
      </c>
      <c r="N137" s="51">
        <f t="shared" si="8"/>
        <v>0.3</v>
      </c>
      <c r="O137" s="52">
        <f t="shared" si="6"/>
        <v>69930</v>
      </c>
      <c r="P137" s="48" t="s">
        <v>20</v>
      </c>
    </row>
    <row r="138" spans="1:16" x14ac:dyDescent="0.25">
      <c r="A138" s="45" t="str">
        <f t="shared" si="7"/>
        <v>2025 OKT NOV B1 DISC  30%</v>
      </c>
      <c r="B138" s="46">
        <v>46104</v>
      </c>
      <c r="C138" s="46">
        <v>46113</v>
      </c>
      <c r="D138" s="47">
        <v>3273</v>
      </c>
      <c r="E138" s="47">
        <v>336</v>
      </c>
      <c r="F138" s="47">
        <v>4</v>
      </c>
      <c r="G138" s="45">
        <v>6</v>
      </c>
      <c r="H138" s="45">
        <v>81588</v>
      </c>
      <c r="I138" s="48" t="s">
        <v>17</v>
      </c>
      <c r="J138" s="45">
        <v>61093083</v>
      </c>
      <c r="K138" s="45" t="s">
        <v>3502</v>
      </c>
      <c r="L138" s="45" t="s">
        <v>3508</v>
      </c>
      <c r="M138" s="50">
        <v>99900</v>
      </c>
      <c r="N138" s="51">
        <f t="shared" si="8"/>
        <v>0.3</v>
      </c>
      <c r="O138" s="52">
        <f t="shared" si="6"/>
        <v>69930</v>
      </c>
      <c r="P138" s="48" t="s">
        <v>20</v>
      </c>
    </row>
    <row r="139" spans="1:16" x14ac:dyDescent="0.25">
      <c r="A139" s="45" t="str">
        <f t="shared" si="7"/>
        <v>2025 OKT NOV B1 DISC  30%</v>
      </c>
      <c r="B139" s="46">
        <v>46104</v>
      </c>
      <c r="C139" s="46">
        <v>46113</v>
      </c>
      <c r="D139" s="47">
        <v>3273</v>
      </c>
      <c r="E139" s="47">
        <v>336</v>
      </c>
      <c r="F139" s="47">
        <v>4</v>
      </c>
      <c r="G139" s="45">
        <v>6</v>
      </c>
      <c r="H139" s="45">
        <v>81588</v>
      </c>
      <c r="I139" s="48" t="s">
        <v>17</v>
      </c>
      <c r="J139" s="45">
        <v>61093092</v>
      </c>
      <c r="K139" s="45" t="s">
        <v>3502</v>
      </c>
      <c r="L139" s="45" t="s">
        <v>3509</v>
      </c>
      <c r="M139" s="50">
        <v>99900</v>
      </c>
      <c r="N139" s="51">
        <f t="shared" si="8"/>
        <v>0.3</v>
      </c>
      <c r="O139" s="52">
        <f t="shared" si="6"/>
        <v>69930</v>
      </c>
      <c r="P139" s="48" t="s">
        <v>20</v>
      </c>
    </row>
    <row r="140" spans="1:16" x14ac:dyDescent="0.25">
      <c r="A140" s="45" t="str">
        <f t="shared" si="7"/>
        <v>2025 OKT NOV B1 DISC  30%</v>
      </c>
      <c r="B140" s="46">
        <v>46104</v>
      </c>
      <c r="C140" s="46">
        <v>46113</v>
      </c>
      <c r="D140" s="47">
        <v>3273</v>
      </c>
      <c r="E140" s="47">
        <v>336</v>
      </c>
      <c r="F140" s="47">
        <v>4</v>
      </c>
      <c r="G140" s="45">
        <v>6</v>
      </c>
      <c r="H140" s="45">
        <v>81588</v>
      </c>
      <c r="I140" s="48" t="s">
        <v>17</v>
      </c>
      <c r="J140" s="45">
        <v>61093109</v>
      </c>
      <c r="K140" s="45" t="s">
        <v>3510</v>
      </c>
      <c r="L140" s="45" t="s">
        <v>3511</v>
      </c>
      <c r="M140" s="50">
        <v>99900</v>
      </c>
      <c r="N140" s="51">
        <f t="shared" si="8"/>
        <v>0.3</v>
      </c>
      <c r="O140" s="52">
        <f t="shared" si="6"/>
        <v>69930</v>
      </c>
      <c r="P140" s="48" t="s">
        <v>20</v>
      </c>
    </row>
    <row r="141" spans="1:16" x14ac:dyDescent="0.25">
      <c r="A141" s="45" t="str">
        <f t="shared" si="7"/>
        <v>2025 OKT NOV B1 DISC  30%</v>
      </c>
      <c r="B141" s="46">
        <v>46104</v>
      </c>
      <c r="C141" s="46">
        <v>46113</v>
      </c>
      <c r="D141" s="47">
        <v>3273</v>
      </c>
      <c r="E141" s="47">
        <v>336</v>
      </c>
      <c r="F141" s="47">
        <v>4</v>
      </c>
      <c r="G141" s="45">
        <v>6</v>
      </c>
      <c r="H141" s="45">
        <v>81588</v>
      </c>
      <c r="I141" s="48" t="s">
        <v>17</v>
      </c>
      <c r="J141" s="45">
        <v>61093118</v>
      </c>
      <c r="K141" s="45" t="s">
        <v>3510</v>
      </c>
      <c r="L141" s="45" t="s">
        <v>3512</v>
      </c>
      <c r="M141" s="50">
        <v>99900</v>
      </c>
      <c r="N141" s="51">
        <f t="shared" si="8"/>
        <v>0.3</v>
      </c>
      <c r="O141" s="52">
        <f t="shared" si="6"/>
        <v>69930</v>
      </c>
      <c r="P141" s="48" t="s">
        <v>20</v>
      </c>
    </row>
    <row r="142" spans="1:16" x14ac:dyDescent="0.25">
      <c r="A142" s="45" t="str">
        <f t="shared" si="7"/>
        <v>2025 OKT NOV B1 DISC  30%</v>
      </c>
      <c r="B142" s="46">
        <v>46104</v>
      </c>
      <c r="C142" s="46">
        <v>46113</v>
      </c>
      <c r="D142" s="47">
        <v>3273</v>
      </c>
      <c r="E142" s="47">
        <v>336</v>
      </c>
      <c r="F142" s="47">
        <v>4</v>
      </c>
      <c r="G142" s="45">
        <v>6</v>
      </c>
      <c r="H142" s="45">
        <v>81588</v>
      </c>
      <c r="I142" s="48" t="s">
        <v>17</v>
      </c>
      <c r="J142" s="45">
        <v>61093127</v>
      </c>
      <c r="K142" s="45" t="s">
        <v>3510</v>
      </c>
      <c r="L142" s="45" t="s">
        <v>3513</v>
      </c>
      <c r="M142" s="50">
        <v>99900</v>
      </c>
      <c r="N142" s="51">
        <f t="shared" si="8"/>
        <v>0.3</v>
      </c>
      <c r="O142" s="52">
        <f t="shared" si="6"/>
        <v>69930</v>
      </c>
      <c r="P142" s="48" t="s">
        <v>20</v>
      </c>
    </row>
    <row r="143" spans="1:16" x14ac:dyDescent="0.25">
      <c r="A143" s="45" t="str">
        <f t="shared" si="7"/>
        <v>2025 OKT NOV B1 DISC  30%</v>
      </c>
      <c r="B143" s="46">
        <v>46104</v>
      </c>
      <c r="C143" s="46">
        <v>46113</v>
      </c>
      <c r="D143" s="47">
        <v>3273</v>
      </c>
      <c r="E143" s="47">
        <v>336</v>
      </c>
      <c r="F143" s="47">
        <v>4</v>
      </c>
      <c r="G143" s="45">
        <v>6</v>
      </c>
      <c r="H143" s="45">
        <v>81588</v>
      </c>
      <c r="I143" s="48" t="s">
        <v>17</v>
      </c>
      <c r="J143" s="45">
        <v>61093136</v>
      </c>
      <c r="K143" s="45" t="s">
        <v>3510</v>
      </c>
      <c r="L143" s="45" t="s">
        <v>3514</v>
      </c>
      <c r="M143" s="50">
        <v>99900</v>
      </c>
      <c r="N143" s="51">
        <f t="shared" si="8"/>
        <v>0.3</v>
      </c>
      <c r="O143" s="52">
        <f t="shared" si="6"/>
        <v>69930</v>
      </c>
      <c r="P143" s="48" t="s">
        <v>20</v>
      </c>
    </row>
    <row r="144" spans="1:16" x14ac:dyDescent="0.25">
      <c r="A144" s="45" t="str">
        <f t="shared" si="7"/>
        <v>2025 OKT NOV B1 DISC  30%</v>
      </c>
      <c r="B144" s="46">
        <v>46104</v>
      </c>
      <c r="C144" s="46">
        <v>46113</v>
      </c>
      <c r="D144" s="47">
        <v>3273</v>
      </c>
      <c r="E144" s="47">
        <v>336</v>
      </c>
      <c r="F144" s="47">
        <v>4</v>
      </c>
      <c r="G144" s="45">
        <v>6</v>
      </c>
      <c r="H144" s="45">
        <v>81588</v>
      </c>
      <c r="I144" s="48" t="s">
        <v>17</v>
      </c>
      <c r="J144" s="45">
        <v>61093145</v>
      </c>
      <c r="K144" s="45" t="s">
        <v>3510</v>
      </c>
      <c r="L144" s="45" t="s">
        <v>3515</v>
      </c>
      <c r="M144" s="50">
        <v>99900</v>
      </c>
      <c r="N144" s="51">
        <f t="shared" si="8"/>
        <v>0.3</v>
      </c>
      <c r="O144" s="52">
        <f t="shared" si="6"/>
        <v>69930</v>
      </c>
      <c r="P144" s="48" t="s">
        <v>20</v>
      </c>
    </row>
    <row r="145" spans="1:16" x14ac:dyDescent="0.25">
      <c r="A145" s="45" t="str">
        <f t="shared" si="7"/>
        <v>2025 OKT NOV B1 DISC  30%</v>
      </c>
      <c r="B145" s="46">
        <v>46104</v>
      </c>
      <c r="C145" s="46">
        <v>46113</v>
      </c>
      <c r="D145" s="47">
        <v>3273</v>
      </c>
      <c r="E145" s="47">
        <v>336</v>
      </c>
      <c r="F145" s="47">
        <v>4</v>
      </c>
      <c r="G145" s="45">
        <v>6</v>
      </c>
      <c r="H145" s="45">
        <v>81588</v>
      </c>
      <c r="I145" s="48" t="s">
        <v>17</v>
      </c>
      <c r="J145" s="45">
        <v>61093154</v>
      </c>
      <c r="K145" s="45" t="s">
        <v>3510</v>
      </c>
      <c r="L145" s="45" t="s">
        <v>3516</v>
      </c>
      <c r="M145" s="50">
        <v>99900</v>
      </c>
      <c r="N145" s="51">
        <f t="shared" si="8"/>
        <v>0.3</v>
      </c>
      <c r="O145" s="52">
        <f t="shared" si="6"/>
        <v>69930</v>
      </c>
      <c r="P145" s="48" t="s">
        <v>20</v>
      </c>
    </row>
    <row r="146" spans="1:16" x14ac:dyDescent="0.25">
      <c r="A146" s="45" t="str">
        <f t="shared" si="7"/>
        <v>2025 OKT NOV B1 DISC  30%</v>
      </c>
      <c r="B146" s="46">
        <v>46104</v>
      </c>
      <c r="C146" s="46">
        <v>46113</v>
      </c>
      <c r="D146" s="47">
        <v>3273</v>
      </c>
      <c r="E146" s="47">
        <v>336</v>
      </c>
      <c r="F146" s="47">
        <v>4</v>
      </c>
      <c r="G146" s="45">
        <v>6</v>
      </c>
      <c r="H146" s="45">
        <v>81588</v>
      </c>
      <c r="I146" s="48" t="s">
        <v>17</v>
      </c>
      <c r="J146" s="45">
        <v>61093163</v>
      </c>
      <c r="K146" s="45" t="s">
        <v>3510</v>
      </c>
      <c r="L146" s="45" t="s">
        <v>3517</v>
      </c>
      <c r="M146" s="50">
        <v>99900</v>
      </c>
      <c r="N146" s="51">
        <f t="shared" si="8"/>
        <v>0.3</v>
      </c>
      <c r="O146" s="52">
        <f t="shared" si="6"/>
        <v>69930</v>
      </c>
      <c r="P146" s="48" t="s">
        <v>20</v>
      </c>
    </row>
    <row r="147" spans="1:16" x14ac:dyDescent="0.25">
      <c r="A147" s="45" t="str">
        <f t="shared" si="7"/>
        <v>2025 OKT NOV B1 DISC  30%</v>
      </c>
      <c r="B147" s="46">
        <v>46104</v>
      </c>
      <c r="C147" s="46">
        <v>46113</v>
      </c>
      <c r="D147" s="47">
        <v>3273</v>
      </c>
      <c r="E147" s="47">
        <v>336</v>
      </c>
      <c r="F147" s="47">
        <v>4</v>
      </c>
      <c r="G147" s="45">
        <v>6</v>
      </c>
      <c r="H147" s="45">
        <v>81588</v>
      </c>
      <c r="I147" s="48" t="s">
        <v>17</v>
      </c>
      <c r="J147" s="45">
        <v>61093172</v>
      </c>
      <c r="K147" s="45" t="s">
        <v>3518</v>
      </c>
      <c r="L147" s="45" t="s">
        <v>3519</v>
      </c>
      <c r="M147" s="50">
        <v>99900</v>
      </c>
      <c r="N147" s="51">
        <f t="shared" si="8"/>
        <v>0.3</v>
      </c>
      <c r="O147" s="52">
        <f t="shared" si="6"/>
        <v>69930</v>
      </c>
      <c r="P147" s="48" t="s">
        <v>20</v>
      </c>
    </row>
    <row r="148" spans="1:16" x14ac:dyDescent="0.25">
      <c r="A148" s="45" t="str">
        <f t="shared" si="7"/>
        <v>2025 OKT NOV B1 DISC  30%</v>
      </c>
      <c r="B148" s="46">
        <v>46104</v>
      </c>
      <c r="C148" s="46">
        <v>46113</v>
      </c>
      <c r="D148" s="47">
        <v>3273</v>
      </c>
      <c r="E148" s="47">
        <v>336</v>
      </c>
      <c r="F148" s="47">
        <v>4</v>
      </c>
      <c r="G148" s="45">
        <v>6</v>
      </c>
      <c r="H148" s="45">
        <v>81588</v>
      </c>
      <c r="I148" s="48" t="s">
        <v>17</v>
      </c>
      <c r="J148" s="45">
        <v>61093181</v>
      </c>
      <c r="K148" s="45" t="s">
        <v>3518</v>
      </c>
      <c r="L148" s="45" t="s">
        <v>3520</v>
      </c>
      <c r="M148" s="50">
        <v>99900</v>
      </c>
      <c r="N148" s="51">
        <f t="shared" si="8"/>
        <v>0.3</v>
      </c>
      <c r="O148" s="52">
        <f t="shared" si="6"/>
        <v>69930</v>
      </c>
      <c r="P148" s="48" t="s">
        <v>20</v>
      </c>
    </row>
    <row r="149" spans="1:16" x14ac:dyDescent="0.25">
      <c r="A149" s="45" t="str">
        <f t="shared" si="7"/>
        <v>2025 OKT NOV B1 DISC  30%</v>
      </c>
      <c r="B149" s="46">
        <v>46104</v>
      </c>
      <c r="C149" s="46">
        <v>46113</v>
      </c>
      <c r="D149" s="47">
        <v>3273</v>
      </c>
      <c r="E149" s="47">
        <v>336</v>
      </c>
      <c r="F149" s="47">
        <v>4</v>
      </c>
      <c r="G149" s="45">
        <v>6</v>
      </c>
      <c r="H149" s="45">
        <v>81588</v>
      </c>
      <c r="I149" s="48" t="s">
        <v>17</v>
      </c>
      <c r="J149" s="45">
        <v>61093190</v>
      </c>
      <c r="K149" s="45" t="s">
        <v>3518</v>
      </c>
      <c r="L149" s="45" t="s">
        <v>3521</v>
      </c>
      <c r="M149" s="50">
        <v>99900</v>
      </c>
      <c r="N149" s="51">
        <f t="shared" si="8"/>
        <v>0.3</v>
      </c>
      <c r="O149" s="52">
        <f t="shared" si="6"/>
        <v>69930</v>
      </c>
      <c r="P149" s="48" t="s">
        <v>20</v>
      </c>
    </row>
    <row r="150" spans="1:16" x14ac:dyDescent="0.25">
      <c r="A150" s="45" t="str">
        <f t="shared" si="7"/>
        <v>2025 OKT NOV B1 DISC  30%</v>
      </c>
      <c r="B150" s="46">
        <v>46104</v>
      </c>
      <c r="C150" s="46">
        <v>46113</v>
      </c>
      <c r="D150" s="47">
        <v>3273</v>
      </c>
      <c r="E150" s="47">
        <v>336</v>
      </c>
      <c r="F150" s="47">
        <v>4</v>
      </c>
      <c r="G150" s="45">
        <v>6</v>
      </c>
      <c r="H150" s="45">
        <v>81588</v>
      </c>
      <c r="I150" s="48" t="s">
        <v>17</v>
      </c>
      <c r="J150" s="45">
        <v>61093207</v>
      </c>
      <c r="K150" s="45" t="s">
        <v>3518</v>
      </c>
      <c r="L150" s="45" t="s">
        <v>3522</v>
      </c>
      <c r="M150" s="50">
        <v>99900</v>
      </c>
      <c r="N150" s="51">
        <f t="shared" si="8"/>
        <v>0.3</v>
      </c>
      <c r="O150" s="52">
        <f t="shared" si="6"/>
        <v>69930</v>
      </c>
      <c r="P150" s="48" t="s">
        <v>20</v>
      </c>
    </row>
    <row r="151" spans="1:16" x14ac:dyDescent="0.25">
      <c r="A151" s="45" t="str">
        <f t="shared" si="7"/>
        <v>2025 OKT NOV B1 DISC  30%</v>
      </c>
      <c r="B151" s="46">
        <v>46104</v>
      </c>
      <c r="C151" s="46">
        <v>46113</v>
      </c>
      <c r="D151" s="47">
        <v>3273</v>
      </c>
      <c r="E151" s="47">
        <v>336</v>
      </c>
      <c r="F151" s="47">
        <v>4</v>
      </c>
      <c r="G151" s="45">
        <v>6</v>
      </c>
      <c r="H151" s="45">
        <v>81588</v>
      </c>
      <c r="I151" s="48" t="s">
        <v>17</v>
      </c>
      <c r="J151" s="45">
        <v>61093216</v>
      </c>
      <c r="K151" s="45" t="s">
        <v>3518</v>
      </c>
      <c r="L151" s="45" t="s">
        <v>3523</v>
      </c>
      <c r="M151" s="50">
        <v>99900</v>
      </c>
      <c r="N151" s="51">
        <f t="shared" si="8"/>
        <v>0.3</v>
      </c>
      <c r="O151" s="52">
        <f t="shared" si="6"/>
        <v>69930</v>
      </c>
      <c r="P151" s="48" t="s">
        <v>20</v>
      </c>
    </row>
    <row r="152" spans="1:16" x14ac:dyDescent="0.25">
      <c r="A152" s="45" t="str">
        <f t="shared" si="7"/>
        <v>2025 OKT NOV B1 DISC  30%</v>
      </c>
      <c r="B152" s="46">
        <v>46104</v>
      </c>
      <c r="C152" s="46">
        <v>46113</v>
      </c>
      <c r="D152" s="47">
        <v>3273</v>
      </c>
      <c r="E152" s="47">
        <v>336</v>
      </c>
      <c r="F152" s="47">
        <v>4</v>
      </c>
      <c r="G152" s="45">
        <v>6</v>
      </c>
      <c r="H152" s="45">
        <v>81588</v>
      </c>
      <c r="I152" s="48" t="s">
        <v>17</v>
      </c>
      <c r="J152" s="45">
        <v>61093225</v>
      </c>
      <c r="K152" s="45" t="s">
        <v>3518</v>
      </c>
      <c r="L152" s="45" t="s">
        <v>3524</v>
      </c>
      <c r="M152" s="50">
        <v>99900</v>
      </c>
      <c r="N152" s="51">
        <f t="shared" si="8"/>
        <v>0.3</v>
      </c>
      <c r="O152" s="52">
        <f t="shared" si="6"/>
        <v>69930</v>
      </c>
      <c r="P152" s="48" t="s">
        <v>20</v>
      </c>
    </row>
    <row r="153" spans="1:16" x14ac:dyDescent="0.25">
      <c r="A153" s="45" t="str">
        <f t="shared" si="7"/>
        <v>2025 OKT NOV B1 DISC  30%</v>
      </c>
      <c r="B153" s="46">
        <v>46104</v>
      </c>
      <c r="C153" s="46">
        <v>46113</v>
      </c>
      <c r="D153" s="47">
        <v>3273</v>
      </c>
      <c r="E153" s="47">
        <v>336</v>
      </c>
      <c r="F153" s="47">
        <v>4</v>
      </c>
      <c r="G153" s="45">
        <v>6</v>
      </c>
      <c r="H153" s="45">
        <v>81588</v>
      </c>
      <c r="I153" s="48" t="s">
        <v>17</v>
      </c>
      <c r="J153" s="45">
        <v>61093234</v>
      </c>
      <c r="K153" s="45" t="s">
        <v>3518</v>
      </c>
      <c r="L153" s="45" t="s">
        <v>3525</v>
      </c>
      <c r="M153" s="50">
        <v>99900</v>
      </c>
      <c r="N153" s="51">
        <f t="shared" si="8"/>
        <v>0.3</v>
      </c>
      <c r="O153" s="52">
        <f t="shared" si="6"/>
        <v>69930</v>
      </c>
      <c r="P153" s="48" t="s">
        <v>20</v>
      </c>
    </row>
    <row r="154" spans="1:16" x14ac:dyDescent="0.25">
      <c r="A154" s="45" t="str">
        <f t="shared" si="7"/>
        <v>2025 OKT NOV B1 DISC  30%</v>
      </c>
      <c r="B154" s="46">
        <v>46104</v>
      </c>
      <c r="C154" s="46">
        <v>46113</v>
      </c>
      <c r="D154" s="47">
        <v>3273</v>
      </c>
      <c r="E154" s="47">
        <v>336</v>
      </c>
      <c r="F154" s="47">
        <v>4</v>
      </c>
      <c r="G154" s="45">
        <v>6</v>
      </c>
      <c r="H154" s="45">
        <v>81588</v>
      </c>
      <c r="I154" s="48" t="s">
        <v>17</v>
      </c>
      <c r="J154" s="45">
        <v>61093243</v>
      </c>
      <c r="K154" s="45" t="s">
        <v>3526</v>
      </c>
      <c r="L154" s="45" t="s">
        <v>3527</v>
      </c>
      <c r="M154" s="50">
        <v>99900</v>
      </c>
      <c r="N154" s="51">
        <f t="shared" si="8"/>
        <v>0.3</v>
      </c>
      <c r="O154" s="52">
        <f t="shared" si="6"/>
        <v>69930</v>
      </c>
      <c r="P154" s="48" t="s">
        <v>20</v>
      </c>
    </row>
    <row r="155" spans="1:16" x14ac:dyDescent="0.25">
      <c r="A155" s="45" t="str">
        <f t="shared" si="7"/>
        <v>2025 OKT NOV B1 DISC  30%</v>
      </c>
      <c r="B155" s="46">
        <v>46104</v>
      </c>
      <c r="C155" s="46">
        <v>46113</v>
      </c>
      <c r="D155" s="47">
        <v>3273</v>
      </c>
      <c r="E155" s="47">
        <v>336</v>
      </c>
      <c r="F155" s="47">
        <v>4</v>
      </c>
      <c r="G155" s="45">
        <v>6</v>
      </c>
      <c r="H155" s="45">
        <v>81588</v>
      </c>
      <c r="I155" s="48" t="s">
        <v>17</v>
      </c>
      <c r="J155" s="45">
        <v>61093252</v>
      </c>
      <c r="K155" s="45" t="s">
        <v>3526</v>
      </c>
      <c r="L155" s="45" t="s">
        <v>3528</v>
      </c>
      <c r="M155" s="50">
        <v>99900</v>
      </c>
      <c r="N155" s="51">
        <f t="shared" si="8"/>
        <v>0.3</v>
      </c>
      <c r="O155" s="52">
        <f t="shared" si="6"/>
        <v>69930</v>
      </c>
      <c r="P155" s="48" t="s">
        <v>20</v>
      </c>
    </row>
    <row r="156" spans="1:16" x14ac:dyDescent="0.25">
      <c r="A156" s="45" t="str">
        <f t="shared" si="7"/>
        <v>2025 OKT NOV B1 DISC  30%</v>
      </c>
      <c r="B156" s="46">
        <v>46104</v>
      </c>
      <c r="C156" s="46">
        <v>46113</v>
      </c>
      <c r="D156" s="47">
        <v>3273</v>
      </c>
      <c r="E156" s="47">
        <v>336</v>
      </c>
      <c r="F156" s="47">
        <v>4</v>
      </c>
      <c r="G156" s="45">
        <v>6</v>
      </c>
      <c r="H156" s="45">
        <v>81588</v>
      </c>
      <c r="I156" s="48" t="s">
        <v>17</v>
      </c>
      <c r="J156" s="45">
        <v>61093261</v>
      </c>
      <c r="K156" s="45" t="s">
        <v>3526</v>
      </c>
      <c r="L156" s="45" t="s">
        <v>3529</v>
      </c>
      <c r="M156" s="50">
        <v>99900</v>
      </c>
      <c r="N156" s="51">
        <f t="shared" si="8"/>
        <v>0.3</v>
      </c>
      <c r="O156" s="52">
        <f t="shared" si="6"/>
        <v>69930</v>
      </c>
      <c r="P156" s="48" t="s">
        <v>20</v>
      </c>
    </row>
    <row r="157" spans="1:16" x14ac:dyDescent="0.25">
      <c r="A157" s="45" t="str">
        <f t="shared" si="7"/>
        <v>2025 OKT NOV B1 DISC  30%</v>
      </c>
      <c r="B157" s="46">
        <v>46104</v>
      </c>
      <c r="C157" s="46">
        <v>46113</v>
      </c>
      <c r="D157" s="47">
        <v>3273</v>
      </c>
      <c r="E157" s="47">
        <v>336</v>
      </c>
      <c r="F157" s="47">
        <v>4</v>
      </c>
      <c r="G157" s="45">
        <v>6</v>
      </c>
      <c r="H157" s="45">
        <v>81588</v>
      </c>
      <c r="I157" s="48" t="s">
        <v>17</v>
      </c>
      <c r="J157" s="45">
        <v>61093270</v>
      </c>
      <c r="K157" s="45" t="s">
        <v>3526</v>
      </c>
      <c r="L157" s="45" t="s">
        <v>3530</v>
      </c>
      <c r="M157" s="50">
        <v>99900</v>
      </c>
      <c r="N157" s="51">
        <f t="shared" si="8"/>
        <v>0.3</v>
      </c>
      <c r="O157" s="52">
        <f t="shared" si="6"/>
        <v>69930</v>
      </c>
      <c r="P157" s="48" t="s">
        <v>20</v>
      </c>
    </row>
    <row r="158" spans="1:16" x14ac:dyDescent="0.25">
      <c r="A158" s="45" t="str">
        <f t="shared" si="7"/>
        <v>2025 OKT NOV B1 DISC  30%</v>
      </c>
      <c r="B158" s="46">
        <v>46104</v>
      </c>
      <c r="C158" s="46">
        <v>46113</v>
      </c>
      <c r="D158" s="47">
        <v>3273</v>
      </c>
      <c r="E158" s="47">
        <v>336</v>
      </c>
      <c r="F158" s="47">
        <v>4</v>
      </c>
      <c r="G158" s="45">
        <v>6</v>
      </c>
      <c r="H158" s="45">
        <v>81588</v>
      </c>
      <c r="I158" s="48" t="s">
        <v>17</v>
      </c>
      <c r="J158" s="45">
        <v>61093289</v>
      </c>
      <c r="K158" s="45" t="s">
        <v>3526</v>
      </c>
      <c r="L158" s="45" t="s">
        <v>3531</v>
      </c>
      <c r="M158" s="50">
        <v>99900</v>
      </c>
      <c r="N158" s="51">
        <f t="shared" si="8"/>
        <v>0.3</v>
      </c>
      <c r="O158" s="52">
        <f t="shared" si="6"/>
        <v>69930</v>
      </c>
      <c r="P158" s="48" t="s">
        <v>20</v>
      </c>
    </row>
    <row r="159" spans="1:16" x14ac:dyDescent="0.25">
      <c r="A159" s="45" t="str">
        <f t="shared" si="7"/>
        <v>2025 OKT NOV B1 DISC  30%</v>
      </c>
      <c r="B159" s="46">
        <v>46104</v>
      </c>
      <c r="C159" s="46">
        <v>46113</v>
      </c>
      <c r="D159" s="47">
        <v>3273</v>
      </c>
      <c r="E159" s="47">
        <v>336</v>
      </c>
      <c r="F159" s="47">
        <v>4</v>
      </c>
      <c r="G159" s="45">
        <v>6</v>
      </c>
      <c r="H159" s="45">
        <v>81588</v>
      </c>
      <c r="I159" s="48" t="s">
        <v>17</v>
      </c>
      <c r="J159" s="45">
        <v>61093298</v>
      </c>
      <c r="K159" s="45" t="s">
        <v>3526</v>
      </c>
      <c r="L159" s="45" t="s">
        <v>3532</v>
      </c>
      <c r="M159" s="50">
        <v>99900</v>
      </c>
      <c r="N159" s="51">
        <f t="shared" si="8"/>
        <v>0.3</v>
      </c>
      <c r="O159" s="52">
        <f t="shared" si="6"/>
        <v>69930</v>
      </c>
      <c r="P159" s="48" t="s">
        <v>20</v>
      </c>
    </row>
    <row r="160" spans="1:16" x14ac:dyDescent="0.25">
      <c r="A160" s="45" t="str">
        <f t="shared" si="7"/>
        <v>2025 OKT NOV B1 DISC  30%</v>
      </c>
      <c r="B160" s="46">
        <v>46104</v>
      </c>
      <c r="C160" s="46">
        <v>46113</v>
      </c>
      <c r="D160" s="47">
        <v>3273</v>
      </c>
      <c r="E160" s="47">
        <v>336</v>
      </c>
      <c r="F160" s="47">
        <v>4</v>
      </c>
      <c r="G160" s="45">
        <v>6</v>
      </c>
      <c r="H160" s="45">
        <v>81588</v>
      </c>
      <c r="I160" s="48" t="s">
        <v>17</v>
      </c>
      <c r="J160" s="45">
        <v>61093305</v>
      </c>
      <c r="K160" s="45" t="s">
        <v>3526</v>
      </c>
      <c r="L160" s="45" t="s">
        <v>3533</v>
      </c>
      <c r="M160" s="50">
        <v>99900</v>
      </c>
      <c r="N160" s="51">
        <f t="shared" si="8"/>
        <v>0.3</v>
      </c>
      <c r="O160" s="52">
        <f t="shared" si="6"/>
        <v>69930</v>
      </c>
      <c r="P160" s="48" t="s">
        <v>20</v>
      </c>
    </row>
    <row r="161" spans="1:16" x14ac:dyDescent="0.25">
      <c r="A161" s="45" t="str">
        <f t="shared" si="7"/>
        <v>2025 OKT NOV B1 DISC  30%</v>
      </c>
      <c r="B161" s="46">
        <v>46104</v>
      </c>
      <c r="C161" s="46">
        <v>46113</v>
      </c>
      <c r="D161" s="47">
        <v>3273</v>
      </c>
      <c r="E161" s="47">
        <v>336</v>
      </c>
      <c r="F161" s="47">
        <v>4</v>
      </c>
      <c r="G161" s="45">
        <v>9</v>
      </c>
      <c r="H161" s="45">
        <v>81588</v>
      </c>
      <c r="I161" s="48" t="s">
        <v>17</v>
      </c>
      <c r="J161" s="45">
        <v>61093314</v>
      </c>
      <c r="K161" s="45" t="s">
        <v>3534</v>
      </c>
      <c r="L161" s="45" t="s">
        <v>3535</v>
      </c>
      <c r="M161" s="50">
        <v>99900</v>
      </c>
      <c r="N161" s="51">
        <f t="shared" si="8"/>
        <v>0.3</v>
      </c>
      <c r="O161" s="52">
        <f t="shared" si="6"/>
        <v>69930</v>
      </c>
      <c r="P161" s="48" t="s">
        <v>20</v>
      </c>
    </row>
    <row r="162" spans="1:16" x14ac:dyDescent="0.25">
      <c r="A162" s="45" t="str">
        <f t="shared" si="7"/>
        <v>2025 OKT NOV B1 DISC  30%</v>
      </c>
      <c r="B162" s="46">
        <v>46104</v>
      </c>
      <c r="C162" s="46">
        <v>46113</v>
      </c>
      <c r="D162" s="47">
        <v>3273</v>
      </c>
      <c r="E162" s="47">
        <v>336</v>
      </c>
      <c r="F162" s="47">
        <v>4</v>
      </c>
      <c r="G162" s="45">
        <v>9</v>
      </c>
      <c r="H162" s="45">
        <v>81588</v>
      </c>
      <c r="I162" s="48" t="s">
        <v>17</v>
      </c>
      <c r="J162" s="45">
        <v>61093323</v>
      </c>
      <c r="K162" s="45" t="s">
        <v>3534</v>
      </c>
      <c r="L162" s="45" t="s">
        <v>3536</v>
      </c>
      <c r="M162" s="50">
        <v>99900</v>
      </c>
      <c r="N162" s="51">
        <f t="shared" si="8"/>
        <v>0.3</v>
      </c>
      <c r="O162" s="52">
        <f t="shared" si="6"/>
        <v>69930</v>
      </c>
      <c r="P162" s="48" t="s">
        <v>20</v>
      </c>
    </row>
    <row r="163" spans="1:16" x14ac:dyDescent="0.25">
      <c r="A163" s="45" t="str">
        <f t="shared" si="7"/>
        <v>2025 OKT NOV B1 DISC  30%</v>
      </c>
      <c r="B163" s="46">
        <v>46104</v>
      </c>
      <c r="C163" s="46">
        <v>46113</v>
      </c>
      <c r="D163" s="47">
        <v>3273</v>
      </c>
      <c r="E163" s="47">
        <v>336</v>
      </c>
      <c r="F163" s="47">
        <v>4</v>
      </c>
      <c r="G163" s="45">
        <v>9</v>
      </c>
      <c r="H163" s="45">
        <v>81588</v>
      </c>
      <c r="I163" s="48" t="s">
        <v>17</v>
      </c>
      <c r="J163" s="45">
        <v>61093332</v>
      </c>
      <c r="K163" s="45" t="s">
        <v>3534</v>
      </c>
      <c r="L163" s="45" t="s">
        <v>3537</v>
      </c>
      <c r="M163" s="50">
        <v>99900</v>
      </c>
      <c r="N163" s="51">
        <f t="shared" si="8"/>
        <v>0.3</v>
      </c>
      <c r="O163" s="52">
        <f t="shared" si="6"/>
        <v>69930</v>
      </c>
      <c r="P163" s="48" t="s">
        <v>20</v>
      </c>
    </row>
    <row r="164" spans="1:16" x14ac:dyDescent="0.25">
      <c r="A164" s="45" t="str">
        <f t="shared" si="7"/>
        <v>2025 OKT NOV B1 DISC  30%</v>
      </c>
      <c r="B164" s="46">
        <v>46104</v>
      </c>
      <c r="C164" s="46">
        <v>46113</v>
      </c>
      <c r="D164" s="47">
        <v>3273</v>
      </c>
      <c r="E164" s="47">
        <v>336</v>
      </c>
      <c r="F164" s="47">
        <v>4</v>
      </c>
      <c r="G164" s="45">
        <v>9</v>
      </c>
      <c r="H164" s="45">
        <v>81588</v>
      </c>
      <c r="I164" s="48" t="s">
        <v>17</v>
      </c>
      <c r="J164" s="45">
        <v>61093341</v>
      </c>
      <c r="K164" s="45" t="s">
        <v>3534</v>
      </c>
      <c r="L164" s="45" t="s">
        <v>3538</v>
      </c>
      <c r="M164" s="50">
        <v>99900</v>
      </c>
      <c r="N164" s="51">
        <f t="shared" si="8"/>
        <v>0.3</v>
      </c>
      <c r="O164" s="52">
        <f t="shared" si="6"/>
        <v>69930</v>
      </c>
      <c r="P164" s="48" t="s">
        <v>20</v>
      </c>
    </row>
    <row r="165" spans="1:16" x14ac:dyDescent="0.25">
      <c r="A165" s="45" t="str">
        <f t="shared" si="7"/>
        <v>2025 OKT NOV B1 DISC  30%</v>
      </c>
      <c r="B165" s="46">
        <v>46104</v>
      </c>
      <c r="C165" s="46">
        <v>46113</v>
      </c>
      <c r="D165" s="47">
        <v>3273</v>
      </c>
      <c r="E165" s="47">
        <v>336</v>
      </c>
      <c r="F165" s="47">
        <v>4</v>
      </c>
      <c r="G165" s="45">
        <v>9</v>
      </c>
      <c r="H165" s="45">
        <v>81588</v>
      </c>
      <c r="I165" s="48" t="s">
        <v>17</v>
      </c>
      <c r="J165" s="45">
        <v>61093350</v>
      </c>
      <c r="K165" s="45" t="s">
        <v>3534</v>
      </c>
      <c r="L165" s="45" t="s">
        <v>3539</v>
      </c>
      <c r="M165" s="50">
        <v>99900</v>
      </c>
      <c r="N165" s="51">
        <f t="shared" si="8"/>
        <v>0.3</v>
      </c>
      <c r="O165" s="52">
        <f t="shared" si="6"/>
        <v>69930</v>
      </c>
      <c r="P165" s="48" t="s">
        <v>20</v>
      </c>
    </row>
    <row r="166" spans="1:16" x14ac:dyDescent="0.25">
      <c r="A166" s="45" t="str">
        <f t="shared" si="7"/>
        <v>2025 OKT NOV B1 DISC  30%</v>
      </c>
      <c r="B166" s="46">
        <v>46104</v>
      </c>
      <c r="C166" s="46">
        <v>46113</v>
      </c>
      <c r="D166" s="47">
        <v>3273</v>
      </c>
      <c r="E166" s="47">
        <v>336</v>
      </c>
      <c r="F166" s="47">
        <v>4</v>
      </c>
      <c r="G166" s="45">
        <v>9</v>
      </c>
      <c r="H166" s="45">
        <v>81588</v>
      </c>
      <c r="I166" s="48" t="s">
        <v>17</v>
      </c>
      <c r="J166" s="45">
        <v>61093369</v>
      </c>
      <c r="K166" s="45" t="s">
        <v>3534</v>
      </c>
      <c r="L166" s="45" t="s">
        <v>3540</v>
      </c>
      <c r="M166" s="50">
        <v>99900</v>
      </c>
      <c r="N166" s="51">
        <f t="shared" si="8"/>
        <v>0.3</v>
      </c>
      <c r="O166" s="52">
        <f t="shared" si="6"/>
        <v>69930</v>
      </c>
      <c r="P166" s="48" t="s">
        <v>20</v>
      </c>
    </row>
    <row r="167" spans="1:16" x14ac:dyDescent="0.25">
      <c r="A167" s="45" t="str">
        <f t="shared" si="7"/>
        <v>2025 OKT NOV B1 DISC  30%</v>
      </c>
      <c r="B167" s="46">
        <v>46104</v>
      </c>
      <c r="C167" s="46">
        <v>46113</v>
      </c>
      <c r="D167" s="47">
        <v>3273</v>
      </c>
      <c r="E167" s="47">
        <v>336</v>
      </c>
      <c r="F167" s="47">
        <v>4</v>
      </c>
      <c r="G167" s="45">
        <v>9</v>
      </c>
      <c r="H167" s="45">
        <v>81588</v>
      </c>
      <c r="I167" s="48" t="s">
        <v>17</v>
      </c>
      <c r="J167" s="45">
        <v>61093378</v>
      </c>
      <c r="K167" s="45" t="s">
        <v>3534</v>
      </c>
      <c r="L167" s="45" t="s">
        <v>3541</v>
      </c>
      <c r="M167" s="50">
        <v>99900</v>
      </c>
      <c r="N167" s="51">
        <f t="shared" si="8"/>
        <v>0.3</v>
      </c>
      <c r="O167" s="52">
        <f t="shared" si="6"/>
        <v>69930</v>
      </c>
      <c r="P167" s="48" t="s">
        <v>20</v>
      </c>
    </row>
    <row r="168" spans="1:16" x14ac:dyDescent="0.25">
      <c r="A168" s="45" t="str">
        <f t="shared" si="7"/>
        <v>2025 OKT NOV B1 DISC  30%</v>
      </c>
      <c r="B168" s="46">
        <v>46104</v>
      </c>
      <c r="C168" s="46">
        <v>46113</v>
      </c>
      <c r="D168" s="47">
        <v>3273</v>
      </c>
      <c r="E168" s="47">
        <v>336</v>
      </c>
      <c r="F168" s="47">
        <v>4</v>
      </c>
      <c r="G168" s="45">
        <v>6</v>
      </c>
      <c r="H168" s="45">
        <v>81588</v>
      </c>
      <c r="I168" s="48" t="s">
        <v>17</v>
      </c>
      <c r="J168" s="45">
        <v>61093529</v>
      </c>
      <c r="K168" s="45" t="s">
        <v>3542</v>
      </c>
      <c r="L168" s="45" t="s">
        <v>3543</v>
      </c>
      <c r="M168" s="50">
        <v>99900</v>
      </c>
      <c r="N168" s="51">
        <f t="shared" si="8"/>
        <v>0.3</v>
      </c>
      <c r="O168" s="52">
        <f t="shared" si="6"/>
        <v>69930</v>
      </c>
      <c r="P168" s="48" t="s">
        <v>20</v>
      </c>
    </row>
    <row r="169" spans="1:16" x14ac:dyDescent="0.25">
      <c r="A169" s="45" t="str">
        <f t="shared" si="7"/>
        <v>2025 OKT NOV B1 DISC  30%</v>
      </c>
      <c r="B169" s="46">
        <v>46104</v>
      </c>
      <c r="C169" s="46">
        <v>46113</v>
      </c>
      <c r="D169" s="47">
        <v>3273</v>
      </c>
      <c r="E169" s="47">
        <v>336</v>
      </c>
      <c r="F169" s="47">
        <v>4</v>
      </c>
      <c r="G169" s="45">
        <v>6</v>
      </c>
      <c r="H169" s="45">
        <v>81588</v>
      </c>
      <c r="I169" s="48" t="s">
        <v>17</v>
      </c>
      <c r="J169" s="45">
        <v>61093538</v>
      </c>
      <c r="K169" s="45" t="s">
        <v>3542</v>
      </c>
      <c r="L169" s="45" t="s">
        <v>3544</v>
      </c>
      <c r="M169" s="50">
        <v>99900</v>
      </c>
      <c r="N169" s="51">
        <f t="shared" si="8"/>
        <v>0.3</v>
      </c>
      <c r="O169" s="52">
        <f t="shared" si="6"/>
        <v>69930</v>
      </c>
      <c r="P169" s="48" t="s">
        <v>20</v>
      </c>
    </row>
    <row r="170" spans="1:16" x14ac:dyDescent="0.25">
      <c r="A170" s="45" t="str">
        <f t="shared" si="7"/>
        <v>2025 OKT NOV B1 DISC  30%</v>
      </c>
      <c r="B170" s="46">
        <v>46104</v>
      </c>
      <c r="C170" s="46">
        <v>46113</v>
      </c>
      <c r="D170" s="47">
        <v>3273</v>
      </c>
      <c r="E170" s="47">
        <v>336</v>
      </c>
      <c r="F170" s="47">
        <v>4</v>
      </c>
      <c r="G170" s="45">
        <v>6</v>
      </c>
      <c r="H170" s="45">
        <v>81588</v>
      </c>
      <c r="I170" s="48" t="s">
        <v>17</v>
      </c>
      <c r="J170" s="45">
        <v>61093547</v>
      </c>
      <c r="K170" s="45" t="s">
        <v>3542</v>
      </c>
      <c r="L170" s="45" t="s">
        <v>3545</v>
      </c>
      <c r="M170" s="50">
        <v>99900</v>
      </c>
      <c r="N170" s="51">
        <f t="shared" si="8"/>
        <v>0.3</v>
      </c>
      <c r="O170" s="52">
        <f t="shared" si="6"/>
        <v>69930</v>
      </c>
      <c r="P170" s="48" t="s">
        <v>20</v>
      </c>
    </row>
    <row r="171" spans="1:16" x14ac:dyDescent="0.25">
      <c r="A171" s="45" t="str">
        <f t="shared" si="7"/>
        <v>2025 OKT NOV B1 DISC  30%</v>
      </c>
      <c r="B171" s="46">
        <v>46104</v>
      </c>
      <c r="C171" s="46">
        <v>46113</v>
      </c>
      <c r="D171" s="47">
        <v>3273</v>
      </c>
      <c r="E171" s="47">
        <v>336</v>
      </c>
      <c r="F171" s="47">
        <v>4</v>
      </c>
      <c r="G171" s="45">
        <v>6</v>
      </c>
      <c r="H171" s="45">
        <v>81588</v>
      </c>
      <c r="I171" s="48" t="s">
        <v>17</v>
      </c>
      <c r="J171" s="45">
        <v>61093556</v>
      </c>
      <c r="K171" s="45" t="s">
        <v>3542</v>
      </c>
      <c r="L171" s="45" t="s">
        <v>3546</v>
      </c>
      <c r="M171" s="50">
        <v>99900</v>
      </c>
      <c r="N171" s="51">
        <f t="shared" si="8"/>
        <v>0.3</v>
      </c>
      <c r="O171" s="52">
        <f t="shared" si="6"/>
        <v>69930</v>
      </c>
      <c r="P171" s="48" t="s">
        <v>20</v>
      </c>
    </row>
    <row r="172" spans="1:16" x14ac:dyDescent="0.25">
      <c r="A172" s="45" t="str">
        <f t="shared" si="7"/>
        <v>2025 OKT NOV B1 DISC  30%</v>
      </c>
      <c r="B172" s="46">
        <v>46104</v>
      </c>
      <c r="C172" s="46">
        <v>46113</v>
      </c>
      <c r="D172" s="47">
        <v>3273</v>
      </c>
      <c r="E172" s="47">
        <v>336</v>
      </c>
      <c r="F172" s="47">
        <v>4</v>
      </c>
      <c r="G172" s="45">
        <v>6</v>
      </c>
      <c r="H172" s="45">
        <v>81588</v>
      </c>
      <c r="I172" s="48" t="s">
        <v>17</v>
      </c>
      <c r="J172" s="45">
        <v>61093565</v>
      </c>
      <c r="K172" s="45" t="s">
        <v>3542</v>
      </c>
      <c r="L172" s="45" t="s">
        <v>3547</v>
      </c>
      <c r="M172" s="50">
        <v>99900</v>
      </c>
      <c r="N172" s="51">
        <f t="shared" si="8"/>
        <v>0.3</v>
      </c>
      <c r="O172" s="52">
        <f t="shared" si="6"/>
        <v>69930</v>
      </c>
      <c r="P172" s="48" t="s">
        <v>20</v>
      </c>
    </row>
    <row r="173" spans="1:16" x14ac:dyDescent="0.25">
      <c r="A173" s="45" t="str">
        <f t="shared" si="7"/>
        <v>2025 OKT NOV B1 DISC  30%</v>
      </c>
      <c r="B173" s="46">
        <v>46104</v>
      </c>
      <c r="C173" s="46">
        <v>46113</v>
      </c>
      <c r="D173" s="47">
        <v>3273</v>
      </c>
      <c r="E173" s="47">
        <v>336</v>
      </c>
      <c r="F173" s="47">
        <v>4</v>
      </c>
      <c r="G173" s="45">
        <v>6</v>
      </c>
      <c r="H173" s="45">
        <v>81588</v>
      </c>
      <c r="I173" s="48" t="s">
        <v>17</v>
      </c>
      <c r="J173" s="45">
        <v>61093574</v>
      </c>
      <c r="K173" s="45" t="s">
        <v>3542</v>
      </c>
      <c r="L173" s="45" t="s">
        <v>3548</v>
      </c>
      <c r="M173" s="50">
        <v>99900</v>
      </c>
      <c r="N173" s="51">
        <f t="shared" si="8"/>
        <v>0.3</v>
      </c>
      <c r="O173" s="52">
        <f t="shared" si="6"/>
        <v>69930</v>
      </c>
      <c r="P173" s="48" t="s">
        <v>20</v>
      </c>
    </row>
    <row r="174" spans="1:16" x14ac:dyDescent="0.25">
      <c r="A174" s="45" t="str">
        <f t="shared" si="7"/>
        <v>2025 OKT NOV B1 DISC  30%</v>
      </c>
      <c r="B174" s="46">
        <v>46104</v>
      </c>
      <c r="C174" s="46">
        <v>46113</v>
      </c>
      <c r="D174" s="47">
        <v>3273</v>
      </c>
      <c r="E174" s="47">
        <v>336</v>
      </c>
      <c r="F174" s="47">
        <v>4</v>
      </c>
      <c r="G174" s="45">
        <v>6</v>
      </c>
      <c r="H174" s="45">
        <v>81588</v>
      </c>
      <c r="I174" s="48" t="s">
        <v>17</v>
      </c>
      <c r="J174" s="45">
        <v>61093583</v>
      </c>
      <c r="K174" s="45" t="s">
        <v>3542</v>
      </c>
      <c r="L174" s="45" t="s">
        <v>3549</v>
      </c>
      <c r="M174" s="50">
        <v>99900</v>
      </c>
      <c r="N174" s="51">
        <f t="shared" si="8"/>
        <v>0.3</v>
      </c>
      <c r="O174" s="52">
        <f t="shared" si="6"/>
        <v>69930</v>
      </c>
      <c r="P174" s="48" t="s">
        <v>20</v>
      </c>
    </row>
    <row r="175" spans="1:16" x14ac:dyDescent="0.25">
      <c r="A175" s="45" t="str">
        <f t="shared" si="7"/>
        <v>2025 OKT NOV B1 DISC  30%</v>
      </c>
      <c r="B175" s="46">
        <v>46104</v>
      </c>
      <c r="C175" s="46">
        <v>46113</v>
      </c>
      <c r="D175" s="47">
        <v>3273</v>
      </c>
      <c r="E175" s="47">
        <v>336</v>
      </c>
      <c r="F175" s="47">
        <v>4</v>
      </c>
      <c r="G175" s="45">
        <v>6</v>
      </c>
      <c r="H175" s="45">
        <v>81588</v>
      </c>
      <c r="I175" s="48" t="s">
        <v>17</v>
      </c>
      <c r="J175" s="45">
        <v>61093663</v>
      </c>
      <c r="K175" s="45" t="s">
        <v>3550</v>
      </c>
      <c r="L175" s="45" t="s">
        <v>3551</v>
      </c>
      <c r="M175" s="50">
        <v>99900</v>
      </c>
      <c r="N175" s="51">
        <f t="shared" si="8"/>
        <v>0.3</v>
      </c>
      <c r="O175" s="52">
        <f t="shared" si="6"/>
        <v>69930</v>
      </c>
      <c r="P175" s="48" t="s">
        <v>20</v>
      </c>
    </row>
    <row r="176" spans="1:16" x14ac:dyDescent="0.25">
      <c r="A176" s="45" t="str">
        <f t="shared" si="7"/>
        <v>2025 OKT NOV B1 DISC  30%</v>
      </c>
      <c r="B176" s="46">
        <v>46104</v>
      </c>
      <c r="C176" s="46">
        <v>46113</v>
      </c>
      <c r="D176" s="47">
        <v>3273</v>
      </c>
      <c r="E176" s="47">
        <v>336</v>
      </c>
      <c r="F176" s="47">
        <v>4</v>
      </c>
      <c r="G176" s="45">
        <v>6</v>
      </c>
      <c r="H176" s="45">
        <v>81588</v>
      </c>
      <c r="I176" s="48" t="s">
        <v>17</v>
      </c>
      <c r="J176" s="45">
        <v>61093672</v>
      </c>
      <c r="K176" s="45" t="s">
        <v>3550</v>
      </c>
      <c r="L176" s="45" t="s">
        <v>3552</v>
      </c>
      <c r="M176" s="50">
        <v>99900</v>
      </c>
      <c r="N176" s="51">
        <f t="shared" si="8"/>
        <v>0.3</v>
      </c>
      <c r="O176" s="52">
        <f t="shared" si="6"/>
        <v>69930</v>
      </c>
      <c r="P176" s="48" t="s">
        <v>20</v>
      </c>
    </row>
    <row r="177" spans="1:16" x14ac:dyDescent="0.25">
      <c r="A177" s="45" t="str">
        <f t="shared" si="7"/>
        <v>2025 OKT NOV B1 DISC  30%</v>
      </c>
      <c r="B177" s="46">
        <v>46104</v>
      </c>
      <c r="C177" s="46">
        <v>46113</v>
      </c>
      <c r="D177" s="47">
        <v>3273</v>
      </c>
      <c r="E177" s="47">
        <v>336</v>
      </c>
      <c r="F177" s="47">
        <v>4</v>
      </c>
      <c r="G177" s="45">
        <v>6</v>
      </c>
      <c r="H177" s="45">
        <v>81588</v>
      </c>
      <c r="I177" s="48" t="s">
        <v>17</v>
      </c>
      <c r="J177" s="45">
        <v>61093681</v>
      </c>
      <c r="K177" s="45" t="s">
        <v>3550</v>
      </c>
      <c r="L177" s="45" t="s">
        <v>3553</v>
      </c>
      <c r="M177" s="50">
        <v>99900</v>
      </c>
      <c r="N177" s="51">
        <f t="shared" si="8"/>
        <v>0.3</v>
      </c>
      <c r="O177" s="52">
        <f t="shared" si="6"/>
        <v>69930</v>
      </c>
      <c r="P177" s="48" t="s">
        <v>20</v>
      </c>
    </row>
    <row r="178" spans="1:16" x14ac:dyDescent="0.25">
      <c r="A178" s="45" t="str">
        <f t="shared" si="7"/>
        <v>2025 OKT NOV B1 DISC  30%</v>
      </c>
      <c r="B178" s="46">
        <v>46104</v>
      </c>
      <c r="C178" s="46">
        <v>46113</v>
      </c>
      <c r="D178" s="47">
        <v>3273</v>
      </c>
      <c r="E178" s="47">
        <v>336</v>
      </c>
      <c r="F178" s="47">
        <v>4</v>
      </c>
      <c r="G178" s="45">
        <v>6</v>
      </c>
      <c r="H178" s="45">
        <v>81588</v>
      </c>
      <c r="I178" s="48" t="s">
        <v>17</v>
      </c>
      <c r="J178" s="45">
        <v>61093690</v>
      </c>
      <c r="K178" s="45" t="s">
        <v>3550</v>
      </c>
      <c r="L178" s="45" t="s">
        <v>3554</v>
      </c>
      <c r="M178" s="50">
        <v>99900</v>
      </c>
      <c r="N178" s="51">
        <f t="shared" si="8"/>
        <v>0.3</v>
      </c>
      <c r="O178" s="52">
        <f t="shared" si="6"/>
        <v>69930</v>
      </c>
      <c r="P178" s="48" t="s">
        <v>20</v>
      </c>
    </row>
    <row r="179" spans="1:16" x14ac:dyDescent="0.25">
      <c r="A179" s="45" t="str">
        <f t="shared" si="7"/>
        <v>2025 OKT NOV B1 DISC  30%</v>
      </c>
      <c r="B179" s="46">
        <v>46104</v>
      </c>
      <c r="C179" s="46">
        <v>46113</v>
      </c>
      <c r="D179" s="47">
        <v>3273</v>
      </c>
      <c r="E179" s="47">
        <v>336</v>
      </c>
      <c r="F179" s="47">
        <v>4</v>
      </c>
      <c r="G179" s="45">
        <v>6</v>
      </c>
      <c r="H179" s="45">
        <v>81588</v>
      </c>
      <c r="I179" s="48" t="s">
        <v>17</v>
      </c>
      <c r="J179" s="45">
        <v>61093707</v>
      </c>
      <c r="K179" s="45" t="s">
        <v>3550</v>
      </c>
      <c r="L179" s="45" t="s">
        <v>3555</v>
      </c>
      <c r="M179" s="50">
        <v>99900</v>
      </c>
      <c r="N179" s="51">
        <f t="shared" si="8"/>
        <v>0.3</v>
      </c>
      <c r="O179" s="52">
        <f t="shared" si="6"/>
        <v>69930</v>
      </c>
      <c r="P179" s="48" t="s">
        <v>20</v>
      </c>
    </row>
    <row r="180" spans="1:16" x14ac:dyDescent="0.25">
      <c r="A180" s="45" t="str">
        <f t="shared" si="7"/>
        <v>2025 OKT NOV B1 DISC  30%</v>
      </c>
      <c r="B180" s="46">
        <v>46104</v>
      </c>
      <c r="C180" s="46">
        <v>46113</v>
      </c>
      <c r="D180" s="47">
        <v>3273</v>
      </c>
      <c r="E180" s="47">
        <v>336</v>
      </c>
      <c r="F180" s="47">
        <v>4</v>
      </c>
      <c r="G180" s="45">
        <v>6</v>
      </c>
      <c r="H180" s="45">
        <v>81588</v>
      </c>
      <c r="I180" s="48" t="s">
        <v>17</v>
      </c>
      <c r="J180" s="45">
        <v>61093716</v>
      </c>
      <c r="K180" s="45" t="s">
        <v>3550</v>
      </c>
      <c r="L180" s="45" t="s">
        <v>3556</v>
      </c>
      <c r="M180" s="50">
        <v>99900</v>
      </c>
      <c r="N180" s="51">
        <f t="shared" si="8"/>
        <v>0.3</v>
      </c>
      <c r="O180" s="52">
        <f t="shared" si="6"/>
        <v>69930</v>
      </c>
      <c r="P180" s="48" t="s">
        <v>20</v>
      </c>
    </row>
    <row r="181" spans="1:16" x14ac:dyDescent="0.25">
      <c r="A181" s="45" t="str">
        <f t="shared" si="7"/>
        <v>2025 OKT NOV B1 DISC  30%</v>
      </c>
      <c r="B181" s="46">
        <v>46104</v>
      </c>
      <c r="C181" s="46">
        <v>46113</v>
      </c>
      <c r="D181" s="47">
        <v>3273</v>
      </c>
      <c r="E181" s="47">
        <v>336</v>
      </c>
      <c r="F181" s="47">
        <v>4</v>
      </c>
      <c r="G181" s="45">
        <v>6</v>
      </c>
      <c r="H181" s="45">
        <v>81588</v>
      </c>
      <c r="I181" s="48" t="s">
        <v>17</v>
      </c>
      <c r="J181" s="45">
        <v>61093725</v>
      </c>
      <c r="K181" s="45" t="s">
        <v>3550</v>
      </c>
      <c r="L181" s="45" t="s">
        <v>3557</v>
      </c>
      <c r="M181" s="50">
        <v>99900</v>
      </c>
      <c r="N181" s="51">
        <f t="shared" si="8"/>
        <v>0.3</v>
      </c>
      <c r="O181" s="52">
        <f t="shared" si="6"/>
        <v>69930</v>
      </c>
      <c r="P181" s="48" t="s">
        <v>20</v>
      </c>
    </row>
    <row r="182" spans="1:16" x14ac:dyDescent="0.25">
      <c r="A182" s="45" t="str">
        <f t="shared" si="7"/>
        <v>2025 OKT NOV B1 DISC  30%</v>
      </c>
      <c r="B182" s="46">
        <v>46104</v>
      </c>
      <c r="C182" s="46">
        <v>46113</v>
      </c>
      <c r="D182" s="47">
        <v>3273</v>
      </c>
      <c r="E182" s="47">
        <v>336</v>
      </c>
      <c r="F182" s="47">
        <v>4</v>
      </c>
      <c r="G182" s="45">
        <v>6</v>
      </c>
      <c r="H182" s="45">
        <v>81588</v>
      </c>
      <c r="I182" s="48" t="s">
        <v>17</v>
      </c>
      <c r="J182" s="45">
        <v>61093734</v>
      </c>
      <c r="K182" s="45" t="s">
        <v>3558</v>
      </c>
      <c r="L182" s="45" t="s">
        <v>3559</v>
      </c>
      <c r="M182" s="50">
        <v>99900</v>
      </c>
      <c r="N182" s="51">
        <f t="shared" si="8"/>
        <v>0.3</v>
      </c>
      <c r="O182" s="52">
        <f t="shared" si="6"/>
        <v>69930</v>
      </c>
      <c r="P182" s="48" t="s">
        <v>20</v>
      </c>
    </row>
    <row r="183" spans="1:16" x14ac:dyDescent="0.25">
      <c r="A183" s="45" t="str">
        <f t="shared" si="7"/>
        <v>2025 OKT NOV B1 DISC  30%</v>
      </c>
      <c r="B183" s="46">
        <v>46104</v>
      </c>
      <c r="C183" s="46">
        <v>46113</v>
      </c>
      <c r="D183" s="47">
        <v>3273</v>
      </c>
      <c r="E183" s="47">
        <v>336</v>
      </c>
      <c r="F183" s="47">
        <v>4</v>
      </c>
      <c r="G183" s="45">
        <v>6</v>
      </c>
      <c r="H183" s="45">
        <v>81588</v>
      </c>
      <c r="I183" s="48" t="s">
        <v>17</v>
      </c>
      <c r="J183" s="45">
        <v>61093743</v>
      </c>
      <c r="K183" s="45" t="s">
        <v>3558</v>
      </c>
      <c r="L183" s="45" t="s">
        <v>3560</v>
      </c>
      <c r="M183" s="50">
        <v>99900</v>
      </c>
      <c r="N183" s="51">
        <f t="shared" si="8"/>
        <v>0.3</v>
      </c>
      <c r="O183" s="52">
        <f t="shared" si="6"/>
        <v>69930</v>
      </c>
      <c r="P183" s="48" t="s">
        <v>20</v>
      </c>
    </row>
    <row r="184" spans="1:16" x14ac:dyDescent="0.25">
      <c r="A184" s="45" t="str">
        <f t="shared" si="7"/>
        <v>2025 OKT NOV B1 DISC  30%</v>
      </c>
      <c r="B184" s="46">
        <v>46104</v>
      </c>
      <c r="C184" s="46">
        <v>46113</v>
      </c>
      <c r="D184" s="47">
        <v>3273</v>
      </c>
      <c r="E184" s="47">
        <v>336</v>
      </c>
      <c r="F184" s="47">
        <v>4</v>
      </c>
      <c r="G184" s="45">
        <v>6</v>
      </c>
      <c r="H184" s="45">
        <v>81588</v>
      </c>
      <c r="I184" s="48" t="s">
        <v>17</v>
      </c>
      <c r="J184" s="45">
        <v>61093752</v>
      </c>
      <c r="K184" s="45" t="s">
        <v>3558</v>
      </c>
      <c r="L184" s="45" t="s">
        <v>3561</v>
      </c>
      <c r="M184" s="50">
        <v>99900</v>
      </c>
      <c r="N184" s="51">
        <f t="shared" si="8"/>
        <v>0.3</v>
      </c>
      <c r="O184" s="52">
        <f t="shared" si="6"/>
        <v>69930</v>
      </c>
      <c r="P184" s="48" t="s">
        <v>20</v>
      </c>
    </row>
    <row r="185" spans="1:16" x14ac:dyDescent="0.25">
      <c r="A185" s="45" t="str">
        <f t="shared" si="7"/>
        <v>2025 OKT NOV B1 DISC  30%</v>
      </c>
      <c r="B185" s="46">
        <v>46104</v>
      </c>
      <c r="C185" s="46">
        <v>46113</v>
      </c>
      <c r="D185" s="47">
        <v>3273</v>
      </c>
      <c r="E185" s="47">
        <v>336</v>
      </c>
      <c r="F185" s="47">
        <v>4</v>
      </c>
      <c r="G185" s="45">
        <v>6</v>
      </c>
      <c r="H185" s="45">
        <v>81588</v>
      </c>
      <c r="I185" s="48" t="s">
        <v>17</v>
      </c>
      <c r="J185" s="45">
        <v>61093761</v>
      </c>
      <c r="K185" s="45" t="s">
        <v>3558</v>
      </c>
      <c r="L185" s="45" t="s">
        <v>3562</v>
      </c>
      <c r="M185" s="50">
        <v>99900</v>
      </c>
      <c r="N185" s="51">
        <f t="shared" si="8"/>
        <v>0.3</v>
      </c>
      <c r="O185" s="52">
        <f t="shared" si="6"/>
        <v>69930</v>
      </c>
      <c r="P185" s="48" t="s">
        <v>20</v>
      </c>
    </row>
    <row r="186" spans="1:16" x14ac:dyDescent="0.25">
      <c r="A186" s="45" t="str">
        <f t="shared" si="7"/>
        <v>2025 OKT NOV B1 DISC  30%</v>
      </c>
      <c r="B186" s="46">
        <v>46104</v>
      </c>
      <c r="C186" s="46">
        <v>46113</v>
      </c>
      <c r="D186" s="47">
        <v>3273</v>
      </c>
      <c r="E186" s="47">
        <v>336</v>
      </c>
      <c r="F186" s="47">
        <v>4</v>
      </c>
      <c r="G186" s="45">
        <v>6</v>
      </c>
      <c r="H186" s="45">
        <v>81588</v>
      </c>
      <c r="I186" s="48" t="s">
        <v>17</v>
      </c>
      <c r="J186" s="45">
        <v>61093770</v>
      </c>
      <c r="K186" s="45" t="s">
        <v>3558</v>
      </c>
      <c r="L186" s="45" t="s">
        <v>3563</v>
      </c>
      <c r="M186" s="50">
        <v>99900</v>
      </c>
      <c r="N186" s="51">
        <f t="shared" si="8"/>
        <v>0.3</v>
      </c>
      <c r="O186" s="52">
        <f t="shared" si="6"/>
        <v>69930</v>
      </c>
      <c r="P186" s="48" t="s">
        <v>20</v>
      </c>
    </row>
    <row r="187" spans="1:16" x14ac:dyDescent="0.25">
      <c r="A187" s="45" t="str">
        <f t="shared" si="7"/>
        <v>2025 OKT NOV B1 DISC  30%</v>
      </c>
      <c r="B187" s="46">
        <v>46104</v>
      </c>
      <c r="C187" s="46">
        <v>46113</v>
      </c>
      <c r="D187" s="47">
        <v>3273</v>
      </c>
      <c r="E187" s="47">
        <v>336</v>
      </c>
      <c r="F187" s="47">
        <v>4</v>
      </c>
      <c r="G187" s="45">
        <v>6</v>
      </c>
      <c r="H187" s="45">
        <v>81588</v>
      </c>
      <c r="I187" s="48" t="s">
        <v>17</v>
      </c>
      <c r="J187" s="45">
        <v>61093789</v>
      </c>
      <c r="K187" s="45" t="s">
        <v>3558</v>
      </c>
      <c r="L187" s="45" t="s">
        <v>3564</v>
      </c>
      <c r="M187" s="50">
        <v>99900</v>
      </c>
      <c r="N187" s="51">
        <f t="shared" si="8"/>
        <v>0.3</v>
      </c>
      <c r="O187" s="52">
        <f t="shared" si="6"/>
        <v>69930</v>
      </c>
      <c r="P187" s="48" t="s">
        <v>20</v>
      </c>
    </row>
    <row r="188" spans="1:16" x14ac:dyDescent="0.25">
      <c r="A188" s="45" t="str">
        <f t="shared" si="7"/>
        <v>2025 OKT NOV B1 DISC  30%</v>
      </c>
      <c r="B188" s="46">
        <v>46104</v>
      </c>
      <c r="C188" s="46">
        <v>46113</v>
      </c>
      <c r="D188" s="47">
        <v>3273</v>
      </c>
      <c r="E188" s="47">
        <v>336</v>
      </c>
      <c r="F188" s="47">
        <v>4</v>
      </c>
      <c r="G188" s="45">
        <v>6</v>
      </c>
      <c r="H188" s="45">
        <v>81588</v>
      </c>
      <c r="I188" s="48" t="s">
        <v>17</v>
      </c>
      <c r="J188" s="45">
        <v>61093798</v>
      </c>
      <c r="K188" s="45" t="s">
        <v>3558</v>
      </c>
      <c r="L188" s="45" t="s">
        <v>3565</v>
      </c>
      <c r="M188" s="50">
        <v>99900</v>
      </c>
      <c r="N188" s="51">
        <f t="shared" si="8"/>
        <v>0.3</v>
      </c>
      <c r="O188" s="52">
        <f t="shared" si="6"/>
        <v>69930</v>
      </c>
      <c r="P188" s="48" t="s">
        <v>20</v>
      </c>
    </row>
    <row r="189" spans="1:16" x14ac:dyDescent="0.25">
      <c r="A189" s="45" t="str">
        <f t="shared" si="7"/>
        <v>2025 OKT NOV B1 DISC  30%</v>
      </c>
      <c r="B189" s="46">
        <v>46104</v>
      </c>
      <c r="C189" s="46">
        <v>46113</v>
      </c>
      <c r="D189" s="47">
        <v>3273</v>
      </c>
      <c r="E189" s="47">
        <v>336</v>
      </c>
      <c r="F189" s="47">
        <v>4</v>
      </c>
      <c r="G189" s="45">
        <v>6</v>
      </c>
      <c r="H189" s="45">
        <v>81588</v>
      </c>
      <c r="I189" s="48" t="s">
        <v>17</v>
      </c>
      <c r="J189" s="45">
        <v>61093878</v>
      </c>
      <c r="K189" s="45" t="s">
        <v>3566</v>
      </c>
      <c r="L189" s="45" t="s">
        <v>3567</v>
      </c>
      <c r="M189" s="50">
        <v>99900</v>
      </c>
      <c r="N189" s="51">
        <f t="shared" si="8"/>
        <v>0.3</v>
      </c>
      <c r="O189" s="52">
        <f t="shared" si="6"/>
        <v>69930</v>
      </c>
      <c r="P189" s="48" t="s">
        <v>20</v>
      </c>
    </row>
    <row r="190" spans="1:16" x14ac:dyDescent="0.25">
      <c r="A190" s="45" t="str">
        <f t="shared" si="7"/>
        <v>2025 OKT NOV B1 DISC  30%</v>
      </c>
      <c r="B190" s="46">
        <v>46104</v>
      </c>
      <c r="C190" s="46">
        <v>46113</v>
      </c>
      <c r="D190" s="47">
        <v>3273</v>
      </c>
      <c r="E190" s="47">
        <v>336</v>
      </c>
      <c r="F190" s="47">
        <v>4</v>
      </c>
      <c r="G190" s="45">
        <v>6</v>
      </c>
      <c r="H190" s="45">
        <v>81588</v>
      </c>
      <c r="I190" s="48" t="s">
        <v>17</v>
      </c>
      <c r="J190" s="45">
        <v>61093887</v>
      </c>
      <c r="K190" s="45" t="s">
        <v>3566</v>
      </c>
      <c r="L190" s="45" t="s">
        <v>3568</v>
      </c>
      <c r="M190" s="50">
        <v>99900</v>
      </c>
      <c r="N190" s="51">
        <f t="shared" si="8"/>
        <v>0.3</v>
      </c>
      <c r="O190" s="52">
        <f t="shared" si="6"/>
        <v>69930</v>
      </c>
      <c r="P190" s="48" t="s">
        <v>20</v>
      </c>
    </row>
    <row r="191" spans="1:16" x14ac:dyDescent="0.25">
      <c r="A191" s="45" t="str">
        <f t="shared" si="7"/>
        <v>2025 OKT NOV B1 DISC  30%</v>
      </c>
      <c r="B191" s="46">
        <v>46104</v>
      </c>
      <c r="C191" s="46">
        <v>46113</v>
      </c>
      <c r="D191" s="47">
        <v>3273</v>
      </c>
      <c r="E191" s="47">
        <v>336</v>
      </c>
      <c r="F191" s="47">
        <v>4</v>
      </c>
      <c r="G191" s="45">
        <v>6</v>
      </c>
      <c r="H191" s="45">
        <v>81588</v>
      </c>
      <c r="I191" s="48" t="s">
        <v>17</v>
      </c>
      <c r="J191" s="45">
        <v>61093896</v>
      </c>
      <c r="K191" s="45" t="s">
        <v>3566</v>
      </c>
      <c r="L191" s="45" t="s">
        <v>3569</v>
      </c>
      <c r="M191" s="50">
        <v>99900</v>
      </c>
      <c r="N191" s="51">
        <f t="shared" si="8"/>
        <v>0.3</v>
      </c>
      <c r="O191" s="52">
        <f t="shared" si="6"/>
        <v>69930</v>
      </c>
      <c r="P191" s="48" t="s">
        <v>20</v>
      </c>
    </row>
    <row r="192" spans="1:16" x14ac:dyDescent="0.25">
      <c r="A192" s="45" t="str">
        <f t="shared" si="7"/>
        <v>2025 OKT NOV B1 DISC  30%</v>
      </c>
      <c r="B192" s="46">
        <v>46104</v>
      </c>
      <c r="C192" s="46">
        <v>46113</v>
      </c>
      <c r="D192" s="47">
        <v>3273</v>
      </c>
      <c r="E192" s="47">
        <v>336</v>
      </c>
      <c r="F192" s="47">
        <v>4</v>
      </c>
      <c r="G192" s="45">
        <v>6</v>
      </c>
      <c r="H192" s="45">
        <v>81588</v>
      </c>
      <c r="I192" s="48" t="s">
        <v>17</v>
      </c>
      <c r="J192" s="45">
        <v>61093903</v>
      </c>
      <c r="K192" s="45" t="s">
        <v>3566</v>
      </c>
      <c r="L192" s="45" t="s">
        <v>3570</v>
      </c>
      <c r="M192" s="50">
        <v>99900</v>
      </c>
      <c r="N192" s="51">
        <f t="shared" si="8"/>
        <v>0.3</v>
      </c>
      <c r="O192" s="52">
        <f t="shared" si="6"/>
        <v>69930</v>
      </c>
      <c r="P192" s="48" t="s">
        <v>20</v>
      </c>
    </row>
    <row r="193" spans="1:16" x14ac:dyDescent="0.25">
      <c r="A193" s="45" t="str">
        <f t="shared" si="7"/>
        <v>2025 OKT NOV B1 DISC  30%</v>
      </c>
      <c r="B193" s="46">
        <v>46104</v>
      </c>
      <c r="C193" s="46">
        <v>46113</v>
      </c>
      <c r="D193" s="47">
        <v>3273</v>
      </c>
      <c r="E193" s="47">
        <v>336</v>
      </c>
      <c r="F193" s="47">
        <v>4</v>
      </c>
      <c r="G193" s="45">
        <v>6</v>
      </c>
      <c r="H193" s="45">
        <v>81588</v>
      </c>
      <c r="I193" s="48" t="s">
        <v>17</v>
      </c>
      <c r="J193" s="45">
        <v>61093912</v>
      </c>
      <c r="K193" s="45" t="s">
        <v>3566</v>
      </c>
      <c r="L193" s="45" t="s">
        <v>3571</v>
      </c>
      <c r="M193" s="50">
        <v>99900</v>
      </c>
      <c r="N193" s="51">
        <f t="shared" si="8"/>
        <v>0.3</v>
      </c>
      <c r="O193" s="52">
        <f t="shared" si="6"/>
        <v>69930</v>
      </c>
      <c r="P193" s="48" t="s">
        <v>20</v>
      </c>
    </row>
    <row r="194" spans="1:16" x14ac:dyDescent="0.25">
      <c r="A194" s="45" t="str">
        <f t="shared" si="7"/>
        <v>2025 OKT NOV B1 DISC  30%</v>
      </c>
      <c r="B194" s="46">
        <v>46104</v>
      </c>
      <c r="C194" s="46">
        <v>46113</v>
      </c>
      <c r="D194" s="47">
        <v>3273</v>
      </c>
      <c r="E194" s="47">
        <v>336</v>
      </c>
      <c r="F194" s="47">
        <v>4</v>
      </c>
      <c r="G194" s="45">
        <v>6</v>
      </c>
      <c r="H194" s="45">
        <v>81588</v>
      </c>
      <c r="I194" s="48" t="s">
        <v>17</v>
      </c>
      <c r="J194" s="45">
        <v>61093921</v>
      </c>
      <c r="K194" s="45" t="s">
        <v>3566</v>
      </c>
      <c r="L194" s="45" t="s">
        <v>3572</v>
      </c>
      <c r="M194" s="50">
        <v>99900</v>
      </c>
      <c r="N194" s="51">
        <f t="shared" si="8"/>
        <v>0.3</v>
      </c>
      <c r="O194" s="52">
        <f t="shared" si="6"/>
        <v>69930</v>
      </c>
      <c r="P194" s="48" t="s">
        <v>20</v>
      </c>
    </row>
    <row r="195" spans="1:16" x14ac:dyDescent="0.25">
      <c r="A195" s="45" t="str">
        <f t="shared" si="7"/>
        <v>2025 OKT NOV B1 DISC  30%</v>
      </c>
      <c r="B195" s="46">
        <v>46104</v>
      </c>
      <c r="C195" s="46">
        <v>46113</v>
      </c>
      <c r="D195" s="47">
        <v>3273</v>
      </c>
      <c r="E195" s="47">
        <v>336</v>
      </c>
      <c r="F195" s="47">
        <v>4</v>
      </c>
      <c r="G195" s="45">
        <v>6</v>
      </c>
      <c r="H195" s="45">
        <v>81588</v>
      </c>
      <c r="I195" s="48" t="s">
        <v>17</v>
      </c>
      <c r="J195" s="45">
        <v>61093930</v>
      </c>
      <c r="K195" s="45" t="s">
        <v>3566</v>
      </c>
      <c r="L195" s="45" t="s">
        <v>3573</v>
      </c>
      <c r="M195" s="50">
        <v>99900</v>
      </c>
      <c r="N195" s="51">
        <f t="shared" si="8"/>
        <v>0.3</v>
      </c>
      <c r="O195" s="52">
        <f t="shared" ref="O195:O258" si="9">M195-((30*M195)/100)</f>
        <v>69930</v>
      </c>
      <c r="P195" s="48" t="s">
        <v>20</v>
      </c>
    </row>
    <row r="196" spans="1:16" x14ac:dyDescent="0.25">
      <c r="A196" s="45" t="str">
        <f t="shared" ref="A196:A259" si="10">A195</f>
        <v>2025 OKT NOV B1 DISC  30%</v>
      </c>
      <c r="B196" s="46">
        <v>46104</v>
      </c>
      <c r="C196" s="46">
        <v>46113</v>
      </c>
      <c r="D196" s="47">
        <v>3273</v>
      </c>
      <c r="E196" s="47">
        <v>336</v>
      </c>
      <c r="F196" s="47">
        <v>4</v>
      </c>
      <c r="G196" s="45">
        <v>6</v>
      </c>
      <c r="H196" s="45">
        <v>81588</v>
      </c>
      <c r="I196" s="48" t="s">
        <v>17</v>
      </c>
      <c r="J196" s="45">
        <v>61093985</v>
      </c>
      <c r="K196" s="45" t="s">
        <v>3574</v>
      </c>
      <c r="L196" s="45" t="s">
        <v>3575</v>
      </c>
      <c r="M196" s="50">
        <v>99900</v>
      </c>
      <c r="N196" s="51">
        <f t="shared" ref="N196:N259" si="11">N195</f>
        <v>0.3</v>
      </c>
      <c r="O196" s="52">
        <f t="shared" si="9"/>
        <v>69930</v>
      </c>
      <c r="P196" s="48" t="s">
        <v>20</v>
      </c>
    </row>
    <row r="197" spans="1:16" x14ac:dyDescent="0.25">
      <c r="A197" s="45" t="str">
        <f t="shared" si="10"/>
        <v>2025 OKT NOV B1 DISC  30%</v>
      </c>
      <c r="B197" s="46">
        <v>46104</v>
      </c>
      <c r="C197" s="46">
        <v>46113</v>
      </c>
      <c r="D197" s="47">
        <v>3273</v>
      </c>
      <c r="E197" s="47">
        <v>336</v>
      </c>
      <c r="F197" s="47">
        <v>4</v>
      </c>
      <c r="G197" s="45">
        <v>6</v>
      </c>
      <c r="H197" s="45">
        <v>81588</v>
      </c>
      <c r="I197" s="48" t="s">
        <v>17</v>
      </c>
      <c r="J197" s="45">
        <v>61093994</v>
      </c>
      <c r="K197" s="45" t="s">
        <v>3574</v>
      </c>
      <c r="L197" s="45" t="s">
        <v>3576</v>
      </c>
      <c r="M197" s="50">
        <v>99900</v>
      </c>
      <c r="N197" s="51">
        <f t="shared" si="11"/>
        <v>0.3</v>
      </c>
      <c r="O197" s="52">
        <f t="shared" si="9"/>
        <v>69930</v>
      </c>
      <c r="P197" s="48" t="s">
        <v>20</v>
      </c>
    </row>
    <row r="198" spans="1:16" x14ac:dyDescent="0.25">
      <c r="A198" s="45" t="str">
        <f t="shared" si="10"/>
        <v>2025 OKT NOV B1 DISC  30%</v>
      </c>
      <c r="B198" s="46">
        <v>46104</v>
      </c>
      <c r="C198" s="46">
        <v>46113</v>
      </c>
      <c r="D198" s="47">
        <v>3273</v>
      </c>
      <c r="E198" s="47">
        <v>336</v>
      </c>
      <c r="F198" s="47">
        <v>4</v>
      </c>
      <c r="G198" s="45">
        <v>6</v>
      </c>
      <c r="H198" s="45">
        <v>81588</v>
      </c>
      <c r="I198" s="48" t="s">
        <v>17</v>
      </c>
      <c r="J198" s="45">
        <v>61094000</v>
      </c>
      <c r="K198" s="45" t="s">
        <v>3574</v>
      </c>
      <c r="L198" s="45" t="s">
        <v>3577</v>
      </c>
      <c r="M198" s="50">
        <v>99900</v>
      </c>
      <c r="N198" s="51">
        <f t="shared" si="11"/>
        <v>0.3</v>
      </c>
      <c r="O198" s="52">
        <f t="shared" si="9"/>
        <v>69930</v>
      </c>
      <c r="P198" s="48" t="s">
        <v>20</v>
      </c>
    </row>
    <row r="199" spans="1:16" x14ac:dyDescent="0.25">
      <c r="A199" s="45" t="str">
        <f t="shared" si="10"/>
        <v>2025 OKT NOV B1 DISC  30%</v>
      </c>
      <c r="B199" s="46">
        <v>46104</v>
      </c>
      <c r="C199" s="46">
        <v>46113</v>
      </c>
      <c r="D199" s="47">
        <v>3273</v>
      </c>
      <c r="E199" s="47">
        <v>336</v>
      </c>
      <c r="F199" s="47">
        <v>4</v>
      </c>
      <c r="G199" s="45">
        <v>6</v>
      </c>
      <c r="H199" s="45">
        <v>81588</v>
      </c>
      <c r="I199" s="48" t="s">
        <v>17</v>
      </c>
      <c r="J199" s="45">
        <v>61094019</v>
      </c>
      <c r="K199" s="45" t="s">
        <v>3574</v>
      </c>
      <c r="L199" s="45" t="s">
        <v>3578</v>
      </c>
      <c r="M199" s="50">
        <v>99900</v>
      </c>
      <c r="N199" s="51">
        <f t="shared" si="11"/>
        <v>0.3</v>
      </c>
      <c r="O199" s="52">
        <f t="shared" si="9"/>
        <v>69930</v>
      </c>
      <c r="P199" s="48" t="s">
        <v>20</v>
      </c>
    </row>
    <row r="200" spans="1:16" x14ac:dyDescent="0.25">
      <c r="A200" s="45" t="str">
        <f t="shared" si="10"/>
        <v>2025 OKT NOV B1 DISC  30%</v>
      </c>
      <c r="B200" s="46">
        <v>46104</v>
      </c>
      <c r="C200" s="46">
        <v>46113</v>
      </c>
      <c r="D200" s="47">
        <v>3273</v>
      </c>
      <c r="E200" s="47">
        <v>336</v>
      </c>
      <c r="F200" s="47">
        <v>4</v>
      </c>
      <c r="G200" s="45">
        <v>6</v>
      </c>
      <c r="H200" s="45">
        <v>81588</v>
      </c>
      <c r="I200" s="48" t="s">
        <v>17</v>
      </c>
      <c r="J200" s="45">
        <v>61094028</v>
      </c>
      <c r="K200" s="45" t="s">
        <v>3574</v>
      </c>
      <c r="L200" s="45" t="s">
        <v>3579</v>
      </c>
      <c r="M200" s="50">
        <v>99900</v>
      </c>
      <c r="N200" s="51">
        <f t="shared" si="11"/>
        <v>0.3</v>
      </c>
      <c r="O200" s="52">
        <f t="shared" si="9"/>
        <v>69930</v>
      </c>
      <c r="P200" s="48" t="s">
        <v>20</v>
      </c>
    </row>
    <row r="201" spans="1:16" x14ac:dyDescent="0.25">
      <c r="A201" s="45" t="str">
        <f t="shared" si="10"/>
        <v>2025 OKT NOV B1 DISC  30%</v>
      </c>
      <c r="B201" s="46">
        <v>46104</v>
      </c>
      <c r="C201" s="46">
        <v>46113</v>
      </c>
      <c r="D201" s="47">
        <v>3273</v>
      </c>
      <c r="E201" s="47">
        <v>336</v>
      </c>
      <c r="F201" s="47">
        <v>4</v>
      </c>
      <c r="G201" s="45">
        <v>6</v>
      </c>
      <c r="H201" s="45">
        <v>81588</v>
      </c>
      <c r="I201" s="48" t="s">
        <v>17</v>
      </c>
      <c r="J201" s="45">
        <v>61094037</v>
      </c>
      <c r="K201" s="45" t="s">
        <v>3574</v>
      </c>
      <c r="L201" s="45" t="s">
        <v>3580</v>
      </c>
      <c r="M201" s="50">
        <v>99900</v>
      </c>
      <c r="N201" s="51">
        <f t="shared" si="11"/>
        <v>0.3</v>
      </c>
      <c r="O201" s="52">
        <f t="shared" si="9"/>
        <v>69930</v>
      </c>
      <c r="P201" s="48" t="s">
        <v>20</v>
      </c>
    </row>
    <row r="202" spans="1:16" x14ac:dyDescent="0.25">
      <c r="A202" s="45" t="str">
        <f t="shared" si="10"/>
        <v>2025 OKT NOV B1 DISC  30%</v>
      </c>
      <c r="B202" s="46">
        <v>46104</v>
      </c>
      <c r="C202" s="46">
        <v>46113</v>
      </c>
      <c r="D202" s="47">
        <v>3273</v>
      </c>
      <c r="E202" s="47">
        <v>336</v>
      </c>
      <c r="F202" s="47">
        <v>4</v>
      </c>
      <c r="G202" s="45">
        <v>6</v>
      </c>
      <c r="H202" s="45">
        <v>81588</v>
      </c>
      <c r="I202" s="48" t="s">
        <v>17</v>
      </c>
      <c r="J202" s="45">
        <v>61094046</v>
      </c>
      <c r="K202" s="45" t="s">
        <v>3574</v>
      </c>
      <c r="L202" s="45" t="s">
        <v>3581</v>
      </c>
      <c r="M202" s="50">
        <v>99900</v>
      </c>
      <c r="N202" s="51">
        <f t="shared" si="11"/>
        <v>0.3</v>
      </c>
      <c r="O202" s="52">
        <f t="shared" si="9"/>
        <v>69930</v>
      </c>
      <c r="P202" s="48" t="s">
        <v>20</v>
      </c>
    </row>
    <row r="203" spans="1:16" x14ac:dyDescent="0.25">
      <c r="A203" s="45" t="str">
        <f t="shared" si="10"/>
        <v>2025 OKT NOV B1 DISC  30%</v>
      </c>
      <c r="B203" s="46">
        <v>46104</v>
      </c>
      <c r="C203" s="46">
        <v>46113</v>
      </c>
      <c r="D203" s="47">
        <v>3273</v>
      </c>
      <c r="E203" s="47">
        <v>336</v>
      </c>
      <c r="F203" s="47">
        <v>4</v>
      </c>
      <c r="G203" s="45">
        <v>8</v>
      </c>
      <c r="H203" s="45">
        <v>81588</v>
      </c>
      <c r="I203" s="48" t="s">
        <v>17</v>
      </c>
      <c r="J203" s="45">
        <v>61094126</v>
      </c>
      <c r="K203" s="45" t="s">
        <v>3582</v>
      </c>
      <c r="L203" s="45" t="s">
        <v>3583</v>
      </c>
      <c r="M203" s="50">
        <v>179900</v>
      </c>
      <c r="N203" s="51">
        <f t="shared" si="11"/>
        <v>0.3</v>
      </c>
      <c r="O203" s="52">
        <f t="shared" si="9"/>
        <v>125930</v>
      </c>
      <c r="P203" s="48" t="s">
        <v>20</v>
      </c>
    </row>
    <row r="204" spans="1:16" x14ac:dyDescent="0.25">
      <c r="A204" s="45" t="str">
        <f t="shared" si="10"/>
        <v>2025 OKT NOV B1 DISC  30%</v>
      </c>
      <c r="B204" s="46">
        <v>46104</v>
      </c>
      <c r="C204" s="46">
        <v>46113</v>
      </c>
      <c r="D204" s="47">
        <v>3273</v>
      </c>
      <c r="E204" s="47">
        <v>336</v>
      </c>
      <c r="F204" s="47">
        <v>4</v>
      </c>
      <c r="G204" s="45">
        <v>8</v>
      </c>
      <c r="H204" s="45">
        <v>81588</v>
      </c>
      <c r="I204" s="48" t="s">
        <v>17</v>
      </c>
      <c r="J204" s="45">
        <v>61094135</v>
      </c>
      <c r="K204" s="45" t="s">
        <v>3582</v>
      </c>
      <c r="L204" s="45" t="s">
        <v>3584</v>
      </c>
      <c r="M204" s="50">
        <v>179900</v>
      </c>
      <c r="N204" s="51">
        <f t="shared" si="11"/>
        <v>0.3</v>
      </c>
      <c r="O204" s="52">
        <f t="shared" si="9"/>
        <v>125930</v>
      </c>
      <c r="P204" s="48" t="s">
        <v>20</v>
      </c>
    </row>
    <row r="205" spans="1:16" x14ac:dyDescent="0.25">
      <c r="A205" s="45" t="str">
        <f t="shared" si="10"/>
        <v>2025 OKT NOV B1 DISC  30%</v>
      </c>
      <c r="B205" s="46">
        <v>46104</v>
      </c>
      <c r="C205" s="46">
        <v>46113</v>
      </c>
      <c r="D205" s="47">
        <v>3273</v>
      </c>
      <c r="E205" s="47">
        <v>336</v>
      </c>
      <c r="F205" s="47">
        <v>4</v>
      </c>
      <c r="G205" s="45">
        <v>8</v>
      </c>
      <c r="H205" s="45">
        <v>81588</v>
      </c>
      <c r="I205" s="48" t="s">
        <v>17</v>
      </c>
      <c r="J205" s="45">
        <v>61094144</v>
      </c>
      <c r="K205" s="45" t="s">
        <v>3582</v>
      </c>
      <c r="L205" s="45" t="s">
        <v>3585</v>
      </c>
      <c r="M205" s="50">
        <v>179900</v>
      </c>
      <c r="N205" s="51">
        <f t="shared" si="11"/>
        <v>0.3</v>
      </c>
      <c r="O205" s="52">
        <f t="shared" si="9"/>
        <v>125930</v>
      </c>
      <c r="P205" s="48" t="s">
        <v>20</v>
      </c>
    </row>
    <row r="206" spans="1:16" x14ac:dyDescent="0.25">
      <c r="A206" s="45" t="str">
        <f t="shared" si="10"/>
        <v>2025 OKT NOV B1 DISC  30%</v>
      </c>
      <c r="B206" s="46">
        <v>46104</v>
      </c>
      <c r="C206" s="46">
        <v>46113</v>
      </c>
      <c r="D206" s="47">
        <v>3273</v>
      </c>
      <c r="E206" s="47">
        <v>336</v>
      </c>
      <c r="F206" s="47">
        <v>4</v>
      </c>
      <c r="G206" s="45">
        <v>8</v>
      </c>
      <c r="H206" s="45">
        <v>81588</v>
      </c>
      <c r="I206" s="48" t="s">
        <v>17</v>
      </c>
      <c r="J206" s="45">
        <v>61094153</v>
      </c>
      <c r="K206" s="45" t="s">
        <v>3582</v>
      </c>
      <c r="L206" s="45" t="s">
        <v>3586</v>
      </c>
      <c r="M206" s="50">
        <v>179900</v>
      </c>
      <c r="N206" s="51">
        <f t="shared" si="11"/>
        <v>0.3</v>
      </c>
      <c r="O206" s="52">
        <f t="shared" si="9"/>
        <v>125930</v>
      </c>
      <c r="P206" s="48" t="s">
        <v>20</v>
      </c>
    </row>
    <row r="207" spans="1:16" x14ac:dyDescent="0.25">
      <c r="A207" s="45" t="str">
        <f t="shared" si="10"/>
        <v>2025 OKT NOV B1 DISC  30%</v>
      </c>
      <c r="B207" s="46">
        <v>46104</v>
      </c>
      <c r="C207" s="46">
        <v>46113</v>
      </c>
      <c r="D207" s="47">
        <v>3273</v>
      </c>
      <c r="E207" s="47">
        <v>336</v>
      </c>
      <c r="F207" s="47">
        <v>4</v>
      </c>
      <c r="G207" s="45">
        <v>8</v>
      </c>
      <c r="H207" s="45">
        <v>81588</v>
      </c>
      <c r="I207" s="48" t="s">
        <v>17</v>
      </c>
      <c r="J207" s="45">
        <v>61094162</v>
      </c>
      <c r="K207" s="45" t="s">
        <v>3582</v>
      </c>
      <c r="L207" s="45" t="s">
        <v>3587</v>
      </c>
      <c r="M207" s="50">
        <v>179900</v>
      </c>
      <c r="N207" s="51">
        <f t="shared" si="11"/>
        <v>0.3</v>
      </c>
      <c r="O207" s="52">
        <f t="shared" si="9"/>
        <v>125930</v>
      </c>
      <c r="P207" s="48" t="s">
        <v>20</v>
      </c>
    </row>
    <row r="208" spans="1:16" x14ac:dyDescent="0.25">
      <c r="A208" s="45" t="str">
        <f t="shared" si="10"/>
        <v>2025 OKT NOV B1 DISC  30%</v>
      </c>
      <c r="B208" s="46">
        <v>46104</v>
      </c>
      <c r="C208" s="46">
        <v>46113</v>
      </c>
      <c r="D208" s="47">
        <v>3273</v>
      </c>
      <c r="E208" s="47">
        <v>336</v>
      </c>
      <c r="F208" s="47">
        <v>4</v>
      </c>
      <c r="G208" s="45">
        <v>8</v>
      </c>
      <c r="H208" s="45">
        <v>81588</v>
      </c>
      <c r="I208" s="48" t="s">
        <v>17</v>
      </c>
      <c r="J208" s="45">
        <v>61094171</v>
      </c>
      <c r="K208" s="45" t="s">
        <v>3582</v>
      </c>
      <c r="L208" s="45" t="s">
        <v>3588</v>
      </c>
      <c r="M208" s="50">
        <v>179900</v>
      </c>
      <c r="N208" s="51">
        <f t="shared" si="11"/>
        <v>0.3</v>
      </c>
      <c r="O208" s="52">
        <f t="shared" si="9"/>
        <v>125930</v>
      </c>
      <c r="P208" s="48" t="s">
        <v>20</v>
      </c>
    </row>
    <row r="209" spans="1:16" x14ac:dyDescent="0.25">
      <c r="A209" s="45" t="str">
        <f t="shared" si="10"/>
        <v>2025 OKT NOV B1 DISC  30%</v>
      </c>
      <c r="B209" s="46">
        <v>46104</v>
      </c>
      <c r="C209" s="46">
        <v>46113</v>
      </c>
      <c r="D209" s="47">
        <v>3273</v>
      </c>
      <c r="E209" s="47">
        <v>336</v>
      </c>
      <c r="F209" s="47">
        <v>4</v>
      </c>
      <c r="G209" s="45">
        <v>8</v>
      </c>
      <c r="H209" s="45">
        <v>81588</v>
      </c>
      <c r="I209" s="48" t="s">
        <v>17</v>
      </c>
      <c r="J209" s="45">
        <v>61094180</v>
      </c>
      <c r="K209" s="45" t="s">
        <v>3582</v>
      </c>
      <c r="L209" s="45" t="s">
        <v>3589</v>
      </c>
      <c r="M209" s="50">
        <v>179900</v>
      </c>
      <c r="N209" s="51">
        <f t="shared" si="11"/>
        <v>0.3</v>
      </c>
      <c r="O209" s="52">
        <f t="shared" si="9"/>
        <v>125930</v>
      </c>
      <c r="P209" s="48" t="s">
        <v>20</v>
      </c>
    </row>
    <row r="210" spans="1:16" x14ac:dyDescent="0.25">
      <c r="A210" s="45" t="str">
        <f t="shared" si="10"/>
        <v>2025 OKT NOV B1 DISC  30%</v>
      </c>
      <c r="B210" s="46">
        <v>46104</v>
      </c>
      <c r="C210" s="46">
        <v>46113</v>
      </c>
      <c r="D210" s="47">
        <v>3273</v>
      </c>
      <c r="E210" s="47">
        <v>336</v>
      </c>
      <c r="F210" s="47">
        <v>4</v>
      </c>
      <c r="G210" s="45">
        <v>1</v>
      </c>
      <c r="H210" s="45">
        <v>81588</v>
      </c>
      <c r="I210" s="48" t="s">
        <v>17</v>
      </c>
      <c r="J210" s="45">
        <v>61182423</v>
      </c>
      <c r="K210" s="45" t="s">
        <v>3344</v>
      </c>
      <c r="L210" s="45" t="s">
        <v>3590</v>
      </c>
      <c r="M210" s="50">
        <v>99900</v>
      </c>
      <c r="N210" s="51">
        <f t="shared" si="11"/>
        <v>0.3</v>
      </c>
      <c r="O210" s="52">
        <f t="shared" si="9"/>
        <v>69930</v>
      </c>
      <c r="P210" s="48" t="s">
        <v>20</v>
      </c>
    </row>
    <row r="211" spans="1:16" x14ac:dyDescent="0.25">
      <c r="A211" s="45" t="str">
        <f t="shared" si="10"/>
        <v>2025 OKT NOV B1 DISC  30%</v>
      </c>
      <c r="B211" s="46">
        <v>46104</v>
      </c>
      <c r="C211" s="46">
        <v>46113</v>
      </c>
      <c r="D211" s="47">
        <v>3273</v>
      </c>
      <c r="E211" s="47">
        <v>336</v>
      </c>
      <c r="F211" s="47">
        <v>4</v>
      </c>
      <c r="G211" s="45">
        <v>1</v>
      </c>
      <c r="H211" s="45">
        <v>81588</v>
      </c>
      <c r="I211" s="48" t="s">
        <v>17</v>
      </c>
      <c r="J211" s="45">
        <v>61182432</v>
      </c>
      <c r="K211" s="45" t="s">
        <v>3344</v>
      </c>
      <c r="L211" s="45" t="s">
        <v>3591</v>
      </c>
      <c r="M211" s="50">
        <v>99900</v>
      </c>
      <c r="N211" s="51">
        <f t="shared" si="11"/>
        <v>0.3</v>
      </c>
      <c r="O211" s="52">
        <f t="shared" si="9"/>
        <v>69930</v>
      </c>
      <c r="P211" s="48" t="s">
        <v>20</v>
      </c>
    </row>
    <row r="212" spans="1:16" x14ac:dyDescent="0.25">
      <c r="A212" s="45" t="str">
        <f t="shared" si="10"/>
        <v>2025 OKT NOV B1 DISC  30%</v>
      </c>
      <c r="B212" s="46">
        <v>46104</v>
      </c>
      <c r="C212" s="46">
        <v>46113</v>
      </c>
      <c r="D212" s="47">
        <v>3273</v>
      </c>
      <c r="E212" s="47">
        <v>336</v>
      </c>
      <c r="F212" s="47">
        <v>4</v>
      </c>
      <c r="G212" s="45">
        <v>1</v>
      </c>
      <c r="H212" s="45">
        <v>81588</v>
      </c>
      <c r="I212" s="48" t="s">
        <v>17</v>
      </c>
      <c r="J212" s="45">
        <v>61182441</v>
      </c>
      <c r="K212" s="45" t="s">
        <v>3344</v>
      </c>
      <c r="L212" s="45" t="s">
        <v>3592</v>
      </c>
      <c r="M212" s="50">
        <v>99900</v>
      </c>
      <c r="N212" s="51">
        <f t="shared" si="11"/>
        <v>0.3</v>
      </c>
      <c r="O212" s="52">
        <f t="shared" si="9"/>
        <v>69930</v>
      </c>
      <c r="P212" s="48" t="s">
        <v>20</v>
      </c>
    </row>
    <row r="213" spans="1:16" x14ac:dyDescent="0.25">
      <c r="A213" s="45" t="str">
        <f t="shared" si="10"/>
        <v>2025 OKT NOV B1 DISC  30%</v>
      </c>
      <c r="B213" s="46">
        <v>46104</v>
      </c>
      <c r="C213" s="46">
        <v>46113</v>
      </c>
      <c r="D213" s="47">
        <v>3273</v>
      </c>
      <c r="E213" s="47">
        <v>336</v>
      </c>
      <c r="F213" s="47">
        <v>4</v>
      </c>
      <c r="G213" s="45">
        <v>11</v>
      </c>
      <c r="H213" s="45">
        <v>81588</v>
      </c>
      <c r="I213" s="48" t="s">
        <v>17</v>
      </c>
      <c r="J213" s="45">
        <v>61618720</v>
      </c>
      <c r="K213" s="45" t="s">
        <v>3593</v>
      </c>
      <c r="L213" s="45" t="s">
        <v>3594</v>
      </c>
      <c r="M213" s="50">
        <v>99900</v>
      </c>
      <c r="N213" s="51">
        <f t="shared" si="11"/>
        <v>0.3</v>
      </c>
      <c r="O213" s="52">
        <f t="shared" si="9"/>
        <v>69930</v>
      </c>
      <c r="P213" s="48" t="s">
        <v>20</v>
      </c>
    </row>
    <row r="214" spans="1:16" x14ac:dyDescent="0.25">
      <c r="A214" s="45" t="str">
        <f t="shared" si="10"/>
        <v>2025 OKT NOV B1 DISC  30%</v>
      </c>
      <c r="B214" s="46">
        <v>46104</v>
      </c>
      <c r="C214" s="46">
        <v>46113</v>
      </c>
      <c r="D214" s="47">
        <v>3273</v>
      </c>
      <c r="E214" s="47">
        <v>336</v>
      </c>
      <c r="F214" s="47">
        <v>4</v>
      </c>
      <c r="G214" s="45">
        <v>11</v>
      </c>
      <c r="H214" s="45">
        <v>81588</v>
      </c>
      <c r="I214" s="48" t="s">
        <v>17</v>
      </c>
      <c r="J214" s="45">
        <v>61618739</v>
      </c>
      <c r="K214" s="45" t="s">
        <v>3593</v>
      </c>
      <c r="L214" s="45" t="s">
        <v>3595</v>
      </c>
      <c r="M214" s="50">
        <v>99900</v>
      </c>
      <c r="N214" s="51">
        <f t="shared" si="11"/>
        <v>0.3</v>
      </c>
      <c r="O214" s="52">
        <f t="shared" si="9"/>
        <v>69930</v>
      </c>
      <c r="P214" s="48" t="s">
        <v>20</v>
      </c>
    </row>
    <row r="215" spans="1:16" x14ac:dyDescent="0.25">
      <c r="A215" s="45" t="str">
        <f t="shared" si="10"/>
        <v>2025 OKT NOV B1 DISC  30%</v>
      </c>
      <c r="B215" s="46">
        <v>46104</v>
      </c>
      <c r="C215" s="46">
        <v>46113</v>
      </c>
      <c r="D215" s="47">
        <v>3273</v>
      </c>
      <c r="E215" s="47">
        <v>336</v>
      </c>
      <c r="F215" s="47">
        <v>4</v>
      </c>
      <c r="G215" s="45">
        <v>11</v>
      </c>
      <c r="H215" s="45">
        <v>81588</v>
      </c>
      <c r="I215" s="48" t="s">
        <v>17</v>
      </c>
      <c r="J215" s="45">
        <v>61618748</v>
      </c>
      <c r="K215" s="45" t="s">
        <v>3593</v>
      </c>
      <c r="L215" s="45" t="s">
        <v>3596</v>
      </c>
      <c r="M215" s="50">
        <v>99900</v>
      </c>
      <c r="N215" s="51">
        <f t="shared" si="11"/>
        <v>0.3</v>
      </c>
      <c r="O215" s="52">
        <f t="shared" si="9"/>
        <v>69930</v>
      </c>
      <c r="P215" s="48" t="s">
        <v>20</v>
      </c>
    </row>
    <row r="216" spans="1:16" x14ac:dyDescent="0.25">
      <c r="A216" s="45" t="str">
        <f t="shared" si="10"/>
        <v>2025 OKT NOV B1 DISC  30%</v>
      </c>
      <c r="B216" s="46">
        <v>46104</v>
      </c>
      <c r="C216" s="46">
        <v>46113</v>
      </c>
      <c r="D216" s="47">
        <v>3273</v>
      </c>
      <c r="E216" s="47">
        <v>336</v>
      </c>
      <c r="F216" s="47">
        <v>4</v>
      </c>
      <c r="G216" s="45">
        <v>11</v>
      </c>
      <c r="H216" s="45">
        <v>81588</v>
      </c>
      <c r="I216" s="48" t="s">
        <v>17</v>
      </c>
      <c r="J216" s="45">
        <v>61618757</v>
      </c>
      <c r="K216" s="45" t="s">
        <v>3593</v>
      </c>
      <c r="L216" s="45" t="s">
        <v>3597</v>
      </c>
      <c r="M216" s="50">
        <v>99900</v>
      </c>
      <c r="N216" s="51">
        <f t="shared" si="11"/>
        <v>0.3</v>
      </c>
      <c r="O216" s="52">
        <f t="shared" si="9"/>
        <v>69930</v>
      </c>
      <c r="P216" s="48" t="s">
        <v>20</v>
      </c>
    </row>
    <row r="217" spans="1:16" x14ac:dyDescent="0.25">
      <c r="A217" s="45" t="str">
        <f t="shared" si="10"/>
        <v>2025 OKT NOV B1 DISC  30%</v>
      </c>
      <c r="B217" s="46">
        <v>46104</v>
      </c>
      <c r="C217" s="46">
        <v>46113</v>
      </c>
      <c r="D217" s="47">
        <v>3273</v>
      </c>
      <c r="E217" s="47">
        <v>336</v>
      </c>
      <c r="F217" s="47">
        <v>4</v>
      </c>
      <c r="G217" s="45">
        <v>11</v>
      </c>
      <c r="H217" s="45">
        <v>81588</v>
      </c>
      <c r="I217" s="48" t="s">
        <v>17</v>
      </c>
      <c r="J217" s="45">
        <v>61618766</v>
      </c>
      <c r="K217" s="45" t="s">
        <v>3593</v>
      </c>
      <c r="L217" s="45" t="s">
        <v>3598</v>
      </c>
      <c r="M217" s="50">
        <v>99900</v>
      </c>
      <c r="N217" s="51">
        <f t="shared" si="11"/>
        <v>0.3</v>
      </c>
      <c r="O217" s="52">
        <f t="shared" si="9"/>
        <v>69930</v>
      </c>
      <c r="P217" s="48" t="s">
        <v>20</v>
      </c>
    </row>
    <row r="218" spans="1:16" x14ac:dyDescent="0.25">
      <c r="A218" s="45" t="str">
        <f t="shared" si="10"/>
        <v>2025 OKT NOV B1 DISC  30%</v>
      </c>
      <c r="B218" s="46">
        <v>46104</v>
      </c>
      <c r="C218" s="46">
        <v>46113</v>
      </c>
      <c r="D218" s="47">
        <v>3273</v>
      </c>
      <c r="E218" s="47">
        <v>336</v>
      </c>
      <c r="F218" s="47">
        <v>4</v>
      </c>
      <c r="G218" s="45">
        <v>11</v>
      </c>
      <c r="H218" s="45">
        <v>81588</v>
      </c>
      <c r="I218" s="48" t="s">
        <v>17</v>
      </c>
      <c r="J218" s="45">
        <v>61618775</v>
      </c>
      <c r="K218" s="45" t="s">
        <v>3593</v>
      </c>
      <c r="L218" s="45" t="s">
        <v>3599</v>
      </c>
      <c r="M218" s="50">
        <v>99900</v>
      </c>
      <c r="N218" s="51">
        <f t="shared" si="11"/>
        <v>0.3</v>
      </c>
      <c r="O218" s="52">
        <f t="shared" si="9"/>
        <v>69930</v>
      </c>
      <c r="P218" s="48" t="s">
        <v>20</v>
      </c>
    </row>
    <row r="219" spans="1:16" x14ac:dyDescent="0.25">
      <c r="A219" s="45" t="str">
        <f t="shared" si="10"/>
        <v>2025 OKT NOV B1 DISC  30%</v>
      </c>
      <c r="B219" s="46">
        <v>46104</v>
      </c>
      <c r="C219" s="46">
        <v>46113</v>
      </c>
      <c r="D219" s="47">
        <v>3273</v>
      </c>
      <c r="E219" s="47">
        <v>336</v>
      </c>
      <c r="F219" s="47">
        <v>4</v>
      </c>
      <c r="G219" s="45">
        <v>11</v>
      </c>
      <c r="H219" s="45">
        <v>81588</v>
      </c>
      <c r="I219" s="48" t="s">
        <v>17</v>
      </c>
      <c r="J219" s="45">
        <v>61618784</v>
      </c>
      <c r="K219" s="45" t="s">
        <v>3593</v>
      </c>
      <c r="L219" s="45" t="s">
        <v>3600</v>
      </c>
      <c r="M219" s="50">
        <v>99900</v>
      </c>
      <c r="N219" s="51">
        <f t="shared" si="11"/>
        <v>0.3</v>
      </c>
      <c r="O219" s="52">
        <f t="shared" si="9"/>
        <v>69930</v>
      </c>
      <c r="P219" s="48" t="s">
        <v>20</v>
      </c>
    </row>
    <row r="220" spans="1:16" x14ac:dyDescent="0.25">
      <c r="A220" s="45" t="str">
        <f t="shared" si="10"/>
        <v>2025 OKT NOV B1 DISC  30%</v>
      </c>
      <c r="B220" s="46">
        <v>46104</v>
      </c>
      <c r="C220" s="46">
        <v>46113</v>
      </c>
      <c r="D220" s="47">
        <v>3273</v>
      </c>
      <c r="E220" s="47">
        <v>336</v>
      </c>
      <c r="F220" s="47">
        <v>4</v>
      </c>
      <c r="G220" s="45">
        <v>11</v>
      </c>
      <c r="H220" s="45">
        <v>81588</v>
      </c>
      <c r="I220" s="48" t="s">
        <v>17</v>
      </c>
      <c r="J220" s="45">
        <v>61618793</v>
      </c>
      <c r="K220" s="45" t="s">
        <v>3601</v>
      </c>
      <c r="L220" s="45" t="s">
        <v>3602</v>
      </c>
      <c r="M220" s="50">
        <v>99900</v>
      </c>
      <c r="N220" s="51">
        <f t="shared" si="11"/>
        <v>0.3</v>
      </c>
      <c r="O220" s="52">
        <f t="shared" si="9"/>
        <v>69930</v>
      </c>
      <c r="P220" s="48" t="s">
        <v>20</v>
      </c>
    </row>
    <row r="221" spans="1:16" x14ac:dyDescent="0.25">
      <c r="A221" s="45" t="str">
        <f t="shared" si="10"/>
        <v>2025 OKT NOV B1 DISC  30%</v>
      </c>
      <c r="B221" s="46">
        <v>46104</v>
      </c>
      <c r="C221" s="46">
        <v>46113</v>
      </c>
      <c r="D221" s="47">
        <v>3273</v>
      </c>
      <c r="E221" s="47">
        <v>336</v>
      </c>
      <c r="F221" s="47">
        <v>4</v>
      </c>
      <c r="G221" s="45">
        <v>11</v>
      </c>
      <c r="H221" s="45">
        <v>81588</v>
      </c>
      <c r="I221" s="48" t="s">
        <v>17</v>
      </c>
      <c r="J221" s="45">
        <v>61618800</v>
      </c>
      <c r="K221" s="45" t="s">
        <v>3601</v>
      </c>
      <c r="L221" s="45" t="s">
        <v>3603</v>
      </c>
      <c r="M221" s="50">
        <v>99900</v>
      </c>
      <c r="N221" s="51">
        <f t="shared" si="11"/>
        <v>0.3</v>
      </c>
      <c r="O221" s="52">
        <f t="shared" si="9"/>
        <v>69930</v>
      </c>
      <c r="P221" s="48" t="s">
        <v>20</v>
      </c>
    </row>
    <row r="222" spans="1:16" x14ac:dyDescent="0.25">
      <c r="A222" s="45" t="str">
        <f t="shared" si="10"/>
        <v>2025 OKT NOV B1 DISC  30%</v>
      </c>
      <c r="B222" s="46">
        <v>46104</v>
      </c>
      <c r="C222" s="46">
        <v>46113</v>
      </c>
      <c r="D222" s="47">
        <v>3273</v>
      </c>
      <c r="E222" s="47">
        <v>336</v>
      </c>
      <c r="F222" s="47">
        <v>4</v>
      </c>
      <c r="G222" s="45">
        <v>11</v>
      </c>
      <c r="H222" s="45">
        <v>81588</v>
      </c>
      <c r="I222" s="48" t="s">
        <v>17</v>
      </c>
      <c r="J222" s="45">
        <v>61618819</v>
      </c>
      <c r="K222" s="45" t="s">
        <v>3601</v>
      </c>
      <c r="L222" s="45" t="s">
        <v>3604</v>
      </c>
      <c r="M222" s="50">
        <v>99900</v>
      </c>
      <c r="N222" s="51">
        <f t="shared" si="11"/>
        <v>0.3</v>
      </c>
      <c r="O222" s="52">
        <f t="shared" si="9"/>
        <v>69930</v>
      </c>
      <c r="P222" s="48" t="s">
        <v>20</v>
      </c>
    </row>
    <row r="223" spans="1:16" x14ac:dyDescent="0.25">
      <c r="A223" s="45" t="str">
        <f t="shared" si="10"/>
        <v>2025 OKT NOV B1 DISC  30%</v>
      </c>
      <c r="B223" s="46">
        <v>46104</v>
      </c>
      <c r="C223" s="46">
        <v>46113</v>
      </c>
      <c r="D223" s="47">
        <v>3273</v>
      </c>
      <c r="E223" s="47">
        <v>336</v>
      </c>
      <c r="F223" s="47">
        <v>4</v>
      </c>
      <c r="G223" s="45">
        <v>11</v>
      </c>
      <c r="H223" s="45">
        <v>81588</v>
      </c>
      <c r="I223" s="48" t="s">
        <v>17</v>
      </c>
      <c r="J223" s="45">
        <v>61618828</v>
      </c>
      <c r="K223" s="45" t="s">
        <v>3601</v>
      </c>
      <c r="L223" s="45" t="s">
        <v>3605</v>
      </c>
      <c r="M223" s="50">
        <v>99900</v>
      </c>
      <c r="N223" s="51">
        <f t="shared" si="11"/>
        <v>0.3</v>
      </c>
      <c r="O223" s="52">
        <f t="shared" si="9"/>
        <v>69930</v>
      </c>
      <c r="P223" s="48" t="s">
        <v>20</v>
      </c>
    </row>
    <row r="224" spans="1:16" x14ac:dyDescent="0.25">
      <c r="A224" s="45" t="str">
        <f t="shared" si="10"/>
        <v>2025 OKT NOV B1 DISC  30%</v>
      </c>
      <c r="B224" s="46">
        <v>46104</v>
      </c>
      <c r="C224" s="46">
        <v>46113</v>
      </c>
      <c r="D224" s="47">
        <v>3273</v>
      </c>
      <c r="E224" s="47">
        <v>336</v>
      </c>
      <c r="F224" s="47">
        <v>4</v>
      </c>
      <c r="G224" s="45">
        <v>11</v>
      </c>
      <c r="H224" s="45">
        <v>81588</v>
      </c>
      <c r="I224" s="48" t="s">
        <v>17</v>
      </c>
      <c r="J224" s="45">
        <v>61618837</v>
      </c>
      <c r="K224" s="45" t="s">
        <v>3601</v>
      </c>
      <c r="L224" s="45" t="s">
        <v>3606</v>
      </c>
      <c r="M224" s="50">
        <v>99900</v>
      </c>
      <c r="N224" s="51">
        <f t="shared" si="11"/>
        <v>0.3</v>
      </c>
      <c r="O224" s="52">
        <f t="shared" si="9"/>
        <v>69930</v>
      </c>
      <c r="P224" s="48" t="s">
        <v>20</v>
      </c>
    </row>
    <row r="225" spans="1:16" x14ac:dyDescent="0.25">
      <c r="A225" s="45" t="str">
        <f t="shared" si="10"/>
        <v>2025 OKT NOV B1 DISC  30%</v>
      </c>
      <c r="B225" s="46">
        <v>46104</v>
      </c>
      <c r="C225" s="46">
        <v>46113</v>
      </c>
      <c r="D225" s="47">
        <v>3273</v>
      </c>
      <c r="E225" s="47">
        <v>336</v>
      </c>
      <c r="F225" s="47">
        <v>4</v>
      </c>
      <c r="G225" s="45">
        <v>11</v>
      </c>
      <c r="H225" s="45">
        <v>81588</v>
      </c>
      <c r="I225" s="48" t="s">
        <v>17</v>
      </c>
      <c r="J225" s="45">
        <v>61618846</v>
      </c>
      <c r="K225" s="45" t="s">
        <v>3601</v>
      </c>
      <c r="L225" s="45" t="s">
        <v>3607</v>
      </c>
      <c r="M225" s="50">
        <v>99900</v>
      </c>
      <c r="N225" s="51">
        <f t="shared" si="11"/>
        <v>0.3</v>
      </c>
      <c r="O225" s="52">
        <f t="shared" si="9"/>
        <v>69930</v>
      </c>
      <c r="P225" s="48" t="s">
        <v>20</v>
      </c>
    </row>
    <row r="226" spans="1:16" x14ac:dyDescent="0.25">
      <c r="A226" s="45" t="str">
        <f t="shared" si="10"/>
        <v>2025 OKT NOV B1 DISC  30%</v>
      </c>
      <c r="B226" s="46">
        <v>46104</v>
      </c>
      <c r="C226" s="46">
        <v>46113</v>
      </c>
      <c r="D226" s="47">
        <v>3273</v>
      </c>
      <c r="E226" s="47">
        <v>336</v>
      </c>
      <c r="F226" s="47">
        <v>4</v>
      </c>
      <c r="G226" s="45">
        <v>11</v>
      </c>
      <c r="H226" s="45">
        <v>81588</v>
      </c>
      <c r="I226" s="48" t="s">
        <v>17</v>
      </c>
      <c r="J226" s="45">
        <v>61618855</v>
      </c>
      <c r="K226" s="45" t="s">
        <v>3601</v>
      </c>
      <c r="L226" s="45" t="s">
        <v>3608</v>
      </c>
      <c r="M226" s="50">
        <v>99900</v>
      </c>
      <c r="N226" s="51">
        <f t="shared" si="11"/>
        <v>0.3</v>
      </c>
      <c r="O226" s="52">
        <f t="shared" si="9"/>
        <v>69930</v>
      </c>
      <c r="P226" s="48" t="s">
        <v>20</v>
      </c>
    </row>
    <row r="227" spans="1:16" x14ac:dyDescent="0.25">
      <c r="A227" s="45" t="str">
        <f t="shared" si="10"/>
        <v>2025 OKT NOV B1 DISC  30%</v>
      </c>
      <c r="B227" s="46">
        <v>46104</v>
      </c>
      <c r="C227" s="46">
        <v>46113</v>
      </c>
      <c r="D227" s="47">
        <v>3273</v>
      </c>
      <c r="E227" s="47">
        <v>336</v>
      </c>
      <c r="F227" s="47">
        <v>4</v>
      </c>
      <c r="G227" s="45">
        <v>1</v>
      </c>
      <c r="H227" s="45">
        <v>81588</v>
      </c>
      <c r="I227" s="48" t="s">
        <v>17</v>
      </c>
      <c r="J227" s="45">
        <v>61618864</v>
      </c>
      <c r="K227" s="45" t="s">
        <v>3609</v>
      </c>
      <c r="L227" s="45" t="s">
        <v>3610</v>
      </c>
      <c r="M227" s="50">
        <v>99900</v>
      </c>
      <c r="N227" s="51">
        <f t="shared" si="11"/>
        <v>0.3</v>
      </c>
      <c r="O227" s="52">
        <f t="shared" si="9"/>
        <v>69930</v>
      </c>
      <c r="P227" s="48" t="s">
        <v>20</v>
      </c>
    </row>
    <row r="228" spans="1:16" x14ac:dyDescent="0.25">
      <c r="A228" s="45" t="str">
        <f t="shared" si="10"/>
        <v>2025 OKT NOV B1 DISC  30%</v>
      </c>
      <c r="B228" s="46">
        <v>46104</v>
      </c>
      <c r="C228" s="46">
        <v>46113</v>
      </c>
      <c r="D228" s="47">
        <v>3273</v>
      </c>
      <c r="E228" s="47">
        <v>336</v>
      </c>
      <c r="F228" s="47">
        <v>4</v>
      </c>
      <c r="G228" s="45">
        <v>1</v>
      </c>
      <c r="H228" s="45">
        <v>81588</v>
      </c>
      <c r="I228" s="48" t="s">
        <v>17</v>
      </c>
      <c r="J228" s="45">
        <v>61618873</v>
      </c>
      <c r="K228" s="45" t="s">
        <v>3609</v>
      </c>
      <c r="L228" s="45" t="s">
        <v>3611</v>
      </c>
      <c r="M228" s="50">
        <v>99900</v>
      </c>
      <c r="N228" s="51">
        <f t="shared" si="11"/>
        <v>0.3</v>
      </c>
      <c r="O228" s="52">
        <f t="shared" si="9"/>
        <v>69930</v>
      </c>
      <c r="P228" s="48" t="s">
        <v>20</v>
      </c>
    </row>
    <row r="229" spans="1:16" x14ac:dyDescent="0.25">
      <c r="A229" s="45" t="str">
        <f t="shared" si="10"/>
        <v>2025 OKT NOV B1 DISC  30%</v>
      </c>
      <c r="B229" s="46">
        <v>46104</v>
      </c>
      <c r="C229" s="46">
        <v>46113</v>
      </c>
      <c r="D229" s="47">
        <v>3273</v>
      </c>
      <c r="E229" s="47">
        <v>336</v>
      </c>
      <c r="F229" s="47">
        <v>4</v>
      </c>
      <c r="G229" s="45">
        <v>1</v>
      </c>
      <c r="H229" s="45">
        <v>81588</v>
      </c>
      <c r="I229" s="48" t="s">
        <v>17</v>
      </c>
      <c r="J229" s="45">
        <v>61618882</v>
      </c>
      <c r="K229" s="45" t="s">
        <v>3609</v>
      </c>
      <c r="L229" s="45" t="s">
        <v>3612</v>
      </c>
      <c r="M229" s="50">
        <v>99900</v>
      </c>
      <c r="N229" s="51">
        <f t="shared" si="11"/>
        <v>0.3</v>
      </c>
      <c r="O229" s="52">
        <f t="shared" si="9"/>
        <v>69930</v>
      </c>
      <c r="P229" s="48" t="s">
        <v>20</v>
      </c>
    </row>
    <row r="230" spans="1:16" x14ac:dyDescent="0.25">
      <c r="A230" s="45" t="str">
        <f t="shared" si="10"/>
        <v>2025 OKT NOV B1 DISC  30%</v>
      </c>
      <c r="B230" s="46">
        <v>46104</v>
      </c>
      <c r="C230" s="46">
        <v>46113</v>
      </c>
      <c r="D230" s="47">
        <v>3273</v>
      </c>
      <c r="E230" s="47">
        <v>336</v>
      </c>
      <c r="F230" s="47">
        <v>4</v>
      </c>
      <c r="G230" s="45">
        <v>1</v>
      </c>
      <c r="H230" s="45">
        <v>81588</v>
      </c>
      <c r="I230" s="48" t="s">
        <v>17</v>
      </c>
      <c r="J230" s="45">
        <v>61618891</v>
      </c>
      <c r="K230" s="45" t="s">
        <v>3609</v>
      </c>
      <c r="L230" s="45" t="s">
        <v>3613</v>
      </c>
      <c r="M230" s="50">
        <v>99900</v>
      </c>
      <c r="N230" s="51">
        <f t="shared" si="11"/>
        <v>0.3</v>
      </c>
      <c r="O230" s="52">
        <f t="shared" si="9"/>
        <v>69930</v>
      </c>
      <c r="P230" s="48" t="s">
        <v>20</v>
      </c>
    </row>
    <row r="231" spans="1:16" x14ac:dyDescent="0.25">
      <c r="A231" s="45" t="str">
        <f t="shared" si="10"/>
        <v>2025 OKT NOV B1 DISC  30%</v>
      </c>
      <c r="B231" s="46">
        <v>46104</v>
      </c>
      <c r="C231" s="46">
        <v>46113</v>
      </c>
      <c r="D231" s="47">
        <v>3273</v>
      </c>
      <c r="E231" s="47">
        <v>336</v>
      </c>
      <c r="F231" s="47">
        <v>4</v>
      </c>
      <c r="G231" s="45">
        <v>1</v>
      </c>
      <c r="H231" s="45">
        <v>81588</v>
      </c>
      <c r="I231" s="48" t="s">
        <v>17</v>
      </c>
      <c r="J231" s="45">
        <v>61618908</v>
      </c>
      <c r="K231" s="45" t="s">
        <v>3609</v>
      </c>
      <c r="L231" s="45" t="s">
        <v>3614</v>
      </c>
      <c r="M231" s="50">
        <v>99900</v>
      </c>
      <c r="N231" s="51">
        <f t="shared" si="11"/>
        <v>0.3</v>
      </c>
      <c r="O231" s="52">
        <f t="shared" si="9"/>
        <v>69930</v>
      </c>
      <c r="P231" s="48" t="s">
        <v>20</v>
      </c>
    </row>
    <row r="232" spans="1:16" x14ac:dyDescent="0.25">
      <c r="A232" s="45" t="str">
        <f t="shared" si="10"/>
        <v>2025 OKT NOV B1 DISC  30%</v>
      </c>
      <c r="B232" s="46">
        <v>46104</v>
      </c>
      <c r="C232" s="46">
        <v>46113</v>
      </c>
      <c r="D232" s="47">
        <v>3273</v>
      </c>
      <c r="E232" s="47">
        <v>336</v>
      </c>
      <c r="F232" s="47">
        <v>4</v>
      </c>
      <c r="G232" s="45">
        <v>1</v>
      </c>
      <c r="H232" s="45">
        <v>81588</v>
      </c>
      <c r="I232" s="48" t="s">
        <v>17</v>
      </c>
      <c r="J232" s="45">
        <v>61618917</v>
      </c>
      <c r="K232" s="45" t="s">
        <v>3609</v>
      </c>
      <c r="L232" s="45" t="s">
        <v>3615</v>
      </c>
      <c r="M232" s="50">
        <v>99900</v>
      </c>
      <c r="N232" s="51">
        <f t="shared" si="11"/>
        <v>0.3</v>
      </c>
      <c r="O232" s="52">
        <f t="shared" si="9"/>
        <v>69930</v>
      </c>
      <c r="P232" s="48" t="s">
        <v>20</v>
      </c>
    </row>
    <row r="233" spans="1:16" x14ac:dyDescent="0.25">
      <c r="A233" s="45" t="str">
        <f t="shared" si="10"/>
        <v>2025 OKT NOV B1 DISC  30%</v>
      </c>
      <c r="B233" s="46">
        <v>46104</v>
      </c>
      <c r="C233" s="46">
        <v>46113</v>
      </c>
      <c r="D233" s="47">
        <v>3273</v>
      </c>
      <c r="E233" s="47">
        <v>336</v>
      </c>
      <c r="F233" s="47">
        <v>4</v>
      </c>
      <c r="G233" s="45">
        <v>1</v>
      </c>
      <c r="H233" s="45">
        <v>81588</v>
      </c>
      <c r="I233" s="48" t="s">
        <v>17</v>
      </c>
      <c r="J233" s="45">
        <v>61618926</v>
      </c>
      <c r="K233" s="45" t="s">
        <v>3609</v>
      </c>
      <c r="L233" s="45" t="s">
        <v>3616</v>
      </c>
      <c r="M233" s="50">
        <v>99900</v>
      </c>
      <c r="N233" s="51">
        <f t="shared" si="11"/>
        <v>0.3</v>
      </c>
      <c r="O233" s="52">
        <f t="shared" si="9"/>
        <v>69930</v>
      </c>
      <c r="P233" s="48" t="s">
        <v>20</v>
      </c>
    </row>
    <row r="234" spans="1:16" x14ac:dyDescent="0.25">
      <c r="A234" s="45" t="str">
        <f t="shared" si="10"/>
        <v>2025 OKT NOV B1 DISC  30%</v>
      </c>
      <c r="B234" s="46">
        <v>46104</v>
      </c>
      <c r="C234" s="46">
        <v>46113</v>
      </c>
      <c r="D234" s="47">
        <v>3273</v>
      </c>
      <c r="E234" s="47">
        <v>336</v>
      </c>
      <c r="F234" s="47">
        <v>4</v>
      </c>
      <c r="G234" s="45">
        <v>1</v>
      </c>
      <c r="H234" s="45">
        <v>81588</v>
      </c>
      <c r="I234" s="48" t="s">
        <v>17</v>
      </c>
      <c r="J234" s="45">
        <v>61618935</v>
      </c>
      <c r="K234" s="45" t="s">
        <v>3617</v>
      </c>
      <c r="L234" s="45" t="s">
        <v>3618</v>
      </c>
      <c r="M234" s="50">
        <v>99900</v>
      </c>
      <c r="N234" s="51">
        <f t="shared" si="11"/>
        <v>0.3</v>
      </c>
      <c r="O234" s="52">
        <f t="shared" si="9"/>
        <v>69930</v>
      </c>
      <c r="P234" s="48" t="s">
        <v>20</v>
      </c>
    </row>
    <row r="235" spans="1:16" x14ac:dyDescent="0.25">
      <c r="A235" s="45" t="str">
        <f t="shared" si="10"/>
        <v>2025 OKT NOV B1 DISC  30%</v>
      </c>
      <c r="B235" s="46">
        <v>46104</v>
      </c>
      <c r="C235" s="46">
        <v>46113</v>
      </c>
      <c r="D235" s="47">
        <v>3273</v>
      </c>
      <c r="E235" s="47">
        <v>336</v>
      </c>
      <c r="F235" s="47">
        <v>4</v>
      </c>
      <c r="G235" s="45">
        <v>1</v>
      </c>
      <c r="H235" s="45">
        <v>81588</v>
      </c>
      <c r="I235" s="48" t="s">
        <v>17</v>
      </c>
      <c r="J235" s="45">
        <v>61618944</v>
      </c>
      <c r="K235" s="45" t="s">
        <v>3617</v>
      </c>
      <c r="L235" s="45" t="s">
        <v>3619</v>
      </c>
      <c r="M235" s="50">
        <v>99900</v>
      </c>
      <c r="N235" s="51">
        <f t="shared" si="11"/>
        <v>0.3</v>
      </c>
      <c r="O235" s="52">
        <f t="shared" si="9"/>
        <v>69930</v>
      </c>
      <c r="P235" s="48" t="s">
        <v>20</v>
      </c>
    </row>
    <row r="236" spans="1:16" x14ac:dyDescent="0.25">
      <c r="A236" s="45" t="str">
        <f t="shared" si="10"/>
        <v>2025 OKT NOV B1 DISC  30%</v>
      </c>
      <c r="B236" s="46">
        <v>46104</v>
      </c>
      <c r="C236" s="46">
        <v>46113</v>
      </c>
      <c r="D236" s="47">
        <v>3273</v>
      </c>
      <c r="E236" s="47">
        <v>336</v>
      </c>
      <c r="F236" s="47">
        <v>4</v>
      </c>
      <c r="G236" s="45">
        <v>1</v>
      </c>
      <c r="H236" s="45">
        <v>81588</v>
      </c>
      <c r="I236" s="48" t="s">
        <v>17</v>
      </c>
      <c r="J236" s="45">
        <v>61618953</v>
      </c>
      <c r="K236" s="45" t="s">
        <v>3617</v>
      </c>
      <c r="L236" s="45" t="s">
        <v>3620</v>
      </c>
      <c r="M236" s="50">
        <v>99900</v>
      </c>
      <c r="N236" s="51">
        <f t="shared" si="11"/>
        <v>0.3</v>
      </c>
      <c r="O236" s="52">
        <f t="shared" si="9"/>
        <v>69930</v>
      </c>
      <c r="P236" s="48" t="s">
        <v>20</v>
      </c>
    </row>
    <row r="237" spans="1:16" x14ac:dyDescent="0.25">
      <c r="A237" s="45" t="str">
        <f t="shared" si="10"/>
        <v>2025 OKT NOV B1 DISC  30%</v>
      </c>
      <c r="B237" s="46">
        <v>46104</v>
      </c>
      <c r="C237" s="46">
        <v>46113</v>
      </c>
      <c r="D237" s="47">
        <v>3273</v>
      </c>
      <c r="E237" s="47">
        <v>336</v>
      </c>
      <c r="F237" s="47">
        <v>4</v>
      </c>
      <c r="G237" s="45">
        <v>1</v>
      </c>
      <c r="H237" s="45">
        <v>81588</v>
      </c>
      <c r="I237" s="48" t="s">
        <v>17</v>
      </c>
      <c r="J237" s="45">
        <v>61618962</v>
      </c>
      <c r="K237" s="45" t="s">
        <v>3617</v>
      </c>
      <c r="L237" s="45" t="s">
        <v>3621</v>
      </c>
      <c r="M237" s="50">
        <v>99900</v>
      </c>
      <c r="N237" s="51">
        <f t="shared" si="11"/>
        <v>0.3</v>
      </c>
      <c r="O237" s="52">
        <f t="shared" si="9"/>
        <v>69930</v>
      </c>
      <c r="P237" s="48" t="s">
        <v>20</v>
      </c>
    </row>
    <row r="238" spans="1:16" x14ac:dyDescent="0.25">
      <c r="A238" s="45" t="str">
        <f t="shared" si="10"/>
        <v>2025 OKT NOV B1 DISC  30%</v>
      </c>
      <c r="B238" s="46">
        <v>46104</v>
      </c>
      <c r="C238" s="46">
        <v>46113</v>
      </c>
      <c r="D238" s="47">
        <v>3273</v>
      </c>
      <c r="E238" s="47">
        <v>336</v>
      </c>
      <c r="F238" s="47">
        <v>4</v>
      </c>
      <c r="G238" s="45">
        <v>1</v>
      </c>
      <c r="H238" s="45">
        <v>81588</v>
      </c>
      <c r="I238" s="48" t="s">
        <v>17</v>
      </c>
      <c r="J238" s="45">
        <v>61618971</v>
      </c>
      <c r="K238" s="45" t="s">
        <v>3617</v>
      </c>
      <c r="L238" s="45" t="s">
        <v>3622</v>
      </c>
      <c r="M238" s="50">
        <v>99900</v>
      </c>
      <c r="N238" s="51">
        <f t="shared" si="11"/>
        <v>0.3</v>
      </c>
      <c r="O238" s="52">
        <f t="shared" si="9"/>
        <v>69930</v>
      </c>
      <c r="P238" s="48" t="s">
        <v>20</v>
      </c>
    </row>
    <row r="239" spans="1:16" x14ac:dyDescent="0.25">
      <c r="A239" s="45" t="str">
        <f t="shared" si="10"/>
        <v>2025 OKT NOV B1 DISC  30%</v>
      </c>
      <c r="B239" s="46">
        <v>46104</v>
      </c>
      <c r="C239" s="46">
        <v>46113</v>
      </c>
      <c r="D239" s="47">
        <v>3273</v>
      </c>
      <c r="E239" s="47">
        <v>336</v>
      </c>
      <c r="F239" s="47">
        <v>4</v>
      </c>
      <c r="G239" s="45">
        <v>1</v>
      </c>
      <c r="H239" s="45">
        <v>81588</v>
      </c>
      <c r="I239" s="48" t="s">
        <v>17</v>
      </c>
      <c r="J239" s="45">
        <v>61618980</v>
      </c>
      <c r="K239" s="45" t="s">
        <v>3617</v>
      </c>
      <c r="L239" s="45" t="s">
        <v>3623</v>
      </c>
      <c r="M239" s="50">
        <v>99900</v>
      </c>
      <c r="N239" s="51">
        <f t="shared" si="11"/>
        <v>0.3</v>
      </c>
      <c r="O239" s="52">
        <f t="shared" si="9"/>
        <v>69930</v>
      </c>
      <c r="P239" s="48" t="s">
        <v>20</v>
      </c>
    </row>
    <row r="240" spans="1:16" x14ac:dyDescent="0.25">
      <c r="A240" s="45" t="str">
        <f t="shared" si="10"/>
        <v>2025 OKT NOV B1 DISC  30%</v>
      </c>
      <c r="B240" s="46">
        <v>46104</v>
      </c>
      <c r="C240" s="46">
        <v>46113</v>
      </c>
      <c r="D240" s="47">
        <v>3273</v>
      </c>
      <c r="E240" s="47">
        <v>336</v>
      </c>
      <c r="F240" s="47">
        <v>4</v>
      </c>
      <c r="G240" s="45">
        <v>1</v>
      </c>
      <c r="H240" s="45">
        <v>81588</v>
      </c>
      <c r="I240" s="48" t="s">
        <v>17</v>
      </c>
      <c r="J240" s="45">
        <v>61618999</v>
      </c>
      <c r="K240" s="45" t="s">
        <v>3617</v>
      </c>
      <c r="L240" s="45" t="s">
        <v>3624</v>
      </c>
      <c r="M240" s="50">
        <v>99900</v>
      </c>
      <c r="N240" s="51">
        <f t="shared" si="11"/>
        <v>0.3</v>
      </c>
      <c r="O240" s="52">
        <f t="shared" si="9"/>
        <v>69930</v>
      </c>
      <c r="P240" s="48" t="s">
        <v>20</v>
      </c>
    </row>
    <row r="241" spans="1:16" x14ac:dyDescent="0.25">
      <c r="A241" s="45" t="str">
        <f t="shared" si="10"/>
        <v>2025 OKT NOV B1 DISC  30%</v>
      </c>
      <c r="B241" s="46">
        <v>46104</v>
      </c>
      <c r="C241" s="46">
        <v>46113</v>
      </c>
      <c r="D241" s="47">
        <v>3273</v>
      </c>
      <c r="E241" s="47">
        <v>336</v>
      </c>
      <c r="F241" s="47">
        <v>4</v>
      </c>
      <c r="G241" s="45">
        <v>6</v>
      </c>
      <c r="H241" s="45">
        <v>81588</v>
      </c>
      <c r="I241" s="48" t="s">
        <v>17</v>
      </c>
      <c r="J241" s="45">
        <v>61619005</v>
      </c>
      <c r="K241" s="45" t="s">
        <v>3625</v>
      </c>
      <c r="L241" s="45" t="s">
        <v>3626</v>
      </c>
      <c r="M241" s="50">
        <v>99900</v>
      </c>
      <c r="N241" s="51">
        <f t="shared" si="11"/>
        <v>0.3</v>
      </c>
      <c r="O241" s="52">
        <f t="shared" si="9"/>
        <v>69930</v>
      </c>
      <c r="P241" s="48" t="s">
        <v>20</v>
      </c>
    </row>
    <row r="242" spans="1:16" x14ac:dyDescent="0.25">
      <c r="A242" s="45" t="str">
        <f t="shared" si="10"/>
        <v>2025 OKT NOV B1 DISC  30%</v>
      </c>
      <c r="B242" s="46">
        <v>46104</v>
      </c>
      <c r="C242" s="46">
        <v>46113</v>
      </c>
      <c r="D242" s="47">
        <v>3273</v>
      </c>
      <c r="E242" s="47">
        <v>336</v>
      </c>
      <c r="F242" s="47">
        <v>4</v>
      </c>
      <c r="G242" s="45">
        <v>6</v>
      </c>
      <c r="H242" s="45">
        <v>81588</v>
      </c>
      <c r="I242" s="48" t="s">
        <v>17</v>
      </c>
      <c r="J242" s="45">
        <v>61619014</v>
      </c>
      <c r="K242" s="45" t="s">
        <v>3625</v>
      </c>
      <c r="L242" s="45" t="s">
        <v>3627</v>
      </c>
      <c r="M242" s="50">
        <v>99900</v>
      </c>
      <c r="N242" s="51">
        <f t="shared" si="11"/>
        <v>0.3</v>
      </c>
      <c r="O242" s="52">
        <f t="shared" si="9"/>
        <v>69930</v>
      </c>
      <c r="P242" s="48" t="s">
        <v>20</v>
      </c>
    </row>
    <row r="243" spans="1:16" x14ac:dyDescent="0.25">
      <c r="A243" s="45" t="str">
        <f t="shared" si="10"/>
        <v>2025 OKT NOV B1 DISC  30%</v>
      </c>
      <c r="B243" s="46">
        <v>46104</v>
      </c>
      <c r="C243" s="46">
        <v>46113</v>
      </c>
      <c r="D243" s="47">
        <v>3273</v>
      </c>
      <c r="E243" s="47">
        <v>336</v>
      </c>
      <c r="F243" s="47">
        <v>4</v>
      </c>
      <c r="G243" s="45">
        <v>6</v>
      </c>
      <c r="H243" s="45">
        <v>81588</v>
      </c>
      <c r="I243" s="48" t="s">
        <v>17</v>
      </c>
      <c r="J243" s="45">
        <v>61619023</v>
      </c>
      <c r="K243" s="45" t="s">
        <v>3625</v>
      </c>
      <c r="L243" s="45" t="s">
        <v>3628</v>
      </c>
      <c r="M243" s="50">
        <v>99900</v>
      </c>
      <c r="N243" s="51">
        <f t="shared" si="11"/>
        <v>0.3</v>
      </c>
      <c r="O243" s="52">
        <f t="shared" si="9"/>
        <v>69930</v>
      </c>
      <c r="P243" s="48" t="s">
        <v>20</v>
      </c>
    </row>
    <row r="244" spans="1:16" x14ac:dyDescent="0.25">
      <c r="A244" s="45" t="str">
        <f t="shared" si="10"/>
        <v>2025 OKT NOV B1 DISC  30%</v>
      </c>
      <c r="B244" s="46">
        <v>46104</v>
      </c>
      <c r="C244" s="46">
        <v>46113</v>
      </c>
      <c r="D244" s="47">
        <v>3273</v>
      </c>
      <c r="E244" s="47">
        <v>336</v>
      </c>
      <c r="F244" s="47">
        <v>4</v>
      </c>
      <c r="G244" s="45">
        <v>6</v>
      </c>
      <c r="H244" s="45">
        <v>81588</v>
      </c>
      <c r="I244" s="48" t="s">
        <v>17</v>
      </c>
      <c r="J244" s="45">
        <v>61619032</v>
      </c>
      <c r="K244" s="45" t="s">
        <v>3625</v>
      </c>
      <c r="L244" s="45" t="s">
        <v>3629</v>
      </c>
      <c r="M244" s="50">
        <v>99900</v>
      </c>
      <c r="N244" s="51">
        <f t="shared" si="11"/>
        <v>0.3</v>
      </c>
      <c r="O244" s="52">
        <f t="shared" si="9"/>
        <v>69930</v>
      </c>
      <c r="P244" s="48" t="s">
        <v>20</v>
      </c>
    </row>
    <row r="245" spans="1:16" x14ac:dyDescent="0.25">
      <c r="A245" s="45" t="str">
        <f t="shared" si="10"/>
        <v>2025 OKT NOV B1 DISC  30%</v>
      </c>
      <c r="B245" s="46">
        <v>46104</v>
      </c>
      <c r="C245" s="46">
        <v>46113</v>
      </c>
      <c r="D245" s="47">
        <v>3273</v>
      </c>
      <c r="E245" s="47">
        <v>336</v>
      </c>
      <c r="F245" s="47">
        <v>4</v>
      </c>
      <c r="G245" s="45">
        <v>6</v>
      </c>
      <c r="H245" s="45">
        <v>81588</v>
      </c>
      <c r="I245" s="48" t="s">
        <v>17</v>
      </c>
      <c r="J245" s="45">
        <v>61619041</v>
      </c>
      <c r="K245" s="45" t="s">
        <v>3625</v>
      </c>
      <c r="L245" s="45" t="s">
        <v>3630</v>
      </c>
      <c r="M245" s="50">
        <v>99900</v>
      </c>
      <c r="N245" s="51">
        <f t="shared" si="11"/>
        <v>0.3</v>
      </c>
      <c r="O245" s="52">
        <f t="shared" si="9"/>
        <v>69930</v>
      </c>
      <c r="P245" s="48" t="s">
        <v>20</v>
      </c>
    </row>
    <row r="246" spans="1:16" x14ac:dyDescent="0.25">
      <c r="A246" s="45" t="str">
        <f t="shared" si="10"/>
        <v>2025 OKT NOV B1 DISC  30%</v>
      </c>
      <c r="B246" s="46">
        <v>46104</v>
      </c>
      <c r="C246" s="46">
        <v>46113</v>
      </c>
      <c r="D246" s="47">
        <v>3273</v>
      </c>
      <c r="E246" s="47">
        <v>336</v>
      </c>
      <c r="F246" s="47">
        <v>4</v>
      </c>
      <c r="G246" s="45">
        <v>6</v>
      </c>
      <c r="H246" s="45">
        <v>81588</v>
      </c>
      <c r="I246" s="48" t="s">
        <v>17</v>
      </c>
      <c r="J246" s="45">
        <v>61619050</v>
      </c>
      <c r="K246" s="45" t="s">
        <v>3625</v>
      </c>
      <c r="L246" s="45" t="s">
        <v>3631</v>
      </c>
      <c r="M246" s="50">
        <v>99900</v>
      </c>
      <c r="N246" s="51">
        <f t="shared" si="11"/>
        <v>0.3</v>
      </c>
      <c r="O246" s="52">
        <f t="shared" si="9"/>
        <v>69930</v>
      </c>
      <c r="P246" s="48" t="s">
        <v>20</v>
      </c>
    </row>
    <row r="247" spans="1:16" x14ac:dyDescent="0.25">
      <c r="A247" s="45" t="str">
        <f t="shared" si="10"/>
        <v>2025 OKT NOV B1 DISC  30%</v>
      </c>
      <c r="B247" s="46">
        <v>46104</v>
      </c>
      <c r="C247" s="46">
        <v>46113</v>
      </c>
      <c r="D247" s="47">
        <v>3273</v>
      </c>
      <c r="E247" s="47">
        <v>336</v>
      </c>
      <c r="F247" s="47">
        <v>4</v>
      </c>
      <c r="G247" s="45">
        <v>6</v>
      </c>
      <c r="H247" s="45">
        <v>81588</v>
      </c>
      <c r="I247" s="48" t="s">
        <v>17</v>
      </c>
      <c r="J247" s="45">
        <v>61619069</v>
      </c>
      <c r="K247" s="45" t="s">
        <v>3625</v>
      </c>
      <c r="L247" s="45" t="s">
        <v>3632</v>
      </c>
      <c r="M247" s="50">
        <v>99900</v>
      </c>
      <c r="N247" s="51">
        <f t="shared" si="11"/>
        <v>0.3</v>
      </c>
      <c r="O247" s="52">
        <f t="shared" si="9"/>
        <v>69930</v>
      </c>
      <c r="P247" s="48" t="s">
        <v>20</v>
      </c>
    </row>
    <row r="248" spans="1:16" x14ac:dyDescent="0.25">
      <c r="A248" s="45" t="str">
        <f t="shared" si="10"/>
        <v>2025 OKT NOV B1 DISC  30%</v>
      </c>
      <c r="B248" s="46">
        <v>46104</v>
      </c>
      <c r="C248" s="46">
        <v>46113</v>
      </c>
      <c r="D248" s="47">
        <v>3273</v>
      </c>
      <c r="E248" s="47">
        <v>336</v>
      </c>
      <c r="F248" s="47">
        <v>4</v>
      </c>
      <c r="G248" s="45">
        <v>6</v>
      </c>
      <c r="H248" s="45">
        <v>81588</v>
      </c>
      <c r="I248" s="48" t="s">
        <v>17</v>
      </c>
      <c r="J248" s="45">
        <v>61619078</v>
      </c>
      <c r="K248" s="45" t="s">
        <v>3633</v>
      </c>
      <c r="L248" s="45" t="s">
        <v>3634</v>
      </c>
      <c r="M248" s="50">
        <v>99900</v>
      </c>
      <c r="N248" s="51">
        <f t="shared" si="11"/>
        <v>0.3</v>
      </c>
      <c r="O248" s="52">
        <f t="shared" si="9"/>
        <v>69930</v>
      </c>
      <c r="P248" s="48" t="s">
        <v>20</v>
      </c>
    </row>
    <row r="249" spans="1:16" x14ac:dyDescent="0.25">
      <c r="A249" s="45" t="str">
        <f t="shared" si="10"/>
        <v>2025 OKT NOV B1 DISC  30%</v>
      </c>
      <c r="B249" s="46">
        <v>46104</v>
      </c>
      <c r="C249" s="46">
        <v>46113</v>
      </c>
      <c r="D249" s="47">
        <v>3273</v>
      </c>
      <c r="E249" s="47">
        <v>336</v>
      </c>
      <c r="F249" s="47">
        <v>4</v>
      </c>
      <c r="G249" s="45">
        <v>6</v>
      </c>
      <c r="H249" s="45">
        <v>81588</v>
      </c>
      <c r="I249" s="48" t="s">
        <v>17</v>
      </c>
      <c r="J249" s="45">
        <v>61619087</v>
      </c>
      <c r="K249" s="45" t="s">
        <v>3633</v>
      </c>
      <c r="L249" s="45" t="s">
        <v>3635</v>
      </c>
      <c r="M249" s="50">
        <v>99900</v>
      </c>
      <c r="N249" s="51">
        <f t="shared" si="11"/>
        <v>0.3</v>
      </c>
      <c r="O249" s="52">
        <f t="shared" si="9"/>
        <v>69930</v>
      </c>
      <c r="P249" s="48" t="s">
        <v>20</v>
      </c>
    </row>
    <row r="250" spans="1:16" x14ac:dyDescent="0.25">
      <c r="A250" s="45" t="str">
        <f t="shared" si="10"/>
        <v>2025 OKT NOV B1 DISC  30%</v>
      </c>
      <c r="B250" s="46">
        <v>46104</v>
      </c>
      <c r="C250" s="46">
        <v>46113</v>
      </c>
      <c r="D250" s="47">
        <v>3273</v>
      </c>
      <c r="E250" s="47">
        <v>336</v>
      </c>
      <c r="F250" s="47">
        <v>4</v>
      </c>
      <c r="G250" s="45">
        <v>6</v>
      </c>
      <c r="H250" s="45">
        <v>81588</v>
      </c>
      <c r="I250" s="48" t="s">
        <v>17</v>
      </c>
      <c r="J250" s="45">
        <v>61619096</v>
      </c>
      <c r="K250" s="45" t="s">
        <v>3633</v>
      </c>
      <c r="L250" s="45" t="s">
        <v>3636</v>
      </c>
      <c r="M250" s="50">
        <v>99900</v>
      </c>
      <c r="N250" s="51">
        <f t="shared" si="11"/>
        <v>0.3</v>
      </c>
      <c r="O250" s="52">
        <f t="shared" si="9"/>
        <v>69930</v>
      </c>
      <c r="P250" s="48" t="s">
        <v>20</v>
      </c>
    </row>
    <row r="251" spans="1:16" x14ac:dyDescent="0.25">
      <c r="A251" s="45" t="str">
        <f t="shared" si="10"/>
        <v>2025 OKT NOV B1 DISC  30%</v>
      </c>
      <c r="B251" s="46">
        <v>46104</v>
      </c>
      <c r="C251" s="46">
        <v>46113</v>
      </c>
      <c r="D251" s="47">
        <v>3273</v>
      </c>
      <c r="E251" s="47">
        <v>336</v>
      </c>
      <c r="F251" s="47">
        <v>4</v>
      </c>
      <c r="G251" s="45">
        <v>6</v>
      </c>
      <c r="H251" s="45">
        <v>81588</v>
      </c>
      <c r="I251" s="48" t="s">
        <v>17</v>
      </c>
      <c r="J251" s="45">
        <v>61619103</v>
      </c>
      <c r="K251" s="45" t="s">
        <v>3633</v>
      </c>
      <c r="L251" s="45" t="s">
        <v>3637</v>
      </c>
      <c r="M251" s="50">
        <v>99900</v>
      </c>
      <c r="N251" s="51">
        <f t="shared" si="11"/>
        <v>0.3</v>
      </c>
      <c r="O251" s="52">
        <f t="shared" si="9"/>
        <v>69930</v>
      </c>
      <c r="P251" s="48" t="s">
        <v>20</v>
      </c>
    </row>
    <row r="252" spans="1:16" x14ac:dyDescent="0.25">
      <c r="A252" s="45" t="str">
        <f t="shared" si="10"/>
        <v>2025 OKT NOV B1 DISC  30%</v>
      </c>
      <c r="B252" s="46">
        <v>46104</v>
      </c>
      <c r="C252" s="46">
        <v>46113</v>
      </c>
      <c r="D252" s="47">
        <v>3273</v>
      </c>
      <c r="E252" s="47">
        <v>336</v>
      </c>
      <c r="F252" s="47">
        <v>4</v>
      </c>
      <c r="G252" s="45">
        <v>6</v>
      </c>
      <c r="H252" s="45">
        <v>81588</v>
      </c>
      <c r="I252" s="48" t="s">
        <v>17</v>
      </c>
      <c r="J252" s="45">
        <v>61619112</v>
      </c>
      <c r="K252" s="45" t="s">
        <v>3633</v>
      </c>
      <c r="L252" s="45" t="s">
        <v>3638</v>
      </c>
      <c r="M252" s="50">
        <v>99900</v>
      </c>
      <c r="N252" s="51">
        <f t="shared" si="11"/>
        <v>0.3</v>
      </c>
      <c r="O252" s="52">
        <f t="shared" si="9"/>
        <v>69930</v>
      </c>
      <c r="P252" s="48" t="s">
        <v>20</v>
      </c>
    </row>
    <row r="253" spans="1:16" x14ac:dyDescent="0.25">
      <c r="A253" s="45" t="str">
        <f t="shared" si="10"/>
        <v>2025 OKT NOV B1 DISC  30%</v>
      </c>
      <c r="B253" s="46">
        <v>46104</v>
      </c>
      <c r="C253" s="46">
        <v>46113</v>
      </c>
      <c r="D253" s="47">
        <v>3273</v>
      </c>
      <c r="E253" s="47">
        <v>336</v>
      </c>
      <c r="F253" s="47">
        <v>4</v>
      </c>
      <c r="G253" s="45">
        <v>6</v>
      </c>
      <c r="H253" s="45">
        <v>81588</v>
      </c>
      <c r="I253" s="48" t="s">
        <v>17</v>
      </c>
      <c r="J253" s="45">
        <v>61619121</v>
      </c>
      <c r="K253" s="45" t="s">
        <v>3633</v>
      </c>
      <c r="L253" s="45" t="s">
        <v>3639</v>
      </c>
      <c r="M253" s="50">
        <v>99900</v>
      </c>
      <c r="N253" s="51">
        <f t="shared" si="11"/>
        <v>0.3</v>
      </c>
      <c r="O253" s="52">
        <f t="shared" si="9"/>
        <v>69930</v>
      </c>
      <c r="P253" s="48" t="s">
        <v>20</v>
      </c>
    </row>
    <row r="254" spans="1:16" x14ac:dyDescent="0.25">
      <c r="A254" s="45" t="str">
        <f t="shared" si="10"/>
        <v>2025 OKT NOV B1 DISC  30%</v>
      </c>
      <c r="B254" s="46">
        <v>46104</v>
      </c>
      <c r="C254" s="46">
        <v>46113</v>
      </c>
      <c r="D254" s="47">
        <v>3273</v>
      </c>
      <c r="E254" s="47">
        <v>336</v>
      </c>
      <c r="F254" s="47">
        <v>4</v>
      </c>
      <c r="G254" s="45">
        <v>6</v>
      </c>
      <c r="H254" s="45">
        <v>81588</v>
      </c>
      <c r="I254" s="48" t="s">
        <v>17</v>
      </c>
      <c r="J254" s="45">
        <v>61619130</v>
      </c>
      <c r="K254" s="45" t="s">
        <v>3633</v>
      </c>
      <c r="L254" s="45" t="s">
        <v>3640</v>
      </c>
      <c r="M254" s="50">
        <v>99900</v>
      </c>
      <c r="N254" s="51">
        <f t="shared" si="11"/>
        <v>0.3</v>
      </c>
      <c r="O254" s="52">
        <f t="shared" si="9"/>
        <v>69930</v>
      </c>
      <c r="P254" s="48" t="s">
        <v>20</v>
      </c>
    </row>
    <row r="255" spans="1:16" x14ac:dyDescent="0.25">
      <c r="A255" s="45" t="str">
        <f t="shared" si="10"/>
        <v>2025 OKT NOV B1 DISC  30%</v>
      </c>
      <c r="B255" s="46">
        <v>46104</v>
      </c>
      <c r="C255" s="46">
        <v>46113</v>
      </c>
      <c r="D255" s="47">
        <v>3273</v>
      </c>
      <c r="E255" s="47">
        <v>336</v>
      </c>
      <c r="F255" s="47">
        <v>4</v>
      </c>
      <c r="G255" s="45">
        <v>6</v>
      </c>
      <c r="H255" s="45">
        <v>81588</v>
      </c>
      <c r="I255" s="48" t="s">
        <v>17</v>
      </c>
      <c r="J255" s="45">
        <v>61619149</v>
      </c>
      <c r="K255" s="45" t="s">
        <v>3641</v>
      </c>
      <c r="L255" s="45" t="s">
        <v>3642</v>
      </c>
      <c r="M255" s="50">
        <v>99900</v>
      </c>
      <c r="N255" s="51">
        <f t="shared" si="11"/>
        <v>0.3</v>
      </c>
      <c r="O255" s="52">
        <f t="shared" si="9"/>
        <v>69930</v>
      </c>
      <c r="P255" s="48" t="s">
        <v>20</v>
      </c>
    </row>
    <row r="256" spans="1:16" x14ac:dyDescent="0.25">
      <c r="A256" s="45" t="str">
        <f t="shared" si="10"/>
        <v>2025 OKT NOV B1 DISC  30%</v>
      </c>
      <c r="B256" s="46">
        <v>46104</v>
      </c>
      <c r="C256" s="46">
        <v>46113</v>
      </c>
      <c r="D256" s="47">
        <v>3273</v>
      </c>
      <c r="E256" s="47">
        <v>336</v>
      </c>
      <c r="F256" s="47">
        <v>4</v>
      </c>
      <c r="G256" s="45">
        <v>6</v>
      </c>
      <c r="H256" s="45">
        <v>81588</v>
      </c>
      <c r="I256" s="48" t="s">
        <v>17</v>
      </c>
      <c r="J256" s="45">
        <v>61619158</v>
      </c>
      <c r="K256" s="45" t="s">
        <v>3641</v>
      </c>
      <c r="L256" s="45" t="s">
        <v>3643</v>
      </c>
      <c r="M256" s="50">
        <v>99900</v>
      </c>
      <c r="N256" s="51">
        <f t="shared" si="11"/>
        <v>0.3</v>
      </c>
      <c r="O256" s="52">
        <f t="shared" si="9"/>
        <v>69930</v>
      </c>
      <c r="P256" s="48" t="s">
        <v>20</v>
      </c>
    </row>
    <row r="257" spans="1:16" x14ac:dyDescent="0.25">
      <c r="A257" s="45" t="str">
        <f t="shared" si="10"/>
        <v>2025 OKT NOV B1 DISC  30%</v>
      </c>
      <c r="B257" s="46">
        <v>46104</v>
      </c>
      <c r="C257" s="46">
        <v>46113</v>
      </c>
      <c r="D257" s="47">
        <v>3273</v>
      </c>
      <c r="E257" s="47">
        <v>336</v>
      </c>
      <c r="F257" s="47">
        <v>4</v>
      </c>
      <c r="G257" s="45">
        <v>6</v>
      </c>
      <c r="H257" s="45">
        <v>81588</v>
      </c>
      <c r="I257" s="48" t="s">
        <v>17</v>
      </c>
      <c r="J257" s="45">
        <v>61619167</v>
      </c>
      <c r="K257" s="45" t="s">
        <v>3641</v>
      </c>
      <c r="L257" s="45" t="s">
        <v>3644</v>
      </c>
      <c r="M257" s="50">
        <v>99900</v>
      </c>
      <c r="N257" s="51">
        <f t="shared" si="11"/>
        <v>0.3</v>
      </c>
      <c r="O257" s="52">
        <f t="shared" si="9"/>
        <v>69930</v>
      </c>
      <c r="P257" s="48" t="s">
        <v>20</v>
      </c>
    </row>
    <row r="258" spans="1:16" x14ac:dyDescent="0.25">
      <c r="A258" s="45" t="str">
        <f t="shared" si="10"/>
        <v>2025 OKT NOV B1 DISC  30%</v>
      </c>
      <c r="B258" s="46">
        <v>46104</v>
      </c>
      <c r="C258" s="46">
        <v>46113</v>
      </c>
      <c r="D258" s="47">
        <v>3273</v>
      </c>
      <c r="E258" s="47">
        <v>336</v>
      </c>
      <c r="F258" s="47">
        <v>4</v>
      </c>
      <c r="G258" s="45">
        <v>6</v>
      </c>
      <c r="H258" s="45">
        <v>81588</v>
      </c>
      <c r="I258" s="48" t="s">
        <v>17</v>
      </c>
      <c r="J258" s="45">
        <v>61619176</v>
      </c>
      <c r="K258" s="45" t="s">
        <v>3641</v>
      </c>
      <c r="L258" s="45" t="s">
        <v>3645</v>
      </c>
      <c r="M258" s="50">
        <v>99900</v>
      </c>
      <c r="N258" s="51">
        <f t="shared" si="11"/>
        <v>0.3</v>
      </c>
      <c r="O258" s="52">
        <f t="shared" si="9"/>
        <v>69930</v>
      </c>
      <c r="P258" s="48" t="s">
        <v>20</v>
      </c>
    </row>
    <row r="259" spans="1:16" x14ac:dyDescent="0.25">
      <c r="A259" s="45" t="str">
        <f t="shared" si="10"/>
        <v>2025 OKT NOV B1 DISC  30%</v>
      </c>
      <c r="B259" s="46">
        <v>46104</v>
      </c>
      <c r="C259" s="46">
        <v>46113</v>
      </c>
      <c r="D259" s="47">
        <v>3273</v>
      </c>
      <c r="E259" s="47">
        <v>336</v>
      </c>
      <c r="F259" s="47">
        <v>4</v>
      </c>
      <c r="G259" s="45">
        <v>6</v>
      </c>
      <c r="H259" s="45">
        <v>81588</v>
      </c>
      <c r="I259" s="48" t="s">
        <v>17</v>
      </c>
      <c r="J259" s="45">
        <v>61619185</v>
      </c>
      <c r="K259" s="45" t="s">
        <v>3641</v>
      </c>
      <c r="L259" s="45" t="s">
        <v>3646</v>
      </c>
      <c r="M259" s="50">
        <v>99900</v>
      </c>
      <c r="N259" s="51">
        <f t="shared" si="11"/>
        <v>0.3</v>
      </c>
      <c r="O259" s="52">
        <f t="shared" ref="O259:O322" si="12">M259-((30*M259)/100)</f>
        <v>69930</v>
      </c>
      <c r="P259" s="48" t="s">
        <v>20</v>
      </c>
    </row>
    <row r="260" spans="1:16" x14ac:dyDescent="0.25">
      <c r="A260" s="45" t="str">
        <f t="shared" ref="A260:A323" si="13">A259</f>
        <v>2025 OKT NOV B1 DISC  30%</v>
      </c>
      <c r="B260" s="46">
        <v>46104</v>
      </c>
      <c r="C260" s="46">
        <v>46113</v>
      </c>
      <c r="D260" s="47">
        <v>3273</v>
      </c>
      <c r="E260" s="47">
        <v>336</v>
      </c>
      <c r="F260" s="47">
        <v>4</v>
      </c>
      <c r="G260" s="45">
        <v>6</v>
      </c>
      <c r="H260" s="45">
        <v>81588</v>
      </c>
      <c r="I260" s="48" t="s">
        <v>17</v>
      </c>
      <c r="J260" s="45">
        <v>61619194</v>
      </c>
      <c r="K260" s="45" t="s">
        <v>3641</v>
      </c>
      <c r="L260" s="45" t="s">
        <v>3647</v>
      </c>
      <c r="M260" s="50">
        <v>99900</v>
      </c>
      <c r="N260" s="51">
        <f t="shared" ref="N260:N323" si="14">N259</f>
        <v>0.3</v>
      </c>
      <c r="O260" s="52">
        <f t="shared" si="12"/>
        <v>69930</v>
      </c>
      <c r="P260" s="48" t="s">
        <v>20</v>
      </c>
    </row>
    <row r="261" spans="1:16" x14ac:dyDescent="0.25">
      <c r="A261" s="45" t="str">
        <f t="shared" si="13"/>
        <v>2025 OKT NOV B1 DISC  30%</v>
      </c>
      <c r="B261" s="46">
        <v>46104</v>
      </c>
      <c r="C261" s="46">
        <v>46113</v>
      </c>
      <c r="D261" s="47">
        <v>3273</v>
      </c>
      <c r="E261" s="47">
        <v>336</v>
      </c>
      <c r="F261" s="47">
        <v>4</v>
      </c>
      <c r="G261" s="45">
        <v>6</v>
      </c>
      <c r="H261" s="45">
        <v>81588</v>
      </c>
      <c r="I261" s="48" t="s">
        <v>17</v>
      </c>
      <c r="J261" s="45">
        <v>61619201</v>
      </c>
      <c r="K261" s="45" t="s">
        <v>3641</v>
      </c>
      <c r="L261" s="45" t="s">
        <v>3648</v>
      </c>
      <c r="M261" s="50">
        <v>99900</v>
      </c>
      <c r="N261" s="51">
        <f t="shared" si="14"/>
        <v>0.3</v>
      </c>
      <c r="O261" s="52">
        <f t="shared" si="12"/>
        <v>69930</v>
      </c>
      <c r="P261" s="48" t="s">
        <v>20</v>
      </c>
    </row>
    <row r="262" spans="1:16" x14ac:dyDescent="0.25">
      <c r="A262" s="45" t="str">
        <f t="shared" si="13"/>
        <v>2025 OKT NOV B1 DISC  30%</v>
      </c>
      <c r="B262" s="46">
        <v>46104</v>
      </c>
      <c r="C262" s="46">
        <v>46113</v>
      </c>
      <c r="D262" s="47">
        <v>3273</v>
      </c>
      <c r="E262" s="47">
        <v>336</v>
      </c>
      <c r="F262" s="47">
        <v>4</v>
      </c>
      <c r="G262" s="45">
        <v>6</v>
      </c>
      <c r="H262" s="45">
        <v>81588</v>
      </c>
      <c r="I262" s="48" t="s">
        <v>17</v>
      </c>
      <c r="J262" s="45">
        <v>61619210</v>
      </c>
      <c r="K262" s="45" t="s">
        <v>3649</v>
      </c>
      <c r="L262" s="45" t="s">
        <v>3650</v>
      </c>
      <c r="M262" s="50">
        <v>99900</v>
      </c>
      <c r="N262" s="51">
        <f t="shared" si="14"/>
        <v>0.3</v>
      </c>
      <c r="O262" s="52">
        <f t="shared" si="12"/>
        <v>69930</v>
      </c>
      <c r="P262" s="48" t="s">
        <v>20</v>
      </c>
    </row>
    <row r="263" spans="1:16" x14ac:dyDescent="0.25">
      <c r="A263" s="45" t="str">
        <f t="shared" si="13"/>
        <v>2025 OKT NOV B1 DISC  30%</v>
      </c>
      <c r="B263" s="46">
        <v>46104</v>
      </c>
      <c r="C263" s="46">
        <v>46113</v>
      </c>
      <c r="D263" s="47">
        <v>3273</v>
      </c>
      <c r="E263" s="47">
        <v>336</v>
      </c>
      <c r="F263" s="47">
        <v>4</v>
      </c>
      <c r="G263" s="45">
        <v>6</v>
      </c>
      <c r="H263" s="45">
        <v>81588</v>
      </c>
      <c r="I263" s="48" t="s">
        <v>17</v>
      </c>
      <c r="J263" s="45">
        <v>61619229</v>
      </c>
      <c r="K263" s="45" t="s">
        <v>3649</v>
      </c>
      <c r="L263" s="45" t="s">
        <v>3651</v>
      </c>
      <c r="M263" s="50">
        <v>99900</v>
      </c>
      <c r="N263" s="51">
        <f t="shared" si="14"/>
        <v>0.3</v>
      </c>
      <c r="O263" s="52">
        <f t="shared" si="12"/>
        <v>69930</v>
      </c>
      <c r="P263" s="48" t="s">
        <v>20</v>
      </c>
    </row>
    <row r="264" spans="1:16" x14ac:dyDescent="0.25">
      <c r="A264" s="45" t="str">
        <f t="shared" si="13"/>
        <v>2025 OKT NOV B1 DISC  30%</v>
      </c>
      <c r="B264" s="46">
        <v>46104</v>
      </c>
      <c r="C264" s="46">
        <v>46113</v>
      </c>
      <c r="D264" s="47">
        <v>3273</v>
      </c>
      <c r="E264" s="47">
        <v>336</v>
      </c>
      <c r="F264" s="47">
        <v>4</v>
      </c>
      <c r="G264" s="45">
        <v>6</v>
      </c>
      <c r="H264" s="45">
        <v>81588</v>
      </c>
      <c r="I264" s="48" t="s">
        <v>17</v>
      </c>
      <c r="J264" s="45">
        <v>61619238</v>
      </c>
      <c r="K264" s="45" t="s">
        <v>3649</v>
      </c>
      <c r="L264" s="45" t="s">
        <v>3652</v>
      </c>
      <c r="M264" s="50">
        <v>99900</v>
      </c>
      <c r="N264" s="51">
        <f t="shared" si="14"/>
        <v>0.3</v>
      </c>
      <c r="O264" s="52">
        <f t="shared" si="12"/>
        <v>69930</v>
      </c>
      <c r="P264" s="48" t="s">
        <v>20</v>
      </c>
    </row>
    <row r="265" spans="1:16" x14ac:dyDescent="0.25">
      <c r="A265" s="45" t="str">
        <f t="shared" si="13"/>
        <v>2025 OKT NOV B1 DISC  30%</v>
      </c>
      <c r="B265" s="46">
        <v>46104</v>
      </c>
      <c r="C265" s="46">
        <v>46113</v>
      </c>
      <c r="D265" s="47">
        <v>3273</v>
      </c>
      <c r="E265" s="47">
        <v>336</v>
      </c>
      <c r="F265" s="47">
        <v>4</v>
      </c>
      <c r="G265" s="45">
        <v>6</v>
      </c>
      <c r="H265" s="45">
        <v>81588</v>
      </c>
      <c r="I265" s="48" t="s">
        <v>17</v>
      </c>
      <c r="J265" s="45">
        <v>61619247</v>
      </c>
      <c r="K265" s="45" t="s">
        <v>3649</v>
      </c>
      <c r="L265" s="45" t="s">
        <v>3653</v>
      </c>
      <c r="M265" s="50">
        <v>99900</v>
      </c>
      <c r="N265" s="51">
        <f t="shared" si="14"/>
        <v>0.3</v>
      </c>
      <c r="O265" s="52">
        <f t="shared" si="12"/>
        <v>69930</v>
      </c>
      <c r="P265" s="48" t="s">
        <v>20</v>
      </c>
    </row>
    <row r="266" spans="1:16" x14ac:dyDescent="0.25">
      <c r="A266" s="45" t="str">
        <f t="shared" si="13"/>
        <v>2025 OKT NOV B1 DISC  30%</v>
      </c>
      <c r="B266" s="46">
        <v>46104</v>
      </c>
      <c r="C266" s="46">
        <v>46113</v>
      </c>
      <c r="D266" s="47">
        <v>3273</v>
      </c>
      <c r="E266" s="47">
        <v>336</v>
      </c>
      <c r="F266" s="47">
        <v>4</v>
      </c>
      <c r="G266" s="45">
        <v>6</v>
      </c>
      <c r="H266" s="45">
        <v>81588</v>
      </c>
      <c r="I266" s="48" t="s">
        <v>17</v>
      </c>
      <c r="J266" s="45">
        <v>61619256</v>
      </c>
      <c r="K266" s="45" t="s">
        <v>3649</v>
      </c>
      <c r="L266" s="45" t="s">
        <v>3654</v>
      </c>
      <c r="M266" s="50">
        <v>99900</v>
      </c>
      <c r="N266" s="51">
        <f t="shared" si="14"/>
        <v>0.3</v>
      </c>
      <c r="O266" s="52">
        <f t="shared" si="12"/>
        <v>69930</v>
      </c>
      <c r="P266" s="48" t="s">
        <v>20</v>
      </c>
    </row>
    <row r="267" spans="1:16" x14ac:dyDescent="0.25">
      <c r="A267" s="45" t="str">
        <f t="shared" si="13"/>
        <v>2025 OKT NOV B1 DISC  30%</v>
      </c>
      <c r="B267" s="46">
        <v>46104</v>
      </c>
      <c r="C267" s="46">
        <v>46113</v>
      </c>
      <c r="D267" s="47">
        <v>3273</v>
      </c>
      <c r="E267" s="47">
        <v>336</v>
      </c>
      <c r="F267" s="47">
        <v>4</v>
      </c>
      <c r="G267" s="45">
        <v>6</v>
      </c>
      <c r="H267" s="45">
        <v>81588</v>
      </c>
      <c r="I267" s="48" t="s">
        <v>17</v>
      </c>
      <c r="J267" s="45">
        <v>61619265</v>
      </c>
      <c r="K267" s="45" t="s">
        <v>3649</v>
      </c>
      <c r="L267" s="45" t="s">
        <v>3655</v>
      </c>
      <c r="M267" s="50">
        <v>99900</v>
      </c>
      <c r="N267" s="51">
        <f t="shared" si="14"/>
        <v>0.3</v>
      </c>
      <c r="O267" s="52">
        <f t="shared" si="12"/>
        <v>69930</v>
      </c>
      <c r="P267" s="48" t="s">
        <v>20</v>
      </c>
    </row>
    <row r="268" spans="1:16" x14ac:dyDescent="0.25">
      <c r="A268" s="45" t="str">
        <f t="shared" si="13"/>
        <v>2025 OKT NOV B1 DISC  30%</v>
      </c>
      <c r="B268" s="46">
        <v>46104</v>
      </c>
      <c r="C268" s="46">
        <v>46113</v>
      </c>
      <c r="D268" s="47">
        <v>3273</v>
      </c>
      <c r="E268" s="47">
        <v>336</v>
      </c>
      <c r="F268" s="47">
        <v>4</v>
      </c>
      <c r="G268" s="45">
        <v>6</v>
      </c>
      <c r="H268" s="45">
        <v>81588</v>
      </c>
      <c r="I268" s="48" t="s">
        <v>17</v>
      </c>
      <c r="J268" s="45">
        <v>61619274</v>
      </c>
      <c r="K268" s="45" t="s">
        <v>3649</v>
      </c>
      <c r="L268" s="45" t="s">
        <v>3656</v>
      </c>
      <c r="M268" s="50">
        <v>99900</v>
      </c>
      <c r="N268" s="51">
        <f t="shared" si="14"/>
        <v>0.3</v>
      </c>
      <c r="O268" s="52">
        <f t="shared" si="12"/>
        <v>69930</v>
      </c>
      <c r="P268" s="48" t="s">
        <v>20</v>
      </c>
    </row>
    <row r="269" spans="1:16" x14ac:dyDescent="0.25">
      <c r="A269" s="45" t="str">
        <f t="shared" si="13"/>
        <v>2025 OKT NOV B1 DISC  30%</v>
      </c>
      <c r="B269" s="46">
        <v>46104</v>
      </c>
      <c r="C269" s="46">
        <v>46113</v>
      </c>
      <c r="D269" s="47">
        <v>3273</v>
      </c>
      <c r="E269" s="47">
        <v>336</v>
      </c>
      <c r="F269" s="47">
        <v>4</v>
      </c>
      <c r="G269" s="45">
        <v>6</v>
      </c>
      <c r="H269" s="45">
        <v>81588</v>
      </c>
      <c r="I269" s="48" t="s">
        <v>17</v>
      </c>
      <c r="J269" s="45">
        <v>61619283</v>
      </c>
      <c r="K269" s="45" t="s">
        <v>3657</v>
      </c>
      <c r="L269" s="45" t="s">
        <v>3658</v>
      </c>
      <c r="M269" s="50">
        <v>99900</v>
      </c>
      <c r="N269" s="51">
        <f t="shared" si="14"/>
        <v>0.3</v>
      </c>
      <c r="O269" s="52">
        <f t="shared" si="12"/>
        <v>69930</v>
      </c>
      <c r="P269" s="48" t="s">
        <v>20</v>
      </c>
    </row>
    <row r="270" spans="1:16" x14ac:dyDescent="0.25">
      <c r="A270" s="45" t="str">
        <f t="shared" si="13"/>
        <v>2025 OKT NOV B1 DISC  30%</v>
      </c>
      <c r="B270" s="46">
        <v>46104</v>
      </c>
      <c r="C270" s="46">
        <v>46113</v>
      </c>
      <c r="D270" s="47">
        <v>3273</v>
      </c>
      <c r="E270" s="47">
        <v>336</v>
      </c>
      <c r="F270" s="47">
        <v>4</v>
      </c>
      <c r="G270" s="45">
        <v>6</v>
      </c>
      <c r="H270" s="45">
        <v>81588</v>
      </c>
      <c r="I270" s="48" t="s">
        <v>17</v>
      </c>
      <c r="J270" s="45">
        <v>61619292</v>
      </c>
      <c r="K270" s="45" t="s">
        <v>3657</v>
      </c>
      <c r="L270" s="45" t="s">
        <v>3659</v>
      </c>
      <c r="M270" s="50">
        <v>99900</v>
      </c>
      <c r="N270" s="51">
        <f t="shared" si="14"/>
        <v>0.3</v>
      </c>
      <c r="O270" s="52">
        <f t="shared" si="12"/>
        <v>69930</v>
      </c>
      <c r="P270" s="48" t="s">
        <v>20</v>
      </c>
    </row>
    <row r="271" spans="1:16" x14ac:dyDescent="0.25">
      <c r="A271" s="45" t="str">
        <f t="shared" si="13"/>
        <v>2025 OKT NOV B1 DISC  30%</v>
      </c>
      <c r="B271" s="46">
        <v>46104</v>
      </c>
      <c r="C271" s="46">
        <v>46113</v>
      </c>
      <c r="D271" s="47">
        <v>3273</v>
      </c>
      <c r="E271" s="47">
        <v>336</v>
      </c>
      <c r="F271" s="47">
        <v>4</v>
      </c>
      <c r="G271" s="45">
        <v>6</v>
      </c>
      <c r="H271" s="45">
        <v>81588</v>
      </c>
      <c r="I271" s="48" t="s">
        <v>17</v>
      </c>
      <c r="J271" s="45">
        <v>61619309</v>
      </c>
      <c r="K271" s="45" t="s">
        <v>3657</v>
      </c>
      <c r="L271" s="45" t="s">
        <v>3660</v>
      </c>
      <c r="M271" s="50">
        <v>99900</v>
      </c>
      <c r="N271" s="51">
        <f t="shared" si="14"/>
        <v>0.3</v>
      </c>
      <c r="O271" s="52">
        <f t="shared" si="12"/>
        <v>69930</v>
      </c>
      <c r="P271" s="48" t="s">
        <v>20</v>
      </c>
    </row>
    <row r="272" spans="1:16" x14ac:dyDescent="0.25">
      <c r="A272" s="45" t="str">
        <f t="shared" si="13"/>
        <v>2025 OKT NOV B1 DISC  30%</v>
      </c>
      <c r="B272" s="46">
        <v>46104</v>
      </c>
      <c r="C272" s="46">
        <v>46113</v>
      </c>
      <c r="D272" s="47">
        <v>3273</v>
      </c>
      <c r="E272" s="47">
        <v>336</v>
      </c>
      <c r="F272" s="47">
        <v>4</v>
      </c>
      <c r="G272" s="45">
        <v>6</v>
      </c>
      <c r="H272" s="45">
        <v>81588</v>
      </c>
      <c r="I272" s="48" t="s">
        <v>17</v>
      </c>
      <c r="J272" s="45">
        <v>61619318</v>
      </c>
      <c r="K272" s="45" t="s">
        <v>3657</v>
      </c>
      <c r="L272" s="45" t="s">
        <v>3661</v>
      </c>
      <c r="M272" s="50">
        <v>99900</v>
      </c>
      <c r="N272" s="51">
        <f t="shared" si="14"/>
        <v>0.3</v>
      </c>
      <c r="O272" s="52">
        <f t="shared" si="12"/>
        <v>69930</v>
      </c>
      <c r="P272" s="48" t="s">
        <v>20</v>
      </c>
    </row>
    <row r="273" spans="1:16" x14ac:dyDescent="0.25">
      <c r="A273" s="45" t="str">
        <f t="shared" si="13"/>
        <v>2025 OKT NOV B1 DISC  30%</v>
      </c>
      <c r="B273" s="46">
        <v>46104</v>
      </c>
      <c r="C273" s="46">
        <v>46113</v>
      </c>
      <c r="D273" s="47">
        <v>3273</v>
      </c>
      <c r="E273" s="47">
        <v>336</v>
      </c>
      <c r="F273" s="47">
        <v>4</v>
      </c>
      <c r="G273" s="45">
        <v>6</v>
      </c>
      <c r="H273" s="45">
        <v>81588</v>
      </c>
      <c r="I273" s="48" t="s">
        <v>17</v>
      </c>
      <c r="J273" s="45">
        <v>61619327</v>
      </c>
      <c r="K273" s="45" t="s">
        <v>3657</v>
      </c>
      <c r="L273" s="45" t="s">
        <v>3662</v>
      </c>
      <c r="M273" s="50">
        <v>99900</v>
      </c>
      <c r="N273" s="51">
        <f t="shared" si="14"/>
        <v>0.3</v>
      </c>
      <c r="O273" s="52">
        <f t="shared" si="12"/>
        <v>69930</v>
      </c>
      <c r="P273" s="48" t="s">
        <v>20</v>
      </c>
    </row>
    <row r="274" spans="1:16" x14ac:dyDescent="0.25">
      <c r="A274" s="45" t="str">
        <f t="shared" si="13"/>
        <v>2025 OKT NOV B1 DISC  30%</v>
      </c>
      <c r="B274" s="46">
        <v>46104</v>
      </c>
      <c r="C274" s="46">
        <v>46113</v>
      </c>
      <c r="D274" s="47">
        <v>3273</v>
      </c>
      <c r="E274" s="47">
        <v>336</v>
      </c>
      <c r="F274" s="47">
        <v>4</v>
      </c>
      <c r="G274" s="45">
        <v>6</v>
      </c>
      <c r="H274" s="45">
        <v>81588</v>
      </c>
      <c r="I274" s="48" t="s">
        <v>17</v>
      </c>
      <c r="J274" s="45">
        <v>61619336</v>
      </c>
      <c r="K274" s="45" t="s">
        <v>3657</v>
      </c>
      <c r="L274" s="45" t="s">
        <v>3663</v>
      </c>
      <c r="M274" s="50">
        <v>99900</v>
      </c>
      <c r="N274" s="51">
        <f t="shared" si="14"/>
        <v>0.3</v>
      </c>
      <c r="O274" s="52">
        <f t="shared" si="12"/>
        <v>69930</v>
      </c>
      <c r="P274" s="48" t="s">
        <v>20</v>
      </c>
    </row>
    <row r="275" spans="1:16" x14ac:dyDescent="0.25">
      <c r="A275" s="45" t="str">
        <f t="shared" si="13"/>
        <v>2025 OKT NOV B1 DISC  30%</v>
      </c>
      <c r="B275" s="46">
        <v>46104</v>
      </c>
      <c r="C275" s="46">
        <v>46113</v>
      </c>
      <c r="D275" s="47">
        <v>3273</v>
      </c>
      <c r="E275" s="47">
        <v>336</v>
      </c>
      <c r="F275" s="47">
        <v>4</v>
      </c>
      <c r="G275" s="45">
        <v>6</v>
      </c>
      <c r="H275" s="45">
        <v>81588</v>
      </c>
      <c r="I275" s="48" t="s">
        <v>17</v>
      </c>
      <c r="J275" s="45">
        <v>61619345</v>
      </c>
      <c r="K275" s="45" t="s">
        <v>3657</v>
      </c>
      <c r="L275" s="45" t="s">
        <v>3664</v>
      </c>
      <c r="M275" s="50">
        <v>99900</v>
      </c>
      <c r="N275" s="51">
        <f t="shared" si="14"/>
        <v>0.3</v>
      </c>
      <c r="O275" s="52">
        <f t="shared" si="12"/>
        <v>69930</v>
      </c>
      <c r="P275" s="48" t="s">
        <v>20</v>
      </c>
    </row>
    <row r="276" spans="1:16" x14ac:dyDescent="0.25">
      <c r="A276" s="45" t="str">
        <f t="shared" si="13"/>
        <v>2025 OKT NOV B1 DISC  30%</v>
      </c>
      <c r="B276" s="46">
        <v>46104</v>
      </c>
      <c r="C276" s="46">
        <v>46113</v>
      </c>
      <c r="D276" s="47">
        <v>3273</v>
      </c>
      <c r="E276" s="47">
        <v>336</v>
      </c>
      <c r="F276" s="47">
        <v>4</v>
      </c>
      <c r="G276" s="45">
        <v>8</v>
      </c>
      <c r="H276" s="45">
        <v>81588</v>
      </c>
      <c r="I276" s="48" t="s">
        <v>17</v>
      </c>
      <c r="J276" s="45">
        <v>61619354</v>
      </c>
      <c r="K276" s="45" t="s">
        <v>3665</v>
      </c>
      <c r="L276" s="45" t="s">
        <v>3666</v>
      </c>
      <c r="M276" s="50">
        <v>199900</v>
      </c>
      <c r="N276" s="51">
        <f t="shared" si="14"/>
        <v>0.3</v>
      </c>
      <c r="O276" s="52">
        <f t="shared" si="12"/>
        <v>139930</v>
      </c>
      <c r="P276" s="48" t="s">
        <v>20</v>
      </c>
    </row>
    <row r="277" spans="1:16" x14ac:dyDescent="0.25">
      <c r="A277" s="45" t="str">
        <f t="shared" si="13"/>
        <v>2025 OKT NOV B1 DISC  30%</v>
      </c>
      <c r="B277" s="46">
        <v>46104</v>
      </c>
      <c r="C277" s="46">
        <v>46113</v>
      </c>
      <c r="D277" s="47">
        <v>3273</v>
      </c>
      <c r="E277" s="47">
        <v>336</v>
      </c>
      <c r="F277" s="47">
        <v>4</v>
      </c>
      <c r="G277" s="45">
        <v>8</v>
      </c>
      <c r="H277" s="45">
        <v>81588</v>
      </c>
      <c r="I277" s="48" t="s">
        <v>17</v>
      </c>
      <c r="J277" s="45">
        <v>61619363</v>
      </c>
      <c r="K277" s="45" t="s">
        <v>3665</v>
      </c>
      <c r="L277" s="45" t="s">
        <v>3667</v>
      </c>
      <c r="M277" s="50">
        <v>199900</v>
      </c>
      <c r="N277" s="51">
        <f t="shared" si="14"/>
        <v>0.3</v>
      </c>
      <c r="O277" s="52">
        <f t="shared" si="12"/>
        <v>139930</v>
      </c>
      <c r="P277" s="48" t="s">
        <v>20</v>
      </c>
    </row>
    <row r="278" spans="1:16" x14ac:dyDescent="0.25">
      <c r="A278" s="45" t="str">
        <f t="shared" si="13"/>
        <v>2025 OKT NOV B1 DISC  30%</v>
      </c>
      <c r="B278" s="46">
        <v>46104</v>
      </c>
      <c r="C278" s="46">
        <v>46113</v>
      </c>
      <c r="D278" s="47">
        <v>3273</v>
      </c>
      <c r="E278" s="47">
        <v>336</v>
      </c>
      <c r="F278" s="47">
        <v>4</v>
      </c>
      <c r="G278" s="45">
        <v>8</v>
      </c>
      <c r="H278" s="45">
        <v>81588</v>
      </c>
      <c r="I278" s="48" t="s">
        <v>17</v>
      </c>
      <c r="J278" s="45">
        <v>61619372</v>
      </c>
      <c r="K278" s="45" t="s">
        <v>3665</v>
      </c>
      <c r="L278" s="45" t="s">
        <v>3668</v>
      </c>
      <c r="M278" s="50">
        <v>199900</v>
      </c>
      <c r="N278" s="51">
        <f t="shared" si="14"/>
        <v>0.3</v>
      </c>
      <c r="O278" s="52">
        <f t="shared" si="12"/>
        <v>139930</v>
      </c>
      <c r="P278" s="48" t="s">
        <v>20</v>
      </c>
    </row>
    <row r="279" spans="1:16" x14ac:dyDescent="0.25">
      <c r="A279" s="45" t="str">
        <f t="shared" si="13"/>
        <v>2025 OKT NOV B1 DISC  30%</v>
      </c>
      <c r="B279" s="46">
        <v>46104</v>
      </c>
      <c r="C279" s="46">
        <v>46113</v>
      </c>
      <c r="D279" s="47">
        <v>3273</v>
      </c>
      <c r="E279" s="47">
        <v>336</v>
      </c>
      <c r="F279" s="47">
        <v>4</v>
      </c>
      <c r="G279" s="45">
        <v>8</v>
      </c>
      <c r="H279" s="45">
        <v>81588</v>
      </c>
      <c r="I279" s="48" t="s">
        <v>17</v>
      </c>
      <c r="J279" s="45">
        <v>61619381</v>
      </c>
      <c r="K279" s="45" t="s">
        <v>3665</v>
      </c>
      <c r="L279" s="45" t="s">
        <v>3669</v>
      </c>
      <c r="M279" s="50">
        <v>199900</v>
      </c>
      <c r="N279" s="51">
        <f t="shared" si="14"/>
        <v>0.3</v>
      </c>
      <c r="O279" s="52">
        <f t="shared" si="12"/>
        <v>139930</v>
      </c>
      <c r="P279" s="48" t="s">
        <v>20</v>
      </c>
    </row>
    <row r="280" spans="1:16" x14ac:dyDescent="0.25">
      <c r="A280" s="45" t="str">
        <f t="shared" si="13"/>
        <v>2025 OKT NOV B1 DISC  30%</v>
      </c>
      <c r="B280" s="46">
        <v>46104</v>
      </c>
      <c r="C280" s="46">
        <v>46113</v>
      </c>
      <c r="D280" s="47">
        <v>3273</v>
      </c>
      <c r="E280" s="47">
        <v>336</v>
      </c>
      <c r="F280" s="47">
        <v>4</v>
      </c>
      <c r="G280" s="45">
        <v>8</v>
      </c>
      <c r="H280" s="45">
        <v>81588</v>
      </c>
      <c r="I280" s="48" t="s">
        <v>17</v>
      </c>
      <c r="J280" s="45">
        <v>61619390</v>
      </c>
      <c r="K280" s="45" t="s">
        <v>3665</v>
      </c>
      <c r="L280" s="45" t="s">
        <v>3670</v>
      </c>
      <c r="M280" s="50">
        <v>199900</v>
      </c>
      <c r="N280" s="51">
        <f t="shared" si="14"/>
        <v>0.3</v>
      </c>
      <c r="O280" s="52">
        <f t="shared" si="12"/>
        <v>139930</v>
      </c>
      <c r="P280" s="48" t="s">
        <v>20</v>
      </c>
    </row>
    <row r="281" spans="1:16" x14ac:dyDescent="0.25">
      <c r="A281" s="45" t="str">
        <f t="shared" si="13"/>
        <v>2025 OKT NOV B1 DISC  30%</v>
      </c>
      <c r="B281" s="46">
        <v>46104</v>
      </c>
      <c r="C281" s="46">
        <v>46113</v>
      </c>
      <c r="D281" s="47">
        <v>3273</v>
      </c>
      <c r="E281" s="47">
        <v>336</v>
      </c>
      <c r="F281" s="47">
        <v>4</v>
      </c>
      <c r="G281" s="45">
        <v>8</v>
      </c>
      <c r="H281" s="45">
        <v>81588</v>
      </c>
      <c r="I281" s="48" t="s">
        <v>17</v>
      </c>
      <c r="J281" s="45">
        <v>61619407</v>
      </c>
      <c r="K281" s="45" t="s">
        <v>3665</v>
      </c>
      <c r="L281" s="45" t="s">
        <v>3671</v>
      </c>
      <c r="M281" s="50">
        <v>199900</v>
      </c>
      <c r="N281" s="51">
        <f t="shared" si="14"/>
        <v>0.3</v>
      </c>
      <c r="O281" s="52">
        <f t="shared" si="12"/>
        <v>139930</v>
      </c>
      <c r="P281" s="48" t="s">
        <v>20</v>
      </c>
    </row>
    <row r="282" spans="1:16" x14ac:dyDescent="0.25">
      <c r="A282" s="45" t="str">
        <f t="shared" si="13"/>
        <v>2025 OKT NOV B1 DISC  30%</v>
      </c>
      <c r="B282" s="46">
        <v>46104</v>
      </c>
      <c r="C282" s="46">
        <v>46113</v>
      </c>
      <c r="D282" s="47">
        <v>3273</v>
      </c>
      <c r="E282" s="47">
        <v>336</v>
      </c>
      <c r="F282" s="47">
        <v>4</v>
      </c>
      <c r="G282" s="45">
        <v>8</v>
      </c>
      <c r="H282" s="45">
        <v>81588</v>
      </c>
      <c r="I282" s="48" t="s">
        <v>17</v>
      </c>
      <c r="J282" s="45">
        <v>61619416</v>
      </c>
      <c r="K282" s="45" t="s">
        <v>3665</v>
      </c>
      <c r="L282" s="45" t="s">
        <v>3672</v>
      </c>
      <c r="M282" s="50">
        <v>199900</v>
      </c>
      <c r="N282" s="51">
        <f t="shared" si="14"/>
        <v>0.3</v>
      </c>
      <c r="O282" s="52">
        <f t="shared" si="12"/>
        <v>139930</v>
      </c>
      <c r="P282" s="48" t="s">
        <v>20</v>
      </c>
    </row>
    <row r="283" spans="1:16" x14ac:dyDescent="0.25">
      <c r="A283" s="45" t="str">
        <f t="shared" si="13"/>
        <v>2025 OKT NOV B1 DISC  30%</v>
      </c>
      <c r="B283" s="46">
        <v>46104</v>
      </c>
      <c r="C283" s="46">
        <v>46113</v>
      </c>
      <c r="D283" s="47">
        <v>3273</v>
      </c>
      <c r="E283" s="47">
        <v>336</v>
      </c>
      <c r="F283" s="47">
        <v>4</v>
      </c>
      <c r="G283" s="45">
        <v>9</v>
      </c>
      <c r="H283" s="45">
        <v>81588</v>
      </c>
      <c r="I283" s="48" t="s">
        <v>17</v>
      </c>
      <c r="J283" s="45">
        <v>61619425</v>
      </c>
      <c r="K283" s="45" t="s">
        <v>3673</v>
      </c>
      <c r="L283" s="45" t="s">
        <v>3674</v>
      </c>
      <c r="M283" s="50">
        <v>99900</v>
      </c>
      <c r="N283" s="51">
        <f t="shared" si="14"/>
        <v>0.3</v>
      </c>
      <c r="O283" s="52">
        <f t="shared" si="12"/>
        <v>69930</v>
      </c>
      <c r="P283" s="48" t="s">
        <v>20</v>
      </c>
    </row>
    <row r="284" spans="1:16" x14ac:dyDescent="0.25">
      <c r="A284" s="45" t="str">
        <f t="shared" si="13"/>
        <v>2025 OKT NOV B1 DISC  30%</v>
      </c>
      <c r="B284" s="46">
        <v>46104</v>
      </c>
      <c r="C284" s="46">
        <v>46113</v>
      </c>
      <c r="D284" s="47">
        <v>3273</v>
      </c>
      <c r="E284" s="47">
        <v>336</v>
      </c>
      <c r="F284" s="47">
        <v>4</v>
      </c>
      <c r="G284" s="45">
        <v>9</v>
      </c>
      <c r="H284" s="45">
        <v>81588</v>
      </c>
      <c r="I284" s="48" t="s">
        <v>17</v>
      </c>
      <c r="J284" s="45">
        <v>61619434</v>
      </c>
      <c r="K284" s="45" t="s">
        <v>3673</v>
      </c>
      <c r="L284" s="45" t="s">
        <v>3675</v>
      </c>
      <c r="M284" s="50">
        <v>99900</v>
      </c>
      <c r="N284" s="51">
        <f t="shared" si="14"/>
        <v>0.3</v>
      </c>
      <c r="O284" s="52">
        <f t="shared" si="12"/>
        <v>69930</v>
      </c>
      <c r="P284" s="48" t="s">
        <v>20</v>
      </c>
    </row>
    <row r="285" spans="1:16" x14ac:dyDescent="0.25">
      <c r="A285" s="45" t="str">
        <f t="shared" si="13"/>
        <v>2025 OKT NOV B1 DISC  30%</v>
      </c>
      <c r="B285" s="46">
        <v>46104</v>
      </c>
      <c r="C285" s="46">
        <v>46113</v>
      </c>
      <c r="D285" s="47">
        <v>3273</v>
      </c>
      <c r="E285" s="47">
        <v>336</v>
      </c>
      <c r="F285" s="47">
        <v>4</v>
      </c>
      <c r="G285" s="45">
        <v>9</v>
      </c>
      <c r="H285" s="45">
        <v>81588</v>
      </c>
      <c r="I285" s="48" t="s">
        <v>17</v>
      </c>
      <c r="J285" s="45">
        <v>61619443</v>
      </c>
      <c r="K285" s="45" t="s">
        <v>3673</v>
      </c>
      <c r="L285" s="45" t="s">
        <v>3676</v>
      </c>
      <c r="M285" s="50">
        <v>99900</v>
      </c>
      <c r="N285" s="51">
        <f t="shared" si="14"/>
        <v>0.3</v>
      </c>
      <c r="O285" s="52">
        <f t="shared" si="12"/>
        <v>69930</v>
      </c>
      <c r="P285" s="48" t="s">
        <v>20</v>
      </c>
    </row>
    <row r="286" spans="1:16" x14ac:dyDescent="0.25">
      <c r="A286" s="45" t="str">
        <f t="shared" si="13"/>
        <v>2025 OKT NOV B1 DISC  30%</v>
      </c>
      <c r="B286" s="46">
        <v>46104</v>
      </c>
      <c r="C286" s="46">
        <v>46113</v>
      </c>
      <c r="D286" s="47">
        <v>3273</v>
      </c>
      <c r="E286" s="47">
        <v>336</v>
      </c>
      <c r="F286" s="47">
        <v>4</v>
      </c>
      <c r="G286" s="45">
        <v>9</v>
      </c>
      <c r="H286" s="45">
        <v>81588</v>
      </c>
      <c r="I286" s="48" t="s">
        <v>17</v>
      </c>
      <c r="J286" s="45">
        <v>61619452</v>
      </c>
      <c r="K286" s="45" t="s">
        <v>3673</v>
      </c>
      <c r="L286" s="45" t="s">
        <v>3677</v>
      </c>
      <c r="M286" s="50">
        <v>99900</v>
      </c>
      <c r="N286" s="51">
        <f t="shared" si="14"/>
        <v>0.3</v>
      </c>
      <c r="O286" s="52">
        <f t="shared" si="12"/>
        <v>69930</v>
      </c>
      <c r="P286" s="48" t="s">
        <v>20</v>
      </c>
    </row>
    <row r="287" spans="1:16" x14ac:dyDescent="0.25">
      <c r="A287" s="45" t="str">
        <f t="shared" si="13"/>
        <v>2025 OKT NOV B1 DISC  30%</v>
      </c>
      <c r="B287" s="46">
        <v>46104</v>
      </c>
      <c r="C287" s="46">
        <v>46113</v>
      </c>
      <c r="D287" s="47">
        <v>3273</v>
      </c>
      <c r="E287" s="47">
        <v>336</v>
      </c>
      <c r="F287" s="47">
        <v>4</v>
      </c>
      <c r="G287" s="45">
        <v>9</v>
      </c>
      <c r="H287" s="45">
        <v>81588</v>
      </c>
      <c r="I287" s="48" t="s">
        <v>17</v>
      </c>
      <c r="J287" s="45">
        <v>61619461</v>
      </c>
      <c r="K287" s="45" t="s">
        <v>3673</v>
      </c>
      <c r="L287" s="45" t="s">
        <v>3678</v>
      </c>
      <c r="M287" s="50">
        <v>99900</v>
      </c>
      <c r="N287" s="51">
        <f t="shared" si="14"/>
        <v>0.3</v>
      </c>
      <c r="O287" s="52">
        <f t="shared" si="12"/>
        <v>69930</v>
      </c>
      <c r="P287" s="48" t="s">
        <v>20</v>
      </c>
    </row>
    <row r="288" spans="1:16" x14ac:dyDescent="0.25">
      <c r="A288" s="45" t="str">
        <f t="shared" si="13"/>
        <v>2025 OKT NOV B1 DISC  30%</v>
      </c>
      <c r="B288" s="46">
        <v>46104</v>
      </c>
      <c r="C288" s="46">
        <v>46113</v>
      </c>
      <c r="D288" s="47">
        <v>3273</v>
      </c>
      <c r="E288" s="47">
        <v>336</v>
      </c>
      <c r="F288" s="47">
        <v>4</v>
      </c>
      <c r="G288" s="45">
        <v>9</v>
      </c>
      <c r="H288" s="45">
        <v>81588</v>
      </c>
      <c r="I288" s="48" t="s">
        <v>17</v>
      </c>
      <c r="J288" s="45">
        <v>61619470</v>
      </c>
      <c r="K288" s="45" t="s">
        <v>3673</v>
      </c>
      <c r="L288" s="45" t="s">
        <v>3679</v>
      </c>
      <c r="M288" s="50">
        <v>99900</v>
      </c>
      <c r="N288" s="51">
        <f t="shared" si="14"/>
        <v>0.3</v>
      </c>
      <c r="O288" s="52">
        <f t="shared" si="12"/>
        <v>69930</v>
      </c>
      <c r="P288" s="48" t="s">
        <v>20</v>
      </c>
    </row>
    <row r="289" spans="1:16" x14ac:dyDescent="0.25">
      <c r="A289" s="45" t="str">
        <f t="shared" si="13"/>
        <v>2025 OKT NOV B1 DISC  30%</v>
      </c>
      <c r="B289" s="46">
        <v>46104</v>
      </c>
      <c r="C289" s="46">
        <v>46113</v>
      </c>
      <c r="D289" s="47">
        <v>3273</v>
      </c>
      <c r="E289" s="47">
        <v>336</v>
      </c>
      <c r="F289" s="47">
        <v>4</v>
      </c>
      <c r="G289" s="45">
        <v>9</v>
      </c>
      <c r="H289" s="45">
        <v>81588</v>
      </c>
      <c r="I289" s="48" t="s">
        <v>17</v>
      </c>
      <c r="J289" s="45">
        <v>61619489</v>
      </c>
      <c r="K289" s="45" t="s">
        <v>3673</v>
      </c>
      <c r="L289" s="45" t="s">
        <v>3680</v>
      </c>
      <c r="M289" s="50">
        <v>99900</v>
      </c>
      <c r="N289" s="51">
        <f t="shared" si="14"/>
        <v>0.3</v>
      </c>
      <c r="O289" s="52">
        <f t="shared" si="12"/>
        <v>69930</v>
      </c>
      <c r="P289" s="48" t="s">
        <v>20</v>
      </c>
    </row>
    <row r="290" spans="1:16" x14ac:dyDescent="0.25">
      <c r="A290" s="45" t="str">
        <f t="shared" si="13"/>
        <v>2025 OKT NOV B1 DISC  30%</v>
      </c>
      <c r="B290" s="46">
        <v>46104</v>
      </c>
      <c r="C290" s="46">
        <v>46113</v>
      </c>
      <c r="D290" s="47">
        <v>3273</v>
      </c>
      <c r="E290" s="47">
        <v>336</v>
      </c>
      <c r="F290" s="47">
        <v>4</v>
      </c>
      <c r="G290" s="45">
        <v>6</v>
      </c>
      <c r="H290" s="45">
        <v>81588</v>
      </c>
      <c r="I290" s="48" t="s">
        <v>17</v>
      </c>
      <c r="J290" s="45">
        <v>61619498</v>
      </c>
      <c r="K290" s="45" t="s">
        <v>3681</v>
      </c>
      <c r="L290" s="45" t="s">
        <v>3682</v>
      </c>
      <c r="M290" s="50">
        <v>99900</v>
      </c>
      <c r="N290" s="51">
        <f t="shared" si="14"/>
        <v>0.3</v>
      </c>
      <c r="O290" s="52">
        <f t="shared" si="12"/>
        <v>69930</v>
      </c>
      <c r="P290" s="48" t="s">
        <v>20</v>
      </c>
    </row>
    <row r="291" spans="1:16" x14ac:dyDescent="0.25">
      <c r="A291" s="45" t="str">
        <f t="shared" si="13"/>
        <v>2025 OKT NOV B1 DISC  30%</v>
      </c>
      <c r="B291" s="46">
        <v>46104</v>
      </c>
      <c r="C291" s="46">
        <v>46113</v>
      </c>
      <c r="D291" s="47">
        <v>3273</v>
      </c>
      <c r="E291" s="47">
        <v>336</v>
      </c>
      <c r="F291" s="47">
        <v>4</v>
      </c>
      <c r="G291" s="45">
        <v>6</v>
      </c>
      <c r="H291" s="45">
        <v>81588</v>
      </c>
      <c r="I291" s="48" t="s">
        <v>17</v>
      </c>
      <c r="J291" s="45">
        <v>61619505</v>
      </c>
      <c r="K291" s="45" t="s">
        <v>3681</v>
      </c>
      <c r="L291" s="45" t="s">
        <v>3683</v>
      </c>
      <c r="M291" s="50">
        <v>99900</v>
      </c>
      <c r="N291" s="51">
        <f t="shared" si="14"/>
        <v>0.3</v>
      </c>
      <c r="O291" s="52">
        <f t="shared" si="12"/>
        <v>69930</v>
      </c>
      <c r="P291" s="48" t="s">
        <v>20</v>
      </c>
    </row>
    <row r="292" spans="1:16" x14ac:dyDescent="0.25">
      <c r="A292" s="45" t="str">
        <f t="shared" si="13"/>
        <v>2025 OKT NOV B1 DISC  30%</v>
      </c>
      <c r="B292" s="46">
        <v>46104</v>
      </c>
      <c r="C292" s="46">
        <v>46113</v>
      </c>
      <c r="D292" s="47">
        <v>3273</v>
      </c>
      <c r="E292" s="47">
        <v>336</v>
      </c>
      <c r="F292" s="47">
        <v>4</v>
      </c>
      <c r="G292" s="45">
        <v>6</v>
      </c>
      <c r="H292" s="45">
        <v>81588</v>
      </c>
      <c r="I292" s="48" t="s">
        <v>17</v>
      </c>
      <c r="J292" s="45">
        <v>61619514</v>
      </c>
      <c r="K292" s="45" t="s">
        <v>3681</v>
      </c>
      <c r="L292" s="45" t="s">
        <v>3684</v>
      </c>
      <c r="M292" s="50">
        <v>99900</v>
      </c>
      <c r="N292" s="51">
        <f t="shared" si="14"/>
        <v>0.3</v>
      </c>
      <c r="O292" s="52">
        <f t="shared" si="12"/>
        <v>69930</v>
      </c>
      <c r="P292" s="48" t="s">
        <v>20</v>
      </c>
    </row>
    <row r="293" spans="1:16" x14ac:dyDescent="0.25">
      <c r="A293" s="45" t="str">
        <f t="shared" si="13"/>
        <v>2025 OKT NOV B1 DISC  30%</v>
      </c>
      <c r="B293" s="46">
        <v>46104</v>
      </c>
      <c r="C293" s="46">
        <v>46113</v>
      </c>
      <c r="D293" s="47">
        <v>3273</v>
      </c>
      <c r="E293" s="47">
        <v>336</v>
      </c>
      <c r="F293" s="47">
        <v>4</v>
      </c>
      <c r="G293" s="45">
        <v>6</v>
      </c>
      <c r="H293" s="45">
        <v>81588</v>
      </c>
      <c r="I293" s="48" t="s">
        <v>17</v>
      </c>
      <c r="J293" s="45">
        <v>61619523</v>
      </c>
      <c r="K293" s="45" t="s">
        <v>3681</v>
      </c>
      <c r="L293" s="45" t="s">
        <v>3685</v>
      </c>
      <c r="M293" s="50">
        <v>99900</v>
      </c>
      <c r="N293" s="51">
        <f t="shared" si="14"/>
        <v>0.3</v>
      </c>
      <c r="O293" s="52">
        <f t="shared" si="12"/>
        <v>69930</v>
      </c>
      <c r="P293" s="48" t="s">
        <v>20</v>
      </c>
    </row>
    <row r="294" spans="1:16" x14ac:dyDescent="0.25">
      <c r="A294" s="45" t="str">
        <f t="shared" si="13"/>
        <v>2025 OKT NOV B1 DISC  30%</v>
      </c>
      <c r="B294" s="46">
        <v>46104</v>
      </c>
      <c r="C294" s="46">
        <v>46113</v>
      </c>
      <c r="D294" s="47">
        <v>3273</v>
      </c>
      <c r="E294" s="47">
        <v>336</v>
      </c>
      <c r="F294" s="47">
        <v>4</v>
      </c>
      <c r="G294" s="45">
        <v>6</v>
      </c>
      <c r="H294" s="45">
        <v>81588</v>
      </c>
      <c r="I294" s="48" t="s">
        <v>17</v>
      </c>
      <c r="J294" s="45">
        <v>61619532</v>
      </c>
      <c r="K294" s="45" t="s">
        <v>3681</v>
      </c>
      <c r="L294" s="45" t="s">
        <v>3686</v>
      </c>
      <c r="M294" s="50">
        <v>99900</v>
      </c>
      <c r="N294" s="51">
        <f t="shared" si="14"/>
        <v>0.3</v>
      </c>
      <c r="O294" s="52">
        <f t="shared" si="12"/>
        <v>69930</v>
      </c>
      <c r="P294" s="48" t="s">
        <v>20</v>
      </c>
    </row>
    <row r="295" spans="1:16" x14ac:dyDescent="0.25">
      <c r="A295" s="45" t="str">
        <f t="shared" si="13"/>
        <v>2025 OKT NOV B1 DISC  30%</v>
      </c>
      <c r="B295" s="46">
        <v>46104</v>
      </c>
      <c r="C295" s="46">
        <v>46113</v>
      </c>
      <c r="D295" s="47">
        <v>3273</v>
      </c>
      <c r="E295" s="47">
        <v>336</v>
      </c>
      <c r="F295" s="47">
        <v>4</v>
      </c>
      <c r="G295" s="45">
        <v>6</v>
      </c>
      <c r="H295" s="45">
        <v>81588</v>
      </c>
      <c r="I295" s="48" t="s">
        <v>17</v>
      </c>
      <c r="J295" s="45">
        <v>61619541</v>
      </c>
      <c r="K295" s="45" t="s">
        <v>3681</v>
      </c>
      <c r="L295" s="45" t="s">
        <v>3687</v>
      </c>
      <c r="M295" s="50">
        <v>99900</v>
      </c>
      <c r="N295" s="51">
        <f t="shared" si="14"/>
        <v>0.3</v>
      </c>
      <c r="O295" s="52">
        <f t="shared" si="12"/>
        <v>69930</v>
      </c>
      <c r="P295" s="48" t="s">
        <v>20</v>
      </c>
    </row>
    <row r="296" spans="1:16" x14ac:dyDescent="0.25">
      <c r="A296" s="45" t="str">
        <f t="shared" si="13"/>
        <v>2025 OKT NOV B1 DISC  30%</v>
      </c>
      <c r="B296" s="46">
        <v>46104</v>
      </c>
      <c r="C296" s="46">
        <v>46113</v>
      </c>
      <c r="D296" s="47">
        <v>3273</v>
      </c>
      <c r="E296" s="47">
        <v>336</v>
      </c>
      <c r="F296" s="47">
        <v>4</v>
      </c>
      <c r="G296" s="45">
        <v>6</v>
      </c>
      <c r="H296" s="45">
        <v>81588</v>
      </c>
      <c r="I296" s="48" t="s">
        <v>17</v>
      </c>
      <c r="J296" s="45">
        <v>61619550</v>
      </c>
      <c r="K296" s="45" t="s">
        <v>3681</v>
      </c>
      <c r="L296" s="45" t="s">
        <v>3688</v>
      </c>
      <c r="M296" s="50">
        <v>99900</v>
      </c>
      <c r="N296" s="51">
        <f t="shared" si="14"/>
        <v>0.3</v>
      </c>
      <c r="O296" s="52">
        <f t="shared" si="12"/>
        <v>69930</v>
      </c>
      <c r="P296" s="48" t="s">
        <v>20</v>
      </c>
    </row>
    <row r="297" spans="1:16" x14ac:dyDescent="0.25">
      <c r="A297" s="45" t="str">
        <f t="shared" si="13"/>
        <v>2025 OKT NOV B1 DISC  30%</v>
      </c>
      <c r="B297" s="46">
        <v>46104</v>
      </c>
      <c r="C297" s="46">
        <v>46113</v>
      </c>
      <c r="D297" s="47">
        <v>3273</v>
      </c>
      <c r="E297" s="47">
        <v>336</v>
      </c>
      <c r="F297" s="47">
        <v>4</v>
      </c>
      <c r="G297" s="45">
        <v>6</v>
      </c>
      <c r="H297" s="45">
        <v>81588</v>
      </c>
      <c r="I297" s="48" t="s">
        <v>17</v>
      </c>
      <c r="J297" s="45">
        <v>61619569</v>
      </c>
      <c r="K297" s="45" t="s">
        <v>3689</v>
      </c>
      <c r="L297" s="45" t="s">
        <v>3690</v>
      </c>
      <c r="M297" s="50">
        <v>99900</v>
      </c>
      <c r="N297" s="51">
        <f t="shared" si="14"/>
        <v>0.3</v>
      </c>
      <c r="O297" s="52">
        <f t="shared" si="12"/>
        <v>69930</v>
      </c>
      <c r="P297" s="48" t="s">
        <v>20</v>
      </c>
    </row>
    <row r="298" spans="1:16" x14ac:dyDescent="0.25">
      <c r="A298" s="45" t="str">
        <f t="shared" si="13"/>
        <v>2025 OKT NOV B1 DISC  30%</v>
      </c>
      <c r="B298" s="46">
        <v>46104</v>
      </c>
      <c r="C298" s="46">
        <v>46113</v>
      </c>
      <c r="D298" s="47">
        <v>3273</v>
      </c>
      <c r="E298" s="47">
        <v>336</v>
      </c>
      <c r="F298" s="47">
        <v>4</v>
      </c>
      <c r="G298" s="45">
        <v>6</v>
      </c>
      <c r="H298" s="45">
        <v>81588</v>
      </c>
      <c r="I298" s="48" t="s">
        <v>17</v>
      </c>
      <c r="J298" s="45">
        <v>61619578</v>
      </c>
      <c r="K298" s="45" t="s">
        <v>3689</v>
      </c>
      <c r="L298" s="45" t="s">
        <v>3691</v>
      </c>
      <c r="M298" s="50">
        <v>99900</v>
      </c>
      <c r="N298" s="51">
        <f t="shared" si="14"/>
        <v>0.3</v>
      </c>
      <c r="O298" s="52">
        <f t="shared" si="12"/>
        <v>69930</v>
      </c>
      <c r="P298" s="48" t="s">
        <v>20</v>
      </c>
    </row>
    <row r="299" spans="1:16" x14ac:dyDescent="0.25">
      <c r="A299" s="45" t="str">
        <f t="shared" si="13"/>
        <v>2025 OKT NOV B1 DISC  30%</v>
      </c>
      <c r="B299" s="46">
        <v>46104</v>
      </c>
      <c r="C299" s="46">
        <v>46113</v>
      </c>
      <c r="D299" s="47">
        <v>3273</v>
      </c>
      <c r="E299" s="47">
        <v>336</v>
      </c>
      <c r="F299" s="47">
        <v>4</v>
      </c>
      <c r="G299" s="45">
        <v>6</v>
      </c>
      <c r="H299" s="45">
        <v>81588</v>
      </c>
      <c r="I299" s="48" t="s">
        <v>17</v>
      </c>
      <c r="J299" s="45">
        <v>61619587</v>
      </c>
      <c r="K299" s="45" t="s">
        <v>3689</v>
      </c>
      <c r="L299" s="45" t="s">
        <v>3692</v>
      </c>
      <c r="M299" s="50">
        <v>99900</v>
      </c>
      <c r="N299" s="51">
        <f t="shared" si="14"/>
        <v>0.3</v>
      </c>
      <c r="O299" s="52">
        <f t="shared" si="12"/>
        <v>69930</v>
      </c>
      <c r="P299" s="48" t="s">
        <v>20</v>
      </c>
    </row>
    <row r="300" spans="1:16" x14ac:dyDescent="0.25">
      <c r="A300" s="45" t="str">
        <f t="shared" si="13"/>
        <v>2025 OKT NOV B1 DISC  30%</v>
      </c>
      <c r="B300" s="46">
        <v>46104</v>
      </c>
      <c r="C300" s="46">
        <v>46113</v>
      </c>
      <c r="D300" s="47">
        <v>3273</v>
      </c>
      <c r="E300" s="47">
        <v>336</v>
      </c>
      <c r="F300" s="47">
        <v>4</v>
      </c>
      <c r="G300" s="45">
        <v>6</v>
      </c>
      <c r="H300" s="45">
        <v>81588</v>
      </c>
      <c r="I300" s="48" t="s">
        <v>17</v>
      </c>
      <c r="J300" s="45">
        <v>61619596</v>
      </c>
      <c r="K300" s="45" t="s">
        <v>3689</v>
      </c>
      <c r="L300" s="45" t="s">
        <v>3693</v>
      </c>
      <c r="M300" s="50">
        <v>99900</v>
      </c>
      <c r="N300" s="51">
        <f t="shared" si="14"/>
        <v>0.3</v>
      </c>
      <c r="O300" s="52">
        <f t="shared" si="12"/>
        <v>69930</v>
      </c>
      <c r="P300" s="48" t="s">
        <v>20</v>
      </c>
    </row>
    <row r="301" spans="1:16" x14ac:dyDescent="0.25">
      <c r="A301" s="45" t="str">
        <f t="shared" si="13"/>
        <v>2025 OKT NOV B1 DISC  30%</v>
      </c>
      <c r="B301" s="46">
        <v>46104</v>
      </c>
      <c r="C301" s="46">
        <v>46113</v>
      </c>
      <c r="D301" s="47">
        <v>3273</v>
      </c>
      <c r="E301" s="47">
        <v>336</v>
      </c>
      <c r="F301" s="47">
        <v>4</v>
      </c>
      <c r="G301" s="45">
        <v>6</v>
      </c>
      <c r="H301" s="45">
        <v>81588</v>
      </c>
      <c r="I301" s="48" t="s">
        <v>17</v>
      </c>
      <c r="J301" s="45">
        <v>61619603</v>
      </c>
      <c r="K301" s="45" t="s">
        <v>3689</v>
      </c>
      <c r="L301" s="45" t="s">
        <v>3694</v>
      </c>
      <c r="M301" s="50">
        <v>99900</v>
      </c>
      <c r="N301" s="51">
        <f t="shared" si="14"/>
        <v>0.3</v>
      </c>
      <c r="O301" s="52">
        <f t="shared" si="12"/>
        <v>69930</v>
      </c>
      <c r="P301" s="48" t="s">
        <v>20</v>
      </c>
    </row>
    <row r="302" spans="1:16" x14ac:dyDescent="0.25">
      <c r="A302" s="45" t="str">
        <f t="shared" si="13"/>
        <v>2025 OKT NOV B1 DISC  30%</v>
      </c>
      <c r="B302" s="46">
        <v>46104</v>
      </c>
      <c r="C302" s="46">
        <v>46113</v>
      </c>
      <c r="D302" s="47">
        <v>3273</v>
      </c>
      <c r="E302" s="47">
        <v>336</v>
      </c>
      <c r="F302" s="47">
        <v>4</v>
      </c>
      <c r="G302" s="45">
        <v>6</v>
      </c>
      <c r="H302" s="45">
        <v>81588</v>
      </c>
      <c r="I302" s="48" t="s">
        <v>17</v>
      </c>
      <c r="J302" s="45">
        <v>61619612</v>
      </c>
      <c r="K302" s="45" t="s">
        <v>3689</v>
      </c>
      <c r="L302" s="45" t="s">
        <v>3695</v>
      </c>
      <c r="M302" s="50">
        <v>99900</v>
      </c>
      <c r="N302" s="51">
        <f t="shared" si="14"/>
        <v>0.3</v>
      </c>
      <c r="O302" s="52">
        <f t="shared" si="12"/>
        <v>69930</v>
      </c>
      <c r="P302" s="48" t="s">
        <v>20</v>
      </c>
    </row>
    <row r="303" spans="1:16" x14ac:dyDescent="0.25">
      <c r="A303" s="45" t="str">
        <f t="shared" si="13"/>
        <v>2025 OKT NOV B1 DISC  30%</v>
      </c>
      <c r="B303" s="46">
        <v>46104</v>
      </c>
      <c r="C303" s="46">
        <v>46113</v>
      </c>
      <c r="D303" s="47">
        <v>3273</v>
      </c>
      <c r="E303" s="47">
        <v>336</v>
      </c>
      <c r="F303" s="47">
        <v>4</v>
      </c>
      <c r="G303" s="45">
        <v>6</v>
      </c>
      <c r="H303" s="45">
        <v>81588</v>
      </c>
      <c r="I303" s="48" t="s">
        <v>17</v>
      </c>
      <c r="J303" s="45">
        <v>61619621</v>
      </c>
      <c r="K303" s="45" t="s">
        <v>3689</v>
      </c>
      <c r="L303" s="45" t="s">
        <v>3696</v>
      </c>
      <c r="M303" s="50">
        <v>99900</v>
      </c>
      <c r="N303" s="51">
        <f t="shared" si="14"/>
        <v>0.3</v>
      </c>
      <c r="O303" s="52">
        <f t="shared" si="12"/>
        <v>69930</v>
      </c>
      <c r="P303" s="48" t="s">
        <v>20</v>
      </c>
    </row>
    <row r="304" spans="1:16" x14ac:dyDescent="0.25">
      <c r="A304" s="45" t="str">
        <f t="shared" si="13"/>
        <v>2025 OKT NOV B1 DISC  30%</v>
      </c>
      <c r="B304" s="46">
        <v>46104</v>
      </c>
      <c r="C304" s="46">
        <v>46113</v>
      </c>
      <c r="D304" s="47">
        <v>3273</v>
      </c>
      <c r="E304" s="47">
        <v>336</v>
      </c>
      <c r="F304" s="47">
        <v>4</v>
      </c>
      <c r="G304" s="45">
        <v>6</v>
      </c>
      <c r="H304" s="45">
        <v>81588</v>
      </c>
      <c r="I304" s="48" t="s">
        <v>17</v>
      </c>
      <c r="J304" s="45">
        <v>61619630</v>
      </c>
      <c r="K304" s="45" t="s">
        <v>3697</v>
      </c>
      <c r="L304" s="45" t="s">
        <v>3698</v>
      </c>
      <c r="M304" s="50">
        <v>99900</v>
      </c>
      <c r="N304" s="51">
        <f t="shared" si="14"/>
        <v>0.3</v>
      </c>
      <c r="O304" s="52">
        <f t="shared" si="12"/>
        <v>69930</v>
      </c>
      <c r="P304" s="48" t="s">
        <v>20</v>
      </c>
    </row>
    <row r="305" spans="1:16" x14ac:dyDescent="0.25">
      <c r="A305" s="45" t="str">
        <f t="shared" si="13"/>
        <v>2025 OKT NOV B1 DISC  30%</v>
      </c>
      <c r="B305" s="46">
        <v>46104</v>
      </c>
      <c r="C305" s="46">
        <v>46113</v>
      </c>
      <c r="D305" s="47">
        <v>3273</v>
      </c>
      <c r="E305" s="47">
        <v>336</v>
      </c>
      <c r="F305" s="47">
        <v>4</v>
      </c>
      <c r="G305" s="45">
        <v>6</v>
      </c>
      <c r="H305" s="45">
        <v>81588</v>
      </c>
      <c r="I305" s="48" t="s">
        <v>17</v>
      </c>
      <c r="J305" s="45">
        <v>61619649</v>
      </c>
      <c r="K305" s="45" t="s">
        <v>3697</v>
      </c>
      <c r="L305" s="45" t="s">
        <v>3699</v>
      </c>
      <c r="M305" s="50">
        <v>99900</v>
      </c>
      <c r="N305" s="51">
        <f t="shared" si="14"/>
        <v>0.3</v>
      </c>
      <c r="O305" s="52">
        <f t="shared" si="12"/>
        <v>69930</v>
      </c>
      <c r="P305" s="48" t="s">
        <v>20</v>
      </c>
    </row>
    <row r="306" spans="1:16" x14ac:dyDescent="0.25">
      <c r="A306" s="45" t="str">
        <f t="shared" si="13"/>
        <v>2025 OKT NOV B1 DISC  30%</v>
      </c>
      <c r="B306" s="46">
        <v>46104</v>
      </c>
      <c r="C306" s="46">
        <v>46113</v>
      </c>
      <c r="D306" s="47">
        <v>3273</v>
      </c>
      <c r="E306" s="47">
        <v>336</v>
      </c>
      <c r="F306" s="47">
        <v>4</v>
      </c>
      <c r="G306" s="45">
        <v>6</v>
      </c>
      <c r="H306" s="45">
        <v>81588</v>
      </c>
      <c r="I306" s="48" t="s">
        <v>17</v>
      </c>
      <c r="J306" s="45">
        <v>61619658</v>
      </c>
      <c r="K306" s="45" t="s">
        <v>3697</v>
      </c>
      <c r="L306" s="45" t="s">
        <v>3700</v>
      </c>
      <c r="M306" s="50">
        <v>99900</v>
      </c>
      <c r="N306" s="51">
        <f t="shared" si="14"/>
        <v>0.3</v>
      </c>
      <c r="O306" s="52">
        <f t="shared" si="12"/>
        <v>69930</v>
      </c>
      <c r="P306" s="48" t="s">
        <v>20</v>
      </c>
    </row>
    <row r="307" spans="1:16" x14ac:dyDescent="0.25">
      <c r="A307" s="45" t="str">
        <f t="shared" si="13"/>
        <v>2025 OKT NOV B1 DISC  30%</v>
      </c>
      <c r="B307" s="46">
        <v>46104</v>
      </c>
      <c r="C307" s="46">
        <v>46113</v>
      </c>
      <c r="D307" s="47">
        <v>3273</v>
      </c>
      <c r="E307" s="47">
        <v>336</v>
      </c>
      <c r="F307" s="47">
        <v>4</v>
      </c>
      <c r="G307" s="45">
        <v>6</v>
      </c>
      <c r="H307" s="45">
        <v>81588</v>
      </c>
      <c r="I307" s="48" t="s">
        <v>17</v>
      </c>
      <c r="J307" s="45">
        <v>61619667</v>
      </c>
      <c r="K307" s="45" t="s">
        <v>3697</v>
      </c>
      <c r="L307" s="45" t="s">
        <v>3701</v>
      </c>
      <c r="M307" s="50">
        <v>99900</v>
      </c>
      <c r="N307" s="51">
        <f t="shared" si="14"/>
        <v>0.3</v>
      </c>
      <c r="O307" s="52">
        <f t="shared" si="12"/>
        <v>69930</v>
      </c>
      <c r="P307" s="48" t="s">
        <v>20</v>
      </c>
    </row>
    <row r="308" spans="1:16" x14ac:dyDescent="0.25">
      <c r="A308" s="45" t="str">
        <f t="shared" si="13"/>
        <v>2025 OKT NOV B1 DISC  30%</v>
      </c>
      <c r="B308" s="46">
        <v>46104</v>
      </c>
      <c r="C308" s="46">
        <v>46113</v>
      </c>
      <c r="D308" s="47">
        <v>3273</v>
      </c>
      <c r="E308" s="47">
        <v>336</v>
      </c>
      <c r="F308" s="47">
        <v>4</v>
      </c>
      <c r="G308" s="45">
        <v>6</v>
      </c>
      <c r="H308" s="45">
        <v>81588</v>
      </c>
      <c r="I308" s="48" t="s">
        <v>17</v>
      </c>
      <c r="J308" s="45">
        <v>61619676</v>
      </c>
      <c r="K308" s="45" t="s">
        <v>3697</v>
      </c>
      <c r="L308" s="45" t="s">
        <v>3702</v>
      </c>
      <c r="M308" s="50">
        <v>99900</v>
      </c>
      <c r="N308" s="51">
        <f t="shared" si="14"/>
        <v>0.3</v>
      </c>
      <c r="O308" s="52">
        <f t="shared" si="12"/>
        <v>69930</v>
      </c>
      <c r="P308" s="48" t="s">
        <v>20</v>
      </c>
    </row>
    <row r="309" spans="1:16" x14ac:dyDescent="0.25">
      <c r="A309" s="45" t="str">
        <f t="shared" si="13"/>
        <v>2025 OKT NOV B1 DISC  30%</v>
      </c>
      <c r="B309" s="46">
        <v>46104</v>
      </c>
      <c r="C309" s="46">
        <v>46113</v>
      </c>
      <c r="D309" s="47">
        <v>3273</v>
      </c>
      <c r="E309" s="47">
        <v>336</v>
      </c>
      <c r="F309" s="47">
        <v>4</v>
      </c>
      <c r="G309" s="45">
        <v>6</v>
      </c>
      <c r="H309" s="45">
        <v>81588</v>
      </c>
      <c r="I309" s="48" t="s">
        <v>17</v>
      </c>
      <c r="J309" s="45">
        <v>61619685</v>
      </c>
      <c r="K309" s="45" t="s">
        <v>3697</v>
      </c>
      <c r="L309" s="45" t="s">
        <v>3703</v>
      </c>
      <c r="M309" s="50">
        <v>99900</v>
      </c>
      <c r="N309" s="51">
        <f t="shared" si="14"/>
        <v>0.3</v>
      </c>
      <c r="O309" s="52">
        <f t="shared" si="12"/>
        <v>69930</v>
      </c>
      <c r="P309" s="48" t="s">
        <v>20</v>
      </c>
    </row>
    <row r="310" spans="1:16" x14ac:dyDescent="0.25">
      <c r="A310" s="45" t="str">
        <f t="shared" si="13"/>
        <v>2025 OKT NOV B1 DISC  30%</v>
      </c>
      <c r="B310" s="46">
        <v>46104</v>
      </c>
      <c r="C310" s="46">
        <v>46113</v>
      </c>
      <c r="D310" s="47">
        <v>3273</v>
      </c>
      <c r="E310" s="47">
        <v>336</v>
      </c>
      <c r="F310" s="47">
        <v>4</v>
      </c>
      <c r="G310" s="45">
        <v>6</v>
      </c>
      <c r="H310" s="45">
        <v>81588</v>
      </c>
      <c r="I310" s="48" t="s">
        <v>17</v>
      </c>
      <c r="J310" s="45">
        <v>61619694</v>
      </c>
      <c r="K310" s="45" t="s">
        <v>3697</v>
      </c>
      <c r="L310" s="45" t="s">
        <v>3704</v>
      </c>
      <c r="M310" s="50">
        <v>99900</v>
      </c>
      <c r="N310" s="51">
        <f t="shared" si="14"/>
        <v>0.3</v>
      </c>
      <c r="O310" s="52">
        <f t="shared" si="12"/>
        <v>69930</v>
      </c>
      <c r="P310" s="48" t="s">
        <v>20</v>
      </c>
    </row>
    <row r="311" spans="1:16" x14ac:dyDescent="0.25">
      <c r="A311" s="45" t="str">
        <f t="shared" si="13"/>
        <v>2025 OKT NOV B1 DISC  30%</v>
      </c>
      <c r="B311" s="46">
        <v>46104</v>
      </c>
      <c r="C311" s="46">
        <v>46113</v>
      </c>
      <c r="D311" s="47">
        <v>3273</v>
      </c>
      <c r="E311" s="47">
        <v>336</v>
      </c>
      <c r="F311" s="47">
        <v>4</v>
      </c>
      <c r="G311" s="45">
        <v>6</v>
      </c>
      <c r="H311" s="45">
        <v>81588</v>
      </c>
      <c r="I311" s="48" t="s">
        <v>17</v>
      </c>
      <c r="J311" s="45">
        <v>61619701</v>
      </c>
      <c r="K311" s="45" t="s">
        <v>3705</v>
      </c>
      <c r="L311" s="45" t="s">
        <v>3706</v>
      </c>
      <c r="M311" s="50">
        <v>99900</v>
      </c>
      <c r="N311" s="51">
        <f t="shared" si="14"/>
        <v>0.3</v>
      </c>
      <c r="O311" s="52">
        <f t="shared" si="12"/>
        <v>69930</v>
      </c>
      <c r="P311" s="48" t="s">
        <v>20</v>
      </c>
    </row>
    <row r="312" spans="1:16" x14ac:dyDescent="0.25">
      <c r="A312" s="45" t="str">
        <f t="shared" si="13"/>
        <v>2025 OKT NOV B1 DISC  30%</v>
      </c>
      <c r="B312" s="46">
        <v>46104</v>
      </c>
      <c r="C312" s="46">
        <v>46113</v>
      </c>
      <c r="D312" s="47">
        <v>3273</v>
      </c>
      <c r="E312" s="47">
        <v>336</v>
      </c>
      <c r="F312" s="47">
        <v>4</v>
      </c>
      <c r="G312" s="45">
        <v>6</v>
      </c>
      <c r="H312" s="45">
        <v>81588</v>
      </c>
      <c r="I312" s="48" t="s">
        <v>17</v>
      </c>
      <c r="J312" s="45">
        <v>61619710</v>
      </c>
      <c r="K312" s="45" t="s">
        <v>3705</v>
      </c>
      <c r="L312" s="45" t="s">
        <v>3707</v>
      </c>
      <c r="M312" s="50">
        <v>99900</v>
      </c>
      <c r="N312" s="51">
        <f t="shared" si="14"/>
        <v>0.3</v>
      </c>
      <c r="O312" s="52">
        <f t="shared" si="12"/>
        <v>69930</v>
      </c>
      <c r="P312" s="48" t="s">
        <v>20</v>
      </c>
    </row>
    <row r="313" spans="1:16" x14ac:dyDescent="0.25">
      <c r="A313" s="45" t="str">
        <f t="shared" si="13"/>
        <v>2025 OKT NOV B1 DISC  30%</v>
      </c>
      <c r="B313" s="46">
        <v>46104</v>
      </c>
      <c r="C313" s="46">
        <v>46113</v>
      </c>
      <c r="D313" s="47">
        <v>3273</v>
      </c>
      <c r="E313" s="47">
        <v>336</v>
      </c>
      <c r="F313" s="47">
        <v>4</v>
      </c>
      <c r="G313" s="45">
        <v>6</v>
      </c>
      <c r="H313" s="45">
        <v>81588</v>
      </c>
      <c r="I313" s="48" t="s">
        <v>17</v>
      </c>
      <c r="J313" s="45">
        <v>61619729</v>
      </c>
      <c r="K313" s="45" t="s">
        <v>3705</v>
      </c>
      <c r="L313" s="45" t="s">
        <v>3708</v>
      </c>
      <c r="M313" s="50">
        <v>99900</v>
      </c>
      <c r="N313" s="51">
        <f t="shared" si="14"/>
        <v>0.3</v>
      </c>
      <c r="O313" s="52">
        <f t="shared" si="12"/>
        <v>69930</v>
      </c>
      <c r="P313" s="48" t="s">
        <v>20</v>
      </c>
    </row>
    <row r="314" spans="1:16" x14ac:dyDescent="0.25">
      <c r="A314" s="45" t="str">
        <f t="shared" si="13"/>
        <v>2025 OKT NOV B1 DISC  30%</v>
      </c>
      <c r="B314" s="46">
        <v>46104</v>
      </c>
      <c r="C314" s="46">
        <v>46113</v>
      </c>
      <c r="D314" s="47">
        <v>3273</v>
      </c>
      <c r="E314" s="47">
        <v>336</v>
      </c>
      <c r="F314" s="47">
        <v>4</v>
      </c>
      <c r="G314" s="45">
        <v>6</v>
      </c>
      <c r="H314" s="45">
        <v>81588</v>
      </c>
      <c r="I314" s="48" t="s">
        <v>17</v>
      </c>
      <c r="J314" s="45">
        <v>61619738</v>
      </c>
      <c r="K314" s="45" t="s">
        <v>3705</v>
      </c>
      <c r="L314" s="45" t="s">
        <v>3709</v>
      </c>
      <c r="M314" s="50">
        <v>99900</v>
      </c>
      <c r="N314" s="51">
        <f t="shared" si="14"/>
        <v>0.3</v>
      </c>
      <c r="O314" s="52">
        <f t="shared" si="12"/>
        <v>69930</v>
      </c>
      <c r="P314" s="48" t="s">
        <v>20</v>
      </c>
    </row>
    <row r="315" spans="1:16" x14ac:dyDescent="0.25">
      <c r="A315" s="45" t="str">
        <f t="shared" si="13"/>
        <v>2025 OKT NOV B1 DISC  30%</v>
      </c>
      <c r="B315" s="46">
        <v>46104</v>
      </c>
      <c r="C315" s="46">
        <v>46113</v>
      </c>
      <c r="D315" s="47">
        <v>3273</v>
      </c>
      <c r="E315" s="47">
        <v>336</v>
      </c>
      <c r="F315" s="47">
        <v>4</v>
      </c>
      <c r="G315" s="45">
        <v>6</v>
      </c>
      <c r="H315" s="45">
        <v>81588</v>
      </c>
      <c r="I315" s="48" t="s">
        <v>17</v>
      </c>
      <c r="J315" s="45">
        <v>61619747</v>
      </c>
      <c r="K315" s="45" t="s">
        <v>3705</v>
      </c>
      <c r="L315" s="45" t="s">
        <v>3710</v>
      </c>
      <c r="M315" s="50">
        <v>99900</v>
      </c>
      <c r="N315" s="51">
        <f t="shared" si="14"/>
        <v>0.3</v>
      </c>
      <c r="O315" s="52">
        <f t="shared" si="12"/>
        <v>69930</v>
      </c>
      <c r="P315" s="48" t="s">
        <v>20</v>
      </c>
    </row>
    <row r="316" spans="1:16" x14ac:dyDescent="0.25">
      <c r="A316" s="45" t="str">
        <f t="shared" si="13"/>
        <v>2025 OKT NOV B1 DISC  30%</v>
      </c>
      <c r="B316" s="46">
        <v>46104</v>
      </c>
      <c r="C316" s="46">
        <v>46113</v>
      </c>
      <c r="D316" s="47">
        <v>3273</v>
      </c>
      <c r="E316" s="47">
        <v>336</v>
      </c>
      <c r="F316" s="47">
        <v>4</v>
      </c>
      <c r="G316" s="45">
        <v>6</v>
      </c>
      <c r="H316" s="45">
        <v>81588</v>
      </c>
      <c r="I316" s="48" t="s">
        <v>17</v>
      </c>
      <c r="J316" s="45">
        <v>61619756</v>
      </c>
      <c r="K316" s="45" t="s">
        <v>3705</v>
      </c>
      <c r="L316" s="45" t="s">
        <v>3711</v>
      </c>
      <c r="M316" s="50">
        <v>99900</v>
      </c>
      <c r="N316" s="51">
        <f t="shared" si="14"/>
        <v>0.3</v>
      </c>
      <c r="O316" s="52">
        <f t="shared" si="12"/>
        <v>69930</v>
      </c>
      <c r="P316" s="48" t="s">
        <v>20</v>
      </c>
    </row>
    <row r="317" spans="1:16" x14ac:dyDescent="0.25">
      <c r="A317" s="45" t="str">
        <f t="shared" si="13"/>
        <v>2025 OKT NOV B1 DISC  30%</v>
      </c>
      <c r="B317" s="46">
        <v>46104</v>
      </c>
      <c r="C317" s="46">
        <v>46113</v>
      </c>
      <c r="D317" s="47">
        <v>3273</v>
      </c>
      <c r="E317" s="47">
        <v>336</v>
      </c>
      <c r="F317" s="47">
        <v>4</v>
      </c>
      <c r="G317" s="45">
        <v>6</v>
      </c>
      <c r="H317" s="45">
        <v>81588</v>
      </c>
      <c r="I317" s="48" t="s">
        <v>17</v>
      </c>
      <c r="J317" s="45">
        <v>61619765</v>
      </c>
      <c r="K317" s="45" t="s">
        <v>3705</v>
      </c>
      <c r="L317" s="45" t="s">
        <v>3712</v>
      </c>
      <c r="M317" s="50">
        <v>99900</v>
      </c>
      <c r="N317" s="51">
        <f t="shared" si="14"/>
        <v>0.3</v>
      </c>
      <c r="O317" s="52">
        <f t="shared" si="12"/>
        <v>69930</v>
      </c>
      <c r="P317" s="48" t="s">
        <v>20</v>
      </c>
    </row>
    <row r="318" spans="1:16" x14ac:dyDescent="0.25">
      <c r="A318" s="45" t="str">
        <f t="shared" si="13"/>
        <v>2025 OKT NOV B1 DISC  30%</v>
      </c>
      <c r="B318" s="46">
        <v>46104</v>
      </c>
      <c r="C318" s="46">
        <v>46113</v>
      </c>
      <c r="D318" s="47">
        <v>3273</v>
      </c>
      <c r="E318" s="47">
        <v>336</v>
      </c>
      <c r="F318" s="47">
        <v>4</v>
      </c>
      <c r="G318" s="45">
        <v>6</v>
      </c>
      <c r="H318" s="45">
        <v>81588</v>
      </c>
      <c r="I318" s="48" t="s">
        <v>17</v>
      </c>
      <c r="J318" s="45">
        <v>61619774</v>
      </c>
      <c r="K318" s="45" t="s">
        <v>3713</v>
      </c>
      <c r="L318" s="45" t="s">
        <v>3714</v>
      </c>
      <c r="M318" s="50">
        <v>99900</v>
      </c>
      <c r="N318" s="51">
        <f t="shared" si="14"/>
        <v>0.3</v>
      </c>
      <c r="O318" s="52">
        <f t="shared" si="12"/>
        <v>69930</v>
      </c>
      <c r="P318" s="48" t="s">
        <v>20</v>
      </c>
    </row>
    <row r="319" spans="1:16" x14ac:dyDescent="0.25">
      <c r="A319" s="45" t="str">
        <f t="shared" si="13"/>
        <v>2025 OKT NOV B1 DISC  30%</v>
      </c>
      <c r="B319" s="46">
        <v>46104</v>
      </c>
      <c r="C319" s="46">
        <v>46113</v>
      </c>
      <c r="D319" s="47">
        <v>3273</v>
      </c>
      <c r="E319" s="47">
        <v>336</v>
      </c>
      <c r="F319" s="47">
        <v>4</v>
      </c>
      <c r="G319" s="45">
        <v>6</v>
      </c>
      <c r="H319" s="45">
        <v>81588</v>
      </c>
      <c r="I319" s="48" t="s">
        <v>17</v>
      </c>
      <c r="J319" s="45">
        <v>61619783</v>
      </c>
      <c r="K319" s="45" t="s">
        <v>3713</v>
      </c>
      <c r="L319" s="45" t="s">
        <v>3715</v>
      </c>
      <c r="M319" s="50">
        <v>99900</v>
      </c>
      <c r="N319" s="51">
        <f t="shared" si="14"/>
        <v>0.3</v>
      </c>
      <c r="O319" s="52">
        <f t="shared" si="12"/>
        <v>69930</v>
      </c>
      <c r="P319" s="48" t="s">
        <v>20</v>
      </c>
    </row>
    <row r="320" spans="1:16" x14ac:dyDescent="0.25">
      <c r="A320" s="45" t="str">
        <f t="shared" si="13"/>
        <v>2025 OKT NOV B1 DISC  30%</v>
      </c>
      <c r="B320" s="46">
        <v>46104</v>
      </c>
      <c r="C320" s="46">
        <v>46113</v>
      </c>
      <c r="D320" s="47">
        <v>3273</v>
      </c>
      <c r="E320" s="47">
        <v>336</v>
      </c>
      <c r="F320" s="47">
        <v>4</v>
      </c>
      <c r="G320" s="45">
        <v>6</v>
      </c>
      <c r="H320" s="45">
        <v>81588</v>
      </c>
      <c r="I320" s="48" t="s">
        <v>17</v>
      </c>
      <c r="J320" s="45">
        <v>61619792</v>
      </c>
      <c r="K320" s="45" t="s">
        <v>3713</v>
      </c>
      <c r="L320" s="45" t="s">
        <v>3716</v>
      </c>
      <c r="M320" s="50">
        <v>99900</v>
      </c>
      <c r="N320" s="51">
        <f t="shared" si="14"/>
        <v>0.3</v>
      </c>
      <c r="O320" s="52">
        <f t="shared" si="12"/>
        <v>69930</v>
      </c>
      <c r="P320" s="48" t="s">
        <v>20</v>
      </c>
    </row>
    <row r="321" spans="1:16" x14ac:dyDescent="0.25">
      <c r="A321" s="45" t="str">
        <f t="shared" si="13"/>
        <v>2025 OKT NOV B1 DISC  30%</v>
      </c>
      <c r="B321" s="46">
        <v>46104</v>
      </c>
      <c r="C321" s="46">
        <v>46113</v>
      </c>
      <c r="D321" s="47">
        <v>3273</v>
      </c>
      <c r="E321" s="47">
        <v>336</v>
      </c>
      <c r="F321" s="47">
        <v>4</v>
      </c>
      <c r="G321" s="45">
        <v>6</v>
      </c>
      <c r="H321" s="45">
        <v>81588</v>
      </c>
      <c r="I321" s="48" t="s">
        <v>17</v>
      </c>
      <c r="J321" s="45">
        <v>61619809</v>
      </c>
      <c r="K321" s="45" t="s">
        <v>3713</v>
      </c>
      <c r="L321" s="45" t="s">
        <v>3717</v>
      </c>
      <c r="M321" s="50">
        <v>99900</v>
      </c>
      <c r="N321" s="51">
        <f t="shared" si="14"/>
        <v>0.3</v>
      </c>
      <c r="O321" s="52">
        <f t="shared" si="12"/>
        <v>69930</v>
      </c>
      <c r="P321" s="48" t="s">
        <v>20</v>
      </c>
    </row>
    <row r="322" spans="1:16" x14ac:dyDescent="0.25">
      <c r="A322" s="45" t="str">
        <f t="shared" si="13"/>
        <v>2025 OKT NOV B1 DISC  30%</v>
      </c>
      <c r="B322" s="46">
        <v>46104</v>
      </c>
      <c r="C322" s="46">
        <v>46113</v>
      </c>
      <c r="D322" s="47">
        <v>3273</v>
      </c>
      <c r="E322" s="47">
        <v>336</v>
      </c>
      <c r="F322" s="47">
        <v>4</v>
      </c>
      <c r="G322" s="45">
        <v>6</v>
      </c>
      <c r="H322" s="45">
        <v>81588</v>
      </c>
      <c r="I322" s="48" t="s">
        <v>17</v>
      </c>
      <c r="J322" s="45">
        <v>61619818</v>
      </c>
      <c r="K322" s="45" t="s">
        <v>3718</v>
      </c>
      <c r="L322" s="45" t="s">
        <v>3719</v>
      </c>
      <c r="M322" s="50">
        <v>99900</v>
      </c>
      <c r="N322" s="51">
        <f t="shared" si="14"/>
        <v>0.3</v>
      </c>
      <c r="O322" s="52">
        <f t="shared" si="12"/>
        <v>69930</v>
      </c>
      <c r="P322" s="48" t="s">
        <v>20</v>
      </c>
    </row>
    <row r="323" spans="1:16" x14ac:dyDescent="0.25">
      <c r="A323" s="45" t="str">
        <f t="shared" si="13"/>
        <v>2025 OKT NOV B1 DISC  30%</v>
      </c>
      <c r="B323" s="46">
        <v>46104</v>
      </c>
      <c r="C323" s="46">
        <v>46113</v>
      </c>
      <c r="D323" s="47">
        <v>3273</v>
      </c>
      <c r="E323" s="47">
        <v>336</v>
      </c>
      <c r="F323" s="47">
        <v>4</v>
      </c>
      <c r="G323" s="45">
        <v>6</v>
      </c>
      <c r="H323" s="45">
        <v>81588</v>
      </c>
      <c r="I323" s="48" t="s">
        <v>17</v>
      </c>
      <c r="J323" s="45">
        <v>61619827</v>
      </c>
      <c r="K323" s="45" t="s">
        <v>3718</v>
      </c>
      <c r="L323" s="45" t="s">
        <v>3720</v>
      </c>
      <c r="M323" s="50">
        <v>99900</v>
      </c>
      <c r="N323" s="51">
        <f t="shared" si="14"/>
        <v>0.3</v>
      </c>
      <c r="O323" s="52">
        <f t="shared" ref="O323:O386" si="15">M323-((30*M323)/100)</f>
        <v>69930</v>
      </c>
      <c r="P323" s="48" t="s">
        <v>20</v>
      </c>
    </row>
    <row r="324" spans="1:16" x14ac:dyDescent="0.25">
      <c r="A324" s="45" t="str">
        <f t="shared" ref="A324:A387" si="16">A323</f>
        <v>2025 OKT NOV B1 DISC  30%</v>
      </c>
      <c r="B324" s="46">
        <v>46104</v>
      </c>
      <c r="C324" s="46">
        <v>46113</v>
      </c>
      <c r="D324" s="47">
        <v>3273</v>
      </c>
      <c r="E324" s="47">
        <v>336</v>
      </c>
      <c r="F324" s="47">
        <v>4</v>
      </c>
      <c r="G324" s="45">
        <v>6</v>
      </c>
      <c r="H324" s="45">
        <v>81588</v>
      </c>
      <c r="I324" s="48" t="s">
        <v>17</v>
      </c>
      <c r="J324" s="45">
        <v>61619836</v>
      </c>
      <c r="K324" s="45" t="s">
        <v>3718</v>
      </c>
      <c r="L324" s="45" t="s">
        <v>3721</v>
      </c>
      <c r="M324" s="50">
        <v>99900</v>
      </c>
      <c r="N324" s="51">
        <f t="shared" ref="N324:N387" si="17">N323</f>
        <v>0.3</v>
      </c>
      <c r="O324" s="52">
        <f t="shared" si="15"/>
        <v>69930</v>
      </c>
      <c r="P324" s="48" t="s">
        <v>20</v>
      </c>
    </row>
    <row r="325" spans="1:16" x14ac:dyDescent="0.25">
      <c r="A325" s="45" t="str">
        <f t="shared" si="16"/>
        <v>2025 OKT NOV B1 DISC  30%</v>
      </c>
      <c r="B325" s="46">
        <v>46104</v>
      </c>
      <c r="C325" s="46">
        <v>46113</v>
      </c>
      <c r="D325" s="47">
        <v>3273</v>
      </c>
      <c r="E325" s="47">
        <v>336</v>
      </c>
      <c r="F325" s="47">
        <v>4</v>
      </c>
      <c r="G325" s="45">
        <v>6</v>
      </c>
      <c r="H325" s="45">
        <v>81588</v>
      </c>
      <c r="I325" s="48" t="s">
        <v>17</v>
      </c>
      <c r="J325" s="45">
        <v>61619845</v>
      </c>
      <c r="K325" s="45" t="s">
        <v>3718</v>
      </c>
      <c r="L325" s="45" t="s">
        <v>3722</v>
      </c>
      <c r="M325" s="50">
        <v>99900</v>
      </c>
      <c r="N325" s="51">
        <f t="shared" si="17"/>
        <v>0.3</v>
      </c>
      <c r="O325" s="52">
        <f t="shared" si="15"/>
        <v>69930</v>
      </c>
      <c r="P325" s="48" t="s">
        <v>20</v>
      </c>
    </row>
    <row r="326" spans="1:16" x14ac:dyDescent="0.25">
      <c r="A326" s="45" t="str">
        <f t="shared" si="16"/>
        <v>2025 OKT NOV B1 DISC  30%</v>
      </c>
      <c r="B326" s="46">
        <v>46104</v>
      </c>
      <c r="C326" s="46">
        <v>46113</v>
      </c>
      <c r="D326" s="47">
        <v>3273</v>
      </c>
      <c r="E326" s="47">
        <v>336</v>
      </c>
      <c r="F326" s="47">
        <v>4</v>
      </c>
      <c r="G326" s="45">
        <v>6</v>
      </c>
      <c r="H326" s="45">
        <v>81588</v>
      </c>
      <c r="I326" s="48" t="s">
        <v>17</v>
      </c>
      <c r="J326" s="45">
        <v>61619854</v>
      </c>
      <c r="K326" s="45" t="s">
        <v>3718</v>
      </c>
      <c r="L326" s="45" t="s">
        <v>3723</v>
      </c>
      <c r="M326" s="50">
        <v>99900</v>
      </c>
      <c r="N326" s="51">
        <f t="shared" si="17"/>
        <v>0.3</v>
      </c>
      <c r="O326" s="52">
        <f t="shared" si="15"/>
        <v>69930</v>
      </c>
      <c r="P326" s="48" t="s">
        <v>20</v>
      </c>
    </row>
    <row r="327" spans="1:16" x14ac:dyDescent="0.25">
      <c r="A327" s="45" t="str">
        <f t="shared" si="16"/>
        <v>2025 OKT NOV B1 DISC  30%</v>
      </c>
      <c r="B327" s="46">
        <v>46104</v>
      </c>
      <c r="C327" s="46">
        <v>46113</v>
      </c>
      <c r="D327" s="47">
        <v>3273</v>
      </c>
      <c r="E327" s="47">
        <v>336</v>
      </c>
      <c r="F327" s="47">
        <v>4</v>
      </c>
      <c r="G327" s="45">
        <v>6</v>
      </c>
      <c r="H327" s="45">
        <v>81588</v>
      </c>
      <c r="I327" s="48" t="s">
        <v>17</v>
      </c>
      <c r="J327" s="45">
        <v>61619863</v>
      </c>
      <c r="K327" s="45" t="s">
        <v>3718</v>
      </c>
      <c r="L327" s="45" t="s">
        <v>3724</v>
      </c>
      <c r="M327" s="50">
        <v>99900</v>
      </c>
      <c r="N327" s="51">
        <f t="shared" si="17"/>
        <v>0.3</v>
      </c>
      <c r="O327" s="52">
        <f t="shared" si="15"/>
        <v>69930</v>
      </c>
      <c r="P327" s="48" t="s">
        <v>20</v>
      </c>
    </row>
    <row r="328" spans="1:16" x14ac:dyDescent="0.25">
      <c r="A328" s="45" t="str">
        <f t="shared" si="16"/>
        <v>2025 OKT NOV B1 DISC  30%</v>
      </c>
      <c r="B328" s="46">
        <v>46104</v>
      </c>
      <c r="C328" s="46">
        <v>46113</v>
      </c>
      <c r="D328" s="47">
        <v>3273</v>
      </c>
      <c r="E328" s="47">
        <v>336</v>
      </c>
      <c r="F328" s="47">
        <v>4</v>
      </c>
      <c r="G328" s="45">
        <v>6</v>
      </c>
      <c r="H328" s="45">
        <v>81588</v>
      </c>
      <c r="I328" s="48" t="s">
        <v>17</v>
      </c>
      <c r="J328" s="45">
        <v>61619872</v>
      </c>
      <c r="K328" s="45" t="s">
        <v>3718</v>
      </c>
      <c r="L328" s="45" t="s">
        <v>3725</v>
      </c>
      <c r="M328" s="50">
        <v>99900</v>
      </c>
      <c r="N328" s="51">
        <f t="shared" si="17"/>
        <v>0.3</v>
      </c>
      <c r="O328" s="52">
        <f t="shared" si="15"/>
        <v>69930</v>
      </c>
      <c r="P328" s="48" t="s">
        <v>20</v>
      </c>
    </row>
    <row r="329" spans="1:16" x14ac:dyDescent="0.25">
      <c r="A329" s="45" t="str">
        <f t="shared" si="16"/>
        <v>2025 OKT NOV B1 DISC  30%</v>
      </c>
      <c r="B329" s="46">
        <v>46104</v>
      </c>
      <c r="C329" s="46">
        <v>46113</v>
      </c>
      <c r="D329" s="47">
        <v>3273</v>
      </c>
      <c r="E329" s="47">
        <v>336</v>
      </c>
      <c r="F329" s="47">
        <v>4</v>
      </c>
      <c r="G329" s="45">
        <v>6</v>
      </c>
      <c r="H329" s="45">
        <v>81588</v>
      </c>
      <c r="I329" s="48" t="s">
        <v>17</v>
      </c>
      <c r="J329" s="45">
        <v>61619881</v>
      </c>
      <c r="K329" s="45" t="s">
        <v>3726</v>
      </c>
      <c r="L329" s="45" t="s">
        <v>3727</v>
      </c>
      <c r="M329" s="50">
        <v>99900</v>
      </c>
      <c r="N329" s="51">
        <f t="shared" si="17"/>
        <v>0.3</v>
      </c>
      <c r="O329" s="52">
        <f t="shared" si="15"/>
        <v>69930</v>
      </c>
      <c r="P329" s="48" t="s">
        <v>20</v>
      </c>
    </row>
    <row r="330" spans="1:16" x14ac:dyDescent="0.25">
      <c r="A330" s="45" t="str">
        <f t="shared" si="16"/>
        <v>2025 OKT NOV B1 DISC  30%</v>
      </c>
      <c r="B330" s="46">
        <v>46104</v>
      </c>
      <c r="C330" s="46">
        <v>46113</v>
      </c>
      <c r="D330" s="47">
        <v>3273</v>
      </c>
      <c r="E330" s="47">
        <v>336</v>
      </c>
      <c r="F330" s="47">
        <v>4</v>
      </c>
      <c r="G330" s="45">
        <v>6</v>
      </c>
      <c r="H330" s="45">
        <v>81588</v>
      </c>
      <c r="I330" s="48" t="s">
        <v>17</v>
      </c>
      <c r="J330" s="45">
        <v>61619890</v>
      </c>
      <c r="K330" s="45" t="s">
        <v>3726</v>
      </c>
      <c r="L330" s="45" t="s">
        <v>3728</v>
      </c>
      <c r="M330" s="50">
        <v>99900</v>
      </c>
      <c r="N330" s="51">
        <f t="shared" si="17"/>
        <v>0.3</v>
      </c>
      <c r="O330" s="52">
        <f t="shared" si="15"/>
        <v>69930</v>
      </c>
      <c r="P330" s="48" t="s">
        <v>20</v>
      </c>
    </row>
    <row r="331" spans="1:16" x14ac:dyDescent="0.25">
      <c r="A331" s="45" t="str">
        <f t="shared" si="16"/>
        <v>2025 OKT NOV B1 DISC  30%</v>
      </c>
      <c r="B331" s="46">
        <v>46104</v>
      </c>
      <c r="C331" s="46">
        <v>46113</v>
      </c>
      <c r="D331" s="47">
        <v>3273</v>
      </c>
      <c r="E331" s="47">
        <v>336</v>
      </c>
      <c r="F331" s="47">
        <v>4</v>
      </c>
      <c r="G331" s="45">
        <v>6</v>
      </c>
      <c r="H331" s="45">
        <v>81588</v>
      </c>
      <c r="I331" s="48" t="s">
        <v>17</v>
      </c>
      <c r="J331" s="45">
        <v>61619907</v>
      </c>
      <c r="K331" s="45" t="s">
        <v>3726</v>
      </c>
      <c r="L331" s="45" t="s">
        <v>3729</v>
      </c>
      <c r="M331" s="50">
        <v>99900</v>
      </c>
      <c r="N331" s="51">
        <f t="shared" si="17"/>
        <v>0.3</v>
      </c>
      <c r="O331" s="52">
        <f t="shared" si="15"/>
        <v>69930</v>
      </c>
      <c r="P331" s="48" t="s">
        <v>20</v>
      </c>
    </row>
    <row r="332" spans="1:16" x14ac:dyDescent="0.25">
      <c r="A332" s="45" t="str">
        <f t="shared" si="16"/>
        <v>2025 OKT NOV B1 DISC  30%</v>
      </c>
      <c r="B332" s="46">
        <v>46104</v>
      </c>
      <c r="C332" s="46">
        <v>46113</v>
      </c>
      <c r="D332" s="47">
        <v>3273</v>
      </c>
      <c r="E332" s="47">
        <v>336</v>
      </c>
      <c r="F332" s="47">
        <v>4</v>
      </c>
      <c r="G332" s="45">
        <v>6</v>
      </c>
      <c r="H332" s="45">
        <v>81588</v>
      </c>
      <c r="I332" s="48" t="s">
        <v>17</v>
      </c>
      <c r="J332" s="45">
        <v>61619916</v>
      </c>
      <c r="K332" s="45" t="s">
        <v>3726</v>
      </c>
      <c r="L332" s="45" t="s">
        <v>3730</v>
      </c>
      <c r="M332" s="50">
        <v>99900</v>
      </c>
      <c r="N332" s="51">
        <f t="shared" si="17"/>
        <v>0.3</v>
      </c>
      <c r="O332" s="52">
        <f t="shared" si="15"/>
        <v>69930</v>
      </c>
      <c r="P332" s="48" t="s">
        <v>20</v>
      </c>
    </row>
    <row r="333" spans="1:16" x14ac:dyDescent="0.25">
      <c r="A333" s="45" t="str">
        <f t="shared" si="16"/>
        <v>2025 OKT NOV B1 DISC  30%</v>
      </c>
      <c r="B333" s="46">
        <v>46104</v>
      </c>
      <c r="C333" s="46">
        <v>46113</v>
      </c>
      <c r="D333" s="47">
        <v>3273</v>
      </c>
      <c r="E333" s="47">
        <v>336</v>
      </c>
      <c r="F333" s="47">
        <v>4</v>
      </c>
      <c r="G333" s="45">
        <v>6</v>
      </c>
      <c r="H333" s="45">
        <v>81588</v>
      </c>
      <c r="I333" s="48" t="s">
        <v>17</v>
      </c>
      <c r="J333" s="45">
        <v>61619925</v>
      </c>
      <c r="K333" s="45" t="s">
        <v>3726</v>
      </c>
      <c r="L333" s="45" t="s">
        <v>3731</v>
      </c>
      <c r="M333" s="50">
        <v>99900</v>
      </c>
      <c r="N333" s="51">
        <f t="shared" si="17"/>
        <v>0.3</v>
      </c>
      <c r="O333" s="52">
        <f t="shared" si="15"/>
        <v>69930</v>
      </c>
      <c r="P333" s="48" t="s">
        <v>20</v>
      </c>
    </row>
    <row r="334" spans="1:16" x14ac:dyDescent="0.25">
      <c r="A334" s="45" t="str">
        <f t="shared" si="16"/>
        <v>2025 OKT NOV B1 DISC  30%</v>
      </c>
      <c r="B334" s="46">
        <v>46104</v>
      </c>
      <c r="C334" s="46">
        <v>46113</v>
      </c>
      <c r="D334" s="47">
        <v>3273</v>
      </c>
      <c r="E334" s="47">
        <v>336</v>
      </c>
      <c r="F334" s="47">
        <v>4</v>
      </c>
      <c r="G334" s="45">
        <v>6</v>
      </c>
      <c r="H334" s="45">
        <v>81588</v>
      </c>
      <c r="I334" s="48" t="s">
        <v>17</v>
      </c>
      <c r="J334" s="45">
        <v>61619934</v>
      </c>
      <c r="K334" s="45" t="s">
        <v>3726</v>
      </c>
      <c r="L334" s="45" t="s">
        <v>3732</v>
      </c>
      <c r="M334" s="50">
        <v>99900</v>
      </c>
      <c r="N334" s="51">
        <f t="shared" si="17"/>
        <v>0.3</v>
      </c>
      <c r="O334" s="52">
        <f t="shared" si="15"/>
        <v>69930</v>
      </c>
      <c r="P334" s="48" t="s">
        <v>20</v>
      </c>
    </row>
    <row r="335" spans="1:16" x14ac:dyDescent="0.25">
      <c r="A335" s="45" t="str">
        <f t="shared" si="16"/>
        <v>2025 OKT NOV B1 DISC  30%</v>
      </c>
      <c r="B335" s="46">
        <v>46104</v>
      </c>
      <c r="C335" s="46">
        <v>46113</v>
      </c>
      <c r="D335" s="47">
        <v>3273</v>
      </c>
      <c r="E335" s="47">
        <v>336</v>
      </c>
      <c r="F335" s="47">
        <v>4</v>
      </c>
      <c r="G335" s="45">
        <v>6</v>
      </c>
      <c r="H335" s="45">
        <v>81588</v>
      </c>
      <c r="I335" s="48" t="s">
        <v>17</v>
      </c>
      <c r="J335" s="45">
        <v>61619943</v>
      </c>
      <c r="K335" s="45" t="s">
        <v>3726</v>
      </c>
      <c r="L335" s="45" t="s">
        <v>3733</v>
      </c>
      <c r="M335" s="50">
        <v>99900</v>
      </c>
      <c r="N335" s="51">
        <f t="shared" si="17"/>
        <v>0.3</v>
      </c>
      <c r="O335" s="52">
        <f t="shared" si="15"/>
        <v>69930</v>
      </c>
      <c r="P335" s="48" t="s">
        <v>20</v>
      </c>
    </row>
    <row r="336" spans="1:16" x14ac:dyDescent="0.25">
      <c r="A336" s="45" t="str">
        <f t="shared" si="16"/>
        <v>2025 OKT NOV B1 DISC  30%</v>
      </c>
      <c r="B336" s="46">
        <v>46104</v>
      </c>
      <c r="C336" s="46">
        <v>46113</v>
      </c>
      <c r="D336" s="47">
        <v>3273</v>
      </c>
      <c r="E336" s="47">
        <v>336</v>
      </c>
      <c r="F336" s="47">
        <v>4</v>
      </c>
      <c r="G336" s="45">
        <v>10</v>
      </c>
      <c r="H336" s="45">
        <v>81574</v>
      </c>
      <c r="I336" s="48" t="s">
        <v>17</v>
      </c>
      <c r="J336" s="45">
        <v>61619952</v>
      </c>
      <c r="K336" s="45" t="s">
        <v>3734</v>
      </c>
      <c r="L336" s="45" t="s">
        <v>3735</v>
      </c>
      <c r="M336" s="50">
        <v>99900</v>
      </c>
      <c r="N336" s="51">
        <f t="shared" si="17"/>
        <v>0.3</v>
      </c>
      <c r="O336" s="52">
        <f t="shared" si="15"/>
        <v>69930</v>
      </c>
      <c r="P336" s="48" t="s">
        <v>20</v>
      </c>
    </row>
    <row r="337" spans="1:16" x14ac:dyDescent="0.25">
      <c r="A337" s="45" t="str">
        <f t="shared" si="16"/>
        <v>2025 OKT NOV B1 DISC  30%</v>
      </c>
      <c r="B337" s="46">
        <v>46104</v>
      </c>
      <c r="C337" s="46">
        <v>46113</v>
      </c>
      <c r="D337" s="47">
        <v>3273</v>
      </c>
      <c r="E337" s="47">
        <v>336</v>
      </c>
      <c r="F337" s="47">
        <v>4</v>
      </c>
      <c r="G337" s="45">
        <v>10</v>
      </c>
      <c r="H337" s="45">
        <v>81574</v>
      </c>
      <c r="I337" s="48" t="s">
        <v>17</v>
      </c>
      <c r="J337" s="45">
        <v>61619961</v>
      </c>
      <c r="K337" s="45" t="s">
        <v>3736</v>
      </c>
      <c r="L337" s="45" t="s">
        <v>3737</v>
      </c>
      <c r="M337" s="50">
        <v>99900</v>
      </c>
      <c r="N337" s="51">
        <f t="shared" si="17"/>
        <v>0.3</v>
      </c>
      <c r="O337" s="52">
        <f t="shared" si="15"/>
        <v>69930</v>
      </c>
      <c r="P337" s="48" t="s">
        <v>20</v>
      </c>
    </row>
    <row r="338" spans="1:16" x14ac:dyDescent="0.25">
      <c r="A338" s="45" t="str">
        <f t="shared" si="16"/>
        <v>2025 OKT NOV B1 DISC  30%</v>
      </c>
      <c r="B338" s="46">
        <v>46104</v>
      </c>
      <c r="C338" s="46">
        <v>46113</v>
      </c>
      <c r="D338" s="47">
        <v>3273</v>
      </c>
      <c r="E338" s="47">
        <v>336</v>
      </c>
      <c r="F338" s="47">
        <v>4</v>
      </c>
      <c r="G338" s="45">
        <v>6</v>
      </c>
      <c r="H338" s="45">
        <v>81588</v>
      </c>
      <c r="I338" s="48" t="s">
        <v>17</v>
      </c>
      <c r="J338" s="45">
        <v>61619970</v>
      </c>
      <c r="K338" s="45" t="s">
        <v>3738</v>
      </c>
      <c r="L338" s="45" t="s">
        <v>3739</v>
      </c>
      <c r="M338" s="50">
        <v>99900</v>
      </c>
      <c r="N338" s="51">
        <f t="shared" si="17"/>
        <v>0.3</v>
      </c>
      <c r="O338" s="52">
        <f t="shared" si="15"/>
        <v>69930</v>
      </c>
      <c r="P338" s="48" t="s">
        <v>20</v>
      </c>
    </row>
    <row r="339" spans="1:16" x14ac:dyDescent="0.25">
      <c r="A339" s="45" t="str">
        <f t="shared" si="16"/>
        <v>2025 OKT NOV B1 DISC  30%</v>
      </c>
      <c r="B339" s="46">
        <v>46104</v>
      </c>
      <c r="C339" s="46">
        <v>46113</v>
      </c>
      <c r="D339" s="47">
        <v>3273</v>
      </c>
      <c r="E339" s="47">
        <v>336</v>
      </c>
      <c r="F339" s="47">
        <v>4</v>
      </c>
      <c r="G339" s="45">
        <v>6</v>
      </c>
      <c r="H339" s="45">
        <v>81588</v>
      </c>
      <c r="I339" s="48" t="s">
        <v>17</v>
      </c>
      <c r="J339" s="45">
        <v>61619989</v>
      </c>
      <c r="K339" s="45" t="s">
        <v>3738</v>
      </c>
      <c r="L339" s="45" t="s">
        <v>3740</v>
      </c>
      <c r="M339" s="50">
        <v>99900</v>
      </c>
      <c r="N339" s="51">
        <f t="shared" si="17"/>
        <v>0.3</v>
      </c>
      <c r="O339" s="52">
        <f t="shared" si="15"/>
        <v>69930</v>
      </c>
      <c r="P339" s="48" t="s">
        <v>20</v>
      </c>
    </row>
    <row r="340" spans="1:16" x14ac:dyDescent="0.25">
      <c r="A340" s="45" t="str">
        <f t="shared" si="16"/>
        <v>2025 OKT NOV B1 DISC  30%</v>
      </c>
      <c r="B340" s="46">
        <v>46104</v>
      </c>
      <c r="C340" s="46">
        <v>46113</v>
      </c>
      <c r="D340" s="47">
        <v>3273</v>
      </c>
      <c r="E340" s="47">
        <v>336</v>
      </c>
      <c r="F340" s="47">
        <v>4</v>
      </c>
      <c r="G340" s="45">
        <v>6</v>
      </c>
      <c r="H340" s="45">
        <v>81588</v>
      </c>
      <c r="I340" s="48" t="s">
        <v>17</v>
      </c>
      <c r="J340" s="45">
        <v>61619998</v>
      </c>
      <c r="K340" s="45" t="s">
        <v>3738</v>
      </c>
      <c r="L340" s="45" t="s">
        <v>3741</v>
      </c>
      <c r="M340" s="50">
        <v>99900</v>
      </c>
      <c r="N340" s="51">
        <f t="shared" si="17"/>
        <v>0.3</v>
      </c>
      <c r="O340" s="52">
        <f t="shared" si="15"/>
        <v>69930</v>
      </c>
      <c r="P340" s="48" t="s">
        <v>20</v>
      </c>
    </row>
    <row r="341" spans="1:16" x14ac:dyDescent="0.25">
      <c r="A341" s="45" t="str">
        <f t="shared" si="16"/>
        <v>2025 OKT NOV B1 DISC  30%</v>
      </c>
      <c r="B341" s="46">
        <v>46104</v>
      </c>
      <c r="C341" s="46">
        <v>46113</v>
      </c>
      <c r="D341" s="47">
        <v>3273</v>
      </c>
      <c r="E341" s="47">
        <v>336</v>
      </c>
      <c r="F341" s="47">
        <v>4</v>
      </c>
      <c r="G341" s="45">
        <v>6</v>
      </c>
      <c r="H341" s="45">
        <v>81588</v>
      </c>
      <c r="I341" s="48" t="s">
        <v>17</v>
      </c>
      <c r="J341" s="45">
        <v>61620002</v>
      </c>
      <c r="K341" s="45" t="s">
        <v>3738</v>
      </c>
      <c r="L341" s="45" t="s">
        <v>3742</v>
      </c>
      <c r="M341" s="50">
        <v>99900</v>
      </c>
      <c r="N341" s="51">
        <f t="shared" si="17"/>
        <v>0.3</v>
      </c>
      <c r="O341" s="52">
        <f t="shared" si="15"/>
        <v>69930</v>
      </c>
      <c r="P341" s="48" t="s">
        <v>20</v>
      </c>
    </row>
    <row r="342" spans="1:16" x14ac:dyDescent="0.25">
      <c r="A342" s="45" t="str">
        <f t="shared" si="16"/>
        <v>2025 OKT NOV B1 DISC  30%</v>
      </c>
      <c r="B342" s="46">
        <v>46104</v>
      </c>
      <c r="C342" s="46">
        <v>46113</v>
      </c>
      <c r="D342" s="47">
        <v>3273</v>
      </c>
      <c r="E342" s="47">
        <v>336</v>
      </c>
      <c r="F342" s="47">
        <v>4</v>
      </c>
      <c r="G342" s="45">
        <v>6</v>
      </c>
      <c r="H342" s="45">
        <v>81588</v>
      </c>
      <c r="I342" s="48" t="s">
        <v>17</v>
      </c>
      <c r="J342" s="45">
        <v>61620011</v>
      </c>
      <c r="K342" s="45" t="s">
        <v>3738</v>
      </c>
      <c r="L342" s="45" t="s">
        <v>3743</v>
      </c>
      <c r="M342" s="50">
        <v>99900</v>
      </c>
      <c r="N342" s="51">
        <f t="shared" si="17"/>
        <v>0.3</v>
      </c>
      <c r="O342" s="52">
        <f t="shared" si="15"/>
        <v>69930</v>
      </c>
      <c r="P342" s="48" t="s">
        <v>20</v>
      </c>
    </row>
    <row r="343" spans="1:16" x14ac:dyDescent="0.25">
      <c r="A343" s="45" t="str">
        <f t="shared" si="16"/>
        <v>2025 OKT NOV B1 DISC  30%</v>
      </c>
      <c r="B343" s="46">
        <v>46104</v>
      </c>
      <c r="C343" s="46">
        <v>46113</v>
      </c>
      <c r="D343" s="47">
        <v>3273</v>
      </c>
      <c r="E343" s="47">
        <v>336</v>
      </c>
      <c r="F343" s="47">
        <v>4</v>
      </c>
      <c r="G343" s="45">
        <v>6</v>
      </c>
      <c r="H343" s="45">
        <v>81588</v>
      </c>
      <c r="I343" s="48" t="s">
        <v>17</v>
      </c>
      <c r="J343" s="45">
        <v>61620020</v>
      </c>
      <c r="K343" s="45" t="s">
        <v>3738</v>
      </c>
      <c r="L343" s="45" t="s">
        <v>3744</v>
      </c>
      <c r="M343" s="50">
        <v>99900</v>
      </c>
      <c r="N343" s="51">
        <f t="shared" si="17"/>
        <v>0.3</v>
      </c>
      <c r="O343" s="52">
        <f t="shared" si="15"/>
        <v>69930</v>
      </c>
      <c r="P343" s="48" t="s">
        <v>20</v>
      </c>
    </row>
    <row r="344" spans="1:16" x14ac:dyDescent="0.25">
      <c r="A344" s="45" t="str">
        <f t="shared" si="16"/>
        <v>2025 OKT NOV B1 DISC  30%</v>
      </c>
      <c r="B344" s="46">
        <v>46104</v>
      </c>
      <c r="C344" s="46">
        <v>46113</v>
      </c>
      <c r="D344" s="47">
        <v>3273</v>
      </c>
      <c r="E344" s="47">
        <v>336</v>
      </c>
      <c r="F344" s="47">
        <v>4</v>
      </c>
      <c r="G344" s="45">
        <v>6</v>
      </c>
      <c r="H344" s="45">
        <v>81588</v>
      </c>
      <c r="I344" s="48" t="s">
        <v>17</v>
      </c>
      <c r="J344" s="45">
        <v>61620039</v>
      </c>
      <c r="K344" s="45" t="s">
        <v>3738</v>
      </c>
      <c r="L344" s="45" t="s">
        <v>3745</v>
      </c>
      <c r="M344" s="50">
        <v>99900</v>
      </c>
      <c r="N344" s="51">
        <f t="shared" si="17"/>
        <v>0.3</v>
      </c>
      <c r="O344" s="52">
        <f t="shared" si="15"/>
        <v>69930</v>
      </c>
      <c r="P344" s="48" t="s">
        <v>20</v>
      </c>
    </row>
    <row r="345" spans="1:16" x14ac:dyDescent="0.25">
      <c r="A345" s="45" t="str">
        <f t="shared" si="16"/>
        <v>2025 OKT NOV B1 DISC  30%</v>
      </c>
      <c r="B345" s="46">
        <v>46104</v>
      </c>
      <c r="C345" s="46">
        <v>46113</v>
      </c>
      <c r="D345" s="47">
        <v>3273</v>
      </c>
      <c r="E345" s="47">
        <v>336</v>
      </c>
      <c r="F345" s="47">
        <v>4</v>
      </c>
      <c r="G345" s="45">
        <v>6</v>
      </c>
      <c r="H345" s="45">
        <v>81676</v>
      </c>
      <c r="I345" s="48" t="s">
        <v>17</v>
      </c>
      <c r="J345" s="45">
        <v>61620048</v>
      </c>
      <c r="K345" s="45" t="s">
        <v>3746</v>
      </c>
      <c r="L345" s="45" t="s">
        <v>3747</v>
      </c>
      <c r="M345" s="50">
        <v>99900</v>
      </c>
      <c r="N345" s="51">
        <f t="shared" si="17"/>
        <v>0.3</v>
      </c>
      <c r="O345" s="52">
        <f t="shared" si="15"/>
        <v>69930</v>
      </c>
      <c r="P345" s="48" t="s">
        <v>20</v>
      </c>
    </row>
    <row r="346" spans="1:16" x14ac:dyDescent="0.25">
      <c r="A346" s="45" t="str">
        <f t="shared" si="16"/>
        <v>2025 OKT NOV B1 DISC  30%</v>
      </c>
      <c r="B346" s="46">
        <v>46104</v>
      </c>
      <c r="C346" s="46">
        <v>46113</v>
      </c>
      <c r="D346" s="47">
        <v>3273</v>
      </c>
      <c r="E346" s="47">
        <v>336</v>
      </c>
      <c r="F346" s="47">
        <v>4</v>
      </c>
      <c r="G346" s="45">
        <v>6</v>
      </c>
      <c r="H346" s="45">
        <v>81676</v>
      </c>
      <c r="I346" s="48" t="s">
        <v>17</v>
      </c>
      <c r="J346" s="45">
        <v>61620057</v>
      </c>
      <c r="K346" s="45" t="s">
        <v>3746</v>
      </c>
      <c r="L346" s="45" t="s">
        <v>3748</v>
      </c>
      <c r="M346" s="50">
        <v>99900</v>
      </c>
      <c r="N346" s="51">
        <f t="shared" si="17"/>
        <v>0.3</v>
      </c>
      <c r="O346" s="52">
        <f t="shared" si="15"/>
        <v>69930</v>
      </c>
      <c r="P346" s="48" t="s">
        <v>20</v>
      </c>
    </row>
    <row r="347" spans="1:16" x14ac:dyDescent="0.25">
      <c r="A347" s="45" t="str">
        <f t="shared" si="16"/>
        <v>2025 OKT NOV B1 DISC  30%</v>
      </c>
      <c r="B347" s="46">
        <v>46104</v>
      </c>
      <c r="C347" s="46">
        <v>46113</v>
      </c>
      <c r="D347" s="47">
        <v>3273</v>
      </c>
      <c r="E347" s="47">
        <v>336</v>
      </c>
      <c r="F347" s="47">
        <v>4</v>
      </c>
      <c r="G347" s="45">
        <v>6</v>
      </c>
      <c r="H347" s="45">
        <v>81676</v>
      </c>
      <c r="I347" s="48" t="s">
        <v>17</v>
      </c>
      <c r="J347" s="45">
        <v>61620066</v>
      </c>
      <c r="K347" s="45" t="s">
        <v>3746</v>
      </c>
      <c r="L347" s="45" t="s">
        <v>3749</v>
      </c>
      <c r="M347" s="50">
        <v>99900</v>
      </c>
      <c r="N347" s="51">
        <f t="shared" si="17"/>
        <v>0.3</v>
      </c>
      <c r="O347" s="52">
        <f t="shared" si="15"/>
        <v>69930</v>
      </c>
      <c r="P347" s="48" t="s">
        <v>20</v>
      </c>
    </row>
    <row r="348" spans="1:16" x14ac:dyDescent="0.25">
      <c r="A348" s="45" t="str">
        <f t="shared" si="16"/>
        <v>2025 OKT NOV B1 DISC  30%</v>
      </c>
      <c r="B348" s="46">
        <v>46104</v>
      </c>
      <c r="C348" s="46">
        <v>46113</v>
      </c>
      <c r="D348" s="47">
        <v>3273</v>
      </c>
      <c r="E348" s="47">
        <v>336</v>
      </c>
      <c r="F348" s="47">
        <v>4</v>
      </c>
      <c r="G348" s="45">
        <v>6</v>
      </c>
      <c r="H348" s="45">
        <v>81676</v>
      </c>
      <c r="I348" s="48" t="s">
        <v>17</v>
      </c>
      <c r="J348" s="45">
        <v>61620075</v>
      </c>
      <c r="K348" s="45" t="s">
        <v>3746</v>
      </c>
      <c r="L348" s="45" t="s">
        <v>3750</v>
      </c>
      <c r="M348" s="50">
        <v>99900</v>
      </c>
      <c r="N348" s="51">
        <f t="shared" si="17"/>
        <v>0.3</v>
      </c>
      <c r="O348" s="52">
        <f t="shared" si="15"/>
        <v>69930</v>
      </c>
      <c r="P348" s="48" t="s">
        <v>20</v>
      </c>
    </row>
    <row r="349" spans="1:16" x14ac:dyDescent="0.25">
      <c r="A349" s="45" t="str">
        <f t="shared" si="16"/>
        <v>2025 OKT NOV B1 DISC  30%</v>
      </c>
      <c r="B349" s="46">
        <v>46104</v>
      </c>
      <c r="C349" s="46">
        <v>46113</v>
      </c>
      <c r="D349" s="47">
        <v>3273</v>
      </c>
      <c r="E349" s="47">
        <v>336</v>
      </c>
      <c r="F349" s="47">
        <v>4</v>
      </c>
      <c r="G349" s="45">
        <v>6</v>
      </c>
      <c r="H349" s="45">
        <v>81676</v>
      </c>
      <c r="I349" s="48" t="s">
        <v>17</v>
      </c>
      <c r="J349" s="45">
        <v>61620084</v>
      </c>
      <c r="K349" s="45" t="s">
        <v>3746</v>
      </c>
      <c r="L349" s="45" t="s">
        <v>3751</v>
      </c>
      <c r="M349" s="50">
        <v>99900</v>
      </c>
      <c r="N349" s="51">
        <f t="shared" si="17"/>
        <v>0.3</v>
      </c>
      <c r="O349" s="52">
        <f t="shared" si="15"/>
        <v>69930</v>
      </c>
      <c r="P349" s="48" t="s">
        <v>20</v>
      </c>
    </row>
    <row r="350" spans="1:16" x14ac:dyDescent="0.25">
      <c r="A350" s="45" t="str">
        <f t="shared" si="16"/>
        <v>2025 OKT NOV B1 DISC  30%</v>
      </c>
      <c r="B350" s="46">
        <v>46104</v>
      </c>
      <c r="C350" s="46">
        <v>46113</v>
      </c>
      <c r="D350" s="47">
        <v>3273</v>
      </c>
      <c r="E350" s="47">
        <v>336</v>
      </c>
      <c r="F350" s="47">
        <v>4</v>
      </c>
      <c r="G350" s="45">
        <v>6</v>
      </c>
      <c r="H350" s="45">
        <v>81676</v>
      </c>
      <c r="I350" s="48" t="s">
        <v>17</v>
      </c>
      <c r="J350" s="45">
        <v>61620093</v>
      </c>
      <c r="K350" s="45" t="s">
        <v>3746</v>
      </c>
      <c r="L350" s="45" t="s">
        <v>3752</v>
      </c>
      <c r="M350" s="50">
        <v>99900</v>
      </c>
      <c r="N350" s="51">
        <f t="shared" si="17"/>
        <v>0.3</v>
      </c>
      <c r="O350" s="52">
        <f t="shared" si="15"/>
        <v>69930</v>
      </c>
      <c r="P350" s="48" t="s">
        <v>20</v>
      </c>
    </row>
    <row r="351" spans="1:16" x14ac:dyDescent="0.25">
      <c r="A351" s="45" t="str">
        <f t="shared" si="16"/>
        <v>2025 OKT NOV B1 DISC  30%</v>
      </c>
      <c r="B351" s="46">
        <v>46104</v>
      </c>
      <c r="C351" s="46">
        <v>46113</v>
      </c>
      <c r="D351" s="47">
        <v>3273</v>
      </c>
      <c r="E351" s="47">
        <v>336</v>
      </c>
      <c r="F351" s="47">
        <v>4</v>
      </c>
      <c r="G351" s="45">
        <v>6</v>
      </c>
      <c r="H351" s="45">
        <v>81676</v>
      </c>
      <c r="I351" s="48" t="s">
        <v>17</v>
      </c>
      <c r="J351" s="45">
        <v>61620100</v>
      </c>
      <c r="K351" s="45" t="s">
        <v>3746</v>
      </c>
      <c r="L351" s="45" t="s">
        <v>3753</v>
      </c>
      <c r="M351" s="50">
        <v>99900</v>
      </c>
      <c r="N351" s="51">
        <f t="shared" si="17"/>
        <v>0.3</v>
      </c>
      <c r="O351" s="52">
        <f t="shared" si="15"/>
        <v>69930</v>
      </c>
      <c r="P351" s="48" t="s">
        <v>20</v>
      </c>
    </row>
    <row r="352" spans="1:16" x14ac:dyDescent="0.25">
      <c r="A352" s="45" t="str">
        <f t="shared" si="16"/>
        <v>2025 OKT NOV B1 DISC  30%</v>
      </c>
      <c r="B352" s="46">
        <v>46104</v>
      </c>
      <c r="C352" s="46">
        <v>46113</v>
      </c>
      <c r="D352" s="47">
        <v>3273</v>
      </c>
      <c r="E352" s="47">
        <v>336</v>
      </c>
      <c r="F352" s="47">
        <v>4</v>
      </c>
      <c r="G352" s="45">
        <v>6</v>
      </c>
      <c r="H352" s="45">
        <v>81676</v>
      </c>
      <c r="I352" s="48" t="s">
        <v>17</v>
      </c>
      <c r="J352" s="45">
        <v>61620119</v>
      </c>
      <c r="K352" s="45" t="s">
        <v>3754</v>
      </c>
      <c r="L352" s="45" t="s">
        <v>3755</v>
      </c>
      <c r="M352" s="50">
        <v>99900</v>
      </c>
      <c r="N352" s="51">
        <f t="shared" si="17"/>
        <v>0.3</v>
      </c>
      <c r="O352" s="52">
        <f t="shared" si="15"/>
        <v>69930</v>
      </c>
      <c r="P352" s="48" t="s">
        <v>20</v>
      </c>
    </row>
    <row r="353" spans="1:16" x14ac:dyDescent="0.25">
      <c r="A353" s="45" t="str">
        <f t="shared" si="16"/>
        <v>2025 OKT NOV B1 DISC  30%</v>
      </c>
      <c r="B353" s="46">
        <v>46104</v>
      </c>
      <c r="C353" s="46">
        <v>46113</v>
      </c>
      <c r="D353" s="47">
        <v>3273</v>
      </c>
      <c r="E353" s="47">
        <v>336</v>
      </c>
      <c r="F353" s="47">
        <v>4</v>
      </c>
      <c r="G353" s="45">
        <v>6</v>
      </c>
      <c r="H353" s="45">
        <v>81676</v>
      </c>
      <c r="I353" s="48" t="s">
        <v>17</v>
      </c>
      <c r="J353" s="45">
        <v>61620128</v>
      </c>
      <c r="K353" s="45" t="s">
        <v>3754</v>
      </c>
      <c r="L353" s="45" t="s">
        <v>3756</v>
      </c>
      <c r="M353" s="50">
        <v>99900</v>
      </c>
      <c r="N353" s="51">
        <f t="shared" si="17"/>
        <v>0.3</v>
      </c>
      <c r="O353" s="52">
        <f t="shared" si="15"/>
        <v>69930</v>
      </c>
      <c r="P353" s="48" t="s">
        <v>20</v>
      </c>
    </row>
    <row r="354" spans="1:16" x14ac:dyDescent="0.25">
      <c r="A354" s="45" t="str">
        <f t="shared" si="16"/>
        <v>2025 OKT NOV B1 DISC  30%</v>
      </c>
      <c r="B354" s="46">
        <v>46104</v>
      </c>
      <c r="C354" s="46">
        <v>46113</v>
      </c>
      <c r="D354" s="47">
        <v>3273</v>
      </c>
      <c r="E354" s="47">
        <v>336</v>
      </c>
      <c r="F354" s="47">
        <v>4</v>
      </c>
      <c r="G354" s="45">
        <v>6</v>
      </c>
      <c r="H354" s="45">
        <v>81676</v>
      </c>
      <c r="I354" s="48" t="s">
        <v>17</v>
      </c>
      <c r="J354" s="45">
        <v>61620137</v>
      </c>
      <c r="K354" s="45" t="s">
        <v>3754</v>
      </c>
      <c r="L354" s="45" t="s">
        <v>3757</v>
      </c>
      <c r="M354" s="50">
        <v>99900</v>
      </c>
      <c r="N354" s="51">
        <f t="shared" si="17"/>
        <v>0.3</v>
      </c>
      <c r="O354" s="52">
        <f t="shared" si="15"/>
        <v>69930</v>
      </c>
      <c r="P354" s="48" t="s">
        <v>20</v>
      </c>
    </row>
    <row r="355" spans="1:16" x14ac:dyDescent="0.25">
      <c r="A355" s="45" t="str">
        <f t="shared" si="16"/>
        <v>2025 OKT NOV B1 DISC  30%</v>
      </c>
      <c r="B355" s="46">
        <v>46104</v>
      </c>
      <c r="C355" s="46">
        <v>46113</v>
      </c>
      <c r="D355" s="47">
        <v>3273</v>
      </c>
      <c r="E355" s="47">
        <v>336</v>
      </c>
      <c r="F355" s="47">
        <v>4</v>
      </c>
      <c r="G355" s="45">
        <v>6</v>
      </c>
      <c r="H355" s="45">
        <v>81676</v>
      </c>
      <c r="I355" s="48" t="s">
        <v>17</v>
      </c>
      <c r="J355" s="45">
        <v>61620146</v>
      </c>
      <c r="K355" s="45" t="s">
        <v>3754</v>
      </c>
      <c r="L355" s="45" t="s">
        <v>3758</v>
      </c>
      <c r="M355" s="50">
        <v>99900</v>
      </c>
      <c r="N355" s="51">
        <f t="shared" si="17"/>
        <v>0.3</v>
      </c>
      <c r="O355" s="52">
        <f t="shared" si="15"/>
        <v>69930</v>
      </c>
      <c r="P355" s="48" t="s">
        <v>20</v>
      </c>
    </row>
    <row r="356" spans="1:16" x14ac:dyDescent="0.25">
      <c r="A356" s="45" t="str">
        <f t="shared" si="16"/>
        <v>2025 OKT NOV B1 DISC  30%</v>
      </c>
      <c r="B356" s="46">
        <v>46104</v>
      </c>
      <c r="C356" s="46">
        <v>46113</v>
      </c>
      <c r="D356" s="47">
        <v>3273</v>
      </c>
      <c r="E356" s="47">
        <v>336</v>
      </c>
      <c r="F356" s="47">
        <v>4</v>
      </c>
      <c r="G356" s="45">
        <v>6</v>
      </c>
      <c r="H356" s="45">
        <v>81676</v>
      </c>
      <c r="I356" s="48" t="s">
        <v>17</v>
      </c>
      <c r="J356" s="45">
        <v>61620155</v>
      </c>
      <c r="K356" s="45" t="s">
        <v>3754</v>
      </c>
      <c r="L356" s="45" t="s">
        <v>3759</v>
      </c>
      <c r="M356" s="50">
        <v>99900</v>
      </c>
      <c r="N356" s="51">
        <f t="shared" si="17"/>
        <v>0.3</v>
      </c>
      <c r="O356" s="52">
        <f t="shared" si="15"/>
        <v>69930</v>
      </c>
      <c r="P356" s="48" t="s">
        <v>20</v>
      </c>
    </row>
    <row r="357" spans="1:16" x14ac:dyDescent="0.25">
      <c r="A357" s="45" t="str">
        <f t="shared" si="16"/>
        <v>2025 OKT NOV B1 DISC  30%</v>
      </c>
      <c r="B357" s="46">
        <v>46104</v>
      </c>
      <c r="C357" s="46">
        <v>46113</v>
      </c>
      <c r="D357" s="47">
        <v>3273</v>
      </c>
      <c r="E357" s="47">
        <v>336</v>
      </c>
      <c r="F357" s="47">
        <v>4</v>
      </c>
      <c r="G357" s="45">
        <v>6</v>
      </c>
      <c r="H357" s="45">
        <v>81676</v>
      </c>
      <c r="I357" s="48" t="s">
        <v>17</v>
      </c>
      <c r="J357" s="45">
        <v>61620164</v>
      </c>
      <c r="K357" s="45" t="s">
        <v>3754</v>
      </c>
      <c r="L357" s="45" t="s">
        <v>3760</v>
      </c>
      <c r="M357" s="50">
        <v>99900</v>
      </c>
      <c r="N357" s="51">
        <f t="shared" si="17"/>
        <v>0.3</v>
      </c>
      <c r="O357" s="52">
        <f t="shared" si="15"/>
        <v>69930</v>
      </c>
      <c r="P357" s="48" t="s">
        <v>20</v>
      </c>
    </row>
    <row r="358" spans="1:16" x14ac:dyDescent="0.25">
      <c r="A358" s="45" t="str">
        <f t="shared" si="16"/>
        <v>2025 OKT NOV B1 DISC  30%</v>
      </c>
      <c r="B358" s="46">
        <v>46104</v>
      </c>
      <c r="C358" s="46">
        <v>46113</v>
      </c>
      <c r="D358" s="47">
        <v>3273</v>
      </c>
      <c r="E358" s="47">
        <v>336</v>
      </c>
      <c r="F358" s="47">
        <v>4</v>
      </c>
      <c r="G358" s="45">
        <v>6</v>
      </c>
      <c r="H358" s="45">
        <v>81676</v>
      </c>
      <c r="I358" s="48" t="s">
        <v>17</v>
      </c>
      <c r="J358" s="45">
        <v>61620173</v>
      </c>
      <c r="K358" s="45" t="s">
        <v>3754</v>
      </c>
      <c r="L358" s="45" t="s">
        <v>3761</v>
      </c>
      <c r="M358" s="50">
        <v>99900</v>
      </c>
      <c r="N358" s="51">
        <f t="shared" si="17"/>
        <v>0.3</v>
      </c>
      <c r="O358" s="52">
        <f t="shared" si="15"/>
        <v>69930</v>
      </c>
      <c r="P358" s="48" t="s">
        <v>20</v>
      </c>
    </row>
    <row r="359" spans="1:16" x14ac:dyDescent="0.25">
      <c r="A359" s="45" t="str">
        <f t="shared" si="16"/>
        <v>2025 OKT NOV B1 DISC  30%</v>
      </c>
      <c r="B359" s="46">
        <v>46104</v>
      </c>
      <c r="C359" s="46">
        <v>46113</v>
      </c>
      <c r="D359" s="47">
        <v>3273</v>
      </c>
      <c r="E359" s="47">
        <v>336</v>
      </c>
      <c r="F359" s="47">
        <v>4</v>
      </c>
      <c r="G359" s="45">
        <v>6</v>
      </c>
      <c r="H359" s="45">
        <v>81588</v>
      </c>
      <c r="I359" s="48" t="s">
        <v>17</v>
      </c>
      <c r="J359" s="45">
        <v>61620182</v>
      </c>
      <c r="K359" s="45" t="s">
        <v>3762</v>
      </c>
      <c r="L359" s="45" t="s">
        <v>3763</v>
      </c>
      <c r="M359" s="50">
        <v>99900</v>
      </c>
      <c r="N359" s="51">
        <f t="shared" si="17"/>
        <v>0.3</v>
      </c>
      <c r="O359" s="52">
        <f t="shared" si="15"/>
        <v>69930</v>
      </c>
      <c r="P359" s="48" t="s">
        <v>20</v>
      </c>
    </row>
    <row r="360" spans="1:16" x14ac:dyDescent="0.25">
      <c r="A360" s="45" t="str">
        <f t="shared" si="16"/>
        <v>2025 OKT NOV B1 DISC  30%</v>
      </c>
      <c r="B360" s="46">
        <v>46104</v>
      </c>
      <c r="C360" s="46">
        <v>46113</v>
      </c>
      <c r="D360" s="47">
        <v>3273</v>
      </c>
      <c r="E360" s="47">
        <v>336</v>
      </c>
      <c r="F360" s="47">
        <v>4</v>
      </c>
      <c r="G360" s="45">
        <v>6</v>
      </c>
      <c r="H360" s="45">
        <v>81588</v>
      </c>
      <c r="I360" s="48" t="s">
        <v>17</v>
      </c>
      <c r="J360" s="45">
        <v>61620191</v>
      </c>
      <c r="K360" s="45" t="s">
        <v>3762</v>
      </c>
      <c r="L360" s="45" t="s">
        <v>3764</v>
      </c>
      <c r="M360" s="50">
        <v>99900</v>
      </c>
      <c r="N360" s="51">
        <f t="shared" si="17"/>
        <v>0.3</v>
      </c>
      <c r="O360" s="52">
        <f t="shared" si="15"/>
        <v>69930</v>
      </c>
      <c r="P360" s="48" t="s">
        <v>20</v>
      </c>
    </row>
    <row r="361" spans="1:16" x14ac:dyDescent="0.25">
      <c r="A361" s="45" t="str">
        <f t="shared" si="16"/>
        <v>2025 OKT NOV B1 DISC  30%</v>
      </c>
      <c r="B361" s="46">
        <v>46104</v>
      </c>
      <c r="C361" s="46">
        <v>46113</v>
      </c>
      <c r="D361" s="47">
        <v>3273</v>
      </c>
      <c r="E361" s="47">
        <v>336</v>
      </c>
      <c r="F361" s="47">
        <v>4</v>
      </c>
      <c r="G361" s="45">
        <v>6</v>
      </c>
      <c r="H361" s="45">
        <v>81588</v>
      </c>
      <c r="I361" s="48" t="s">
        <v>17</v>
      </c>
      <c r="J361" s="45">
        <v>61620208</v>
      </c>
      <c r="K361" s="45" t="s">
        <v>3762</v>
      </c>
      <c r="L361" s="45" t="s">
        <v>3765</v>
      </c>
      <c r="M361" s="50">
        <v>99900</v>
      </c>
      <c r="N361" s="51">
        <f t="shared" si="17"/>
        <v>0.3</v>
      </c>
      <c r="O361" s="52">
        <f t="shared" si="15"/>
        <v>69930</v>
      </c>
      <c r="P361" s="48" t="s">
        <v>20</v>
      </c>
    </row>
    <row r="362" spans="1:16" x14ac:dyDescent="0.25">
      <c r="A362" s="45" t="str">
        <f t="shared" si="16"/>
        <v>2025 OKT NOV B1 DISC  30%</v>
      </c>
      <c r="B362" s="46">
        <v>46104</v>
      </c>
      <c r="C362" s="46">
        <v>46113</v>
      </c>
      <c r="D362" s="47">
        <v>3273</v>
      </c>
      <c r="E362" s="47">
        <v>336</v>
      </c>
      <c r="F362" s="47">
        <v>4</v>
      </c>
      <c r="G362" s="45">
        <v>6</v>
      </c>
      <c r="H362" s="45">
        <v>81588</v>
      </c>
      <c r="I362" s="48" t="s">
        <v>17</v>
      </c>
      <c r="J362" s="45">
        <v>61620217</v>
      </c>
      <c r="K362" s="45" t="s">
        <v>3762</v>
      </c>
      <c r="L362" s="45" t="s">
        <v>3766</v>
      </c>
      <c r="M362" s="50">
        <v>99900</v>
      </c>
      <c r="N362" s="51">
        <f t="shared" si="17"/>
        <v>0.3</v>
      </c>
      <c r="O362" s="52">
        <f t="shared" si="15"/>
        <v>69930</v>
      </c>
      <c r="P362" s="48" t="s">
        <v>20</v>
      </c>
    </row>
    <row r="363" spans="1:16" x14ac:dyDescent="0.25">
      <c r="A363" s="45" t="str">
        <f t="shared" si="16"/>
        <v>2025 OKT NOV B1 DISC  30%</v>
      </c>
      <c r="B363" s="46">
        <v>46104</v>
      </c>
      <c r="C363" s="46">
        <v>46113</v>
      </c>
      <c r="D363" s="47">
        <v>3273</v>
      </c>
      <c r="E363" s="47">
        <v>336</v>
      </c>
      <c r="F363" s="47">
        <v>4</v>
      </c>
      <c r="G363" s="45">
        <v>6</v>
      </c>
      <c r="H363" s="45">
        <v>81588</v>
      </c>
      <c r="I363" s="48" t="s">
        <v>17</v>
      </c>
      <c r="J363" s="45">
        <v>61620226</v>
      </c>
      <c r="K363" s="45" t="s">
        <v>3762</v>
      </c>
      <c r="L363" s="45" t="s">
        <v>3767</v>
      </c>
      <c r="M363" s="50">
        <v>99900</v>
      </c>
      <c r="N363" s="51">
        <f t="shared" si="17"/>
        <v>0.3</v>
      </c>
      <c r="O363" s="52">
        <f t="shared" si="15"/>
        <v>69930</v>
      </c>
      <c r="P363" s="48" t="s">
        <v>20</v>
      </c>
    </row>
    <row r="364" spans="1:16" x14ac:dyDescent="0.25">
      <c r="A364" s="45" t="str">
        <f t="shared" si="16"/>
        <v>2025 OKT NOV B1 DISC  30%</v>
      </c>
      <c r="B364" s="46">
        <v>46104</v>
      </c>
      <c r="C364" s="46">
        <v>46113</v>
      </c>
      <c r="D364" s="47">
        <v>3273</v>
      </c>
      <c r="E364" s="47">
        <v>336</v>
      </c>
      <c r="F364" s="47">
        <v>4</v>
      </c>
      <c r="G364" s="45">
        <v>6</v>
      </c>
      <c r="H364" s="45">
        <v>81588</v>
      </c>
      <c r="I364" s="48" t="s">
        <v>17</v>
      </c>
      <c r="J364" s="45">
        <v>61620235</v>
      </c>
      <c r="K364" s="45" t="s">
        <v>3762</v>
      </c>
      <c r="L364" s="45" t="s">
        <v>3768</v>
      </c>
      <c r="M364" s="50">
        <v>99900</v>
      </c>
      <c r="N364" s="51">
        <f t="shared" si="17"/>
        <v>0.3</v>
      </c>
      <c r="O364" s="52">
        <f t="shared" si="15"/>
        <v>69930</v>
      </c>
      <c r="P364" s="48" t="s">
        <v>20</v>
      </c>
    </row>
    <row r="365" spans="1:16" x14ac:dyDescent="0.25">
      <c r="A365" s="45" t="str">
        <f t="shared" si="16"/>
        <v>2025 OKT NOV B1 DISC  30%</v>
      </c>
      <c r="B365" s="46">
        <v>46104</v>
      </c>
      <c r="C365" s="46">
        <v>46113</v>
      </c>
      <c r="D365" s="47">
        <v>3273</v>
      </c>
      <c r="E365" s="47">
        <v>336</v>
      </c>
      <c r="F365" s="47">
        <v>4</v>
      </c>
      <c r="G365" s="45">
        <v>6</v>
      </c>
      <c r="H365" s="45">
        <v>81588</v>
      </c>
      <c r="I365" s="48" t="s">
        <v>17</v>
      </c>
      <c r="J365" s="45">
        <v>61620244</v>
      </c>
      <c r="K365" s="45" t="s">
        <v>3762</v>
      </c>
      <c r="L365" s="45" t="s">
        <v>3769</v>
      </c>
      <c r="M365" s="50">
        <v>99900</v>
      </c>
      <c r="N365" s="51">
        <f t="shared" si="17"/>
        <v>0.3</v>
      </c>
      <c r="O365" s="52">
        <f t="shared" si="15"/>
        <v>69930</v>
      </c>
      <c r="P365" s="48" t="s">
        <v>20</v>
      </c>
    </row>
    <row r="366" spans="1:16" x14ac:dyDescent="0.25">
      <c r="A366" s="45" t="str">
        <f t="shared" si="16"/>
        <v>2025 OKT NOV B1 DISC  30%</v>
      </c>
      <c r="B366" s="46">
        <v>46104</v>
      </c>
      <c r="C366" s="46">
        <v>46113</v>
      </c>
      <c r="D366" s="47">
        <v>3273</v>
      </c>
      <c r="E366" s="47">
        <v>336</v>
      </c>
      <c r="F366" s="47">
        <v>4</v>
      </c>
      <c r="G366" s="45">
        <v>6</v>
      </c>
      <c r="H366" s="45">
        <v>81588</v>
      </c>
      <c r="I366" s="48" t="s">
        <v>17</v>
      </c>
      <c r="J366" s="45">
        <v>61620253</v>
      </c>
      <c r="K366" s="45" t="s">
        <v>3770</v>
      </c>
      <c r="L366" s="45" t="s">
        <v>3771</v>
      </c>
      <c r="M366" s="50">
        <v>99900</v>
      </c>
      <c r="N366" s="51">
        <f t="shared" si="17"/>
        <v>0.3</v>
      </c>
      <c r="O366" s="52">
        <f t="shared" si="15"/>
        <v>69930</v>
      </c>
      <c r="P366" s="48" t="s">
        <v>20</v>
      </c>
    </row>
    <row r="367" spans="1:16" x14ac:dyDescent="0.25">
      <c r="A367" s="45" t="str">
        <f t="shared" si="16"/>
        <v>2025 OKT NOV B1 DISC  30%</v>
      </c>
      <c r="B367" s="46">
        <v>46104</v>
      </c>
      <c r="C367" s="46">
        <v>46113</v>
      </c>
      <c r="D367" s="47">
        <v>3273</v>
      </c>
      <c r="E367" s="47">
        <v>336</v>
      </c>
      <c r="F367" s="47">
        <v>4</v>
      </c>
      <c r="G367" s="45">
        <v>6</v>
      </c>
      <c r="H367" s="45">
        <v>81588</v>
      </c>
      <c r="I367" s="48" t="s">
        <v>17</v>
      </c>
      <c r="J367" s="45">
        <v>61620262</v>
      </c>
      <c r="K367" s="45" t="s">
        <v>3770</v>
      </c>
      <c r="L367" s="45" t="s">
        <v>3772</v>
      </c>
      <c r="M367" s="50">
        <v>99900</v>
      </c>
      <c r="N367" s="51">
        <f t="shared" si="17"/>
        <v>0.3</v>
      </c>
      <c r="O367" s="52">
        <f t="shared" si="15"/>
        <v>69930</v>
      </c>
      <c r="P367" s="48" t="s">
        <v>20</v>
      </c>
    </row>
    <row r="368" spans="1:16" x14ac:dyDescent="0.25">
      <c r="A368" s="45" t="str">
        <f t="shared" si="16"/>
        <v>2025 OKT NOV B1 DISC  30%</v>
      </c>
      <c r="B368" s="46">
        <v>46104</v>
      </c>
      <c r="C368" s="46">
        <v>46113</v>
      </c>
      <c r="D368" s="47">
        <v>3273</v>
      </c>
      <c r="E368" s="47">
        <v>336</v>
      </c>
      <c r="F368" s="47">
        <v>4</v>
      </c>
      <c r="G368" s="45">
        <v>6</v>
      </c>
      <c r="H368" s="45">
        <v>81588</v>
      </c>
      <c r="I368" s="48" t="s">
        <v>17</v>
      </c>
      <c r="J368" s="45">
        <v>61620271</v>
      </c>
      <c r="K368" s="45" t="s">
        <v>3770</v>
      </c>
      <c r="L368" s="45" t="s">
        <v>3773</v>
      </c>
      <c r="M368" s="50">
        <v>99900</v>
      </c>
      <c r="N368" s="51">
        <f t="shared" si="17"/>
        <v>0.3</v>
      </c>
      <c r="O368" s="52">
        <f t="shared" si="15"/>
        <v>69930</v>
      </c>
      <c r="P368" s="48" t="s">
        <v>20</v>
      </c>
    </row>
    <row r="369" spans="1:16" x14ac:dyDescent="0.25">
      <c r="A369" s="45" t="str">
        <f t="shared" si="16"/>
        <v>2025 OKT NOV B1 DISC  30%</v>
      </c>
      <c r="B369" s="46">
        <v>46104</v>
      </c>
      <c r="C369" s="46">
        <v>46113</v>
      </c>
      <c r="D369" s="47">
        <v>3273</v>
      </c>
      <c r="E369" s="47">
        <v>336</v>
      </c>
      <c r="F369" s="47">
        <v>4</v>
      </c>
      <c r="G369" s="45">
        <v>6</v>
      </c>
      <c r="H369" s="45">
        <v>81588</v>
      </c>
      <c r="I369" s="48" t="s">
        <v>17</v>
      </c>
      <c r="J369" s="45">
        <v>61620280</v>
      </c>
      <c r="K369" s="45" t="s">
        <v>3770</v>
      </c>
      <c r="L369" s="45" t="s">
        <v>3774</v>
      </c>
      <c r="M369" s="50">
        <v>99900</v>
      </c>
      <c r="N369" s="51">
        <f t="shared" si="17"/>
        <v>0.3</v>
      </c>
      <c r="O369" s="52">
        <f t="shared" si="15"/>
        <v>69930</v>
      </c>
      <c r="P369" s="48" t="s">
        <v>20</v>
      </c>
    </row>
    <row r="370" spans="1:16" x14ac:dyDescent="0.25">
      <c r="A370" s="45" t="str">
        <f t="shared" si="16"/>
        <v>2025 OKT NOV B1 DISC  30%</v>
      </c>
      <c r="B370" s="46">
        <v>46104</v>
      </c>
      <c r="C370" s="46">
        <v>46113</v>
      </c>
      <c r="D370" s="47">
        <v>3273</v>
      </c>
      <c r="E370" s="47">
        <v>336</v>
      </c>
      <c r="F370" s="47">
        <v>4</v>
      </c>
      <c r="G370" s="45">
        <v>6</v>
      </c>
      <c r="H370" s="45">
        <v>81588</v>
      </c>
      <c r="I370" s="48" t="s">
        <v>17</v>
      </c>
      <c r="J370" s="45">
        <v>61620299</v>
      </c>
      <c r="K370" s="45" t="s">
        <v>3770</v>
      </c>
      <c r="L370" s="45" t="s">
        <v>3775</v>
      </c>
      <c r="M370" s="50">
        <v>99900</v>
      </c>
      <c r="N370" s="51">
        <f t="shared" si="17"/>
        <v>0.3</v>
      </c>
      <c r="O370" s="52">
        <f t="shared" si="15"/>
        <v>69930</v>
      </c>
      <c r="P370" s="48" t="s">
        <v>20</v>
      </c>
    </row>
    <row r="371" spans="1:16" x14ac:dyDescent="0.25">
      <c r="A371" s="45" t="str">
        <f t="shared" si="16"/>
        <v>2025 OKT NOV B1 DISC  30%</v>
      </c>
      <c r="B371" s="46">
        <v>46104</v>
      </c>
      <c r="C371" s="46">
        <v>46113</v>
      </c>
      <c r="D371" s="47">
        <v>3273</v>
      </c>
      <c r="E371" s="47">
        <v>336</v>
      </c>
      <c r="F371" s="47">
        <v>4</v>
      </c>
      <c r="G371" s="45">
        <v>6</v>
      </c>
      <c r="H371" s="45">
        <v>81588</v>
      </c>
      <c r="I371" s="48" t="s">
        <v>17</v>
      </c>
      <c r="J371" s="45">
        <v>61620306</v>
      </c>
      <c r="K371" s="45" t="s">
        <v>3770</v>
      </c>
      <c r="L371" s="45" t="s">
        <v>3776</v>
      </c>
      <c r="M371" s="50">
        <v>99900</v>
      </c>
      <c r="N371" s="51">
        <f t="shared" si="17"/>
        <v>0.3</v>
      </c>
      <c r="O371" s="52">
        <f t="shared" si="15"/>
        <v>69930</v>
      </c>
      <c r="P371" s="48" t="s">
        <v>20</v>
      </c>
    </row>
    <row r="372" spans="1:16" x14ac:dyDescent="0.25">
      <c r="A372" s="45" t="str">
        <f t="shared" si="16"/>
        <v>2025 OKT NOV B1 DISC  30%</v>
      </c>
      <c r="B372" s="46">
        <v>46104</v>
      </c>
      <c r="C372" s="46">
        <v>46113</v>
      </c>
      <c r="D372" s="47">
        <v>3273</v>
      </c>
      <c r="E372" s="47">
        <v>336</v>
      </c>
      <c r="F372" s="47">
        <v>4</v>
      </c>
      <c r="G372" s="45">
        <v>6</v>
      </c>
      <c r="H372" s="45">
        <v>81588</v>
      </c>
      <c r="I372" s="48" t="s">
        <v>17</v>
      </c>
      <c r="J372" s="45">
        <v>61620315</v>
      </c>
      <c r="K372" s="45" t="s">
        <v>3770</v>
      </c>
      <c r="L372" s="45" t="s">
        <v>3777</v>
      </c>
      <c r="M372" s="50">
        <v>99900</v>
      </c>
      <c r="N372" s="51">
        <f t="shared" si="17"/>
        <v>0.3</v>
      </c>
      <c r="O372" s="52">
        <f t="shared" si="15"/>
        <v>69930</v>
      </c>
      <c r="P372" s="48" t="s">
        <v>20</v>
      </c>
    </row>
    <row r="373" spans="1:16" x14ac:dyDescent="0.25">
      <c r="A373" s="45" t="str">
        <f t="shared" si="16"/>
        <v>2025 OKT NOV B1 DISC  30%</v>
      </c>
      <c r="B373" s="46">
        <v>46104</v>
      </c>
      <c r="C373" s="46">
        <v>46113</v>
      </c>
      <c r="D373" s="47">
        <v>3273</v>
      </c>
      <c r="E373" s="47">
        <v>336</v>
      </c>
      <c r="F373" s="47">
        <v>4</v>
      </c>
      <c r="G373" s="45">
        <v>6</v>
      </c>
      <c r="H373" s="45">
        <v>81588</v>
      </c>
      <c r="I373" s="48" t="s">
        <v>17</v>
      </c>
      <c r="J373" s="45">
        <v>68563133</v>
      </c>
      <c r="K373" s="45" t="s">
        <v>3778</v>
      </c>
      <c r="L373" s="45" t="s">
        <v>3779</v>
      </c>
      <c r="M373" s="50">
        <v>99900</v>
      </c>
      <c r="N373" s="51">
        <f t="shared" si="17"/>
        <v>0.3</v>
      </c>
      <c r="O373" s="52">
        <f t="shared" si="15"/>
        <v>69930</v>
      </c>
      <c r="P373" s="48" t="s">
        <v>20</v>
      </c>
    </row>
    <row r="374" spans="1:16" x14ac:dyDescent="0.25">
      <c r="A374" s="45" t="str">
        <f t="shared" si="16"/>
        <v>2025 OKT NOV B1 DISC  30%</v>
      </c>
      <c r="B374" s="46">
        <v>46104</v>
      </c>
      <c r="C374" s="46">
        <v>46113</v>
      </c>
      <c r="D374" s="47">
        <v>3273</v>
      </c>
      <c r="E374" s="47">
        <v>336</v>
      </c>
      <c r="F374" s="47">
        <v>4</v>
      </c>
      <c r="G374" s="45">
        <v>6</v>
      </c>
      <c r="H374" s="45">
        <v>81588</v>
      </c>
      <c r="I374" s="48" t="s">
        <v>17</v>
      </c>
      <c r="J374" s="45">
        <v>68563142</v>
      </c>
      <c r="K374" s="45" t="s">
        <v>3778</v>
      </c>
      <c r="L374" s="45" t="s">
        <v>3780</v>
      </c>
      <c r="M374" s="50">
        <v>99900</v>
      </c>
      <c r="N374" s="51">
        <f t="shared" si="17"/>
        <v>0.3</v>
      </c>
      <c r="O374" s="52">
        <f t="shared" si="15"/>
        <v>69930</v>
      </c>
      <c r="P374" s="48" t="s">
        <v>20</v>
      </c>
    </row>
    <row r="375" spans="1:16" x14ac:dyDescent="0.25">
      <c r="A375" s="45" t="str">
        <f t="shared" si="16"/>
        <v>2025 OKT NOV B1 DISC  30%</v>
      </c>
      <c r="B375" s="46">
        <v>46104</v>
      </c>
      <c r="C375" s="46">
        <v>46113</v>
      </c>
      <c r="D375" s="47">
        <v>3273</v>
      </c>
      <c r="E375" s="47">
        <v>336</v>
      </c>
      <c r="F375" s="47">
        <v>4</v>
      </c>
      <c r="G375" s="45">
        <v>6</v>
      </c>
      <c r="H375" s="45">
        <v>81588</v>
      </c>
      <c r="I375" s="48" t="s">
        <v>17</v>
      </c>
      <c r="J375" s="45">
        <v>68563151</v>
      </c>
      <c r="K375" s="45" t="s">
        <v>3778</v>
      </c>
      <c r="L375" s="45" t="s">
        <v>3781</v>
      </c>
      <c r="M375" s="50">
        <v>99900</v>
      </c>
      <c r="N375" s="51">
        <f t="shared" si="17"/>
        <v>0.3</v>
      </c>
      <c r="O375" s="52">
        <f t="shared" si="15"/>
        <v>69930</v>
      </c>
      <c r="P375" s="48" t="s">
        <v>20</v>
      </c>
    </row>
    <row r="376" spans="1:16" x14ac:dyDescent="0.25">
      <c r="A376" s="45" t="str">
        <f t="shared" si="16"/>
        <v>2025 OKT NOV B1 DISC  30%</v>
      </c>
      <c r="B376" s="46">
        <v>46104</v>
      </c>
      <c r="C376" s="46">
        <v>46113</v>
      </c>
      <c r="D376" s="47">
        <v>3273</v>
      </c>
      <c r="E376" s="47">
        <v>336</v>
      </c>
      <c r="F376" s="47">
        <v>4</v>
      </c>
      <c r="G376" s="45">
        <v>6</v>
      </c>
      <c r="H376" s="45">
        <v>81588</v>
      </c>
      <c r="I376" s="48" t="s">
        <v>17</v>
      </c>
      <c r="J376" s="45">
        <v>68563160</v>
      </c>
      <c r="K376" s="45" t="s">
        <v>3778</v>
      </c>
      <c r="L376" s="45" t="s">
        <v>3782</v>
      </c>
      <c r="M376" s="50">
        <v>99900</v>
      </c>
      <c r="N376" s="51">
        <f t="shared" si="17"/>
        <v>0.3</v>
      </c>
      <c r="O376" s="52">
        <f t="shared" si="15"/>
        <v>69930</v>
      </c>
      <c r="P376" s="48" t="s">
        <v>20</v>
      </c>
    </row>
    <row r="377" spans="1:16" x14ac:dyDescent="0.25">
      <c r="A377" s="45" t="str">
        <f t="shared" si="16"/>
        <v>2025 OKT NOV B1 DISC  30%</v>
      </c>
      <c r="B377" s="46">
        <v>46104</v>
      </c>
      <c r="C377" s="46">
        <v>46113</v>
      </c>
      <c r="D377" s="47">
        <v>3273</v>
      </c>
      <c r="E377" s="47">
        <v>336</v>
      </c>
      <c r="F377" s="47">
        <v>4</v>
      </c>
      <c r="G377" s="45">
        <v>6</v>
      </c>
      <c r="H377" s="45">
        <v>81588</v>
      </c>
      <c r="I377" s="48" t="s">
        <v>17</v>
      </c>
      <c r="J377" s="45">
        <v>68563179</v>
      </c>
      <c r="K377" s="45" t="s">
        <v>3778</v>
      </c>
      <c r="L377" s="45" t="s">
        <v>3783</v>
      </c>
      <c r="M377" s="50">
        <v>99900</v>
      </c>
      <c r="N377" s="51">
        <f t="shared" si="17"/>
        <v>0.3</v>
      </c>
      <c r="O377" s="52">
        <f t="shared" si="15"/>
        <v>69930</v>
      </c>
      <c r="P377" s="48" t="s">
        <v>20</v>
      </c>
    </row>
    <row r="378" spans="1:16" x14ac:dyDescent="0.25">
      <c r="A378" s="45" t="str">
        <f t="shared" si="16"/>
        <v>2025 OKT NOV B1 DISC  30%</v>
      </c>
      <c r="B378" s="46">
        <v>46104</v>
      </c>
      <c r="C378" s="46">
        <v>46113</v>
      </c>
      <c r="D378" s="47">
        <v>3273</v>
      </c>
      <c r="E378" s="47">
        <v>336</v>
      </c>
      <c r="F378" s="47">
        <v>4</v>
      </c>
      <c r="G378" s="45">
        <v>6</v>
      </c>
      <c r="H378" s="45">
        <v>81588</v>
      </c>
      <c r="I378" s="48" t="s">
        <v>17</v>
      </c>
      <c r="J378" s="45">
        <v>68563188</v>
      </c>
      <c r="K378" s="45" t="s">
        <v>3778</v>
      </c>
      <c r="L378" s="45" t="s">
        <v>3784</v>
      </c>
      <c r="M378" s="50">
        <v>99900</v>
      </c>
      <c r="N378" s="51">
        <f t="shared" si="17"/>
        <v>0.3</v>
      </c>
      <c r="O378" s="52">
        <f t="shared" si="15"/>
        <v>69930</v>
      </c>
      <c r="P378" s="48" t="s">
        <v>20</v>
      </c>
    </row>
    <row r="379" spans="1:16" x14ac:dyDescent="0.25">
      <c r="A379" s="45" t="str">
        <f t="shared" si="16"/>
        <v>2025 OKT NOV B1 DISC  30%</v>
      </c>
      <c r="B379" s="46">
        <v>46104</v>
      </c>
      <c r="C379" s="46">
        <v>46113</v>
      </c>
      <c r="D379" s="47">
        <v>3273</v>
      </c>
      <c r="E379" s="47">
        <v>336</v>
      </c>
      <c r="F379" s="47">
        <v>4</v>
      </c>
      <c r="G379" s="45">
        <v>6</v>
      </c>
      <c r="H379" s="45">
        <v>81588</v>
      </c>
      <c r="I379" s="48" t="s">
        <v>17</v>
      </c>
      <c r="J379" s="45">
        <v>68563197</v>
      </c>
      <c r="K379" s="45" t="s">
        <v>3778</v>
      </c>
      <c r="L379" s="45" t="s">
        <v>3785</v>
      </c>
      <c r="M379" s="50">
        <v>99900</v>
      </c>
      <c r="N379" s="51">
        <f t="shared" si="17"/>
        <v>0.3</v>
      </c>
      <c r="O379" s="52">
        <f t="shared" si="15"/>
        <v>69930</v>
      </c>
      <c r="P379" s="48" t="s">
        <v>20</v>
      </c>
    </row>
    <row r="380" spans="1:16" x14ac:dyDescent="0.25">
      <c r="A380" s="45" t="str">
        <f t="shared" si="16"/>
        <v>2025 OKT NOV B1 DISC  30%</v>
      </c>
      <c r="B380" s="46">
        <v>46104</v>
      </c>
      <c r="C380" s="46">
        <v>46113</v>
      </c>
      <c r="D380" s="47">
        <v>3273</v>
      </c>
      <c r="E380" s="47">
        <v>336</v>
      </c>
      <c r="F380" s="47">
        <v>4</v>
      </c>
      <c r="G380" s="45">
        <v>6</v>
      </c>
      <c r="H380" s="45">
        <v>81588</v>
      </c>
      <c r="I380" s="48" t="s">
        <v>17</v>
      </c>
      <c r="J380" s="45">
        <v>68563286</v>
      </c>
      <c r="K380" s="45" t="s">
        <v>3786</v>
      </c>
      <c r="L380" s="45" t="s">
        <v>3787</v>
      </c>
      <c r="M380" s="50">
        <v>99900</v>
      </c>
      <c r="N380" s="51">
        <f t="shared" si="17"/>
        <v>0.3</v>
      </c>
      <c r="O380" s="52">
        <f t="shared" si="15"/>
        <v>69930</v>
      </c>
      <c r="P380" s="48" t="s">
        <v>20</v>
      </c>
    </row>
    <row r="381" spans="1:16" x14ac:dyDescent="0.25">
      <c r="A381" s="45" t="str">
        <f t="shared" si="16"/>
        <v>2025 OKT NOV B1 DISC  30%</v>
      </c>
      <c r="B381" s="46">
        <v>46104</v>
      </c>
      <c r="C381" s="46">
        <v>46113</v>
      </c>
      <c r="D381" s="47">
        <v>3273</v>
      </c>
      <c r="E381" s="47">
        <v>336</v>
      </c>
      <c r="F381" s="47">
        <v>4</v>
      </c>
      <c r="G381" s="45">
        <v>6</v>
      </c>
      <c r="H381" s="45">
        <v>81588</v>
      </c>
      <c r="I381" s="48" t="s">
        <v>17</v>
      </c>
      <c r="J381" s="45">
        <v>68563295</v>
      </c>
      <c r="K381" s="45" t="s">
        <v>3786</v>
      </c>
      <c r="L381" s="45" t="s">
        <v>3788</v>
      </c>
      <c r="M381" s="50">
        <v>99900</v>
      </c>
      <c r="N381" s="51">
        <f t="shared" si="17"/>
        <v>0.3</v>
      </c>
      <c r="O381" s="52">
        <f t="shared" si="15"/>
        <v>69930</v>
      </c>
      <c r="P381" s="48" t="s">
        <v>20</v>
      </c>
    </row>
    <row r="382" spans="1:16" x14ac:dyDescent="0.25">
      <c r="A382" s="45" t="str">
        <f t="shared" si="16"/>
        <v>2025 OKT NOV B1 DISC  30%</v>
      </c>
      <c r="B382" s="46">
        <v>46104</v>
      </c>
      <c r="C382" s="46">
        <v>46113</v>
      </c>
      <c r="D382" s="47">
        <v>3273</v>
      </c>
      <c r="E382" s="47">
        <v>336</v>
      </c>
      <c r="F382" s="47">
        <v>4</v>
      </c>
      <c r="G382" s="45">
        <v>6</v>
      </c>
      <c r="H382" s="45">
        <v>81588</v>
      </c>
      <c r="I382" s="48" t="s">
        <v>17</v>
      </c>
      <c r="J382" s="45">
        <v>68563302</v>
      </c>
      <c r="K382" s="45" t="s">
        <v>3786</v>
      </c>
      <c r="L382" s="45" t="s">
        <v>3789</v>
      </c>
      <c r="M382" s="50">
        <v>99900</v>
      </c>
      <c r="N382" s="51">
        <f t="shared" si="17"/>
        <v>0.3</v>
      </c>
      <c r="O382" s="52">
        <f t="shared" si="15"/>
        <v>69930</v>
      </c>
      <c r="P382" s="48" t="s">
        <v>20</v>
      </c>
    </row>
    <row r="383" spans="1:16" x14ac:dyDescent="0.25">
      <c r="A383" s="45" t="str">
        <f t="shared" si="16"/>
        <v>2025 OKT NOV B1 DISC  30%</v>
      </c>
      <c r="B383" s="46">
        <v>46104</v>
      </c>
      <c r="C383" s="46">
        <v>46113</v>
      </c>
      <c r="D383" s="47">
        <v>3273</v>
      </c>
      <c r="E383" s="47">
        <v>336</v>
      </c>
      <c r="F383" s="47">
        <v>4</v>
      </c>
      <c r="G383" s="45">
        <v>6</v>
      </c>
      <c r="H383" s="45">
        <v>81588</v>
      </c>
      <c r="I383" s="48" t="s">
        <v>17</v>
      </c>
      <c r="J383" s="45">
        <v>68563311</v>
      </c>
      <c r="K383" s="45" t="s">
        <v>3786</v>
      </c>
      <c r="L383" s="45" t="s">
        <v>3790</v>
      </c>
      <c r="M383" s="50">
        <v>99900</v>
      </c>
      <c r="N383" s="51">
        <f t="shared" si="17"/>
        <v>0.3</v>
      </c>
      <c r="O383" s="52">
        <f t="shared" si="15"/>
        <v>69930</v>
      </c>
      <c r="P383" s="48" t="s">
        <v>20</v>
      </c>
    </row>
    <row r="384" spans="1:16" x14ac:dyDescent="0.25">
      <c r="A384" s="45" t="str">
        <f t="shared" si="16"/>
        <v>2025 OKT NOV B1 DISC  30%</v>
      </c>
      <c r="B384" s="46">
        <v>46104</v>
      </c>
      <c r="C384" s="46">
        <v>46113</v>
      </c>
      <c r="D384" s="47">
        <v>3273</v>
      </c>
      <c r="E384" s="47">
        <v>336</v>
      </c>
      <c r="F384" s="47">
        <v>4</v>
      </c>
      <c r="G384" s="45">
        <v>6</v>
      </c>
      <c r="H384" s="45">
        <v>81588</v>
      </c>
      <c r="I384" s="48" t="s">
        <v>17</v>
      </c>
      <c r="J384" s="45">
        <v>68563320</v>
      </c>
      <c r="K384" s="45" t="s">
        <v>3786</v>
      </c>
      <c r="L384" s="45" t="s">
        <v>3791</v>
      </c>
      <c r="M384" s="50">
        <v>99900</v>
      </c>
      <c r="N384" s="51">
        <f t="shared" si="17"/>
        <v>0.3</v>
      </c>
      <c r="O384" s="52">
        <f t="shared" si="15"/>
        <v>69930</v>
      </c>
      <c r="P384" s="48" t="s">
        <v>20</v>
      </c>
    </row>
    <row r="385" spans="1:16" x14ac:dyDescent="0.25">
      <c r="A385" s="45" t="str">
        <f t="shared" si="16"/>
        <v>2025 OKT NOV B1 DISC  30%</v>
      </c>
      <c r="B385" s="46">
        <v>46104</v>
      </c>
      <c r="C385" s="46">
        <v>46113</v>
      </c>
      <c r="D385" s="47">
        <v>3273</v>
      </c>
      <c r="E385" s="47">
        <v>336</v>
      </c>
      <c r="F385" s="47">
        <v>4</v>
      </c>
      <c r="G385" s="45">
        <v>6</v>
      </c>
      <c r="H385" s="45">
        <v>81588</v>
      </c>
      <c r="I385" s="48" t="s">
        <v>17</v>
      </c>
      <c r="J385" s="45">
        <v>68563339</v>
      </c>
      <c r="K385" s="45" t="s">
        <v>3786</v>
      </c>
      <c r="L385" s="45" t="s">
        <v>3792</v>
      </c>
      <c r="M385" s="50">
        <v>99900</v>
      </c>
      <c r="N385" s="51">
        <f t="shared" si="17"/>
        <v>0.3</v>
      </c>
      <c r="O385" s="52">
        <f t="shared" si="15"/>
        <v>69930</v>
      </c>
      <c r="P385" s="48" t="s">
        <v>20</v>
      </c>
    </row>
    <row r="386" spans="1:16" x14ac:dyDescent="0.25">
      <c r="A386" s="45" t="str">
        <f t="shared" si="16"/>
        <v>2025 OKT NOV B1 DISC  30%</v>
      </c>
      <c r="B386" s="46">
        <v>46104</v>
      </c>
      <c r="C386" s="46">
        <v>46113</v>
      </c>
      <c r="D386" s="47">
        <v>3273</v>
      </c>
      <c r="E386" s="47">
        <v>336</v>
      </c>
      <c r="F386" s="47">
        <v>4</v>
      </c>
      <c r="G386" s="45">
        <v>6</v>
      </c>
      <c r="H386" s="45">
        <v>81588</v>
      </c>
      <c r="I386" s="48" t="s">
        <v>17</v>
      </c>
      <c r="J386" s="45">
        <v>68563348</v>
      </c>
      <c r="K386" s="45" t="s">
        <v>3786</v>
      </c>
      <c r="L386" s="45" t="s">
        <v>3793</v>
      </c>
      <c r="M386" s="50">
        <v>99900</v>
      </c>
      <c r="N386" s="51">
        <f t="shared" si="17"/>
        <v>0.3</v>
      </c>
      <c r="O386" s="52">
        <f t="shared" si="15"/>
        <v>69930</v>
      </c>
      <c r="P386" s="48" t="s">
        <v>20</v>
      </c>
    </row>
    <row r="387" spans="1:16" x14ac:dyDescent="0.25">
      <c r="A387" s="45" t="str">
        <f t="shared" si="16"/>
        <v>2025 OKT NOV B1 DISC  30%</v>
      </c>
      <c r="B387" s="46">
        <v>46104</v>
      </c>
      <c r="C387" s="46">
        <v>46113</v>
      </c>
      <c r="D387" s="47">
        <v>3273</v>
      </c>
      <c r="E387" s="47">
        <v>336</v>
      </c>
      <c r="F387" s="47">
        <v>4</v>
      </c>
      <c r="G387" s="45">
        <v>6</v>
      </c>
      <c r="H387" s="45">
        <v>81588</v>
      </c>
      <c r="I387" s="48" t="s">
        <v>17</v>
      </c>
      <c r="J387" s="45">
        <v>68563357</v>
      </c>
      <c r="K387" s="45" t="s">
        <v>3786</v>
      </c>
      <c r="L387" s="45" t="s">
        <v>3794</v>
      </c>
      <c r="M387" s="50">
        <v>99900</v>
      </c>
      <c r="N387" s="51">
        <f t="shared" si="17"/>
        <v>0.3</v>
      </c>
      <c r="O387" s="52">
        <f t="shared" ref="O387" si="18">M387-((30*M387)/100)</f>
        <v>69930</v>
      </c>
      <c r="P387" s="48" t="s">
        <v>20</v>
      </c>
    </row>
  </sheetData>
  <conditionalFormatting sqref="J1 Q1">
    <cfRule type="duplicateValues" dxfId="11" priority="1"/>
  </conditionalFormatting>
  <conditionalFormatting sqref="J1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  <cfRule type="duplicateValues" dxfId="0" priority="1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 ALL D75</vt:lpstr>
      <vt:lpstr>2025 JAN-JUN D70</vt:lpstr>
      <vt:lpstr>2025 SEPT B1G1</vt:lpstr>
      <vt:lpstr>2025 OKT NOV B1 D30 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Maydelline Pui</dc:creator>
  <cp:lastModifiedBy>Maydelline Pui</cp:lastModifiedBy>
  <dcterms:created xsi:type="dcterms:W3CDTF">2026-03-16T09:48:33Z</dcterms:created>
  <dcterms:modified xsi:type="dcterms:W3CDTF">2026-03-17T01:15:08Z</dcterms:modified>
</cp:coreProperties>
</file>