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mataharimds-my.sharepoint.com/personal/m180431_matahari_com/Documents/FILE IMAS/FILE PMO/2026/PROMO IMAS - DIV 4/ATT/WK 12 &amp; 13 (18 MAR-01 APR)/23-01 (PERUBAHAN ONLY)/"/>
    </mc:Choice>
  </mc:AlternateContent>
  <xr:revisionPtr revIDLastSave="3" documentId="13_ncr:1_{A56E0D98-41EE-46AA-BB1D-8473832247F0}" xr6:coauthVersionLast="47" xr6:coauthVersionMax="47" xr10:uidLastSave="{56E4426F-99F2-40F8-B049-C411F074F4DA}"/>
  <bookViews>
    <workbookView xWindow="-110" yWindow="-110" windowWidth="19420" windowHeight="10300" tabRatio="899" firstSheet="9" activeTab="13" xr2:uid="{00000000-000D-0000-FFFF-FFFF00000000}"/>
  </bookViews>
  <sheets>
    <sheet name="2025 OCT D30- 3321" sheetId="135" r:id="rId1"/>
    <sheet name="2025 SEPT B1G1 - 3321" sheetId="120" r:id="rId2"/>
    <sheet name="2025 JAN-JUN D70 - 3321" sheetId="94" r:id="rId3"/>
    <sheet name="2024 JAN-SEP D75 - 3321" sheetId="139" r:id="rId4"/>
    <sheet name="2025 NOV D30 -3281" sheetId="152" r:id="rId5"/>
    <sheet name="2025 OCT D30 - 3281" sheetId="136" r:id="rId6"/>
    <sheet name="2025 JAN-APR D70 - 3281" sheetId="56" r:id="rId7"/>
    <sheet name="2024 JAN-DEC D75 - 3281" sheetId="142" r:id="rId8"/>
    <sheet name="2025 SEPT B1G1 -3284" sheetId="133" r:id="rId9"/>
    <sheet name="2025 JAN-JUN D70 - 3284" sheetId="100" r:id="rId10"/>
    <sheet name="2024 JAN-DEC D75-3284 LC  BABY" sheetId="90" r:id="rId11"/>
    <sheet name="2025 OCT D30- 3287" sheetId="127" r:id="rId12"/>
    <sheet name="2025 SEPT B1G1 - 3287 LC" sheetId="134" r:id="rId13"/>
    <sheet name="2025 JAN-JUN D70 - 3287 LC ESS" sheetId="93" r:id="rId14"/>
    <sheet name="2024 JAN-DEC D75-3287 LC ESS" sheetId="77" r:id="rId15"/>
  </sheets>
  <definedNames>
    <definedName name="_xlnm._FilterDatabase" localSheetId="7" hidden="1">'2024 JAN-DEC D75 - 3281'!$A$1:$P$1</definedName>
    <definedName name="_xlnm._FilterDatabase" localSheetId="10" hidden="1">'2024 JAN-DEC D75-3284 LC  BABY'!$A$1:$P$1</definedName>
    <definedName name="_xlnm._FilterDatabase" localSheetId="14" hidden="1">'2024 JAN-DEC D75-3287 LC ESS'!$A$1:$P$117</definedName>
    <definedName name="_xlnm._FilterDatabase" localSheetId="3" hidden="1">'2024 JAN-SEP D75 - 3321'!$A$1:$P$1</definedName>
    <definedName name="_xlnm._FilterDatabase" localSheetId="6" hidden="1">'2025 JAN-APR D70 - 3281'!$A$1:$P$1</definedName>
    <definedName name="_xlnm._FilterDatabase" localSheetId="9" hidden="1">'2025 JAN-JUN D70 - 3284'!$A$1:$P$1</definedName>
    <definedName name="_xlnm._FilterDatabase" localSheetId="13" hidden="1">'2025 JAN-JUN D70 - 3287 LC ESS'!$A$1:$P$1</definedName>
    <definedName name="_xlnm._FilterDatabase" localSheetId="2" hidden="1">'2025 JAN-JUN D70 - 3321'!$A$1:$P$1</definedName>
    <definedName name="_xlnm._FilterDatabase" localSheetId="4" hidden="1">'2025 NOV D30 -3281'!$A$1:$P$1</definedName>
    <definedName name="_xlnm._FilterDatabase" localSheetId="11" hidden="1">'2025 OCT D30- 3287'!$A$1:$P$1</definedName>
    <definedName name="_xlnm._FilterDatabase" localSheetId="12" hidden="1">'2025 SEPT B1G1 - 3287 LC'!$A$1:$P$1</definedName>
    <definedName name="_xlnm._FilterDatabase" localSheetId="1" hidden="1">'2025 SEPT B1G1 - 3321'!$A$1:$P$1</definedName>
    <definedName name="_xlnm._FilterDatabase" localSheetId="8" hidden="1">'2025 SEPT B1G1 -3284'!$A$1:$P$1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24" i="93" l="1"/>
  <c r="B225" i="93" s="1"/>
  <c r="B226" i="93" s="1"/>
  <c r="B227" i="93" s="1"/>
  <c r="B228" i="93" s="1"/>
  <c r="B229" i="93" s="1"/>
  <c r="B230" i="93" s="1"/>
  <c r="B231" i="93" s="1"/>
  <c r="B232" i="93" s="1"/>
  <c r="B233" i="93" s="1"/>
  <c r="B234" i="93" s="1"/>
  <c r="B235" i="93" s="1"/>
  <c r="B236" i="93" s="1"/>
  <c r="B237" i="93" s="1"/>
  <c r="B238" i="93" s="1"/>
  <c r="B239" i="93" s="1"/>
  <c r="B240" i="93" s="1"/>
  <c r="B241" i="93" s="1"/>
  <c r="B242" i="93" s="1"/>
  <c r="B243" i="93" s="1"/>
  <c r="B244" i="93" s="1"/>
  <c r="B245" i="93" s="1"/>
  <c r="B246" i="93" s="1"/>
  <c r="B247" i="93" s="1"/>
  <c r="B248" i="93" s="1"/>
  <c r="B249" i="93" s="1"/>
  <c r="B250" i="93" s="1"/>
  <c r="B251" i="93" s="1"/>
  <c r="B252" i="93" s="1"/>
  <c r="B253" i="93" s="1"/>
  <c r="B254" i="93" s="1"/>
  <c r="B255" i="93" s="1"/>
  <c r="B256" i="93" s="1"/>
  <c r="B257" i="93" s="1"/>
  <c r="B258" i="93" s="1"/>
  <c r="B259" i="93" s="1"/>
  <c r="B260" i="93" s="1"/>
  <c r="B261" i="93" s="1"/>
  <c r="B262" i="93" s="1"/>
  <c r="B263" i="93" s="1"/>
  <c r="B264" i="93" s="1"/>
  <c r="B265" i="93" s="1"/>
  <c r="B266" i="93" s="1"/>
  <c r="B267" i="93" s="1"/>
  <c r="B268" i="93" s="1"/>
  <c r="B269" i="93" s="1"/>
  <c r="B270" i="93" s="1"/>
  <c r="B271" i="93" s="1"/>
  <c r="B272" i="93" s="1"/>
  <c r="B273" i="93" s="1"/>
  <c r="B274" i="93" s="1"/>
  <c r="B275" i="93" s="1"/>
  <c r="B276" i="93" s="1"/>
  <c r="B277" i="93" s="1"/>
  <c r="B278" i="93" s="1"/>
  <c r="B279" i="93" s="1"/>
  <c r="B280" i="93" s="1"/>
  <c r="B281" i="93" s="1"/>
  <c r="B282" i="93" s="1"/>
  <c r="B283" i="93" s="1"/>
  <c r="B284" i="93" s="1"/>
  <c r="B285" i="93" s="1"/>
  <c r="B286" i="93" s="1"/>
  <c r="B287" i="93" s="1"/>
  <c r="B288" i="93" s="1"/>
  <c r="B289" i="93" s="1"/>
  <c r="B290" i="93" s="1"/>
  <c r="B291" i="93" s="1"/>
  <c r="B292" i="93" s="1"/>
  <c r="B293" i="93" s="1"/>
  <c r="B294" i="93" s="1"/>
  <c r="B295" i="93" s="1"/>
  <c r="B296" i="93" s="1"/>
  <c r="B297" i="93" s="1"/>
  <c r="B298" i="93" s="1"/>
  <c r="B299" i="93" s="1"/>
  <c r="B300" i="93" s="1"/>
  <c r="B301" i="93" s="1"/>
  <c r="B302" i="93" s="1"/>
  <c r="B303" i="93" s="1"/>
  <c r="C224" i="93"/>
  <c r="C225" i="93"/>
  <c r="C226" i="93"/>
  <c r="C227" i="93" s="1"/>
  <c r="C228" i="93"/>
  <c r="C229" i="93"/>
  <c r="C230" i="93" s="1"/>
  <c r="C231" i="93" s="1"/>
  <c r="C232" i="93"/>
  <c r="C233" i="93" s="1"/>
  <c r="C234" i="93"/>
  <c r="C235" i="93" s="1"/>
  <c r="C236" i="93" s="1"/>
  <c r="C237" i="93" s="1"/>
  <c r="C238" i="93" s="1"/>
  <c r="C239" i="93" s="1"/>
  <c r="C240" i="93"/>
  <c r="C241" i="93"/>
  <c r="C242" i="93" s="1"/>
  <c r="C243" i="93" s="1"/>
  <c r="C244" i="93" s="1"/>
  <c r="C245" i="93" s="1"/>
  <c r="C246" i="93" s="1"/>
  <c r="C247" i="93" s="1"/>
  <c r="C248" i="93" s="1"/>
  <c r="C249" i="93" s="1"/>
  <c r="C250" i="93" s="1"/>
  <c r="C251" i="93" s="1"/>
  <c r="C252" i="93" s="1"/>
  <c r="C253" i="93" s="1"/>
  <c r="C254" i="93" s="1"/>
  <c r="C255" i="93" s="1"/>
  <c r="C256" i="93" s="1"/>
  <c r="C257" i="93" s="1"/>
  <c r="C258" i="93" s="1"/>
  <c r="C259" i="93" s="1"/>
  <c r="C260" i="93" s="1"/>
  <c r="C261" i="93" s="1"/>
  <c r="C262" i="93" s="1"/>
  <c r="C263" i="93" s="1"/>
  <c r="C264" i="93" s="1"/>
  <c r="C265" i="93" s="1"/>
  <c r="C266" i="93" s="1"/>
  <c r="C267" i="93" s="1"/>
  <c r="C268" i="93" s="1"/>
  <c r="C269" i="93" s="1"/>
  <c r="C270" i="93" s="1"/>
  <c r="C271" i="93" s="1"/>
  <c r="C272" i="93" s="1"/>
  <c r="C273" i="93" s="1"/>
  <c r="C274" i="93" s="1"/>
  <c r="C275" i="93" s="1"/>
  <c r="C276" i="93" s="1"/>
  <c r="C277" i="93" s="1"/>
  <c r="C278" i="93" s="1"/>
  <c r="C279" i="93" s="1"/>
  <c r="C280" i="93" s="1"/>
  <c r="C281" i="93" s="1"/>
  <c r="C282" i="93" s="1"/>
  <c r="C283" i="93" s="1"/>
  <c r="C284" i="93" s="1"/>
  <c r="C285" i="93" s="1"/>
  <c r="C286" i="93" s="1"/>
  <c r="C287" i="93" s="1"/>
  <c r="C288" i="93" s="1"/>
  <c r="C289" i="93" s="1"/>
  <c r="C290" i="93" s="1"/>
  <c r="C291" i="93" s="1"/>
  <c r="C292" i="93" s="1"/>
  <c r="C293" i="93" s="1"/>
  <c r="C294" i="93" s="1"/>
  <c r="C295" i="93" s="1"/>
  <c r="C296" i="93" s="1"/>
  <c r="C297" i="93" s="1"/>
  <c r="C298" i="93" s="1"/>
  <c r="C299" i="93" s="1"/>
  <c r="C300" i="93" s="1"/>
  <c r="C301" i="93" s="1"/>
  <c r="C302" i="93" s="1"/>
  <c r="C303" i="93" s="1"/>
  <c r="B206" i="90"/>
  <c r="B207" i="90" s="1"/>
  <c r="C206" i="90"/>
  <c r="C207" i="90" s="1"/>
  <c r="B208" i="90"/>
  <c r="B209" i="90" s="1"/>
  <c r="B210" i="90" s="1"/>
  <c r="B211" i="90" s="1"/>
  <c r="B212" i="90" s="1"/>
  <c r="B213" i="90" s="1"/>
  <c r="B214" i="90" s="1"/>
  <c r="B215" i="90" s="1"/>
  <c r="B216" i="90" s="1"/>
  <c r="B217" i="90" s="1"/>
  <c r="C208" i="90"/>
  <c r="C209" i="90" s="1"/>
  <c r="C210" i="90" s="1"/>
  <c r="C211" i="90" s="1"/>
  <c r="C212" i="90" s="1"/>
  <c r="C213" i="90" s="1"/>
  <c r="C214" i="90"/>
  <c r="C215" i="90"/>
  <c r="C216" i="90" s="1"/>
  <c r="C217" i="90" s="1"/>
  <c r="C218" i="90" s="1"/>
  <c r="C219" i="90" s="1"/>
  <c r="C220" i="90" s="1"/>
  <c r="C221" i="90" s="1"/>
  <c r="C222" i="90" s="1"/>
  <c r="C223" i="90" s="1"/>
  <c r="C224" i="90" s="1"/>
  <c r="C225" i="90" s="1"/>
  <c r="C226" i="90" s="1"/>
  <c r="C227" i="90" s="1"/>
  <c r="C228" i="90" s="1"/>
  <c r="C229" i="90" s="1"/>
  <c r="C230" i="90" s="1"/>
  <c r="C231" i="90" s="1"/>
  <c r="C232" i="90" s="1"/>
  <c r="C233" i="90" s="1"/>
  <c r="C234" i="90" s="1"/>
  <c r="C235" i="90" s="1"/>
  <c r="C236" i="90" s="1"/>
  <c r="C237" i="90" s="1"/>
  <c r="C238" i="90" s="1"/>
  <c r="C239" i="90" s="1"/>
  <c r="C240" i="90" s="1"/>
  <c r="C241" i="90" s="1"/>
  <c r="C242" i="90" s="1"/>
  <c r="C243" i="90" s="1"/>
  <c r="C244" i="90" s="1"/>
  <c r="C245" i="90" s="1"/>
  <c r="C246" i="90" s="1"/>
  <c r="C247" i="90" s="1"/>
  <c r="C248" i="90" s="1"/>
  <c r="C249" i="90" s="1"/>
  <c r="C250" i="90" s="1"/>
  <c r="C251" i="90" s="1"/>
  <c r="C252" i="90" s="1"/>
  <c r="C253" i="90" s="1"/>
  <c r="C254" i="90" s="1"/>
  <c r="C255" i="90" s="1"/>
  <c r="C256" i="90" s="1"/>
  <c r="C257" i="90" s="1"/>
  <c r="C258" i="90" s="1"/>
  <c r="C259" i="90" s="1"/>
  <c r="C260" i="90" s="1"/>
  <c r="C261" i="90" s="1"/>
  <c r="C262" i="90" s="1"/>
  <c r="C263" i="90" s="1"/>
  <c r="C264" i="90" s="1"/>
  <c r="C265" i="90" s="1"/>
  <c r="C266" i="90" s="1"/>
  <c r="C267" i="90" s="1"/>
  <c r="C268" i="90" s="1"/>
  <c r="C269" i="90" s="1"/>
  <c r="C270" i="90" s="1"/>
  <c r="C271" i="90" s="1"/>
  <c r="C272" i="90" s="1"/>
  <c r="C273" i="90" s="1"/>
  <c r="C274" i="90" s="1"/>
  <c r="C275" i="90" s="1"/>
  <c r="C276" i="90" s="1"/>
  <c r="C277" i="90" s="1"/>
  <c r="C278" i="90" s="1"/>
  <c r="C279" i="90" s="1"/>
  <c r="C280" i="90" s="1"/>
  <c r="C281" i="90" s="1"/>
  <c r="C282" i="90" s="1"/>
  <c r="C283" i="90" s="1"/>
  <c r="C284" i="90" s="1"/>
  <c r="C285" i="90" s="1"/>
  <c r="C286" i="90" s="1"/>
  <c r="C287" i="90" s="1"/>
  <c r="C288" i="90" s="1"/>
  <c r="C289" i="90" s="1"/>
  <c r="C290" i="90" s="1"/>
  <c r="C291" i="90" s="1"/>
  <c r="C292" i="90" s="1"/>
  <c r="C293" i="90" s="1"/>
  <c r="C294" i="90" s="1"/>
  <c r="C295" i="90" s="1"/>
  <c r="C296" i="90" s="1"/>
  <c r="C297" i="90" s="1"/>
  <c r="C298" i="90" s="1"/>
  <c r="C299" i="90" s="1"/>
  <c r="C300" i="90" s="1"/>
  <c r="C301" i="90" s="1"/>
  <c r="C302" i="90" s="1"/>
  <c r="C303" i="90" s="1"/>
  <c r="C304" i="90" s="1"/>
  <c r="C305" i="90" s="1"/>
  <c r="C306" i="90" s="1"/>
  <c r="C307" i="90" s="1"/>
  <c r="C308" i="90" s="1"/>
  <c r="C309" i="90" s="1"/>
  <c r="C310" i="90" s="1"/>
  <c r="C311" i="90" s="1"/>
  <c r="C312" i="90" s="1"/>
  <c r="C313" i="90" s="1"/>
  <c r="C314" i="90" s="1"/>
  <c r="C315" i="90" s="1"/>
  <c r="C316" i="90" s="1"/>
  <c r="C317" i="90" s="1"/>
  <c r="C318" i="90" s="1"/>
  <c r="C319" i="90" s="1"/>
  <c r="C320" i="90" s="1"/>
  <c r="C321" i="90" s="1"/>
  <c r="C322" i="90" s="1"/>
  <c r="C323" i="90" s="1"/>
  <c r="C324" i="90" s="1"/>
  <c r="C325" i="90" s="1"/>
  <c r="C326" i="90" s="1"/>
  <c r="C327" i="90" s="1"/>
  <c r="C328" i="90" s="1"/>
  <c r="C329" i="90" s="1"/>
  <c r="C330" i="90" s="1"/>
  <c r="C331" i="90" s="1"/>
  <c r="C332" i="90" s="1"/>
  <c r="C333" i="90" s="1"/>
  <c r="C334" i="90" s="1"/>
  <c r="C335" i="90" s="1"/>
  <c r="C336" i="90" s="1"/>
  <c r="C337" i="90" s="1"/>
  <c r="C338" i="90" s="1"/>
  <c r="C339" i="90" s="1"/>
  <c r="C340" i="90" s="1"/>
  <c r="C341" i="90" s="1"/>
  <c r="C342" i="90" s="1"/>
  <c r="C343" i="90" s="1"/>
  <c r="C344" i="90" s="1"/>
  <c r="C345" i="90" s="1"/>
  <c r="C346" i="90" s="1"/>
  <c r="C347" i="90" s="1"/>
  <c r="C348" i="90" s="1"/>
  <c r="C349" i="90" s="1"/>
  <c r="C350" i="90" s="1"/>
  <c r="C351" i="90" s="1"/>
  <c r="B218" i="90"/>
  <c r="B219" i="90" s="1"/>
  <c r="B220" i="90" s="1"/>
  <c r="B221" i="90" s="1"/>
  <c r="B222" i="90" s="1"/>
  <c r="B223" i="90" s="1"/>
  <c r="B224" i="90" s="1"/>
  <c r="B225" i="90" s="1"/>
  <c r="B226" i="90" s="1"/>
  <c r="B227" i="90" s="1"/>
  <c r="B228" i="90" s="1"/>
  <c r="B229" i="90" s="1"/>
  <c r="B230" i="90" s="1"/>
  <c r="B231" i="90" s="1"/>
  <c r="B232" i="90" s="1"/>
  <c r="B233" i="90" s="1"/>
  <c r="B234" i="90" s="1"/>
  <c r="B235" i="90" s="1"/>
  <c r="B236" i="90" s="1"/>
  <c r="B237" i="90" s="1"/>
  <c r="B238" i="90" s="1"/>
  <c r="B239" i="90" s="1"/>
  <c r="B240" i="90" s="1"/>
  <c r="B241" i="90" s="1"/>
  <c r="B242" i="90" s="1"/>
  <c r="B243" i="90" s="1"/>
  <c r="B244" i="90" s="1"/>
  <c r="B245" i="90" s="1"/>
  <c r="B246" i="90" s="1"/>
  <c r="B247" i="90" s="1"/>
  <c r="B248" i="90" s="1"/>
  <c r="B249" i="90" s="1"/>
  <c r="B250" i="90" s="1"/>
  <c r="B251" i="90" s="1"/>
  <c r="B252" i="90" s="1"/>
  <c r="B253" i="90" s="1"/>
  <c r="B254" i="90" s="1"/>
  <c r="B255" i="90" s="1"/>
  <c r="B256" i="90" s="1"/>
  <c r="B257" i="90" s="1"/>
  <c r="B258" i="90" s="1"/>
  <c r="B259" i="90" s="1"/>
  <c r="B260" i="90" s="1"/>
  <c r="B261" i="90" s="1"/>
  <c r="B262" i="90" s="1"/>
  <c r="B263" i="90" s="1"/>
  <c r="B264" i="90" s="1"/>
  <c r="B265" i="90" s="1"/>
  <c r="B266" i="90" s="1"/>
  <c r="B267" i="90" s="1"/>
  <c r="B268" i="90" s="1"/>
  <c r="B269" i="90" s="1"/>
  <c r="B270" i="90" s="1"/>
  <c r="B271" i="90" s="1"/>
  <c r="B272" i="90" s="1"/>
  <c r="B273" i="90" s="1"/>
  <c r="B274" i="90" s="1"/>
  <c r="B275" i="90" s="1"/>
  <c r="B276" i="90" s="1"/>
  <c r="B277" i="90" s="1"/>
  <c r="B278" i="90" s="1"/>
  <c r="B279" i="90" s="1"/>
  <c r="B280" i="90" s="1"/>
  <c r="B281" i="90" s="1"/>
  <c r="B282" i="90" s="1"/>
  <c r="B283" i="90" s="1"/>
  <c r="B284" i="90" s="1"/>
  <c r="B285" i="90" s="1"/>
  <c r="B286" i="90" s="1"/>
  <c r="B287" i="90" s="1"/>
  <c r="B288" i="90" s="1"/>
  <c r="B289" i="90" s="1"/>
  <c r="B290" i="90" s="1"/>
  <c r="B291" i="90" s="1"/>
  <c r="B292" i="90" s="1"/>
  <c r="B293" i="90" s="1"/>
  <c r="B294" i="90" s="1"/>
  <c r="B295" i="90" s="1"/>
  <c r="B296" i="90" s="1"/>
  <c r="B297" i="90" s="1"/>
  <c r="B298" i="90" s="1"/>
  <c r="B299" i="90" s="1"/>
  <c r="B300" i="90" s="1"/>
  <c r="B301" i="90" s="1"/>
  <c r="B302" i="90" s="1"/>
  <c r="B303" i="90" s="1"/>
  <c r="B304" i="90" s="1"/>
  <c r="B305" i="90" s="1"/>
  <c r="B306" i="90" s="1"/>
  <c r="B307" i="90" s="1"/>
  <c r="B308" i="90" s="1"/>
  <c r="B309" i="90" s="1"/>
  <c r="B310" i="90" s="1"/>
  <c r="B311" i="90" s="1"/>
  <c r="B312" i="90" s="1"/>
  <c r="B313" i="90" s="1"/>
  <c r="B314" i="90" s="1"/>
  <c r="B315" i="90" s="1"/>
  <c r="B316" i="90" s="1"/>
  <c r="B317" i="90" s="1"/>
  <c r="B318" i="90" s="1"/>
  <c r="B319" i="90" s="1"/>
  <c r="B320" i="90" s="1"/>
  <c r="B321" i="90" s="1"/>
  <c r="B322" i="90" s="1"/>
  <c r="B323" i="90" s="1"/>
  <c r="B324" i="90" s="1"/>
  <c r="B325" i="90" s="1"/>
  <c r="B326" i="90" s="1"/>
  <c r="B327" i="90" s="1"/>
  <c r="B328" i="90" s="1"/>
  <c r="B329" i="90" s="1"/>
  <c r="B330" i="90" s="1"/>
  <c r="B331" i="90" s="1"/>
  <c r="B332" i="90" s="1"/>
  <c r="B333" i="90" s="1"/>
  <c r="B334" i="90" s="1"/>
  <c r="B335" i="90" s="1"/>
  <c r="B336" i="90" s="1"/>
  <c r="B337" i="90" s="1"/>
  <c r="B338" i="90" s="1"/>
  <c r="B339" i="90" s="1"/>
  <c r="B340" i="90" s="1"/>
  <c r="B341" i="90" s="1"/>
  <c r="B342" i="90" s="1"/>
  <c r="B343" i="90" s="1"/>
  <c r="B344" i="90" s="1"/>
  <c r="B345" i="90" s="1"/>
  <c r="B346" i="90" s="1"/>
  <c r="B347" i="90" s="1"/>
  <c r="B348" i="90" s="1"/>
  <c r="B349" i="90" s="1"/>
  <c r="B350" i="90" s="1"/>
  <c r="B351" i="90" s="1"/>
  <c r="B119" i="100"/>
  <c r="B120" i="100" s="1"/>
  <c r="B121" i="100" s="1"/>
  <c r="B122" i="100" s="1"/>
  <c r="B123" i="100" s="1"/>
  <c r="B124" i="100" s="1"/>
  <c r="B125" i="100" s="1"/>
  <c r="B126" i="100" s="1"/>
  <c r="B127" i="100" s="1"/>
  <c r="B128" i="100" s="1"/>
  <c r="C119" i="100"/>
  <c r="C120" i="100" s="1"/>
  <c r="C121" i="100" s="1"/>
  <c r="C122" i="100" s="1"/>
  <c r="C123" i="100" s="1"/>
  <c r="C124" i="100" s="1"/>
  <c r="C125" i="100"/>
  <c r="C126" i="100"/>
  <c r="C127" i="100" s="1"/>
  <c r="C128" i="100" s="1"/>
  <c r="C129" i="100" s="1"/>
  <c r="C130" i="100" s="1"/>
  <c r="B129" i="100"/>
  <c r="B130" i="100" s="1"/>
  <c r="B270" i="139"/>
  <c r="B271" i="139" s="1"/>
  <c r="B272" i="139" s="1"/>
  <c r="B273" i="139" s="1"/>
  <c r="B274" i="139" s="1"/>
  <c r="B275" i="139" s="1"/>
  <c r="B276" i="139" s="1"/>
  <c r="B277" i="139" s="1"/>
  <c r="B278" i="139" s="1"/>
  <c r="B279" i="139" s="1"/>
  <c r="C270" i="139"/>
  <c r="C271" i="139" s="1"/>
  <c r="C272" i="139" s="1"/>
  <c r="C273" i="139" s="1"/>
  <c r="C274" i="139" s="1"/>
  <c r="C275" i="139" s="1"/>
  <c r="C276" i="139"/>
  <c r="C277" i="139"/>
  <c r="C278" i="139" s="1"/>
  <c r="C279" i="139" s="1"/>
  <c r="B280" i="139"/>
  <c r="B281" i="139" s="1"/>
  <c r="C280" i="139"/>
  <c r="C281" i="139" s="1"/>
  <c r="B282" i="139"/>
  <c r="B283" i="139" s="1"/>
  <c r="B284" i="139" s="1"/>
  <c r="B285" i="139" s="1"/>
  <c r="B286" i="139" s="1"/>
  <c r="B287" i="139" s="1"/>
  <c r="B288" i="139" s="1"/>
  <c r="B289" i="139" s="1"/>
  <c r="B290" i="139" s="1"/>
  <c r="B291" i="139" s="1"/>
  <c r="C282" i="139"/>
  <c r="C283" i="139" s="1"/>
  <c r="C284" i="139" s="1"/>
  <c r="C285" i="139" s="1"/>
  <c r="C286" i="139" s="1"/>
  <c r="C287" i="139" s="1"/>
  <c r="C288" i="139"/>
  <c r="C289" i="139"/>
  <c r="C290" i="139" s="1"/>
  <c r="C291" i="139" s="1"/>
  <c r="C292" i="139" s="1"/>
  <c r="C293" i="139" s="1"/>
  <c r="C294" i="139" s="1"/>
  <c r="C295" i="139" s="1"/>
  <c r="C296" i="139" s="1"/>
  <c r="C297" i="139" s="1"/>
  <c r="C298" i="139" s="1"/>
  <c r="C299" i="139" s="1"/>
  <c r="C300" i="139" s="1"/>
  <c r="C301" i="139" s="1"/>
  <c r="C302" i="139" s="1"/>
  <c r="C303" i="139" s="1"/>
  <c r="C304" i="139" s="1"/>
  <c r="C305" i="139" s="1"/>
  <c r="C306" i="139" s="1"/>
  <c r="C307" i="139" s="1"/>
  <c r="C308" i="139" s="1"/>
  <c r="C309" i="139" s="1"/>
  <c r="C310" i="139" s="1"/>
  <c r="C311" i="139" s="1"/>
  <c r="C312" i="139" s="1"/>
  <c r="C313" i="139" s="1"/>
  <c r="C314" i="139" s="1"/>
  <c r="C315" i="139" s="1"/>
  <c r="C316" i="139" s="1"/>
  <c r="C317" i="139" s="1"/>
  <c r="C318" i="139" s="1"/>
  <c r="C319" i="139" s="1"/>
  <c r="C320" i="139" s="1"/>
  <c r="C321" i="139" s="1"/>
  <c r="C322" i="139" s="1"/>
  <c r="C323" i="139" s="1"/>
  <c r="C324" i="139" s="1"/>
  <c r="C325" i="139" s="1"/>
  <c r="C326" i="139" s="1"/>
  <c r="C327" i="139" s="1"/>
  <c r="C328" i="139" s="1"/>
  <c r="C329" i="139" s="1"/>
  <c r="C330" i="139" s="1"/>
  <c r="C331" i="139" s="1"/>
  <c r="C332" i="139" s="1"/>
  <c r="C333" i="139" s="1"/>
  <c r="C334" i="139" s="1"/>
  <c r="C335" i="139" s="1"/>
  <c r="C336" i="139" s="1"/>
  <c r="C337" i="139" s="1"/>
  <c r="C338" i="139" s="1"/>
  <c r="C339" i="139" s="1"/>
  <c r="C340" i="139" s="1"/>
  <c r="C341" i="139" s="1"/>
  <c r="C342" i="139" s="1"/>
  <c r="C343" i="139" s="1"/>
  <c r="C344" i="139" s="1"/>
  <c r="C345" i="139" s="1"/>
  <c r="C346" i="139" s="1"/>
  <c r="C347" i="139" s="1"/>
  <c r="C348" i="139" s="1"/>
  <c r="C349" i="139" s="1"/>
  <c r="C350" i="139" s="1"/>
  <c r="C351" i="139" s="1"/>
  <c r="C352" i="139" s="1"/>
  <c r="C353" i="139" s="1"/>
  <c r="C354" i="139" s="1"/>
  <c r="C355" i="139" s="1"/>
  <c r="C356" i="139" s="1"/>
  <c r="C357" i="139" s="1"/>
  <c r="C358" i="139" s="1"/>
  <c r="C359" i="139" s="1"/>
  <c r="C360" i="139" s="1"/>
  <c r="C361" i="139" s="1"/>
  <c r="C362" i="139" s="1"/>
  <c r="C363" i="139" s="1"/>
  <c r="C364" i="139" s="1"/>
  <c r="C365" i="139" s="1"/>
  <c r="C366" i="139" s="1"/>
  <c r="C367" i="139" s="1"/>
  <c r="C368" i="139" s="1"/>
  <c r="C369" i="139" s="1"/>
  <c r="C370" i="139" s="1"/>
  <c r="C371" i="139" s="1"/>
  <c r="C372" i="139" s="1"/>
  <c r="C373" i="139" s="1"/>
  <c r="C374" i="139" s="1"/>
  <c r="C375" i="139" s="1"/>
  <c r="C376" i="139" s="1"/>
  <c r="C377" i="139" s="1"/>
  <c r="C378" i="139" s="1"/>
  <c r="C379" i="139" s="1"/>
  <c r="C380" i="139" s="1"/>
  <c r="C381" i="139" s="1"/>
  <c r="C382" i="139" s="1"/>
  <c r="C383" i="139" s="1"/>
  <c r="C384" i="139" s="1"/>
  <c r="C385" i="139" s="1"/>
  <c r="C386" i="139" s="1"/>
  <c r="C387" i="139" s="1"/>
  <c r="C388" i="139" s="1"/>
  <c r="C389" i="139" s="1"/>
  <c r="C390" i="139" s="1"/>
  <c r="C391" i="139" s="1"/>
  <c r="C392" i="139" s="1"/>
  <c r="C393" i="139" s="1"/>
  <c r="C394" i="139" s="1"/>
  <c r="C395" i="139" s="1"/>
  <c r="C396" i="139" s="1"/>
  <c r="C397" i="139" s="1"/>
  <c r="C398" i="139" s="1"/>
  <c r="C399" i="139" s="1"/>
  <c r="C400" i="139" s="1"/>
  <c r="C401" i="139" s="1"/>
  <c r="C402" i="139" s="1"/>
  <c r="C403" i="139" s="1"/>
  <c r="C404" i="139" s="1"/>
  <c r="C405" i="139" s="1"/>
  <c r="C406" i="139" s="1"/>
  <c r="C407" i="139" s="1"/>
  <c r="C408" i="139" s="1"/>
  <c r="C409" i="139" s="1"/>
  <c r="C410" i="139" s="1"/>
  <c r="C411" i="139" s="1"/>
  <c r="C412" i="139" s="1"/>
  <c r="C413" i="139" s="1"/>
  <c r="C414" i="139" s="1"/>
  <c r="C415" i="139" s="1"/>
  <c r="C416" i="139" s="1"/>
  <c r="C417" i="139" s="1"/>
  <c r="C418" i="139" s="1"/>
  <c r="C419" i="139" s="1"/>
  <c r="C420" i="139" s="1"/>
  <c r="C421" i="139" s="1"/>
  <c r="C422" i="139" s="1"/>
  <c r="C423" i="139" s="1"/>
  <c r="C424" i="139" s="1"/>
  <c r="C425" i="139" s="1"/>
  <c r="C426" i="139" s="1"/>
  <c r="C427" i="139" s="1"/>
  <c r="C428" i="139" s="1"/>
  <c r="C429" i="139" s="1"/>
  <c r="C430" i="139" s="1"/>
  <c r="C431" i="139" s="1"/>
  <c r="C432" i="139" s="1"/>
  <c r="C433" i="139" s="1"/>
  <c r="C434" i="139" s="1"/>
  <c r="C435" i="139" s="1"/>
  <c r="C436" i="139" s="1"/>
  <c r="C437" i="139" s="1"/>
  <c r="C438" i="139" s="1"/>
  <c r="C439" i="139" s="1"/>
  <c r="C440" i="139" s="1"/>
  <c r="C441" i="139" s="1"/>
  <c r="C442" i="139" s="1"/>
  <c r="C443" i="139" s="1"/>
  <c r="C444" i="139" s="1"/>
  <c r="C445" i="139" s="1"/>
  <c r="C446" i="139" s="1"/>
  <c r="C447" i="139" s="1"/>
  <c r="C448" i="139" s="1"/>
  <c r="C449" i="139" s="1"/>
  <c r="C450" i="139" s="1"/>
  <c r="C451" i="139" s="1"/>
  <c r="C452" i="139" s="1"/>
  <c r="C453" i="139" s="1"/>
  <c r="C454" i="139" s="1"/>
  <c r="C455" i="139" s="1"/>
  <c r="C456" i="139" s="1"/>
  <c r="C457" i="139" s="1"/>
  <c r="C458" i="139" s="1"/>
  <c r="C459" i="139" s="1"/>
  <c r="C460" i="139" s="1"/>
  <c r="C461" i="139" s="1"/>
  <c r="C462" i="139" s="1"/>
  <c r="C463" i="139" s="1"/>
  <c r="C464" i="139" s="1"/>
  <c r="C465" i="139" s="1"/>
  <c r="C466" i="139" s="1"/>
  <c r="C467" i="139" s="1"/>
  <c r="C468" i="139" s="1"/>
  <c r="C469" i="139" s="1"/>
  <c r="C470" i="139" s="1"/>
  <c r="C471" i="139" s="1"/>
  <c r="C472" i="139" s="1"/>
  <c r="C473" i="139" s="1"/>
  <c r="C474" i="139" s="1"/>
  <c r="C475" i="139" s="1"/>
  <c r="C476" i="139" s="1"/>
  <c r="C477" i="139" s="1"/>
  <c r="C478" i="139" s="1"/>
  <c r="C479" i="139" s="1"/>
  <c r="C480" i="139" s="1"/>
  <c r="C481" i="139" s="1"/>
  <c r="C482" i="139" s="1"/>
  <c r="C483" i="139" s="1"/>
  <c r="C484" i="139" s="1"/>
  <c r="C485" i="139" s="1"/>
  <c r="C486" i="139" s="1"/>
  <c r="C487" i="139" s="1"/>
  <c r="C488" i="139" s="1"/>
  <c r="C489" i="139" s="1"/>
  <c r="C490" i="139" s="1"/>
  <c r="C491" i="139" s="1"/>
  <c r="C492" i="139" s="1"/>
  <c r="C493" i="139" s="1"/>
  <c r="C494" i="139" s="1"/>
  <c r="C495" i="139" s="1"/>
  <c r="C496" i="139" s="1"/>
  <c r="C497" i="139" s="1"/>
  <c r="C498" i="139" s="1"/>
  <c r="C499" i="139" s="1"/>
  <c r="C500" i="139" s="1"/>
  <c r="C501" i="139" s="1"/>
  <c r="C502" i="139" s="1"/>
  <c r="C503" i="139" s="1"/>
  <c r="C504" i="139" s="1"/>
  <c r="C505" i="139" s="1"/>
  <c r="C506" i="139" s="1"/>
  <c r="C507" i="139" s="1"/>
  <c r="C508" i="139" s="1"/>
  <c r="C509" i="139" s="1"/>
  <c r="C510" i="139" s="1"/>
  <c r="C511" i="139" s="1"/>
  <c r="C512" i="139" s="1"/>
  <c r="B292" i="139"/>
  <c r="B293" i="139" s="1"/>
  <c r="B294" i="139" s="1"/>
  <c r="B295" i="139" s="1"/>
  <c r="B296" i="139" s="1"/>
  <c r="B297" i="139" s="1"/>
  <c r="B298" i="139" s="1"/>
  <c r="B299" i="139" s="1"/>
  <c r="B300" i="139" s="1"/>
  <c r="B301" i="139" s="1"/>
  <c r="B302" i="139" s="1"/>
  <c r="B303" i="139" s="1"/>
  <c r="B304" i="139" s="1"/>
  <c r="B305" i="139" s="1"/>
  <c r="B306" i="139" s="1"/>
  <c r="B307" i="139" s="1"/>
  <c r="B308" i="139" s="1"/>
  <c r="B309" i="139" s="1"/>
  <c r="B310" i="139" s="1"/>
  <c r="B311" i="139" s="1"/>
  <c r="B312" i="139" s="1"/>
  <c r="B313" i="139" s="1"/>
  <c r="B314" i="139" s="1"/>
  <c r="B315" i="139" s="1"/>
  <c r="B316" i="139" s="1"/>
  <c r="B317" i="139" s="1"/>
  <c r="B318" i="139" s="1"/>
  <c r="B319" i="139" s="1"/>
  <c r="B320" i="139" s="1"/>
  <c r="B321" i="139" s="1"/>
  <c r="B322" i="139" s="1"/>
  <c r="B323" i="139" s="1"/>
  <c r="B324" i="139" s="1"/>
  <c r="B325" i="139" s="1"/>
  <c r="B326" i="139" s="1"/>
  <c r="B327" i="139" s="1"/>
  <c r="B328" i="139" s="1"/>
  <c r="B329" i="139" s="1"/>
  <c r="B330" i="139" s="1"/>
  <c r="B331" i="139" s="1"/>
  <c r="B332" i="139" s="1"/>
  <c r="B333" i="139" s="1"/>
  <c r="B334" i="139" s="1"/>
  <c r="B335" i="139" s="1"/>
  <c r="B336" i="139" s="1"/>
  <c r="B337" i="139" s="1"/>
  <c r="B338" i="139" s="1"/>
  <c r="B339" i="139" s="1"/>
  <c r="B340" i="139" s="1"/>
  <c r="B341" i="139" s="1"/>
  <c r="B342" i="139" s="1"/>
  <c r="B343" i="139" s="1"/>
  <c r="B344" i="139" s="1"/>
  <c r="B345" i="139" s="1"/>
  <c r="B346" i="139" s="1"/>
  <c r="B347" i="139" s="1"/>
  <c r="B348" i="139" s="1"/>
  <c r="B349" i="139" s="1"/>
  <c r="B350" i="139" s="1"/>
  <c r="B351" i="139" s="1"/>
  <c r="B352" i="139" s="1"/>
  <c r="B353" i="139" s="1"/>
  <c r="B354" i="139" s="1"/>
  <c r="B355" i="139" s="1"/>
  <c r="B356" i="139" s="1"/>
  <c r="B357" i="139" s="1"/>
  <c r="B358" i="139" s="1"/>
  <c r="B359" i="139" s="1"/>
  <c r="B360" i="139" s="1"/>
  <c r="B361" i="139" s="1"/>
  <c r="B362" i="139" s="1"/>
  <c r="B363" i="139" s="1"/>
  <c r="B364" i="139" s="1"/>
  <c r="B365" i="139" s="1"/>
  <c r="B366" i="139" s="1"/>
  <c r="B367" i="139" s="1"/>
  <c r="B368" i="139" s="1"/>
  <c r="B369" i="139" s="1"/>
  <c r="B370" i="139" s="1"/>
  <c r="B371" i="139" s="1"/>
  <c r="B372" i="139" s="1"/>
  <c r="B373" i="139" s="1"/>
  <c r="B374" i="139" s="1"/>
  <c r="B375" i="139" s="1"/>
  <c r="B376" i="139" s="1"/>
  <c r="B377" i="139" s="1"/>
  <c r="B378" i="139" s="1"/>
  <c r="B379" i="139" s="1"/>
  <c r="B380" i="139" s="1"/>
  <c r="B381" i="139" s="1"/>
  <c r="B382" i="139" s="1"/>
  <c r="B383" i="139" s="1"/>
  <c r="B384" i="139" s="1"/>
  <c r="B385" i="139" s="1"/>
  <c r="B386" i="139" s="1"/>
  <c r="B387" i="139" s="1"/>
  <c r="B388" i="139" s="1"/>
  <c r="B389" i="139" s="1"/>
  <c r="B390" i="139" s="1"/>
  <c r="B391" i="139" s="1"/>
  <c r="B392" i="139" s="1"/>
  <c r="B393" i="139" s="1"/>
  <c r="B394" i="139" s="1"/>
  <c r="B395" i="139" s="1"/>
  <c r="B396" i="139" s="1"/>
  <c r="B397" i="139" s="1"/>
  <c r="B398" i="139" s="1"/>
  <c r="B399" i="139" s="1"/>
  <c r="B400" i="139" s="1"/>
  <c r="B401" i="139" s="1"/>
  <c r="B402" i="139" s="1"/>
  <c r="B403" i="139" s="1"/>
  <c r="B404" i="139" s="1"/>
  <c r="B405" i="139" s="1"/>
  <c r="B406" i="139" s="1"/>
  <c r="B407" i="139" s="1"/>
  <c r="B408" i="139" s="1"/>
  <c r="B409" i="139" s="1"/>
  <c r="B410" i="139" s="1"/>
  <c r="B411" i="139" s="1"/>
  <c r="B412" i="139" s="1"/>
  <c r="B413" i="139" s="1"/>
  <c r="B414" i="139" s="1"/>
  <c r="B415" i="139" s="1"/>
  <c r="B416" i="139" s="1"/>
  <c r="B417" i="139" s="1"/>
  <c r="B418" i="139" s="1"/>
  <c r="B419" i="139" s="1"/>
  <c r="B420" i="139" s="1"/>
  <c r="B421" i="139" s="1"/>
  <c r="B422" i="139" s="1"/>
  <c r="B423" i="139" s="1"/>
  <c r="B424" i="139" s="1"/>
  <c r="B425" i="139" s="1"/>
  <c r="B426" i="139" s="1"/>
  <c r="B427" i="139" s="1"/>
  <c r="B428" i="139" s="1"/>
  <c r="B429" i="139" s="1"/>
  <c r="B430" i="139" s="1"/>
  <c r="B431" i="139" s="1"/>
  <c r="B432" i="139" s="1"/>
  <c r="B433" i="139" s="1"/>
  <c r="B434" i="139" s="1"/>
  <c r="B435" i="139" s="1"/>
  <c r="B436" i="139" s="1"/>
  <c r="B437" i="139" s="1"/>
  <c r="B438" i="139" s="1"/>
  <c r="B439" i="139" s="1"/>
  <c r="B440" i="139" s="1"/>
  <c r="B441" i="139" s="1"/>
  <c r="B442" i="139" s="1"/>
  <c r="B443" i="139" s="1"/>
  <c r="B444" i="139" s="1"/>
  <c r="B445" i="139" s="1"/>
  <c r="B446" i="139" s="1"/>
  <c r="B447" i="139" s="1"/>
  <c r="B448" i="139" s="1"/>
  <c r="B449" i="139" s="1"/>
  <c r="B450" i="139" s="1"/>
  <c r="B451" i="139" s="1"/>
  <c r="B452" i="139" s="1"/>
  <c r="B453" i="139" s="1"/>
  <c r="B454" i="139" s="1"/>
  <c r="B455" i="139" s="1"/>
  <c r="B456" i="139" s="1"/>
  <c r="B457" i="139" s="1"/>
  <c r="B458" i="139" s="1"/>
  <c r="B459" i="139" s="1"/>
  <c r="B460" i="139" s="1"/>
  <c r="B461" i="139" s="1"/>
  <c r="B462" i="139" s="1"/>
  <c r="B463" i="139" s="1"/>
  <c r="B464" i="139" s="1"/>
  <c r="B465" i="139" s="1"/>
  <c r="B466" i="139" s="1"/>
  <c r="B467" i="139" s="1"/>
  <c r="B468" i="139" s="1"/>
  <c r="B469" i="139" s="1"/>
  <c r="B470" i="139" s="1"/>
  <c r="B471" i="139" s="1"/>
  <c r="B472" i="139" s="1"/>
  <c r="B473" i="139" s="1"/>
  <c r="B474" i="139" s="1"/>
  <c r="B475" i="139" s="1"/>
  <c r="B476" i="139" s="1"/>
  <c r="B477" i="139" s="1"/>
  <c r="B478" i="139" s="1"/>
  <c r="B479" i="139" s="1"/>
  <c r="B480" i="139" s="1"/>
  <c r="B481" i="139" s="1"/>
  <c r="B482" i="139" s="1"/>
  <c r="B483" i="139" s="1"/>
  <c r="B484" i="139" s="1"/>
  <c r="B485" i="139" s="1"/>
  <c r="B486" i="139" s="1"/>
  <c r="B487" i="139" s="1"/>
  <c r="B488" i="139" s="1"/>
  <c r="B489" i="139" s="1"/>
  <c r="B490" i="139" s="1"/>
  <c r="B491" i="139" s="1"/>
  <c r="B492" i="139" s="1"/>
  <c r="B493" i="139" s="1"/>
  <c r="B494" i="139" s="1"/>
  <c r="B495" i="139" s="1"/>
  <c r="B496" i="139" s="1"/>
  <c r="B497" i="139" s="1"/>
  <c r="B498" i="139" s="1"/>
  <c r="B499" i="139" s="1"/>
  <c r="B500" i="139" s="1"/>
  <c r="B501" i="139" s="1"/>
  <c r="B502" i="139" s="1"/>
  <c r="B503" i="139" s="1"/>
  <c r="B504" i="139" s="1"/>
  <c r="B505" i="139" s="1"/>
  <c r="B506" i="139" s="1"/>
  <c r="B507" i="139" s="1"/>
  <c r="B508" i="139" s="1"/>
  <c r="B509" i="139" s="1"/>
  <c r="B510" i="139" s="1"/>
  <c r="B511" i="139" s="1"/>
  <c r="B512" i="139" s="1"/>
  <c r="B177" i="94"/>
  <c r="C177" i="94"/>
  <c r="B178" i="94"/>
  <c r="C178" i="94"/>
  <c r="B179" i="94"/>
  <c r="C179" i="94"/>
  <c r="B180" i="94"/>
  <c r="C180" i="94"/>
  <c r="B181" i="94"/>
  <c r="C181" i="94"/>
  <c r="C182" i="94" s="1"/>
  <c r="C183" i="94" s="1"/>
  <c r="B182" i="94"/>
  <c r="B183" i="94" s="1"/>
  <c r="B184" i="94"/>
  <c r="C184" i="94"/>
  <c r="C185" i="94" s="1"/>
  <c r="C186" i="94" s="1"/>
  <c r="B185" i="94"/>
  <c r="B186" i="94" s="1"/>
  <c r="B187" i="94" s="1"/>
  <c r="B188" i="94" s="1"/>
  <c r="B189" i="94" s="1"/>
  <c r="B190" i="94" s="1"/>
  <c r="B191" i="94" s="1"/>
  <c r="B192" i="94" s="1"/>
  <c r="B193" i="94" s="1"/>
  <c r="B194" i="94" s="1"/>
  <c r="B195" i="94" s="1"/>
  <c r="B196" i="94" s="1"/>
  <c r="B197" i="94" s="1"/>
  <c r="B198" i="94" s="1"/>
  <c r="B199" i="94" s="1"/>
  <c r="B200" i="94" s="1"/>
  <c r="B201" i="94" s="1"/>
  <c r="B202" i="94" s="1"/>
  <c r="B203" i="94" s="1"/>
  <c r="B204" i="94" s="1"/>
  <c r="B205" i="94" s="1"/>
  <c r="B206" i="94" s="1"/>
  <c r="B207" i="94" s="1"/>
  <c r="B208" i="94" s="1"/>
  <c r="C187" i="94"/>
  <c r="C188" i="94" s="1"/>
  <c r="C189" i="94" s="1"/>
  <c r="C190" i="94" s="1"/>
  <c r="C191" i="94" s="1"/>
  <c r="C192" i="94" s="1"/>
  <c r="C193" i="94" s="1"/>
  <c r="C194" i="94" s="1"/>
  <c r="C195" i="94" s="1"/>
  <c r="C196" i="94" s="1"/>
  <c r="C197" i="94" s="1"/>
  <c r="C198" i="94" s="1"/>
  <c r="C199" i="94" s="1"/>
  <c r="C200" i="94" s="1"/>
  <c r="C201" i="94" s="1"/>
  <c r="C202" i="94" s="1"/>
  <c r="C203" i="94" s="1"/>
  <c r="C204" i="94" s="1"/>
  <c r="C205" i="94" s="1"/>
  <c r="C206" i="94" s="1"/>
  <c r="C207" i="94" s="1"/>
  <c r="C208" i="94" s="1"/>
  <c r="A11" i="142" l="1"/>
  <c r="A12" i="142" s="1"/>
  <c r="A13" i="142" s="1"/>
  <c r="A14" i="142"/>
  <c r="A15" i="142" s="1"/>
  <c r="A16" i="142" s="1"/>
  <c r="A17" i="142" s="1"/>
  <c r="A18" i="142" s="1"/>
  <c r="A19" i="142" s="1"/>
  <c r="A20" i="142" s="1"/>
  <c r="A21" i="142" s="1"/>
  <c r="A22" i="142" s="1"/>
  <c r="A23" i="142" s="1"/>
  <c r="A24" i="142" s="1"/>
  <c r="A25" i="142" s="1"/>
  <c r="A26" i="142" s="1"/>
  <c r="A27" i="142" s="1"/>
  <c r="A28" i="142" s="1"/>
  <c r="A29" i="142" s="1"/>
  <c r="A30" i="142" s="1"/>
  <c r="A31" i="142" s="1"/>
  <c r="A32" i="142" s="1"/>
  <c r="A33" i="142" s="1"/>
  <c r="A34" i="142" s="1"/>
  <c r="A35" i="142" s="1"/>
  <c r="A36" i="142" s="1"/>
  <c r="A37" i="142" s="1"/>
  <c r="A38" i="142" s="1"/>
  <c r="A39" i="142" s="1"/>
  <c r="A40" i="142" s="1"/>
  <c r="A41" i="142" s="1"/>
  <c r="A42" i="142" s="1"/>
  <c r="A43" i="142" s="1"/>
  <c r="A44" i="142" s="1"/>
  <c r="A45" i="142" s="1"/>
  <c r="A46" i="142" s="1"/>
  <c r="A47" i="142" s="1"/>
  <c r="A48" i="142" s="1"/>
  <c r="A49" i="142" s="1"/>
  <c r="A50" i="142" s="1"/>
  <c r="A51" i="142" s="1"/>
  <c r="A52" i="142" s="1"/>
  <c r="A53" i="142" s="1"/>
  <c r="A54" i="142" s="1"/>
  <c r="A55" i="142" s="1"/>
  <c r="A56" i="142" s="1"/>
  <c r="A57" i="142" s="1"/>
  <c r="A58" i="142" s="1"/>
  <c r="A59" i="142" s="1"/>
  <c r="A60" i="142" s="1"/>
  <c r="A61" i="142" s="1"/>
  <c r="A62" i="142" s="1"/>
  <c r="A63" i="142" s="1"/>
  <c r="A64" i="142" s="1"/>
  <c r="A65" i="142" s="1"/>
  <c r="A66" i="142" s="1"/>
  <c r="A67" i="142" s="1"/>
  <c r="A68" i="142" s="1"/>
  <c r="A69" i="142" s="1"/>
  <c r="A70" i="142" s="1"/>
  <c r="A71" i="142" s="1"/>
  <c r="A72" i="142" s="1"/>
  <c r="A73" i="142" s="1"/>
  <c r="A74" i="142" s="1"/>
  <c r="A75" i="142" s="1"/>
  <c r="A76" i="142" s="1"/>
  <c r="A77" i="142" s="1"/>
  <c r="A78" i="142" s="1"/>
  <c r="A79" i="142" s="1"/>
  <c r="A80" i="142" s="1"/>
  <c r="A81" i="142" s="1"/>
  <c r="A82" i="142" s="1"/>
  <c r="A83" i="142" s="1"/>
  <c r="A84" i="142" s="1"/>
  <c r="A85" i="142" s="1"/>
  <c r="A86" i="142" s="1"/>
  <c r="A87" i="142" s="1"/>
  <c r="A88" i="142" s="1"/>
  <c r="A89" i="142" s="1"/>
  <c r="A90" i="142" s="1"/>
  <c r="A91" i="142" s="1"/>
  <c r="A92" i="142" s="1"/>
  <c r="A93" i="142" s="1"/>
  <c r="A94" i="142" s="1"/>
  <c r="A95" i="142" s="1"/>
  <c r="A96" i="142" s="1"/>
  <c r="A97" i="142" s="1"/>
  <c r="A98" i="142" s="1"/>
  <c r="A99" i="142" s="1"/>
  <c r="A100" i="142" s="1"/>
  <c r="A101" i="142" s="1"/>
  <c r="A102" i="142" s="1"/>
  <c r="A103" i="142" s="1"/>
  <c r="A104" i="142" s="1"/>
  <c r="A105" i="142" s="1"/>
  <c r="A106" i="142" s="1"/>
  <c r="A107" i="142" s="1"/>
  <c r="A108" i="142" s="1"/>
  <c r="A109" i="142" s="1"/>
  <c r="A110" i="142" s="1"/>
  <c r="A111" i="142" s="1"/>
  <c r="A112" i="142" s="1"/>
  <c r="A113" i="142" s="1"/>
  <c r="A114" i="142" s="1"/>
  <c r="A115" i="142" s="1"/>
  <c r="A116" i="142" s="1"/>
  <c r="A117" i="142" s="1"/>
  <c r="A118" i="142" s="1"/>
  <c r="A119" i="142" s="1"/>
  <c r="A120" i="142" s="1"/>
  <c r="A121" i="142" s="1"/>
  <c r="A122" i="142" s="1"/>
  <c r="A123" i="142" s="1"/>
  <c r="A124" i="142" s="1"/>
  <c r="A125" i="142" s="1"/>
  <c r="A126" i="142" s="1"/>
  <c r="A127" i="142" s="1"/>
  <c r="A128" i="142" s="1"/>
  <c r="A129" i="142" s="1"/>
  <c r="A130" i="142" s="1"/>
  <c r="A131" i="142" s="1"/>
  <c r="A132" i="142" s="1"/>
  <c r="A133" i="142" s="1"/>
  <c r="A134" i="142" s="1"/>
  <c r="A135" i="142" s="1"/>
  <c r="A136" i="142" s="1"/>
  <c r="A137" i="142" s="1"/>
  <c r="A138" i="142" s="1"/>
  <c r="A139" i="142" s="1"/>
  <c r="A140" i="142" s="1"/>
  <c r="A141" i="142" s="1"/>
  <c r="A142" i="142" s="1"/>
  <c r="A143" i="142" s="1"/>
  <c r="A144" i="142" s="1"/>
  <c r="A145" i="142" s="1"/>
  <c r="A146" i="142" s="1"/>
  <c r="A147" i="142" s="1"/>
  <c r="A148" i="142" s="1"/>
  <c r="A149" i="142" s="1"/>
  <c r="A150" i="142" s="1"/>
  <c r="A151" i="142" s="1"/>
  <c r="A152" i="142" s="1"/>
  <c r="A153" i="142" s="1"/>
  <c r="A154" i="142" s="1"/>
  <c r="A155" i="142" s="1"/>
  <c r="A156" i="142" s="1"/>
  <c r="A157" i="142" s="1"/>
  <c r="A158" i="142" s="1"/>
  <c r="A159" i="142" s="1"/>
  <c r="A160" i="142" s="1"/>
  <c r="A161" i="142" s="1"/>
  <c r="A162" i="142" s="1"/>
  <c r="A163" i="142" s="1"/>
  <c r="A164" i="142" s="1"/>
  <c r="A165" i="142" s="1"/>
  <c r="A166" i="142" s="1"/>
  <c r="A167" i="142" s="1"/>
  <c r="A168" i="142" s="1"/>
  <c r="A169" i="142" s="1"/>
  <c r="A170" i="142" s="1"/>
  <c r="A171" i="142" s="1"/>
  <c r="A172" i="142" s="1"/>
  <c r="A173" i="142" s="1"/>
  <c r="A174" i="142" s="1"/>
  <c r="A175" i="142" s="1"/>
  <c r="A176" i="142" s="1"/>
  <c r="A177" i="142" s="1"/>
  <c r="A178" i="142" s="1"/>
  <c r="A179" i="142" s="1"/>
  <c r="A180" i="142" s="1"/>
  <c r="A181" i="142" s="1"/>
  <c r="A182" i="142" s="1"/>
  <c r="A183" i="142" s="1"/>
  <c r="A184" i="142" s="1"/>
  <c r="A185" i="142" s="1"/>
  <c r="A186" i="142" s="1"/>
  <c r="A187" i="142" s="1"/>
  <c r="A188" i="142" s="1"/>
  <c r="A189" i="142" s="1"/>
  <c r="A190" i="142" s="1"/>
  <c r="A191" i="142" s="1"/>
  <c r="A192" i="142" s="1"/>
  <c r="A193" i="142" s="1"/>
  <c r="A194" i="142" s="1"/>
  <c r="A195" i="142" s="1"/>
  <c r="A196" i="142" s="1"/>
  <c r="A197" i="142" s="1"/>
  <c r="A198" i="142" s="1"/>
  <c r="A199" i="142" s="1"/>
  <c r="A200" i="142" s="1"/>
  <c r="A201" i="142" s="1"/>
  <c r="A202" i="142" s="1"/>
  <c r="A203" i="142" s="1"/>
  <c r="A204" i="142" s="1"/>
  <c r="A205" i="142" s="1"/>
  <c r="A206" i="142" s="1"/>
  <c r="A207" i="142" s="1"/>
  <c r="A208" i="142" s="1"/>
  <c r="A209" i="142" s="1"/>
  <c r="A210" i="142" s="1"/>
  <c r="A211" i="142" s="1"/>
  <c r="A212" i="142" s="1"/>
  <c r="A213" i="142" s="1"/>
  <c r="A214" i="142" s="1"/>
  <c r="A215" i="142" s="1"/>
  <c r="A216" i="142" s="1"/>
  <c r="A217" i="142" s="1"/>
  <c r="A218" i="142" s="1"/>
  <c r="A219" i="142" s="1"/>
  <c r="A220" i="142" s="1"/>
  <c r="A221" i="142" s="1"/>
  <c r="A222" i="142" s="1"/>
  <c r="A223" i="142" s="1"/>
  <c r="A224" i="142" s="1"/>
  <c r="A225" i="142" s="1"/>
  <c r="A226" i="142" s="1"/>
  <c r="A227" i="142" s="1"/>
  <c r="A228" i="142" s="1"/>
  <c r="A229" i="142" s="1"/>
  <c r="A230" i="142" s="1"/>
  <c r="A231" i="142" s="1"/>
  <c r="A232" i="142" s="1"/>
  <c r="A233" i="142" s="1"/>
  <c r="A234" i="142" s="1"/>
  <c r="A235" i="142" s="1"/>
  <c r="A236" i="142" s="1"/>
  <c r="A237" i="142" s="1"/>
  <c r="A238" i="142" s="1"/>
  <c r="A239" i="142" s="1"/>
  <c r="A240" i="142" s="1"/>
  <c r="A241" i="142" s="1"/>
  <c r="A242" i="142" s="1"/>
  <c r="A243" i="142" s="1"/>
  <c r="A244" i="142" s="1"/>
  <c r="A245" i="142" s="1"/>
  <c r="A246" i="142" s="1"/>
  <c r="A247" i="142" s="1"/>
  <c r="A248" i="142" s="1"/>
  <c r="A249" i="142" s="1"/>
  <c r="A250" i="142" s="1"/>
  <c r="A251" i="142" s="1"/>
  <c r="A252" i="142" s="1"/>
  <c r="A253" i="142" s="1"/>
  <c r="A254" i="142" s="1"/>
  <c r="A255" i="142" s="1"/>
  <c r="A256" i="142" s="1"/>
  <c r="A257" i="142" s="1"/>
  <c r="A258" i="142" s="1"/>
  <c r="A259" i="142" s="1"/>
  <c r="A260" i="142" s="1"/>
  <c r="A261" i="142" s="1"/>
  <c r="A262" i="142" s="1"/>
  <c r="A263" i="142" s="1"/>
  <c r="A264" i="142" s="1"/>
  <c r="A265" i="142" s="1"/>
  <c r="A266" i="142" s="1"/>
  <c r="A267" i="142" s="1"/>
  <c r="A268" i="142" s="1"/>
  <c r="A269" i="142" s="1"/>
  <c r="A270" i="142" s="1"/>
  <c r="A271" i="142" s="1"/>
  <c r="A272" i="142" s="1"/>
  <c r="A273" i="142" s="1"/>
  <c r="A274" i="142" s="1"/>
  <c r="A275" i="142" s="1"/>
  <c r="A276" i="142" s="1"/>
  <c r="A277" i="142" s="1"/>
  <c r="A278" i="142" s="1"/>
  <c r="A279" i="142" s="1"/>
  <c r="A280" i="142" s="1"/>
  <c r="A281" i="142" s="1"/>
  <c r="A282" i="142" s="1"/>
  <c r="A283" i="142" s="1"/>
  <c r="A284" i="142" s="1"/>
  <c r="A285" i="142" s="1"/>
  <c r="A286" i="142" s="1"/>
  <c r="A287" i="142" s="1"/>
  <c r="A288" i="142" s="1"/>
  <c r="A289" i="142" s="1"/>
  <c r="A290" i="142" s="1"/>
  <c r="A291" i="142" s="1"/>
  <c r="A292" i="142" s="1"/>
  <c r="A293" i="142" s="1"/>
  <c r="A294" i="142" s="1"/>
  <c r="A295" i="142" s="1"/>
  <c r="A296" i="142" s="1"/>
  <c r="A297" i="142" s="1"/>
  <c r="A298" i="142" s="1"/>
  <c r="A299" i="142" s="1"/>
  <c r="A300" i="142" s="1"/>
  <c r="A301" i="142" s="1"/>
  <c r="A302" i="142" s="1"/>
  <c r="A303" i="142" s="1"/>
  <c r="A304" i="142" s="1"/>
  <c r="A305" i="142" s="1"/>
  <c r="A306" i="142" s="1"/>
  <c r="A307" i="142" s="1"/>
  <c r="A308" i="142" s="1"/>
  <c r="A309" i="142" s="1"/>
  <c r="A310" i="142" s="1"/>
  <c r="A311" i="142" s="1"/>
  <c r="A312" i="142" s="1"/>
  <c r="A313" i="142" s="1"/>
  <c r="A314" i="142" s="1"/>
  <c r="A315" i="142" s="1"/>
  <c r="A316" i="142" s="1"/>
  <c r="A317" i="142" s="1"/>
  <c r="A318" i="142" s="1"/>
  <c r="A319" i="142" s="1"/>
  <c r="A320" i="142" s="1"/>
  <c r="A321" i="142" s="1"/>
  <c r="A322" i="142" s="1"/>
  <c r="A323" i="142" s="1"/>
  <c r="A324" i="142" s="1"/>
  <c r="A325" i="142" s="1"/>
  <c r="A326" i="142" s="1"/>
  <c r="A327" i="142" s="1"/>
  <c r="A328" i="142" s="1"/>
  <c r="A329" i="142" s="1"/>
  <c r="A330" i="142" s="1"/>
  <c r="A331" i="142" s="1"/>
  <c r="A332" i="142" s="1"/>
  <c r="A333" i="142" s="1"/>
  <c r="A334" i="142" s="1"/>
  <c r="A335" i="142" s="1"/>
  <c r="A336" i="142" s="1"/>
  <c r="A337" i="142" s="1"/>
  <c r="A338" i="142" s="1"/>
  <c r="A339" i="142" s="1"/>
  <c r="A340" i="142" s="1"/>
  <c r="A341" i="142" s="1"/>
  <c r="A342" i="142" s="1"/>
  <c r="A343" i="142" s="1"/>
  <c r="A344" i="142" s="1"/>
  <c r="A345" i="142" s="1"/>
  <c r="O3" i="93"/>
  <c r="O4" i="93"/>
  <c r="O5" i="93"/>
  <c r="O6" i="93"/>
  <c r="O7" i="93"/>
  <c r="O8" i="93"/>
  <c r="O9" i="93"/>
  <c r="O10" i="93"/>
  <c r="O11" i="93"/>
  <c r="O12" i="93"/>
  <c r="O13" i="93"/>
  <c r="O14" i="93"/>
  <c r="O15" i="93"/>
  <c r="O16" i="93"/>
  <c r="O17" i="93"/>
  <c r="O18" i="93"/>
  <c r="O19" i="93"/>
  <c r="O20" i="93"/>
  <c r="O21" i="93"/>
  <c r="O22" i="93"/>
  <c r="O23" i="93"/>
  <c r="O24" i="93"/>
  <c r="O25" i="93"/>
  <c r="O26" i="93"/>
  <c r="O27" i="93"/>
  <c r="O28" i="93"/>
  <c r="O29" i="93"/>
  <c r="O30" i="93"/>
  <c r="O31" i="93"/>
  <c r="O32" i="93"/>
  <c r="O33" i="93"/>
  <c r="O34" i="93"/>
  <c r="O35" i="93"/>
  <c r="O36" i="93"/>
  <c r="O37" i="93"/>
  <c r="O38" i="93"/>
  <c r="O39" i="93"/>
  <c r="O40" i="93"/>
  <c r="O41" i="93"/>
  <c r="O42" i="93"/>
  <c r="O43" i="93"/>
  <c r="O44" i="93"/>
  <c r="O45" i="93"/>
  <c r="O46" i="93"/>
  <c r="O47" i="93"/>
  <c r="O48" i="93"/>
  <c r="O49" i="93"/>
  <c r="O50" i="93"/>
  <c r="O51" i="93"/>
  <c r="O52" i="93"/>
  <c r="O53" i="93"/>
  <c r="O54" i="93"/>
  <c r="O55" i="93"/>
  <c r="O56" i="93"/>
  <c r="O57" i="93"/>
  <c r="O58" i="93"/>
  <c r="O59" i="93"/>
  <c r="O60" i="93"/>
  <c r="O61" i="93"/>
  <c r="O62" i="93"/>
  <c r="O63" i="93"/>
  <c r="O64" i="93"/>
  <c r="O65" i="93"/>
  <c r="O66" i="93"/>
  <c r="O67" i="93"/>
  <c r="O68" i="93"/>
  <c r="O69" i="93"/>
  <c r="O70" i="93"/>
  <c r="O71" i="93"/>
  <c r="O72" i="93"/>
  <c r="O73" i="93"/>
  <c r="O74" i="93"/>
  <c r="O75" i="93"/>
  <c r="O76" i="93"/>
  <c r="O77" i="93"/>
  <c r="O78" i="93"/>
  <c r="O79" i="93"/>
  <c r="O80" i="93"/>
  <c r="O81" i="93"/>
  <c r="O82" i="93"/>
  <c r="O83" i="93"/>
  <c r="O84" i="93"/>
  <c r="O85" i="93"/>
  <c r="O86" i="93"/>
  <c r="O87" i="93"/>
  <c r="O88" i="93"/>
  <c r="O89" i="93"/>
  <c r="O90" i="93"/>
  <c r="O91" i="93"/>
  <c r="O92" i="93"/>
  <c r="O93" i="93"/>
  <c r="O94" i="93"/>
  <c r="O95" i="93"/>
  <c r="O96" i="93"/>
  <c r="O97" i="93"/>
  <c r="O98" i="93"/>
  <c r="O99" i="93"/>
  <c r="O100" i="93"/>
  <c r="O101" i="93"/>
  <c r="O102" i="93"/>
  <c r="O103" i="93"/>
  <c r="O104" i="93"/>
  <c r="O105" i="93"/>
  <c r="O106" i="93"/>
  <c r="O107" i="93"/>
  <c r="O108" i="93"/>
  <c r="O109" i="93"/>
  <c r="O110" i="93"/>
  <c r="O111" i="93"/>
  <c r="O112" i="93"/>
  <c r="O113" i="93"/>
  <c r="O114" i="93"/>
  <c r="O115" i="93"/>
  <c r="O116" i="93"/>
  <c r="O117" i="93"/>
  <c r="O118" i="93"/>
  <c r="O119" i="93"/>
  <c r="O120" i="93"/>
  <c r="O121" i="93"/>
  <c r="O122" i="93"/>
  <c r="O123" i="93"/>
  <c r="O124" i="93"/>
  <c r="O125" i="93"/>
  <c r="O126" i="93"/>
  <c r="O127" i="93"/>
  <c r="O128" i="93"/>
  <c r="O129" i="93"/>
  <c r="O130" i="93"/>
  <c r="O131" i="93"/>
  <c r="O132" i="93"/>
  <c r="O133" i="93"/>
  <c r="O134" i="93"/>
  <c r="O135" i="93"/>
  <c r="O136" i="93"/>
  <c r="O137" i="93"/>
  <c r="O138" i="93"/>
  <c r="O139" i="93"/>
  <c r="O140" i="93"/>
  <c r="O141" i="93"/>
  <c r="O142" i="93"/>
  <c r="O143" i="93"/>
  <c r="O144" i="93"/>
  <c r="O145" i="93"/>
  <c r="O146" i="93"/>
  <c r="O147" i="93"/>
  <c r="O148" i="93"/>
  <c r="O149" i="93"/>
  <c r="O150" i="93"/>
  <c r="O151" i="93"/>
  <c r="O152" i="93"/>
  <c r="O153" i="93"/>
  <c r="O154" i="93"/>
  <c r="O155" i="93"/>
  <c r="O156" i="93"/>
  <c r="O157" i="93"/>
  <c r="O158" i="93"/>
  <c r="O159" i="93"/>
  <c r="O160" i="93"/>
  <c r="O161" i="93"/>
  <c r="O162" i="93"/>
  <c r="O163" i="93"/>
  <c r="O164" i="93"/>
  <c r="O165" i="93"/>
  <c r="O166" i="93"/>
  <c r="O167" i="93"/>
  <c r="O168" i="93"/>
  <c r="O169" i="93"/>
  <c r="O170" i="93"/>
  <c r="O171" i="93"/>
  <c r="O172" i="93"/>
  <c r="O173" i="93"/>
  <c r="O174" i="93"/>
  <c r="O175" i="93"/>
  <c r="O176" i="93"/>
  <c r="O177" i="93"/>
  <c r="O178" i="93"/>
  <c r="O179" i="93"/>
  <c r="O180" i="93"/>
  <c r="O181" i="93"/>
  <c r="O182" i="93"/>
  <c r="O183" i="93"/>
  <c r="O184" i="93"/>
  <c r="O185" i="93"/>
  <c r="O186" i="93"/>
  <c r="O187" i="93"/>
  <c r="O188" i="93"/>
  <c r="O189" i="93"/>
  <c r="O190" i="93"/>
  <c r="O191" i="93"/>
  <c r="O192" i="93"/>
  <c r="O193" i="93"/>
  <c r="O194" i="93"/>
  <c r="O195" i="93"/>
  <c r="O196" i="93"/>
  <c r="O197" i="93"/>
  <c r="O198" i="93"/>
  <c r="O199" i="93"/>
  <c r="O200" i="93"/>
  <c r="O201" i="93"/>
  <c r="O202" i="93"/>
  <c r="O203" i="93"/>
  <c r="O204" i="93"/>
  <c r="O205" i="93"/>
  <c r="O206" i="93"/>
  <c r="O207" i="93"/>
  <c r="O208" i="93"/>
  <c r="O209" i="93"/>
  <c r="O210" i="93"/>
  <c r="O211" i="93"/>
  <c r="O212" i="93"/>
  <c r="O213" i="93"/>
  <c r="O214" i="93"/>
  <c r="O215" i="93"/>
  <c r="O216" i="93"/>
  <c r="O217" i="93"/>
  <c r="O218" i="93"/>
  <c r="O219" i="93"/>
  <c r="O220" i="93"/>
  <c r="O221" i="93"/>
  <c r="O222" i="93"/>
  <c r="O223" i="93"/>
  <c r="O224" i="93"/>
  <c r="O225" i="93"/>
  <c r="O226" i="93"/>
  <c r="O227" i="93"/>
  <c r="O228" i="93"/>
  <c r="O229" i="93"/>
  <c r="O230" i="93"/>
  <c r="O231" i="93"/>
  <c r="O232" i="93"/>
  <c r="O233" i="93"/>
  <c r="O234" i="93"/>
  <c r="O235" i="93"/>
  <c r="O236" i="93"/>
  <c r="O237" i="93"/>
  <c r="O238" i="93"/>
  <c r="O239" i="93"/>
  <c r="O240" i="93"/>
  <c r="O241" i="93"/>
  <c r="O242" i="93"/>
  <c r="O243" i="93"/>
  <c r="O244" i="93"/>
  <c r="O245" i="93"/>
  <c r="O246" i="93"/>
  <c r="O247" i="93"/>
  <c r="O248" i="93"/>
  <c r="O249" i="93"/>
  <c r="O250" i="93"/>
  <c r="O251" i="93"/>
  <c r="O252" i="93"/>
  <c r="O253" i="93"/>
  <c r="O254" i="93"/>
  <c r="O255" i="93"/>
  <c r="O256" i="93"/>
  <c r="O257" i="93"/>
  <c r="O258" i="93"/>
  <c r="O259" i="93"/>
  <c r="O260" i="93"/>
  <c r="O261" i="93"/>
  <c r="O262" i="93"/>
  <c r="O263" i="93"/>
  <c r="O264" i="93"/>
  <c r="O265" i="93"/>
  <c r="O266" i="93"/>
  <c r="O267" i="93"/>
  <c r="O268" i="93"/>
  <c r="O269" i="93"/>
  <c r="O270" i="93"/>
  <c r="O271" i="93"/>
  <c r="O272" i="93"/>
  <c r="O273" i="93"/>
  <c r="O274" i="93"/>
  <c r="O275" i="93"/>
  <c r="O276" i="93"/>
  <c r="O277" i="93"/>
  <c r="O278" i="93"/>
  <c r="O279" i="93"/>
  <c r="O280" i="93"/>
  <c r="O281" i="93"/>
  <c r="O282" i="93"/>
  <c r="O283" i="93"/>
  <c r="O284" i="93"/>
  <c r="O285" i="93"/>
  <c r="O286" i="93"/>
  <c r="O287" i="93"/>
  <c r="O288" i="93"/>
  <c r="O289" i="93"/>
  <c r="O290" i="93"/>
  <c r="O291" i="93"/>
  <c r="O292" i="93"/>
  <c r="O293" i="93"/>
  <c r="O294" i="93"/>
  <c r="O295" i="93"/>
  <c r="O296" i="93"/>
  <c r="O297" i="93"/>
  <c r="O298" i="93"/>
  <c r="O299" i="93"/>
  <c r="O300" i="93"/>
  <c r="O301" i="93"/>
  <c r="O302" i="93"/>
  <c r="O303" i="93"/>
  <c r="O2" i="93"/>
  <c r="O3" i="100"/>
  <c r="O4" i="100"/>
  <c r="O5" i="100"/>
  <c r="O6" i="100"/>
  <c r="O7" i="100"/>
  <c r="O8" i="100"/>
  <c r="O9" i="100"/>
  <c r="O10" i="100"/>
  <c r="O11" i="100"/>
  <c r="O12" i="100"/>
  <c r="O13" i="100"/>
  <c r="O14" i="100"/>
  <c r="O15" i="100"/>
  <c r="O16" i="100"/>
  <c r="O17" i="100"/>
  <c r="O18" i="100"/>
  <c r="O19" i="100"/>
  <c r="O20" i="100"/>
  <c r="O21" i="100"/>
  <c r="O22" i="100"/>
  <c r="O23" i="100"/>
  <c r="O24" i="100"/>
  <c r="O25" i="100"/>
  <c r="O26" i="100"/>
  <c r="O27" i="100"/>
  <c r="O28" i="100"/>
  <c r="O29" i="100"/>
  <c r="O30" i="100"/>
  <c r="O31" i="100"/>
  <c r="O32" i="100"/>
  <c r="O33" i="100"/>
  <c r="O34" i="100"/>
  <c r="O35" i="100"/>
  <c r="O36" i="100"/>
  <c r="O37" i="100"/>
  <c r="O38" i="100"/>
  <c r="O39" i="100"/>
  <c r="O40" i="100"/>
  <c r="O41" i="100"/>
  <c r="O42" i="100"/>
  <c r="O43" i="100"/>
  <c r="O44" i="100"/>
  <c r="O45" i="100"/>
  <c r="O46" i="100"/>
  <c r="O47" i="100"/>
  <c r="O48" i="100"/>
  <c r="O49" i="100"/>
  <c r="O50" i="100"/>
  <c r="O51" i="100"/>
  <c r="O52" i="100"/>
  <c r="O53" i="100"/>
  <c r="O54" i="100"/>
  <c r="O55" i="100"/>
  <c r="O56" i="100"/>
  <c r="O57" i="100"/>
  <c r="O58" i="100"/>
  <c r="O59" i="100"/>
  <c r="O60" i="100"/>
  <c r="O61" i="100"/>
  <c r="O62" i="100"/>
  <c r="O63" i="100"/>
  <c r="O64" i="100"/>
  <c r="O65" i="100"/>
  <c r="O66" i="100"/>
  <c r="O67" i="100"/>
  <c r="O68" i="100"/>
  <c r="O69" i="100"/>
  <c r="O70" i="100"/>
  <c r="O71" i="100"/>
  <c r="O72" i="100"/>
  <c r="O73" i="100"/>
  <c r="O74" i="100"/>
  <c r="O75" i="100"/>
  <c r="O76" i="100"/>
  <c r="O77" i="100"/>
  <c r="O78" i="100"/>
  <c r="O79" i="100"/>
  <c r="O80" i="100"/>
  <c r="O81" i="100"/>
  <c r="O82" i="100"/>
  <c r="O83" i="100"/>
  <c r="O84" i="100"/>
  <c r="O85" i="100"/>
  <c r="O86" i="100"/>
  <c r="O87" i="100"/>
  <c r="O88" i="100"/>
  <c r="O89" i="100"/>
  <c r="O90" i="100"/>
  <c r="O91" i="100"/>
  <c r="O92" i="100"/>
  <c r="O93" i="100"/>
  <c r="O94" i="100"/>
  <c r="O95" i="100"/>
  <c r="O96" i="100"/>
  <c r="O97" i="100"/>
  <c r="O98" i="100"/>
  <c r="O99" i="100"/>
  <c r="O100" i="100"/>
  <c r="O101" i="100"/>
  <c r="O102" i="100"/>
  <c r="O103" i="100"/>
  <c r="O104" i="100"/>
  <c r="O105" i="100"/>
  <c r="O106" i="100"/>
  <c r="O107" i="100"/>
  <c r="O108" i="100"/>
  <c r="O109" i="100"/>
  <c r="O110" i="100"/>
  <c r="O111" i="100"/>
  <c r="O112" i="100"/>
  <c r="O113" i="100"/>
  <c r="O114" i="100"/>
  <c r="O115" i="100"/>
  <c r="O116" i="100"/>
  <c r="O117" i="100"/>
  <c r="O118" i="100"/>
  <c r="O119" i="100"/>
  <c r="O120" i="100"/>
  <c r="O121" i="100"/>
  <c r="O122" i="100"/>
  <c r="O123" i="100"/>
  <c r="O124" i="100"/>
  <c r="O125" i="100"/>
  <c r="O126" i="100"/>
  <c r="O127" i="100"/>
  <c r="O128" i="100"/>
  <c r="O129" i="100"/>
  <c r="O130" i="100"/>
  <c r="O2" i="100"/>
  <c r="N4" i="100"/>
  <c r="N5" i="100"/>
  <c r="N6" i="100"/>
  <c r="N7" i="100" s="1"/>
  <c r="N8" i="100" s="1"/>
  <c r="N9" i="100" s="1"/>
  <c r="N10" i="100" s="1"/>
  <c r="N11" i="100" s="1"/>
  <c r="N12" i="100" s="1"/>
  <c r="N13" i="100" s="1"/>
  <c r="N14" i="100" s="1"/>
  <c r="N15" i="100" s="1"/>
  <c r="N16" i="100" s="1"/>
  <c r="N17" i="100" s="1"/>
  <c r="N18" i="100" s="1"/>
  <c r="N19" i="100" s="1"/>
  <c r="N20" i="100" s="1"/>
  <c r="N21" i="100" s="1"/>
  <c r="N22" i="100" s="1"/>
  <c r="N23" i="100" s="1"/>
  <c r="N24" i="100" s="1"/>
  <c r="N25" i="100" s="1"/>
  <c r="N26" i="100" s="1"/>
  <c r="N27" i="100" s="1"/>
  <c r="N28" i="100" s="1"/>
  <c r="N29" i="100" s="1"/>
  <c r="N30" i="100" s="1"/>
  <c r="N31" i="100" s="1"/>
  <c r="N32" i="100" s="1"/>
  <c r="N33" i="100" s="1"/>
  <c r="N34" i="100" s="1"/>
  <c r="N35" i="100" s="1"/>
  <c r="N36" i="100" s="1"/>
  <c r="N37" i="100" s="1"/>
  <c r="N38" i="100" s="1"/>
  <c r="N39" i="100" s="1"/>
  <c r="N40" i="100" s="1"/>
  <c r="N41" i="100" s="1"/>
  <c r="N42" i="100" s="1"/>
  <c r="N43" i="100" s="1"/>
  <c r="N44" i="100" s="1"/>
  <c r="N45" i="100" s="1"/>
  <c r="N46" i="100" s="1"/>
  <c r="N47" i="100" s="1"/>
  <c r="N48" i="100" s="1"/>
  <c r="N49" i="100" s="1"/>
  <c r="N50" i="100" s="1"/>
  <c r="N51" i="100" s="1"/>
  <c r="N52" i="100" s="1"/>
  <c r="N53" i="100" s="1"/>
  <c r="N54" i="100" s="1"/>
  <c r="N55" i="100" s="1"/>
  <c r="N56" i="100" s="1"/>
  <c r="N57" i="100" s="1"/>
  <c r="N58" i="100" s="1"/>
  <c r="N59" i="100" s="1"/>
  <c r="N60" i="100" s="1"/>
  <c r="N61" i="100" s="1"/>
  <c r="N62" i="100" s="1"/>
  <c r="N63" i="100" s="1"/>
  <c r="N64" i="100" s="1"/>
  <c r="N65" i="100" s="1"/>
  <c r="N66" i="100" s="1"/>
  <c r="N67" i="100" s="1"/>
  <c r="N68" i="100" s="1"/>
  <c r="N69" i="100" s="1"/>
  <c r="N70" i="100" s="1"/>
  <c r="N71" i="100" s="1"/>
  <c r="N72" i="100" s="1"/>
  <c r="N73" i="100" s="1"/>
  <c r="N74" i="100" s="1"/>
  <c r="N75" i="100" s="1"/>
  <c r="N76" i="100" s="1"/>
  <c r="N77" i="100" s="1"/>
  <c r="N78" i="100" s="1"/>
  <c r="N79" i="100" s="1"/>
  <c r="N80" i="100" s="1"/>
  <c r="N81" i="100" s="1"/>
  <c r="N82" i="100" s="1"/>
  <c r="N83" i="100" s="1"/>
  <c r="N84" i="100" s="1"/>
  <c r="N85" i="100" s="1"/>
  <c r="N86" i="100" s="1"/>
  <c r="N87" i="100" s="1"/>
  <c r="N88" i="100" s="1"/>
  <c r="N89" i="100" s="1"/>
  <c r="N90" i="100" s="1"/>
  <c r="N91" i="100" s="1"/>
  <c r="N92" i="100" s="1"/>
  <c r="N93" i="100" s="1"/>
  <c r="N94" i="100" s="1"/>
  <c r="N95" i="100" s="1"/>
  <c r="N96" i="100" s="1"/>
  <c r="N97" i="100" s="1"/>
  <c r="N98" i="100" s="1"/>
  <c r="N99" i="100" s="1"/>
  <c r="N100" i="100" s="1"/>
  <c r="N101" i="100" s="1"/>
  <c r="N102" i="100" s="1"/>
  <c r="N103" i="100" s="1"/>
  <c r="N104" i="100" s="1"/>
  <c r="N105" i="100" s="1"/>
  <c r="N106" i="100" s="1"/>
  <c r="N107" i="100" s="1"/>
  <c r="N108" i="100" s="1"/>
  <c r="N109" i="100" s="1"/>
  <c r="N110" i="100" s="1"/>
  <c r="N111" i="100" s="1"/>
  <c r="N112" i="100" s="1"/>
  <c r="N113" i="100" s="1"/>
  <c r="N114" i="100" s="1"/>
  <c r="N115" i="100" s="1"/>
  <c r="N116" i="100" s="1"/>
  <c r="N117" i="100" s="1"/>
  <c r="N118" i="100" s="1"/>
  <c r="N119" i="100" s="1"/>
  <c r="N120" i="100" s="1"/>
  <c r="N121" i="100" s="1"/>
  <c r="N122" i="100" s="1"/>
  <c r="N123" i="100" s="1"/>
  <c r="N124" i="100" s="1"/>
  <c r="N125" i="100" s="1"/>
  <c r="N126" i="100" s="1"/>
  <c r="N127" i="100" s="1"/>
  <c r="N128" i="100" s="1"/>
  <c r="N129" i="100" s="1"/>
  <c r="N130" i="100" s="1"/>
  <c r="N3" i="100"/>
  <c r="O3" i="56"/>
  <c r="O4" i="56"/>
  <c r="O5" i="56"/>
  <c r="O6" i="56"/>
  <c r="O7" i="56"/>
  <c r="O8" i="56"/>
  <c r="O9" i="56"/>
  <c r="O10" i="56"/>
  <c r="O11" i="56"/>
  <c r="O12" i="56"/>
  <c r="O13" i="56"/>
  <c r="O14" i="56"/>
  <c r="O15" i="56"/>
  <c r="O16" i="56"/>
  <c r="O17" i="56"/>
  <c r="O18" i="56"/>
  <c r="O19" i="56"/>
  <c r="O20" i="56"/>
  <c r="O21" i="56"/>
  <c r="O22" i="56"/>
  <c r="O23" i="56"/>
  <c r="O24" i="56"/>
  <c r="O25" i="56"/>
  <c r="O26" i="56"/>
  <c r="O27" i="56"/>
  <c r="O28" i="56"/>
  <c r="O29" i="56"/>
  <c r="O30" i="56"/>
  <c r="O31" i="56"/>
  <c r="O32" i="56"/>
  <c r="O33" i="56"/>
  <c r="O34" i="56"/>
  <c r="O35" i="56"/>
  <c r="O36" i="56"/>
  <c r="O37" i="56"/>
  <c r="O38" i="56"/>
  <c r="O39" i="56"/>
  <c r="O40" i="56"/>
  <c r="O41" i="56"/>
  <c r="O42" i="56"/>
  <c r="O43" i="56"/>
  <c r="O44" i="56"/>
  <c r="O45" i="56"/>
  <c r="O46" i="56"/>
  <c r="O47" i="56"/>
  <c r="O48" i="56"/>
  <c r="O49" i="56"/>
  <c r="O50" i="56"/>
  <c r="O51" i="56"/>
  <c r="O52" i="56"/>
  <c r="O53" i="56"/>
  <c r="O54" i="56"/>
  <c r="O55" i="56"/>
  <c r="O56" i="56"/>
  <c r="O57" i="56"/>
  <c r="O58" i="56"/>
  <c r="O59" i="56"/>
  <c r="O60" i="56"/>
  <c r="O61" i="56"/>
  <c r="O62" i="56"/>
  <c r="O63" i="56"/>
  <c r="O64" i="56"/>
  <c r="O65" i="56"/>
  <c r="O66" i="56"/>
  <c r="O67" i="56"/>
  <c r="O68" i="56"/>
  <c r="O69" i="56"/>
  <c r="O70" i="56"/>
  <c r="O71" i="56"/>
  <c r="O72" i="56"/>
  <c r="O73" i="56"/>
  <c r="O74" i="56"/>
  <c r="O75" i="56"/>
  <c r="O76" i="56"/>
  <c r="O77" i="56"/>
  <c r="O78" i="56"/>
  <c r="O79" i="56"/>
  <c r="O80" i="56"/>
  <c r="O81" i="56"/>
  <c r="O82" i="56"/>
  <c r="O83" i="56"/>
  <c r="O84" i="56"/>
  <c r="O85" i="56"/>
  <c r="O86" i="56"/>
  <c r="O87" i="56"/>
  <c r="O88" i="56"/>
  <c r="O89" i="56"/>
  <c r="O90" i="56"/>
  <c r="O91" i="56"/>
  <c r="O92" i="56"/>
  <c r="O93" i="56"/>
  <c r="O94" i="56"/>
  <c r="O95" i="56"/>
  <c r="O96" i="56"/>
  <c r="O97" i="56"/>
  <c r="O98" i="56"/>
  <c r="O99" i="56"/>
  <c r="O100" i="56"/>
  <c r="O101" i="56"/>
  <c r="O102" i="56"/>
  <c r="O103" i="56"/>
  <c r="O104" i="56"/>
  <c r="O105" i="56"/>
  <c r="O106" i="56"/>
  <c r="O107" i="56"/>
  <c r="O108" i="56"/>
  <c r="O109" i="56"/>
  <c r="O110" i="56"/>
  <c r="O111" i="56"/>
  <c r="O112" i="56"/>
  <c r="O113" i="56"/>
  <c r="O114" i="56"/>
  <c r="O115" i="56"/>
  <c r="O116" i="56"/>
  <c r="O117" i="56"/>
  <c r="O118" i="56"/>
  <c r="O119" i="56"/>
  <c r="O120" i="56"/>
  <c r="O121" i="56"/>
  <c r="O122" i="56"/>
  <c r="O123" i="56"/>
  <c r="O124" i="56"/>
  <c r="O125" i="56"/>
  <c r="O126" i="56"/>
  <c r="O127" i="56"/>
  <c r="O128" i="56"/>
  <c r="O129" i="56"/>
  <c r="O130" i="56"/>
  <c r="O131" i="56"/>
  <c r="O132" i="56"/>
  <c r="O133" i="56"/>
  <c r="O134" i="56"/>
  <c r="O135" i="56"/>
  <c r="O136" i="56"/>
  <c r="O137" i="56"/>
  <c r="O138" i="56"/>
  <c r="O139" i="56"/>
  <c r="O140" i="56"/>
  <c r="O141" i="56"/>
  <c r="O142" i="56"/>
  <c r="O143" i="56"/>
  <c r="O144" i="56"/>
  <c r="O145" i="56"/>
  <c r="O146" i="56"/>
  <c r="O147" i="56"/>
  <c r="O148" i="56"/>
  <c r="O149" i="56"/>
  <c r="O150" i="56"/>
  <c r="O151" i="56"/>
  <c r="O152" i="56"/>
  <c r="O153" i="56"/>
  <c r="O154" i="56"/>
  <c r="O155" i="56"/>
  <c r="O156" i="56"/>
  <c r="O157" i="56"/>
  <c r="O158" i="56"/>
  <c r="O159" i="56"/>
  <c r="O160" i="56"/>
  <c r="O161" i="56"/>
  <c r="O162" i="56"/>
  <c r="O163" i="56"/>
  <c r="O164" i="56"/>
  <c r="O165" i="56"/>
  <c r="O166" i="56"/>
  <c r="O167" i="56"/>
  <c r="O168" i="56"/>
  <c r="O169" i="56"/>
  <c r="O170" i="56"/>
  <c r="O171" i="56"/>
  <c r="O2" i="56"/>
  <c r="A3" i="94"/>
  <c r="A4" i="94" s="1"/>
  <c r="A5" i="94" s="1"/>
  <c r="A6" i="94" s="1"/>
  <c r="A7" i="94" s="1"/>
  <c r="A8" i="94" s="1"/>
  <c r="A9" i="94" s="1"/>
  <c r="A10" i="94" s="1"/>
  <c r="A11" i="94" s="1"/>
  <c r="A12" i="94" s="1"/>
  <c r="A13" i="94" s="1"/>
  <c r="A14" i="94" s="1"/>
  <c r="A15" i="94" s="1"/>
  <c r="A16" i="94" s="1"/>
  <c r="A17" i="94" s="1"/>
  <c r="A18" i="94" s="1"/>
  <c r="A19" i="94" s="1"/>
  <c r="A20" i="94" s="1"/>
  <c r="A21" i="94" s="1"/>
  <c r="A22" i="94" s="1"/>
  <c r="A23" i="94" s="1"/>
  <c r="A24" i="94" s="1"/>
  <c r="A25" i="94" s="1"/>
  <c r="A26" i="94" s="1"/>
  <c r="A27" i="94" s="1"/>
  <c r="A28" i="94" s="1"/>
  <c r="A29" i="94" s="1"/>
  <c r="A30" i="94" s="1"/>
  <c r="A31" i="94" s="1"/>
  <c r="A32" i="94" s="1"/>
  <c r="A33" i="94" s="1"/>
  <c r="A34" i="94" s="1"/>
  <c r="A35" i="94" s="1"/>
  <c r="A36" i="94" s="1"/>
  <c r="A37" i="94" s="1"/>
  <c r="A38" i="94" s="1"/>
  <c r="A39" i="94" s="1"/>
  <c r="A40" i="94" s="1"/>
  <c r="A41" i="94" s="1"/>
  <c r="A42" i="94" s="1"/>
  <c r="A43" i="94" s="1"/>
  <c r="A44" i="94" s="1"/>
  <c r="A45" i="94" s="1"/>
  <c r="A46" i="94" s="1"/>
  <c r="A47" i="94" s="1"/>
  <c r="A48" i="94" s="1"/>
  <c r="A49" i="94" s="1"/>
  <c r="A50" i="94" s="1"/>
  <c r="A51" i="94" s="1"/>
  <c r="A52" i="94" s="1"/>
  <c r="A53" i="94" s="1"/>
  <c r="A54" i="94" s="1"/>
  <c r="A55" i="94" s="1"/>
  <c r="A56" i="94" s="1"/>
  <c r="A57" i="94" s="1"/>
  <c r="A58" i="94" s="1"/>
  <c r="A59" i="94" s="1"/>
  <c r="A60" i="94" s="1"/>
  <c r="A61" i="94" s="1"/>
  <c r="A62" i="94" s="1"/>
  <c r="A63" i="94" s="1"/>
  <c r="A64" i="94" s="1"/>
  <c r="A65" i="94" s="1"/>
  <c r="A66" i="94" s="1"/>
  <c r="A67" i="94" s="1"/>
  <c r="A68" i="94" s="1"/>
  <c r="A69" i="94" s="1"/>
  <c r="A70" i="94" s="1"/>
  <c r="A71" i="94" s="1"/>
  <c r="A72" i="94" s="1"/>
  <c r="A73" i="94" s="1"/>
  <c r="A74" i="94" s="1"/>
  <c r="A75" i="94" s="1"/>
  <c r="A76" i="94" s="1"/>
  <c r="A77" i="94" s="1"/>
  <c r="A78" i="94" s="1"/>
  <c r="A79" i="94" s="1"/>
  <c r="A80" i="94" s="1"/>
  <c r="A81" i="94" s="1"/>
  <c r="A82" i="94" s="1"/>
  <c r="A83" i="94" s="1"/>
  <c r="A84" i="94" s="1"/>
  <c r="A85" i="94" s="1"/>
  <c r="A86" i="94" s="1"/>
  <c r="A87" i="94" s="1"/>
  <c r="A88" i="94" s="1"/>
  <c r="A89" i="94" s="1"/>
  <c r="A90" i="94" s="1"/>
  <c r="A91" i="94" s="1"/>
  <c r="A92" i="94" s="1"/>
  <c r="A93" i="94" s="1"/>
  <c r="A94" i="94" s="1"/>
  <c r="A95" i="94" s="1"/>
  <c r="A96" i="94" s="1"/>
  <c r="A97" i="94" s="1"/>
  <c r="A98" i="94" s="1"/>
  <c r="A99" i="94" s="1"/>
  <c r="A100" i="94" s="1"/>
  <c r="A101" i="94" s="1"/>
  <c r="A102" i="94" s="1"/>
  <c r="A103" i="94" s="1"/>
  <c r="A104" i="94" s="1"/>
  <c r="A105" i="94" s="1"/>
  <c r="A106" i="94" s="1"/>
  <c r="A107" i="94" s="1"/>
  <c r="A108" i="94" s="1"/>
  <c r="A109" i="94" s="1"/>
  <c r="A110" i="94" s="1"/>
  <c r="A111" i="94" s="1"/>
  <c r="A112" i="94" s="1"/>
  <c r="A113" i="94" s="1"/>
  <c r="A114" i="94" s="1"/>
  <c r="A115" i="94" s="1"/>
  <c r="A116" i="94" s="1"/>
  <c r="A117" i="94" s="1"/>
  <c r="A118" i="94" s="1"/>
  <c r="A119" i="94" s="1"/>
  <c r="A120" i="94" s="1"/>
  <c r="A121" i="94" s="1"/>
  <c r="A122" i="94" s="1"/>
  <c r="A123" i="94" s="1"/>
  <c r="A124" i="94" s="1"/>
  <c r="A125" i="94" s="1"/>
  <c r="A126" i="94" s="1"/>
  <c r="A127" i="94" s="1"/>
  <c r="A128" i="94" s="1"/>
  <c r="A129" i="94" s="1"/>
  <c r="A130" i="94" s="1"/>
  <c r="A131" i="94" s="1"/>
  <c r="A132" i="94" s="1"/>
  <c r="A133" i="94" s="1"/>
  <c r="A134" i="94" s="1"/>
  <c r="A135" i="94" s="1"/>
  <c r="A136" i="94" s="1"/>
  <c r="A137" i="94" s="1"/>
  <c r="A138" i="94" s="1"/>
  <c r="A139" i="94" s="1"/>
  <c r="A140" i="94" s="1"/>
  <c r="A141" i="94" s="1"/>
  <c r="A142" i="94" s="1"/>
  <c r="A143" i="94" s="1"/>
  <c r="A144" i="94" s="1"/>
  <c r="A145" i="94" s="1"/>
  <c r="A146" i="94" s="1"/>
  <c r="A147" i="94" s="1"/>
  <c r="A148" i="94" s="1"/>
  <c r="A149" i="94" s="1"/>
  <c r="A150" i="94" s="1"/>
  <c r="A151" i="94" s="1"/>
  <c r="A152" i="94" s="1"/>
  <c r="A153" i="94" s="1"/>
  <c r="A154" i="94" s="1"/>
  <c r="A155" i="94" s="1"/>
  <c r="A156" i="94" s="1"/>
  <c r="A157" i="94" s="1"/>
  <c r="A158" i="94" s="1"/>
  <c r="A159" i="94" s="1"/>
  <c r="A160" i="94" s="1"/>
  <c r="A161" i="94" s="1"/>
  <c r="A162" i="94" s="1"/>
  <c r="A163" i="94" s="1"/>
  <c r="A164" i="94" s="1"/>
  <c r="A165" i="94" s="1"/>
  <c r="A166" i="94" s="1"/>
  <c r="A167" i="94" s="1"/>
  <c r="A168" i="94" s="1"/>
  <c r="A169" i="94" s="1"/>
  <c r="A170" i="94" s="1"/>
  <c r="A171" i="94" s="1"/>
  <c r="A172" i="94" s="1"/>
  <c r="A173" i="94" s="1"/>
  <c r="A174" i="94" s="1"/>
  <c r="A175" i="94" s="1"/>
  <c r="A176" i="94" s="1"/>
  <c r="A177" i="94" s="1"/>
  <c r="A178" i="94" s="1"/>
  <c r="A179" i="94" s="1"/>
  <c r="A180" i="94" s="1"/>
  <c r="A181" i="94" s="1"/>
  <c r="A182" i="94" s="1"/>
  <c r="A183" i="94" s="1"/>
  <c r="A184" i="94" s="1"/>
  <c r="A185" i="94" s="1"/>
  <c r="A186" i="94" s="1"/>
  <c r="A187" i="94" s="1"/>
  <c r="A188" i="94" s="1"/>
  <c r="A189" i="94" s="1"/>
  <c r="A190" i="94" s="1"/>
  <c r="A191" i="94" s="1"/>
  <c r="A192" i="94" s="1"/>
  <c r="A193" i="94" s="1"/>
  <c r="A194" i="94" s="1"/>
  <c r="A195" i="94" s="1"/>
  <c r="A196" i="94" s="1"/>
  <c r="A197" i="94" s="1"/>
  <c r="A198" i="94" s="1"/>
  <c r="A199" i="94" s="1"/>
  <c r="A200" i="94" s="1"/>
  <c r="A201" i="94" s="1"/>
  <c r="A202" i="94" s="1"/>
  <c r="A203" i="94" s="1"/>
  <c r="A204" i="94" s="1"/>
  <c r="A205" i="94" s="1"/>
  <c r="A206" i="94" s="1"/>
  <c r="A207" i="94" s="1"/>
  <c r="A208" i="94" s="1"/>
  <c r="O3" i="94"/>
  <c r="O4" i="94"/>
  <c r="O5" i="94"/>
  <c r="O6" i="94"/>
  <c r="O7" i="94"/>
  <c r="O8" i="94"/>
  <c r="O9" i="94"/>
  <c r="O10" i="94"/>
  <c r="O11" i="94"/>
  <c r="O12" i="94"/>
  <c r="O13" i="94"/>
  <c r="O14" i="94"/>
  <c r="O15" i="94"/>
  <c r="O16" i="94"/>
  <c r="O17" i="94"/>
  <c r="O18" i="94"/>
  <c r="O19" i="94"/>
  <c r="O20" i="94"/>
  <c r="O21" i="94"/>
  <c r="O22" i="94"/>
  <c r="O23" i="94"/>
  <c r="O24" i="94"/>
  <c r="O25" i="94"/>
  <c r="O26" i="94"/>
  <c r="O27" i="94"/>
  <c r="O28" i="94"/>
  <c r="O29" i="94"/>
  <c r="O30" i="94"/>
  <c r="O31" i="94"/>
  <c r="O32" i="94"/>
  <c r="O33" i="94"/>
  <c r="O34" i="94"/>
  <c r="O35" i="94"/>
  <c r="O36" i="94"/>
  <c r="O37" i="94"/>
  <c r="O38" i="94"/>
  <c r="O39" i="94"/>
  <c r="O40" i="94"/>
  <c r="O41" i="94"/>
  <c r="O42" i="94"/>
  <c r="O43" i="94"/>
  <c r="O44" i="94"/>
  <c r="O45" i="94"/>
  <c r="O46" i="94"/>
  <c r="O47" i="94"/>
  <c r="O48" i="94"/>
  <c r="O49" i="94"/>
  <c r="O50" i="94"/>
  <c r="O51" i="94"/>
  <c r="O52" i="94"/>
  <c r="O53" i="94"/>
  <c r="O54" i="94"/>
  <c r="O55" i="94"/>
  <c r="O56" i="94"/>
  <c r="O57" i="94"/>
  <c r="O58" i="94"/>
  <c r="O59" i="94"/>
  <c r="O60" i="94"/>
  <c r="O61" i="94"/>
  <c r="O62" i="94"/>
  <c r="O63" i="94"/>
  <c r="O64" i="94"/>
  <c r="O65" i="94"/>
  <c r="O66" i="94"/>
  <c r="O67" i="94"/>
  <c r="O68" i="94"/>
  <c r="O69" i="94"/>
  <c r="O70" i="94"/>
  <c r="O71" i="94"/>
  <c r="O72" i="94"/>
  <c r="O73" i="94"/>
  <c r="O74" i="94"/>
  <c r="O75" i="94"/>
  <c r="O76" i="94"/>
  <c r="O77" i="94"/>
  <c r="O78" i="94"/>
  <c r="O79" i="94"/>
  <c r="O80" i="94"/>
  <c r="O81" i="94"/>
  <c r="O82" i="94"/>
  <c r="O83" i="94"/>
  <c r="O84" i="94"/>
  <c r="O85" i="94"/>
  <c r="O86" i="94"/>
  <c r="O87" i="94"/>
  <c r="O88" i="94"/>
  <c r="O89" i="94"/>
  <c r="O90" i="94"/>
  <c r="O91" i="94"/>
  <c r="O92" i="94"/>
  <c r="O93" i="94"/>
  <c r="O94" i="94"/>
  <c r="O95" i="94"/>
  <c r="O96" i="94"/>
  <c r="O97" i="94"/>
  <c r="O98" i="94"/>
  <c r="O99" i="94"/>
  <c r="O100" i="94"/>
  <c r="O101" i="94"/>
  <c r="O102" i="94"/>
  <c r="O103" i="94"/>
  <c r="O104" i="94"/>
  <c r="O105" i="94"/>
  <c r="O106" i="94"/>
  <c r="O107" i="94"/>
  <c r="O108" i="94"/>
  <c r="O109" i="94"/>
  <c r="O110" i="94"/>
  <c r="O111" i="94"/>
  <c r="O112" i="94"/>
  <c r="O113" i="94"/>
  <c r="O114" i="94"/>
  <c r="O115" i="94"/>
  <c r="O116" i="94"/>
  <c r="O117" i="94"/>
  <c r="O118" i="94"/>
  <c r="O119" i="94"/>
  <c r="O120" i="94"/>
  <c r="O121" i="94"/>
  <c r="O122" i="94"/>
  <c r="O123" i="94"/>
  <c r="O124" i="94"/>
  <c r="O125" i="94"/>
  <c r="O126" i="94"/>
  <c r="O127" i="94"/>
  <c r="O128" i="94"/>
  <c r="O129" i="94"/>
  <c r="O130" i="94"/>
  <c r="O131" i="94"/>
  <c r="O132" i="94"/>
  <c r="O133" i="94"/>
  <c r="O134" i="94"/>
  <c r="O135" i="94"/>
  <c r="O136" i="94"/>
  <c r="O137" i="94"/>
  <c r="O138" i="94"/>
  <c r="O139" i="94"/>
  <c r="O140" i="94"/>
  <c r="O141" i="94"/>
  <c r="O142" i="94"/>
  <c r="O143" i="94"/>
  <c r="O144" i="94"/>
  <c r="O145" i="94"/>
  <c r="O146" i="94"/>
  <c r="O147" i="94"/>
  <c r="O148" i="94"/>
  <c r="O149" i="94"/>
  <c r="O150" i="94"/>
  <c r="O151" i="94"/>
  <c r="O152" i="94"/>
  <c r="O153" i="94"/>
  <c r="O154" i="94"/>
  <c r="O155" i="94"/>
  <c r="O156" i="94"/>
  <c r="O157" i="94"/>
  <c r="O158" i="94"/>
  <c r="O159" i="94"/>
  <c r="O160" i="94"/>
  <c r="O161" i="94"/>
  <c r="O162" i="94"/>
  <c r="O163" i="94"/>
  <c r="O164" i="94"/>
  <c r="O165" i="94"/>
  <c r="O166" i="94"/>
  <c r="O167" i="94"/>
  <c r="O168" i="94"/>
  <c r="O169" i="94"/>
  <c r="O170" i="94"/>
  <c r="O171" i="94"/>
  <c r="O172" i="94"/>
  <c r="O173" i="94"/>
  <c r="O174" i="94"/>
  <c r="O175" i="94"/>
  <c r="O176" i="94"/>
  <c r="O177" i="94"/>
  <c r="O178" i="94"/>
  <c r="O179" i="94"/>
  <c r="O180" i="94"/>
  <c r="O181" i="94"/>
  <c r="O182" i="94"/>
  <c r="O183" i="94"/>
  <c r="O184" i="94"/>
  <c r="O185" i="94"/>
  <c r="O186" i="94"/>
  <c r="O187" i="94"/>
  <c r="O188" i="94"/>
  <c r="O189" i="94"/>
  <c r="O190" i="94"/>
  <c r="O191" i="94"/>
  <c r="O192" i="94"/>
  <c r="O193" i="94"/>
  <c r="O194" i="94"/>
  <c r="O195" i="94"/>
  <c r="O196" i="94"/>
  <c r="O197" i="94"/>
  <c r="O198" i="94"/>
  <c r="O199" i="94"/>
  <c r="O200" i="94"/>
  <c r="O201" i="94"/>
  <c r="O202" i="94"/>
  <c r="O203" i="94"/>
  <c r="O204" i="94"/>
  <c r="O205" i="94"/>
  <c r="O206" i="94"/>
  <c r="O207" i="94"/>
  <c r="O208" i="94"/>
  <c r="O2" i="94"/>
  <c r="N11" i="142"/>
  <c r="N12" i="142"/>
  <c r="N13" i="142" s="1"/>
  <c r="N14" i="142" s="1"/>
  <c r="N15" i="142" s="1"/>
  <c r="N16" i="142" s="1"/>
  <c r="N17" i="142" s="1"/>
  <c r="N18" i="142" s="1"/>
  <c r="N19" i="142" s="1"/>
  <c r="N20" i="142" s="1"/>
  <c r="N21" i="142" s="1"/>
  <c r="N22" i="142" s="1"/>
  <c r="N23" i="142" s="1"/>
  <c r="N24" i="142" s="1"/>
  <c r="N25" i="142" s="1"/>
  <c r="N26" i="142" s="1"/>
  <c r="N27" i="142" s="1"/>
  <c r="N28" i="142" s="1"/>
  <c r="N29" i="142" s="1"/>
  <c r="N30" i="142" s="1"/>
  <c r="N31" i="142" s="1"/>
  <c r="N32" i="142" s="1"/>
  <c r="N33" i="142" s="1"/>
  <c r="N34" i="142" s="1"/>
  <c r="N35" i="142" s="1"/>
  <c r="N36" i="142" s="1"/>
  <c r="N37" i="142" s="1"/>
  <c r="N38" i="142" s="1"/>
  <c r="N39" i="142" s="1"/>
  <c r="N40" i="142" s="1"/>
  <c r="N41" i="142" s="1"/>
  <c r="N42" i="142" s="1"/>
  <c r="N43" i="142" s="1"/>
  <c r="N44" i="142" s="1"/>
  <c r="N45" i="142" s="1"/>
  <c r="N46" i="142" s="1"/>
  <c r="N47" i="142" s="1"/>
  <c r="N48" i="142" s="1"/>
  <c r="N49" i="142" s="1"/>
  <c r="N50" i="142" s="1"/>
  <c r="N51" i="142" s="1"/>
  <c r="N52" i="142" s="1"/>
  <c r="N53" i="142" s="1"/>
  <c r="N54" i="142" s="1"/>
  <c r="N55" i="142" s="1"/>
  <c r="N56" i="142" s="1"/>
  <c r="N57" i="142" s="1"/>
  <c r="N58" i="142" s="1"/>
  <c r="N59" i="142" s="1"/>
  <c r="N60" i="142" s="1"/>
  <c r="N61" i="142" s="1"/>
  <c r="N62" i="142" s="1"/>
  <c r="N63" i="142" s="1"/>
  <c r="N64" i="142" s="1"/>
  <c r="N65" i="142" s="1"/>
  <c r="N66" i="142" s="1"/>
  <c r="N67" i="142" s="1"/>
  <c r="N68" i="142" s="1"/>
  <c r="N69" i="142" s="1"/>
  <c r="N70" i="142" s="1"/>
  <c r="N71" i="142" s="1"/>
  <c r="N72" i="142" s="1"/>
  <c r="N73" i="142" s="1"/>
  <c r="N74" i="142" s="1"/>
  <c r="N75" i="142" s="1"/>
  <c r="N76" i="142" s="1"/>
  <c r="N77" i="142" s="1"/>
  <c r="N78" i="142" s="1"/>
  <c r="N79" i="142" s="1"/>
  <c r="N80" i="142" s="1"/>
  <c r="N81" i="142" s="1"/>
  <c r="N82" i="142" s="1"/>
  <c r="N83" i="142" s="1"/>
  <c r="N84" i="142" s="1"/>
  <c r="N85" i="142" s="1"/>
  <c r="N86" i="142" s="1"/>
  <c r="N87" i="142" s="1"/>
  <c r="N88" i="142" s="1"/>
  <c r="N89" i="142" s="1"/>
  <c r="N90" i="142" s="1"/>
  <c r="N91" i="142" s="1"/>
  <c r="N92" i="142" s="1"/>
  <c r="N93" i="142" s="1"/>
  <c r="N94" i="142" s="1"/>
  <c r="N95" i="142" s="1"/>
  <c r="N96" i="142" s="1"/>
  <c r="N97" i="142" s="1"/>
  <c r="N98" i="142" s="1"/>
  <c r="N99" i="142" s="1"/>
  <c r="N100" i="142" s="1"/>
  <c r="N101" i="142" s="1"/>
  <c r="N102" i="142" s="1"/>
  <c r="N103" i="142" s="1"/>
  <c r="N104" i="142" s="1"/>
  <c r="N105" i="142" s="1"/>
  <c r="N106" i="142" s="1"/>
  <c r="N107" i="142" s="1"/>
  <c r="N108" i="142" s="1"/>
  <c r="N109" i="142" s="1"/>
  <c r="N110" i="142" s="1"/>
  <c r="N111" i="142" s="1"/>
  <c r="N112" i="142" s="1"/>
  <c r="N113" i="142" s="1"/>
  <c r="N114" i="142" s="1"/>
  <c r="N115" i="142" s="1"/>
  <c r="N116" i="142" s="1"/>
  <c r="N117" i="142" s="1"/>
  <c r="N118" i="142" s="1"/>
  <c r="N119" i="142" s="1"/>
  <c r="N120" i="142" s="1"/>
  <c r="N121" i="142" s="1"/>
  <c r="N122" i="142" s="1"/>
  <c r="N123" i="142" s="1"/>
  <c r="N124" i="142" s="1"/>
  <c r="N125" i="142" s="1"/>
  <c r="N126" i="142" s="1"/>
  <c r="N127" i="142" s="1"/>
  <c r="N128" i="142" s="1"/>
  <c r="N129" i="142" s="1"/>
  <c r="N130" i="142" s="1"/>
  <c r="N131" i="142" s="1"/>
  <c r="N132" i="142" s="1"/>
  <c r="N133" i="142" s="1"/>
  <c r="N134" i="142" s="1"/>
  <c r="N135" i="142" s="1"/>
  <c r="N136" i="142" s="1"/>
  <c r="N137" i="142" s="1"/>
  <c r="N138" i="142" s="1"/>
  <c r="N139" i="142" s="1"/>
  <c r="N140" i="142" s="1"/>
  <c r="N141" i="142" s="1"/>
  <c r="N142" i="142" s="1"/>
  <c r="N143" i="142" s="1"/>
  <c r="N144" i="142" s="1"/>
  <c r="N145" i="142" s="1"/>
  <c r="N146" i="142" s="1"/>
  <c r="N147" i="142" s="1"/>
  <c r="N148" i="142" s="1"/>
  <c r="N149" i="142" s="1"/>
  <c r="N150" i="142" s="1"/>
  <c r="N151" i="142" s="1"/>
  <c r="N152" i="142" s="1"/>
  <c r="N153" i="142" s="1"/>
  <c r="N154" i="142" s="1"/>
  <c r="N155" i="142" s="1"/>
  <c r="N156" i="142" s="1"/>
  <c r="N157" i="142" s="1"/>
  <c r="N158" i="142" s="1"/>
  <c r="N159" i="142" s="1"/>
  <c r="N160" i="142" s="1"/>
  <c r="N161" i="142" s="1"/>
  <c r="N162" i="142" s="1"/>
  <c r="N163" i="142" s="1"/>
  <c r="N164" i="142" s="1"/>
  <c r="N165" i="142" s="1"/>
  <c r="N166" i="142" s="1"/>
  <c r="N167" i="142" s="1"/>
  <c r="N168" i="142" s="1"/>
  <c r="N169" i="142" s="1"/>
  <c r="N170" i="142" s="1"/>
  <c r="N171" i="142" s="1"/>
  <c r="N172" i="142" s="1"/>
  <c r="N173" i="142" s="1"/>
  <c r="N174" i="142" s="1"/>
  <c r="N175" i="142" s="1"/>
  <c r="N176" i="142" s="1"/>
  <c r="N177" i="142" s="1"/>
  <c r="N178" i="142" s="1"/>
  <c r="N179" i="142" s="1"/>
  <c r="N180" i="142" s="1"/>
  <c r="N181" i="142" s="1"/>
  <c r="N182" i="142" s="1"/>
  <c r="N183" i="142" s="1"/>
  <c r="N184" i="142" s="1"/>
  <c r="N185" i="142" s="1"/>
  <c r="N186" i="142" s="1"/>
  <c r="N187" i="142" s="1"/>
  <c r="N188" i="142" s="1"/>
  <c r="N189" i="142" s="1"/>
  <c r="N190" i="142" s="1"/>
  <c r="N191" i="142" s="1"/>
  <c r="N192" i="142" s="1"/>
  <c r="N193" i="142" s="1"/>
  <c r="N194" i="142" s="1"/>
  <c r="N195" i="142" s="1"/>
  <c r="N196" i="142" s="1"/>
  <c r="N197" i="142" s="1"/>
  <c r="N198" i="142" s="1"/>
  <c r="N199" i="142" s="1"/>
  <c r="N200" i="142" s="1"/>
  <c r="N201" i="142" s="1"/>
  <c r="N202" i="142" s="1"/>
  <c r="N203" i="142" s="1"/>
  <c r="N204" i="142" s="1"/>
  <c r="N205" i="142" s="1"/>
  <c r="N206" i="142" s="1"/>
  <c r="N207" i="142" s="1"/>
  <c r="N208" i="142" s="1"/>
  <c r="N209" i="142" s="1"/>
  <c r="N210" i="142" s="1"/>
  <c r="N211" i="142" s="1"/>
  <c r="N212" i="142" s="1"/>
  <c r="N213" i="142" s="1"/>
  <c r="N214" i="142" s="1"/>
  <c r="N215" i="142" s="1"/>
  <c r="N216" i="142" s="1"/>
  <c r="N217" i="142" s="1"/>
  <c r="N218" i="142" s="1"/>
  <c r="N219" i="142" s="1"/>
  <c r="N220" i="142" s="1"/>
  <c r="N221" i="142" s="1"/>
  <c r="N222" i="142" s="1"/>
  <c r="N223" i="142" s="1"/>
  <c r="N224" i="142" s="1"/>
  <c r="N225" i="142" s="1"/>
  <c r="N226" i="142" s="1"/>
  <c r="N227" i="142" s="1"/>
  <c r="N228" i="142" s="1"/>
  <c r="N229" i="142" s="1"/>
  <c r="N230" i="142" s="1"/>
  <c r="N231" i="142" s="1"/>
  <c r="N232" i="142" s="1"/>
  <c r="N233" i="142" s="1"/>
  <c r="N234" i="142" s="1"/>
  <c r="N235" i="142" s="1"/>
  <c r="N236" i="142" s="1"/>
  <c r="N237" i="142" s="1"/>
  <c r="N238" i="142" s="1"/>
  <c r="N239" i="142" s="1"/>
  <c r="N240" i="142" s="1"/>
  <c r="N241" i="142" s="1"/>
  <c r="N242" i="142" s="1"/>
  <c r="N243" i="142" s="1"/>
  <c r="N244" i="142" s="1"/>
  <c r="N245" i="142" s="1"/>
  <c r="N246" i="142" s="1"/>
  <c r="N247" i="142" s="1"/>
  <c r="N248" i="142" s="1"/>
  <c r="N249" i="142" s="1"/>
  <c r="N250" i="142" s="1"/>
  <c r="N251" i="142" s="1"/>
  <c r="N252" i="142" s="1"/>
  <c r="N253" i="142" s="1"/>
  <c r="N254" i="142" s="1"/>
  <c r="N255" i="142" s="1"/>
  <c r="N256" i="142" s="1"/>
  <c r="N257" i="142" s="1"/>
  <c r="N258" i="142" s="1"/>
  <c r="N259" i="142" s="1"/>
  <c r="N260" i="142" s="1"/>
  <c r="N261" i="142" s="1"/>
  <c r="N262" i="142" s="1"/>
  <c r="N263" i="142" s="1"/>
  <c r="N264" i="142" s="1"/>
  <c r="N265" i="142" s="1"/>
  <c r="N266" i="142" s="1"/>
  <c r="N267" i="142" s="1"/>
  <c r="N268" i="142" s="1"/>
  <c r="N269" i="142" s="1"/>
  <c r="N270" i="142" s="1"/>
  <c r="N271" i="142" s="1"/>
  <c r="N272" i="142" s="1"/>
  <c r="N273" i="142" s="1"/>
  <c r="N274" i="142" s="1"/>
  <c r="N275" i="142" s="1"/>
  <c r="N276" i="142" s="1"/>
  <c r="N277" i="142" s="1"/>
  <c r="N278" i="142" s="1"/>
  <c r="N279" i="142" s="1"/>
  <c r="N280" i="142" s="1"/>
  <c r="N281" i="142" s="1"/>
  <c r="N282" i="142" s="1"/>
  <c r="N283" i="142" s="1"/>
  <c r="N284" i="142" s="1"/>
  <c r="N285" i="142" s="1"/>
  <c r="N286" i="142" s="1"/>
  <c r="N287" i="142" s="1"/>
  <c r="N288" i="142" s="1"/>
  <c r="N289" i="142" s="1"/>
  <c r="N290" i="142" s="1"/>
  <c r="N291" i="142" s="1"/>
  <c r="N292" i="142" s="1"/>
  <c r="N293" i="142" s="1"/>
  <c r="N294" i="142" s="1"/>
  <c r="N295" i="142" s="1"/>
  <c r="N296" i="142" s="1"/>
  <c r="N297" i="142" s="1"/>
  <c r="N298" i="142" s="1"/>
  <c r="N299" i="142" s="1"/>
  <c r="N300" i="142" s="1"/>
  <c r="N301" i="142" s="1"/>
  <c r="N302" i="142" s="1"/>
  <c r="N303" i="142" s="1"/>
  <c r="N304" i="142" s="1"/>
  <c r="N305" i="142" s="1"/>
  <c r="N306" i="142" s="1"/>
  <c r="N307" i="142" s="1"/>
  <c r="N308" i="142" s="1"/>
  <c r="N309" i="142" s="1"/>
  <c r="N310" i="142" s="1"/>
  <c r="N311" i="142" s="1"/>
  <c r="N312" i="142" s="1"/>
  <c r="N313" i="142" s="1"/>
  <c r="N314" i="142" s="1"/>
  <c r="N315" i="142" s="1"/>
  <c r="N316" i="142" s="1"/>
  <c r="N317" i="142" s="1"/>
  <c r="N318" i="142" s="1"/>
  <c r="N319" i="142" s="1"/>
  <c r="N320" i="142" s="1"/>
  <c r="N321" i="142" s="1"/>
  <c r="N322" i="142" s="1"/>
  <c r="N323" i="142" s="1"/>
  <c r="N324" i="142" s="1"/>
  <c r="N325" i="142" s="1"/>
  <c r="N326" i="142" s="1"/>
  <c r="N327" i="142" s="1"/>
  <c r="N328" i="142" s="1"/>
  <c r="N329" i="142" s="1"/>
  <c r="N330" i="142" s="1"/>
  <c r="N331" i="142" s="1"/>
  <c r="N332" i="142" s="1"/>
  <c r="N333" i="142" s="1"/>
  <c r="N334" i="142" s="1"/>
  <c r="N335" i="142" s="1"/>
  <c r="N336" i="142" s="1"/>
  <c r="N337" i="142" s="1"/>
  <c r="N338" i="142" s="1"/>
  <c r="N339" i="142" s="1"/>
  <c r="N340" i="142" s="1"/>
  <c r="N341" i="142" s="1"/>
  <c r="N342" i="142" s="1"/>
  <c r="N343" i="142" s="1"/>
  <c r="N344" i="142" s="1"/>
  <c r="N345" i="142" s="1"/>
  <c r="P103" i="56"/>
  <c r="P104" i="56"/>
  <c r="P105" i="56"/>
  <c r="P106" i="56"/>
  <c r="P107" i="56" s="1"/>
  <c r="P108" i="56" s="1"/>
  <c r="P109" i="56" s="1"/>
  <c r="P110" i="56" s="1"/>
  <c r="P111" i="56" s="1"/>
  <c r="P112" i="56" s="1"/>
  <c r="P113" i="56" s="1"/>
  <c r="P114" i="56" s="1"/>
  <c r="P115" i="56" s="1"/>
  <c r="P116" i="56" s="1"/>
  <c r="P117" i="56" s="1"/>
  <c r="P118" i="56" s="1"/>
  <c r="P119" i="56" s="1"/>
  <c r="P120" i="56" s="1"/>
  <c r="P121" i="56" s="1"/>
  <c r="P122" i="56" s="1"/>
  <c r="P123" i="56" s="1"/>
  <c r="P124" i="56" s="1"/>
  <c r="P125" i="56" s="1"/>
  <c r="P126" i="56" s="1"/>
  <c r="P127" i="56" s="1"/>
  <c r="P128" i="56" s="1"/>
  <c r="P129" i="56" s="1"/>
  <c r="P130" i="56" s="1"/>
  <c r="P131" i="56" s="1"/>
  <c r="P132" i="56" s="1"/>
  <c r="P133" i="56" s="1"/>
  <c r="P134" i="56" s="1"/>
  <c r="P135" i="56" s="1"/>
  <c r="P136" i="56" s="1"/>
  <c r="P137" i="56" s="1"/>
  <c r="P138" i="56" s="1"/>
  <c r="P139" i="56" s="1"/>
  <c r="P140" i="56" s="1"/>
  <c r="P141" i="56" s="1"/>
  <c r="P142" i="56" s="1"/>
  <c r="P143" i="56" s="1"/>
  <c r="P144" i="56" s="1"/>
  <c r="P145" i="56" s="1"/>
  <c r="P146" i="56" s="1"/>
  <c r="P147" i="56" s="1"/>
  <c r="P148" i="56" s="1"/>
  <c r="P149" i="56" s="1"/>
  <c r="P150" i="56" s="1"/>
  <c r="P151" i="56" s="1"/>
  <c r="P152" i="56" s="1"/>
  <c r="P153" i="56" s="1"/>
  <c r="P154" i="56" s="1"/>
  <c r="P155" i="56" s="1"/>
  <c r="P156" i="56" s="1"/>
  <c r="P157" i="56" s="1"/>
  <c r="P158" i="56" s="1"/>
  <c r="P159" i="56" s="1"/>
  <c r="P160" i="56" s="1"/>
  <c r="P161" i="56" s="1"/>
  <c r="P162" i="56" s="1"/>
  <c r="P163" i="56" s="1"/>
  <c r="P164" i="56" s="1"/>
  <c r="P165" i="56" s="1"/>
  <c r="P166" i="56" s="1"/>
  <c r="P167" i="56" s="1"/>
  <c r="P168" i="56" s="1"/>
  <c r="P169" i="56" s="1"/>
  <c r="P170" i="56" s="1"/>
  <c r="P171" i="56" s="1"/>
  <c r="O3" i="127" l="1"/>
  <c r="O4" i="127"/>
  <c r="O5" i="127"/>
  <c r="O6" i="127"/>
  <c r="O7" i="127"/>
  <c r="O8" i="127"/>
  <c r="O9" i="127"/>
  <c r="O10" i="127"/>
  <c r="O11" i="127"/>
  <c r="O12" i="127"/>
  <c r="O13" i="127"/>
  <c r="O14" i="127"/>
  <c r="O15" i="127"/>
  <c r="O16" i="127"/>
  <c r="O17" i="127"/>
  <c r="O18" i="127"/>
  <c r="O19" i="127"/>
  <c r="O20" i="127"/>
  <c r="O21" i="127"/>
  <c r="O22" i="127"/>
  <c r="O23" i="127"/>
  <c r="O24" i="127"/>
  <c r="O25" i="127"/>
  <c r="O26" i="127"/>
  <c r="O27" i="127"/>
  <c r="O28" i="127"/>
  <c r="O29" i="127"/>
  <c r="O30" i="127"/>
  <c r="O31" i="127"/>
  <c r="O32" i="127"/>
  <c r="O33" i="127"/>
  <c r="O34" i="127"/>
  <c r="O35" i="127"/>
  <c r="O36" i="127"/>
  <c r="O37" i="127"/>
  <c r="O38" i="127"/>
  <c r="O39" i="127"/>
  <c r="O40" i="127"/>
  <c r="O41" i="127"/>
  <c r="O42" i="127"/>
  <c r="O43" i="127"/>
  <c r="O44" i="127"/>
  <c r="O45" i="127"/>
  <c r="O46" i="127"/>
  <c r="O47" i="127"/>
  <c r="O48" i="127"/>
  <c r="O49" i="127"/>
  <c r="O50" i="127"/>
  <c r="O51" i="127"/>
  <c r="O52" i="127"/>
  <c r="O53" i="127"/>
  <c r="O54" i="127"/>
  <c r="O55" i="127"/>
  <c r="O56" i="127"/>
  <c r="O57" i="127"/>
  <c r="O58" i="127"/>
  <c r="O59" i="127"/>
  <c r="O60" i="127"/>
  <c r="O61" i="127"/>
  <c r="O62" i="127"/>
  <c r="O63" i="127"/>
  <c r="O64" i="127"/>
  <c r="O65" i="127"/>
  <c r="O66" i="127"/>
  <c r="O67" i="127"/>
  <c r="O68" i="127"/>
  <c r="O69" i="127"/>
  <c r="O70" i="127"/>
  <c r="O71" i="127"/>
  <c r="O72" i="127"/>
  <c r="O73" i="127"/>
  <c r="O74" i="127"/>
  <c r="O75" i="127"/>
  <c r="O76" i="127"/>
  <c r="O2" i="127"/>
  <c r="O2" i="152"/>
  <c r="O3" i="136"/>
  <c r="O4" i="136"/>
  <c r="O5" i="136"/>
  <c r="O6" i="136"/>
  <c r="O7" i="136"/>
  <c r="O8" i="136"/>
  <c r="O9" i="136"/>
  <c r="O10" i="136"/>
  <c r="O11" i="136"/>
  <c r="O12" i="136"/>
  <c r="O13" i="136"/>
  <c r="O14" i="136"/>
  <c r="O15" i="136"/>
  <c r="O16" i="136"/>
  <c r="O17" i="136"/>
  <c r="O18" i="136"/>
  <c r="O19" i="136"/>
  <c r="O20" i="136"/>
  <c r="O21" i="136"/>
  <c r="O22" i="136"/>
  <c r="O23" i="136"/>
  <c r="O24" i="136"/>
  <c r="O25" i="136"/>
  <c r="O2" i="136"/>
  <c r="O3" i="152"/>
  <c r="O4" i="152"/>
  <c r="O5" i="152"/>
  <c r="O6" i="152"/>
  <c r="O7" i="152"/>
  <c r="O8" i="152"/>
  <c r="O9" i="152"/>
  <c r="O10" i="152"/>
  <c r="O11" i="152"/>
  <c r="O12" i="152"/>
  <c r="O13" i="152"/>
  <c r="O14" i="152"/>
  <c r="O15" i="152"/>
  <c r="O16" i="152"/>
  <c r="O17" i="152"/>
  <c r="P3" i="152"/>
  <c r="P4" i="152" s="1"/>
  <c r="P5" i="152" s="1"/>
  <c r="P6" i="152" s="1"/>
  <c r="P7" i="152" s="1"/>
  <c r="P8" i="152" s="1"/>
  <c r="P9" i="152" s="1"/>
  <c r="P10" i="152" s="1"/>
  <c r="P11" i="152" s="1"/>
  <c r="P12" i="152" s="1"/>
  <c r="P13" i="152" s="1"/>
  <c r="P14" i="152" s="1"/>
  <c r="P15" i="152" s="1"/>
  <c r="P16" i="152" s="1"/>
  <c r="P17" i="152" s="1"/>
  <c r="O3" i="135"/>
  <c r="N3" i="152"/>
  <c r="N4" i="152" s="1"/>
  <c r="N5" i="152" s="1"/>
  <c r="N6" i="152" s="1"/>
  <c r="N7" i="152" s="1"/>
  <c r="N8" i="152" s="1"/>
  <c r="N9" i="152" s="1"/>
  <c r="N10" i="152" s="1"/>
  <c r="N11" i="152" s="1"/>
  <c r="N12" i="152" s="1"/>
  <c r="N13" i="152" s="1"/>
  <c r="N14" i="152" s="1"/>
  <c r="N15" i="152" s="1"/>
  <c r="N16" i="152" s="1"/>
  <c r="N17" i="152" s="1"/>
  <c r="O4" i="135"/>
  <c r="O5" i="135"/>
  <c r="O6" i="135"/>
  <c r="O7" i="135"/>
  <c r="O8" i="135"/>
  <c r="O9" i="135"/>
  <c r="O10" i="135"/>
  <c r="O11" i="135"/>
  <c r="O12" i="135"/>
  <c r="O13" i="135"/>
  <c r="O14" i="135"/>
  <c r="O15" i="135"/>
  <c r="O16" i="135"/>
  <c r="O17" i="135"/>
  <c r="O18" i="135"/>
  <c r="O19" i="135"/>
  <c r="O2" i="135"/>
  <c r="O181" i="77" l="1"/>
  <c r="O182" i="77"/>
  <c r="O183" i="77"/>
  <c r="O184" i="77"/>
  <c r="O185" i="77"/>
  <c r="O186" i="77"/>
  <c r="O187" i="77"/>
  <c r="O188" i="77"/>
  <c r="O189" i="77"/>
  <c r="O190" i="77"/>
  <c r="O191" i="77"/>
  <c r="O192" i="77"/>
  <c r="O193" i="77"/>
  <c r="O194" i="77"/>
  <c r="O195" i="77"/>
  <c r="O196" i="77"/>
  <c r="O197" i="77"/>
  <c r="O198" i="77"/>
  <c r="O199" i="77"/>
  <c r="O200" i="77"/>
  <c r="O201" i="77"/>
  <c r="O202" i="77"/>
  <c r="O203" i="77"/>
  <c r="O204" i="77"/>
  <c r="O205" i="77"/>
  <c r="O206" i="77"/>
  <c r="O207" i="77"/>
  <c r="O208" i="77"/>
  <c r="O209" i="77"/>
  <c r="O210" i="77"/>
  <c r="O211" i="77"/>
  <c r="O212" i="77"/>
  <c r="O213" i="77"/>
  <c r="O214" i="77"/>
  <c r="O215" i="77"/>
  <c r="O216" i="77"/>
  <c r="O217" i="77"/>
  <c r="O218" i="77"/>
  <c r="O219" i="77"/>
  <c r="O220" i="77"/>
  <c r="O221" i="77"/>
  <c r="O222" i="77"/>
  <c r="O223" i="77"/>
  <c r="O224" i="77"/>
  <c r="O225" i="77"/>
  <c r="O226" i="77"/>
  <c r="O227" i="77"/>
  <c r="O228" i="77"/>
  <c r="O229" i="77"/>
  <c r="O230" i="77"/>
  <c r="O231" i="77"/>
  <c r="O232" i="77"/>
  <c r="O233" i="77"/>
  <c r="O234" i="77"/>
  <c r="O235" i="77"/>
  <c r="O236" i="77"/>
  <c r="O237" i="77"/>
  <c r="O238" i="77"/>
  <c r="O239" i="77"/>
  <c r="O240" i="77"/>
  <c r="O241" i="77"/>
  <c r="O242" i="77"/>
  <c r="O243" i="77"/>
  <c r="O244" i="77"/>
  <c r="O245" i="77"/>
  <c r="O246" i="77"/>
  <c r="O247" i="77"/>
  <c r="O248" i="77"/>
  <c r="O249" i="77"/>
  <c r="O250" i="77"/>
  <c r="O251" i="77"/>
  <c r="O252" i="77"/>
  <c r="O253" i="77"/>
  <c r="O254" i="77"/>
  <c r="O255" i="77"/>
  <c r="O256" i="77"/>
  <c r="O257" i="77"/>
  <c r="O258" i="77"/>
  <c r="O259" i="77"/>
  <c r="O260" i="77"/>
  <c r="O261" i="77"/>
  <c r="O262" i="77"/>
  <c r="O263" i="77"/>
  <c r="O264" i="77"/>
  <c r="O265" i="77"/>
  <c r="O266" i="77"/>
  <c r="O267" i="77"/>
  <c r="O268" i="77"/>
  <c r="O269" i="77"/>
  <c r="O270" i="77"/>
  <c r="O271" i="77"/>
  <c r="O272" i="77"/>
  <c r="O273" i="77"/>
  <c r="O274" i="77"/>
  <c r="O275" i="77"/>
  <c r="O276" i="77"/>
  <c r="O277" i="77"/>
  <c r="O278" i="77"/>
  <c r="O279" i="77"/>
  <c r="O280" i="77"/>
  <c r="O281" i="77"/>
  <c r="O282" i="77"/>
  <c r="O283" i="77"/>
  <c r="O284" i="77"/>
  <c r="O285" i="77"/>
  <c r="O286" i="77"/>
  <c r="O287" i="77"/>
  <c r="O288" i="77"/>
  <c r="O289" i="77"/>
  <c r="O290" i="77"/>
  <c r="O291" i="77"/>
  <c r="O292" i="77"/>
  <c r="O293" i="77"/>
  <c r="O294" i="77"/>
  <c r="O295" i="77"/>
  <c r="O296" i="77"/>
  <c r="O297" i="77"/>
  <c r="O298" i="77"/>
  <c r="O299" i="77"/>
  <c r="O300" i="77"/>
  <c r="O301" i="77"/>
  <c r="O302" i="77"/>
  <c r="O303" i="77"/>
  <c r="O304" i="77"/>
  <c r="O305" i="77"/>
  <c r="O306" i="77"/>
  <c r="O307" i="77"/>
  <c r="O308" i="77"/>
  <c r="O309" i="77"/>
  <c r="O310" i="77"/>
  <c r="O311" i="77"/>
  <c r="O312" i="77"/>
  <c r="O313" i="77"/>
  <c r="O314" i="77"/>
  <c r="O315" i="77"/>
  <c r="O316" i="77"/>
  <c r="O317" i="77"/>
  <c r="O318" i="77"/>
  <c r="O319" i="77"/>
  <c r="O320" i="77"/>
  <c r="O321" i="77"/>
  <c r="O322" i="77"/>
  <c r="O323" i="77"/>
  <c r="O324" i="77"/>
  <c r="O325" i="77"/>
  <c r="O326" i="77"/>
  <c r="O327" i="77"/>
  <c r="O328" i="77"/>
  <c r="O329" i="77"/>
  <c r="O330" i="77"/>
  <c r="O331" i="77"/>
  <c r="O332" i="77"/>
  <c r="O333" i="77"/>
  <c r="O334" i="77"/>
  <c r="O335" i="77"/>
  <c r="O336" i="77"/>
  <c r="O337" i="77"/>
  <c r="O338" i="77"/>
  <c r="O339" i="77"/>
  <c r="O340" i="77"/>
  <c r="O341" i="77"/>
  <c r="O342" i="77"/>
  <c r="O343" i="77"/>
  <c r="O344" i="77"/>
  <c r="O345" i="77"/>
  <c r="O346" i="77"/>
  <c r="O347" i="77"/>
  <c r="O348" i="77"/>
  <c r="O349" i="77"/>
  <c r="O350" i="77"/>
  <c r="O351" i="77"/>
  <c r="O352" i="77"/>
  <c r="O353" i="77"/>
  <c r="O354" i="77"/>
  <c r="O355" i="77"/>
  <c r="O356" i="77"/>
  <c r="O357" i="77"/>
  <c r="O358" i="77"/>
  <c r="O359" i="77"/>
  <c r="O360" i="77"/>
  <c r="O361" i="77"/>
  <c r="O362" i="77"/>
  <c r="O363" i="77"/>
  <c r="O364" i="77"/>
  <c r="O365" i="77"/>
  <c r="O366" i="77"/>
  <c r="O367" i="77"/>
  <c r="O368" i="77"/>
  <c r="O369" i="77"/>
  <c r="O370" i="77"/>
  <c r="O371" i="77"/>
  <c r="O372" i="77"/>
  <c r="O373" i="77"/>
  <c r="O374" i="77"/>
  <c r="O375" i="77"/>
  <c r="O376" i="77"/>
  <c r="O377" i="77"/>
  <c r="O378" i="77"/>
  <c r="O379" i="77"/>
  <c r="O380" i="77"/>
  <c r="O381" i="77"/>
  <c r="O382" i="77"/>
  <c r="O383" i="77"/>
  <c r="O384" i="77"/>
  <c r="O385" i="77"/>
  <c r="O386" i="77"/>
  <c r="O387" i="77"/>
  <c r="O388" i="77"/>
  <c r="N3" i="93"/>
  <c r="N4" i="93" s="1"/>
  <c r="N5" i="93" s="1"/>
  <c r="N6" i="93" s="1"/>
  <c r="N7" i="93" s="1"/>
  <c r="N8" i="93" s="1"/>
  <c r="N9" i="93" s="1"/>
  <c r="N10" i="93" s="1"/>
  <c r="N11" i="93" s="1"/>
  <c r="N12" i="93" s="1"/>
  <c r="N13" i="93" s="1"/>
  <c r="N14" i="93" s="1"/>
  <c r="N15" i="93" s="1"/>
  <c r="N16" i="93" s="1"/>
  <c r="N17" i="93" s="1"/>
  <c r="N18" i="93" s="1"/>
  <c r="N19" i="93" s="1"/>
  <c r="N20" i="93" s="1"/>
  <c r="N21" i="93" s="1"/>
  <c r="N22" i="93" s="1"/>
  <c r="N23" i="93" s="1"/>
  <c r="N24" i="93" s="1"/>
  <c r="N25" i="93" s="1"/>
  <c r="N26" i="93" s="1"/>
  <c r="N27" i="93" s="1"/>
  <c r="N28" i="93" s="1"/>
  <c r="N29" i="93" s="1"/>
  <c r="N30" i="93" s="1"/>
  <c r="N31" i="93" s="1"/>
  <c r="N32" i="93" s="1"/>
  <c r="N33" i="93" s="1"/>
  <c r="N34" i="93" s="1"/>
  <c r="N35" i="93" s="1"/>
  <c r="N36" i="93" s="1"/>
  <c r="N37" i="93" s="1"/>
  <c r="N38" i="93" s="1"/>
  <c r="N39" i="93" s="1"/>
  <c r="N40" i="93" s="1"/>
  <c r="N41" i="93" s="1"/>
  <c r="N42" i="93" s="1"/>
  <c r="N43" i="93" s="1"/>
  <c r="N44" i="93" s="1"/>
  <c r="N45" i="93" s="1"/>
  <c r="N46" i="93" s="1"/>
  <c r="N47" i="93" s="1"/>
  <c r="N48" i="93" s="1"/>
  <c r="N49" i="93" s="1"/>
  <c r="N50" i="93" s="1"/>
  <c r="N51" i="93" s="1"/>
  <c r="N52" i="93" s="1"/>
  <c r="N53" i="93" s="1"/>
  <c r="N54" i="93" s="1"/>
  <c r="N55" i="93" s="1"/>
  <c r="N56" i="93" s="1"/>
  <c r="N57" i="93" s="1"/>
  <c r="N58" i="93" s="1"/>
  <c r="N59" i="93" s="1"/>
  <c r="N60" i="93" s="1"/>
  <c r="N61" i="93" s="1"/>
  <c r="N62" i="93" s="1"/>
  <c r="N63" i="93" s="1"/>
  <c r="N64" i="93" s="1"/>
  <c r="N65" i="93" s="1"/>
  <c r="N66" i="93" s="1"/>
  <c r="N67" i="93" s="1"/>
  <c r="N68" i="93" s="1"/>
  <c r="N69" i="93" s="1"/>
  <c r="N70" i="93" s="1"/>
  <c r="N71" i="93" s="1"/>
  <c r="N72" i="93" s="1"/>
  <c r="N73" i="93" s="1"/>
  <c r="N74" i="93" s="1"/>
  <c r="N75" i="93" s="1"/>
  <c r="N76" i="93" s="1"/>
  <c r="N77" i="93" s="1"/>
  <c r="N78" i="93" s="1"/>
  <c r="N79" i="93" s="1"/>
  <c r="N80" i="93" s="1"/>
  <c r="N81" i="93" s="1"/>
  <c r="N82" i="93" s="1"/>
  <c r="N83" i="93" s="1"/>
  <c r="N84" i="93" s="1"/>
  <c r="N85" i="93" s="1"/>
  <c r="N86" i="93" s="1"/>
  <c r="N87" i="93" s="1"/>
  <c r="N88" i="93" s="1"/>
  <c r="N89" i="93" s="1"/>
  <c r="N90" i="93" s="1"/>
  <c r="N91" i="93" s="1"/>
  <c r="N92" i="93" s="1"/>
  <c r="N93" i="93" s="1"/>
  <c r="N94" i="93" s="1"/>
  <c r="N95" i="93" s="1"/>
  <c r="N96" i="93" s="1"/>
  <c r="N97" i="93" s="1"/>
  <c r="N98" i="93" s="1"/>
  <c r="N99" i="93" s="1"/>
  <c r="N100" i="93" s="1"/>
  <c r="N101" i="93" s="1"/>
  <c r="N102" i="93" s="1"/>
  <c r="N103" i="93" s="1"/>
  <c r="N104" i="93" s="1"/>
  <c r="N105" i="93" s="1"/>
  <c r="N106" i="93" s="1"/>
  <c r="N107" i="93" s="1"/>
  <c r="N108" i="93" s="1"/>
  <c r="N109" i="93" s="1"/>
  <c r="N110" i="93" s="1"/>
  <c r="N111" i="93" s="1"/>
  <c r="N112" i="93" s="1"/>
  <c r="N113" i="93" s="1"/>
  <c r="N114" i="93" s="1"/>
  <c r="N115" i="93" s="1"/>
  <c r="N116" i="93" s="1"/>
  <c r="N117" i="93" s="1"/>
  <c r="N118" i="93" s="1"/>
  <c r="N119" i="93" s="1"/>
  <c r="N120" i="93" s="1"/>
  <c r="N121" i="93" s="1"/>
  <c r="N122" i="93" s="1"/>
  <c r="N123" i="93" s="1"/>
  <c r="N124" i="93" s="1"/>
  <c r="N125" i="93" s="1"/>
  <c r="N126" i="93" s="1"/>
  <c r="N127" i="93" s="1"/>
  <c r="N128" i="93" s="1"/>
  <c r="N129" i="93" s="1"/>
  <c r="N130" i="93" s="1"/>
  <c r="N131" i="93" s="1"/>
  <c r="N132" i="93" s="1"/>
  <c r="N133" i="93" s="1"/>
  <c r="N134" i="93" s="1"/>
  <c r="N135" i="93" s="1"/>
  <c r="N136" i="93" s="1"/>
  <c r="N137" i="93" s="1"/>
  <c r="N138" i="93" s="1"/>
  <c r="N139" i="93" s="1"/>
  <c r="N140" i="93" s="1"/>
  <c r="N141" i="93" s="1"/>
  <c r="N142" i="93" s="1"/>
  <c r="N143" i="93" s="1"/>
  <c r="N144" i="93" s="1"/>
  <c r="N145" i="93" s="1"/>
  <c r="N146" i="93" s="1"/>
  <c r="N147" i="93" s="1"/>
  <c r="N148" i="93" s="1"/>
  <c r="N149" i="93" s="1"/>
  <c r="N150" i="93" s="1"/>
  <c r="N151" i="93" s="1"/>
  <c r="N152" i="93" s="1"/>
  <c r="N153" i="93" s="1"/>
  <c r="N154" i="93" s="1"/>
  <c r="N155" i="93" s="1"/>
  <c r="N156" i="93" s="1"/>
  <c r="N157" i="93" s="1"/>
  <c r="N158" i="93" s="1"/>
  <c r="N159" i="93" s="1"/>
  <c r="N160" i="93" s="1"/>
  <c r="N161" i="93" s="1"/>
  <c r="N162" i="93" s="1"/>
  <c r="N163" i="93" s="1"/>
  <c r="N164" i="93" s="1"/>
  <c r="N165" i="93" s="1"/>
  <c r="N166" i="93" s="1"/>
  <c r="N167" i="93" s="1"/>
  <c r="N168" i="93" s="1"/>
  <c r="N169" i="93" s="1"/>
  <c r="N170" i="93" s="1"/>
  <c r="N171" i="93" s="1"/>
  <c r="N172" i="93" s="1"/>
  <c r="N173" i="93" s="1"/>
  <c r="N174" i="93" s="1"/>
  <c r="N175" i="93" s="1"/>
  <c r="N176" i="93" s="1"/>
  <c r="N177" i="93" s="1"/>
  <c r="N178" i="93" s="1"/>
  <c r="N179" i="93" s="1"/>
  <c r="N180" i="93" s="1"/>
  <c r="N181" i="93" s="1"/>
  <c r="N182" i="93" s="1"/>
  <c r="N183" i="93" s="1"/>
  <c r="N184" i="93" s="1"/>
  <c r="N185" i="93" s="1"/>
  <c r="N186" i="93" s="1"/>
  <c r="N187" i="93" s="1"/>
  <c r="N188" i="93" s="1"/>
  <c r="N189" i="93" s="1"/>
  <c r="N190" i="93" s="1"/>
  <c r="N191" i="93" s="1"/>
  <c r="N192" i="93" s="1"/>
  <c r="N193" i="93" s="1"/>
  <c r="N194" i="93" s="1"/>
  <c r="N195" i="93" s="1"/>
  <c r="N196" i="93" s="1"/>
  <c r="N197" i="93" s="1"/>
  <c r="N198" i="93" s="1"/>
  <c r="N199" i="93" s="1"/>
  <c r="N200" i="93" s="1"/>
  <c r="N201" i="93" s="1"/>
  <c r="N202" i="93" s="1"/>
  <c r="N203" i="93" s="1"/>
  <c r="N204" i="93" s="1"/>
  <c r="N205" i="93" s="1"/>
  <c r="N206" i="93" s="1"/>
  <c r="N207" i="93" s="1"/>
  <c r="N208" i="93" s="1"/>
  <c r="N209" i="93" s="1"/>
  <c r="N210" i="93" s="1"/>
  <c r="N211" i="93" s="1"/>
  <c r="N212" i="93" s="1"/>
  <c r="N213" i="93" s="1"/>
  <c r="N214" i="93" s="1"/>
  <c r="N215" i="93" s="1"/>
  <c r="N216" i="93" s="1"/>
  <c r="N217" i="93" s="1"/>
  <c r="N218" i="93" s="1"/>
  <c r="N219" i="93" s="1"/>
  <c r="N220" i="93" s="1"/>
  <c r="N221" i="93" s="1"/>
  <c r="N222" i="93" s="1"/>
  <c r="N223" i="93" s="1"/>
  <c r="N224" i="93" s="1"/>
  <c r="N225" i="93" s="1"/>
  <c r="N226" i="93" s="1"/>
  <c r="N227" i="93" s="1"/>
  <c r="N228" i="93" s="1"/>
  <c r="N229" i="93" s="1"/>
  <c r="N230" i="93" s="1"/>
  <c r="N231" i="93" s="1"/>
  <c r="N232" i="93" s="1"/>
  <c r="N233" i="93" s="1"/>
  <c r="N234" i="93" s="1"/>
  <c r="N235" i="93" s="1"/>
  <c r="N236" i="93" s="1"/>
  <c r="N237" i="93" s="1"/>
  <c r="N238" i="93" s="1"/>
  <c r="N239" i="93" s="1"/>
  <c r="N240" i="93" s="1"/>
  <c r="N241" i="93" s="1"/>
  <c r="N242" i="93" s="1"/>
  <c r="N243" i="93" s="1"/>
  <c r="N244" i="93" s="1"/>
  <c r="N245" i="93" s="1"/>
  <c r="N246" i="93" s="1"/>
  <c r="N247" i="93" s="1"/>
  <c r="N248" i="93" s="1"/>
  <c r="N249" i="93" s="1"/>
  <c r="N250" i="93" s="1"/>
  <c r="N251" i="93" s="1"/>
  <c r="N252" i="93" s="1"/>
  <c r="N253" i="93" s="1"/>
  <c r="N254" i="93" s="1"/>
  <c r="N255" i="93" s="1"/>
  <c r="N256" i="93" s="1"/>
  <c r="N257" i="93" s="1"/>
  <c r="N258" i="93" s="1"/>
  <c r="N259" i="93" s="1"/>
  <c r="N260" i="93" s="1"/>
  <c r="N261" i="93" s="1"/>
  <c r="N262" i="93" s="1"/>
  <c r="N263" i="93" s="1"/>
  <c r="N264" i="93" s="1"/>
  <c r="N265" i="93" s="1"/>
  <c r="N266" i="93" s="1"/>
  <c r="N267" i="93" s="1"/>
  <c r="N268" i="93" s="1"/>
  <c r="N269" i="93" s="1"/>
  <c r="N270" i="93" s="1"/>
  <c r="N271" i="93" s="1"/>
  <c r="N272" i="93" s="1"/>
  <c r="N273" i="93" s="1"/>
  <c r="N274" i="93" s="1"/>
  <c r="N275" i="93" s="1"/>
  <c r="N276" i="93" s="1"/>
  <c r="N277" i="93" s="1"/>
  <c r="N278" i="93" s="1"/>
  <c r="N279" i="93" s="1"/>
  <c r="N280" i="93" s="1"/>
  <c r="N281" i="93" s="1"/>
  <c r="N282" i="93" s="1"/>
  <c r="N283" i="93" s="1"/>
  <c r="N284" i="93" s="1"/>
  <c r="N285" i="93" s="1"/>
  <c r="N286" i="93" s="1"/>
  <c r="N287" i="93" s="1"/>
  <c r="N288" i="93" s="1"/>
  <c r="N289" i="93" s="1"/>
  <c r="N290" i="93" s="1"/>
  <c r="N291" i="93" s="1"/>
  <c r="N292" i="93" s="1"/>
  <c r="N293" i="93" s="1"/>
  <c r="N294" i="93" s="1"/>
  <c r="N295" i="93" s="1"/>
  <c r="N296" i="93" s="1"/>
  <c r="N297" i="93" s="1"/>
  <c r="N298" i="93" s="1"/>
  <c r="N299" i="93" s="1"/>
  <c r="N300" i="93" s="1"/>
  <c r="N301" i="93" s="1"/>
  <c r="N302" i="93" s="1"/>
  <c r="N303" i="93" s="1"/>
  <c r="A3" i="93"/>
  <c r="A4" i="93" s="1"/>
  <c r="A5" i="93" s="1"/>
  <c r="A6" i="93" s="1"/>
  <c r="A7" i="93" s="1"/>
  <c r="A8" i="93" s="1"/>
  <c r="A9" i="93" s="1"/>
  <c r="A10" i="93" s="1"/>
  <c r="A11" i="93" s="1"/>
  <c r="A12" i="93" s="1"/>
  <c r="A13" i="93" s="1"/>
  <c r="A14" i="93" s="1"/>
  <c r="A15" i="93" s="1"/>
  <c r="A16" i="93" s="1"/>
  <c r="A17" i="93" s="1"/>
  <c r="A18" i="93" s="1"/>
  <c r="A19" i="93" s="1"/>
  <c r="A20" i="93" s="1"/>
  <c r="A21" i="93" s="1"/>
  <c r="A22" i="93" s="1"/>
  <c r="A23" i="93" s="1"/>
  <c r="A24" i="93" s="1"/>
  <c r="A25" i="93" s="1"/>
  <c r="A26" i="93" s="1"/>
  <c r="A27" i="93" s="1"/>
  <c r="A28" i="93" s="1"/>
  <c r="A29" i="93" s="1"/>
  <c r="A30" i="93" s="1"/>
  <c r="A31" i="93" s="1"/>
  <c r="A32" i="93" s="1"/>
  <c r="A33" i="93" s="1"/>
  <c r="A34" i="93" s="1"/>
  <c r="A35" i="93" s="1"/>
  <c r="A36" i="93" s="1"/>
  <c r="A37" i="93" s="1"/>
  <c r="A38" i="93" s="1"/>
  <c r="A39" i="93" s="1"/>
  <c r="A40" i="93" s="1"/>
  <c r="A41" i="93" s="1"/>
  <c r="A42" i="93" s="1"/>
  <c r="A43" i="93" s="1"/>
  <c r="A44" i="93" s="1"/>
  <c r="A45" i="93" s="1"/>
  <c r="A46" i="93" s="1"/>
  <c r="A47" i="93" s="1"/>
  <c r="A48" i="93" s="1"/>
  <c r="A49" i="93" s="1"/>
  <c r="A50" i="93" s="1"/>
  <c r="A51" i="93" s="1"/>
  <c r="A52" i="93" s="1"/>
  <c r="A53" i="93" s="1"/>
  <c r="A54" i="93" s="1"/>
  <c r="A55" i="93" s="1"/>
  <c r="A56" i="93" s="1"/>
  <c r="A57" i="93" s="1"/>
  <c r="A58" i="93" s="1"/>
  <c r="A59" i="93" s="1"/>
  <c r="A60" i="93" s="1"/>
  <c r="A61" i="93" s="1"/>
  <c r="A62" i="93" s="1"/>
  <c r="A63" i="93" s="1"/>
  <c r="A64" i="93" s="1"/>
  <c r="A65" i="93" s="1"/>
  <c r="A66" i="93" s="1"/>
  <c r="A67" i="93" s="1"/>
  <c r="A68" i="93" s="1"/>
  <c r="A69" i="93" s="1"/>
  <c r="A70" i="93" s="1"/>
  <c r="A71" i="93" s="1"/>
  <c r="A72" i="93" s="1"/>
  <c r="A73" i="93" s="1"/>
  <c r="A74" i="93" s="1"/>
  <c r="A75" i="93" s="1"/>
  <c r="A76" i="93" s="1"/>
  <c r="A77" i="93" s="1"/>
  <c r="A78" i="93" s="1"/>
  <c r="A79" i="93" s="1"/>
  <c r="A80" i="93" s="1"/>
  <c r="A81" i="93" s="1"/>
  <c r="A82" i="93" s="1"/>
  <c r="A83" i="93" s="1"/>
  <c r="A84" i="93" s="1"/>
  <c r="A85" i="93" s="1"/>
  <c r="A86" i="93" s="1"/>
  <c r="A87" i="93" s="1"/>
  <c r="A88" i="93" s="1"/>
  <c r="A89" i="93" s="1"/>
  <c r="A90" i="93" s="1"/>
  <c r="A91" i="93" s="1"/>
  <c r="A92" i="93" s="1"/>
  <c r="A93" i="93" s="1"/>
  <c r="A94" i="93" s="1"/>
  <c r="A95" i="93" s="1"/>
  <c r="A96" i="93" s="1"/>
  <c r="A97" i="93" s="1"/>
  <c r="A98" i="93" s="1"/>
  <c r="A99" i="93" s="1"/>
  <c r="A100" i="93" s="1"/>
  <c r="A101" i="93" s="1"/>
  <c r="A102" i="93" s="1"/>
  <c r="A103" i="93" s="1"/>
  <c r="A104" i="93" s="1"/>
  <c r="A105" i="93" s="1"/>
  <c r="A106" i="93" s="1"/>
  <c r="A107" i="93" s="1"/>
  <c r="A108" i="93" s="1"/>
  <c r="A109" i="93" s="1"/>
  <c r="A110" i="93" s="1"/>
  <c r="A111" i="93" s="1"/>
  <c r="A112" i="93" s="1"/>
  <c r="A113" i="93" s="1"/>
  <c r="A114" i="93" s="1"/>
  <c r="A115" i="93" s="1"/>
  <c r="A116" i="93" s="1"/>
  <c r="A117" i="93" s="1"/>
  <c r="A118" i="93" s="1"/>
  <c r="A119" i="93" s="1"/>
  <c r="A120" i="93" s="1"/>
  <c r="A121" i="93" s="1"/>
  <c r="A122" i="93" s="1"/>
  <c r="A123" i="93" s="1"/>
  <c r="A124" i="93" s="1"/>
  <c r="A125" i="93" s="1"/>
  <c r="A126" i="93" s="1"/>
  <c r="A127" i="93" s="1"/>
  <c r="A128" i="93" s="1"/>
  <c r="A129" i="93" s="1"/>
  <c r="A130" i="93" s="1"/>
  <c r="A131" i="93" s="1"/>
  <c r="A132" i="93" s="1"/>
  <c r="A133" i="93" s="1"/>
  <c r="A134" i="93" s="1"/>
  <c r="A135" i="93" s="1"/>
  <c r="A136" i="93" s="1"/>
  <c r="A137" i="93" s="1"/>
  <c r="A138" i="93" s="1"/>
  <c r="A139" i="93" s="1"/>
  <c r="A140" i="93" s="1"/>
  <c r="A141" i="93" s="1"/>
  <c r="A142" i="93" s="1"/>
  <c r="A143" i="93" s="1"/>
  <c r="A144" i="93" s="1"/>
  <c r="A145" i="93" s="1"/>
  <c r="A146" i="93" s="1"/>
  <c r="A147" i="93" s="1"/>
  <c r="A148" i="93" s="1"/>
  <c r="A149" i="93" s="1"/>
  <c r="A150" i="93" s="1"/>
  <c r="A151" i="93" s="1"/>
  <c r="A152" i="93" s="1"/>
  <c r="A153" i="93" s="1"/>
  <c r="A154" i="93" s="1"/>
  <c r="A155" i="93" s="1"/>
  <c r="A156" i="93" s="1"/>
  <c r="A157" i="93" s="1"/>
  <c r="A158" i="93" s="1"/>
  <c r="A159" i="93" s="1"/>
  <c r="A160" i="93" s="1"/>
  <c r="A161" i="93" s="1"/>
  <c r="A162" i="93" s="1"/>
  <c r="A163" i="93" s="1"/>
  <c r="A164" i="93" s="1"/>
  <c r="A165" i="93" s="1"/>
  <c r="A166" i="93" s="1"/>
  <c r="A167" i="93" s="1"/>
  <c r="A168" i="93" s="1"/>
  <c r="A169" i="93" s="1"/>
  <c r="A170" i="93" s="1"/>
  <c r="A171" i="93" s="1"/>
  <c r="A172" i="93" s="1"/>
  <c r="A173" i="93" s="1"/>
  <c r="A174" i="93" s="1"/>
  <c r="A175" i="93" s="1"/>
  <c r="A176" i="93" s="1"/>
  <c r="A177" i="93" s="1"/>
  <c r="A178" i="93" s="1"/>
  <c r="A179" i="93" s="1"/>
  <c r="A180" i="93" s="1"/>
  <c r="A181" i="93" s="1"/>
  <c r="A182" i="93" s="1"/>
  <c r="A183" i="93" s="1"/>
  <c r="A184" i="93" s="1"/>
  <c r="A185" i="93" s="1"/>
  <c r="A186" i="93" s="1"/>
  <c r="A187" i="93" s="1"/>
  <c r="A188" i="93" s="1"/>
  <c r="A189" i="93" s="1"/>
  <c r="A190" i="93" s="1"/>
  <c r="A191" i="93" s="1"/>
  <c r="A192" i="93" s="1"/>
  <c r="A193" i="93" s="1"/>
  <c r="A194" i="93" s="1"/>
  <c r="A195" i="93" s="1"/>
  <c r="A196" i="93" s="1"/>
  <c r="A197" i="93" s="1"/>
  <c r="A198" i="93" s="1"/>
  <c r="A199" i="93" s="1"/>
  <c r="A200" i="93" s="1"/>
  <c r="A201" i="93" s="1"/>
  <c r="A202" i="93" s="1"/>
  <c r="A203" i="93" s="1"/>
  <c r="A204" i="93" s="1"/>
  <c r="A205" i="93" s="1"/>
  <c r="A206" i="93" s="1"/>
  <c r="A207" i="93" s="1"/>
  <c r="A208" i="93" s="1"/>
  <c r="A209" i="93" s="1"/>
  <c r="A210" i="93" s="1"/>
  <c r="A211" i="93" s="1"/>
  <c r="A212" i="93" s="1"/>
  <c r="A213" i="93" s="1"/>
  <c r="A214" i="93" s="1"/>
  <c r="A215" i="93" s="1"/>
  <c r="A216" i="93" s="1"/>
  <c r="A217" i="93" s="1"/>
  <c r="A218" i="93" s="1"/>
  <c r="A219" i="93" s="1"/>
  <c r="A220" i="93" s="1"/>
  <c r="A221" i="93" s="1"/>
  <c r="A222" i="93" s="1"/>
  <c r="A223" i="93" s="1"/>
  <c r="A224" i="93" s="1"/>
  <c r="A225" i="93" s="1"/>
  <c r="A226" i="93" s="1"/>
  <c r="A227" i="93" s="1"/>
  <c r="A228" i="93" s="1"/>
  <c r="A229" i="93" s="1"/>
  <c r="A230" i="93" s="1"/>
  <c r="A231" i="93" s="1"/>
  <c r="A232" i="93" s="1"/>
  <c r="A233" i="93" s="1"/>
  <c r="A234" i="93" s="1"/>
  <c r="A235" i="93" s="1"/>
  <c r="A236" i="93" s="1"/>
  <c r="A237" i="93" s="1"/>
  <c r="A238" i="93" s="1"/>
  <c r="A239" i="93" s="1"/>
  <c r="A240" i="93" s="1"/>
  <c r="A241" i="93" s="1"/>
  <c r="A242" i="93" s="1"/>
  <c r="A243" i="93" s="1"/>
  <c r="A244" i="93" s="1"/>
  <c r="A245" i="93" s="1"/>
  <c r="A246" i="93" s="1"/>
  <c r="A247" i="93" s="1"/>
  <c r="A248" i="93" s="1"/>
  <c r="A249" i="93" s="1"/>
  <c r="A250" i="93" s="1"/>
  <c r="A251" i="93" s="1"/>
  <c r="A252" i="93" s="1"/>
  <c r="A253" i="93" s="1"/>
  <c r="A254" i="93" s="1"/>
  <c r="A255" i="93" s="1"/>
  <c r="A256" i="93" s="1"/>
  <c r="A257" i="93" s="1"/>
  <c r="A258" i="93" s="1"/>
  <c r="A259" i="93" s="1"/>
  <c r="A260" i="93" s="1"/>
  <c r="A261" i="93" s="1"/>
  <c r="A262" i="93" s="1"/>
  <c r="A263" i="93" s="1"/>
  <c r="A264" i="93" s="1"/>
  <c r="A265" i="93" s="1"/>
  <c r="A266" i="93" s="1"/>
  <c r="A267" i="93" s="1"/>
  <c r="A268" i="93" s="1"/>
  <c r="A269" i="93" s="1"/>
  <c r="A270" i="93" s="1"/>
  <c r="A271" i="93" s="1"/>
  <c r="A272" i="93" s="1"/>
  <c r="A273" i="93" s="1"/>
  <c r="A274" i="93" s="1"/>
  <c r="A275" i="93" s="1"/>
  <c r="A276" i="93" s="1"/>
  <c r="A277" i="93" s="1"/>
  <c r="A278" i="93" s="1"/>
  <c r="A279" i="93" s="1"/>
  <c r="A280" i="93" s="1"/>
  <c r="A281" i="93" s="1"/>
  <c r="A282" i="93" s="1"/>
  <c r="A283" i="93" s="1"/>
  <c r="A284" i="93" s="1"/>
  <c r="A285" i="93" s="1"/>
  <c r="A286" i="93" s="1"/>
  <c r="A287" i="93" s="1"/>
  <c r="A288" i="93" s="1"/>
  <c r="A289" i="93" s="1"/>
  <c r="A290" i="93" s="1"/>
  <c r="A291" i="93" s="1"/>
  <c r="A292" i="93" s="1"/>
  <c r="A293" i="93" s="1"/>
  <c r="A294" i="93" s="1"/>
  <c r="A295" i="93" s="1"/>
  <c r="A296" i="93" s="1"/>
  <c r="A297" i="93" s="1"/>
  <c r="A298" i="93" s="1"/>
  <c r="A299" i="93" s="1"/>
  <c r="A300" i="93" s="1"/>
  <c r="A301" i="93" s="1"/>
  <c r="A302" i="93" s="1"/>
  <c r="A303" i="93" s="1"/>
  <c r="N3" i="77"/>
  <c r="N4" i="77" s="1"/>
  <c r="N5" i="77" s="1"/>
  <c r="N6" i="77" s="1"/>
  <c r="N7" i="77" s="1"/>
  <c r="N8" i="77" s="1"/>
  <c r="N9" i="77" s="1"/>
  <c r="N10" i="77" s="1"/>
  <c r="N11" i="77" s="1"/>
  <c r="N12" i="77" s="1"/>
  <c r="N13" i="77" s="1"/>
  <c r="N14" i="77" s="1"/>
  <c r="N15" i="77" s="1"/>
  <c r="N16" i="77" s="1"/>
  <c r="N17" i="77" s="1"/>
  <c r="N18" i="77" s="1"/>
  <c r="N19" i="77" s="1"/>
  <c r="N20" i="77" s="1"/>
  <c r="N21" i="77" s="1"/>
  <c r="N22" i="77" s="1"/>
  <c r="N23" i="77" s="1"/>
  <c r="N24" i="77" s="1"/>
  <c r="N25" i="77" s="1"/>
  <c r="N26" i="77" s="1"/>
  <c r="N27" i="77" s="1"/>
  <c r="N28" i="77" s="1"/>
  <c r="N29" i="77" s="1"/>
  <c r="N30" i="77" s="1"/>
  <c r="N31" i="77" s="1"/>
  <c r="N32" i="77" s="1"/>
  <c r="N33" i="77" s="1"/>
  <c r="N34" i="77" s="1"/>
  <c r="N35" i="77" s="1"/>
  <c r="N36" i="77" s="1"/>
  <c r="N37" i="77" s="1"/>
  <c r="N38" i="77" s="1"/>
  <c r="N39" i="77" s="1"/>
  <c r="N40" i="77" s="1"/>
  <c r="N41" i="77" s="1"/>
  <c r="N42" i="77" s="1"/>
  <c r="N43" i="77" s="1"/>
  <c r="N44" i="77" s="1"/>
  <c r="N45" i="77" s="1"/>
  <c r="N46" i="77" s="1"/>
  <c r="N47" i="77" s="1"/>
  <c r="N48" i="77" s="1"/>
  <c r="N49" i="77" s="1"/>
  <c r="N50" i="77" s="1"/>
  <c r="N51" i="77" s="1"/>
  <c r="N52" i="77" s="1"/>
  <c r="N53" i="77" s="1"/>
  <c r="N54" i="77" s="1"/>
  <c r="N55" i="77" s="1"/>
  <c r="N56" i="77" s="1"/>
  <c r="N57" i="77" s="1"/>
  <c r="N58" i="77" s="1"/>
  <c r="N59" i="77" s="1"/>
  <c r="N60" i="77" s="1"/>
  <c r="N61" i="77" s="1"/>
  <c r="N62" i="77" s="1"/>
  <c r="N63" i="77" s="1"/>
  <c r="N64" i="77" s="1"/>
  <c r="N65" i="77" s="1"/>
  <c r="N66" i="77" s="1"/>
  <c r="N67" i="77" s="1"/>
  <c r="N68" i="77" s="1"/>
  <c r="N69" i="77" s="1"/>
  <c r="N70" i="77" s="1"/>
  <c r="N71" i="77" s="1"/>
  <c r="N72" i="77" s="1"/>
  <c r="N73" i="77" s="1"/>
  <c r="N74" i="77" s="1"/>
  <c r="N75" i="77" s="1"/>
  <c r="N76" i="77" s="1"/>
  <c r="N77" i="77" s="1"/>
  <c r="N78" i="77" s="1"/>
  <c r="N79" i="77" s="1"/>
  <c r="N80" i="77" s="1"/>
  <c r="N81" i="77" s="1"/>
  <c r="N82" i="77" s="1"/>
  <c r="N83" i="77" s="1"/>
  <c r="N84" i="77" s="1"/>
  <c r="N85" i="77" s="1"/>
  <c r="N86" i="77" s="1"/>
  <c r="N87" i="77" s="1"/>
  <c r="N88" i="77" s="1"/>
  <c r="N89" i="77" s="1"/>
  <c r="N90" i="77" s="1"/>
  <c r="N91" i="77" s="1"/>
  <c r="N92" i="77" s="1"/>
  <c r="N93" i="77" s="1"/>
  <c r="N94" i="77" s="1"/>
  <c r="N95" i="77" s="1"/>
  <c r="N96" i="77" s="1"/>
  <c r="N97" i="77" s="1"/>
  <c r="N98" i="77" s="1"/>
  <c r="N99" i="77" s="1"/>
  <c r="N100" i="77" s="1"/>
  <c r="N101" i="77" s="1"/>
  <c r="N102" i="77" s="1"/>
  <c r="N103" i="77" s="1"/>
  <c r="N104" i="77" s="1"/>
  <c r="N105" i="77" s="1"/>
  <c r="N106" i="77" s="1"/>
  <c r="N107" i="77" s="1"/>
  <c r="N108" i="77" s="1"/>
  <c r="N109" i="77" s="1"/>
  <c r="N110" i="77" s="1"/>
  <c r="N111" i="77" s="1"/>
  <c r="N112" i="77" s="1"/>
  <c r="N113" i="77" s="1"/>
  <c r="N114" i="77" s="1"/>
  <c r="N115" i="77" s="1"/>
  <c r="N116" i="77" s="1"/>
  <c r="N117" i="77" s="1"/>
  <c r="N118" i="77" s="1"/>
  <c r="N119" i="77" s="1"/>
  <c r="N120" i="77" s="1"/>
  <c r="N121" i="77" s="1"/>
  <c r="N122" i="77" s="1"/>
  <c r="N123" i="77" s="1"/>
  <c r="N124" i="77" s="1"/>
  <c r="N125" i="77" s="1"/>
  <c r="N126" i="77" s="1"/>
  <c r="N127" i="77" s="1"/>
  <c r="N128" i="77" s="1"/>
  <c r="N129" i="77" s="1"/>
  <c r="N130" i="77" s="1"/>
  <c r="N131" i="77" s="1"/>
  <c r="N132" i="77" s="1"/>
  <c r="N133" i="77" s="1"/>
  <c r="N134" i="77" s="1"/>
  <c r="N135" i="77" s="1"/>
  <c r="N136" i="77" s="1"/>
  <c r="N137" i="77" s="1"/>
  <c r="N138" i="77" s="1"/>
  <c r="N139" i="77" s="1"/>
  <c r="N140" i="77" s="1"/>
  <c r="N141" i="77" s="1"/>
  <c r="N142" i="77" s="1"/>
  <c r="N143" i="77" s="1"/>
  <c r="N144" i="77" s="1"/>
  <c r="N145" i="77" s="1"/>
  <c r="N146" i="77" s="1"/>
  <c r="N147" i="77" s="1"/>
  <c r="N148" i="77" s="1"/>
  <c r="N149" i="77" s="1"/>
  <c r="N150" i="77" s="1"/>
  <c r="N151" i="77" s="1"/>
  <c r="N152" i="77" s="1"/>
  <c r="N153" i="77" s="1"/>
  <c r="N154" i="77" s="1"/>
  <c r="N155" i="77" s="1"/>
  <c r="N156" i="77" s="1"/>
  <c r="N157" i="77" s="1"/>
  <c r="N158" i="77" s="1"/>
  <c r="N159" i="77" s="1"/>
  <c r="N160" i="77" s="1"/>
  <c r="N161" i="77" s="1"/>
  <c r="N162" i="77" s="1"/>
  <c r="N163" i="77" s="1"/>
  <c r="N164" i="77" s="1"/>
  <c r="N165" i="77" s="1"/>
  <c r="N166" i="77" s="1"/>
  <c r="N167" i="77" s="1"/>
  <c r="N168" i="77" s="1"/>
  <c r="N169" i="77" s="1"/>
  <c r="N170" i="77" s="1"/>
  <c r="N171" i="77" s="1"/>
  <c r="N172" i="77" s="1"/>
  <c r="N173" i="77" s="1"/>
  <c r="N174" i="77" s="1"/>
  <c r="N175" i="77" s="1"/>
  <c r="N176" i="77" s="1"/>
  <c r="N177" i="77" s="1"/>
  <c r="N178" i="77" s="1"/>
  <c r="N179" i="77" s="1"/>
  <c r="N180" i="77" s="1"/>
  <c r="N181" i="77" s="1"/>
  <c r="N182" i="77" s="1"/>
  <c r="N183" i="77" s="1"/>
  <c r="N184" i="77" s="1"/>
  <c r="N185" i="77" s="1"/>
  <c r="N186" i="77" s="1"/>
  <c r="N187" i="77" s="1"/>
  <c r="N188" i="77" s="1"/>
  <c r="N189" i="77" s="1"/>
  <c r="N190" i="77" s="1"/>
  <c r="N191" i="77" s="1"/>
  <c r="N192" i="77" s="1"/>
  <c r="N193" i="77" s="1"/>
  <c r="N194" i="77" s="1"/>
  <c r="N195" i="77" s="1"/>
  <c r="N196" i="77" s="1"/>
  <c r="N197" i="77" s="1"/>
  <c r="N198" i="77" s="1"/>
  <c r="N199" i="77" s="1"/>
  <c r="N200" i="77" s="1"/>
  <c r="N201" i="77" s="1"/>
  <c r="N202" i="77" s="1"/>
  <c r="N203" i="77" s="1"/>
  <c r="N204" i="77" s="1"/>
  <c r="N205" i="77" s="1"/>
  <c r="N206" i="77" s="1"/>
  <c r="N207" i="77" s="1"/>
  <c r="N208" i="77" s="1"/>
  <c r="N209" i="77" s="1"/>
  <c r="N210" i="77" s="1"/>
  <c r="N211" i="77" s="1"/>
  <c r="N212" i="77" s="1"/>
  <c r="N213" i="77" s="1"/>
  <c r="N214" i="77" s="1"/>
  <c r="N215" i="77" s="1"/>
  <c r="N216" i="77" s="1"/>
  <c r="N217" i="77" s="1"/>
  <c r="N218" i="77" s="1"/>
  <c r="N219" i="77" s="1"/>
  <c r="N220" i="77" s="1"/>
  <c r="N221" i="77" s="1"/>
  <c r="N222" i="77" s="1"/>
  <c r="N223" i="77" s="1"/>
  <c r="N224" i="77" s="1"/>
  <c r="N225" i="77" s="1"/>
  <c r="N226" i="77" s="1"/>
  <c r="N227" i="77" s="1"/>
  <c r="N228" i="77" s="1"/>
  <c r="N229" i="77" s="1"/>
  <c r="N230" i="77" s="1"/>
  <c r="N231" i="77" s="1"/>
  <c r="N232" i="77" s="1"/>
  <c r="N233" i="77" s="1"/>
  <c r="N234" i="77" s="1"/>
  <c r="N235" i="77" s="1"/>
  <c r="N236" i="77" s="1"/>
  <c r="N237" i="77" s="1"/>
  <c r="N238" i="77" s="1"/>
  <c r="N239" i="77" s="1"/>
  <c r="N240" i="77" s="1"/>
  <c r="N241" i="77" s="1"/>
  <c r="N242" i="77" s="1"/>
  <c r="N243" i="77" s="1"/>
  <c r="N244" i="77" s="1"/>
  <c r="N245" i="77" s="1"/>
  <c r="N246" i="77" s="1"/>
  <c r="N247" i="77" s="1"/>
  <c r="N248" i="77" s="1"/>
  <c r="N249" i="77" s="1"/>
  <c r="N250" i="77" s="1"/>
  <c r="N251" i="77" s="1"/>
  <c r="N252" i="77" s="1"/>
  <c r="N253" i="77" s="1"/>
  <c r="N254" i="77" s="1"/>
  <c r="N255" i="77" s="1"/>
  <c r="N256" i="77" s="1"/>
  <c r="N257" i="77" s="1"/>
  <c r="N258" i="77" s="1"/>
  <c r="N259" i="77" s="1"/>
  <c r="N260" i="77" s="1"/>
  <c r="N261" i="77" s="1"/>
  <c r="N262" i="77" s="1"/>
  <c r="N263" i="77" s="1"/>
  <c r="N264" i="77" s="1"/>
  <c r="N265" i="77" s="1"/>
  <c r="N266" i="77" s="1"/>
  <c r="N267" i="77" s="1"/>
  <c r="N268" i="77" s="1"/>
  <c r="N269" i="77" s="1"/>
  <c r="N270" i="77" s="1"/>
  <c r="N271" i="77" s="1"/>
  <c r="N272" i="77" s="1"/>
  <c r="N273" i="77" s="1"/>
  <c r="N274" i="77" s="1"/>
  <c r="N275" i="77" s="1"/>
  <c r="N276" i="77" s="1"/>
  <c r="N277" i="77" s="1"/>
  <c r="N278" i="77" s="1"/>
  <c r="N279" i="77" s="1"/>
  <c r="N280" i="77" s="1"/>
  <c r="N281" i="77" s="1"/>
  <c r="N282" i="77" s="1"/>
  <c r="N283" i="77" s="1"/>
  <c r="N284" i="77" s="1"/>
  <c r="N285" i="77" s="1"/>
  <c r="N286" i="77" s="1"/>
  <c r="N287" i="77" s="1"/>
  <c r="N288" i="77" s="1"/>
  <c r="N289" i="77" s="1"/>
  <c r="N290" i="77" s="1"/>
  <c r="N291" i="77" s="1"/>
  <c r="N292" i="77" s="1"/>
  <c r="N293" i="77" s="1"/>
  <c r="N294" i="77" s="1"/>
  <c r="N295" i="77" s="1"/>
  <c r="N296" i="77" s="1"/>
  <c r="N297" i="77" s="1"/>
  <c r="N298" i="77" s="1"/>
  <c r="N299" i="77" s="1"/>
  <c r="N300" i="77" s="1"/>
  <c r="N301" i="77" s="1"/>
  <c r="N302" i="77" s="1"/>
  <c r="N303" i="77" s="1"/>
  <c r="N304" i="77" s="1"/>
  <c r="N305" i="77" s="1"/>
  <c r="N306" i="77" s="1"/>
  <c r="N307" i="77" s="1"/>
  <c r="N308" i="77" s="1"/>
  <c r="N309" i="77" s="1"/>
  <c r="N310" i="77" s="1"/>
  <c r="N311" i="77" s="1"/>
  <c r="N312" i="77" s="1"/>
  <c r="N313" i="77" s="1"/>
  <c r="N314" i="77" s="1"/>
  <c r="N315" i="77" s="1"/>
  <c r="N316" i="77" s="1"/>
  <c r="N317" i="77" s="1"/>
  <c r="N318" i="77" s="1"/>
  <c r="N319" i="77" s="1"/>
  <c r="N320" i="77" s="1"/>
  <c r="N321" i="77" s="1"/>
  <c r="N322" i="77" s="1"/>
  <c r="N323" i="77" s="1"/>
  <c r="N324" i="77" s="1"/>
  <c r="N325" i="77" s="1"/>
  <c r="N326" i="77" s="1"/>
  <c r="N327" i="77" s="1"/>
  <c r="N328" i="77" s="1"/>
  <c r="N329" i="77" s="1"/>
  <c r="N330" i="77" s="1"/>
  <c r="N331" i="77" s="1"/>
  <c r="N332" i="77" s="1"/>
  <c r="N333" i="77" s="1"/>
  <c r="N334" i="77" s="1"/>
  <c r="N335" i="77" s="1"/>
  <c r="N336" i="77" s="1"/>
  <c r="N337" i="77" s="1"/>
  <c r="N338" i="77" s="1"/>
  <c r="N339" i="77" s="1"/>
  <c r="N340" i="77" s="1"/>
  <c r="N341" i="77" s="1"/>
  <c r="N342" i="77" s="1"/>
  <c r="N343" i="77" s="1"/>
  <c r="N344" i="77" s="1"/>
  <c r="N345" i="77" s="1"/>
  <c r="N346" i="77" s="1"/>
  <c r="N347" i="77" s="1"/>
  <c r="N348" i="77" s="1"/>
  <c r="N349" i="77" s="1"/>
  <c r="N350" i="77" s="1"/>
  <c r="N351" i="77" s="1"/>
  <c r="N352" i="77" s="1"/>
  <c r="N353" i="77" s="1"/>
  <c r="N354" i="77" s="1"/>
  <c r="N355" i="77" s="1"/>
  <c r="N356" i="77" s="1"/>
  <c r="N357" i="77" s="1"/>
  <c r="N358" i="77" s="1"/>
  <c r="N359" i="77" s="1"/>
  <c r="N360" i="77" s="1"/>
  <c r="N361" i="77" s="1"/>
  <c r="N362" i="77" s="1"/>
  <c r="N363" i="77" s="1"/>
  <c r="N364" i="77" s="1"/>
  <c r="N365" i="77" s="1"/>
  <c r="N366" i="77" s="1"/>
  <c r="N367" i="77" s="1"/>
  <c r="N368" i="77" s="1"/>
  <c r="N369" i="77" s="1"/>
  <c r="N370" i="77" s="1"/>
  <c r="N371" i="77" s="1"/>
  <c r="N372" i="77" s="1"/>
  <c r="N373" i="77" s="1"/>
  <c r="N374" i="77" s="1"/>
  <c r="N375" i="77" s="1"/>
  <c r="N376" i="77" s="1"/>
  <c r="N377" i="77" s="1"/>
  <c r="N378" i="77" s="1"/>
  <c r="N379" i="77" s="1"/>
  <c r="N380" i="77" s="1"/>
  <c r="N381" i="77" s="1"/>
  <c r="N382" i="77" s="1"/>
  <c r="N383" i="77" s="1"/>
  <c r="N384" i="77" s="1"/>
  <c r="N385" i="77" s="1"/>
  <c r="N386" i="77" s="1"/>
  <c r="N387" i="77" s="1"/>
  <c r="N388" i="77" s="1"/>
  <c r="O3" i="77"/>
  <c r="O4" i="77"/>
  <c r="O5" i="77"/>
  <c r="O6" i="77"/>
  <c r="O7" i="77"/>
  <c r="O8" i="77"/>
  <c r="O9" i="77"/>
  <c r="O10" i="77"/>
  <c r="O11" i="77"/>
  <c r="O12" i="77"/>
  <c r="O13" i="77"/>
  <c r="O14" i="77"/>
  <c r="O15" i="77"/>
  <c r="O16" i="77"/>
  <c r="O17" i="77"/>
  <c r="O18" i="77"/>
  <c r="O19" i="77"/>
  <c r="O20" i="77"/>
  <c r="O21" i="77"/>
  <c r="O22" i="77"/>
  <c r="O23" i="77"/>
  <c r="O24" i="77"/>
  <c r="O25" i="77"/>
  <c r="O26" i="77"/>
  <c r="O27" i="77"/>
  <c r="O28" i="77"/>
  <c r="O29" i="77"/>
  <c r="O30" i="77"/>
  <c r="O31" i="77"/>
  <c r="O32" i="77"/>
  <c r="O33" i="77"/>
  <c r="O34" i="77"/>
  <c r="O35" i="77"/>
  <c r="O36" i="77"/>
  <c r="O37" i="77"/>
  <c r="O38" i="77"/>
  <c r="O39" i="77"/>
  <c r="O40" i="77"/>
  <c r="O41" i="77"/>
  <c r="O42" i="77"/>
  <c r="O43" i="77"/>
  <c r="O44" i="77"/>
  <c r="O45" i="77"/>
  <c r="O46" i="77"/>
  <c r="O47" i="77"/>
  <c r="O48" i="77"/>
  <c r="O49" i="77"/>
  <c r="O50" i="77"/>
  <c r="O51" i="77"/>
  <c r="O52" i="77"/>
  <c r="O53" i="77"/>
  <c r="O54" i="77"/>
  <c r="O55" i="77"/>
  <c r="O56" i="77"/>
  <c r="O57" i="77"/>
  <c r="O58" i="77"/>
  <c r="O59" i="77"/>
  <c r="O60" i="77"/>
  <c r="O61" i="77"/>
  <c r="O62" i="77"/>
  <c r="O63" i="77"/>
  <c r="O64" i="77"/>
  <c r="O65" i="77"/>
  <c r="O66" i="77"/>
  <c r="O67" i="77"/>
  <c r="O68" i="77"/>
  <c r="O69" i="77"/>
  <c r="O70" i="77"/>
  <c r="O71" i="77"/>
  <c r="O72" i="77"/>
  <c r="O73" i="77"/>
  <c r="O74" i="77"/>
  <c r="O75" i="77"/>
  <c r="O76" i="77"/>
  <c r="O77" i="77"/>
  <c r="O78" i="77"/>
  <c r="O79" i="77"/>
  <c r="O80" i="77"/>
  <c r="O81" i="77"/>
  <c r="O82" i="77"/>
  <c r="O83" i="77"/>
  <c r="O84" i="77"/>
  <c r="O85" i="77"/>
  <c r="O86" i="77"/>
  <c r="O87" i="77"/>
  <c r="O88" i="77"/>
  <c r="O89" i="77"/>
  <c r="O90" i="77"/>
  <c r="O91" i="77"/>
  <c r="O92" i="77"/>
  <c r="O93" i="77"/>
  <c r="O94" i="77"/>
  <c r="O95" i="77"/>
  <c r="O96" i="77"/>
  <c r="O97" i="77"/>
  <c r="O98" i="77"/>
  <c r="O99" i="77"/>
  <c r="O100" i="77"/>
  <c r="O101" i="77"/>
  <c r="O102" i="77"/>
  <c r="O103" i="77"/>
  <c r="O104" i="77"/>
  <c r="O105" i="77"/>
  <c r="O106" i="77"/>
  <c r="O107" i="77"/>
  <c r="O108" i="77"/>
  <c r="O109" i="77"/>
  <c r="O110" i="77"/>
  <c r="O111" i="77"/>
  <c r="O112" i="77"/>
  <c r="O113" i="77"/>
  <c r="O114" i="77"/>
  <c r="O115" i="77"/>
  <c r="O116" i="77"/>
  <c r="O117" i="77"/>
  <c r="O118" i="77"/>
  <c r="O119" i="77"/>
  <c r="O120" i="77"/>
  <c r="O121" i="77"/>
  <c r="O122" i="77"/>
  <c r="O123" i="77"/>
  <c r="O124" i="77"/>
  <c r="O125" i="77"/>
  <c r="O126" i="77"/>
  <c r="O127" i="77"/>
  <c r="O128" i="77"/>
  <c r="O129" i="77"/>
  <c r="O130" i="77"/>
  <c r="O131" i="77"/>
  <c r="O132" i="77"/>
  <c r="O133" i="77"/>
  <c r="O134" i="77"/>
  <c r="O135" i="77"/>
  <c r="O136" i="77"/>
  <c r="O137" i="77"/>
  <c r="O138" i="77"/>
  <c r="O139" i="77"/>
  <c r="O140" i="77"/>
  <c r="O141" i="77"/>
  <c r="O142" i="77"/>
  <c r="O143" i="77"/>
  <c r="O144" i="77"/>
  <c r="O145" i="77"/>
  <c r="O146" i="77"/>
  <c r="O147" i="77"/>
  <c r="O148" i="77"/>
  <c r="O149" i="77"/>
  <c r="O150" i="77"/>
  <c r="O151" i="77"/>
  <c r="O152" i="77"/>
  <c r="O153" i="77"/>
  <c r="O154" i="77"/>
  <c r="O155" i="77"/>
  <c r="O156" i="77"/>
  <c r="O157" i="77"/>
  <c r="O158" i="77"/>
  <c r="O159" i="77"/>
  <c r="O160" i="77"/>
  <c r="O161" i="77"/>
  <c r="O162" i="77"/>
  <c r="O163" i="77"/>
  <c r="O164" i="77"/>
  <c r="O165" i="77"/>
  <c r="O166" i="77"/>
  <c r="O167" i="77"/>
  <c r="O168" i="77"/>
  <c r="O169" i="77"/>
  <c r="O170" i="77"/>
  <c r="O171" i="77"/>
  <c r="O172" i="77"/>
  <c r="O173" i="77"/>
  <c r="O174" i="77"/>
  <c r="O175" i="77"/>
  <c r="O176" i="77"/>
  <c r="O177" i="77"/>
  <c r="O178" i="77"/>
  <c r="O179" i="77"/>
  <c r="O180" i="77"/>
  <c r="O2" i="77"/>
  <c r="O4" i="134"/>
  <c r="O5" i="134" s="1"/>
  <c r="O6" i="134" s="1"/>
  <c r="O7" i="134" s="1"/>
  <c r="O8" i="134" s="1"/>
  <c r="O9" i="134" s="1"/>
  <c r="O3" i="134"/>
  <c r="P3" i="127"/>
  <c r="P4" i="127" s="1"/>
  <c r="P5" i="127" s="1"/>
  <c r="P6" i="127" s="1"/>
  <c r="P7" i="127" s="1"/>
  <c r="P8" i="127" s="1"/>
  <c r="P9" i="127" s="1"/>
  <c r="P10" i="127" s="1"/>
  <c r="P11" i="127" s="1"/>
  <c r="P12" i="127" s="1"/>
  <c r="P13" i="127" s="1"/>
  <c r="P14" i="127" s="1"/>
  <c r="P15" i="127" s="1"/>
  <c r="P16" i="127" s="1"/>
  <c r="P17" i="127" s="1"/>
  <c r="P18" i="127" s="1"/>
  <c r="P19" i="127" s="1"/>
  <c r="P20" i="127" s="1"/>
  <c r="P21" i="127" s="1"/>
  <c r="P22" i="127" s="1"/>
  <c r="P23" i="127" s="1"/>
  <c r="P24" i="127" s="1"/>
  <c r="P25" i="127" s="1"/>
  <c r="P26" i="127" s="1"/>
  <c r="P27" i="127" s="1"/>
  <c r="P28" i="127" s="1"/>
  <c r="P29" i="127" s="1"/>
  <c r="P30" i="127" s="1"/>
  <c r="P31" i="127" s="1"/>
  <c r="P32" i="127" s="1"/>
  <c r="P33" i="127" s="1"/>
  <c r="P34" i="127" s="1"/>
  <c r="P35" i="127" s="1"/>
  <c r="P36" i="127" s="1"/>
  <c r="P37" i="127" s="1"/>
  <c r="P38" i="127" s="1"/>
  <c r="P39" i="127" s="1"/>
  <c r="P40" i="127" s="1"/>
  <c r="P41" i="127" s="1"/>
  <c r="P42" i="127" s="1"/>
  <c r="P43" i="127" s="1"/>
  <c r="P44" i="127" s="1"/>
  <c r="P45" i="127" s="1"/>
  <c r="P46" i="127" s="1"/>
  <c r="P47" i="127" s="1"/>
  <c r="P48" i="127" s="1"/>
  <c r="P49" i="127" s="1"/>
  <c r="P50" i="127" s="1"/>
  <c r="P51" i="127" s="1"/>
  <c r="P52" i="127" s="1"/>
  <c r="P53" i="127" s="1"/>
  <c r="P54" i="127" s="1"/>
  <c r="P55" i="127" s="1"/>
  <c r="P56" i="127" s="1"/>
  <c r="P57" i="127" s="1"/>
  <c r="P58" i="127" s="1"/>
  <c r="P59" i="127" s="1"/>
  <c r="P60" i="127" s="1"/>
  <c r="P61" i="127" s="1"/>
  <c r="P62" i="127" s="1"/>
  <c r="P63" i="127" s="1"/>
  <c r="P64" i="127" s="1"/>
  <c r="P65" i="127" s="1"/>
  <c r="P66" i="127" s="1"/>
  <c r="P67" i="127" s="1"/>
  <c r="P68" i="127" s="1"/>
  <c r="P69" i="127" s="1"/>
  <c r="P70" i="127" s="1"/>
  <c r="P71" i="127" s="1"/>
  <c r="P72" i="127" s="1"/>
  <c r="P73" i="127" s="1"/>
  <c r="P74" i="127" s="1"/>
  <c r="P75" i="127" s="1"/>
  <c r="P76" i="127" s="1"/>
  <c r="N3" i="127"/>
  <c r="N4" i="127" s="1"/>
  <c r="N5" i="127" s="1"/>
  <c r="N6" i="127" s="1"/>
  <c r="N7" i="127" s="1"/>
  <c r="N8" i="127" s="1"/>
  <c r="N9" i="127" s="1"/>
  <c r="N10" i="127" s="1"/>
  <c r="N11" i="127" s="1"/>
  <c r="N12" i="127" s="1"/>
  <c r="N13" i="127" s="1"/>
  <c r="N14" i="127" s="1"/>
  <c r="N15" i="127" s="1"/>
  <c r="N16" i="127" s="1"/>
  <c r="N17" i="127" s="1"/>
  <c r="N18" i="127" s="1"/>
  <c r="N19" i="127" s="1"/>
  <c r="N20" i="127" s="1"/>
  <c r="N21" i="127" s="1"/>
  <c r="N22" i="127" s="1"/>
  <c r="N23" i="127" s="1"/>
  <c r="N24" i="127" s="1"/>
  <c r="N25" i="127" s="1"/>
  <c r="N26" i="127" s="1"/>
  <c r="N27" i="127" s="1"/>
  <c r="N28" i="127" s="1"/>
  <c r="N29" i="127" s="1"/>
  <c r="N30" i="127" s="1"/>
  <c r="N31" i="127" s="1"/>
  <c r="N32" i="127" s="1"/>
  <c r="N33" i="127" s="1"/>
  <c r="N34" i="127" s="1"/>
  <c r="N35" i="127" s="1"/>
  <c r="N36" i="127" s="1"/>
  <c r="N37" i="127" s="1"/>
  <c r="N38" i="127" s="1"/>
  <c r="N39" i="127" s="1"/>
  <c r="N40" i="127" s="1"/>
  <c r="N41" i="127" s="1"/>
  <c r="N42" i="127" s="1"/>
  <c r="N43" i="127" s="1"/>
  <c r="N44" i="127" s="1"/>
  <c r="N45" i="127" s="1"/>
  <c r="N46" i="127" s="1"/>
  <c r="N47" i="127" s="1"/>
  <c r="N48" i="127" s="1"/>
  <c r="N49" i="127" s="1"/>
  <c r="N50" i="127" s="1"/>
  <c r="N51" i="127" s="1"/>
  <c r="N52" i="127" s="1"/>
  <c r="N53" i="127" s="1"/>
  <c r="N54" i="127" s="1"/>
  <c r="N55" i="127" s="1"/>
  <c r="N56" i="127" s="1"/>
  <c r="N57" i="127" s="1"/>
  <c r="N58" i="127" s="1"/>
  <c r="N59" i="127" s="1"/>
  <c r="N60" i="127" s="1"/>
  <c r="N61" i="127" s="1"/>
  <c r="N62" i="127" s="1"/>
  <c r="N63" i="127" s="1"/>
  <c r="N64" i="127" s="1"/>
  <c r="N65" i="127" s="1"/>
  <c r="N66" i="127" s="1"/>
  <c r="N67" i="127" s="1"/>
  <c r="N68" i="127" s="1"/>
  <c r="N69" i="127" s="1"/>
  <c r="N70" i="127" s="1"/>
  <c r="N71" i="127" s="1"/>
  <c r="N72" i="127" s="1"/>
  <c r="N73" i="127" s="1"/>
  <c r="N74" i="127" s="1"/>
  <c r="N75" i="127" s="1"/>
  <c r="N76" i="127" s="1"/>
  <c r="P3" i="100"/>
  <c r="P4" i="100" s="1"/>
  <c r="P5" i="100" s="1"/>
  <c r="P6" i="100" s="1"/>
  <c r="P7" i="100" s="1"/>
  <c r="P8" i="100" s="1"/>
  <c r="P9" i="100" s="1"/>
  <c r="P10" i="100" s="1"/>
  <c r="P11" i="100" s="1"/>
  <c r="P12" i="100" s="1"/>
  <c r="P13" i="100" s="1"/>
  <c r="P14" i="100" s="1"/>
  <c r="P15" i="100" s="1"/>
  <c r="P16" i="100" s="1"/>
  <c r="P17" i="100" s="1"/>
  <c r="P18" i="100" s="1"/>
  <c r="P19" i="100" s="1"/>
  <c r="P20" i="100" s="1"/>
  <c r="P21" i="100" s="1"/>
  <c r="P22" i="100" s="1"/>
  <c r="P23" i="100" s="1"/>
  <c r="P24" i="100" s="1"/>
  <c r="P25" i="100" s="1"/>
  <c r="P26" i="100" s="1"/>
  <c r="P27" i="100" s="1"/>
  <c r="P28" i="100" s="1"/>
  <c r="P29" i="100" s="1"/>
  <c r="P30" i="100" s="1"/>
  <c r="P31" i="100" s="1"/>
  <c r="P32" i="100" s="1"/>
  <c r="P33" i="100" s="1"/>
  <c r="P34" i="100" s="1"/>
  <c r="P35" i="100" s="1"/>
  <c r="P36" i="100" s="1"/>
  <c r="P37" i="100" s="1"/>
  <c r="P38" i="100" s="1"/>
  <c r="P39" i="100" s="1"/>
  <c r="P40" i="100" s="1"/>
  <c r="P41" i="100" s="1"/>
  <c r="P42" i="100" s="1"/>
  <c r="P43" i="100" s="1"/>
  <c r="P44" i="100" s="1"/>
  <c r="P45" i="100" s="1"/>
  <c r="P46" i="100" s="1"/>
  <c r="P47" i="100" s="1"/>
  <c r="P48" i="100" s="1"/>
  <c r="P49" i="100" s="1"/>
  <c r="P50" i="100" s="1"/>
  <c r="P51" i="100" s="1"/>
  <c r="P52" i="100" s="1"/>
  <c r="P53" i="100" s="1"/>
  <c r="P54" i="100" s="1"/>
  <c r="P55" i="100" s="1"/>
  <c r="P56" i="100" s="1"/>
  <c r="P57" i="100" s="1"/>
  <c r="P58" i="100" s="1"/>
  <c r="P59" i="100" s="1"/>
  <c r="P60" i="100" s="1"/>
  <c r="P61" i="100" s="1"/>
  <c r="P62" i="100" s="1"/>
  <c r="P63" i="100" s="1"/>
  <c r="P64" i="100" s="1"/>
  <c r="P65" i="100" s="1"/>
  <c r="P66" i="100" s="1"/>
  <c r="P67" i="100" s="1"/>
  <c r="P68" i="100" s="1"/>
  <c r="P69" i="100" s="1"/>
  <c r="P70" i="100" s="1"/>
  <c r="P71" i="100" s="1"/>
  <c r="P72" i="100" s="1"/>
  <c r="P73" i="100" s="1"/>
  <c r="P74" i="100" s="1"/>
  <c r="P75" i="100" s="1"/>
  <c r="P76" i="100" s="1"/>
  <c r="P77" i="100" s="1"/>
  <c r="P78" i="100" s="1"/>
  <c r="P79" i="100" s="1"/>
  <c r="P80" i="100" s="1"/>
  <c r="P81" i="100" s="1"/>
  <c r="P82" i="100" s="1"/>
  <c r="P83" i="100" s="1"/>
  <c r="P84" i="100" s="1"/>
  <c r="P85" i="100" s="1"/>
  <c r="P86" i="100" s="1"/>
  <c r="P87" i="100" s="1"/>
  <c r="P88" i="100" s="1"/>
  <c r="P89" i="100" s="1"/>
  <c r="P90" i="100" s="1"/>
  <c r="P91" i="100" s="1"/>
  <c r="P92" i="100" s="1"/>
  <c r="P93" i="100" s="1"/>
  <c r="P94" i="100" s="1"/>
  <c r="P95" i="100" s="1"/>
  <c r="P96" i="100" s="1"/>
  <c r="P97" i="100" s="1"/>
  <c r="P98" i="100" s="1"/>
  <c r="P99" i="100" s="1"/>
  <c r="P100" i="100" s="1"/>
  <c r="P101" i="100" s="1"/>
  <c r="P102" i="100" s="1"/>
  <c r="P103" i="100" s="1"/>
  <c r="P104" i="100" s="1"/>
  <c r="P105" i="100" s="1"/>
  <c r="P106" i="100" s="1"/>
  <c r="P107" i="100" s="1"/>
  <c r="P108" i="100" s="1"/>
  <c r="P109" i="100" s="1"/>
  <c r="P110" i="100" s="1"/>
  <c r="P111" i="100" s="1"/>
  <c r="P112" i="100" s="1"/>
  <c r="P113" i="100" s="1"/>
  <c r="P114" i="100" s="1"/>
  <c r="P115" i="100" s="1"/>
  <c r="P116" i="100" s="1"/>
  <c r="P117" i="100" s="1"/>
  <c r="P118" i="100" s="1"/>
  <c r="P119" i="100" s="1"/>
  <c r="P120" i="100" s="1"/>
  <c r="P121" i="100" s="1"/>
  <c r="P122" i="100" s="1"/>
  <c r="P123" i="100" s="1"/>
  <c r="P124" i="100" s="1"/>
  <c r="P125" i="100" s="1"/>
  <c r="P126" i="100" s="1"/>
  <c r="P127" i="100" s="1"/>
  <c r="P128" i="100" s="1"/>
  <c r="P129" i="100" s="1"/>
  <c r="P130" i="100" s="1"/>
  <c r="O2" i="90"/>
  <c r="A3" i="100"/>
  <c r="A4" i="100" s="1"/>
  <c r="A5" i="100" s="1"/>
  <c r="A6" i="100" s="1"/>
  <c r="A7" i="100" s="1"/>
  <c r="A8" i="100" s="1"/>
  <c r="A9" i="100" s="1"/>
  <c r="A10" i="100" s="1"/>
  <c r="A11" i="100" s="1"/>
  <c r="A12" i="100" s="1"/>
  <c r="A13" i="100" s="1"/>
  <c r="A14" i="100" s="1"/>
  <c r="A15" i="100" s="1"/>
  <c r="A16" i="100" s="1"/>
  <c r="A17" i="100" s="1"/>
  <c r="A18" i="100" s="1"/>
  <c r="A19" i="100" s="1"/>
  <c r="A20" i="100" s="1"/>
  <c r="A21" i="100" s="1"/>
  <c r="A22" i="100" s="1"/>
  <c r="A23" i="100" s="1"/>
  <c r="A24" i="100" s="1"/>
  <c r="A25" i="100" s="1"/>
  <c r="A26" i="100" s="1"/>
  <c r="A27" i="100" s="1"/>
  <c r="A28" i="100" s="1"/>
  <c r="A29" i="100" s="1"/>
  <c r="A30" i="100" s="1"/>
  <c r="A31" i="100" s="1"/>
  <c r="A32" i="100" s="1"/>
  <c r="A33" i="100" s="1"/>
  <c r="A34" i="100" s="1"/>
  <c r="A35" i="100" s="1"/>
  <c r="A36" i="100" s="1"/>
  <c r="A37" i="100" s="1"/>
  <c r="A38" i="100" s="1"/>
  <c r="A39" i="100" s="1"/>
  <c r="A40" i="100" s="1"/>
  <c r="A41" i="100" s="1"/>
  <c r="A42" i="100" s="1"/>
  <c r="A43" i="100" s="1"/>
  <c r="A44" i="100" s="1"/>
  <c r="A45" i="100" s="1"/>
  <c r="A46" i="100" s="1"/>
  <c r="A47" i="100" s="1"/>
  <c r="A48" i="100" s="1"/>
  <c r="A49" i="100" s="1"/>
  <c r="A50" i="100" s="1"/>
  <c r="A51" i="100" s="1"/>
  <c r="A52" i="100" s="1"/>
  <c r="A53" i="100" s="1"/>
  <c r="A54" i="100" s="1"/>
  <c r="A55" i="100" s="1"/>
  <c r="A56" i="100" s="1"/>
  <c r="A57" i="100" s="1"/>
  <c r="A58" i="100" s="1"/>
  <c r="A59" i="100" s="1"/>
  <c r="A60" i="100" s="1"/>
  <c r="A61" i="100" s="1"/>
  <c r="A62" i="100" s="1"/>
  <c r="A63" i="100" s="1"/>
  <c r="A64" i="100" s="1"/>
  <c r="A65" i="100" s="1"/>
  <c r="A66" i="100" s="1"/>
  <c r="A67" i="100" s="1"/>
  <c r="A68" i="100" s="1"/>
  <c r="A69" i="100" s="1"/>
  <c r="A70" i="100" s="1"/>
  <c r="A71" i="100" s="1"/>
  <c r="A72" i="100" s="1"/>
  <c r="A73" i="100" s="1"/>
  <c r="A74" i="100" s="1"/>
  <c r="A75" i="100" s="1"/>
  <c r="A76" i="100" s="1"/>
  <c r="A77" i="100" s="1"/>
  <c r="A78" i="100" s="1"/>
  <c r="A79" i="100" s="1"/>
  <c r="A80" i="100" s="1"/>
  <c r="A81" i="100" s="1"/>
  <c r="A82" i="100" s="1"/>
  <c r="A83" i="100" s="1"/>
  <c r="A84" i="100" s="1"/>
  <c r="A85" i="100" s="1"/>
  <c r="A86" i="100" s="1"/>
  <c r="A87" i="100" s="1"/>
  <c r="A88" i="100" s="1"/>
  <c r="A89" i="100" s="1"/>
  <c r="A90" i="100" s="1"/>
  <c r="A91" i="100" s="1"/>
  <c r="A92" i="100" s="1"/>
  <c r="A93" i="100" s="1"/>
  <c r="A94" i="100" s="1"/>
  <c r="A95" i="100" s="1"/>
  <c r="A96" i="100" s="1"/>
  <c r="A97" i="100" s="1"/>
  <c r="A98" i="100" s="1"/>
  <c r="A99" i="100" s="1"/>
  <c r="A100" i="100" s="1"/>
  <c r="A101" i="100" s="1"/>
  <c r="A102" i="100" s="1"/>
  <c r="A103" i="100" s="1"/>
  <c r="A104" i="100" s="1"/>
  <c r="A105" i="100" s="1"/>
  <c r="A106" i="100" s="1"/>
  <c r="A107" i="100" s="1"/>
  <c r="A108" i="100" s="1"/>
  <c r="A109" i="100" s="1"/>
  <c r="A110" i="100" s="1"/>
  <c r="A111" i="100" s="1"/>
  <c r="A112" i="100" s="1"/>
  <c r="A113" i="100" s="1"/>
  <c r="A114" i="100" s="1"/>
  <c r="A115" i="100" s="1"/>
  <c r="A116" i="100" s="1"/>
  <c r="A117" i="100" s="1"/>
  <c r="A118" i="100" s="1"/>
  <c r="A119" i="100" s="1"/>
  <c r="A120" i="100" s="1"/>
  <c r="A121" i="100" s="1"/>
  <c r="A122" i="100" s="1"/>
  <c r="A123" i="100" s="1"/>
  <c r="A124" i="100" s="1"/>
  <c r="A125" i="100" s="1"/>
  <c r="A126" i="100" s="1"/>
  <c r="A127" i="100" s="1"/>
  <c r="A128" i="100" s="1"/>
  <c r="A129" i="100" s="1"/>
  <c r="A130" i="100" s="1"/>
  <c r="O3" i="90"/>
  <c r="O4" i="90"/>
  <c r="O5" i="90"/>
  <c r="O6" i="90"/>
  <c r="O7" i="90"/>
  <c r="O8" i="90"/>
  <c r="O9" i="90"/>
  <c r="O10" i="90"/>
  <c r="O11" i="90"/>
  <c r="O12" i="90"/>
  <c r="O13" i="90"/>
  <c r="O14" i="90"/>
  <c r="O15" i="90"/>
  <c r="O16" i="90"/>
  <c r="O17" i="90"/>
  <c r="O18" i="90"/>
  <c r="O19" i="90"/>
  <c r="O20" i="90"/>
  <c r="O21" i="90"/>
  <c r="O22" i="90"/>
  <c r="O23" i="90"/>
  <c r="O24" i="90"/>
  <c r="O25" i="90"/>
  <c r="O26" i="90"/>
  <c r="O27" i="90"/>
  <c r="O28" i="90"/>
  <c r="O29" i="90"/>
  <c r="O30" i="90"/>
  <c r="O31" i="90"/>
  <c r="O32" i="90"/>
  <c r="O33" i="90"/>
  <c r="O34" i="90"/>
  <c r="O35" i="90"/>
  <c r="O36" i="90"/>
  <c r="O37" i="90"/>
  <c r="O38" i="90"/>
  <c r="O39" i="90"/>
  <c r="O40" i="90"/>
  <c r="O41" i="90"/>
  <c r="O42" i="90"/>
  <c r="O43" i="90"/>
  <c r="O44" i="90"/>
  <c r="O45" i="90"/>
  <c r="O46" i="90"/>
  <c r="O47" i="90"/>
  <c r="O48" i="90"/>
  <c r="O49" i="90"/>
  <c r="O50" i="90"/>
  <c r="O51" i="90"/>
  <c r="O52" i="90"/>
  <c r="O53" i="90"/>
  <c r="O54" i="90"/>
  <c r="O55" i="90"/>
  <c r="O56" i="90"/>
  <c r="O57" i="90"/>
  <c r="O58" i="90"/>
  <c r="O59" i="90"/>
  <c r="O60" i="90"/>
  <c r="O61" i="90"/>
  <c r="O62" i="90"/>
  <c r="O63" i="90"/>
  <c r="O64" i="90"/>
  <c r="O65" i="90"/>
  <c r="O66" i="90"/>
  <c r="O67" i="90"/>
  <c r="O68" i="90"/>
  <c r="O69" i="90"/>
  <c r="O70" i="90"/>
  <c r="O71" i="90"/>
  <c r="O72" i="90"/>
  <c r="O73" i="90"/>
  <c r="O74" i="90"/>
  <c r="O75" i="90"/>
  <c r="O76" i="90"/>
  <c r="O77" i="90"/>
  <c r="O78" i="90"/>
  <c r="O79" i="90"/>
  <c r="O80" i="90"/>
  <c r="O81" i="90"/>
  <c r="O82" i="90"/>
  <c r="O83" i="90"/>
  <c r="O84" i="90"/>
  <c r="O85" i="90"/>
  <c r="O86" i="90"/>
  <c r="O87" i="90"/>
  <c r="O88" i="90"/>
  <c r="O89" i="90"/>
  <c r="O90" i="90"/>
  <c r="O91" i="90"/>
  <c r="O92" i="90"/>
  <c r="O93" i="90"/>
  <c r="O94" i="90"/>
  <c r="O95" i="90"/>
  <c r="O96" i="90"/>
  <c r="O97" i="90"/>
  <c r="O98" i="90"/>
  <c r="O99" i="90"/>
  <c r="O100" i="90"/>
  <c r="O101" i="90"/>
  <c r="O102" i="90"/>
  <c r="O103" i="90"/>
  <c r="O104" i="90"/>
  <c r="O105" i="90"/>
  <c r="O106" i="90"/>
  <c r="O107" i="90"/>
  <c r="O108" i="90"/>
  <c r="O109" i="90"/>
  <c r="O110" i="90"/>
  <c r="O111" i="90"/>
  <c r="O112" i="90"/>
  <c r="O113" i="90"/>
  <c r="O114" i="90"/>
  <c r="O115" i="90"/>
  <c r="O116" i="90"/>
  <c r="O117" i="90"/>
  <c r="O118" i="90"/>
  <c r="O119" i="90"/>
  <c r="O120" i="90"/>
  <c r="O121" i="90"/>
  <c r="O122" i="90"/>
  <c r="O123" i="90"/>
  <c r="O124" i="90"/>
  <c r="O125" i="90"/>
  <c r="O126" i="90"/>
  <c r="O127" i="90"/>
  <c r="O128" i="90"/>
  <c r="O129" i="90"/>
  <c r="O130" i="90"/>
  <c r="O131" i="90"/>
  <c r="O132" i="90"/>
  <c r="O133" i="90"/>
  <c r="O134" i="90"/>
  <c r="O135" i="90"/>
  <c r="O136" i="90"/>
  <c r="O137" i="90"/>
  <c r="O138" i="90"/>
  <c r="O139" i="90"/>
  <c r="O140" i="90"/>
  <c r="O141" i="90"/>
  <c r="O142" i="90"/>
  <c r="O143" i="90"/>
  <c r="O144" i="90"/>
  <c r="O145" i="90"/>
  <c r="O146" i="90"/>
  <c r="O147" i="90"/>
  <c r="O148" i="90"/>
  <c r="O149" i="90"/>
  <c r="O150" i="90"/>
  <c r="O151" i="90"/>
  <c r="O152" i="90"/>
  <c r="O153" i="90"/>
  <c r="O154" i="90"/>
  <c r="O155" i="90"/>
  <c r="O156" i="90"/>
  <c r="O157" i="90"/>
  <c r="O158" i="90"/>
  <c r="O159" i="90"/>
  <c r="O160" i="90"/>
  <c r="O161" i="90"/>
  <c r="O162" i="90"/>
  <c r="O163" i="90"/>
  <c r="O164" i="90"/>
  <c r="O165" i="90"/>
  <c r="O166" i="90"/>
  <c r="O167" i="90"/>
  <c r="O168" i="90"/>
  <c r="O169" i="90"/>
  <c r="O170" i="90"/>
  <c r="O171" i="90"/>
  <c r="O172" i="90"/>
  <c r="O173" i="90"/>
  <c r="O174" i="90"/>
  <c r="O175" i="90"/>
  <c r="O176" i="90"/>
  <c r="O177" i="90"/>
  <c r="O178" i="90"/>
  <c r="O179" i="90"/>
  <c r="O180" i="90"/>
  <c r="O181" i="90"/>
  <c r="O182" i="90"/>
  <c r="O183" i="90"/>
  <c r="O184" i="90"/>
  <c r="O185" i="90"/>
  <c r="O186" i="90"/>
  <c r="O187" i="90"/>
  <c r="O188" i="90"/>
  <c r="O189" i="90"/>
  <c r="O190" i="90"/>
  <c r="O191" i="90"/>
  <c r="O192" i="90"/>
  <c r="O193" i="90"/>
  <c r="O194" i="90"/>
  <c r="O195" i="90"/>
  <c r="O196" i="90"/>
  <c r="O197" i="90"/>
  <c r="O198" i="90"/>
  <c r="O199" i="90"/>
  <c r="O200" i="90"/>
  <c r="O201" i="90"/>
  <c r="O202" i="90"/>
  <c r="O203" i="90"/>
  <c r="O204" i="90"/>
  <c r="O205" i="90"/>
  <c r="O206" i="90"/>
  <c r="O207" i="90"/>
  <c r="O208" i="90"/>
  <c r="O209" i="90"/>
  <c r="O210" i="90"/>
  <c r="O211" i="90"/>
  <c r="O212" i="90"/>
  <c r="O213" i="90"/>
  <c r="O214" i="90"/>
  <c r="O215" i="90"/>
  <c r="O216" i="90"/>
  <c r="O217" i="90"/>
  <c r="O218" i="90"/>
  <c r="O219" i="90"/>
  <c r="O220" i="90"/>
  <c r="O221" i="90"/>
  <c r="O222" i="90"/>
  <c r="O223" i="90"/>
  <c r="O224" i="90"/>
  <c r="O225" i="90"/>
  <c r="O226" i="90"/>
  <c r="O227" i="90"/>
  <c r="O228" i="90"/>
  <c r="O229" i="90"/>
  <c r="O230" i="90"/>
  <c r="O231" i="90"/>
  <c r="O232" i="90"/>
  <c r="O233" i="90"/>
  <c r="O234" i="90"/>
  <c r="O235" i="90"/>
  <c r="O236" i="90"/>
  <c r="O237" i="90"/>
  <c r="O238" i="90"/>
  <c r="O239" i="90"/>
  <c r="O240" i="90"/>
  <c r="O241" i="90"/>
  <c r="O242" i="90"/>
  <c r="O243" i="90"/>
  <c r="O244" i="90"/>
  <c r="O245" i="90"/>
  <c r="O246" i="90"/>
  <c r="O247" i="90"/>
  <c r="O248" i="90"/>
  <c r="O249" i="90"/>
  <c r="O250" i="90"/>
  <c r="O251" i="90"/>
  <c r="O252" i="90"/>
  <c r="O253" i="90"/>
  <c r="O254" i="90"/>
  <c r="O255" i="90"/>
  <c r="O256" i="90"/>
  <c r="O257" i="90"/>
  <c r="O258" i="90"/>
  <c r="O259" i="90"/>
  <c r="O260" i="90"/>
  <c r="O261" i="90"/>
  <c r="O262" i="90"/>
  <c r="O263" i="90"/>
  <c r="O264" i="90"/>
  <c r="O265" i="90"/>
  <c r="O266" i="90"/>
  <c r="O267" i="90"/>
  <c r="O268" i="90"/>
  <c r="O269" i="90"/>
  <c r="O270" i="90"/>
  <c r="O271" i="90"/>
  <c r="O272" i="90"/>
  <c r="O273" i="90"/>
  <c r="O274" i="90"/>
  <c r="O275" i="90"/>
  <c r="O276" i="90"/>
  <c r="O277" i="90"/>
  <c r="O278" i="90"/>
  <c r="O279" i="90"/>
  <c r="O280" i="90"/>
  <c r="O281" i="90"/>
  <c r="O282" i="90"/>
  <c r="O283" i="90"/>
  <c r="O284" i="90"/>
  <c r="O285" i="90"/>
  <c r="O286" i="90"/>
  <c r="O287" i="90"/>
  <c r="O288" i="90"/>
  <c r="O289" i="90"/>
  <c r="O290" i="90"/>
  <c r="O291" i="90"/>
  <c r="O292" i="90"/>
  <c r="O293" i="90"/>
  <c r="O294" i="90"/>
  <c r="O295" i="90"/>
  <c r="O296" i="90"/>
  <c r="O297" i="90"/>
  <c r="O298" i="90"/>
  <c r="O299" i="90"/>
  <c r="O300" i="90"/>
  <c r="O301" i="90"/>
  <c r="O302" i="90"/>
  <c r="O303" i="90"/>
  <c r="O304" i="90"/>
  <c r="O305" i="90"/>
  <c r="O306" i="90"/>
  <c r="O307" i="90"/>
  <c r="O308" i="90"/>
  <c r="O309" i="90"/>
  <c r="O310" i="90"/>
  <c r="O311" i="90"/>
  <c r="O312" i="90"/>
  <c r="O313" i="90"/>
  <c r="O314" i="90"/>
  <c r="O315" i="90"/>
  <c r="O316" i="90"/>
  <c r="O317" i="90"/>
  <c r="O318" i="90"/>
  <c r="O319" i="90"/>
  <c r="O320" i="90"/>
  <c r="O321" i="90"/>
  <c r="O322" i="90"/>
  <c r="O323" i="90"/>
  <c r="O324" i="90"/>
  <c r="O325" i="90"/>
  <c r="O326" i="90"/>
  <c r="O327" i="90"/>
  <c r="O328" i="90"/>
  <c r="O329" i="90"/>
  <c r="O330" i="90"/>
  <c r="O331" i="90"/>
  <c r="O332" i="90"/>
  <c r="O333" i="90"/>
  <c r="O334" i="90"/>
  <c r="O335" i="90"/>
  <c r="O336" i="90"/>
  <c r="O337" i="90"/>
  <c r="O338" i="90"/>
  <c r="O339" i="90"/>
  <c r="O340" i="90"/>
  <c r="O341" i="90"/>
  <c r="O342" i="90"/>
  <c r="O343" i="90"/>
  <c r="O344" i="90"/>
  <c r="O345" i="90"/>
  <c r="O346" i="90"/>
  <c r="O347" i="90"/>
  <c r="O348" i="90"/>
  <c r="O349" i="90"/>
  <c r="O350" i="90"/>
  <c r="O351" i="90"/>
  <c r="O4" i="133"/>
  <c r="O5" i="133" s="1"/>
  <c r="O6" i="133" s="1"/>
  <c r="O7" i="133" s="1"/>
  <c r="O8" i="133" s="1"/>
  <c r="O9" i="133" s="1"/>
  <c r="O10" i="133" s="1"/>
  <c r="O11" i="133" s="1"/>
  <c r="O12" i="133" s="1"/>
  <c r="O13" i="133" s="1"/>
  <c r="O14" i="133" s="1"/>
  <c r="O15" i="133" s="1"/>
  <c r="O16" i="133" s="1"/>
  <c r="O17" i="133" s="1"/>
  <c r="O18" i="133" s="1"/>
  <c r="O19" i="133" s="1"/>
  <c r="O20" i="133" s="1"/>
  <c r="O21" i="133" s="1"/>
  <c r="O22" i="133" s="1"/>
  <c r="O23" i="133" s="1"/>
  <c r="O24" i="133" s="1"/>
  <c r="O25" i="133" s="1"/>
  <c r="O3" i="133"/>
  <c r="P4" i="133"/>
  <c r="P5" i="133" s="1"/>
  <c r="P6" i="133" s="1"/>
  <c r="P7" i="133" s="1"/>
  <c r="P8" i="133" s="1"/>
  <c r="P9" i="133" s="1"/>
  <c r="P10" i="133" s="1"/>
  <c r="P11" i="133" s="1"/>
  <c r="P12" i="133" s="1"/>
  <c r="P13" i="133" s="1"/>
  <c r="P14" i="133" s="1"/>
  <c r="P15" i="133" s="1"/>
  <c r="P16" i="133" s="1"/>
  <c r="P17" i="133" s="1"/>
  <c r="P18" i="133" s="1"/>
  <c r="P19" i="133" s="1"/>
  <c r="P20" i="133" s="1"/>
  <c r="P21" i="133" s="1"/>
  <c r="P22" i="133" s="1"/>
  <c r="P23" i="133" s="1"/>
  <c r="P24" i="133" s="1"/>
  <c r="P25" i="133" s="1"/>
  <c r="P3" i="133"/>
  <c r="A4" i="133"/>
  <c r="A5" i="133"/>
  <c r="A6" i="133" s="1"/>
  <c r="A7" i="133" s="1"/>
  <c r="A8" i="133" s="1"/>
  <c r="A9" i="133" s="1"/>
  <c r="A10" i="133" s="1"/>
  <c r="A11" i="133" s="1"/>
  <c r="A12" i="133" s="1"/>
  <c r="A13" i="133" s="1"/>
  <c r="A14" i="133" s="1"/>
  <c r="A15" i="133" s="1"/>
  <c r="A16" i="133" s="1"/>
  <c r="A17" i="133" s="1"/>
  <c r="A18" i="133" s="1"/>
  <c r="A19" i="133" s="1"/>
  <c r="A20" i="133" s="1"/>
  <c r="A21" i="133" s="1"/>
  <c r="A22" i="133" s="1"/>
  <c r="A23" i="133" s="1"/>
  <c r="A24" i="133" s="1"/>
  <c r="A25" i="133" s="1"/>
  <c r="A3" i="133"/>
  <c r="A3" i="152" l="1"/>
  <c r="A4" i="152" s="1"/>
  <c r="A5" i="152" s="1"/>
  <c r="A6" i="152" s="1"/>
  <c r="A7" i="152" s="1"/>
  <c r="A8" i="152" s="1"/>
  <c r="A9" i="152" s="1"/>
  <c r="A10" i="152" s="1"/>
  <c r="A11" i="152" s="1"/>
  <c r="A12" i="152" s="1"/>
  <c r="A13" i="152" s="1"/>
  <c r="A14" i="152" s="1"/>
  <c r="A15" i="152" s="1"/>
  <c r="A16" i="152" s="1"/>
  <c r="A17" i="152" s="1"/>
  <c r="C3" i="152"/>
  <c r="C4" i="152" s="1"/>
  <c r="C5" i="152" s="1"/>
  <c r="C6" i="152" s="1"/>
  <c r="C7" i="152" s="1"/>
  <c r="C8" i="152" s="1"/>
  <c r="C9" i="152" s="1"/>
  <c r="C10" i="152" s="1"/>
  <c r="C11" i="152" s="1"/>
  <c r="C12" i="152" s="1"/>
  <c r="C13" i="152" s="1"/>
  <c r="C14" i="152" s="1"/>
  <c r="C15" i="152" s="1"/>
  <c r="C16" i="152" s="1"/>
  <c r="C17" i="152" s="1"/>
  <c r="B3" i="152"/>
  <c r="B4" i="152" s="1"/>
  <c r="B5" i="152" s="1"/>
  <c r="B6" i="152" s="1"/>
  <c r="B7" i="152" s="1"/>
  <c r="B8" i="152" s="1"/>
  <c r="B9" i="152" s="1"/>
  <c r="B10" i="152" s="1"/>
  <c r="B11" i="152" s="1"/>
  <c r="B12" i="152" s="1"/>
  <c r="B13" i="152" s="1"/>
  <c r="B14" i="152" s="1"/>
  <c r="B15" i="152" s="1"/>
  <c r="B16" i="152" s="1"/>
  <c r="B17" i="152" s="1"/>
  <c r="P3" i="136" l="1"/>
  <c r="P4" i="136" s="1"/>
  <c r="P5" i="136" s="1"/>
  <c r="P6" i="136" s="1"/>
  <c r="P7" i="136" s="1"/>
  <c r="P8" i="136" s="1"/>
  <c r="P9" i="136" s="1"/>
  <c r="P10" i="136" s="1"/>
  <c r="P11" i="136" s="1"/>
  <c r="P12" i="136" s="1"/>
  <c r="P13" i="136" s="1"/>
  <c r="P14" i="136" s="1"/>
  <c r="P15" i="136" s="1"/>
  <c r="P16" i="136" s="1"/>
  <c r="P17" i="136" s="1"/>
  <c r="P18" i="136" s="1"/>
  <c r="P19" i="136" s="1"/>
  <c r="P20" i="136" s="1"/>
  <c r="P21" i="136" s="1"/>
  <c r="P22" i="136" s="1"/>
  <c r="P23" i="136" s="1"/>
  <c r="P24" i="136" s="1"/>
  <c r="P25" i="136" s="1"/>
  <c r="N3" i="136"/>
  <c r="N4" i="136" s="1"/>
  <c r="N5" i="136" s="1"/>
  <c r="N6" i="136" s="1"/>
  <c r="N7" i="136" s="1"/>
  <c r="N8" i="136" s="1"/>
  <c r="N9" i="136" s="1"/>
  <c r="N10" i="136" s="1"/>
  <c r="N11" i="136" s="1"/>
  <c r="N12" i="136" s="1"/>
  <c r="N13" i="136" s="1"/>
  <c r="N14" i="136" s="1"/>
  <c r="N15" i="136" s="1"/>
  <c r="N16" i="136" s="1"/>
  <c r="N17" i="136" s="1"/>
  <c r="N18" i="136" s="1"/>
  <c r="N19" i="136" s="1"/>
  <c r="N20" i="136" s="1"/>
  <c r="N21" i="136" s="1"/>
  <c r="N22" i="136" s="1"/>
  <c r="N23" i="136" s="1"/>
  <c r="N24" i="136" s="1"/>
  <c r="N25" i="136" s="1"/>
  <c r="A3" i="136"/>
  <c r="A4" i="136" s="1"/>
  <c r="A5" i="136" s="1"/>
  <c r="A6" i="136" s="1"/>
  <c r="A7" i="136" s="1"/>
  <c r="A8" i="136" s="1"/>
  <c r="A9" i="136" s="1"/>
  <c r="A10" i="136" s="1"/>
  <c r="A11" i="136" s="1"/>
  <c r="A12" i="136" s="1"/>
  <c r="A13" i="136" s="1"/>
  <c r="A14" i="136" s="1"/>
  <c r="A15" i="136" s="1"/>
  <c r="A16" i="136" s="1"/>
  <c r="A17" i="136" s="1"/>
  <c r="A18" i="136" s="1"/>
  <c r="A19" i="136" s="1"/>
  <c r="A20" i="136" s="1"/>
  <c r="A21" i="136" s="1"/>
  <c r="A22" i="136" s="1"/>
  <c r="A23" i="136" s="1"/>
  <c r="A24" i="136" s="1"/>
  <c r="A25" i="136" s="1"/>
  <c r="P3" i="135"/>
  <c r="P4" i="135" s="1"/>
  <c r="P5" i="135" s="1"/>
  <c r="P6" i="135" s="1"/>
  <c r="P7" i="135" s="1"/>
  <c r="P8" i="135" s="1"/>
  <c r="P9" i="135" s="1"/>
  <c r="P10" i="135" s="1"/>
  <c r="P11" i="135" s="1"/>
  <c r="P12" i="135" s="1"/>
  <c r="P13" i="135" s="1"/>
  <c r="P14" i="135" s="1"/>
  <c r="P15" i="135" s="1"/>
  <c r="P16" i="135" s="1"/>
  <c r="P17" i="135" s="1"/>
  <c r="P18" i="135" s="1"/>
  <c r="P19" i="135" s="1"/>
  <c r="N3" i="135"/>
  <c r="N4" i="135" s="1"/>
  <c r="N5" i="135" s="1"/>
  <c r="N6" i="135" s="1"/>
  <c r="N7" i="135" s="1"/>
  <c r="N8" i="135" s="1"/>
  <c r="N9" i="135" s="1"/>
  <c r="N10" i="135" s="1"/>
  <c r="N11" i="135" s="1"/>
  <c r="N12" i="135" s="1"/>
  <c r="N13" i="135" s="1"/>
  <c r="N14" i="135" s="1"/>
  <c r="N15" i="135" s="1"/>
  <c r="N16" i="135" s="1"/>
  <c r="N17" i="135" s="1"/>
  <c r="N18" i="135" s="1"/>
  <c r="N19" i="135" s="1"/>
  <c r="O311" i="142"/>
  <c r="O312" i="142"/>
  <c r="O313" i="142"/>
  <c r="O314" i="142"/>
  <c r="O315" i="142"/>
  <c r="O316" i="142"/>
  <c r="O317" i="142"/>
  <c r="O318" i="142"/>
  <c r="O319" i="142"/>
  <c r="O320" i="142"/>
  <c r="O321" i="142"/>
  <c r="O322" i="142"/>
  <c r="O323" i="142"/>
  <c r="O324" i="142"/>
  <c r="O325" i="142"/>
  <c r="O326" i="142"/>
  <c r="O327" i="142"/>
  <c r="O328" i="142"/>
  <c r="O329" i="142"/>
  <c r="O330" i="142"/>
  <c r="O331" i="142"/>
  <c r="O332" i="142"/>
  <c r="O333" i="142"/>
  <c r="O334" i="142"/>
  <c r="O335" i="142"/>
  <c r="O336" i="142"/>
  <c r="O337" i="142"/>
  <c r="O338" i="142"/>
  <c r="O339" i="142"/>
  <c r="O340" i="142"/>
  <c r="O341" i="142"/>
  <c r="O342" i="142"/>
  <c r="O343" i="142"/>
  <c r="O344" i="142"/>
  <c r="O345" i="142"/>
  <c r="O3" i="142"/>
  <c r="O4" i="142"/>
  <c r="O5" i="142"/>
  <c r="O6" i="142"/>
  <c r="O7" i="142"/>
  <c r="O8" i="142"/>
  <c r="O9" i="142"/>
  <c r="O10" i="142"/>
  <c r="O11" i="142"/>
  <c r="O12" i="142"/>
  <c r="O13" i="142"/>
  <c r="O14" i="142"/>
  <c r="O15" i="142"/>
  <c r="O16" i="142"/>
  <c r="O17" i="142"/>
  <c r="O18" i="142"/>
  <c r="O19" i="142"/>
  <c r="O20" i="142"/>
  <c r="O21" i="142"/>
  <c r="O22" i="142"/>
  <c r="O23" i="142"/>
  <c r="O24" i="142"/>
  <c r="O25" i="142"/>
  <c r="O26" i="142"/>
  <c r="O27" i="142"/>
  <c r="O28" i="142"/>
  <c r="O29" i="142"/>
  <c r="O30" i="142"/>
  <c r="O31" i="142"/>
  <c r="O32" i="142"/>
  <c r="O33" i="142"/>
  <c r="O34" i="142"/>
  <c r="O35" i="142"/>
  <c r="O36" i="142"/>
  <c r="O37" i="142"/>
  <c r="O38" i="142"/>
  <c r="O39" i="142"/>
  <c r="O40" i="142"/>
  <c r="O41" i="142"/>
  <c r="O42" i="142"/>
  <c r="O43" i="142"/>
  <c r="O44" i="142"/>
  <c r="O45" i="142"/>
  <c r="O46" i="142"/>
  <c r="O47" i="142"/>
  <c r="O48" i="142"/>
  <c r="O49" i="142"/>
  <c r="O50" i="142"/>
  <c r="O51" i="142"/>
  <c r="O52" i="142"/>
  <c r="O53" i="142"/>
  <c r="O54" i="142"/>
  <c r="O55" i="142"/>
  <c r="O56" i="142"/>
  <c r="O57" i="142"/>
  <c r="O58" i="142"/>
  <c r="O59" i="142"/>
  <c r="O60" i="142"/>
  <c r="O61" i="142"/>
  <c r="O62" i="142"/>
  <c r="O63" i="142"/>
  <c r="O64" i="142"/>
  <c r="O65" i="142"/>
  <c r="O66" i="142"/>
  <c r="O67" i="142"/>
  <c r="O68" i="142"/>
  <c r="O69" i="142"/>
  <c r="O70" i="142"/>
  <c r="O71" i="142"/>
  <c r="O72" i="142"/>
  <c r="O73" i="142"/>
  <c r="O74" i="142"/>
  <c r="O75" i="142"/>
  <c r="O76" i="142"/>
  <c r="O77" i="142"/>
  <c r="O78" i="142"/>
  <c r="O79" i="142"/>
  <c r="O80" i="142"/>
  <c r="O81" i="142"/>
  <c r="O82" i="142"/>
  <c r="O83" i="142"/>
  <c r="O84" i="142"/>
  <c r="O85" i="142"/>
  <c r="O86" i="142"/>
  <c r="O87" i="142"/>
  <c r="O88" i="142"/>
  <c r="O89" i="142"/>
  <c r="O90" i="142"/>
  <c r="O91" i="142"/>
  <c r="O92" i="142"/>
  <c r="O93" i="142"/>
  <c r="O94" i="142"/>
  <c r="O95" i="142"/>
  <c r="O96" i="142"/>
  <c r="O97" i="142"/>
  <c r="O98" i="142"/>
  <c r="O99" i="142"/>
  <c r="O100" i="142"/>
  <c r="O101" i="142"/>
  <c r="O102" i="142"/>
  <c r="O103" i="142"/>
  <c r="O104" i="142"/>
  <c r="O105" i="142"/>
  <c r="O106" i="142"/>
  <c r="O107" i="142"/>
  <c r="O108" i="142"/>
  <c r="O109" i="142"/>
  <c r="O110" i="142"/>
  <c r="O111" i="142"/>
  <c r="O112" i="142"/>
  <c r="O113" i="142"/>
  <c r="O114" i="142"/>
  <c r="O115" i="142"/>
  <c r="O116" i="142"/>
  <c r="O117" i="142"/>
  <c r="O118" i="142"/>
  <c r="O119" i="142"/>
  <c r="O120" i="142"/>
  <c r="O121" i="142"/>
  <c r="O122" i="142"/>
  <c r="O123" i="142"/>
  <c r="O124" i="142"/>
  <c r="O125" i="142"/>
  <c r="O126" i="142"/>
  <c r="O127" i="142"/>
  <c r="O128" i="142"/>
  <c r="O129" i="142"/>
  <c r="O130" i="142"/>
  <c r="O131" i="142"/>
  <c r="O132" i="142"/>
  <c r="O133" i="142"/>
  <c r="O134" i="142"/>
  <c r="O135" i="142"/>
  <c r="O136" i="142"/>
  <c r="O137" i="142"/>
  <c r="O138" i="142"/>
  <c r="O139" i="142"/>
  <c r="O140" i="142"/>
  <c r="O141" i="142"/>
  <c r="O142" i="142"/>
  <c r="O143" i="142"/>
  <c r="O144" i="142"/>
  <c r="O145" i="142"/>
  <c r="O146" i="142"/>
  <c r="O147" i="142"/>
  <c r="O148" i="142"/>
  <c r="O149" i="142"/>
  <c r="O150" i="142"/>
  <c r="O151" i="142"/>
  <c r="O152" i="142"/>
  <c r="O153" i="142"/>
  <c r="O154" i="142"/>
  <c r="O155" i="142"/>
  <c r="O156" i="142"/>
  <c r="O157" i="142"/>
  <c r="O158" i="142"/>
  <c r="O159" i="142"/>
  <c r="O160" i="142"/>
  <c r="O161" i="142"/>
  <c r="O162" i="142"/>
  <c r="O163" i="142"/>
  <c r="O164" i="142"/>
  <c r="O165" i="142"/>
  <c r="O166" i="142"/>
  <c r="O167" i="142"/>
  <c r="O168" i="142"/>
  <c r="O169" i="142"/>
  <c r="O170" i="142"/>
  <c r="O171" i="142"/>
  <c r="O172" i="142"/>
  <c r="O173" i="142"/>
  <c r="O174" i="142"/>
  <c r="O175" i="142"/>
  <c r="O176" i="142"/>
  <c r="O177" i="142"/>
  <c r="O178" i="142"/>
  <c r="O179" i="142"/>
  <c r="O180" i="142"/>
  <c r="O181" i="142"/>
  <c r="O182" i="142"/>
  <c r="O183" i="142"/>
  <c r="O184" i="142"/>
  <c r="O185" i="142"/>
  <c r="O186" i="142"/>
  <c r="O187" i="142"/>
  <c r="O188" i="142"/>
  <c r="O189" i="142"/>
  <c r="O190" i="142"/>
  <c r="O191" i="142"/>
  <c r="O192" i="142"/>
  <c r="O193" i="142"/>
  <c r="O194" i="142"/>
  <c r="O195" i="142"/>
  <c r="O196" i="142"/>
  <c r="O197" i="142"/>
  <c r="O198" i="142"/>
  <c r="O199" i="142"/>
  <c r="O200" i="142"/>
  <c r="O201" i="142"/>
  <c r="O202" i="142"/>
  <c r="O203" i="142"/>
  <c r="O204" i="142"/>
  <c r="O205" i="142"/>
  <c r="O206" i="142"/>
  <c r="O207" i="142"/>
  <c r="O208" i="142"/>
  <c r="O209" i="142"/>
  <c r="O210" i="142"/>
  <c r="O211" i="142"/>
  <c r="O212" i="142"/>
  <c r="O213" i="142"/>
  <c r="O214" i="142"/>
  <c r="O215" i="142"/>
  <c r="O216" i="142"/>
  <c r="O217" i="142"/>
  <c r="O218" i="142"/>
  <c r="O219" i="142"/>
  <c r="O220" i="142"/>
  <c r="O221" i="142"/>
  <c r="O222" i="142"/>
  <c r="O223" i="142"/>
  <c r="O224" i="142"/>
  <c r="O225" i="142"/>
  <c r="O226" i="142"/>
  <c r="O227" i="142"/>
  <c r="O228" i="142"/>
  <c r="O229" i="142"/>
  <c r="O230" i="142"/>
  <c r="O231" i="142"/>
  <c r="O232" i="142"/>
  <c r="O233" i="142"/>
  <c r="O234" i="142"/>
  <c r="O235" i="142"/>
  <c r="O236" i="142"/>
  <c r="O237" i="142"/>
  <c r="O238" i="142"/>
  <c r="O239" i="142"/>
  <c r="O240" i="142"/>
  <c r="O241" i="142"/>
  <c r="O242" i="142"/>
  <c r="O243" i="142"/>
  <c r="O244" i="142"/>
  <c r="O245" i="142"/>
  <c r="O246" i="142"/>
  <c r="O247" i="142"/>
  <c r="O248" i="142"/>
  <c r="O249" i="142"/>
  <c r="O250" i="142"/>
  <c r="O251" i="142"/>
  <c r="O252" i="142"/>
  <c r="O253" i="142"/>
  <c r="O254" i="142"/>
  <c r="O255" i="142"/>
  <c r="O256" i="142"/>
  <c r="O257" i="142"/>
  <c r="O258" i="142"/>
  <c r="O259" i="142"/>
  <c r="O260" i="142"/>
  <c r="O261" i="142"/>
  <c r="O262" i="142"/>
  <c r="O263" i="142"/>
  <c r="O264" i="142"/>
  <c r="O265" i="142"/>
  <c r="O266" i="142"/>
  <c r="O267" i="142"/>
  <c r="O268" i="142"/>
  <c r="O269" i="142"/>
  <c r="O270" i="142"/>
  <c r="O271" i="142"/>
  <c r="O272" i="142"/>
  <c r="O273" i="142"/>
  <c r="O274" i="142"/>
  <c r="O275" i="142"/>
  <c r="O276" i="142"/>
  <c r="O277" i="142"/>
  <c r="O278" i="142"/>
  <c r="O279" i="142"/>
  <c r="O280" i="142"/>
  <c r="O281" i="142"/>
  <c r="O282" i="142"/>
  <c r="O283" i="142"/>
  <c r="O284" i="142"/>
  <c r="O285" i="142"/>
  <c r="O286" i="142"/>
  <c r="O287" i="142"/>
  <c r="O288" i="142"/>
  <c r="O289" i="142"/>
  <c r="O290" i="142"/>
  <c r="O291" i="142"/>
  <c r="O292" i="142"/>
  <c r="O293" i="142"/>
  <c r="O294" i="142"/>
  <c r="O295" i="142"/>
  <c r="O296" i="142"/>
  <c r="O297" i="142"/>
  <c r="O298" i="142"/>
  <c r="O299" i="142"/>
  <c r="O300" i="142"/>
  <c r="O301" i="142"/>
  <c r="O302" i="142"/>
  <c r="O303" i="142"/>
  <c r="O304" i="142"/>
  <c r="O305" i="142"/>
  <c r="O306" i="142"/>
  <c r="O307" i="142"/>
  <c r="O308" i="142"/>
  <c r="O309" i="142"/>
  <c r="O310" i="142"/>
  <c r="O2" i="142"/>
  <c r="A3" i="56"/>
  <c r="A4" i="56" s="1"/>
  <c r="A5" i="56" s="1"/>
  <c r="A6" i="56" s="1"/>
  <c r="A7" i="56" s="1"/>
  <c r="A8" i="56" s="1"/>
  <c r="A9" i="56" s="1"/>
  <c r="A10" i="56" s="1"/>
  <c r="A11" i="56" s="1"/>
  <c r="A12" i="56" s="1"/>
  <c r="A13" i="56" s="1"/>
  <c r="A14" i="56" s="1"/>
  <c r="A15" i="56" s="1"/>
  <c r="A16" i="56" s="1"/>
  <c r="A17" i="56" s="1"/>
  <c r="A18" i="56" s="1"/>
  <c r="A19" i="56" s="1"/>
  <c r="A20" i="56" s="1"/>
  <c r="A21" i="56" s="1"/>
  <c r="A22" i="56" s="1"/>
  <c r="A23" i="56" s="1"/>
  <c r="A24" i="56" s="1"/>
  <c r="A25" i="56" s="1"/>
  <c r="A26" i="56" s="1"/>
  <c r="A27" i="56" s="1"/>
  <c r="A28" i="56" s="1"/>
  <c r="A29" i="56" s="1"/>
  <c r="A30" i="56" s="1"/>
  <c r="A31" i="56" s="1"/>
  <c r="A32" i="56" s="1"/>
  <c r="A33" i="56" s="1"/>
  <c r="A34" i="56" s="1"/>
  <c r="A35" i="56" s="1"/>
  <c r="A36" i="56" s="1"/>
  <c r="A37" i="56" s="1"/>
  <c r="A38" i="56" s="1"/>
  <c r="A39" i="56" s="1"/>
  <c r="A40" i="56" s="1"/>
  <c r="A41" i="56" s="1"/>
  <c r="A42" i="56" s="1"/>
  <c r="A43" i="56" s="1"/>
  <c r="A44" i="56" s="1"/>
  <c r="A45" i="56" s="1"/>
  <c r="A46" i="56" s="1"/>
  <c r="A47" i="56" s="1"/>
  <c r="A48" i="56" s="1"/>
  <c r="A49" i="56" s="1"/>
  <c r="A50" i="56" s="1"/>
  <c r="A51" i="56" s="1"/>
  <c r="A52" i="56" s="1"/>
  <c r="A53" i="56" s="1"/>
  <c r="A54" i="56" s="1"/>
  <c r="A55" i="56" s="1"/>
  <c r="A56" i="56" s="1"/>
  <c r="A57" i="56" s="1"/>
  <c r="A58" i="56" s="1"/>
  <c r="A59" i="56" s="1"/>
  <c r="A60" i="56" s="1"/>
  <c r="A61" i="56" s="1"/>
  <c r="A62" i="56" s="1"/>
  <c r="A63" i="56" s="1"/>
  <c r="A64" i="56" s="1"/>
  <c r="A65" i="56" s="1"/>
  <c r="A66" i="56" s="1"/>
  <c r="A67" i="56" s="1"/>
  <c r="A68" i="56" s="1"/>
  <c r="A69" i="56" s="1"/>
  <c r="A70" i="56" s="1"/>
  <c r="A71" i="56" s="1"/>
  <c r="A72" i="56" s="1"/>
  <c r="A73" i="56" s="1"/>
  <c r="A74" i="56" s="1"/>
  <c r="A75" i="56" s="1"/>
  <c r="A76" i="56" s="1"/>
  <c r="A77" i="56" s="1"/>
  <c r="A78" i="56" s="1"/>
  <c r="A79" i="56" s="1"/>
  <c r="A80" i="56" s="1"/>
  <c r="A81" i="56" s="1"/>
  <c r="A82" i="56" s="1"/>
  <c r="A83" i="56" s="1"/>
  <c r="A84" i="56" s="1"/>
  <c r="A85" i="56" s="1"/>
  <c r="A86" i="56" s="1"/>
  <c r="A87" i="56" s="1"/>
  <c r="A88" i="56" s="1"/>
  <c r="A89" i="56" s="1"/>
  <c r="A90" i="56" s="1"/>
  <c r="A91" i="56" s="1"/>
  <c r="A92" i="56" s="1"/>
  <c r="A93" i="56" s="1"/>
  <c r="A94" i="56" s="1"/>
  <c r="A95" i="56" s="1"/>
  <c r="A96" i="56" s="1"/>
  <c r="A97" i="56" s="1"/>
  <c r="A98" i="56" s="1"/>
  <c r="A99" i="56" s="1"/>
  <c r="A100" i="56" s="1"/>
  <c r="A101" i="56" s="1"/>
  <c r="A102" i="56" s="1"/>
  <c r="A103" i="56" s="1"/>
  <c r="A104" i="56" s="1"/>
  <c r="A105" i="56" s="1"/>
  <c r="A106" i="56" s="1"/>
  <c r="A107" i="56" s="1"/>
  <c r="A108" i="56" s="1"/>
  <c r="A109" i="56" s="1"/>
  <c r="A110" i="56" s="1"/>
  <c r="A111" i="56" s="1"/>
  <c r="A112" i="56" s="1"/>
  <c r="A113" i="56" s="1"/>
  <c r="A114" i="56" s="1"/>
  <c r="A115" i="56" s="1"/>
  <c r="A116" i="56" s="1"/>
  <c r="A117" i="56" s="1"/>
  <c r="A118" i="56" s="1"/>
  <c r="A119" i="56" s="1"/>
  <c r="A120" i="56" s="1"/>
  <c r="A121" i="56" s="1"/>
  <c r="A122" i="56" s="1"/>
  <c r="A123" i="56" s="1"/>
  <c r="A124" i="56" s="1"/>
  <c r="A125" i="56" s="1"/>
  <c r="A126" i="56" s="1"/>
  <c r="A127" i="56" s="1"/>
  <c r="A128" i="56" s="1"/>
  <c r="A129" i="56" s="1"/>
  <c r="A130" i="56" s="1"/>
  <c r="A131" i="56" s="1"/>
  <c r="A132" i="56" s="1"/>
  <c r="A133" i="56" s="1"/>
  <c r="A134" i="56" s="1"/>
  <c r="A135" i="56" s="1"/>
  <c r="A136" i="56" s="1"/>
  <c r="A137" i="56" s="1"/>
  <c r="A138" i="56" s="1"/>
  <c r="A139" i="56" s="1"/>
  <c r="A140" i="56" s="1"/>
  <c r="A141" i="56" s="1"/>
  <c r="A142" i="56" s="1"/>
  <c r="A143" i="56" s="1"/>
  <c r="A144" i="56" s="1"/>
  <c r="A145" i="56" s="1"/>
  <c r="A146" i="56" s="1"/>
  <c r="A147" i="56" s="1"/>
  <c r="A148" i="56" s="1"/>
  <c r="A149" i="56" s="1"/>
  <c r="A150" i="56" s="1"/>
  <c r="A151" i="56" s="1"/>
  <c r="A152" i="56" s="1"/>
  <c r="A153" i="56" s="1"/>
  <c r="A154" i="56" s="1"/>
  <c r="A155" i="56" s="1"/>
  <c r="A156" i="56" s="1"/>
  <c r="A157" i="56" s="1"/>
  <c r="A158" i="56" s="1"/>
  <c r="A159" i="56" s="1"/>
  <c r="A160" i="56" s="1"/>
  <c r="A161" i="56" s="1"/>
  <c r="A162" i="56" s="1"/>
  <c r="A163" i="56" s="1"/>
  <c r="A164" i="56" s="1"/>
  <c r="A165" i="56" s="1"/>
  <c r="A166" i="56" s="1"/>
  <c r="A167" i="56" s="1"/>
  <c r="A168" i="56" s="1"/>
  <c r="A169" i="56" s="1"/>
  <c r="A170" i="56" s="1"/>
  <c r="A171" i="56" s="1"/>
  <c r="C3" i="56"/>
  <c r="B3" i="56"/>
  <c r="P3" i="56"/>
  <c r="P4" i="56" s="1"/>
  <c r="P5" i="56" s="1"/>
  <c r="P6" i="56" s="1"/>
  <c r="P7" i="56" s="1"/>
  <c r="P8" i="56" s="1"/>
  <c r="P9" i="56" s="1"/>
  <c r="P10" i="56" s="1"/>
  <c r="P11" i="56" s="1"/>
  <c r="P12" i="56" s="1"/>
  <c r="P13" i="56" s="1"/>
  <c r="P14" i="56" s="1"/>
  <c r="P15" i="56" s="1"/>
  <c r="P16" i="56" s="1"/>
  <c r="P17" i="56" s="1"/>
  <c r="P18" i="56" s="1"/>
  <c r="P19" i="56" s="1"/>
  <c r="P20" i="56" s="1"/>
  <c r="P21" i="56" s="1"/>
  <c r="P22" i="56" s="1"/>
  <c r="P23" i="56" s="1"/>
  <c r="P24" i="56" s="1"/>
  <c r="P25" i="56" s="1"/>
  <c r="P26" i="56" s="1"/>
  <c r="P27" i="56" s="1"/>
  <c r="P28" i="56" s="1"/>
  <c r="P29" i="56" s="1"/>
  <c r="P30" i="56" s="1"/>
  <c r="P31" i="56" s="1"/>
  <c r="P32" i="56" s="1"/>
  <c r="P33" i="56" s="1"/>
  <c r="P34" i="56" s="1"/>
  <c r="P35" i="56" s="1"/>
  <c r="P36" i="56" s="1"/>
  <c r="P37" i="56" s="1"/>
  <c r="P38" i="56" s="1"/>
  <c r="P39" i="56" s="1"/>
  <c r="P40" i="56" s="1"/>
  <c r="P41" i="56" s="1"/>
  <c r="P42" i="56" s="1"/>
  <c r="P43" i="56" s="1"/>
  <c r="P44" i="56" s="1"/>
  <c r="P45" i="56" s="1"/>
  <c r="P46" i="56" s="1"/>
  <c r="P47" i="56" s="1"/>
  <c r="P48" i="56" s="1"/>
  <c r="P49" i="56" s="1"/>
  <c r="P50" i="56" s="1"/>
  <c r="P51" i="56" s="1"/>
  <c r="P52" i="56" s="1"/>
  <c r="P53" i="56" s="1"/>
  <c r="P54" i="56" s="1"/>
  <c r="P55" i="56" s="1"/>
  <c r="P56" i="56" s="1"/>
  <c r="P57" i="56" s="1"/>
  <c r="P58" i="56" s="1"/>
  <c r="P59" i="56" s="1"/>
  <c r="P60" i="56" s="1"/>
  <c r="P61" i="56" s="1"/>
  <c r="P62" i="56" s="1"/>
  <c r="P63" i="56" s="1"/>
  <c r="P64" i="56" s="1"/>
  <c r="P65" i="56" s="1"/>
  <c r="P66" i="56" s="1"/>
  <c r="P67" i="56" s="1"/>
  <c r="P68" i="56" s="1"/>
  <c r="P69" i="56" s="1"/>
  <c r="P70" i="56" s="1"/>
  <c r="P71" i="56" s="1"/>
  <c r="P72" i="56" s="1"/>
  <c r="P73" i="56" s="1"/>
  <c r="P74" i="56" s="1"/>
  <c r="P75" i="56" s="1"/>
  <c r="P76" i="56" s="1"/>
  <c r="P77" i="56" s="1"/>
  <c r="P78" i="56" s="1"/>
  <c r="P79" i="56" s="1"/>
  <c r="P80" i="56" s="1"/>
  <c r="P81" i="56" s="1"/>
  <c r="P82" i="56" s="1"/>
  <c r="P83" i="56" s="1"/>
  <c r="P84" i="56" s="1"/>
  <c r="P85" i="56" s="1"/>
  <c r="P86" i="56" s="1"/>
  <c r="P87" i="56" s="1"/>
  <c r="P88" i="56" s="1"/>
  <c r="P89" i="56" s="1"/>
  <c r="P90" i="56" s="1"/>
  <c r="P91" i="56" s="1"/>
  <c r="P92" i="56" s="1"/>
  <c r="P93" i="56" s="1"/>
  <c r="P94" i="56" s="1"/>
  <c r="P95" i="56" s="1"/>
  <c r="P96" i="56" s="1"/>
  <c r="P97" i="56" s="1"/>
  <c r="P98" i="56" s="1"/>
  <c r="P99" i="56" s="1"/>
  <c r="P100" i="56" s="1"/>
  <c r="P101" i="56" s="1"/>
  <c r="P102" i="56" s="1"/>
  <c r="N3" i="56"/>
  <c r="N4" i="56" s="1"/>
  <c r="N5" i="56" s="1"/>
  <c r="N6" i="56" s="1"/>
  <c r="N7" i="56" s="1"/>
  <c r="N8" i="56" s="1"/>
  <c r="N9" i="56" s="1"/>
  <c r="N10" i="56" s="1"/>
  <c r="N11" i="56" s="1"/>
  <c r="N12" i="56" s="1"/>
  <c r="N13" i="56" s="1"/>
  <c r="N14" i="56" s="1"/>
  <c r="N15" i="56" s="1"/>
  <c r="N16" i="56" s="1"/>
  <c r="N17" i="56" s="1"/>
  <c r="N18" i="56" s="1"/>
  <c r="N19" i="56" s="1"/>
  <c r="N20" i="56" s="1"/>
  <c r="N21" i="56" s="1"/>
  <c r="N22" i="56" s="1"/>
  <c r="N23" i="56" s="1"/>
  <c r="N24" i="56" s="1"/>
  <c r="N25" i="56" s="1"/>
  <c r="N26" i="56" s="1"/>
  <c r="N27" i="56" s="1"/>
  <c r="N28" i="56" s="1"/>
  <c r="N29" i="56" s="1"/>
  <c r="N30" i="56" s="1"/>
  <c r="N31" i="56" s="1"/>
  <c r="N32" i="56" s="1"/>
  <c r="N33" i="56" s="1"/>
  <c r="N34" i="56" s="1"/>
  <c r="N35" i="56" s="1"/>
  <c r="N36" i="56" s="1"/>
  <c r="N37" i="56" s="1"/>
  <c r="N38" i="56" s="1"/>
  <c r="N39" i="56" s="1"/>
  <c r="N40" i="56" s="1"/>
  <c r="N41" i="56" s="1"/>
  <c r="N42" i="56" s="1"/>
  <c r="N43" i="56" s="1"/>
  <c r="N44" i="56" s="1"/>
  <c r="N45" i="56" s="1"/>
  <c r="N46" i="56" s="1"/>
  <c r="N47" i="56" s="1"/>
  <c r="N48" i="56" s="1"/>
  <c r="N49" i="56" s="1"/>
  <c r="N50" i="56" s="1"/>
  <c r="N51" i="56" s="1"/>
  <c r="N52" i="56" s="1"/>
  <c r="N53" i="56" s="1"/>
  <c r="N54" i="56" s="1"/>
  <c r="N55" i="56" s="1"/>
  <c r="N56" i="56" s="1"/>
  <c r="N57" i="56" s="1"/>
  <c r="N58" i="56" s="1"/>
  <c r="N59" i="56" s="1"/>
  <c r="N60" i="56" s="1"/>
  <c r="N61" i="56" s="1"/>
  <c r="N62" i="56" s="1"/>
  <c r="N63" i="56" s="1"/>
  <c r="N64" i="56" s="1"/>
  <c r="N65" i="56" s="1"/>
  <c r="N66" i="56" s="1"/>
  <c r="N67" i="56" s="1"/>
  <c r="N68" i="56" s="1"/>
  <c r="N69" i="56" s="1"/>
  <c r="N70" i="56" s="1"/>
  <c r="N71" i="56" s="1"/>
  <c r="N72" i="56" s="1"/>
  <c r="N73" i="56" s="1"/>
  <c r="N74" i="56" s="1"/>
  <c r="N75" i="56" s="1"/>
  <c r="N76" i="56" s="1"/>
  <c r="N77" i="56" s="1"/>
  <c r="N78" i="56" s="1"/>
  <c r="N79" i="56" s="1"/>
  <c r="N80" i="56" s="1"/>
  <c r="N81" i="56" s="1"/>
  <c r="N82" i="56" s="1"/>
  <c r="N83" i="56" s="1"/>
  <c r="N84" i="56" s="1"/>
  <c r="N85" i="56" s="1"/>
  <c r="N86" i="56" s="1"/>
  <c r="N87" i="56" s="1"/>
  <c r="N88" i="56" s="1"/>
  <c r="N89" i="56" s="1"/>
  <c r="N90" i="56" s="1"/>
  <c r="N91" i="56" s="1"/>
  <c r="N92" i="56" s="1"/>
  <c r="N93" i="56" s="1"/>
  <c r="N94" i="56" s="1"/>
  <c r="N95" i="56" s="1"/>
  <c r="N96" i="56" s="1"/>
  <c r="N97" i="56" s="1"/>
  <c r="N98" i="56" s="1"/>
  <c r="N99" i="56" s="1"/>
  <c r="N100" i="56" s="1"/>
  <c r="N101" i="56" s="1"/>
  <c r="N102" i="56" s="1"/>
  <c r="N103" i="56" s="1"/>
  <c r="N104" i="56" s="1"/>
  <c r="N105" i="56" s="1"/>
  <c r="N106" i="56" s="1"/>
  <c r="N107" i="56" s="1"/>
  <c r="N108" i="56" s="1"/>
  <c r="N109" i="56" s="1"/>
  <c r="N110" i="56" s="1"/>
  <c r="N111" i="56" s="1"/>
  <c r="N112" i="56" s="1"/>
  <c r="N113" i="56" s="1"/>
  <c r="N114" i="56" s="1"/>
  <c r="N115" i="56" s="1"/>
  <c r="N116" i="56" s="1"/>
  <c r="N117" i="56" s="1"/>
  <c r="N118" i="56" s="1"/>
  <c r="N119" i="56" s="1"/>
  <c r="N120" i="56" s="1"/>
  <c r="N121" i="56" s="1"/>
  <c r="N122" i="56" s="1"/>
  <c r="N123" i="56" s="1"/>
  <c r="N124" i="56" s="1"/>
  <c r="N125" i="56" s="1"/>
  <c r="N126" i="56" s="1"/>
  <c r="N127" i="56" s="1"/>
  <c r="N128" i="56" s="1"/>
  <c r="N129" i="56" s="1"/>
  <c r="N130" i="56" s="1"/>
  <c r="N131" i="56" s="1"/>
  <c r="N132" i="56" s="1"/>
  <c r="N133" i="56" s="1"/>
  <c r="N134" i="56" s="1"/>
  <c r="N135" i="56" s="1"/>
  <c r="N136" i="56" s="1"/>
  <c r="N137" i="56" s="1"/>
  <c r="N138" i="56" s="1"/>
  <c r="N139" i="56" s="1"/>
  <c r="N140" i="56" s="1"/>
  <c r="N141" i="56" s="1"/>
  <c r="N142" i="56" s="1"/>
  <c r="N143" i="56" s="1"/>
  <c r="N144" i="56" s="1"/>
  <c r="N145" i="56" s="1"/>
  <c r="N146" i="56" s="1"/>
  <c r="N147" i="56" s="1"/>
  <c r="N148" i="56" s="1"/>
  <c r="N149" i="56" s="1"/>
  <c r="N150" i="56" s="1"/>
  <c r="N151" i="56" s="1"/>
  <c r="N152" i="56" s="1"/>
  <c r="N153" i="56" s="1"/>
  <c r="N154" i="56" s="1"/>
  <c r="N155" i="56" s="1"/>
  <c r="N156" i="56" s="1"/>
  <c r="N157" i="56" s="1"/>
  <c r="N158" i="56" s="1"/>
  <c r="N159" i="56" s="1"/>
  <c r="N160" i="56" s="1"/>
  <c r="N161" i="56" s="1"/>
  <c r="N162" i="56" s="1"/>
  <c r="N163" i="56" s="1"/>
  <c r="N164" i="56" s="1"/>
  <c r="N165" i="56" s="1"/>
  <c r="N166" i="56" s="1"/>
  <c r="N167" i="56" s="1"/>
  <c r="N168" i="56" s="1"/>
  <c r="N169" i="56" s="1"/>
  <c r="N170" i="56" s="1"/>
  <c r="N171" i="56" s="1"/>
  <c r="P4" i="94" l="1"/>
  <c r="P5" i="94" s="1"/>
  <c r="P6" i="94" s="1"/>
  <c r="P7" i="94" s="1"/>
  <c r="P8" i="94" s="1"/>
  <c r="P9" i="94" s="1"/>
  <c r="P10" i="94" s="1"/>
  <c r="P11" i="94" s="1"/>
  <c r="P12" i="94" s="1"/>
  <c r="P13" i="94" s="1"/>
  <c r="P14" i="94" s="1"/>
  <c r="P15" i="94" s="1"/>
  <c r="P16" i="94" s="1"/>
  <c r="P17" i="94" s="1"/>
  <c r="P18" i="94" s="1"/>
  <c r="P19" i="94" s="1"/>
  <c r="P20" i="94" s="1"/>
  <c r="P21" i="94" s="1"/>
  <c r="P22" i="94" s="1"/>
  <c r="P23" i="94" s="1"/>
  <c r="P24" i="94" s="1"/>
  <c r="P25" i="94" s="1"/>
  <c r="P26" i="94" s="1"/>
  <c r="P27" i="94" s="1"/>
  <c r="P28" i="94" s="1"/>
  <c r="P29" i="94" s="1"/>
  <c r="P30" i="94" s="1"/>
  <c r="P31" i="94" s="1"/>
  <c r="P32" i="94" s="1"/>
  <c r="P33" i="94" s="1"/>
  <c r="P34" i="94" s="1"/>
  <c r="P35" i="94" s="1"/>
  <c r="P36" i="94" s="1"/>
  <c r="P37" i="94" s="1"/>
  <c r="P38" i="94" s="1"/>
  <c r="P39" i="94" s="1"/>
  <c r="P40" i="94" s="1"/>
  <c r="P41" i="94" s="1"/>
  <c r="P42" i="94" s="1"/>
  <c r="P43" i="94" s="1"/>
  <c r="P44" i="94" s="1"/>
  <c r="P45" i="94" s="1"/>
  <c r="P46" i="94" s="1"/>
  <c r="P47" i="94" s="1"/>
  <c r="P48" i="94" s="1"/>
  <c r="P49" i="94" s="1"/>
  <c r="P50" i="94" s="1"/>
  <c r="P51" i="94" s="1"/>
  <c r="P52" i="94" s="1"/>
  <c r="P53" i="94" s="1"/>
  <c r="P54" i="94" s="1"/>
  <c r="P55" i="94" s="1"/>
  <c r="P56" i="94" s="1"/>
  <c r="P57" i="94" s="1"/>
  <c r="P58" i="94" s="1"/>
  <c r="P59" i="94" s="1"/>
  <c r="P60" i="94" s="1"/>
  <c r="P61" i="94" s="1"/>
  <c r="P62" i="94" s="1"/>
  <c r="P63" i="94" s="1"/>
  <c r="P64" i="94" s="1"/>
  <c r="P65" i="94" s="1"/>
  <c r="P66" i="94" s="1"/>
  <c r="P67" i="94" s="1"/>
  <c r="P68" i="94" s="1"/>
  <c r="P69" i="94" s="1"/>
  <c r="P70" i="94" s="1"/>
  <c r="P71" i="94" s="1"/>
  <c r="P72" i="94" s="1"/>
  <c r="P73" i="94" s="1"/>
  <c r="P74" i="94" s="1"/>
  <c r="P75" i="94" s="1"/>
  <c r="P76" i="94" s="1"/>
  <c r="P77" i="94" s="1"/>
  <c r="P78" i="94" s="1"/>
  <c r="P79" i="94" s="1"/>
  <c r="P80" i="94" s="1"/>
  <c r="P81" i="94" s="1"/>
  <c r="P82" i="94" s="1"/>
  <c r="P83" i="94" s="1"/>
  <c r="P84" i="94" s="1"/>
  <c r="P85" i="94" s="1"/>
  <c r="P86" i="94" s="1"/>
  <c r="P87" i="94" s="1"/>
  <c r="P88" i="94" s="1"/>
  <c r="P89" i="94" s="1"/>
  <c r="P90" i="94" s="1"/>
  <c r="P91" i="94" s="1"/>
  <c r="P92" i="94" s="1"/>
  <c r="P93" i="94" s="1"/>
  <c r="P94" i="94" s="1"/>
  <c r="P95" i="94" s="1"/>
  <c r="P96" i="94" s="1"/>
  <c r="P97" i="94" s="1"/>
  <c r="P98" i="94" s="1"/>
  <c r="P99" i="94" s="1"/>
  <c r="P100" i="94" s="1"/>
  <c r="P101" i="94" s="1"/>
  <c r="P102" i="94" s="1"/>
  <c r="P103" i="94" s="1"/>
  <c r="P104" i="94" s="1"/>
  <c r="P105" i="94" s="1"/>
  <c r="P106" i="94" s="1"/>
  <c r="P107" i="94" s="1"/>
  <c r="P108" i="94" s="1"/>
  <c r="P109" i="94" s="1"/>
  <c r="P110" i="94" s="1"/>
  <c r="P111" i="94" s="1"/>
  <c r="P112" i="94" s="1"/>
  <c r="P113" i="94" s="1"/>
  <c r="P114" i="94" s="1"/>
  <c r="P115" i="94" s="1"/>
  <c r="P116" i="94" s="1"/>
  <c r="P117" i="94" s="1"/>
  <c r="P118" i="94" s="1"/>
  <c r="P119" i="94" s="1"/>
  <c r="P120" i="94" s="1"/>
  <c r="P121" i="94" s="1"/>
  <c r="P122" i="94" s="1"/>
  <c r="P123" i="94" s="1"/>
  <c r="P124" i="94" s="1"/>
  <c r="P125" i="94" s="1"/>
  <c r="P126" i="94" s="1"/>
  <c r="P127" i="94" s="1"/>
  <c r="P128" i="94" s="1"/>
  <c r="P129" i="94" s="1"/>
  <c r="P130" i="94" s="1"/>
  <c r="P131" i="94" s="1"/>
  <c r="P132" i="94" s="1"/>
  <c r="P133" i="94" s="1"/>
  <c r="P134" i="94" s="1"/>
  <c r="P135" i="94" s="1"/>
  <c r="P136" i="94" s="1"/>
  <c r="P137" i="94" s="1"/>
  <c r="P138" i="94" s="1"/>
  <c r="P139" i="94" s="1"/>
  <c r="P140" i="94" s="1"/>
  <c r="P141" i="94" s="1"/>
  <c r="P142" i="94" s="1"/>
  <c r="P143" i="94" s="1"/>
  <c r="P144" i="94" s="1"/>
  <c r="P145" i="94" s="1"/>
  <c r="P146" i="94" s="1"/>
  <c r="P147" i="94" s="1"/>
  <c r="P148" i="94" s="1"/>
  <c r="P149" i="94" s="1"/>
  <c r="P150" i="94" s="1"/>
  <c r="P151" i="94" s="1"/>
  <c r="P152" i="94" s="1"/>
  <c r="P153" i="94" s="1"/>
  <c r="P154" i="94" s="1"/>
  <c r="P155" i="94" s="1"/>
  <c r="P156" i="94" s="1"/>
  <c r="P157" i="94" s="1"/>
  <c r="P158" i="94" s="1"/>
  <c r="P159" i="94" s="1"/>
  <c r="P160" i="94" s="1"/>
  <c r="P161" i="94" s="1"/>
  <c r="P162" i="94" s="1"/>
  <c r="P163" i="94" s="1"/>
  <c r="P164" i="94" s="1"/>
  <c r="P165" i="94" s="1"/>
  <c r="P166" i="94" s="1"/>
  <c r="P167" i="94" s="1"/>
  <c r="P168" i="94" s="1"/>
  <c r="P169" i="94" s="1"/>
  <c r="P170" i="94" s="1"/>
  <c r="P171" i="94" s="1"/>
  <c r="P172" i="94" s="1"/>
  <c r="P173" i="94" s="1"/>
  <c r="P174" i="94" s="1"/>
  <c r="P175" i="94" s="1"/>
  <c r="P176" i="94" s="1"/>
  <c r="P177" i="94" s="1"/>
  <c r="P178" i="94" s="1"/>
  <c r="P179" i="94" s="1"/>
  <c r="P180" i="94" s="1"/>
  <c r="P181" i="94" s="1"/>
  <c r="P182" i="94" s="1"/>
  <c r="P183" i="94" s="1"/>
  <c r="P184" i="94" s="1"/>
  <c r="P185" i="94" s="1"/>
  <c r="P186" i="94" s="1"/>
  <c r="P187" i="94" s="1"/>
  <c r="P188" i="94" s="1"/>
  <c r="P189" i="94" s="1"/>
  <c r="P190" i="94" s="1"/>
  <c r="P191" i="94" s="1"/>
  <c r="P192" i="94" s="1"/>
  <c r="P193" i="94" s="1"/>
  <c r="P194" i="94" s="1"/>
  <c r="P195" i="94" s="1"/>
  <c r="P196" i="94" s="1"/>
  <c r="P197" i="94" s="1"/>
  <c r="P198" i="94" s="1"/>
  <c r="P199" i="94" s="1"/>
  <c r="P200" i="94" s="1"/>
  <c r="P201" i="94" s="1"/>
  <c r="P202" i="94" s="1"/>
  <c r="P203" i="94" s="1"/>
  <c r="P204" i="94" s="1"/>
  <c r="P205" i="94" s="1"/>
  <c r="P206" i="94" s="1"/>
  <c r="P207" i="94" s="1"/>
  <c r="P208" i="94" s="1"/>
  <c r="P3" i="94"/>
  <c r="A270" i="139"/>
  <c r="A271" i="139" s="1"/>
  <c r="A272" i="139" s="1"/>
  <c r="A273" i="139" s="1"/>
  <c r="A274" i="139" s="1"/>
  <c r="A275" i="139" s="1"/>
  <c r="A276" i="139" s="1"/>
  <c r="A277" i="139" s="1"/>
  <c r="A278" i="139" s="1"/>
  <c r="A279" i="139" s="1"/>
  <c r="A280" i="139" s="1"/>
  <c r="A281" i="139" s="1"/>
  <c r="A282" i="139" s="1"/>
  <c r="A283" i="139" s="1"/>
  <c r="A284" i="139" s="1"/>
  <c r="A285" i="139" s="1"/>
  <c r="A286" i="139" s="1"/>
  <c r="A287" i="139" s="1"/>
  <c r="A288" i="139" s="1"/>
  <c r="A289" i="139" s="1"/>
  <c r="A290" i="139" s="1"/>
  <c r="A291" i="139" s="1"/>
  <c r="A292" i="139" s="1"/>
  <c r="A293" i="139" s="1"/>
  <c r="A294" i="139" s="1"/>
  <c r="A295" i="139" s="1"/>
  <c r="A296" i="139" s="1"/>
  <c r="A297" i="139" s="1"/>
  <c r="A298" i="139" s="1"/>
  <c r="A299" i="139" s="1"/>
  <c r="A300" i="139" s="1"/>
  <c r="A301" i="139" s="1"/>
  <c r="A302" i="139" s="1"/>
  <c r="A303" i="139" s="1"/>
  <c r="A304" i="139" s="1"/>
  <c r="A305" i="139" s="1"/>
  <c r="A306" i="139" s="1"/>
  <c r="A307" i="139" s="1"/>
  <c r="A308" i="139" s="1"/>
  <c r="A309" i="139" s="1"/>
  <c r="A310" i="139" s="1"/>
  <c r="A311" i="139" s="1"/>
  <c r="A312" i="139" s="1"/>
  <c r="A313" i="139" s="1"/>
  <c r="A314" i="139" s="1"/>
  <c r="A315" i="139" s="1"/>
  <c r="A316" i="139" s="1"/>
  <c r="A317" i="139" s="1"/>
  <c r="A318" i="139" s="1"/>
  <c r="A319" i="139" s="1"/>
  <c r="A320" i="139" s="1"/>
  <c r="A321" i="139" s="1"/>
  <c r="A322" i="139" s="1"/>
  <c r="A323" i="139" s="1"/>
  <c r="A324" i="139" s="1"/>
  <c r="A325" i="139" s="1"/>
  <c r="A326" i="139" s="1"/>
  <c r="A327" i="139" s="1"/>
  <c r="A328" i="139" s="1"/>
  <c r="A329" i="139" s="1"/>
  <c r="A330" i="139" s="1"/>
  <c r="A331" i="139" s="1"/>
  <c r="A332" i="139" s="1"/>
  <c r="A333" i="139" s="1"/>
  <c r="A334" i="139" s="1"/>
  <c r="A335" i="139" s="1"/>
  <c r="A336" i="139" s="1"/>
  <c r="A337" i="139" s="1"/>
  <c r="A338" i="139" s="1"/>
  <c r="A339" i="139" s="1"/>
  <c r="A340" i="139" s="1"/>
  <c r="A341" i="139" s="1"/>
  <c r="A342" i="139" s="1"/>
  <c r="A343" i="139" s="1"/>
  <c r="A344" i="139" s="1"/>
  <c r="A345" i="139" s="1"/>
  <c r="A346" i="139" s="1"/>
  <c r="A347" i="139" s="1"/>
  <c r="A348" i="139" s="1"/>
  <c r="A349" i="139" s="1"/>
  <c r="A350" i="139" s="1"/>
  <c r="A351" i="139" s="1"/>
  <c r="A352" i="139" s="1"/>
  <c r="A353" i="139" s="1"/>
  <c r="A354" i="139" s="1"/>
  <c r="A355" i="139" s="1"/>
  <c r="A356" i="139" s="1"/>
  <c r="A357" i="139" s="1"/>
  <c r="A358" i="139" s="1"/>
  <c r="A359" i="139" s="1"/>
  <c r="A360" i="139" s="1"/>
  <c r="A361" i="139" s="1"/>
  <c r="A362" i="139" s="1"/>
  <c r="A363" i="139" s="1"/>
  <c r="A364" i="139" s="1"/>
  <c r="A365" i="139" s="1"/>
  <c r="A366" i="139" s="1"/>
  <c r="A367" i="139" s="1"/>
  <c r="A368" i="139" s="1"/>
  <c r="A369" i="139" s="1"/>
  <c r="A370" i="139" s="1"/>
  <c r="A371" i="139" s="1"/>
  <c r="A372" i="139" s="1"/>
  <c r="A373" i="139" s="1"/>
  <c r="A374" i="139" s="1"/>
  <c r="A375" i="139" s="1"/>
  <c r="A376" i="139" s="1"/>
  <c r="A377" i="139" s="1"/>
  <c r="A378" i="139" s="1"/>
  <c r="A379" i="139" s="1"/>
  <c r="A380" i="139" s="1"/>
  <c r="A381" i="139" s="1"/>
  <c r="A382" i="139" s="1"/>
  <c r="A383" i="139" s="1"/>
  <c r="A384" i="139" s="1"/>
  <c r="A385" i="139" s="1"/>
  <c r="A386" i="139" s="1"/>
  <c r="A387" i="139" s="1"/>
  <c r="A388" i="139" s="1"/>
  <c r="A389" i="139" s="1"/>
  <c r="A390" i="139" s="1"/>
  <c r="A391" i="139" s="1"/>
  <c r="A392" i="139" s="1"/>
  <c r="A393" i="139" s="1"/>
  <c r="A394" i="139" s="1"/>
  <c r="A395" i="139" s="1"/>
  <c r="A396" i="139" s="1"/>
  <c r="A397" i="139" s="1"/>
  <c r="A398" i="139" s="1"/>
  <c r="A399" i="139" s="1"/>
  <c r="A400" i="139" s="1"/>
  <c r="A401" i="139" s="1"/>
  <c r="A402" i="139" s="1"/>
  <c r="A403" i="139" s="1"/>
  <c r="A404" i="139" s="1"/>
  <c r="A405" i="139" s="1"/>
  <c r="A406" i="139" s="1"/>
  <c r="A407" i="139" s="1"/>
  <c r="A408" i="139" s="1"/>
  <c r="A409" i="139" s="1"/>
  <c r="A410" i="139" s="1"/>
  <c r="A411" i="139" s="1"/>
  <c r="A412" i="139" s="1"/>
  <c r="A413" i="139" s="1"/>
  <c r="A414" i="139" s="1"/>
  <c r="A415" i="139" s="1"/>
  <c r="A416" i="139" s="1"/>
  <c r="A417" i="139" s="1"/>
  <c r="A418" i="139" s="1"/>
  <c r="A419" i="139" s="1"/>
  <c r="A420" i="139" s="1"/>
  <c r="A421" i="139" s="1"/>
  <c r="A422" i="139" s="1"/>
  <c r="A423" i="139" s="1"/>
  <c r="A424" i="139" s="1"/>
  <c r="A425" i="139" s="1"/>
  <c r="A426" i="139" s="1"/>
  <c r="A427" i="139" s="1"/>
  <c r="A428" i="139" s="1"/>
  <c r="A429" i="139" s="1"/>
  <c r="A430" i="139" s="1"/>
  <c r="A431" i="139" s="1"/>
  <c r="A432" i="139" s="1"/>
  <c r="A433" i="139" s="1"/>
  <c r="A434" i="139" s="1"/>
  <c r="A435" i="139" s="1"/>
  <c r="A436" i="139" s="1"/>
  <c r="A437" i="139" s="1"/>
  <c r="A438" i="139" s="1"/>
  <c r="A439" i="139" s="1"/>
  <c r="A440" i="139" s="1"/>
  <c r="A441" i="139" s="1"/>
  <c r="A442" i="139" s="1"/>
  <c r="A443" i="139" s="1"/>
  <c r="A444" i="139" s="1"/>
  <c r="A445" i="139" s="1"/>
  <c r="A446" i="139" s="1"/>
  <c r="A447" i="139" s="1"/>
  <c r="A448" i="139" s="1"/>
  <c r="A449" i="139" s="1"/>
  <c r="A450" i="139" s="1"/>
  <c r="A451" i="139" s="1"/>
  <c r="A452" i="139" s="1"/>
  <c r="A453" i="139" s="1"/>
  <c r="A454" i="139" s="1"/>
  <c r="A455" i="139" s="1"/>
  <c r="A456" i="139" s="1"/>
  <c r="A457" i="139" s="1"/>
  <c r="A458" i="139" s="1"/>
  <c r="A459" i="139" s="1"/>
  <c r="A460" i="139" s="1"/>
  <c r="A461" i="139" s="1"/>
  <c r="A462" i="139" s="1"/>
  <c r="A463" i="139" s="1"/>
  <c r="A464" i="139" s="1"/>
  <c r="A465" i="139" s="1"/>
  <c r="A466" i="139" s="1"/>
  <c r="A467" i="139" s="1"/>
  <c r="A468" i="139" s="1"/>
  <c r="A469" i="139" s="1"/>
  <c r="A470" i="139" s="1"/>
  <c r="A471" i="139" s="1"/>
  <c r="A472" i="139" s="1"/>
  <c r="A473" i="139" s="1"/>
  <c r="A474" i="139" s="1"/>
  <c r="A475" i="139" s="1"/>
  <c r="A476" i="139" s="1"/>
  <c r="A477" i="139" s="1"/>
  <c r="A478" i="139" s="1"/>
  <c r="A479" i="139" s="1"/>
  <c r="A480" i="139" s="1"/>
  <c r="A481" i="139" s="1"/>
  <c r="A482" i="139" s="1"/>
  <c r="A483" i="139" s="1"/>
  <c r="A484" i="139" s="1"/>
  <c r="A485" i="139" s="1"/>
  <c r="A486" i="139" s="1"/>
  <c r="A487" i="139" s="1"/>
  <c r="A488" i="139" s="1"/>
  <c r="A489" i="139" s="1"/>
  <c r="A490" i="139" s="1"/>
  <c r="A491" i="139" s="1"/>
  <c r="A492" i="139" s="1"/>
  <c r="A493" i="139" s="1"/>
  <c r="A494" i="139" s="1"/>
  <c r="A495" i="139" s="1"/>
  <c r="A496" i="139" s="1"/>
  <c r="A497" i="139" s="1"/>
  <c r="A498" i="139" s="1"/>
  <c r="A499" i="139" s="1"/>
  <c r="A500" i="139" s="1"/>
  <c r="A501" i="139" s="1"/>
  <c r="A502" i="139" s="1"/>
  <c r="A503" i="139" s="1"/>
  <c r="A504" i="139" s="1"/>
  <c r="A505" i="139" s="1"/>
  <c r="A506" i="139" s="1"/>
  <c r="A507" i="139" s="1"/>
  <c r="A508" i="139" s="1"/>
  <c r="A509" i="139" s="1"/>
  <c r="A510" i="139" s="1"/>
  <c r="A511" i="139" s="1"/>
  <c r="A512" i="139" s="1"/>
  <c r="O3" i="139"/>
  <c r="O4" i="139"/>
  <c r="O5" i="139"/>
  <c r="O6" i="139"/>
  <c r="O7" i="139"/>
  <c r="O8" i="139"/>
  <c r="O9" i="139"/>
  <c r="O10" i="139"/>
  <c r="O11" i="139"/>
  <c r="O12" i="139"/>
  <c r="O13" i="139"/>
  <c r="O14" i="139"/>
  <c r="O15" i="139"/>
  <c r="O16" i="139"/>
  <c r="O17" i="139"/>
  <c r="O18" i="139"/>
  <c r="O19" i="139"/>
  <c r="O20" i="139"/>
  <c r="O21" i="139"/>
  <c r="O22" i="139"/>
  <c r="O23" i="139"/>
  <c r="O24" i="139"/>
  <c r="O25" i="139"/>
  <c r="O26" i="139"/>
  <c r="O27" i="139"/>
  <c r="O28" i="139"/>
  <c r="O29" i="139"/>
  <c r="O30" i="139"/>
  <c r="O31" i="139"/>
  <c r="O32" i="139"/>
  <c r="O33" i="139"/>
  <c r="O34" i="139"/>
  <c r="O35" i="139"/>
  <c r="O36" i="139"/>
  <c r="O37" i="139"/>
  <c r="O38" i="139"/>
  <c r="O39" i="139"/>
  <c r="O40" i="139"/>
  <c r="O41" i="139"/>
  <c r="O42" i="139"/>
  <c r="O43" i="139"/>
  <c r="O44" i="139"/>
  <c r="O45" i="139"/>
  <c r="O46" i="139"/>
  <c r="O47" i="139"/>
  <c r="O48" i="139"/>
  <c r="O49" i="139"/>
  <c r="O50" i="139"/>
  <c r="O51" i="139"/>
  <c r="O52" i="139"/>
  <c r="O53" i="139"/>
  <c r="O54" i="139"/>
  <c r="O55" i="139"/>
  <c r="O56" i="139"/>
  <c r="O57" i="139"/>
  <c r="O58" i="139"/>
  <c r="O59" i="139"/>
  <c r="O60" i="139"/>
  <c r="O61" i="139"/>
  <c r="O62" i="139"/>
  <c r="O63" i="139"/>
  <c r="O64" i="139"/>
  <c r="O65" i="139"/>
  <c r="O66" i="139"/>
  <c r="O67" i="139"/>
  <c r="O68" i="139"/>
  <c r="O69" i="139"/>
  <c r="O70" i="139"/>
  <c r="O71" i="139"/>
  <c r="O72" i="139"/>
  <c r="O73" i="139"/>
  <c r="O74" i="139"/>
  <c r="O75" i="139"/>
  <c r="O76" i="139"/>
  <c r="O77" i="139"/>
  <c r="O78" i="139"/>
  <c r="O79" i="139"/>
  <c r="O80" i="139"/>
  <c r="O81" i="139"/>
  <c r="O82" i="139"/>
  <c r="O83" i="139"/>
  <c r="O84" i="139"/>
  <c r="O85" i="139"/>
  <c r="O86" i="139"/>
  <c r="O87" i="139"/>
  <c r="O88" i="139"/>
  <c r="O89" i="139"/>
  <c r="O90" i="139"/>
  <c r="O91" i="139"/>
  <c r="O92" i="139"/>
  <c r="O93" i="139"/>
  <c r="O94" i="139"/>
  <c r="O95" i="139"/>
  <c r="O96" i="139"/>
  <c r="O97" i="139"/>
  <c r="O98" i="139"/>
  <c r="O99" i="139"/>
  <c r="O100" i="139"/>
  <c r="O101" i="139"/>
  <c r="O102" i="139"/>
  <c r="O103" i="139"/>
  <c r="O104" i="139"/>
  <c r="O105" i="139"/>
  <c r="O106" i="139"/>
  <c r="O107" i="139"/>
  <c r="O108" i="139"/>
  <c r="O109" i="139"/>
  <c r="O110" i="139"/>
  <c r="O111" i="139"/>
  <c r="O112" i="139"/>
  <c r="O113" i="139"/>
  <c r="O114" i="139"/>
  <c r="O115" i="139"/>
  <c r="O116" i="139"/>
  <c r="O117" i="139"/>
  <c r="O118" i="139"/>
  <c r="O119" i="139"/>
  <c r="O120" i="139"/>
  <c r="O121" i="139"/>
  <c r="O122" i="139"/>
  <c r="O123" i="139"/>
  <c r="O124" i="139"/>
  <c r="O125" i="139"/>
  <c r="O126" i="139"/>
  <c r="O127" i="139"/>
  <c r="O128" i="139"/>
  <c r="O129" i="139"/>
  <c r="O130" i="139"/>
  <c r="O131" i="139"/>
  <c r="O132" i="139"/>
  <c r="O133" i="139"/>
  <c r="O134" i="139"/>
  <c r="O135" i="139"/>
  <c r="O136" i="139"/>
  <c r="O137" i="139"/>
  <c r="O138" i="139"/>
  <c r="O139" i="139"/>
  <c r="O140" i="139"/>
  <c r="O141" i="139"/>
  <c r="O142" i="139"/>
  <c r="O143" i="139"/>
  <c r="O144" i="139"/>
  <c r="O145" i="139"/>
  <c r="O146" i="139"/>
  <c r="O147" i="139"/>
  <c r="O148" i="139"/>
  <c r="O149" i="139"/>
  <c r="O150" i="139"/>
  <c r="O151" i="139"/>
  <c r="O152" i="139"/>
  <c r="O153" i="139"/>
  <c r="O154" i="139"/>
  <c r="O155" i="139"/>
  <c r="O156" i="139"/>
  <c r="O157" i="139"/>
  <c r="O158" i="139"/>
  <c r="O159" i="139"/>
  <c r="O160" i="139"/>
  <c r="O161" i="139"/>
  <c r="O162" i="139"/>
  <c r="O163" i="139"/>
  <c r="O164" i="139"/>
  <c r="O165" i="139"/>
  <c r="O166" i="139"/>
  <c r="O167" i="139"/>
  <c r="O168" i="139"/>
  <c r="O169" i="139"/>
  <c r="O170" i="139"/>
  <c r="O171" i="139"/>
  <c r="O172" i="139"/>
  <c r="O173" i="139"/>
  <c r="O174" i="139"/>
  <c r="O175" i="139"/>
  <c r="O176" i="139"/>
  <c r="O177" i="139"/>
  <c r="O178" i="139"/>
  <c r="O179" i="139"/>
  <c r="O180" i="139"/>
  <c r="O181" i="139"/>
  <c r="O182" i="139"/>
  <c r="O183" i="139"/>
  <c r="O184" i="139"/>
  <c r="O185" i="139"/>
  <c r="O186" i="139"/>
  <c r="O187" i="139"/>
  <c r="O188" i="139"/>
  <c r="O189" i="139"/>
  <c r="O190" i="139"/>
  <c r="O191" i="139"/>
  <c r="O192" i="139"/>
  <c r="O193" i="139"/>
  <c r="O194" i="139"/>
  <c r="O195" i="139"/>
  <c r="O196" i="139"/>
  <c r="O197" i="139"/>
  <c r="O198" i="139"/>
  <c r="O199" i="139"/>
  <c r="O200" i="139"/>
  <c r="O201" i="139"/>
  <c r="O202" i="139"/>
  <c r="O203" i="139"/>
  <c r="O204" i="139"/>
  <c r="O205" i="139"/>
  <c r="O206" i="139"/>
  <c r="O207" i="139"/>
  <c r="O208" i="139"/>
  <c r="O209" i="139"/>
  <c r="O210" i="139"/>
  <c r="O211" i="139"/>
  <c r="O212" i="139"/>
  <c r="O213" i="139"/>
  <c r="O214" i="139"/>
  <c r="O215" i="139"/>
  <c r="O216" i="139"/>
  <c r="O217" i="139"/>
  <c r="O218" i="139"/>
  <c r="O219" i="139"/>
  <c r="O220" i="139"/>
  <c r="O221" i="139"/>
  <c r="O222" i="139"/>
  <c r="O223" i="139"/>
  <c r="O224" i="139"/>
  <c r="O225" i="139"/>
  <c r="O226" i="139"/>
  <c r="O227" i="139"/>
  <c r="O228" i="139"/>
  <c r="O229" i="139"/>
  <c r="O230" i="139"/>
  <c r="O231" i="139"/>
  <c r="O232" i="139"/>
  <c r="O233" i="139"/>
  <c r="O234" i="139"/>
  <c r="O235" i="139"/>
  <c r="O236" i="139"/>
  <c r="O237" i="139"/>
  <c r="O238" i="139"/>
  <c r="O239" i="139"/>
  <c r="O240" i="139"/>
  <c r="O241" i="139"/>
  <c r="O242" i="139"/>
  <c r="O243" i="139"/>
  <c r="O244" i="139"/>
  <c r="O245" i="139"/>
  <c r="O246" i="139"/>
  <c r="O247" i="139"/>
  <c r="O248" i="139"/>
  <c r="O249" i="139"/>
  <c r="O250" i="139"/>
  <c r="O251" i="139"/>
  <c r="O252" i="139"/>
  <c r="O253" i="139"/>
  <c r="O254" i="139"/>
  <c r="O255" i="139"/>
  <c r="O256" i="139"/>
  <c r="O257" i="139"/>
  <c r="O258" i="139"/>
  <c r="O259" i="139"/>
  <c r="O260" i="139"/>
  <c r="O261" i="139"/>
  <c r="O262" i="139"/>
  <c r="O263" i="139"/>
  <c r="O264" i="139"/>
  <c r="O265" i="139"/>
  <c r="O266" i="139"/>
  <c r="O267" i="139"/>
  <c r="O268" i="139"/>
  <c r="O269" i="139"/>
  <c r="O270" i="139"/>
  <c r="O271" i="139"/>
  <c r="O272" i="139"/>
  <c r="O273" i="139"/>
  <c r="O274" i="139"/>
  <c r="O275" i="139"/>
  <c r="O276" i="139"/>
  <c r="O277" i="139"/>
  <c r="O278" i="139"/>
  <c r="O279" i="139"/>
  <c r="O280" i="139"/>
  <c r="O281" i="139"/>
  <c r="O282" i="139"/>
  <c r="O283" i="139"/>
  <c r="O284" i="139"/>
  <c r="O285" i="139"/>
  <c r="O286" i="139"/>
  <c r="O287" i="139"/>
  <c r="O288" i="139"/>
  <c r="O289" i="139"/>
  <c r="O290" i="139"/>
  <c r="O291" i="139"/>
  <c r="O292" i="139"/>
  <c r="O293" i="139"/>
  <c r="O294" i="139"/>
  <c r="O295" i="139"/>
  <c r="O296" i="139"/>
  <c r="O297" i="139"/>
  <c r="O298" i="139"/>
  <c r="O299" i="139"/>
  <c r="O300" i="139"/>
  <c r="O301" i="139"/>
  <c r="O302" i="139"/>
  <c r="O303" i="139"/>
  <c r="O304" i="139"/>
  <c r="O305" i="139"/>
  <c r="O306" i="139"/>
  <c r="O307" i="139"/>
  <c r="O308" i="139"/>
  <c r="O309" i="139"/>
  <c r="O310" i="139"/>
  <c r="O311" i="139"/>
  <c r="O312" i="139"/>
  <c r="O313" i="139"/>
  <c r="O314" i="139"/>
  <c r="O315" i="139"/>
  <c r="O316" i="139"/>
  <c r="O317" i="139"/>
  <c r="O318" i="139"/>
  <c r="O319" i="139"/>
  <c r="O320" i="139"/>
  <c r="O321" i="139"/>
  <c r="O322" i="139"/>
  <c r="O323" i="139"/>
  <c r="O324" i="139"/>
  <c r="O325" i="139"/>
  <c r="O326" i="139"/>
  <c r="O327" i="139"/>
  <c r="O328" i="139"/>
  <c r="O329" i="139"/>
  <c r="O330" i="139"/>
  <c r="O331" i="139"/>
  <c r="O332" i="139"/>
  <c r="O333" i="139"/>
  <c r="O334" i="139"/>
  <c r="O335" i="139"/>
  <c r="O336" i="139"/>
  <c r="O337" i="139"/>
  <c r="O338" i="139"/>
  <c r="O339" i="139"/>
  <c r="O340" i="139"/>
  <c r="O341" i="139"/>
  <c r="O342" i="139"/>
  <c r="O343" i="139"/>
  <c r="O344" i="139"/>
  <c r="O345" i="139"/>
  <c r="O346" i="139"/>
  <c r="O347" i="139"/>
  <c r="O348" i="139"/>
  <c r="O349" i="139"/>
  <c r="O350" i="139"/>
  <c r="O351" i="139"/>
  <c r="O352" i="139"/>
  <c r="O353" i="139"/>
  <c r="O354" i="139"/>
  <c r="O355" i="139"/>
  <c r="O356" i="139"/>
  <c r="O357" i="139"/>
  <c r="O358" i="139"/>
  <c r="O359" i="139"/>
  <c r="O360" i="139"/>
  <c r="O361" i="139"/>
  <c r="O362" i="139"/>
  <c r="O363" i="139"/>
  <c r="O364" i="139"/>
  <c r="O365" i="139"/>
  <c r="O366" i="139"/>
  <c r="O367" i="139"/>
  <c r="O368" i="139"/>
  <c r="O369" i="139"/>
  <c r="O370" i="139"/>
  <c r="O371" i="139"/>
  <c r="O372" i="139"/>
  <c r="O373" i="139"/>
  <c r="O374" i="139"/>
  <c r="O375" i="139"/>
  <c r="O376" i="139"/>
  <c r="O377" i="139"/>
  <c r="O378" i="139"/>
  <c r="O379" i="139"/>
  <c r="O380" i="139"/>
  <c r="O381" i="139"/>
  <c r="O382" i="139"/>
  <c r="O383" i="139"/>
  <c r="O384" i="139"/>
  <c r="O385" i="139"/>
  <c r="O386" i="139"/>
  <c r="O387" i="139"/>
  <c r="O388" i="139"/>
  <c r="O389" i="139"/>
  <c r="O390" i="139"/>
  <c r="O391" i="139"/>
  <c r="O392" i="139"/>
  <c r="O393" i="139"/>
  <c r="O394" i="139"/>
  <c r="O395" i="139"/>
  <c r="O396" i="139"/>
  <c r="O397" i="139"/>
  <c r="O398" i="139"/>
  <c r="O399" i="139"/>
  <c r="O400" i="139"/>
  <c r="O401" i="139"/>
  <c r="O402" i="139"/>
  <c r="O403" i="139"/>
  <c r="O404" i="139"/>
  <c r="O405" i="139"/>
  <c r="O406" i="139"/>
  <c r="O407" i="139"/>
  <c r="O408" i="139"/>
  <c r="O409" i="139"/>
  <c r="O410" i="139"/>
  <c r="O411" i="139"/>
  <c r="O412" i="139"/>
  <c r="O413" i="139"/>
  <c r="O414" i="139"/>
  <c r="O415" i="139"/>
  <c r="O416" i="139"/>
  <c r="O417" i="139"/>
  <c r="O418" i="139"/>
  <c r="O419" i="139"/>
  <c r="O420" i="139"/>
  <c r="O421" i="139"/>
  <c r="O422" i="139"/>
  <c r="O423" i="139"/>
  <c r="O424" i="139"/>
  <c r="O425" i="139"/>
  <c r="O426" i="139"/>
  <c r="O427" i="139"/>
  <c r="O428" i="139"/>
  <c r="O429" i="139"/>
  <c r="O430" i="139"/>
  <c r="O431" i="139"/>
  <c r="O432" i="139"/>
  <c r="O433" i="139"/>
  <c r="O434" i="139"/>
  <c r="O435" i="139"/>
  <c r="O436" i="139"/>
  <c r="O437" i="139"/>
  <c r="O438" i="139"/>
  <c r="O439" i="139"/>
  <c r="O440" i="139"/>
  <c r="O441" i="139"/>
  <c r="O442" i="139"/>
  <c r="O443" i="139"/>
  <c r="O444" i="139"/>
  <c r="O445" i="139"/>
  <c r="O446" i="139"/>
  <c r="O447" i="139"/>
  <c r="O448" i="139"/>
  <c r="O449" i="139"/>
  <c r="O450" i="139"/>
  <c r="O451" i="139"/>
  <c r="O452" i="139"/>
  <c r="O453" i="139"/>
  <c r="O454" i="139"/>
  <c r="O455" i="139"/>
  <c r="O456" i="139"/>
  <c r="O457" i="139"/>
  <c r="O458" i="139"/>
  <c r="O459" i="139"/>
  <c r="O460" i="139"/>
  <c r="O461" i="139"/>
  <c r="O462" i="139"/>
  <c r="O463" i="139"/>
  <c r="O464" i="139"/>
  <c r="O465" i="139"/>
  <c r="O466" i="139"/>
  <c r="O467" i="139"/>
  <c r="O468" i="139"/>
  <c r="O469" i="139"/>
  <c r="O470" i="139"/>
  <c r="O471" i="139"/>
  <c r="O472" i="139"/>
  <c r="O473" i="139"/>
  <c r="O474" i="139"/>
  <c r="O475" i="139"/>
  <c r="O476" i="139"/>
  <c r="O477" i="139"/>
  <c r="O478" i="139"/>
  <c r="O479" i="139"/>
  <c r="O480" i="139"/>
  <c r="O481" i="139"/>
  <c r="O482" i="139"/>
  <c r="O483" i="139"/>
  <c r="O484" i="139"/>
  <c r="O485" i="139"/>
  <c r="O486" i="139"/>
  <c r="O487" i="139"/>
  <c r="O488" i="139"/>
  <c r="O489" i="139"/>
  <c r="O490" i="139"/>
  <c r="O491" i="139"/>
  <c r="O492" i="139"/>
  <c r="O493" i="139"/>
  <c r="O494" i="139"/>
  <c r="O495" i="139"/>
  <c r="O496" i="139"/>
  <c r="O497" i="139"/>
  <c r="O498" i="139"/>
  <c r="O499" i="139"/>
  <c r="O500" i="139"/>
  <c r="O501" i="139"/>
  <c r="O502" i="139"/>
  <c r="O503" i="139"/>
  <c r="O504" i="139"/>
  <c r="O505" i="139"/>
  <c r="O506" i="139"/>
  <c r="O507" i="139"/>
  <c r="O508" i="139"/>
  <c r="O509" i="139"/>
  <c r="O510" i="139"/>
  <c r="O511" i="139"/>
  <c r="O512" i="139"/>
  <c r="O2" i="139"/>
  <c r="N271" i="139"/>
  <c r="N272" i="139" s="1"/>
  <c r="N273" i="139" s="1"/>
  <c r="N274" i="139" s="1"/>
  <c r="N275" i="139" s="1"/>
  <c r="N276" i="139" s="1"/>
  <c r="N277" i="139" s="1"/>
  <c r="N278" i="139" s="1"/>
  <c r="N279" i="139" s="1"/>
  <c r="N280" i="139" s="1"/>
  <c r="N281" i="139" s="1"/>
  <c r="N282" i="139" s="1"/>
  <c r="N283" i="139" s="1"/>
  <c r="N284" i="139" s="1"/>
  <c r="N285" i="139" s="1"/>
  <c r="N286" i="139" s="1"/>
  <c r="N287" i="139" s="1"/>
  <c r="N288" i="139" s="1"/>
  <c r="N289" i="139" s="1"/>
  <c r="N290" i="139" s="1"/>
  <c r="N291" i="139" s="1"/>
  <c r="N292" i="139" s="1"/>
  <c r="N293" i="139" s="1"/>
  <c r="N294" i="139" s="1"/>
  <c r="N295" i="139" s="1"/>
  <c r="N296" i="139" s="1"/>
  <c r="N297" i="139" s="1"/>
  <c r="N298" i="139" s="1"/>
  <c r="N299" i="139" s="1"/>
  <c r="N300" i="139" s="1"/>
  <c r="N301" i="139" s="1"/>
  <c r="N302" i="139" s="1"/>
  <c r="N303" i="139" s="1"/>
  <c r="N304" i="139" s="1"/>
  <c r="N305" i="139" s="1"/>
  <c r="N306" i="139" s="1"/>
  <c r="N307" i="139" s="1"/>
  <c r="N308" i="139" s="1"/>
  <c r="N309" i="139" s="1"/>
  <c r="N310" i="139" s="1"/>
  <c r="N311" i="139" s="1"/>
  <c r="N312" i="139" s="1"/>
  <c r="N313" i="139" s="1"/>
  <c r="N314" i="139" s="1"/>
  <c r="N315" i="139" s="1"/>
  <c r="N316" i="139" s="1"/>
  <c r="N317" i="139" s="1"/>
  <c r="N318" i="139" s="1"/>
  <c r="N319" i="139" s="1"/>
  <c r="N320" i="139" s="1"/>
  <c r="N321" i="139" s="1"/>
  <c r="N322" i="139" s="1"/>
  <c r="N323" i="139" s="1"/>
  <c r="N324" i="139" s="1"/>
  <c r="N325" i="139" s="1"/>
  <c r="N326" i="139" s="1"/>
  <c r="N327" i="139" s="1"/>
  <c r="N328" i="139" s="1"/>
  <c r="N329" i="139" s="1"/>
  <c r="N330" i="139" s="1"/>
  <c r="N331" i="139" s="1"/>
  <c r="N332" i="139" s="1"/>
  <c r="N333" i="139" s="1"/>
  <c r="N334" i="139" s="1"/>
  <c r="N335" i="139" s="1"/>
  <c r="N336" i="139" s="1"/>
  <c r="N337" i="139" s="1"/>
  <c r="N338" i="139" s="1"/>
  <c r="N339" i="139" s="1"/>
  <c r="N340" i="139" s="1"/>
  <c r="N341" i="139" s="1"/>
  <c r="N342" i="139" s="1"/>
  <c r="N343" i="139" s="1"/>
  <c r="N344" i="139" s="1"/>
  <c r="N345" i="139" s="1"/>
  <c r="N346" i="139" s="1"/>
  <c r="N347" i="139" s="1"/>
  <c r="N348" i="139" s="1"/>
  <c r="N349" i="139" s="1"/>
  <c r="N350" i="139" s="1"/>
  <c r="N351" i="139" s="1"/>
  <c r="N352" i="139" s="1"/>
  <c r="N353" i="139" s="1"/>
  <c r="N354" i="139" s="1"/>
  <c r="N355" i="139" s="1"/>
  <c r="N356" i="139" s="1"/>
  <c r="N357" i="139" s="1"/>
  <c r="N358" i="139" s="1"/>
  <c r="N359" i="139" s="1"/>
  <c r="N360" i="139" s="1"/>
  <c r="N361" i="139" s="1"/>
  <c r="N362" i="139" s="1"/>
  <c r="N363" i="139" s="1"/>
  <c r="N364" i="139" s="1"/>
  <c r="N365" i="139" s="1"/>
  <c r="N366" i="139" s="1"/>
  <c r="N367" i="139" s="1"/>
  <c r="N368" i="139" s="1"/>
  <c r="N369" i="139" s="1"/>
  <c r="N370" i="139" s="1"/>
  <c r="N371" i="139" s="1"/>
  <c r="N372" i="139" s="1"/>
  <c r="N373" i="139" s="1"/>
  <c r="N374" i="139" s="1"/>
  <c r="N375" i="139" s="1"/>
  <c r="N376" i="139" s="1"/>
  <c r="N377" i="139" s="1"/>
  <c r="N378" i="139" s="1"/>
  <c r="N379" i="139" s="1"/>
  <c r="N380" i="139" s="1"/>
  <c r="N381" i="139" s="1"/>
  <c r="N382" i="139" s="1"/>
  <c r="N383" i="139" s="1"/>
  <c r="N384" i="139" s="1"/>
  <c r="N385" i="139" s="1"/>
  <c r="N386" i="139" s="1"/>
  <c r="N387" i="139" s="1"/>
  <c r="N388" i="139" s="1"/>
  <c r="N389" i="139" s="1"/>
  <c r="N390" i="139" s="1"/>
  <c r="N391" i="139" s="1"/>
  <c r="N392" i="139" s="1"/>
  <c r="N393" i="139" s="1"/>
  <c r="N394" i="139" s="1"/>
  <c r="N395" i="139" s="1"/>
  <c r="N396" i="139" s="1"/>
  <c r="N397" i="139" s="1"/>
  <c r="N398" i="139" s="1"/>
  <c r="N399" i="139" s="1"/>
  <c r="N400" i="139" s="1"/>
  <c r="P271" i="139"/>
  <c r="P272" i="139" s="1"/>
  <c r="P273" i="139" s="1"/>
  <c r="P274" i="139" s="1"/>
  <c r="P275" i="139" s="1"/>
  <c r="P276" i="139" s="1"/>
  <c r="P277" i="139" s="1"/>
  <c r="P278" i="139" s="1"/>
  <c r="P279" i="139" s="1"/>
  <c r="P280" i="139" s="1"/>
  <c r="P281" i="139" s="1"/>
  <c r="P282" i="139" s="1"/>
  <c r="P283" i="139" s="1"/>
  <c r="P284" i="139" s="1"/>
  <c r="P285" i="139" s="1"/>
  <c r="P286" i="139" s="1"/>
  <c r="P287" i="139" s="1"/>
  <c r="P288" i="139" s="1"/>
  <c r="P289" i="139" s="1"/>
  <c r="P290" i="139" s="1"/>
  <c r="P291" i="139" s="1"/>
  <c r="P292" i="139" s="1"/>
  <c r="P293" i="139" s="1"/>
  <c r="P294" i="139" s="1"/>
  <c r="P295" i="139" s="1"/>
  <c r="P296" i="139" s="1"/>
  <c r="P297" i="139" s="1"/>
  <c r="P298" i="139" s="1"/>
  <c r="P299" i="139" s="1"/>
  <c r="P300" i="139" s="1"/>
  <c r="P301" i="139" s="1"/>
  <c r="P302" i="139" s="1"/>
  <c r="P303" i="139" s="1"/>
  <c r="P304" i="139" s="1"/>
  <c r="P305" i="139" s="1"/>
  <c r="P306" i="139" s="1"/>
  <c r="P307" i="139" s="1"/>
  <c r="P308" i="139" s="1"/>
  <c r="P309" i="139" s="1"/>
  <c r="P310" i="139" s="1"/>
  <c r="P311" i="139" s="1"/>
  <c r="P312" i="139" s="1"/>
  <c r="P313" i="139" s="1"/>
  <c r="P314" i="139" s="1"/>
  <c r="P315" i="139" s="1"/>
  <c r="P316" i="139" s="1"/>
  <c r="P317" i="139" s="1"/>
  <c r="P318" i="139" s="1"/>
  <c r="P319" i="139" s="1"/>
  <c r="P320" i="139" s="1"/>
  <c r="P321" i="139" s="1"/>
  <c r="P322" i="139" s="1"/>
  <c r="P323" i="139" s="1"/>
  <c r="P324" i="139" s="1"/>
  <c r="P325" i="139" s="1"/>
  <c r="P326" i="139" s="1"/>
  <c r="P327" i="139" s="1"/>
  <c r="P328" i="139" s="1"/>
  <c r="P329" i="139" s="1"/>
  <c r="P330" i="139" s="1"/>
  <c r="P331" i="139" s="1"/>
  <c r="P332" i="139" s="1"/>
  <c r="P333" i="139" s="1"/>
  <c r="P334" i="139" s="1"/>
  <c r="P335" i="139" s="1"/>
  <c r="P336" i="139" s="1"/>
  <c r="P337" i="139" s="1"/>
  <c r="P338" i="139" s="1"/>
  <c r="P339" i="139" s="1"/>
  <c r="P340" i="139" s="1"/>
  <c r="P341" i="139" s="1"/>
  <c r="P342" i="139" s="1"/>
  <c r="P343" i="139" s="1"/>
  <c r="P344" i="139" s="1"/>
  <c r="P345" i="139" s="1"/>
  <c r="P346" i="139" s="1"/>
  <c r="P347" i="139" s="1"/>
  <c r="P348" i="139" s="1"/>
  <c r="P349" i="139" s="1"/>
  <c r="P350" i="139" s="1"/>
  <c r="P351" i="139" s="1"/>
  <c r="P352" i="139" s="1"/>
  <c r="P353" i="139" s="1"/>
  <c r="P354" i="139" s="1"/>
  <c r="P355" i="139" s="1"/>
  <c r="P356" i="139" s="1"/>
  <c r="P357" i="139" s="1"/>
  <c r="P358" i="139" s="1"/>
  <c r="P359" i="139" s="1"/>
  <c r="P360" i="139" s="1"/>
  <c r="P361" i="139" s="1"/>
  <c r="P362" i="139" s="1"/>
  <c r="P363" i="139" s="1"/>
  <c r="P364" i="139" s="1"/>
  <c r="P365" i="139" s="1"/>
  <c r="P366" i="139" s="1"/>
  <c r="P367" i="139" s="1"/>
  <c r="P368" i="139" s="1"/>
  <c r="P369" i="139" s="1"/>
  <c r="P370" i="139" s="1"/>
  <c r="P371" i="139" s="1"/>
  <c r="P372" i="139" s="1"/>
  <c r="P373" i="139" s="1"/>
  <c r="P374" i="139" s="1"/>
  <c r="P375" i="139" s="1"/>
  <c r="P376" i="139" s="1"/>
  <c r="P377" i="139" s="1"/>
  <c r="P378" i="139" s="1"/>
  <c r="P379" i="139" s="1"/>
  <c r="P380" i="139" s="1"/>
  <c r="P381" i="139" s="1"/>
  <c r="P382" i="139" s="1"/>
  <c r="P383" i="139" s="1"/>
  <c r="P384" i="139" s="1"/>
  <c r="P385" i="139" s="1"/>
  <c r="P386" i="139" s="1"/>
  <c r="P387" i="139" s="1"/>
  <c r="P388" i="139" s="1"/>
  <c r="P389" i="139" s="1"/>
  <c r="P390" i="139" s="1"/>
  <c r="P391" i="139" s="1"/>
  <c r="P392" i="139" s="1"/>
  <c r="P393" i="139" s="1"/>
  <c r="P394" i="139" s="1"/>
  <c r="P395" i="139" s="1"/>
  <c r="P396" i="139" s="1"/>
  <c r="P397" i="139" s="1"/>
  <c r="P398" i="139" s="1"/>
  <c r="P399" i="139" s="1"/>
  <c r="P400" i="139" s="1"/>
  <c r="P401" i="139" s="1"/>
  <c r="P402" i="139" s="1"/>
  <c r="P403" i="139" s="1"/>
  <c r="P404" i="139" s="1"/>
  <c r="P405" i="139" s="1"/>
  <c r="P406" i="139" s="1"/>
  <c r="P407" i="139" s="1"/>
  <c r="P408" i="139" s="1"/>
  <c r="P409" i="139" s="1"/>
  <c r="P410" i="139" s="1"/>
  <c r="P411" i="139" s="1"/>
  <c r="P412" i="139" s="1"/>
  <c r="P413" i="139" s="1"/>
  <c r="P414" i="139" s="1"/>
  <c r="P415" i="139" s="1"/>
  <c r="P416" i="139" s="1"/>
  <c r="P417" i="139" s="1"/>
  <c r="P418" i="139" s="1"/>
  <c r="P419" i="139" s="1"/>
  <c r="P420" i="139" s="1"/>
  <c r="P421" i="139" s="1"/>
  <c r="P422" i="139" s="1"/>
  <c r="P423" i="139" s="1"/>
  <c r="P424" i="139" s="1"/>
  <c r="P425" i="139" s="1"/>
  <c r="P426" i="139" s="1"/>
  <c r="P427" i="139" s="1"/>
  <c r="P428" i="139" s="1"/>
  <c r="P429" i="139" s="1"/>
  <c r="P430" i="139" s="1"/>
  <c r="P431" i="139" s="1"/>
  <c r="P432" i="139" s="1"/>
  <c r="P433" i="139" s="1"/>
  <c r="P434" i="139" s="1"/>
  <c r="P435" i="139" s="1"/>
  <c r="P436" i="139" s="1"/>
  <c r="P437" i="139" s="1"/>
  <c r="P438" i="139" s="1"/>
  <c r="P439" i="139" s="1"/>
  <c r="P440" i="139" s="1"/>
  <c r="P441" i="139" s="1"/>
  <c r="P442" i="139" s="1"/>
  <c r="P443" i="139" s="1"/>
  <c r="P444" i="139" s="1"/>
  <c r="P445" i="139" s="1"/>
  <c r="P446" i="139" s="1"/>
  <c r="P447" i="139" s="1"/>
  <c r="P448" i="139" s="1"/>
  <c r="P449" i="139" s="1"/>
  <c r="P450" i="139" s="1"/>
  <c r="P451" i="139" s="1"/>
  <c r="P452" i="139" s="1"/>
  <c r="P453" i="139" s="1"/>
  <c r="P454" i="139" s="1"/>
  <c r="P455" i="139" s="1"/>
  <c r="P456" i="139" s="1"/>
  <c r="P457" i="139" s="1"/>
  <c r="P458" i="139" s="1"/>
  <c r="P459" i="139" s="1"/>
  <c r="P460" i="139" s="1"/>
  <c r="P461" i="139" s="1"/>
  <c r="P462" i="139" s="1"/>
  <c r="P463" i="139" s="1"/>
  <c r="P464" i="139" s="1"/>
  <c r="P465" i="139" s="1"/>
  <c r="P466" i="139" s="1"/>
  <c r="P467" i="139" s="1"/>
  <c r="P468" i="139" s="1"/>
  <c r="P469" i="139" s="1"/>
  <c r="P470" i="139" s="1"/>
  <c r="P471" i="139" s="1"/>
  <c r="P472" i="139" s="1"/>
  <c r="P473" i="139" s="1"/>
  <c r="P474" i="139" s="1"/>
  <c r="P475" i="139" s="1"/>
  <c r="P476" i="139" s="1"/>
  <c r="P477" i="139" s="1"/>
  <c r="P478" i="139" s="1"/>
  <c r="P479" i="139" s="1"/>
  <c r="P480" i="139" s="1"/>
  <c r="P481" i="139" s="1"/>
  <c r="P482" i="139" s="1"/>
  <c r="P483" i="139" s="1"/>
  <c r="P484" i="139" s="1"/>
  <c r="P485" i="139" s="1"/>
  <c r="P486" i="139" s="1"/>
  <c r="P487" i="139" s="1"/>
  <c r="P488" i="139" s="1"/>
  <c r="P489" i="139" s="1"/>
  <c r="P490" i="139" s="1"/>
  <c r="P491" i="139" s="1"/>
  <c r="P492" i="139" s="1"/>
  <c r="P493" i="139" s="1"/>
  <c r="P494" i="139" s="1"/>
  <c r="P495" i="139" s="1"/>
  <c r="P496" i="139" s="1"/>
  <c r="P497" i="139" s="1"/>
  <c r="P498" i="139" s="1"/>
  <c r="P499" i="139" s="1"/>
  <c r="P500" i="139" s="1"/>
  <c r="P501" i="139" s="1"/>
  <c r="P502" i="139" s="1"/>
  <c r="P503" i="139" s="1"/>
  <c r="P504" i="139" s="1"/>
  <c r="P505" i="139" s="1"/>
  <c r="P506" i="139" s="1"/>
  <c r="P507" i="139" s="1"/>
  <c r="P508" i="139" s="1"/>
  <c r="P509" i="139" s="1"/>
  <c r="P510" i="139" s="1"/>
  <c r="P511" i="139" s="1"/>
  <c r="P512" i="139" s="1"/>
  <c r="N401" i="139"/>
  <c r="N402" i="139" s="1"/>
  <c r="N403" i="139" s="1"/>
  <c r="N404" i="139" s="1"/>
  <c r="N405" i="139" s="1"/>
  <c r="N406" i="139" s="1"/>
  <c r="N407" i="139" s="1"/>
  <c r="N408" i="139" s="1"/>
  <c r="N409" i="139" s="1"/>
  <c r="N410" i="139" s="1"/>
  <c r="N411" i="139"/>
  <c r="N412" i="139" s="1"/>
  <c r="N413" i="139" s="1"/>
  <c r="N414" i="139" s="1"/>
  <c r="N415" i="139" s="1"/>
  <c r="N416" i="139" s="1"/>
  <c r="N417" i="139" s="1"/>
  <c r="N418" i="139" s="1"/>
  <c r="N419" i="139" s="1"/>
  <c r="N420" i="139" s="1"/>
  <c r="N421" i="139" s="1"/>
  <c r="N422" i="139" s="1"/>
  <c r="N423" i="139" s="1"/>
  <c r="N424" i="139" s="1"/>
  <c r="N425" i="139" s="1"/>
  <c r="N426" i="139" s="1"/>
  <c r="N427" i="139" s="1"/>
  <c r="N428" i="139" s="1"/>
  <c r="N429" i="139" s="1"/>
  <c r="N430" i="139" s="1"/>
  <c r="N431" i="139" s="1"/>
  <c r="N432" i="139" s="1"/>
  <c r="N433" i="139" s="1"/>
  <c r="N434" i="139" s="1"/>
  <c r="N435" i="139" s="1"/>
  <c r="N436" i="139" s="1"/>
  <c r="N437" i="139" s="1"/>
  <c r="N438" i="139" s="1"/>
  <c r="N439" i="139" s="1"/>
  <c r="N440" i="139" s="1"/>
  <c r="N441" i="139" s="1"/>
  <c r="N442" i="139" s="1"/>
  <c r="N443" i="139" s="1"/>
  <c r="N444" i="139" s="1"/>
  <c r="N445" i="139" s="1"/>
  <c r="N446" i="139" s="1"/>
  <c r="N447" i="139" s="1"/>
  <c r="N448" i="139" s="1"/>
  <c r="N449" i="139" s="1"/>
  <c r="N450" i="139" s="1"/>
  <c r="N451" i="139" s="1"/>
  <c r="N452" i="139" s="1"/>
  <c r="N453" i="139" s="1"/>
  <c r="N454" i="139" s="1"/>
  <c r="N455" i="139" s="1"/>
  <c r="N456" i="139" s="1"/>
  <c r="N457" i="139" s="1"/>
  <c r="N458" i="139" s="1"/>
  <c r="N459" i="139" s="1"/>
  <c r="N460" i="139" s="1"/>
  <c r="N461" i="139" s="1"/>
  <c r="N462" i="139" s="1"/>
  <c r="N463" i="139" s="1"/>
  <c r="N464" i="139" s="1"/>
  <c r="N465" i="139" s="1"/>
  <c r="N466" i="139" s="1"/>
  <c r="N467" i="139" s="1"/>
  <c r="N468" i="139" s="1"/>
  <c r="N469" i="139" s="1"/>
  <c r="N470" i="139" s="1"/>
  <c r="N471" i="139" s="1"/>
  <c r="N472" i="139" s="1"/>
  <c r="N473" i="139" s="1"/>
  <c r="N474" i="139" s="1"/>
  <c r="N475" i="139" s="1"/>
  <c r="N476" i="139" s="1"/>
  <c r="N477" i="139" s="1"/>
  <c r="N478" i="139" s="1"/>
  <c r="N479" i="139" s="1"/>
  <c r="N480" i="139" s="1"/>
  <c r="N481" i="139" s="1"/>
  <c r="N482" i="139" s="1"/>
  <c r="N483" i="139" s="1"/>
  <c r="N484" i="139" s="1"/>
  <c r="N485" i="139" s="1"/>
  <c r="N486" i="139" s="1"/>
  <c r="N487" i="139" s="1"/>
  <c r="N488" i="139" s="1"/>
  <c r="N489" i="139" s="1"/>
  <c r="N490" i="139" s="1"/>
  <c r="N491" i="139" s="1"/>
  <c r="N492" i="139" s="1"/>
  <c r="N493" i="139" s="1"/>
  <c r="N494" i="139" s="1"/>
  <c r="N495" i="139" s="1"/>
  <c r="N496" i="139" s="1"/>
  <c r="N497" i="139" s="1"/>
  <c r="N498" i="139" s="1"/>
  <c r="N499" i="139" s="1"/>
  <c r="N500" i="139" s="1"/>
  <c r="N501" i="139" s="1"/>
  <c r="N502" i="139" s="1"/>
  <c r="N503" i="139" s="1"/>
  <c r="N504" i="139" s="1"/>
  <c r="N505" i="139" s="1"/>
  <c r="N506" i="139" s="1"/>
  <c r="N507" i="139" s="1"/>
  <c r="N508" i="139" s="1"/>
  <c r="N509" i="139" s="1"/>
  <c r="N510" i="139" s="1"/>
  <c r="N511" i="139" s="1"/>
  <c r="N512" i="139" s="1"/>
  <c r="B3" i="139"/>
  <c r="B4" i="139" s="1"/>
  <c r="B5" i="139" s="1"/>
  <c r="B6" i="139" s="1"/>
  <c r="B7" i="139" s="1"/>
  <c r="B8" i="139" s="1"/>
  <c r="B9" i="139" s="1"/>
  <c r="B10" i="139" s="1"/>
  <c r="B11" i="139" s="1"/>
  <c r="B12" i="139" s="1"/>
  <c r="B13" i="139" s="1"/>
  <c r="B14" i="139" s="1"/>
  <c r="B15" i="139" s="1"/>
  <c r="B16" i="139" s="1"/>
  <c r="B17" i="139" s="1"/>
  <c r="B18" i="139" s="1"/>
  <c r="B19" i="139" s="1"/>
  <c r="B20" i="139" s="1"/>
  <c r="B21" i="139" s="1"/>
  <c r="B22" i="139" s="1"/>
  <c r="B23" i="139" s="1"/>
  <c r="B24" i="139" s="1"/>
  <c r="B25" i="139" s="1"/>
  <c r="B26" i="139" s="1"/>
  <c r="B27" i="139" s="1"/>
  <c r="B28" i="139" s="1"/>
  <c r="B29" i="139" s="1"/>
  <c r="B30" i="139" s="1"/>
  <c r="B31" i="139" s="1"/>
  <c r="B32" i="139" s="1"/>
  <c r="B33" i="139" s="1"/>
  <c r="B34" i="139" s="1"/>
  <c r="B35" i="139" s="1"/>
  <c r="B36" i="139" s="1"/>
  <c r="B37" i="139" s="1"/>
  <c r="B38" i="139" s="1"/>
  <c r="B39" i="139" s="1"/>
  <c r="B40" i="139" s="1"/>
  <c r="B41" i="139" s="1"/>
  <c r="B42" i="139" s="1"/>
  <c r="B43" i="139" s="1"/>
  <c r="B44" i="139" s="1"/>
  <c r="B45" i="139" s="1"/>
  <c r="B46" i="139" s="1"/>
  <c r="B47" i="139" s="1"/>
  <c r="B48" i="139" s="1"/>
  <c r="B49" i="139" s="1"/>
  <c r="B50" i="139" s="1"/>
  <c r="B51" i="139" s="1"/>
  <c r="B52" i="139" s="1"/>
  <c r="B53" i="139" s="1"/>
  <c r="B54" i="139" s="1"/>
  <c r="B55" i="139" s="1"/>
  <c r="B56" i="139" s="1"/>
  <c r="B57" i="139" s="1"/>
  <c r="B58" i="139" s="1"/>
  <c r="B59" i="139" s="1"/>
  <c r="B60" i="139" s="1"/>
  <c r="B61" i="139" s="1"/>
  <c r="B62" i="139" s="1"/>
  <c r="B63" i="139" s="1"/>
  <c r="B64" i="139" s="1"/>
  <c r="B65" i="139" s="1"/>
  <c r="B66" i="139" s="1"/>
  <c r="B67" i="139" s="1"/>
  <c r="B68" i="139" s="1"/>
  <c r="B69" i="139" s="1"/>
  <c r="B70" i="139" s="1"/>
  <c r="B71" i="139" s="1"/>
  <c r="B72" i="139" s="1"/>
  <c r="B73" i="139" s="1"/>
  <c r="B74" i="139" s="1"/>
  <c r="B75" i="139" s="1"/>
  <c r="B76" i="139" s="1"/>
  <c r="B77" i="139" s="1"/>
  <c r="B78" i="139" s="1"/>
  <c r="B79" i="139" s="1"/>
  <c r="B80" i="139" s="1"/>
  <c r="B81" i="139" s="1"/>
  <c r="B82" i="139" s="1"/>
  <c r="B83" i="139" s="1"/>
  <c r="B84" i="139" s="1"/>
  <c r="B85" i="139" s="1"/>
  <c r="B86" i="139" s="1"/>
  <c r="B87" i="139" s="1"/>
  <c r="B88" i="139" s="1"/>
  <c r="B89" i="139" s="1"/>
  <c r="B90" i="139" s="1"/>
  <c r="B91" i="139" s="1"/>
  <c r="B92" i="139" s="1"/>
  <c r="B93" i="139" s="1"/>
  <c r="B94" i="139" s="1"/>
  <c r="B95" i="139" s="1"/>
  <c r="B96" i="139" s="1"/>
  <c r="B97" i="139" s="1"/>
  <c r="B98" i="139" s="1"/>
  <c r="B99" i="139" s="1"/>
  <c r="B100" i="139" s="1"/>
  <c r="B101" i="139" s="1"/>
  <c r="B102" i="139" s="1"/>
  <c r="B103" i="139" s="1"/>
  <c r="B104" i="139" s="1"/>
  <c r="B105" i="139" s="1"/>
  <c r="B106" i="139" s="1"/>
  <c r="B107" i="139" s="1"/>
  <c r="B108" i="139" s="1"/>
  <c r="B109" i="139" s="1"/>
  <c r="B110" i="139" s="1"/>
  <c r="B111" i="139" s="1"/>
  <c r="B112" i="139" s="1"/>
  <c r="B113" i="139" s="1"/>
  <c r="B114" i="139" s="1"/>
  <c r="B115" i="139" s="1"/>
  <c r="B116" i="139" s="1"/>
  <c r="B117" i="139" s="1"/>
  <c r="B118" i="139" s="1"/>
  <c r="B119" i="139" s="1"/>
  <c r="B120" i="139" s="1"/>
  <c r="B121" i="139" s="1"/>
  <c r="B122" i="139" s="1"/>
  <c r="B123" i="139" s="1"/>
  <c r="B124" i="139" s="1"/>
  <c r="B125" i="139" s="1"/>
  <c r="B126" i="139" s="1"/>
  <c r="B127" i="139" s="1"/>
  <c r="B128" i="139" s="1"/>
  <c r="B129" i="139" s="1"/>
  <c r="B130" i="139" s="1"/>
  <c r="B131" i="139" s="1"/>
  <c r="B132" i="139" s="1"/>
  <c r="B133" i="139" s="1"/>
  <c r="B134" i="139" s="1"/>
  <c r="B135" i="139" s="1"/>
  <c r="B136" i="139" s="1"/>
  <c r="B137" i="139" s="1"/>
  <c r="B138" i="139" s="1"/>
  <c r="B139" i="139" s="1"/>
  <c r="B140" i="139" s="1"/>
  <c r="B141" i="139" s="1"/>
  <c r="B142" i="139" s="1"/>
  <c r="B143" i="139" s="1"/>
  <c r="B144" i="139" s="1"/>
  <c r="B145" i="139" s="1"/>
  <c r="B146" i="139" s="1"/>
  <c r="B147" i="139" s="1"/>
  <c r="B148" i="139" s="1"/>
  <c r="B149" i="139" s="1"/>
  <c r="B150" i="139" s="1"/>
  <c r="B151" i="139" s="1"/>
  <c r="B152" i="139" s="1"/>
  <c r="B153" i="139" s="1"/>
  <c r="B154" i="139" s="1"/>
  <c r="B155" i="139" s="1"/>
  <c r="B156" i="139" s="1"/>
  <c r="B157" i="139" s="1"/>
  <c r="B158" i="139" s="1"/>
  <c r="B159" i="139" s="1"/>
  <c r="B160" i="139" s="1"/>
  <c r="B161" i="139" s="1"/>
  <c r="B162" i="139" s="1"/>
  <c r="B163" i="139" s="1"/>
  <c r="B164" i="139" s="1"/>
  <c r="B165" i="139" s="1"/>
  <c r="B166" i="139" s="1"/>
  <c r="B167" i="139" s="1"/>
  <c r="B168" i="139" s="1"/>
  <c r="B169" i="139" s="1"/>
  <c r="B170" i="139" s="1"/>
  <c r="B171" i="139" s="1"/>
  <c r="B172" i="139" s="1"/>
  <c r="B173" i="139" s="1"/>
  <c r="B174" i="139" s="1"/>
  <c r="B175" i="139" s="1"/>
  <c r="B176" i="139" s="1"/>
  <c r="B177" i="139" s="1"/>
  <c r="B178" i="139" s="1"/>
  <c r="B179" i="139" s="1"/>
  <c r="B180" i="139" s="1"/>
  <c r="B181" i="139" s="1"/>
  <c r="B182" i="139" s="1"/>
  <c r="B183" i="139" s="1"/>
  <c r="B184" i="139" s="1"/>
  <c r="B185" i="139" s="1"/>
  <c r="B186" i="139" s="1"/>
  <c r="B187" i="139" s="1"/>
  <c r="B188" i="139" s="1"/>
  <c r="B189" i="139" s="1"/>
  <c r="B190" i="139" s="1"/>
  <c r="B191" i="139" s="1"/>
  <c r="B192" i="139" s="1"/>
  <c r="B193" i="139" s="1"/>
  <c r="B194" i="139" s="1"/>
  <c r="B195" i="139" s="1"/>
  <c r="B196" i="139" s="1"/>
  <c r="B197" i="139" s="1"/>
  <c r="B198" i="139" s="1"/>
  <c r="B199" i="139" s="1"/>
  <c r="B200" i="139" s="1"/>
  <c r="B201" i="139" s="1"/>
  <c r="B202" i="139" s="1"/>
  <c r="B203" i="139" s="1"/>
  <c r="B204" i="139" s="1"/>
  <c r="B205" i="139" s="1"/>
  <c r="B206" i="139" s="1"/>
  <c r="B207" i="139" s="1"/>
  <c r="B208" i="139" s="1"/>
  <c r="B209" i="139" s="1"/>
  <c r="B210" i="139" s="1"/>
  <c r="B211" i="139" s="1"/>
  <c r="B212" i="139" s="1"/>
  <c r="B213" i="139" s="1"/>
  <c r="B214" i="139" s="1"/>
  <c r="B215" i="139" s="1"/>
  <c r="B216" i="139" s="1"/>
  <c r="B217" i="139" s="1"/>
  <c r="B218" i="139" s="1"/>
  <c r="B219" i="139" s="1"/>
  <c r="B220" i="139" s="1"/>
  <c r="B221" i="139" s="1"/>
  <c r="B222" i="139" s="1"/>
  <c r="B223" i="139" s="1"/>
  <c r="B224" i="139" s="1"/>
  <c r="B225" i="139" s="1"/>
  <c r="B226" i="139" s="1"/>
  <c r="B227" i="139" s="1"/>
  <c r="B228" i="139" s="1"/>
  <c r="B229" i="139" s="1"/>
  <c r="B230" i="139" s="1"/>
  <c r="B231" i="139" s="1"/>
  <c r="B232" i="139" s="1"/>
  <c r="B233" i="139" s="1"/>
  <c r="B234" i="139" s="1"/>
  <c r="B235" i="139" s="1"/>
  <c r="B236" i="139" s="1"/>
  <c r="B237" i="139" s="1"/>
  <c r="B238" i="139" s="1"/>
  <c r="B239" i="139" s="1"/>
  <c r="B240" i="139" s="1"/>
  <c r="B241" i="139" s="1"/>
  <c r="B242" i="139" s="1"/>
  <c r="B243" i="139" s="1"/>
  <c r="B244" i="139" s="1"/>
  <c r="C3" i="139"/>
  <c r="C4" i="139" s="1"/>
  <c r="C5" i="139" s="1"/>
  <c r="C6" i="139" s="1"/>
  <c r="C7" i="139" s="1"/>
  <c r="C8" i="139" s="1"/>
  <c r="C9" i="139" s="1"/>
  <c r="C10" i="139" s="1"/>
  <c r="C11" i="139" s="1"/>
  <c r="C12" i="139" s="1"/>
  <c r="C13" i="139" s="1"/>
  <c r="C14" i="139" s="1"/>
  <c r="C15" i="139" s="1"/>
  <c r="C16" i="139" s="1"/>
  <c r="C17" i="139" s="1"/>
  <c r="C18" i="139" s="1"/>
  <c r="C19" i="139" s="1"/>
  <c r="C20" i="139" s="1"/>
  <c r="C21" i="139" s="1"/>
  <c r="C22" i="139" s="1"/>
  <c r="C23" i="139" s="1"/>
  <c r="C24" i="139" s="1"/>
  <c r="C25" i="139" s="1"/>
  <c r="C26" i="139" s="1"/>
  <c r="C27" i="139" s="1"/>
  <c r="C28" i="139" s="1"/>
  <c r="C29" i="139" s="1"/>
  <c r="C30" i="139" s="1"/>
  <c r="C31" i="139" s="1"/>
  <c r="C32" i="139" s="1"/>
  <c r="C33" i="139" s="1"/>
  <c r="C34" i="139" s="1"/>
  <c r="C35" i="139" s="1"/>
  <c r="C36" i="139" s="1"/>
  <c r="C37" i="139" s="1"/>
  <c r="C38" i="139" s="1"/>
  <c r="C39" i="139" s="1"/>
  <c r="C40" i="139" s="1"/>
  <c r="C41" i="139" s="1"/>
  <c r="C42" i="139" s="1"/>
  <c r="C43" i="139" s="1"/>
  <c r="C44" i="139" s="1"/>
  <c r="C45" i="139" s="1"/>
  <c r="C46" i="139" s="1"/>
  <c r="C47" i="139" s="1"/>
  <c r="C48" i="139" s="1"/>
  <c r="C49" i="139" s="1"/>
  <c r="C50" i="139" s="1"/>
  <c r="C51" i="139" s="1"/>
  <c r="C52" i="139" s="1"/>
  <c r="C53" i="139" s="1"/>
  <c r="C54" i="139" s="1"/>
  <c r="C55" i="139" s="1"/>
  <c r="C56" i="139" s="1"/>
  <c r="C57" i="139" s="1"/>
  <c r="C58" i="139" s="1"/>
  <c r="C59" i="139" s="1"/>
  <c r="C60" i="139" s="1"/>
  <c r="C61" i="139" s="1"/>
  <c r="C62" i="139" s="1"/>
  <c r="C63" i="139" s="1"/>
  <c r="C64" i="139" s="1"/>
  <c r="C65" i="139" s="1"/>
  <c r="C66" i="139" s="1"/>
  <c r="C67" i="139" s="1"/>
  <c r="C68" i="139" s="1"/>
  <c r="C69" i="139" s="1"/>
  <c r="C70" i="139" s="1"/>
  <c r="C71" i="139" s="1"/>
  <c r="C72" i="139" s="1"/>
  <c r="C73" i="139" s="1"/>
  <c r="C74" i="139" s="1"/>
  <c r="C75" i="139" s="1"/>
  <c r="C76" i="139" s="1"/>
  <c r="C77" i="139" s="1"/>
  <c r="C78" i="139" s="1"/>
  <c r="C79" i="139" s="1"/>
  <c r="C80" i="139" s="1"/>
  <c r="C81" i="139" s="1"/>
  <c r="C82" i="139" s="1"/>
  <c r="C83" i="139" s="1"/>
  <c r="C84" i="139" s="1"/>
  <c r="C85" i="139" s="1"/>
  <c r="C86" i="139" s="1"/>
  <c r="C87" i="139" s="1"/>
  <c r="C88" i="139" s="1"/>
  <c r="C89" i="139" s="1"/>
  <c r="C90" i="139" s="1"/>
  <c r="C91" i="139" s="1"/>
  <c r="C92" i="139" s="1"/>
  <c r="C93" i="139" s="1"/>
  <c r="C94" i="139" s="1"/>
  <c r="C95" i="139" s="1"/>
  <c r="C96" i="139" s="1"/>
  <c r="C97" i="139" s="1"/>
  <c r="C98" i="139" s="1"/>
  <c r="C99" i="139" s="1"/>
  <c r="C100" i="139" s="1"/>
  <c r="C101" i="139" s="1"/>
  <c r="C102" i="139" s="1"/>
  <c r="C103" i="139" s="1"/>
  <c r="C104" i="139" s="1"/>
  <c r="C105" i="139" s="1"/>
  <c r="C106" i="139" s="1"/>
  <c r="C107" i="139" s="1"/>
  <c r="C108" i="139" s="1"/>
  <c r="C109" i="139" s="1"/>
  <c r="C110" i="139" s="1"/>
  <c r="C111" i="139" s="1"/>
  <c r="C112" i="139" s="1"/>
  <c r="C113" i="139" s="1"/>
  <c r="C114" i="139" s="1"/>
  <c r="C115" i="139" s="1"/>
  <c r="C116" i="139" s="1"/>
  <c r="C117" i="139" s="1"/>
  <c r="C118" i="139" s="1"/>
  <c r="C119" i="139" s="1"/>
  <c r="C120" i="139" s="1"/>
  <c r="C121" i="139" s="1"/>
  <c r="C122" i="139" s="1"/>
  <c r="C123" i="139" s="1"/>
  <c r="C124" i="139" s="1"/>
  <c r="C125" i="139" s="1"/>
  <c r="C126" i="139" s="1"/>
  <c r="C127" i="139" s="1"/>
  <c r="C128" i="139" s="1"/>
  <c r="C129" i="139" s="1"/>
  <c r="C130" i="139" s="1"/>
  <c r="C131" i="139" s="1"/>
  <c r="C132" i="139" s="1"/>
  <c r="C133" i="139" s="1"/>
  <c r="C134" i="139" s="1"/>
  <c r="C135" i="139" s="1"/>
  <c r="C136" i="139" s="1"/>
  <c r="C137" i="139" s="1"/>
  <c r="C138" i="139" s="1"/>
  <c r="C139" i="139" s="1"/>
  <c r="C140" i="139" s="1"/>
  <c r="C141" i="139" s="1"/>
  <c r="C142" i="139" s="1"/>
  <c r="C143" i="139" s="1"/>
  <c r="C144" i="139" s="1"/>
  <c r="C145" i="139" s="1"/>
  <c r="C146" i="139" s="1"/>
  <c r="C147" i="139" s="1"/>
  <c r="C148" i="139" s="1"/>
  <c r="C149" i="139" s="1"/>
  <c r="C150" i="139" s="1"/>
  <c r="C151" i="139" s="1"/>
  <c r="C152" i="139" s="1"/>
  <c r="C153" i="139" s="1"/>
  <c r="C154" i="139" s="1"/>
  <c r="C155" i="139" s="1"/>
  <c r="C156" i="139" s="1"/>
  <c r="C157" i="139" s="1"/>
  <c r="C158" i="139" s="1"/>
  <c r="C159" i="139" s="1"/>
  <c r="C160" i="139" s="1"/>
  <c r="C161" i="139" s="1"/>
  <c r="C162" i="139" s="1"/>
  <c r="C163" i="139" s="1"/>
  <c r="C164" i="139" s="1"/>
  <c r="C165" i="139" s="1"/>
  <c r="C166" i="139" s="1"/>
  <c r="C167" i="139" s="1"/>
  <c r="C168" i="139" s="1"/>
  <c r="C169" i="139" s="1"/>
  <c r="C170" i="139" s="1"/>
  <c r="C171" i="139" s="1"/>
  <c r="C172" i="139" s="1"/>
  <c r="C173" i="139" s="1"/>
  <c r="C174" i="139" s="1"/>
  <c r="C175" i="139" s="1"/>
  <c r="C176" i="139" s="1"/>
  <c r="C177" i="139" s="1"/>
  <c r="C178" i="139" s="1"/>
  <c r="C179" i="139" s="1"/>
  <c r="C180" i="139" s="1"/>
  <c r="C181" i="139" s="1"/>
  <c r="C182" i="139" s="1"/>
  <c r="C183" i="139" s="1"/>
  <c r="C184" i="139" s="1"/>
  <c r="C185" i="139" s="1"/>
  <c r="C186" i="139" s="1"/>
  <c r="C187" i="139" s="1"/>
  <c r="C188" i="139" s="1"/>
  <c r="C189" i="139" s="1"/>
  <c r="C190" i="139" s="1"/>
  <c r="C191" i="139" s="1"/>
  <c r="C192" i="139" s="1"/>
  <c r="C193" i="139" s="1"/>
  <c r="C194" i="139" s="1"/>
  <c r="C195" i="139" s="1"/>
  <c r="C196" i="139" s="1"/>
  <c r="C197" i="139" s="1"/>
  <c r="C198" i="139" s="1"/>
  <c r="C199" i="139" s="1"/>
  <c r="C200" i="139" s="1"/>
  <c r="C201" i="139" s="1"/>
  <c r="C202" i="139" s="1"/>
  <c r="C203" i="139" s="1"/>
  <c r="C204" i="139" s="1"/>
  <c r="C205" i="139" s="1"/>
  <c r="C206" i="139" s="1"/>
  <c r="C207" i="139" s="1"/>
  <c r="C208" i="139" s="1"/>
  <c r="C209" i="139" s="1"/>
  <c r="C210" i="139" s="1"/>
  <c r="C211" i="139" s="1"/>
  <c r="C212" i="139" s="1"/>
  <c r="C213" i="139" s="1"/>
  <c r="C214" i="139" s="1"/>
  <c r="C215" i="139" s="1"/>
  <c r="C216" i="139" s="1"/>
  <c r="C217" i="139" s="1"/>
  <c r="C218" i="139" s="1"/>
  <c r="C219" i="139" s="1"/>
  <c r="C220" i="139" s="1"/>
  <c r="C221" i="139" s="1"/>
  <c r="C222" i="139" s="1"/>
  <c r="C223" i="139" s="1"/>
  <c r="C224" i="139" s="1"/>
  <c r="C225" i="139" s="1"/>
  <c r="C226" i="139" s="1"/>
  <c r="C227" i="139" s="1"/>
  <c r="C228" i="139" s="1"/>
  <c r="C229" i="139" s="1"/>
  <c r="C230" i="139" s="1"/>
  <c r="C231" i="139" s="1"/>
  <c r="C232" i="139" s="1"/>
  <c r="C233" i="139" s="1"/>
  <c r="C234" i="139" s="1"/>
  <c r="C235" i="139" s="1"/>
  <c r="C236" i="139" s="1"/>
  <c r="C237" i="139" s="1"/>
  <c r="C238" i="139" s="1"/>
  <c r="C239" i="139" s="1"/>
  <c r="C240" i="139" s="1"/>
  <c r="C241" i="139" s="1"/>
  <c r="C242" i="139" s="1"/>
  <c r="C243" i="139" s="1"/>
  <c r="C244" i="139" s="1"/>
  <c r="A3" i="139"/>
  <c r="A4" i="139" s="1"/>
  <c r="A5" i="139" s="1"/>
  <c r="A6" i="139" s="1"/>
  <c r="A7" i="139" s="1"/>
  <c r="A8" i="139" s="1"/>
  <c r="A9" i="139" s="1"/>
  <c r="A10" i="139" s="1"/>
  <c r="A11" i="139" s="1"/>
  <c r="A12" i="139" s="1"/>
  <c r="A13" i="139" s="1"/>
  <c r="A14" i="139" s="1"/>
  <c r="A15" i="139" s="1"/>
  <c r="A16" i="139" s="1"/>
  <c r="A17" i="139" s="1"/>
  <c r="A18" i="139" s="1"/>
  <c r="A19" i="139" s="1"/>
  <c r="A20" i="139" s="1"/>
  <c r="A21" i="139" s="1"/>
  <c r="A22" i="139" s="1"/>
  <c r="A23" i="139" s="1"/>
  <c r="A24" i="139" s="1"/>
  <c r="A25" i="139" s="1"/>
  <c r="A26" i="139" s="1"/>
  <c r="A27" i="139" s="1"/>
  <c r="A28" i="139" s="1"/>
  <c r="A29" i="139" s="1"/>
  <c r="A30" i="139" s="1"/>
  <c r="A31" i="139" s="1"/>
  <c r="A32" i="139" s="1"/>
  <c r="A33" i="139" s="1"/>
  <c r="A34" i="139" s="1"/>
  <c r="A35" i="139" s="1"/>
  <c r="A36" i="139" s="1"/>
  <c r="A37" i="139" s="1"/>
  <c r="A38" i="139" s="1"/>
  <c r="A39" i="139" s="1"/>
  <c r="A40" i="139" s="1"/>
  <c r="A41" i="139" s="1"/>
  <c r="A42" i="139" s="1"/>
  <c r="A43" i="139" s="1"/>
  <c r="A44" i="139" s="1"/>
  <c r="A45" i="139" s="1"/>
  <c r="A46" i="139" s="1"/>
  <c r="A47" i="139" s="1"/>
  <c r="A48" i="139" s="1"/>
  <c r="A49" i="139" s="1"/>
  <c r="A50" i="139" s="1"/>
  <c r="A51" i="139" s="1"/>
  <c r="A52" i="139" s="1"/>
  <c r="A53" i="139" s="1"/>
  <c r="A54" i="139" s="1"/>
  <c r="A55" i="139" s="1"/>
  <c r="A56" i="139" s="1"/>
  <c r="A57" i="139" s="1"/>
  <c r="A58" i="139" s="1"/>
  <c r="A59" i="139" s="1"/>
  <c r="A60" i="139" s="1"/>
  <c r="A61" i="139" s="1"/>
  <c r="A62" i="139" s="1"/>
  <c r="A63" i="139" s="1"/>
  <c r="A64" i="139" s="1"/>
  <c r="A65" i="139" s="1"/>
  <c r="A66" i="139" s="1"/>
  <c r="A67" i="139" s="1"/>
  <c r="A68" i="139" s="1"/>
  <c r="A69" i="139" s="1"/>
  <c r="A70" i="139" s="1"/>
  <c r="A71" i="139" s="1"/>
  <c r="A72" i="139" s="1"/>
  <c r="A73" i="139" s="1"/>
  <c r="A74" i="139" s="1"/>
  <c r="A75" i="139" s="1"/>
  <c r="A76" i="139" s="1"/>
  <c r="A77" i="139" s="1"/>
  <c r="A78" i="139" s="1"/>
  <c r="A79" i="139" s="1"/>
  <c r="A80" i="139" s="1"/>
  <c r="A81" i="139" s="1"/>
  <c r="A82" i="139" s="1"/>
  <c r="A83" i="139" s="1"/>
  <c r="A84" i="139" s="1"/>
  <c r="A85" i="139" s="1"/>
  <c r="A86" i="139" s="1"/>
  <c r="A87" i="139" s="1"/>
  <c r="A88" i="139" s="1"/>
  <c r="A89" i="139" s="1"/>
  <c r="A90" i="139" s="1"/>
  <c r="A91" i="139" s="1"/>
  <c r="A92" i="139" s="1"/>
  <c r="A93" i="139" s="1"/>
  <c r="A94" i="139" s="1"/>
  <c r="A95" i="139" s="1"/>
  <c r="A96" i="139" s="1"/>
  <c r="A97" i="139" s="1"/>
  <c r="A98" i="139" s="1"/>
  <c r="A99" i="139" s="1"/>
  <c r="A100" i="139" s="1"/>
  <c r="A101" i="139" s="1"/>
  <c r="A102" i="139" s="1"/>
  <c r="A103" i="139" s="1"/>
  <c r="A104" i="139" s="1"/>
  <c r="A105" i="139" s="1"/>
  <c r="A106" i="139" s="1"/>
  <c r="A107" i="139" s="1"/>
  <c r="A108" i="139" s="1"/>
  <c r="A109" i="139" s="1"/>
  <c r="A110" i="139" s="1"/>
  <c r="A111" i="139" s="1"/>
  <c r="A112" i="139" s="1"/>
  <c r="A113" i="139" s="1"/>
  <c r="A114" i="139" s="1"/>
  <c r="A115" i="139" s="1"/>
  <c r="A116" i="139" s="1"/>
  <c r="A117" i="139" s="1"/>
  <c r="A118" i="139" s="1"/>
  <c r="A119" i="139" s="1"/>
  <c r="A120" i="139" s="1"/>
  <c r="A121" i="139" s="1"/>
  <c r="A122" i="139" s="1"/>
  <c r="A123" i="139" s="1"/>
  <c r="A124" i="139" s="1"/>
  <c r="A125" i="139" s="1"/>
  <c r="A126" i="139" s="1"/>
  <c r="A127" i="139" s="1"/>
  <c r="A128" i="139" s="1"/>
  <c r="A129" i="139" s="1"/>
  <c r="A130" i="139" s="1"/>
  <c r="A131" i="139" s="1"/>
  <c r="A132" i="139" s="1"/>
  <c r="A133" i="139" s="1"/>
  <c r="A134" i="139" s="1"/>
  <c r="A135" i="139" s="1"/>
  <c r="A136" i="139" s="1"/>
  <c r="A137" i="139" s="1"/>
  <c r="A138" i="139" s="1"/>
  <c r="A139" i="139" s="1"/>
  <c r="A140" i="139" s="1"/>
  <c r="A141" i="139" s="1"/>
  <c r="A142" i="139" s="1"/>
  <c r="A143" i="139" s="1"/>
  <c r="A144" i="139" s="1"/>
  <c r="A145" i="139" s="1"/>
  <c r="A146" i="139" s="1"/>
  <c r="A147" i="139" s="1"/>
  <c r="A148" i="139" s="1"/>
  <c r="A149" i="139" s="1"/>
  <c r="A150" i="139" s="1"/>
  <c r="A151" i="139" s="1"/>
  <c r="A152" i="139" s="1"/>
  <c r="A153" i="139" s="1"/>
  <c r="A154" i="139" s="1"/>
  <c r="A155" i="139" s="1"/>
  <c r="A156" i="139" s="1"/>
  <c r="A157" i="139" s="1"/>
  <c r="A158" i="139" s="1"/>
  <c r="A159" i="139" s="1"/>
  <c r="A160" i="139" s="1"/>
  <c r="A161" i="139" s="1"/>
  <c r="A162" i="139" s="1"/>
  <c r="A163" i="139" s="1"/>
  <c r="A164" i="139" s="1"/>
  <c r="A165" i="139" s="1"/>
  <c r="A166" i="139" s="1"/>
  <c r="A167" i="139" s="1"/>
  <c r="A168" i="139" s="1"/>
  <c r="A169" i="139" s="1"/>
  <c r="A170" i="139" s="1"/>
  <c r="A171" i="139" s="1"/>
  <c r="A172" i="139" s="1"/>
  <c r="A173" i="139" s="1"/>
  <c r="A174" i="139" s="1"/>
  <c r="A175" i="139" s="1"/>
  <c r="A176" i="139" s="1"/>
  <c r="A177" i="139" s="1"/>
  <c r="A178" i="139" s="1"/>
  <c r="A179" i="139" s="1"/>
  <c r="A180" i="139" s="1"/>
  <c r="A181" i="139" s="1"/>
  <c r="A182" i="139" s="1"/>
  <c r="A183" i="139" s="1"/>
  <c r="A184" i="139" s="1"/>
  <c r="A185" i="139" s="1"/>
  <c r="A186" i="139" s="1"/>
  <c r="A187" i="139" s="1"/>
  <c r="A188" i="139" s="1"/>
  <c r="A189" i="139" s="1"/>
  <c r="A190" i="139" s="1"/>
  <c r="A191" i="139" s="1"/>
  <c r="A192" i="139" s="1"/>
  <c r="A193" i="139" s="1"/>
  <c r="A194" i="139" s="1"/>
  <c r="A195" i="139" s="1"/>
  <c r="A196" i="139" s="1"/>
  <c r="A197" i="139" s="1"/>
  <c r="A198" i="139" s="1"/>
  <c r="A199" i="139" s="1"/>
  <c r="A200" i="139" s="1"/>
  <c r="A201" i="139" s="1"/>
  <c r="A202" i="139" s="1"/>
  <c r="A203" i="139" s="1"/>
  <c r="A204" i="139" s="1"/>
  <c r="A205" i="139" s="1"/>
  <c r="A206" i="139" s="1"/>
  <c r="A207" i="139" s="1"/>
  <c r="A208" i="139" s="1"/>
  <c r="A209" i="139" s="1"/>
  <c r="A210" i="139" s="1"/>
  <c r="A211" i="139" s="1"/>
  <c r="A212" i="139" s="1"/>
  <c r="A213" i="139" s="1"/>
  <c r="A214" i="139" s="1"/>
  <c r="A215" i="139" s="1"/>
  <c r="A216" i="139" s="1"/>
  <c r="A217" i="139" s="1"/>
  <c r="A218" i="139" s="1"/>
  <c r="A219" i="139" s="1"/>
  <c r="A220" i="139" s="1"/>
  <c r="A221" i="139" s="1"/>
  <c r="A222" i="139" s="1"/>
  <c r="A223" i="139" s="1"/>
  <c r="A224" i="139" s="1"/>
  <c r="A225" i="139" s="1"/>
  <c r="A226" i="139" s="1"/>
  <c r="A227" i="139" s="1"/>
  <c r="A228" i="139" s="1"/>
  <c r="A229" i="139" s="1"/>
  <c r="A230" i="139" s="1"/>
  <c r="A231" i="139" s="1"/>
  <c r="A232" i="139" s="1"/>
  <c r="A233" i="139" s="1"/>
  <c r="A234" i="139" s="1"/>
  <c r="A235" i="139" s="1"/>
  <c r="A236" i="139" s="1"/>
  <c r="A237" i="139" s="1"/>
  <c r="A238" i="139" s="1"/>
  <c r="A239" i="139" s="1"/>
  <c r="A240" i="139" s="1"/>
  <c r="A241" i="139" s="1"/>
  <c r="A242" i="139" s="1"/>
  <c r="A243" i="139" s="1"/>
  <c r="A244" i="139" s="1"/>
  <c r="N3" i="139"/>
  <c r="N4" i="139" s="1"/>
  <c r="N5" i="139" s="1"/>
  <c r="N6" i="139" s="1"/>
  <c r="N7" i="139" s="1"/>
  <c r="N8" i="139" s="1"/>
  <c r="N9" i="139" s="1"/>
  <c r="N10" i="139" s="1"/>
  <c r="N11" i="139" s="1"/>
  <c r="N12" i="139" s="1"/>
  <c r="N13" i="139" s="1"/>
  <c r="N14" i="139" s="1"/>
  <c r="N15" i="139" s="1"/>
  <c r="N16" i="139" s="1"/>
  <c r="N17" i="139" s="1"/>
  <c r="N18" i="139" s="1"/>
  <c r="N19" i="139" s="1"/>
  <c r="N20" i="139" s="1"/>
  <c r="N21" i="139" s="1"/>
  <c r="N22" i="139" s="1"/>
  <c r="N23" i="139" s="1"/>
  <c r="N24" i="139" s="1"/>
  <c r="N25" i="139" s="1"/>
  <c r="N26" i="139" s="1"/>
  <c r="N27" i="139" s="1"/>
  <c r="N28" i="139" s="1"/>
  <c r="N29" i="139" s="1"/>
  <c r="N30" i="139" s="1"/>
  <c r="N31" i="139" s="1"/>
  <c r="N32" i="139" s="1"/>
  <c r="N33" i="139" s="1"/>
  <c r="N34" i="139" s="1"/>
  <c r="N35" i="139" s="1"/>
  <c r="N36" i="139" s="1"/>
  <c r="N37" i="139" s="1"/>
  <c r="N38" i="139" s="1"/>
  <c r="N39" i="139" s="1"/>
  <c r="N40" i="139" s="1"/>
  <c r="N41" i="139" s="1"/>
  <c r="N42" i="139" s="1"/>
  <c r="N43" i="139" s="1"/>
  <c r="N44" i="139" s="1"/>
  <c r="N45" i="139" s="1"/>
  <c r="N46" i="139" s="1"/>
  <c r="N47" i="139" s="1"/>
  <c r="N48" i="139" s="1"/>
  <c r="N49" i="139" s="1"/>
  <c r="N50" i="139" s="1"/>
  <c r="N51" i="139" s="1"/>
  <c r="N52" i="139" s="1"/>
  <c r="N53" i="139" s="1"/>
  <c r="N54" i="139" s="1"/>
  <c r="N55" i="139" s="1"/>
  <c r="N56" i="139" s="1"/>
  <c r="N57" i="139" s="1"/>
  <c r="N58" i="139" s="1"/>
  <c r="N59" i="139" s="1"/>
  <c r="N60" i="139" s="1"/>
  <c r="N61" i="139" s="1"/>
  <c r="N62" i="139" s="1"/>
  <c r="N63" i="139" s="1"/>
  <c r="N64" i="139" s="1"/>
  <c r="N65" i="139" s="1"/>
  <c r="N66" i="139" s="1"/>
  <c r="N67" i="139" s="1"/>
  <c r="N68" i="139" s="1"/>
  <c r="N69" i="139" s="1"/>
  <c r="N70" i="139" s="1"/>
  <c r="N71" i="139" s="1"/>
  <c r="N72" i="139" s="1"/>
  <c r="N73" i="139" s="1"/>
  <c r="N74" i="139" s="1"/>
  <c r="N75" i="139" s="1"/>
  <c r="N76" i="139" s="1"/>
  <c r="N77" i="139" s="1"/>
  <c r="N78" i="139" s="1"/>
  <c r="N79" i="139" s="1"/>
  <c r="N80" i="139" s="1"/>
  <c r="N81" i="139" s="1"/>
  <c r="N82" i="139" s="1"/>
  <c r="N83" i="139" s="1"/>
  <c r="N84" i="139" s="1"/>
  <c r="N85" i="139" s="1"/>
  <c r="N86" i="139" s="1"/>
  <c r="N87" i="139" s="1"/>
  <c r="N88" i="139" s="1"/>
  <c r="N89" i="139" s="1"/>
  <c r="N90" i="139" s="1"/>
  <c r="N91" i="139" s="1"/>
  <c r="N92" i="139" s="1"/>
  <c r="N93" i="139" s="1"/>
  <c r="N94" i="139" s="1"/>
  <c r="N95" i="139" s="1"/>
  <c r="N96" i="139" s="1"/>
  <c r="N97" i="139" s="1"/>
  <c r="N98" i="139" s="1"/>
  <c r="N99" i="139" s="1"/>
  <c r="N100" i="139" s="1"/>
  <c r="N101" i="139" s="1"/>
  <c r="N102" i="139" s="1"/>
  <c r="N103" i="139" s="1"/>
  <c r="N104" i="139" s="1"/>
  <c r="N105" i="139" s="1"/>
  <c r="N106" i="139" s="1"/>
  <c r="N107" i="139" s="1"/>
  <c r="N108" i="139" s="1"/>
  <c r="N109" i="139" s="1"/>
  <c r="N110" i="139" s="1"/>
  <c r="N111" i="139" s="1"/>
  <c r="N112" i="139" s="1"/>
  <c r="N113" i="139" s="1"/>
  <c r="N114" i="139" s="1"/>
  <c r="N115" i="139" s="1"/>
  <c r="N116" i="139" s="1"/>
  <c r="N117" i="139" s="1"/>
  <c r="N118" i="139" s="1"/>
  <c r="N119" i="139" s="1"/>
  <c r="N120" i="139" s="1"/>
  <c r="N121" i="139" s="1"/>
  <c r="N122" i="139" s="1"/>
  <c r="N123" i="139" s="1"/>
  <c r="N124" i="139" s="1"/>
  <c r="N125" i="139" s="1"/>
  <c r="N126" i="139" s="1"/>
  <c r="N127" i="139" s="1"/>
  <c r="N128" i="139" s="1"/>
  <c r="N129" i="139" s="1"/>
  <c r="N130" i="139" s="1"/>
  <c r="N131" i="139" s="1"/>
  <c r="N132" i="139" s="1"/>
  <c r="N133" i="139" s="1"/>
  <c r="N134" i="139" s="1"/>
  <c r="N135" i="139" s="1"/>
  <c r="N136" i="139" s="1"/>
  <c r="N137" i="139" s="1"/>
  <c r="N138" i="139" s="1"/>
  <c r="N139" i="139" s="1"/>
  <c r="N140" i="139" s="1"/>
  <c r="N141" i="139" s="1"/>
  <c r="N142" i="139" s="1"/>
  <c r="N143" i="139" s="1"/>
  <c r="N144" i="139" s="1"/>
  <c r="N145" i="139" s="1"/>
  <c r="N146" i="139" s="1"/>
  <c r="N147" i="139" s="1"/>
  <c r="N148" i="139" s="1"/>
  <c r="N149" i="139" s="1"/>
  <c r="N150" i="139" s="1"/>
  <c r="N151" i="139" s="1"/>
  <c r="N152" i="139" s="1"/>
  <c r="N153" i="139" s="1"/>
  <c r="N154" i="139" s="1"/>
  <c r="N155" i="139" s="1"/>
  <c r="N156" i="139" s="1"/>
  <c r="N157" i="139" s="1"/>
  <c r="N158" i="139" s="1"/>
  <c r="N159" i="139" s="1"/>
  <c r="N160" i="139" s="1"/>
  <c r="N161" i="139" s="1"/>
  <c r="N162" i="139" s="1"/>
  <c r="N163" i="139" s="1"/>
  <c r="N164" i="139" s="1"/>
  <c r="N165" i="139" s="1"/>
  <c r="N166" i="139" s="1"/>
  <c r="N167" i="139" s="1"/>
  <c r="N168" i="139" s="1"/>
  <c r="N169" i="139" s="1"/>
  <c r="N170" i="139" s="1"/>
  <c r="N171" i="139" s="1"/>
  <c r="N172" i="139" s="1"/>
  <c r="N173" i="139" s="1"/>
  <c r="N174" i="139" s="1"/>
  <c r="N175" i="139" s="1"/>
  <c r="N176" i="139" s="1"/>
  <c r="N177" i="139" s="1"/>
  <c r="N178" i="139" s="1"/>
  <c r="N179" i="139" s="1"/>
  <c r="N180" i="139" s="1"/>
  <c r="N181" i="139" s="1"/>
  <c r="N182" i="139" s="1"/>
  <c r="N183" i="139" s="1"/>
  <c r="N184" i="139" s="1"/>
  <c r="N185" i="139" s="1"/>
  <c r="N186" i="139" s="1"/>
  <c r="N187" i="139" s="1"/>
  <c r="N188" i="139" s="1"/>
  <c r="N189" i="139" s="1"/>
  <c r="N190" i="139" s="1"/>
  <c r="N191" i="139" s="1"/>
  <c r="N192" i="139" s="1"/>
  <c r="N193" i="139" s="1"/>
  <c r="N194" i="139" s="1"/>
  <c r="N195" i="139" s="1"/>
  <c r="N196" i="139" s="1"/>
  <c r="N197" i="139" s="1"/>
  <c r="N198" i="139" s="1"/>
  <c r="N199" i="139" s="1"/>
  <c r="N200" i="139" s="1"/>
  <c r="N201" i="139" s="1"/>
  <c r="N202" i="139" s="1"/>
  <c r="N203" i="139" s="1"/>
  <c r="N204" i="139" s="1"/>
  <c r="N205" i="139" s="1"/>
  <c r="N206" i="139" s="1"/>
  <c r="N207" i="139" s="1"/>
  <c r="N208" i="139" s="1"/>
  <c r="N209" i="139" s="1"/>
  <c r="N210" i="139" s="1"/>
  <c r="N211" i="139" s="1"/>
  <c r="N212" i="139" s="1"/>
  <c r="N213" i="139" s="1"/>
  <c r="N214" i="139" s="1"/>
  <c r="N215" i="139" s="1"/>
  <c r="N216" i="139" s="1"/>
  <c r="N217" i="139" s="1"/>
  <c r="N218" i="139" s="1"/>
  <c r="N219" i="139" s="1"/>
  <c r="N220" i="139" s="1"/>
  <c r="N221" i="139" s="1"/>
  <c r="N222" i="139" s="1"/>
  <c r="N223" i="139" s="1"/>
  <c r="N224" i="139" s="1"/>
  <c r="N225" i="139" s="1"/>
  <c r="N226" i="139" s="1"/>
  <c r="N227" i="139" s="1"/>
  <c r="N228" i="139" s="1"/>
  <c r="N229" i="139" s="1"/>
  <c r="N230" i="139" s="1"/>
  <c r="N231" i="139" s="1"/>
  <c r="N232" i="139" s="1"/>
  <c r="N233" i="139" s="1"/>
  <c r="N234" i="139" s="1"/>
  <c r="N235" i="139" s="1"/>
  <c r="N236" i="139" s="1"/>
  <c r="N237" i="139" s="1"/>
  <c r="N238" i="139" s="1"/>
  <c r="N239" i="139" s="1"/>
  <c r="N240" i="139" s="1"/>
  <c r="N241" i="139" s="1"/>
  <c r="N242" i="139" s="1"/>
  <c r="N243" i="139" s="1"/>
  <c r="N244" i="139" s="1"/>
  <c r="O4" i="120"/>
  <c r="O5" i="120" s="1"/>
  <c r="O6" i="120" s="1"/>
  <c r="O7" i="120" s="1"/>
  <c r="O8" i="120" s="1"/>
  <c r="O9" i="120" s="1"/>
  <c r="O10" i="120" s="1"/>
  <c r="O11" i="120" s="1"/>
  <c r="O12" i="120" s="1"/>
  <c r="O13" i="120" s="1"/>
  <c r="O14" i="120" s="1"/>
  <c r="O15" i="120" s="1"/>
  <c r="O16" i="120" s="1"/>
  <c r="O17" i="120" s="1"/>
  <c r="O18" i="120" s="1"/>
  <c r="O19" i="120" s="1"/>
  <c r="O20" i="120" s="1"/>
  <c r="O21" i="120" s="1"/>
  <c r="O22" i="120" s="1"/>
  <c r="O23" i="120" s="1"/>
  <c r="O24" i="120" s="1"/>
  <c r="O25" i="120" s="1"/>
  <c r="O26" i="120" s="1"/>
  <c r="O27" i="120" s="1"/>
  <c r="O28" i="120" s="1"/>
  <c r="O29" i="120" s="1"/>
  <c r="O30" i="120" s="1"/>
  <c r="O31" i="120" s="1"/>
  <c r="O32" i="120" s="1"/>
  <c r="O33" i="120" s="1"/>
  <c r="O34" i="120" s="1"/>
  <c r="O35" i="120" s="1"/>
  <c r="O36" i="120" s="1"/>
  <c r="O37" i="120" s="1"/>
  <c r="O38" i="120" s="1"/>
  <c r="O39" i="120" s="1"/>
  <c r="O40" i="120" s="1"/>
  <c r="O41" i="120" s="1"/>
  <c r="O42" i="120" s="1"/>
  <c r="O43" i="120" s="1"/>
  <c r="O44" i="120" s="1"/>
  <c r="O45" i="120" s="1"/>
  <c r="O46" i="120" s="1"/>
  <c r="O47" i="120" s="1"/>
  <c r="O48" i="120" s="1"/>
  <c r="O49" i="120" s="1"/>
  <c r="O50" i="120" s="1"/>
  <c r="O51" i="120" s="1"/>
  <c r="O52" i="120" s="1"/>
  <c r="O53" i="120" s="1"/>
  <c r="O54" i="120" s="1"/>
  <c r="O55" i="120" s="1"/>
  <c r="O56" i="120" s="1"/>
  <c r="O57" i="120" s="1"/>
  <c r="O58" i="120" s="1"/>
  <c r="O59" i="120" s="1"/>
  <c r="O60" i="120" s="1"/>
  <c r="O61" i="120" s="1"/>
  <c r="O62" i="120" s="1"/>
  <c r="O63" i="120" s="1"/>
  <c r="O64" i="120" s="1"/>
  <c r="O65" i="120" s="1"/>
  <c r="O66" i="120" s="1"/>
  <c r="O67" i="120" s="1"/>
  <c r="O68" i="120" s="1"/>
  <c r="O69" i="120" s="1"/>
  <c r="O70" i="120" s="1"/>
  <c r="O71" i="120" s="1"/>
  <c r="O3" i="120"/>
  <c r="N245" i="139" l="1"/>
  <c r="N246" i="139" s="1"/>
  <c r="N247" i="139" s="1"/>
  <c r="N248" i="139" s="1"/>
  <c r="N249" i="139" s="1"/>
  <c r="N250" i="139" s="1"/>
  <c r="N251" i="139" s="1"/>
  <c r="N252" i="139" s="1"/>
  <c r="N253" i="139" s="1"/>
  <c r="N254" i="139" s="1"/>
  <c r="N255" i="139" s="1"/>
  <c r="N256" i="139" s="1"/>
  <c r="N257" i="139" s="1"/>
  <c r="N258" i="139" s="1"/>
  <c r="N259" i="139" s="1"/>
  <c r="N260" i="139" s="1"/>
  <c r="N261" i="139" s="1"/>
  <c r="N262" i="139" s="1"/>
  <c r="N263" i="139" s="1"/>
  <c r="N264" i="139" s="1"/>
  <c r="N265" i="139" s="1"/>
  <c r="N266" i="139" s="1"/>
  <c r="N267" i="139" s="1"/>
  <c r="N268" i="139" s="1"/>
  <c r="N269" i="139" s="1"/>
  <c r="N3" i="90" l="1"/>
  <c r="N4" i="90" s="1"/>
  <c r="N5" i="90" s="1"/>
  <c r="N6" i="90" s="1"/>
  <c r="N7" i="90" s="1"/>
  <c r="N8" i="90" s="1"/>
  <c r="N9" i="90" s="1"/>
  <c r="N10" i="90" s="1"/>
  <c r="N11" i="90" s="1"/>
  <c r="N12" i="90" s="1"/>
  <c r="N13" i="90" s="1"/>
  <c r="N14" i="90" s="1"/>
  <c r="N15" i="90" s="1"/>
  <c r="N16" i="90" s="1"/>
  <c r="N17" i="90" s="1"/>
  <c r="N18" i="90" s="1"/>
  <c r="N19" i="90" s="1"/>
  <c r="N20" i="90" s="1"/>
  <c r="N21" i="90" s="1"/>
  <c r="N22" i="90" s="1"/>
  <c r="N23" i="90" s="1"/>
  <c r="N24" i="90" s="1"/>
  <c r="N25" i="90" s="1"/>
  <c r="N26" i="90" s="1"/>
  <c r="N27" i="90" s="1"/>
  <c r="N28" i="90" s="1"/>
  <c r="N29" i="90" s="1"/>
  <c r="N30" i="90" s="1"/>
  <c r="N31" i="90" s="1"/>
  <c r="N32" i="90" s="1"/>
  <c r="N33" i="90" s="1"/>
  <c r="N34" i="90" s="1"/>
  <c r="N35" i="90" s="1"/>
  <c r="N36" i="90" s="1"/>
  <c r="N37" i="90" s="1"/>
  <c r="N38" i="90" s="1"/>
  <c r="N39" i="90" s="1"/>
  <c r="N40" i="90" s="1"/>
  <c r="N41" i="90" s="1"/>
  <c r="N42" i="90" s="1"/>
  <c r="N43" i="90" s="1"/>
  <c r="N44" i="90" s="1"/>
  <c r="N45" i="90" s="1"/>
  <c r="N46" i="90" s="1"/>
  <c r="N47" i="90" s="1"/>
  <c r="N48" i="90" s="1"/>
  <c r="N49" i="90" s="1"/>
  <c r="N50" i="90" s="1"/>
  <c r="N51" i="90" s="1"/>
  <c r="N52" i="90" s="1"/>
  <c r="N53" i="90" s="1"/>
  <c r="N54" i="90" s="1"/>
  <c r="N55" i="90" s="1"/>
  <c r="N56" i="90" s="1"/>
  <c r="N57" i="90" s="1"/>
  <c r="N58" i="90" s="1"/>
  <c r="N59" i="90" s="1"/>
  <c r="N60" i="90" s="1"/>
  <c r="N61" i="90" s="1"/>
  <c r="N62" i="90" s="1"/>
  <c r="N63" i="90" s="1"/>
  <c r="N64" i="90" s="1"/>
  <c r="N65" i="90" s="1"/>
  <c r="N66" i="90" s="1"/>
  <c r="N67" i="90" s="1"/>
  <c r="N68" i="90" s="1"/>
  <c r="N69" i="90" s="1"/>
  <c r="N70" i="90" s="1"/>
  <c r="N71" i="90" s="1"/>
  <c r="N72" i="90" s="1"/>
  <c r="N73" i="90" s="1"/>
  <c r="N74" i="90" s="1"/>
  <c r="N75" i="90" s="1"/>
  <c r="N76" i="90" s="1"/>
  <c r="N77" i="90" s="1"/>
  <c r="N78" i="90" s="1"/>
  <c r="N79" i="90" s="1"/>
  <c r="N80" i="90" s="1"/>
  <c r="N81" i="90" s="1"/>
  <c r="N82" i="90" s="1"/>
  <c r="N83" i="90" s="1"/>
  <c r="N84" i="90" s="1"/>
  <c r="N85" i="90" s="1"/>
  <c r="N86" i="90" s="1"/>
  <c r="N87" i="90" s="1"/>
  <c r="N88" i="90" s="1"/>
  <c r="N89" i="90" s="1"/>
  <c r="N90" i="90" s="1"/>
  <c r="N91" i="90" s="1"/>
  <c r="N92" i="90" s="1"/>
  <c r="N93" i="90" s="1"/>
  <c r="N94" i="90" s="1"/>
  <c r="N95" i="90" s="1"/>
  <c r="N96" i="90" s="1"/>
  <c r="N97" i="90" s="1"/>
  <c r="N98" i="90" s="1"/>
  <c r="N99" i="90" s="1"/>
  <c r="N100" i="90" s="1"/>
  <c r="N101" i="90" s="1"/>
  <c r="N102" i="90" s="1"/>
  <c r="N103" i="90" s="1"/>
  <c r="N104" i="90" s="1"/>
  <c r="N105" i="90" s="1"/>
  <c r="N106" i="90" s="1"/>
  <c r="N107" i="90" s="1"/>
  <c r="N108" i="90" s="1"/>
  <c r="N109" i="90" s="1"/>
  <c r="N110" i="90" s="1"/>
  <c r="N111" i="90" s="1"/>
  <c r="N112" i="90" s="1"/>
  <c r="N113" i="90" s="1"/>
  <c r="N114" i="90" s="1"/>
  <c r="N115" i="90" s="1"/>
  <c r="N116" i="90" s="1"/>
  <c r="N117" i="90" s="1"/>
  <c r="N118" i="90" s="1"/>
  <c r="N119" i="90" s="1"/>
  <c r="N120" i="90" s="1"/>
  <c r="N121" i="90" s="1"/>
  <c r="N122" i="90" s="1"/>
  <c r="N123" i="90" s="1"/>
  <c r="N124" i="90" s="1"/>
  <c r="N125" i="90" s="1"/>
  <c r="N126" i="90" s="1"/>
  <c r="N127" i="90" s="1"/>
  <c r="N128" i="90" s="1"/>
  <c r="N129" i="90" s="1"/>
  <c r="N130" i="90" s="1"/>
  <c r="N131" i="90" s="1"/>
  <c r="N132" i="90" s="1"/>
  <c r="N133" i="90" s="1"/>
  <c r="N134" i="90" s="1"/>
  <c r="N135" i="90" s="1"/>
  <c r="N136" i="90" s="1"/>
  <c r="N137" i="90" s="1"/>
  <c r="N138" i="90" s="1"/>
  <c r="N139" i="90" s="1"/>
  <c r="N140" i="90" s="1"/>
  <c r="N141" i="90" s="1"/>
  <c r="N142" i="90" s="1"/>
  <c r="N143" i="90" s="1"/>
  <c r="N144" i="90" s="1"/>
  <c r="N145" i="90" s="1"/>
  <c r="N146" i="90" s="1"/>
  <c r="N147" i="90" s="1"/>
  <c r="N148" i="90" s="1"/>
  <c r="N149" i="90" s="1"/>
  <c r="N150" i="90" s="1"/>
  <c r="N151" i="90" s="1"/>
  <c r="N152" i="90" s="1"/>
  <c r="N153" i="90" s="1"/>
  <c r="N154" i="90" s="1"/>
  <c r="N155" i="90" s="1"/>
  <c r="N156" i="90" s="1"/>
  <c r="N157" i="90" s="1"/>
  <c r="N158" i="90" s="1"/>
  <c r="N159" i="90" s="1"/>
  <c r="N160" i="90" s="1"/>
  <c r="N161" i="90" s="1"/>
  <c r="N162" i="90" s="1"/>
  <c r="N163" i="90" s="1"/>
  <c r="N164" i="90" s="1"/>
  <c r="N165" i="90" s="1"/>
  <c r="N166" i="90" s="1"/>
  <c r="N167" i="90" s="1"/>
  <c r="N168" i="90" s="1"/>
  <c r="N169" i="90" s="1"/>
  <c r="N170" i="90" s="1"/>
  <c r="N171" i="90" s="1"/>
  <c r="N172" i="90" s="1"/>
  <c r="N173" i="90" s="1"/>
  <c r="N174" i="90" s="1"/>
  <c r="N175" i="90" s="1"/>
  <c r="N176" i="90" s="1"/>
  <c r="N177" i="90" s="1"/>
  <c r="N178" i="90" s="1"/>
  <c r="N179" i="90" s="1"/>
  <c r="N180" i="90" s="1"/>
  <c r="N181" i="90" s="1"/>
  <c r="N182" i="90" s="1"/>
  <c r="N183" i="90" s="1"/>
  <c r="N184" i="90" s="1"/>
  <c r="N185" i="90" s="1"/>
  <c r="N186" i="90" s="1"/>
  <c r="N187" i="90" s="1"/>
  <c r="N188" i="90" s="1"/>
  <c r="N189" i="90" s="1"/>
  <c r="N190" i="90" s="1"/>
  <c r="N191" i="90" s="1"/>
  <c r="N192" i="90" s="1"/>
  <c r="N193" i="90" s="1"/>
  <c r="N194" i="90" s="1"/>
  <c r="N195" i="90" s="1"/>
  <c r="N196" i="90" s="1"/>
  <c r="N197" i="90" s="1"/>
  <c r="N198" i="90" s="1"/>
  <c r="N199" i="90" s="1"/>
  <c r="N200" i="90" s="1"/>
  <c r="N201" i="90" s="1"/>
  <c r="N202" i="90" s="1"/>
  <c r="N203" i="90" s="1"/>
  <c r="N204" i="90" s="1"/>
  <c r="N205" i="90" s="1"/>
  <c r="N206" i="90" s="1"/>
  <c r="N207" i="90" s="1"/>
  <c r="N208" i="90" s="1"/>
  <c r="N209" i="90" s="1"/>
  <c r="N210" i="90" s="1"/>
  <c r="N211" i="90" s="1"/>
  <c r="N212" i="90" s="1"/>
  <c r="N213" i="90" s="1"/>
  <c r="N214" i="90" s="1"/>
  <c r="N215" i="90" s="1"/>
  <c r="N216" i="90" s="1"/>
  <c r="N217" i="90" s="1"/>
  <c r="N218" i="90" s="1"/>
  <c r="N219" i="90" s="1"/>
  <c r="N220" i="90" s="1"/>
  <c r="N221" i="90" s="1"/>
  <c r="N222" i="90" s="1"/>
  <c r="N223" i="90" s="1"/>
  <c r="N224" i="90" s="1"/>
  <c r="N225" i="90" s="1"/>
  <c r="N226" i="90" s="1"/>
  <c r="N227" i="90" s="1"/>
  <c r="N228" i="90" s="1"/>
  <c r="N229" i="90" s="1"/>
  <c r="N230" i="90" s="1"/>
  <c r="N231" i="90" s="1"/>
  <c r="N232" i="90" s="1"/>
  <c r="N233" i="90" s="1"/>
  <c r="N234" i="90" s="1"/>
  <c r="N235" i="90" s="1"/>
  <c r="N236" i="90" s="1"/>
  <c r="N237" i="90" s="1"/>
  <c r="N238" i="90" s="1"/>
  <c r="N239" i="90" s="1"/>
  <c r="N240" i="90" s="1"/>
  <c r="N241" i="90" s="1"/>
  <c r="N242" i="90" s="1"/>
  <c r="N243" i="90" s="1"/>
  <c r="N244" i="90" s="1"/>
  <c r="N245" i="90" s="1"/>
  <c r="N246" i="90" s="1"/>
  <c r="N247" i="90" s="1"/>
  <c r="N248" i="90" s="1"/>
  <c r="N249" i="90" s="1"/>
  <c r="N250" i="90" s="1"/>
  <c r="N251" i="90" s="1"/>
  <c r="N252" i="90" s="1"/>
  <c r="N253" i="90" s="1"/>
  <c r="N254" i="90" s="1"/>
  <c r="N255" i="90" s="1"/>
  <c r="N256" i="90" s="1"/>
  <c r="N257" i="90" s="1"/>
  <c r="N258" i="90" s="1"/>
  <c r="N259" i="90" s="1"/>
  <c r="N260" i="90" s="1"/>
  <c r="N261" i="90" s="1"/>
  <c r="N262" i="90" s="1"/>
  <c r="N263" i="90" s="1"/>
  <c r="N264" i="90" s="1"/>
  <c r="N265" i="90" s="1"/>
  <c r="N266" i="90" s="1"/>
  <c r="N267" i="90" s="1"/>
  <c r="N268" i="90" s="1"/>
  <c r="N269" i="90" s="1"/>
  <c r="N270" i="90" s="1"/>
  <c r="N271" i="90" s="1"/>
  <c r="N272" i="90" s="1"/>
  <c r="N273" i="90" s="1"/>
  <c r="N274" i="90" s="1"/>
  <c r="N275" i="90" s="1"/>
  <c r="N276" i="90" s="1"/>
  <c r="N277" i="90" s="1"/>
  <c r="N278" i="90" s="1"/>
  <c r="N279" i="90" s="1"/>
  <c r="N280" i="90" s="1"/>
  <c r="N281" i="90" s="1"/>
  <c r="N282" i="90" s="1"/>
  <c r="N283" i="90" s="1"/>
  <c r="N284" i="90" s="1"/>
  <c r="N285" i="90" s="1"/>
  <c r="N286" i="90" s="1"/>
  <c r="N287" i="90" s="1"/>
  <c r="N288" i="90" s="1"/>
  <c r="N289" i="90" s="1"/>
  <c r="N290" i="90" s="1"/>
  <c r="N291" i="90" s="1"/>
  <c r="N292" i="90" s="1"/>
  <c r="N293" i="90" s="1"/>
  <c r="N294" i="90" s="1"/>
  <c r="N295" i="90" s="1"/>
  <c r="N296" i="90" s="1"/>
  <c r="N297" i="90" s="1"/>
  <c r="N298" i="90" s="1"/>
  <c r="N299" i="90" s="1"/>
  <c r="N300" i="90" s="1"/>
  <c r="N301" i="90" s="1"/>
  <c r="N302" i="90" s="1"/>
  <c r="N303" i="90" s="1"/>
  <c r="N304" i="90" s="1"/>
  <c r="N305" i="90" s="1"/>
  <c r="N306" i="90" s="1"/>
  <c r="N307" i="90" s="1"/>
  <c r="N308" i="90" s="1"/>
  <c r="N309" i="90" s="1"/>
  <c r="N310" i="90" s="1"/>
  <c r="N311" i="90" s="1"/>
  <c r="N312" i="90" s="1"/>
  <c r="N313" i="90" s="1"/>
  <c r="N314" i="90" s="1"/>
  <c r="N315" i="90" s="1"/>
  <c r="N316" i="90" s="1"/>
  <c r="N317" i="90" s="1"/>
  <c r="N318" i="90" s="1"/>
  <c r="N319" i="90" s="1"/>
  <c r="N320" i="90" s="1"/>
  <c r="N321" i="90" s="1"/>
  <c r="N322" i="90" s="1"/>
  <c r="N323" i="90" s="1"/>
  <c r="N324" i="90" s="1"/>
  <c r="N325" i="90" s="1"/>
  <c r="N326" i="90" s="1"/>
  <c r="N327" i="90" s="1"/>
  <c r="N328" i="90" s="1"/>
  <c r="N329" i="90" s="1"/>
  <c r="N330" i="90" s="1"/>
  <c r="N331" i="90" s="1"/>
  <c r="N332" i="90" s="1"/>
  <c r="N333" i="90" s="1"/>
  <c r="N334" i="90" s="1"/>
  <c r="N335" i="90" s="1"/>
  <c r="N336" i="90" s="1"/>
  <c r="N337" i="90" s="1"/>
  <c r="N338" i="90" s="1"/>
  <c r="N339" i="90" s="1"/>
  <c r="N340" i="90" s="1"/>
  <c r="N341" i="90" s="1"/>
  <c r="N342" i="90" s="1"/>
  <c r="N343" i="90" s="1"/>
  <c r="N344" i="90" s="1"/>
  <c r="N345" i="90" s="1"/>
  <c r="N346" i="90" s="1"/>
  <c r="N347" i="90" s="1"/>
  <c r="N348" i="90" s="1"/>
  <c r="N349" i="90" s="1"/>
  <c r="N350" i="90" s="1"/>
  <c r="N351" i="90" s="1"/>
  <c r="A3" i="77"/>
  <c r="A4" i="77" s="1"/>
  <c r="A5" i="77" s="1"/>
  <c r="A6" i="77" s="1"/>
  <c r="A7" i="77" s="1"/>
  <c r="A8" i="77" s="1"/>
  <c r="A9" i="77" s="1"/>
  <c r="A10" i="77" s="1"/>
  <c r="A11" i="77" s="1"/>
  <c r="A12" i="77" s="1"/>
  <c r="A13" i="77" s="1"/>
  <c r="A14" i="77" s="1"/>
  <c r="A15" i="77" s="1"/>
  <c r="A16" i="77" s="1"/>
  <c r="A17" i="77" s="1"/>
  <c r="A18" i="77" s="1"/>
  <c r="A19" i="77" s="1"/>
  <c r="A20" i="77" s="1"/>
  <c r="A21" i="77" s="1"/>
  <c r="A22" i="77" s="1"/>
  <c r="A23" i="77" s="1"/>
  <c r="A24" i="77" s="1"/>
  <c r="A25" i="77" s="1"/>
  <c r="A26" i="77" s="1"/>
  <c r="A27" i="77" s="1"/>
  <c r="A28" i="77" s="1"/>
  <c r="A29" i="77" s="1"/>
  <c r="A30" i="77" s="1"/>
  <c r="A31" i="77" s="1"/>
  <c r="A32" i="77" s="1"/>
  <c r="A33" i="77" s="1"/>
  <c r="A34" i="77" s="1"/>
  <c r="A35" i="77" s="1"/>
  <c r="A36" i="77" s="1"/>
  <c r="A37" i="77" s="1"/>
  <c r="A38" i="77" s="1"/>
  <c r="A39" i="77" s="1"/>
  <c r="A40" i="77" s="1"/>
  <c r="A41" i="77" s="1"/>
  <c r="A42" i="77" s="1"/>
  <c r="A43" i="77" s="1"/>
  <c r="A44" i="77" s="1"/>
  <c r="A45" i="77" s="1"/>
  <c r="A46" i="77" s="1"/>
  <c r="A47" i="77" s="1"/>
  <c r="A48" i="77" s="1"/>
  <c r="A49" i="77" s="1"/>
  <c r="A50" i="77" s="1"/>
  <c r="A51" i="77" s="1"/>
  <c r="A52" i="77" s="1"/>
  <c r="A53" i="77" s="1"/>
  <c r="A54" i="77" s="1"/>
  <c r="A55" i="77" s="1"/>
  <c r="A56" i="77" s="1"/>
  <c r="A57" i="77" s="1"/>
  <c r="A58" i="77" s="1"/>
  <c r="A59" i="77" s="1"/>
  <c r="A60" i="77" s="1"/>
  <c r="A61" i="77" s="1"/>
  <c r="A62" i="77" s="1"/>
  <c r="A63" i="77" s="1"/>
  <c r="A64" i="77" s="1"/>
  <c r="A65" i="77" s="1"/>
  <c r="A66" i="77" s="1"/>
  <c r="A67" i="77" s="1"/>
  <c r="A68" i="77" s="1"/>
  <c r="A69" i="77" s="1"/>
  <c r="A70" i="77" s="1"/>
  <c r="A71" i="77" s="1"/>
  <c r="A72" i="77" s="1"/>
  <c r="A73" i="77" s="1"/>
  <c r="A74" i="77" s="1"/>
  <c r="A75" i="77" s="1"/>
  <c r="A76" i="77" s="1"/>
  <c r="A77" i="77" s="1"/>
  <c r="A78" i="77" s="1"/>
  <c r="A79" i="77" s="1"/>
  <c r="A80" i="77" s="1"/>
  <c r="A81" i="77" s="1"/>
  <c r="A82" i="77" s="1"/>
  <c r="A83" i="77" s="1"/>
  <c r="A84" i="77" s="1"/>
  <c r="A85" i="77" s="1"/>
  <c r="A86" i="77" s="1"/>
  <c r="A87" i="77" s="1"/>
  <c r="A88" i="77" s="1"/>
  <c r="A89" i="77" s="1"/>
  <c r="A90" i="77" s="1"/>
  <c r="A91" i="77" s="1"/>
  <c r="A92" i="77" s="1"/>
  <c r="A93" i="77" s="1"/>
  <c r="A94" i="77" s="1"/>
  <c r="A95" i="77" s="1"/>
  <c r="A96" i="77" s="1"/>
  <c r="A97" i="77" s="1"/>
  <c r="A98" i="77" s="1"/>
  <c r="A99" i="77" s="1"/>
  <c r="A100" i="77" s="1"/>
  <c r="A101" i="77" s="1"/>
  <c r="A102" i="77" s="1"/>
  <c r="A103" i="77" s="1"/>
  <c r="A104" i="77" s="1"/>
  <c r="A105" i="77" s="1"/>
  <c r="A106" i="77" s="1"/>
  <c r="A107" i="77" s="1"/>
  <c r="A108" i="77" s="1"/>
  <c r="A109" i="77" s="1"/>
  <c r="A110" i="77" s="1"/>
  <c r="A111" i="77" s="1"/>
  <c r="A112" i="77" s="1"/>
  <c r="A113" i="77" s="1"/>
  <c r="A114" i="77" s="1"/>
  <c r="A115" i="77" s="1"/>
  <c r="A116" i="77" s="1"/>
  <c r="A117" i="77" s="1"/>
  <c r="A118" i="77" s="1"/>
  <c r="A119" i="77" s="1"/>
  <c r="A120" i="77" s="1"/>
  <c r="A121" i="77" s="1"/>
  <c r="A122" i="77" s="1"/>
  <c r="A123" i="77" s="1"/>
  <c r="A124" i="77" s="1"/>
  <c r="A125" i="77" s="1"/>
  <c r="A126" i="77" s="1"/>
  <c r="A127" i="77" s="1"/>
  <c r="A128" i="77" s="1"/>
  <c r="A129" i="77" s="1"/>
  <c r="A130" i="77" s="1"/>
  <c r="A131" i="77" s="1"/>
  <c r="A132" i="77" s="1"/>
  <c r="A133" i="77" s="1"/>
  <c r="A134" i="77" s="1"/>
  <c r="A135" i="77" s="1"/>
  <c r="A136" i="77" s="1"/>
  <c r="A137" i="77" s="1"/>
  <c r="A138" i="77" s="1"/>
  <c r="A139" i="77" s="1"/>
  <c r="A140" i="77" s="1"/>
  <c r="A141" i="77" s="1"/>
  <c r="A142" i="77" s="1"/>
  <c r="A143" i="77" s="1"/>
  <c r="A144" i="77" s="1"/>
  <c r="A145" i="77" s="1"/>
  <c r="A146" i="77" s="1"/>
  <c r="A147" i="77" s="1"/>
  <c r="A148" i="77" s="1"/>
  <c r="A149" i="77" s="1"/>
  <c r="A150" i="77" s="1"/>
  <c r="A151" i="77" s="1"/>
  <c r="A152" i="77" s="1"/>
  <c r="A153" i="77" s="1"/>
  <c r="A154" i="77" s="1"/>
  <c r="A155" i="77" s="1"/>
  <c r="A156" i="77" s="1"/>
  <c r="A157" i="77" s="1"/>
  <c r="A158" i="77" s="1"/>
  <c r="A159" i="77" s="1"/>
  <c r="A160" i="77" s="1"/>
  <c r="A161" i="77" s="1"/>
  <c r="A162" i="77" s="1"/>
  <c r="A163" i="77" s="1"/>
  <c r="A164" i="77" s="1"/>
  <c r="A165" i="77" s="1"/>
  <c r="A166" i="77" s="1"/>
  <c r="A167" i="77" s="1"/>
  <c r="A168" i="77" s="1"/>
  <c r="A169" i="77" s="1"/>
  <c r="A170" i="77" s="1"/>
  <c r="A171" i="77" s="1"/>
  <c r="A172" i="77" s="1"/>
  <c r="A173" i="77" s="1"/>
  <c r="A174" i="77" s="1"/>
  <c r="A175" i="77" s="1"/>
  <c r="A176" i="77" s="1"/>
  <c r="A177" i="77" s="1"/>
  <c r="A178" i="77" s="1"/>
  <c r="A179" i="77" s="1"/>
  <c r="A180" i="77" s="1"/>
  <c r="A181" i="77" s="1"/>
  <c r="A182" i="77" s="1"/>
  <c r="A183" i="77" s="1"/>
  <c r="A184" i="77" s="1"/>
  <c r="A185" i="77" s="1"/>
  <c r="A186" i="77" s="1"/>
  <c r="A187" i="77" s="1"/>
  <c r="A188" i="77" s="1"/>
  <c r="A189" i="77" s="1"/>
  <c r="A190" i="77" s="1"/>
  <c r="A191" i="77" s="1"/>
  <c r="A192" i="77" s="1"/>
  <c r="A193" i="77" s="1"/>
  <c r="A194" i="77" s="1"/>
  <c r="A195" i="77" s="1"/>
  <c r="A196" i="77" s="1"/>
  <c r="A197" i="77" s="1"/>
  <c r="A198" i="77" s="1"/>
  <c r="A199" i="77" s="1"/>
  <c r="A200" i="77" s="1"/>
  <c r="A201" i="77" s="1"/>
  <c r="A202" i="77" s="1"/>
  <c r="A203" i="77" s="1"/>
  <c r="A204" i="77" s="1"/>
  <c r="A205" i="77" s="1"/>
  <c r="A206" i="77" s="1"/>
  <c r="A207" i="77" s="1"/>
  <c r="A208" i="77" s="1"/>
  <c r="A209" i="77" s="1"/>
  <c r="A210" i="77" s="1"/>
  <c r="A211" i="77" s="1"/>
  <c r="A212" i="77" s="1"/>
  <c r="A213" i="77" s="1"/>
  <c r="A214" i="77" s="1"/>
  <c r="A215" i="77" s="1"/>
  <c r="A216" i="77" s="1"/>
  <c r="A217" i="77" s="1"/>
  <c r="A218" i="77" s="1"/>
  <c r="A219" i="77" s="1"/>
  <c r="A220" i="77" s="1"/>
  <c r="A221" i="77" s="1"/>
  <c r="A222" i="77" s="1"/>
  <c r="A223" i="77" s="1"/>
  <c r="A224" i="77" s="1"/>
  <c r="A225" i="77" s="1"/>
  <c r="A226" i="77" s="1"/>
  <c r="A227" i="77" s="1"/>
  <c r="A228" i="77" s="1"/>
  <c r="A229" i="77" s="1"/>
  <c r="A230" i="77" s="1"/>
  <c r="A231" i="77" s="1"/>
  <c r="A232" i="77" s="1"/>
  <c r="A233" i="77" s="1"/>
  <c r="A234" i="77" s="1"/>
  <c r="A235" i="77" s="1"/>
  <c r="A236" i="77" s="1"/>
  <c r="A237" i="77" s="1"/>
  <c r="A238" i="77" s="1"/>
  <c r="A239" i="77" s="1"/>
  <c r="A240" i="77" s="1"/>
  <c r="A241" i="77" s="1"/>
  <c r="A242" i="77" s="1"/>
  <c r="A243" i="77" s="1"/>
  <c r="A244" i="77" s="1"/>
  <c r="A245" i="77" s="1"/>
  <c r="A246" i="77" s="1"/>
  <c r="A247" i="77" s="1"/>
  <c r="A248" i="77" s="1"/>
  <c r="A249" i="77" s="1"/>
  <c r="A250" i="77" s="1"/>
  <c r="A251" i="77" s="1"/>
  <c r="A252" i="77" s="1"/>
  <c r="A253" i="77" s="1"/>
  <c r="A254" i="77" s="1"/>
  <c r="A255" i="77" s="1"/>
  <c r="A256" i="77" s="1"/>
  <c r="A257" i="77" s="1"/>
  <c r="A258" i="77" s="1"/>
  <c r="A259" i="77" s="1"/>
  <c r="A260" i="77" s="1"/>
  <c r="A261" i="77" s="1"/>
  <c r="A262" i="77" s="1"/>
  <c r="A263" i="77" s="1"/>
  <c r="A264" i="77" s="1"/>
  <c r="A265" i="77" s="1"/>
  <c r="A266" i="77" s="1"/>
  <c r="A267" i="77" s="1"/>
  <c r="A268" i="77" s="1"/>
  <c r="A269" i="77" s="1"/>
  <c r="A270" i="77" s="1"/>
  <c r="A271" i="77" s="1"/>
  <c r="A272" i="77" s="1"/>
  <c r="A273" i="77" s="1"/>
  <c r="A274" i="77" s="1"/>
  <c r="A275" i="77" s="1"/>
  <c r="A276" i="77" s="1"/>
  <c r="A277" i="77" s="1"/>
  <c r="A278" i="77" s="1"/>
  <c r="A279" i="77" s="1"/>
  <c r="A280" i="77" s="1"/>
  <c r="A281" i="77" s="1"/>
  <c r="A282" i="77" s="1"/>
  <c r="A283" i="77" s="1"/>
  <c r="A284" i="77" s="1"/>
  <c r="A285" i="77" s="1"/>
  <c r="A286" i="77" s="1"/>
  <c r="A287" i="77" s="1"/>
  <c r="A288" i="77" s="1"/>
  <c r="A289" i="77" s="1"/>
  <c r="A290" i="77" s="1"/>
  <c r="A291" i="77" s="1"/>
  <c r="A292" i="77" s="1"/>
  <c r="A293" i="77" s="1"/>
  <c r="A294" i="77" s="1"/>
  <c r="A295" i="77" s="1"/>
  <c r="A296" i="77" s="1"/>
  <c r="A297" i="77" s="1"/>
  <c r="A298" i="77" s="1"/>
  <c r="A299" i="77" s="1"/>
  <c r="A300" i="77" s="1"/>
  <c r="A301" i="77" s="1"/>
  <c r="A302" i="77" s="1"/>
  <c r="A303" i="77" s="1"/>
  <c r="A304" i="77" s="1"/>
  <c r="A305" i="77" s="1"/>
  <c r="A306" i="77" s="1"/>
  <c r="A307" i="77" s="1"/>
  <c r="A308" i="77" s="1"/>
  <c r="A309" i="77" s="1"/>
  <c r="A310" i="77" s="1"/>
  <c r="A311" i="77" s="1"/>
  <c r="A312" i="77" s="1"/>
  <c r="A313" i="77" s="1"/>
  <c r="A314" i="77" s="1"/>
  <c r="A315" i="77" s="1"/>
  <c r="A316" i="77" s="1"/>
  <c r="A317" i="77" s="1"/>
  <c r="A318" i="77" s="1"/>
  <c r="A319" i="77" s="1"/>
  <c r="A320" i="77" s="1"/>
  <c r="A321" i="77" s="1"/>
  <c r="A322" i="77" s="1"/>
  <c r="A323" i="77" s="1"/>
  <c r="A324" i="77" s="1"/>
  <c r="A325" i="77" s="1"/>
  <c r="A326" i="77" s="1"/>
  <c r="A327" i="77" s="1"/>
  <c r="A328" i="77" s="1"/>
  <c r="A329" i="77" s="1"/>
  <c r="A330" i="77" s="1"/>
  <c r="A331" i="77" s="1"/>
  <c r="A332" i="77" s="1"/>
  <c r="A333" i="77" s="1"/>
  <c r="A334" i="77" s="1"/>
  <c r="A335" i="77" s="1"/>
  <c r="A336" i="77" s="1"/>
  <c r="A337" i="77" s="1"/>
  <c r="A338" i="77" s="1"/>
  <c r="A339" i="77" s="1"/>
  <c r="A340" i="77" s="1"/>
  <c r="A341" i="77" s="1"/>
  <c r="A342" i="77" s="1"/>
  <c r="A343" i="77" s="1"/>
  <c r="A344" i="77" s="1"/>
  <c r="A345" i="77" s="1"/>
  <c r="A346" i="77" s="1"/>
  <c r="A347" i="77" s="1"/>
  <c r="A348" i="77" s="1"/>
  <c r="A349" i="77" s="1"/>
  <c r="A350" i="77" s="1"/>
  <c r="A351" i="77" s="1"/>
  <c r="A352" i="77" s="1"/>
  <c r="A353" i="77" s="1"/>
  <c r="A354" i="77" s="1"/>
  <c r="A355" i="77" s="1"/>
  <c r="A356" i="77" s="1"/>
  <c r="A357" i="77" s="1"/>
  <c r="A358" i="77" s="1"/>
  <c r="A359" i="77" s="1"/>
  <c r="A360" i="77" s="1"/>
  <c r="A361" i="77" s="1"/>
  <c r="A362" i="77" s="1"/>
  <c r="A363" i="77" s="1"/>
  <c r="A364" i="77" s="1"/>
  <c r="A365" i="77" s="1"/>
  <c r="A366" i="77" s="1"/>
  <c r="A367" i="77" s="1"/>
  <c r="A368" i="77" s="1"/>
  <c r="A369" i="77" s="1"/>
  <c r="A370" i="77" s="1"/>
  <c r="A371" i="77" s="1"/>
  <c r="A372" i="77" s="1"/>
  <c r="A373" i="77" s="1"/>
  <c r="A374" i="77" s="1"/>
  <c r="A375" i="77" s="1"/>
  <c r="A376" i="77" s="1"/>
  <c r="A377" i="77" s="1"/>
  <c r="A378" i="77" s="1"/>
  <c r="A379" i="77" s="1"/>
  <c r="A380" i="77" s="1"/>
  <c r="A381" i="77" s="1"/>
  <c r="A382" i="77" s="1"/>
  <c r="A383" i="77" s="1"/>
  <c r="A384" i="77" s="1"/>
  <c r="A385" i="77" s="1"/>
  <c r="A386" i="77" s="1"/>
  <c r="A387" i="77" s="1"/>
  <c r="A388" i="77" s="1"/>
  <c r="A3" i="90"/>
  <c r="A4" i="90" s="1"/>
  <c r="A5" i="90" s="1"/>
  <c r="A6" i="90" s="1"/>
  <c r="A7" i="90" s="1"/>
  <c r="A8" i="90" s="1"/>
  <c r="A9" i="90" s="1"/>
  <c r="A10" i="90" s="1"/>
  <c r="A11" i="90" s="1"/>
  <c r="A12" i="90" s="1"/>
  <c r="A13" i="90" s="1"/>
  <c r="A14" i="90" s="1"/>
  <c r="A15" i="90" s="1"/>
  <c r="A16" i="90" s="1"/>
  <c r="A17" i="90" s="1"/>
  <c r="A18" i="90" s="1"/>
  <c r="A19" i="90" s="1"/>
  <c r="A20" i="90" s="1"/>
  <c r="A21" i="90" s="1"/>
  <c r="A22" i="90" s="1"/>
  <c r="A23" i="90" s="1"/>
  <c r="A24" i="90" s="1"/>
  <c r="A25" i="90" s="1"/>
  <c r="A26" i="90" s="1"/>
  <c r="A27" i="90" s="1"/>
  <c r="A28" i="90" s="1"/>
  <c r="A29" i="90" s="1"/>
  <c r="A30" i="90" s="1"/>
  <c r="A31" i="90" s="1"/>
  <c r="A32" i="90" s="1"/>
  <c r="A33" i="90" s="1"/>
  <c r="A34" i="90" s="1"/>
  <c r="A35" i="90" s="1"/>
  <c r="A36" i="90" s="1"/>
  <c r="A37" i="90" s="1"/>
  <c r="A38" i="90" s="1"/>
  <c r="A39" i="90" s="1"/>
  <c r="A40" i="90" s="1"/>
  <c r="A41" i="90" s="1"/>
  <c r="A42" i="90" s="1"/>
  <c r="A43" i="90" s="1"/>
  <c r="A44" i="90" s="1"/>
  <c r="A45" i="90" s="1"/>
  <c r="A46" i="90" s="1"/>
  <c r="A47" i="90" s="1"/>
  <c r="A48" i="90" s="1"/>
  <c r="A49" i="90" s="1"/>
  <c r="A50" i="90" s="1"/>
  <c r="A51" i="90" s="1"/>
  <c r="A52" i="90" s="1"/>
  <c r="A53" i="90" s="1"/>
  <c r="A54" i="90" s="1"/>
  <c r="A55" i="90" s="1"/>
  <c r="A56" i="90" s="1"/>
  <c r="A57" i="90" s="1"/>
  <c r="A58" i="90" s="1"/>
  <c r="A59" i="90" s="1"/>
  <c r="A60" i="90" s="1"/>
  <c r="A61" i="90" s="1"/>
  <c r="A62" i="90" s="1"/>
  <c r="A63" i="90" s="1"/>
  <c r="A64" i="90" s="1"/>
  <c r="A65" i="90" s="1"/>
  <c r="A66" i="90" s="1"/>
  <c r="A67" i="90" s="1"/>
  <c r="A68" i="90" s="1"/>
  <c r="A69" i="90" s="1"/>
  <c r="A70" i="90" s="1"/>
  <c r="A71" i="90" s="1"/>
  <c r="A72" i="90" s="1"/>
  <c r="A73" i="90" s="1"/>
  <c r="A74" i="90" s="1"/>
  <c r="A75" i="90" s="1"/>
  <c r="A76" i="90" s="1"/>
  <c r="A77" i="90" s="1"/>
  <c r="A78" i="90" s="1"/>
  <c r="A79" i="90" s="1"/>
  <c r="A80" i="90" s="1"/>
  <c r="A81" i="90" s="1"/>
  <c r="A82" i="90" s="1"/>
  <c r="A83" i="90" s="1"/>
  <c r="A84" i="90" s="1"/>
  <c r="A85" i="90" s="1"/>
  <c r="A86" i="90" s="1"/>
  <c r="A87" i="90" s="1"/>
  <c r="A88" i="90" s="1"/>
  <c r="A89" i="90" s="1"/>
  <c r="A90" i="90" s="1"/>
  <c r="A91" i="90" s="1"/>
  <c r="A92" i="90" s="1"/>
  <c r="A93" i="90" s="1"/>
  <c r="A94" i="90" s="1"/>
  <c r="A95" i="90" s="1"/>
  <c r="A96" i="90" s="1"/>
  <c r="A97" i="90" s="1"/>
  <c r="A98" i="90" s="1"/>
  <c r="A99" i="90" s="1"/>
  <c r="A100" i="90" s="1"/>
  <c r="A101" i="90" s="1"/>
  <c r="A102" i="90" s="1"/>
  <c r="A103" i="90" s="1"/>
  <c r="A104" i="90" s="1"/>
  <c r="A105" i="90" s="1"/>
  <c r="A106" i="90" s="1"/>
  <c r="A107" i="90" s="1"/>
  <c r="A108" i="90" s="1"/>
  <c r="A109" i="90" s="1"/>
  <c r="A110" i="90" s="1"/>
  <c r="A111" i="90" s="1"/>
  <c r="A112" i="90" s="1"/>
  <c r="A113" i="90" s="1"/>
  <c r="A114" i="90" s="1"/>
  <c r="A115" i="90" s="1"/>
  <c r="A116" i="90" s="1"/>
  <c r="A117" i="90" s="1"/>
  <c r="A118" i="90" s="1"/>
  <c r="A119" i="90" s="1"/>
  <c r="A120" i="90" s="1"/>
  <c r="A121" i="90" s="1"/>
  <c r="A122" i="90" s="1"/>
  <c r="A123" i="90" s="1"/>
  <c r="A124" i="90" s="1"/>
  <c r="A125" i="90" s="1"/>
  <c r="A126" i="90" s="1"/>
  <c r="A127" i="90" s="1"/>
  <c r="A128" i="90" s="1"/>
  <c r="A129" i="90" s="1"/>
  <c r="A130" i="90" s="1"/>
  <c r="A131" i="90" s="1"/>
  <c r="A132" i="90" s="1"/>
  <c r="A133" i="90" s="1"/>
  <c r="A134" i="90" s="1"/>
  <c r="A135" i="90" s="1"/>
  <c r="A136" i="90" s="1"/>
  <c r="A137" i="90" s="1"/>
  <c r="A138" i="90" s="1"/>
  <c r="A139" i="90" s="1"/>
  <c r="A140" i="90" s="1"/>
  <c r="A141" i="90" s="1"/>
  <c r="A142" i="90" s="1"/>
  <c r="A143" i="90" s="1"/>
  <c r="A144" i="90" s="1"/>
  <c r="A145" i="90" s="1"/>
  <c r="A146" i="90" s="1"/>
  <c r="A147" i="90" s="1"/>
  <c r="A148" i="90" s="1"/>
  <c r="A149" i="90" s="1"/>
  <c r="A150" i="90" s="1"/>
  <c r="A151" i="90" s="1"/>
  <c r="A152" i="90" s="1"/>
  <c r="A153" i="90" s="1"/>
  <c r="A154" i="90" s="1"/>
  <c r="A155" i="90" s="1"/>
  <c r="A156" i="90" s="1"/>
  <c r="A157" i="90" s="1"/>
  <c r="A158" i="90" s="1"/>
  <c r="A159" i="90" s="1"/>
  <c r="A160" i="90" s="1"/>
  <c r="A161" i="90" s="1"/>
  <c r="A162" i="90" s="1"/>
  <c r="A163" i="90" s="1"/>
  <c r="A164" i="90" s="1"/>
  <c r="A165" i="90" s="1"/>
  <c r="A166" i="90" s="1"/>
  <c r="A167" i="90" s="1"/>
  <c r="A168" i="90" s="1"/>
  <c r="A169" i="90" s="1"/>
  <c r="A170" i="90" s="1"/>
  <c r="A171" i="90" s="1"/>
  <c r="A172" i="90" s="1"/>
  <c r="A173" i="90" s="1"/>
  <c r="A174" i="90" s="1"/>
  <c r="A175" i="90" s="1"/>
  <c r="A176" i="90" s="1"/>
  <c r="A177" i="90" s="1"/>
  <c r="A178" i="90" s="1"/>
  <c r="A179" i="90" s="1"/>
  <c r="A180" i="90" s="1"/>
  <c r="A181" i="90" s="1"/>
  <c r="A182" i="90" s="1"/>
  <c r="A183" i="90" s="1"/>
  <c r="A184" i="90" s="1"/>
  <c r="A185" i="90" s="1"/>
  <c r="A186" i="90" s="1"/>
  <c r="A187" i="90" s="1"/>
  <c r="A188" i="90" s="1"/>
  <c r="A189" i="90" s="1"/>
  <c r="A190" i="90" s="1"/>
  <c r="A191" i="90" s="1"/>
  <c r="A192" i="90" s="1"/>
  <c r="A193" i="90" s="1"/>
  <c r="A194" i="90" s="1"/>
  <c r="A195" i="90" s="1"/>
  <c r="A196" i="90" s="1"/>
  <c r="A197" i="90" s="1"/>
  <c r="A198" i="90" s="1"/>
  <c r="A199" i="90" s="1"/>
  <c r="A200" i="90" s="1"/>
  <c r="A201" i="90" s="1"/>
  <c r="A202" i="90" s="1"/>
  <c r="A203" i="90" s="1"/>
  <c r="A204" i="90" s="1"/>
  <c r="A205" i="90" s="1"/>
  <c r="A206" i="90" s="1"/>
  <c r="A207" i="90" s="1"/>
  <c r="A208" i="90" s="1"/>
  <c r="A209" i="90" s="1"/>
  <c r="A210" i="90" s="1"/>
  <c r="A211" i="90" s="1"/>
  <c r="A212" i="90" s="1"/>
  <c r="A213" i="90" s="1"/>
  <c r="A214" i="90" s="1"/>
  <c r="A215" i="90" s="1"/>
  <c r="A216" i="90" s="1"/>
  <c r="A217" i="90" s="1"/>
  <c r="A218" i="90" s="1"/>
  <c r="A219" i="90" s="1"/>
  <c r="A220" i="90" s="1"/>
  <c r="A221" i="90" s="1"/>
  <c r="A222" i="90" s="1"/>
  <c r="A223" i="90" s="1"/>
  <c r="A224" i="90" s="1"/>
  <c r="A225" i="90" s="1"/>
  <c r="A226" i="90" s="1"/>
  <c r="A227" i="90" s="1"/>
  <c r="A228" i="90" s="1"/>
  <c r="A229" i="90" s="1"/>
  <c r="A230" i="90" s="1"/>
  <c r="A231" i="90" s="1"/>
  <c r="A232" i="90" s="1"/>
  <c r="A233" i="90" s="1"/>
  <c r="A234" i="90" s="1"/>
  <c r="A235" i="90" s="1"/>
  <c r="A236" i="90" s="1"/>
  <c r="A237" i="90" s="1"/>
  <c r="A238" i="90" s="1"/>
  <c r="A239" i="90" s="1"/>
  <c r="A240" i="90" s="1"/>
  <c r="A241" i="90" s="1"/>
  <c r="A242" i="90" s="1"/>
  <c r="A243" i="90" s="1"/>
  <c r="A244" i="90" s="1"/>
  <c r="A245" i="90" s="1"/>
  <c r="A246" i="90" s="1"/>
  <c r="A247" i="90" s="1"/>
  <c r="A248" i="90" s="1"/>
  <c r="A249" i="90" s="1"/>
  <c r="A250" i="90" s="1"/>
  <c r="A251" i="90" s="1"/>
  <c r="A252" i="90" s="1"/>
  <c r="A253" i="90" s="1"/>
  <c r="A254" i="90" s="1"/>
  <c r="A255" i="90" s="1"/>
  <c r="A256" i="90" s="1"/>
  <c r="A257" i="90" s="1"/>
  <c r="A258" i="90" s="1"/>
  <c r="A259" i="90" s="1"/>
  <c r="A260" i="90" s="1"/>
  <c r="A261" i="90" s="1"/>
  <c r="A262" i="90" s="1"/>
  <c r="A263" i="90" s="1"/>
  <c r="A264" i="90" s="1"/>
  <c r="A265" i="90" s="1"/>
  <c r="A266" i="90" s="1"/>
  <c r="A267" i="90" s="1"/>
  <c r="A268" i="90" s="1"/>
  <c r="A269" i="90" s="1"/>
  <c r="A270" i="90" s="1"/>
  <c r="A271" i="90" s="1"/>
  <c r="A272" i="90" s="1"/>
  <c r="A273" i="90" s="1"/>
  <c r="A274" i="90" s="1"/>
  <c r="A275" i="90" s="1"/>
  <c r="A276" i="90" s="1"/>
  <c r="A277" i="90" s="1"/>
  <c r="A278" i="90" s="1"/>
  <c r="A279" i="90" s="1"/>
  <c r="A280" i="90" s="1"/>
  <c r="A281" i="90" s="1"/>
  <c r="A282" i="90" s="1"/>
  <c r="A283" i="90" s="1"/>
  <c r="A284" i="90" s="1"/>
  <c r="A285" i="90" s="1"/>
  <c r="A286" i="90" s="1"/>
  <c r="A287" i="90" s="1"/>
  <c r="A288" i="90" s="1"/>
  <c r="A289" i="90" s="1"/>
  <c r="A290" i="90" s="1"/>
  <c r="A291" i="90" s="1"/>
  <c r="A292" i="90" s="1"/>
  <c r="A293" i="90" s="1"/>
  <c r="A294" i="90" s="1"/>
  <c r="A295" i="90" s="1"/>
  <c r="A296" i="90" s="1"/>
  <c r="A297" i="90" s="1"/>
  <c r="A298" i="90" s="1"/>
  <c r="A299" i="90" s="1"/>
  <c r="A300" i="90" s="1"/>
  <c r="A301" i="90" s="1"/>
  <c r="A302" i="90" s="1"/>
  <c r="A303" i="90" s="1"/>
  <c r="A304" i="90" s="1"/>
  <c r="A305" i="90" s="1"/>
  <c r="A306" i="90" s="1"/>
  <c r="A307" i="90" s="1"/>
  <c r="A308" i="90" s="1"/>
  <c r="A309" i="90" s="1"/>
  <c r="A310" i="90" s="1"/>
  <c r="A311" i="90" s="1"/>
  <c r="A312" i="90" s="1"/>
  <c r="A313" i="90" s="1"/>
  <c r="A314" i="90" s="1"/>
  <c r="A315" i="90" s="1"/>
  <c r="A316" i="90" s="1"/>
  <c r="A317" i="90" s="1"/>
  <c r="A318" i="90" s="1"/>
  <c r="A319" i="90" s="1"/>
  <c r="A320" i="90" s="1"/>
  <c r="A321" i="90" s="1"/>
  <c r="A322" i="90" s="1"/>
  <c r="A323" i="90" s="1"/>
  <c r="A324" i="90" s="1"/>
  <c r="A325" i="90" s="1"/>
  <c r="A326" i="90" s="1"/>
  <c r="A327" i="90" s="1"/>
  <c r="A328" i="90" s="1"/>
  <c r="A329" i="90" s="1"/>
  <c r="A330" i="90" s="1"/>
  <c r="A331" i="90" s="1"/>
  <c r="A332" i="90" s="1"/>
  <c r="A333" i="90" s="1"/>
  <c r="A334" i="90" s="1"/>
  <c r="A335" i="90" s="1"/>
  <c r="A336" i="90" s="1"/>
  <c r="A337" i="90" s="1"/>
  <c r="A338" i="90" s="1"/>
  <c r="A339" i="90" s="1"/>
  <c r="A340" i="90" s="1"/>
  <c r="A341" i="90" s="1"/>
  <c r="A342" i="90" s="1"/>
  <c r="A343" i="90" s="1"/>
  <c r="A344" i="90" s="1"/>
  <c r="A345" i="90" s="1"/>
  <c r="A346" i="90" s="1"/>
  <c r="A347" i="90" s="1"/>
  <c r="A348" i="90" s="1"/>
  <c r="A349" i="90" s="1"/>
  <c r="A350" i="90" s="1"/>
  <c r="A351" i="90" s="1"/>
  <c r="N3" i="142"/>
  <c r="N4" i="142" s="1"/>
  <c r="N5" i="142" s="1"/>
  <c r="N6" i="142" s="1"/>
  <c r="N7" i="142" s="1"/>
  <c r="N8" i="142" s="1"/>
  <c r="N9" i="142" s="1"/>
  <c r="N10" i="142" s="1"/>
  <c r="A3" i="142"/>
  <c r="A4" i="142" s="1"/>
  <c r="A5" i="142" s="1"/>
  <c r="A6" i="142" s="1"/>
  <c r="A7" i="142" s="1"/>
  <c r="A8" i="142" s="1"/>
  <c r="A9" i="142" s="1"/>
  <c r="A10" i="142" s="1"/>
  <c r="A245" i="139"/>
  <c r="A246" i="139" s="1"/>
  <c r="A247" i="139" s="1"/>
  <c r="A248" i="139" s="1"/>
  <c r="A249" i="139" s="1"/>
  <c r="A250" i="139" s="1"/>
  <c r="A251" i="139" s="1"/>
  <c r="A252" i="139" s="1"/>
  <c r="A253" i="139" s="1"/>
  <c r="A254" i="139" s="1"/>
  <c r="A255" i="139" s="1"/>
  <c r="A256" i="139" s="1"/>
  <c r="A257" i="139" s="1"/>
  <c r="A258" i="139" s="1"/>
  <c r="A259" i="139" s="1"/>
  <c r="A260" i="139" s="1"/>
  <c r="A261" i="139" s="1"/>
  <c r="A262" i="139" s="1"/>
  <c r="A263" i="139" s="1"/>
  <c r="A264" i="139" s="1"/>
  <c r="A265" i="139" s="1"/>
  <c r="A266" i="139" s="1"/>
  <c r="A267" i="139" s="1"/>
  <c r="A268" i="139" s="1"/>
  <c r="A269" i="139" s="1"/>
  <c r="P3" i="120"/>
  <c r="P4" i="120" s="1"/>
  <c r="P5" i="120" s="1"/>
  <c r="P6" i="120" s="1"/>
  <c r="P7" i="120" s="1"/>
  <c r="P8" i="120" s="1"/>
  <c r="P9" i="120" s="1"/>
  <c r="P10" i="120" s="1"/>
  <c r="P11" i="120" s="1"/>
  <c r="P12" i="120" s="1"/>
  <c r="P13" i="120" s="1"/>
  <c r="P14" i="120" s="1"/>
  <c r="P15" i="120" s="1"/>
  <c r="P16" i="120" s="1"/>
  <c r="P17" i="120" s="1"/>
  <c r="P18" i="120" s="1"/>
  <c r="P19" i="120" s="1"/>
  <c r="P20" i="120" s="1"/>
  <c r="P21" i="120" s="1"/>
  <c r="P22" i="120" s="1"/>
  <c r="P23" i="120" s="1"/>
  <c r="P24" i="120" s="1"/>
  <c r="P25" i="120" s="1"/>
  <c r="P26" i="120" s="1"/>
  <c r="P27" i="120" s="1"/>
  <c r="P28" i="120" s="1"/>
  <c r="P29" i="120" s="1"/>
  <c r="P30" i="120" s="1"/>
  <c r="P31" i="120" s="1"/>
  <c r="P32" i="120" s="1"/>
  <c r="P33" i="120" s="1"/>
  <c r="P34" i="120" s="1"/>
  <c r="P35" i="120" s="1"/>
  <c r="P36" i="120" s="1"/>
  <c r="P37" i="120" s="1"/>
  <c r="P38" i="120" s="1"/>
  <c r="P39" i="120" s="1"/>
  <c r="P40" i="120" s="1"/>
  <c r="P41" i="120" s="1"/>
  <c r="P42" i="120" s="1"/>
  <c r="P43" i="120" s="1"/>
  <c r="P44" i="120" s="1"/>
  <c r="P45" i="120" s="1"/>
  <c r="P46" i="120" s="1"/>
  <c r="P47" i="120" s="1"/>
  <c r="P48" i="120" s="1"/>
  <c r="P49" i="120" s="1"/>
  <c r="P50" i="120" s="1"/>
  <c r="P51" i="120" s="1"/>
  <c r="P52" i="120" s="1"/>
  <c r="P53" i="120" s="1"/>
  <c r="P54" i="120" s="1"/>
  <c r="P55" i="120" s="1"/>
  <c r="P56" i="120" s="1"/>
  <c r="P57" i="120" s="1"/>
  <c r="P58" i="120" s="1"/>
  <c r="P59" i="120" s="1"/>
  <c r="P60" i="120" s="1"/>
  <c r="P61" i="120" s="1"/>
  <c r="P62" i="120" s="1"/>
  <c r="P63" i="120" s="1"/>
  <c r="P64" i="120" s="1"/>
  <c r="P65" i="120" s="1"/>
  <c r="P66" i="120" s="1"/>
  <c r="P67" i="120" s="1"/>
  <c r="P68" i="120" s="1"/>
  <c r="P69" i="120" s="1"/>
  <c r="P70" i="120" s="1"/>
  <c r="P71" i="120" s="1"/>
  <c r="N3" i="120"/>
  <c r="N4" i="120" s="1"/>
  <c r="N5" i="120" s="1"/>
  <c r="N6" i="120" s="1"/>
  <c r="N7" i="120" s="1"/>
  <c r="N8" i="120" s="1"/>
  <c r="N9" i="120" s="1"/>
  <c r="N10" i="120" s="1"/>
  <c r="N11" i="120" s="1"/>
  <c r="N12" i="120" s="1"/>
  <c r="N13" i="120" s="1"/>
  <c r="N14" i="120" s="1"/>
  <c r="N15" i="120" s="1"/>
  <c r="N16" i="120" s="1"/>
  <c r="N17" i="120" s="1"/>
  <c r="N18" i="120" s="1"/>
  <c r="N19" i="120" s="1"/>
  <c r="N20" i="120" s="1"/>
  <c r="N21" i="120" s="1"/>
  <c r="N22" i="120" s="1"/>
  <c r="N23" i="120" s="1"/>
  <c r="N24" i="120" s="1"/>
  <c r="N25" i="120" s="1"/>
  <c r="N26" i="120" s="1"/>
  <c r="N27" i="120" s="1"/>
  <c r="N28" i="120" s="1"/>
  <c r="N29" i="120" s="1"/>
  <c r="N30" i="120" s="1"/>
  <c r="N31" i="120" s="1"/>
  <c r="N32" i="120" s="1"/>
  <c r="N33" i="120" s="1"/>
  <c r="N34" i="120" s="1"/>
  <c r="N35" i="120" s="1"/>
  <c r="N36" i="120" s="1"/>
  <c r="N37" i="120" s="1"/>
  <c r="N38" i="120" s="1"/>
  <c r="N39" i="120" s="1"/>
  <c r="N40" i="120" s="1"/>
  <c r="N41" i="120" s="1"/>
  <c r="N42" i="120" s="1"/>
  <c r="N43" i="120" s="1"/>
  <c r="N44" i="120" s="1"/>
  <c r="N45" i="120" s="1"/>
  <c r="N46" i="120" s="1"/>
  <c r="N47" i="120" s="1"/>
  <c r="N48" i="120" s="1"/>
  <c r="N49" i="120" s="1"/>
  <c r="N50" i="120" s="1"/>
  <c r="N51" i="120" s="1"/>
  <c r="N52" i="120" s="1"/>
  <c r="N53" i="120" s="1"/>
  <c r="N54" i="120" s="1"/>
  <c r="N55" i="120" s="1"/>
  <c r="N56" i="120" s="1"/>
  <c r="N57" i="120" s="1"/>
  <c r="N58" i="120" s="1"/>
  <c r="N59" i="120" s="1"/>
  <c r="N60" i="120" s="1"/>
  <c r="N61" i="120" s="1"/>
  <c r="N62" i="120" s="1"/>
  <c r="N63" i="120" s="1"/>
  <c r="N64" i="120" s="1"/>
  <c r="N65" i="120" s="1"/>
  <c r="N66" i="120" s="1"/>
  <c r="N67" i="120" s="1"/>
  <c r="N68" i="120" s="1"/>
  <c r="N69" i="120" s="1"/>
  <c r="N70" i="120" s="1"/>
  <c r="N71" i="120" s="1"/>
  <c r="N3" i="133"/>
  <c r="N4" i="133" s="1"/>
  <c r="N5" i="133" s="1"/>
  <c r="N6" i="133" s="1"/>
  <c r="N7" i="133" s="1"/>
  <c r="N8" i="133" s="1"/>
  <c r="N9" i="133" s="1"/>
  <c r="N10" i="133" s="1"/>
  <c r="N11" i="133" s="1"/>
  <c r="N12" i="133" s="1"/>
  <c r="N13" i="133" s="1"/>
  <c r="N14" i="133" s="1"/>
  <c r="N15" i="133" s="1"/>
  <c r="N16" i="133" s="1"/>
  <c r="N17" i="133" s="1"/>
  <c r="N18" i="133" s="1"/>
  <c r="N19" i="133" s="1"/>
  <c r="N20" i="133" s="1"/>
  <c r="N21" i="133" s="1"/>
  <c r="N22" i="133" s="1"/>
  <c r="N23" i="133" s="1"/>
  <c r="N24" i="133" s="1"/>
  <c r="N25" i="133" s="1"/>
  <c r="P3" i="134"/>
  <c r="P4" i="134" s="1"/>
  <c r="P5" i="134" s="1"/>
  <c r="P6" i="134" s="1"/>
  <c r="P7" i="134" s="1"/>
  <c r="P8" i="134" s="1"/>
  <c r="P9" i="134" s="1"/>
  <c r="N4" i="134"/>
  <c r="N5" i="134" s="1"/>
  <c r="N6" i="134" s="1"/>
  <c r="N7" i="134" s="1"/>
  <c r="N8" i="134" s="1"/>
  <c r="N9" i="134" s="1"/>
  <c r="N3" i="134"/>
  <c r="A3" i="135" l="1"/>
  <c r="A4" i="135" s="1"/>
  <c r="A5" i="135" s="1"/>
  <c r="A6" i="135" s="1"/>
  <c r="A7" i="135" s="1"/>
  <c r="A8" i="135" s="1"/>
  <c r="A9" i="135" s="1"/>
  <c r="A10" i="135" s="1"/>
  <c r="A11" i="135" s="1"/>
  <c r="A12" i="135" s="1"/>
  <c r="A13" i="135" s="1"/>
  <c r="A14" i="135" s="1"/>
  <c r="A15" i="135" s="1"/>
  <c r="A16" i="135" s="1"/>
  <c r="A17" i="135" s="1"/>
  <c r="A18" i="135" s="1"/>
  <c r="A19" i="135" s="1"/>
  <c r="A3" i="120"/>
  <c r="A4" i="120" s="1"/>
  <c r="A5" i="120" s="1"/>
  <c r="A6" i="120" s="1"/>
  <c r="A7" i="120" s="1"/>
  <c r="A8" i="120" s="1"/>
  <c r="A9" i="120" s="1"/>
  <c r="A10" i="120" s="1"/>
  <c r="A11" i="120" s="1"/>
  <c r="A12" i="120" s="1"/>
  <c r="A13" i="120" s="1"/>
  <c r="A14" i="120" s="1"/>
  <c r="A15" i="120" s="1"/>
  <c r="A16" i="120" s="1"/>
  <c r="A17" i="120" s="1"/>
  <c r="A18" i="120" s="1"/>
  <c r="A19" i="120" s="1"/>
  <c r="A20" i="120" s="1"/>
  <c r="A21" i="120" s="1"/>
  <c r="A22" i="120" s="1"/>
  <c r="A23" i="120" s="1"/>
  <c r="A24" i="120" s="1"/>
  <c r="A25" i="120" s="1"/>
  <c r="A26" i="120" s="1"/>
  <c r="A27" i="120" s="1"/>
  <c r="A28" i="120" s="1"/>
  <c r="A29" i="120" s="1"/>
  <c r="A30" i="120" s="1"/>
  <c r="A31" i="120" s="1"/>
  <c r="A32" i="120" s="1"/>
  <c r="A33" i="120" s="1"/>
  <c r="A34" i="120" s="1"/>
  <c r="A35" i="120" s="1"/>
  <c r="A36" i="120" s="1"/>
  <c r="A37" i="120" s="1"/>
  <c r="A38" i="120" s="1"/>
  <c r="A39" i="120" s="1"/>
  <c r="A40" i="120" s="1"/>
  <c r="A41" i="120" s="1"/>
  <c r="A42" i="120" s="1"/>
  <c r="A43" i="120" s="1"/>
  <c r="A44" i="120" s="1"/>
  <c r="A45" i="120" s="1"/>
  <c r="A46" i="120" s="1"/>
  <c r="A47" i="120" s="1"/>
  <c r="A48" i="120" s="1"/>
  <c r="A49" i="120" s="1"/>
  <c r="A50" i="120" s="1"/>
  <c r="A51" i="120" s="1"/>
  <c r="A52" i="120" s="1"/>
  <c r="A53" i="120" s="1"/>
  <c r="A54" i="120" s="1"/>
  <c r="A55" i="120" s="1"/>
  <c r="A56" i="120" s="1"/>
  <c r="A57" i="120" s="1"/>
  <c r="A58" i="120" s="1"/>
  <c r="A59" i="120" s="1"/>
  <c r="A60" i="120" s="1"/>
  <c r="A61" i="120" s="1"/>
  <c r="A62" i="120" s="1"/>
  <c r="A63" i="120" s="1"/>
  <c r="A64" i="120" s="1"/>
  <c r="A65" i="120" s="1"/>
  <c r="A66" i="120" s="1"/>
  <c r="A67" i="120" s="1"/>
  <c r="A68" i="120" s="1"/>
  <c r="A69" i="120" s="1"/>
  <c r="A70" i="120" s="1"/>
  <c r="A71" i="120" s="1"/>
  <c r="A3" i="127" l="1"/>
  <c r="A4" i="127" s="1"/>
  <c r="A5" i="127" s="1"/>
  <c r="A6" i="127" s="1"/>
  <c r="A7" i="127" s="1"/>
  <c r="A8" i="127" s="1"/>
  <c r="A9" i="127" s="1"/>
  <c r="A10" i="127" s="1"/>
  <c r="A11" i="127" s="1"/>
  <c r="A12" i="127" s="1"/>
  <c r="A13" i="127" s="1"/>
  <c r="A14" i="127" s="1"/>
  <c r="A15" i="127" s="1"/>
  <c r="A16" i="127" s="1"/>
  <c r="A17" i="127" s="1"/>
  <c r="A18" i="127" s="1"/>
  <c r="A19" i="127" s="1"/>
  <c r="A20" i="127" s="1"/>
  <c r="A21" i="127" s="1"/>
  <c r="A22" i="127" s="1"/>
  <c r="A23" i="127" s="1"/>
  <c r="A24" i="127" s="1"/>
  <c r="A25" i="127" s="1"/>
  <c r="A26" i="127" s="1"/>
  <c r="A27" i="127" s="1"/>
  <c r="A28" i="127" s="1"/>
  <c r="A29" i="127" s="1"/>
  <c r="A30" i="127" s="1"/>
  <c r="A31" i="127" s="1"/>
  <c r="A32" i="127" s="1"/>
  <c r="A33" i="127" s="1"/>
  <c r="A34" i="127" s="1"/>
  <c r="A35" i="127" s="1"/>
  <c r="A36" i="127" s="1"/>
  <c r="A37" i="127" s="1"/>
  <c r="A38" i="127" s="1"/>
  <c r="A39" i="127" s="1"/>
  <c r="A40" i="127" s="1"/>
  <c r="A41" i="127" s="1"/>
  <c r="A42" i="127" s="1"/>
  <c r="A43" i="127" s="1"/>
  <c r="A44" i="127" s="1"/>
  <c r="A45" i="127" s="1"/>
  <c r="A46" i="127" s="1"/>
  <c r="A47" i="127" s="1"/>
  <c r="A48" i="127" s="1"/>
  <c r="A49" i="127" s="1"/>
  <c r="A50" i="127" s="1"/>
  <c r="A51" i="127" s="1"/>
  <c r="A52" i="127" s="1"/>
  <c r="A53" i="127" s="1"/>
  <c r="A54" i="127" s="1"/>
  <c r="A55" i="127" s="1"/>
  <c r="A56" i="127" s="1"/>
  <c r="A57" i="127" s="1"/>
  <c r="A58" i="127" s="1"/>
  <c r="A59" i="127" s="1"/>
  <c r="A60" i="127" s="1"/>
  <c r="A61" i="127" s="1"/>
  <c r="A62" i="127" s="1"/>
  <c r="A63" i="127" s="1"/>
  <c r="A64" i="127" s="1"/>
  <c r="A65" i="127" s="1"/>
  <c r="A66" i="127" s="1"/>
  <c r="A67" i="127" s="1"/>
  <c r="A68" i="127" s="1"/>
  <c r="A69" i="127" s="1"/>
  <c r="A70" i="127" s="1"/>
  <c r="A71" i="127" s="1"/>
  <c r="A72" i="127" s="1"/>
  <c r="A73" i="127" s="1"/>
  <c r="A74" i="127" s="1"/>
  <c r="A75" i="127" s="1"/>
  <c r="A76" i="127" s="1"/>
  <c r="A3" i="134" l="1"/>
  <c r="A4" i="134" s="1"/>
  <c r="A5" i="134" s="1"/>
  <c r="A6" i="134" s="1"/>
  <c r="A7" i="134" s="1"/>
  <c r="A8" i="134" s="1"/>
  <c r="A9" i="134" s="1"/>
  <c r="B245" i="139" l="1"/>
  <c r="B246" i="139" s="1"/>
  <c r="B247" i="139" s="1"/>
  <c r="B248" i="139" s="1"/>
  <c r="B249" i="139" s="1"/>
  <c r="B250" i="139" s="1"/>
  <c r="B251" i="139" s="1"/>
  <c r="B252" i="139" s="1"/>
  <c r="B253" i="139" s="1"/>
  <c r="B254" i="139" s="1"/>
  <c r="B255" i="139" s="1"/>
  <c r="B256" i="139" s="1"/>
  <c r="B257" i="139" s="1"/>
  <c r="B258" i="139" s="1"/>
  <c r="B259" i="139" s="1"/>
  <c r="B260" i="139" s="1"/>
  <c r="B261" i="139" s="1"/>
  <c r="B262" i="139" s="1"/>
  <c r="B263" i="139" s="1"/>
  <c r="B264" i="139" s="1"/>
  <c r="B265" i="139" s="1"/>
  <c r="B266" i="139" s="1"/>
  <c r="B267" i="139" s="1"/>
  <c r="B268" i="139" s="1"/>
  <c r="B269" i="139" s="1"/>
  <c r="B3" i="120"/>
  <c r="B4" i="120" s="1"/>
  <c r="B5" i="120" s="1"/>
  <c r="B6" i="120" s="1"/>
  <c r="B7" i="120" s="1"/>
  <c r="B8" i="120" s="1"/>
  <c r="B9" i="120" s="1"/>
  <c r="B10" i="120" s="1"/>
  <c r="B11" i="120" s="1"/>
  <c r="B12" i="120" s="1"/>
  <c r="B13" i="120" s="1"/>
  <c r="B14" i="120" s="1"/>
  <c r="B15" i="120" s="1"/>
  <c r="B16" i="120" s="1"/>
  <c r="B17" i="120" s="1"/>
  <c r="B18" i="120" s="1"/>
  <c r="B19" i="120" s="1"/>
  <c r="B20" i="120" s="1"/>
  <c r="B21" i="120" s="1"/>
  <c r="B22" i="120" s="1"/>
  <c r="B23" i="120" s="1"/>
  <c r="B24" i="120" s="1"/>
  <c r="B25" i="120" s="1"/>
  <c r="B26" i="120" s="1"/>
  <c r="B27" i="120" s="1"/>
  <c r="B28" i="120" s="1"/>
  <c r="B29" i="120" s="1"/>
  <c r="B30" i="120" s="1"/>
  <c r="B31" i="120" s="1"/>
  <c r="B32" i="120" s="1"/>
  <c r="B33" i="120" s="1"/>
  <c r="B34" i="120" s="1"/>
  <c r="B35" i="120" s="1"/>
  <c r="B36" i="120" s="1"/>
  <c r="B37" i="120" s="1"/>
  <c r="B38" i="120" s="1"/>
  <c r="B39" i="120" s="1"/>
  <c r="B40" i="120" s="1"/>
  <c r="B41" i="120" s="1"/>
  <c r="B42" i="120" s="1"/>
  <c r="B43" i="120" s="1"/>
  <c r="B44" i="120" s="1"/>
  <c r="B45" i="120" s="1"/>
  <c r="B46" i="120" s="1"/>
  <c r="B47" i="120" s="1"/>
  <c r="B48" i="120" s="1"/>
  <c r="B49" i="120" s="1"/>
  <c r="B50" i="120" s="1"/>
  <c r="B51" i="120" s="1"/>
  <c r="B52" i="120" s="1"/>
  <c r="B53" i="120" s="1"/>
  <c r="B54" i="120" s="1"/>
  <c r="B55" i="120" s="1"/>
  <c r="B56" i="120" s="1"/>
  <c r="B57" i="120" s="1"/>
  <c r="B58" i="120" s="1"/>
  <c r="B59" i="120" s="1"/>
  <c r="B60" i="120" s="1"/>
  <c r="B61" i="120" s="1"/>
  <c r="B62" i="120" s="1"/>
  <c r="B63" i="120" s="1"/>
  <c r="B64" i="120" s="1"/>
  <c r="B65" i="120" s="1"/>
  <c r="B66" i="120" s="1"/>
  <c r="B67" i="120" s="1"/>
  <c r="B68" i="120" s="1"/>
  <c r="B69" i="120" s="1"/>
  <c r="B70" i="120" s="1"/>
  <c r="B71" i="120" s="1"/>
  <c r="B3" i="94"/>
  <c r="B4" i="94" s="1"/>
  <c r="B5" i="94" s="1"/>
  <c r="B6" i="94" s="1"/>
  <c r="B7" i="94" s="1"/>
  <c r="B8" i="94" s="1"/>
  <c r="B9" i="94" s="1"/>
  <c r="B10" i="94" s="1"/>
  <c r="B11" i="94" s="1"/>
  <c r="B12" i="94" s="1"/>
  <c r="B13" i="94" s="1"/>
  <c r="B14" i="94" s="1"/>
  <c r="B15" i="94" s="1"/>
  <c r="B16" i="94" s="1"/>
  <c r="B17" i="94" s="1"/>
  <c r="B18" i="94" s="1"/>
  <c r="B19" i="94" s="1"/>
  <c r="B20" i="94" s="1"/>
  <c r="B21" i="94" s="1"/>
  <c r="B22" i="94" s="1"/>
  <c r="B23" i="94" s="1"/>
  <c r="B24" i="94" s="1"/>
  <c r="B25" i="94" s="1"/>
  <c r="B26" i="94" s="1"/>
  <c r="B27" i="94" s="1"/>
  <c r="B28" i="94" s="1"/>
  <c r="B29" i="94" s="1"/>
  <c r="B30" i="94" s="1"/>
  <c r="B31" i="94" s="1"/>
  <c r="B32" i="94" s="1"/>
  <c r="B33" i="94" s="1"/>
  <c r="B34" i="94" s="1"/>
  <c r="B35" i="94" s="1"/>
  <c r="B36" i="94" s="1"/>
  <c r="B37" i="94" s="1"/>
  <c r="B38" i="94" s="1"/>
  <c r="B39" i="94" s="1"/>
  <c r="B40" i="94" s="1"/>
  <c r="B41" i="94" s="1"/>
  <c r="B42" i="94" s="1"/>
  <c r="B43" i="94" s="1"/>
  <c r="B44" i="94" s="1"/>
  <c r="B45" i="94" s="1"/>
  <c r="B46" i="94" s="1"/>
  <c r="B47" i="94" s="1"/>
  <c r="B48" i="94" s="1"/>
  <c r="B49" i="94" s="1"/>
  <c r="B50" i="94" s="1"/>
  <c r="B51" i="94" s="1"/>
  <c r="B52" i="94" s="1"/>
  <c r="B53" i="94" s="1"/>
  <c r="B54" i="94" s="1"/>
  <c r="B55" i="94" s="1"/>
  <c r="B56" i="94" s="1"/>
  <c r="B57" i="94" s="1"/>
  <c r="B58" i="94" s="1"/>
  <c r="B59" i="94" s="1"/>
  <c r="B60" i="94" s="1"/>
  <c r="B61" i="94" s="1"/>
  <c r="B62" i="94" s="1"/>
  <c r="B63" i="94" s="1"/>
  <c r="B64" i="94" s="1"/>
  <c r="B65" i="94" s="1"/>
  <c r="B66" i="94" s="1"/>
  <c r="B67" i="94" s="1"/>
  <c r="B68" i="94" s="1"/>
  <c r="B69" i="94" s="1"/>
  <c r="B70" i="94" s="1"/>
  <c r="B71" i="94" s="1"/>
  <c r="B72" i="94" s="1"/>
  <c r="B73" i="94" s="1"/>
  <c r="B74" i="94" s="1"/>
  <c r="B75" i="94" s="1"/>
  <c r="B76" i="94" s="1"/>
  <c r="B77" i="94" s="1"/>
  <c r="B78" i="94" s="1"/>
  <c r="B79" i="94" s="1"/>
  <c r="B80" i="94" s="1"/>
  <c r="B81" i="94" s="1"/>
  <c r="B82" i="94" s="1"/>
  <c r="B83" i="94" s="1"/>
  <c r="B84" i="94" s="1"/>
  <c r="B85" i="94" s="1"/>
  <c r="B86" i="94" s="1"/>
  <c r="B87" i="94" s="1"/>
  <c r="B88" i="94" s="1"/>
  <c r="B89" i="94" s="1"/>
  <c r="B90" i="94" s="1"/>
  <c r="B91" i="94" s="1"/>
  <c r="B92" i="94" s="1"/>
  <c r="B93" i="94" s="1"/>
  <c r="B94" i="94" s="1"/>
  <c r="B95" i="94" s="1"/>
  <c r="B96" i="94" s="1"/>
  <c r="B97" i="94" s="1"/>
  <c r="B98" i="94" s="1"/>
  <c r="B99" i="94" s="1"/>
  <c r="B100" i="94" s="1"/>
  <c r="B101" i="94" s="1"/>
  <c r="B102" i="94" s="1"/>
  <c r="B103" i="94" s="1"/>
  <c r="B104" i="94" s="1"/>
  <c r="B105" i="94" s="1"/>
  <c r="B106" i="94" s="1"/>
  <c r="B107" i="94" s="1"/>
  <c r="B108" i="94" s="1"/>
  <c r="B109" i="94" s="1"/>
  <c r="B110" i="94" s="1"/>
  <c r="B111" i="94" s="1"/>
  <c r="B112" i="94" s="1"/>
  <c r="B113" i="94" s="1"/>
  <c r="B114" i="94" s="1"/>
  <c r="B115" i="94" s="1"/>
  <c r="B116" i="94" s="1"/>
  <c r="B117" i="94" s="1"/>
  <c r="B118" i="94" s="1"/>
  <c r="B119" i="94" s="1"/>
  <c r="B120" i="94" s="1"/>
  <c r="B121" i="94" s="1"/>
  <c r="B122" i="94" s="1"/>
  <c r="B123" i="94" s="1"/>
  <c r="B124" i="94" s="1"/>
  <c r="B125" i="94" s="1"/>
  <c r="B126" i="94" s="1"/>
  <c r="B127" i="94" s="1"/>
  <c r="B128" i="94" s="1"/>
  <c r="B129" i="94" s="1"/>
  <c r="B130" i="94" s="1"/>
  <c r="B131" i="94" s="1"/>
  <c r="B132" i="94" s="1"/>
  <c r="B133" i="94" s="1"/>
  <c r="B134" i="94" s="1"/>
  <c r="B135" i="94" s="1"/>
  <c r="B136" i="94" s="1"/>
  <c r="B137" i="94" s="1"/>
  <c r="B138" i="94" s="1"/>
  <c r="B139" i="94" s="1"/>
  <c r="B140" i="94" s="1"/>
  <c r="B141" i="94" s="1"/>
  <c r="B142" i="94" s="1"/>
  <c r="B143" i="94" s="1"/>
  <c r="B144" i="94" s="1"/>
  <c r="B145" i="94" s="1"/>
  <c r="B146" i="94" s="1"/>
  <c r="B147" i="94" s="1"/>
  <c r="B148" i="94" s="1"/>
  <c r="B149" i="94" s="1"/>
  <c r="B150" i="94" s="1"/>
  <c r="B151" i="94" s="1"/>
  <c r="B152" i="94" s="1"/>
  <c r="B153" i="94" s="1"/>
  <c r="B154" i="94" s="1"/>
  <c r="B155" i="94" s="1"/>
  <c r="B156" i="94" s="1"/>
  <c r="B157" i="94" s="1"/>
  <c r="B158" i="94" s="1"/>
  <c r="B159" i="94" s="1"/>
  <c r="B160" i="94" s="1"/>
  <c r="B161" i="94" s="1"/>
  <c r="B162" i="94" s="1"/>
  <c r="B163" i="94" s="1"/>
  <c r="B164" i="94" s="1"/>
  <c r="B165" i="94" s="1"/>
  <c r="B166" i="94" s="1"/>
  <c r="B167" i="94" s="1"/>
  <c r="B168" i="94" s="1"/>
  <c r="B169" i="94" s="1"/>
  <c r="B170" i="94" s="1"/>
  <c r="B171" i="94" s="1"/>
  <c r="B172" i="94" s="1"/>
  <c r="B173" i="94" s="1"/>
  <c r="B174" i="94" s="1"/>
  <c r="B175" i="94" s="1"/>
  <c r="B176" i="94" s="1"/>
  <c r="B3" i="77" l="1"/>
  <c r="B4" i="77" s="1"/>
  <c r="B5" i="77" s="1"/>
  <c r="B6" i="77" s="1"/>
  <c r="B7" i="77" s="1"/>
  <c r="B8" i="77" s="1"/>
  <c r="B9" i="77" s="1"/>
  <c r="B10" i="77" s="1"/>
  <c r="B11" i="77" s="1"/>
  <c r="B12" i="77" s="1"/>
  <c r="B13" i="77" s="1"/>
  <c r="B14" i="77" s="1"/>
  <c r="B15" i="77" s="1"/>
  <c r="B16" i="77" s="1"/>
  <c r="B17" i="77" s="1"/>
  <c r="B18" i="77" s="1"/>
  <c r="B19" i="77" s="1"/>
  <c r="B20" i="77" s="1"/>
  <c r="B21" i="77" s="1"/>
  <c r="B22" i="77" s="1"/>
  <c r="B23" i="77" s="1"/>
  <c r="B24" i="77" s="1"/>
  <c r="B25" i="77" s="1"/>
  <c r="B26" i="77" s="1"/>
  <c r="B27" i="77" s="1"/>
  <c r="B28" i="77" s="1"/>
  <c r="B29" i="77" s="1"/>
  <c r="B30" i="77" s="1"/>
  <c r="B31" i="77" s="1"/>
  <c r="B32" i="77" s="1"/>
  <c r="B33" i="77" s="1"/>
  <c r="B34" i="77" s="1"/>
  <c r="B35" i="77" s="1"/>
  <c r="B36" i="77" s="1"/>
  <c r="B37" i="77" s="1"/>
  <c r="B38" i="77" s="1"/>
  <c r="B39" i="77" s="1"/>
  <c r="B40" i="77" s="1"/>
  <c r="B41" i="77" s="1"/>
  <c r="B42" i="77" s="1"/>
  <c r="B43" i="77" s="1"/>
  <c r="B44" i="77" s="1"/>
  <c r="B45" i="77" s="1"/>
  <c r="B46" i="77" s="1"/>
  <c r="B47" i="77" s="1"/>
  <c r="B48" i="77" s="1"/>
  <c r="B49" i="77" s="1"/>
  <c r="B50" i="77" s="1"/>
  <c r="B51" i="77" s="1"/>
  <c r="B52" i="77" s="1"/>
  <c r="B53" i="77" s="1"/>
  <c r="B54" i="77" s="1"/>
  <c r="B55" i="77" s="1"/>
  <c r="B56" i="77" s="1"/>
  <c r="B57" i="77" s="1"/>
  <c r="B58" i="77" s="1"/>
  <c r="B59" i="77" s="1"/>
  <c r="B60" i="77" s="1"/>
  <c r="B61" i="77" s="1"/>
  <c r="B62" i="77" s="1"/>
  <c r="B63" i="77" s="1"/>
  <c r="B64" i="77" s="1"/>
  <c r="B65" i="77" s="1"/>
  <c r="B66" i="77" s="1"/>
  <c r="B67" i="77" s="1"/>
  <c r="B68" i="77" s="1"/>
  <c r="B69" i="77" s="1"/>
  <c r="B70" i="77" s="1"/>
  <c r="B71" i="77" s="1"/>
  <c r="B72" i="77" s="1"/>
  <c r="B73" i="77" s="1"/>
  <c r="B74" i="77" s="1"/>
  <c r="B75" i="77" s="1"/>
  <c r="B76" i="77" s="1"/>
  <c r="B77" i="77" s="1"/>
  <c r="B78" i="77" s="1"/>
  <c r="B79" i="77" s="1"/>
  <c r="B80" i="77" s="1"/>
  <c r="B81" i="77" s="1"/>
  <c r="B82" i="77" s="1"/>
  <c r="B83" i="77" s="1"/>
  <c r="B84" i="77" s="1"/>
  <c r="B85" i="77" s="1"/>
  <c r="B86" i="77" s="1"/>
  <c r="B87" i="77" s="1"/>
  <c r="B88" i="77" s="1"/>
  <c r="B89" i="77" s="1"/>
  <c r="B90" i="77" s="1"/>
  <c r="B91" i="77" s="1"/>
  <c r="B92" i="77" s="1"/>
  <c r="B93" i="77" s="1"/>
  <c r="B94" i="77" s="1"/>
  <c r="B95" i="77" s="1"/>
  <c r="B96" i="77" s="1"/>
  <c r="B97" i="77" s="1"/>
  <c r="B98" i="77" s="1"/>
  <c r="B99" i="77" s="1"/>
  <c r="B100" i="77" s="1"/>
  <c r="B101" i="77" s="1"/>
  <c r="B102" i="77" s="1"/>
  <c r="B103" i="77" s="1"/>
  <c r="B104" i="77" s="1"/>
  <c r="B105" i="77" s="1"/>
  <c r="B106" i="77" s="1"/>
  <c r="B107" i="77" s="1"/>
  <c r="B108" i="77" s="1"/>
  <c r="B109" i="77" s="1"/>
  <c r="B110" i="77" s="1"/>
  <c r="B111" i="77" s="1"/>
  <c r="B112" i="77" s="1"/>
  <c r="B113" i="77" s="1"/>
  <c r="B114" i="77" s="1"/>
  <c r="B115" i="77" s="1"/>
  <c r="B116" i="77" s="1"/>
  <c r="B117" i="77" s="1"/>
  <c r="B118" i="77" s="1"/>
  <c r="B119" i="77" s="1"/>
  <c r="B120" i="77" s="1"/>
  <c r="B121" i="77" s="1"/>
  <c r="B122" i="77" s="1"/>
  <c r="B123" i="77" s="1"/>
  <c r="B124" i="77" s="1"/>
  <c r="B125" i="77" s="1"/>
  <c r="B126" i="77" s="1"/>
  <c r="B127" i="77" s="1"/>
  <c r="B128" i="77" s="1"/>
  <c r="B129" i="77" s="1"/>
  <c r="B130" i="77" s="1"/>
  <c r="B131" i="77" s="1"/>
  <c r="B132" i="77" s="1"/>
  <c r="B133" i="77" s="1"/>
  <c r="B134" i="77" s="1"/>
  <c r="B135" i="77" s="1"/>
  <c r="B136" i="77" s="1"/>
  <c r="B137" i="77" s="1"/>
  <c r="B138" i="77" s="1"/>
  <c r="B139" i="77" s="1"/>
  <c r="B140" i="77" s="1"/>
  <c r="B141" i="77" s="1"/>
  <c r="B142" i="77" s="1"/>
  <c r="B143" i="77" s="1"/>
  <c r="B144" i="77" s="1"/>
  <c r="B145" i="77" s="1"/>
  <c r="B146" i="77" s="1"/>
  <c r="B147" i="77" s="1"/>
  <c r="B148" i="77" s="1"/>
  <c r="B149" i="77" s="1"/>
  <c r="B150" i="77" s="1"/>
  <c r="B151" i="77" s="1"/>
  <c r="B152" i="77" s="1"/>
  <c r="B153" i="77" s="1"/>
  <c r="B154" i="77" s="1"/>
  <c r="B155" i="77" s="1"/>
  <c r="B156" i="77" s="1"/>
  <c r="B157" i="77" s="1"/>
  <c r="B158" i="77" s="1"/>
  <c r="B159" i="77" s="1"/>
  <c r="B160" i="77" s="1"/>
  <c r="B161" i="77" s="1"/>
  <c r="B162" i="77" s="1"/>
  <c r="B163" i="77" s="1"/>
  <c r="B164" i="77" s="1"/>
  <c r="B165" i="77" s="1"/>
  <c r="B166" i="77" s="1"/>
  <c r="B167" i="77" s="1"/>
  <c r="B168" i="77" s="1"/>
  <c r="B169" i="77" s="1"/>
  <c r="B170" i="77" s="1"/>
  <c r="B171" i="77" s="1"/>
  <c r="B172" i="77" s="1"/>
  <c r="B173" i="77" s="1"/>
  <c r="B174" i="77" s="1"/>
  <c r="B175" i="77" s="1"/>
  <c r="B176" i="77" s="1"/>
  <c r="B177" i="77" s="1"/>
  <c r="B178" i="77" s="1"/>
  <c r="B179" i="77" s="1"/>
  <c r="B180" i="77" s="1"/>
  <c r="B181" i="77" s="1"/>
  <c r="B182" i="77" s="1"/>
  <c r="B183" i="77" s="1"/>
  <c r="B184" i="77" s="1"/>
  <c r="B185" i="77" s="1"/>
  <c r="B186" i="77" s="1"/>
  <c r="B187" i="77" s="1"/>
  <c r="B188" i="77" s="1"/>
  <c r="B189" i="77" s="1"/>
  <c r="B190" i="77" s="1"/>
  <c r="B191" i="77" s="1"/>
  <c r="B192" i="77" s="1"/>
  <c r="B193" i="77" s="1"/>
  <c r="B194" i="77" s="1"/>
  <c r="B195" i="77" s="1"/>
  <c r="B196" i="77" s="1"/>
  <c r="B197" i="77" s="1"/>
  <c r="B198" i="77" s="1"/>
  <c r="B199" i="77" s="1"/>
  <c r="B200" i="77" s="1"/>
  <c r="B201" i="77" s="1"/>
  <c r="B202" i="77" s="1"/>
  <c r="B203" i="77" s="1"/>
  <c r="B204" i="77" s="1"/>
  <c r="B205" i="77" s="1"/>
  <c r="B206" i="77" s="1"/>
  <c r="B207" i="77" s="1"/>
  <c r="B208" i="77" s="1"/>
  <c r="B209" i="77" s="1"/>
  <c r="B210" i="77" s="1"/>
  <c r="B211" i="77" s="1"/>
  <c r="B212" i="77" s="1"/>
  <c r="B213" i="77" s="1"/>
  <c r="B214" i="77" s="1"/>
  <c r="B215" i="77" s="1"/>
  <c r="B216" i="77" s="1"/>
  <c r="B217" i="77" s="1"/>
  <c r="B218" i="77" s="1"/>
  <c r="B219" i="77" s="1"/>
  <c r="B220" i="77" s="1"/>
  <c r="B221" i="77" s="1"/>
  <c r="B222" i="77" s="1"/>
  <c r="B223" i="77" s="1"/>
  <c r="B224" i="77" s="1"/>
  <c r="B225" i="77" s="1"/>
  <c r="B226" i="77" s="1"/>
  <c r="B227" i="77" s="1"/>
  <c r="B228" i="77" s="1"/>
  <c r="B229" i="77" s="1"/>
  <c r="B230" i="77" s="1"/>
  <c r="B231" i="77" s="1"/>
  <c r="B232" i="77" s="1"/>
  <c r="B233" i="77" s="1"/>
  <c r="B234" i="77" s="1"/>
  <c r="B235" i="77" s="1"/>
  <c r="B236" i="77" s="1"/>
  <c r="B237" i="77" s="1"/>
  <c r="B238" i="77" s="1"/>
  <c r="B239" i="77" s="1"/>
  <c r="B240" i="77" s="1"/>
  <c r="B241" i="77" s="1"/>
  <c r="B242" i="77" s="1"/>
  <c r="B243" i="77" s="1"/>
  <c r="B244" i="77" s="1"/>
  <c r="B245" i="77" s="1"/>
  <c r="B246" i="77" s="1"/>
  <c r="B247" i="77" s="1"/>
  <c r="B248" i="77" s="1"/>
  <c r="B249" i="77" s="1"/>
  <c r="B250" i="77" s="1"/>
  <c r="B251" i="77" s="1"/>
  <c r="B252" i="77" s="1"/>
  <c r="B253" i="77" s="1"/>
  <c r="B254" i="77" s="1"/>
  <c r="B255" i="77" s="1"/>
  <c r="B256" i="77" s="1"/>
  <c r="B257" i="77" s="1"/>
  <c r="B258" i="77" s="1"/>
  <c r="B259" i="77" s="1"/>
  <c r="B260" i="77" s="1"/>
  <c r="B261" i="77" s="1"/>
  <c r="B262" i="77" s="1"/>
  <c r="B263" i="77" s="1"/>
  <c r="B264" i="77" s="1"/>
  <c r="B265" i="77" s="1"/>
  <c r="B266" i="77" s="1"/>
  <c r="B267" i="77" s="1"/>
  <c r="B268" i="77" s="1"/>
  <c r="B269" i="77" s="1"/>
  <c r="B270" i="77" s="1"/>
  <c r="B271" i="77" s="1"/>
  <c r="B272" i="77" s="1"/>
  <c r="B273" i="77" s="1"/>
  <c r="B274" i="77" s="1"/>
  <c r="B275" i="77" s="1"/>
  <c r="B276" i="77" s="1"/>
  <c r="B277" i="77" s="1"/>
  <c r="B278" i="77" s="1"/>
  <c r="B279" i="77" s="1"/>
  <c r="B280" i="77" s="1"/>
  <c r="B281" i="77" s="1"/>
  <c r="B282" i="77" s="1"/>
  <c r="B283" i="77" s="1"/>
  <c r="B284" i="77" s="1"/>
  <c r="B285" i="77" s="1"/>
  <c r="B286" i="77" s="1"/>
  <c r="B287" i="77" s="1"/>
  <c r="B288" i="77" s="1"/>
  <c r="B289" i="77" s="1"/>
  <c r="B290" i="77" s="1"/>
  <c r="B291" i="77" s="1"/>
  <c r="B292" i="77" s="1"/>
  <c r="B293" i="77" s="1"/>
  <c r="B294" i="77" s="1"/>
  <c r="B295" i="77" s="1"/>
  <c r="B296" i="77" s="1"/>
  <c r="B297" i="77" s="1"/>
  <c r="B298" i="77" s="1"/>
  <c r="B299" i="77" s="1"/>
  <c r="B300" i="77" s="1"/>
  <c r="B301" i="77" s="1"/>
  <c r="B302" i="77" s="1"/>
  <c r="B303" i="77" s="1"/>
  <c r="B304" i="77" s="1"/>
  <c r="B305" i="77" s="1"/>
  <c r="B306" i="77" s="1"/>
  <c r="B307" i="77" s="1"/>
  <c r="B308" i="77" s="1"/>
  <c r="B309" i="77" s="1"/>
  <c r="B310" i="77" s="1"/>
  <c r="B311" i="77" s="1"/>
  <c r="B312" i="77" s="1"/>
  <c r="B313" i="77" s="1"/>
  <c r="B314" i="77" s="1"/>
  <c r="B315" i="77" s="1"/>
  <c r="B316" i="77" s="1"/>
  <c r="B317" i="77" s="1"/>
  <c r="B318" i="77" s="1"/>
  <c r="B319" i="77" s="1"/>
  <c r="B320" i="77" s="1"/>
  <c r="B321" i="77" s="1"/>
  <c r="B322" i="77" s="1"/>
  <c r="B323" i="77" s="1"/>
  <c r="B324" i="77" s="1"/>
  <c r="B325" i="77" s="1"/>
  <c r="B326" i="77" s="1"/>
  <c r="B327" i="77" s="1"/>
  <c r="B328" i="77" s="1"/>
  <c r="B329" i="77" s="1"/>
  <c r="B330" i="77" s="1"/>
  <c r="B331" i="77" s="1"/>
  <c r="B332" i="77" s="1"/>
  <c r="B333" i="77" s="1"/>
  <c r="B334" i="77" s="1"/>
  <c r="B335" i="77" s="1"/>
  <c r="B336" i="77" s="1"/>
  <c r="B337" i="77" s="1"/>
  <c r="B338" i="77" s="1"/>
  <c r="B339" i="77" s="1"/>
  <c r="B340" i="77" s="1"/>
  <c r="B341" i="77" s="1"/>
  <c r="B342" i="77" s="1"/>
  <c r="B343" i="77" s="1"/>
  <c r="B344" i="77" s="1"/>
  <c r="B345" i="77" s="1"/>
  <c r="B346" i="77" s="1"/>
  <c r="B347" i="77" s="1"/>
  <c r="B348" i="77" s="1"/>
  <c r="B349" i="77" s="1"/>
  <c r="B350" i="77" s="1"/>
  <c r="B351" i="77" s="1"/>
  <c r="B352" i="77" s="1"/>
  <c r="B353" i="77" s="1"/>
  <c r="B354" i="77" s="1"/>
  <c r="B355" i="77" s="1"/>
  <c r="B356" i="77" s="1"/>
  <c r="B357" i="77" s="1"/>
  <c r="B358" i="77" s="1"/>
  <c r="B359" i="77" s="1"/>
  <c r="B360" i="77" s="1"/>
  <c r="B361" i="77" s="1"/>
  <c r="B362" i="77" s="1"/>
  <c r="B363" i="77" s="1"/>
  <c r="B364" i="77" s="1"/>
  <c r="B365" i="77" s="1"/>
  <c r="B366" i="77" s="1"/>
  <c r="B367" i="77" s="1"/>
  <c r="B368" i="77" s="1"/>
  <c r="B369" i="77" s="1"/>
  <c r="B370" i="77" s="1"/>
  <c r="B371" i="77" s="1"/>
  <c r="B372" i="77" s="1"/>
  <c r="B373" i="77" s="1"/>
  <c r="B374" i="77" s="1"/>
  <c r="B375" i="77" s="1"/>
  <c r="B376" i="77" s="1"/>
  <c r="B377" i="77" s="1"/>
  <c r="B378" i="77" s="1"/>
  <c r="B379" i="77" s="1"/>
  <c r="B380" i="77" s="1"/>
  <c r="B381" i="77" s="1"/>
  <c r="B382" i="77" s="1"/>
  <c r="B383" i="77" s="1"/>
  <c r="B384" i="77" s="1"/>
  <c r="B385" i="77" s="1"/>
  <c r="B386" i="77" s="1"/>
  <c r="B387" i="77" s="1"/>
  <c r="B388" i="77" s="1"/>
  <c r="B3" i="90"/>
  <c r="B4" i="90" s="1"/>
  <c r="B5" i="90" s="1"/>
  <c r="B6" i="90" s="1"/>
  <c r="B7" i="90" s="1"/>
  <c r="B8" i="90" s="1"/>
  <c r="B9" i="90" s="1"/>
  <c r="B10" i="90" s="1"/>
  <c r="B11" i="90" s="1"/>
  <c r="B12" i="90" s="1"/>
  <c r="B13" i="90" s="1"/>
  <c r="B14" i="90" s="1"/>
  <c r="B15" i="90" s="1"/>
  <c r="B16" i="90" s="1"/>
  <c r="B17" i="90" s="1"/>
  <c r="B18" i="90" s="1"/>
  <c r="B19" i="90" s="1"/>
  <c r="B20" i="90" s="1"/>
  <c r="B21" i="90" s="1"/>
  <c r="B22" i="90" s="1"/>
  <c r="B23" i="90" s="1"/>
  <c r="B24" i="90" s="1"/>
  <c r="B25" i="90" s="1"/>
  <c r="B26" i="90" s="1"/>
  <c r="B27" i="90" s="1"/>
  <c r="B28" i="90" s="1"/>
  <c r="B29" i="90" s="1"/>
  <c r="B30" i="90" s="1"/>
  <c r="B31" i="90" s="1"/>
  <c r="B32" i="90" s="1"/>
  <c r="B33" i="90" s="1"/>
  <c r="B34" i="90" s="1"/>
  <c r="B35" i="90" s="1"/>
  <c r="B36" i="90" s="1"/>
  <c r="B37" i="90" s="1"/>
  <c r="B38" i="90" s="1"/>
  <c r="B39" i="90" s="1"/>
  <c r="B40" i="90" s="1"/>
  <c r="B41" i="90" s="1"/>
  <c r="B42" i="90" s="1"/>
  <c r="B43" i="90" s="1"/>
  <c r="B44" i="90" s="1"/>
  <c r="B45" i="90" s="1"/>
  <c r="B46" i="90" s="1"/>
  <c r="B47" i="90" s="1"/>
  <c r="B48" i="90" s="1"/>
  <c r="B49" i="90" s="1"/>
  <c r="B50" i="90" s="1"/>
  <c r="B51" i="90" s="1"/>
  <c r="B52" i="90" s="1"/>
  <c r="B53" i="90" s="1"/>
  <c r="B54" i="90" s="1"/>
  <c r="B55" i="90" s="1"/>
  <c r="B56" i="90" s="1"/>
  <c r="B57" i="90" s="1"/>
  <c r="B58" i="90" s="1"/>
  <c r="B59" i="90" s="1"/>
  <c r="B60" i="90" s="1"/>
  <c r="B61" i="90" s="1"/>
  <c r="B62" i="90" s="1"/>
  <c r="B63" i="90" s="1"/>
  <c r="B64" i="90" s="1"/>
  <c r="B65" i="90" s="1"/>
  <c r="B66" i="90" s="1"/>
  <c r="B67" i="90" s="1"/>
  <c r="B68" i="90" s="1"/>
  <c r="B69" i="90" s="1"/>
  <c r="B70" i="90" s="1"/>
  <c r="B71" i="90" s="1"/>
  <c r="B72" i="90" s="1"/>
  <c r="B73" i="90" s="1"/>
  <c r="B74" i="90" s="1"/>
  <c r="B75" i="90" s="1"/>
  <c r="B76" i="90" s="1"/>
  <c r="B77" i="90" s="1"/>
  <c r="B78" i="90" s="1"/>
  <c r="B79" i="90" s="1"/>
  <c r="B80" i="90" s="1"/>
  <c r="B81" i="90" s="1"/>
  <c r="B82" i="90" s="1"/>
  <c r="B83" i="90" s="1"/>
  <c r="B84" i="90" s="1"/>
  <c r="B85" i="90" s="1"/>
  <c r="B86" i="90" s="1"/>
  <c r="B87" i="90" s="1"/>
  <c r="B88" i="90" s="1"/>
  <c r="B89" i="90" s="1"/>
  <c r="B90" i="90" s="1"/>
  <c r="B91" i="90" s="1"/>
  <c r="B92" i="90" s="1"/>
  <c r="B93" i="90" s="1"/>
  <c r="B94" i="90" s="1"/>
  <c r="B95" i="90" s="1"/>
  <c r="B96" i="90" s="1"/>
  <c r="B97" i="90" s="1"/>
  <c r="B98" i="90" s="1"/>
  <c r="B99" i="90" s="1"/>
  <c r="B100" i="90" s="1"/>
  <c r="B101" i="90" s="1"/>
  <c r="B102" i="90" s="1"/>
  <c r="B103" i="90" s="1"/>
  <c r="B104" i="90" s="1"/>
  <c r="B105" i="90" s="1"/>
  <c r="B106" i="90" s="1"/>
  <c r="B107" i="90" s="1"/>
  <c r="B108" i="90" s="1"/>
  <c r="B109" i="90" s="1"/>
  <c r="B110" i="90" s="1"/>
  <c r="B111" i="90" s="1"/>
  <c r="B112" i="90" s="1"/>
  <c r="B113" i="90" s="1"/>
  <c r="B114" i="90" s="1"/>
  <c r="B115" i="90" s="1"/>
  <c r="B116" i="90" s="1"/>
  <c r="B117" i="90" s="1"/>
  <c r="B118" i="90" s="1"/>
  <c r="B119" i="90" s="1"/>
  <c r="B120" i="90" s="1"/>
  <c r="B121" i="90" s="1"/>
  <c r="B122" i="90" s="1"/>
  <c r="B123" i="90" s="1"/>
  <c r="B124" i="90" s="1"/>
  <c r="B125" i="90" s="1"/>
  <c r="B126" i="90" s="1"/>
  <c r="B127" i="90" s="1"/>
  <c r="B128" i="90" s="1"/>
  <c r="B129" i="90" s="1"/>
  <c r="B130" i="90" s="1"/>
  <c r="B131" i="90" s="1"/>
  <c r="B132" i="90" s="1"/>
  <c r="B133" i="90" s="1"/>
  <c r="B134" i="90" s="1"/>
  <c r="B135" i="90" s="1"/>
  <c r="B136" i="90" s="1"/>
  <c r="B137" i="90" s="1"/>
  <c r="B138" i="90" s="1"/>
  <c r="B139" i="90" s="1"/>
  <c r="B140" i="90" s="1"/>
  <c r="B141" i="90" s="1"/>
  <c r="B142" i="90" s="1"/>
  <c r="B143" i="90" s="1"/>
  <c r="B144" i="90" s="1"/>
  <c r="B145" i="90" s="1"/>
  <c r="B146" i="90" s="1"/>
  <c r="B147" i="90" s="1"/>
  <c r="B148" i="90" s="1"/>
  <c r="B149" i="90" s="1"/>
  <c r="B150" i="90" s="1"/>
  <c r="B151" i="90" s="1"/>
  <c r="B152" i="90" s="1"/>
  <c r="B153" i="90" s="1"/>
  <c r="B154" i="90" s="1"/>
  <c r="B155" i="90" s="1"/>
  <c r="B156" i="90" s="1"/>
  <c r="B157" i="90" s="1"/>
  <c r="B158" i="90" s="1"/>
  <c r="B159" i="90" s="1"/>
  <c r="B160" i="90" s="1"/>
  <c r="B161" i="90" s="1"/>
  <c r="B162" i="90" s="1"/>
  <c r="B163" i="90" s="1"/>
  <c r="B164" i="90" s="1"/>
  <c r="B165" i="90" s="1"/>
  <c r="B166" i="90" s="1"/>
  <c r="B167" i="90" s="1"/>
  <c r="B168" i="90" s="1"/>
  <c r="B169" i="90" s="1"/>
  <c r="B170" i="90" s="1"/>
  <c r="B171" i="90" s="1"/>
  <c r="B172" i="90" s="1"/>
  <c r="B173" i="90" s="1"/>
  <c r="B174" i="90" s="1"/>
  <c r="B175" i="90" s="1"/>
  <c r="B176" i="90" s="1"/>
  <c r="B177" i="90" s="1"/>
  <c r="B178" i="90" s="1"/>
  <c r="B179" i="90" s="1"/>
  <c r="B180" i="90" s="1"/>
  <c r="B181" i="90" s="1"/>
  <c r="B182" i="90" s="1"/>
  <c r="B183" i="90" s="1"/>
  <c r="B184" i="90" s="1"/>
  <c r="B185" i="90" s="1"/>
  <c r="B186" i="90" s="1"/>
  <c r="B187" i="90" s="1"/>
  <c r="B188" i="90" s="1"/>
  <c r="B189" i="90" s="1"/>
  <c r="B190" i="90" s="1"/>
  <c r="B191" i="90" s="1"/>
  <c r="B192" i="90" s="1"/>
  <c r="B193" i="90" s="1"/>
  <c r="B194" i="90" s="1"/>
  <c r="B195" i="90" s="1"/>
  <c r="B196" i="90" s="1"/>
  <c r="B198" i="90" s="1"/>
  <c r="B199" i="90" s="1"/>
  <c r="B200" i="90" s="1"/>
  <c r="B201" i="90" s="1"/>
  <c r="B202" i="90" s="1"/>
  <c r="B203" i="90" s="1"/>
  <c r="B204" i="90" s="1"/>
  <c r="B205" i="90" s="1"/>
  <c r="B3" i="93"/>
  <c r="B4" i="93" s="1"/>
  <c r="B5" i="93" s="1"/>
  <c r="B6" i="93" s="1"/>
  <c r="B7" i="93" s="1"/>
  <c r="B8" i="93" s="1"/>
  <c r="B9" i="93" s="1"/>
  <c r="B10" i="93" s="1"/>
  <c r="B11" i="93" s="1"/>
  <c r="B12" i="93" s="1"/>
  <c r="B13" i="93" s="1"/>
  <c r="B14" i="93" s="1"/>
  <c r="B15" i="93" s="1"/>
  <c r="B16" i="93" s="1"/>
  <c r="B17" i="93" s="1"/>
  <c r="B18" i="93" s="1"/>
  <c r="B19" i="93" s="1"/>
  <c r="B20" i="93" s="1"/>
  <c r="B21" i="93" s="1"/>
  <c r="B22" i="93" s="1"/>
  <c r="B23" i="93" s="1"/>
  <c r="B24" i="93" s="1"/>
  <c r="B25" i="93" s="1"/>
  <c r="B26" i="93" s="1"/>
  <c r="B27" i="93" s="1"/>
  <c r="B28" i="93" s="1"/>
  <c r="B29" i="93" s="1"/>
  <c r="B30" i="93" s="1"/>
  <c r="B31" i="93" s="1"/>
  <c r="B32" i="93" s="1"/>
  <c r="B33" i="93" s="1"/>
  <c r="B34" i="93" s="1"/>
  <c r="B35" i="93" s="1"/>
  <c r="B36" i="93" s="1"/>
  <c r="B37" i="93" s="1"/>
  <c r="B38" i="93" s="1"/>
  <c r="B39" i="93" s="1"/>
  <c r="B40" i="93" s="1"/>
  <c r="B41" i="93" s="1"/>
  <c r="B42" i="93" s="1"/>
  <c r="B43" i="93" s="1"/>
  <c r="B44" i="93" s="1"/>
  <c r="B45" i="93" s="1"/>
  <c r="B46" i="93" s="1"/>
  <c r="B47" i="93" s="1"/>
  <c r="B48" i="93" s="1"/>
  <c r="B49" i="93" s="1"/>
  <c r="B50" i="93" s="1"/>
  <c r="B51" i="93" s="1"/>
  <c r="B52" i="93" s="1"/>
  <c r="B53" i="93" s="1"/>
  <c r="B54" i="93" s="1"/>
  <c r="B55" i="93" s="1"/>
  <c r="B56" i="93" s="1"/>
  <c r="B57" i="93" s="1"/>
  <c r="B58" i="93" s="1"/>
  <c r="B59" i="93" s="1"/>
  <c r="B60" i="93" s="1"/>
  <c r="B61" i="93" s="1"/>
  <c r="B62" i="93" s="1"/>
  <c r="B63" i="93" s="1"/>
  <c r="B64" i="93" s="1"/>
  <c r="B65" i="93" s="1"/>
  <c r="B66" i="93" s="1"/>
  <c r="B67" i="93" s="1"/>
  <c r="B68" i="93" s="1"/>
  <c r="B69" i="93" s="1"/>
  <c r="B70" i="93" s="1"/>
  <c r="B71" i="93" s="1"/>
  <c r="B72" i="93" s="1"/>
  <c r="B73" i="93" s="1"/>
  <c r="B74" i="93" s="1"/>
  <c r="B75" i="93" s="1"/>
  <c r="B76" i="93" s="1"/>
  <c r="B77" i="93" s="1"/>
  <c r="B78" i="93" s="1"/>
  <c r="B79" i="93" s="1"/>
  <c r="B80" i="93" s="1"/>
  <c r="B81" i="93" s="1"/>
  <c r="B82" i="93" s="1"/>
  <c r="B83" i="93" s="1"/>
  <c r="B84" i="93" s="1"/>
  <c r="B85" i="93" s="1"/>
  <c r="B86" i="93" s="1"/>
  <c r="B87" i="93" s="1"/>
  <c r="B88" i="93" s="1"/>
  <c r="B89" i="93" s="1"/>
  <c r="B90" i="93" s="1"/>
  <c r="B91" i="93" s="1"/>
  <c r="B92" i="93" s="1"/>
  <c r="B93" i="93" s="1"/>
  <c r="B94" i="93" s="1"/>
  <c r="B95" i="93" s="1"/>
  <c r="B96" i="93" s="1"/>
  <c r="B97" i="93" s="1"/>
  <c r="B98" i="93" s="1"/>
  <c r="B99" i="93" s="1"/>
  <c r="B100" i="93" s="1"/>
  <c r="B101" i="93" s="1"/>
  <c r="B102" i="93" s="1"/>
  <c r="B103" i="93" s="1"/>
  <c r="B104" i="93" s="1"/>
  <c r="B105" i="93" s="1"/>
  <c r="B106" i="93" s="1"/>
  <c r="B107" i="93" s="1"/>
  <c r="B108" i="93" s="1"/>
  <c r="B109" i="93" s="1"/>
  <c r="B110" i="93" s="1"/>
  <c r="B111" i="93" s="1"/>
  <c r="B112" i="93" s="1"/>
  <c r="B113" i="93" s="1"/>
  <c r="B114" i="93" s="1"/>
  <c r="B115" i="93" s="1"/>
  <c r="B116" i="93" s="1"/>
  <c r="B117" i="93" s="1"/>
  <c r="B118" i="93" s="1"/>
  <c r="B119" i="93" s="1"/>
  <c r="B120" i="93" s="1"/>
  <c r="B121" i="93" s="1"/>
  <c r="B122" i="93" s="1"/>
  <c r="B123" i="93" s="1"/>
  <c r="B124" i="93" s="1"/>
  <c r="B125" i="93" s="1"/>
  <c r="B126" i="93" s="1"/>
  <c r="B127" i="93" s="1"/>
  <c r="B128" i="93" s="1"/>
  <c r="B129" i="93" s="1"/>
  <c r="B130" i="93" s="1"/>
  <c r="B131" i="93" s="1"/>
  <c r="B132" i="93" s="1"/>
  <c r="B133" i="93" s="1"/>
  <c r="B134" i="93" s="1"/>
  <c r="B135" i="93" s="1"/>
  <c r="B136" i="93" s="1"/>
  <c r="B137" i="93" s="1"/>
  <c r="B138" i="93" s="1"/>
  <c r="B139" i="93" s="1"/>
  <c r="B140" i="93" s="1"/>
  <c r="B141" i="93" s="1"/>
  <c r="B142" i="93" s="1"/>
  <c r="B143" i="93" s="1"/>
  <c r="B144" i="93" s="1"/>
  <c r="B145" i="93" s="1"/>
  <c r="B146" i="93" s="1"/>
  <c r="B147" i="93" s="1"/>
  <c r="B148" i="93" s="1"/>
  <c r="B149" i="93" s="1"/>
  <c r="B150" i="93" s="1"/>
  <c r="B151" i="93" s="1"/>
  <c r="B152" i="93" s="1"/>
  <c r="B153" i="93" s="1"/>
  <c r="B154" i="93" s="1"/>
  <c r="B155" i="93" s="1"/>
  <c r="B156" i="93" s="1"/>
  <c r="B157" i="93" s="1"/>
  <c r="B158" i="93" s="1"/>
  <c r="B159" i="93" s="1"/>
  <c r="B160" i="93" s="1"/>
  <c r="B161" i="93" s="1"/>
  <c r="B162" i="93" s="1"/>
  <c r="B163" i="93" s="1"/>
  <c r="B164" i="93" s="1"/>
  <c r="B165" i="93" s="1"/>
  <c r="B166" i="93" s="1"/>
  <c r="B167" i="93" s="1"/>
  <c r="B168" i="93" s="1"/>
  <c r="B169" i="93" s="1"/>
  <c r="B170" i="93" s="1"/>
  <c r="B171" i="93" s="1"/>
  <c r="B172" i="93" s="1"/>
  <c r="B173" i="93" s="1"/>
  <c r="B174" i="93" s="1"/>
  <c r="B175" i="93" s="1"/>
  <c r="B176" i="93" s="1"/>
  <c r="B177" i="93" s="1"/>
  <c r="B178" i="93" s="1"/>
  <c r="B179" i="93" s="1"/>
  <c r="B180" i="93" s="1"/>
  <c r="B181" i="93" s="1"/>
  <c r="B182" i="93" s="1"/>
  <c r="B183" i="93" s="1"/>
  <c r="B184" i="93" s="1"/>
  <c r="B185" i="93" s="1"/>
  <c r="B186" i="93" s="1"/>
  <c r="B187" i="93" s="1"/>
  <c r="B188" i="93" s="1"/>
  <c r="B189" i="93" s="1"/>
  <c r="B190" i="93" s="1"/>
  <c r="B191" i="93" s="1"/>
  <c r="B192" i="93" s="1"/>
  <c r="B193" i="93" s="1"/>
  <c r="B194" i="93" s="1"/>
  <c r="B195" i="93" s="1"/>
  <c r="B196" i="93" s="1"/>
  <c r="B197" i="93" s="1"/>
  <c r="B198" i="93" s="1"/>
  <c r="B199" i="93" s="1"/>
  <c r="B200" i="93" s="1"/>
  <c r="B201" i="93" s="1"/>
  <c r="B202" i="93" s="1"/>
  <c r="B203" i="93" s="1"/>
  <c r="B204" i="93" s="1"/>
  <c r="B205" i="93" s="1"/>
  <c r="B206" i="93" s="1"/>
  <c r="B207" i="93" s="1"/>
  <c r="B208" i="93" s="1"/>
  <c r="B209" i="93" s="1"/>
  <c r="B210" i="93" s="1"/>
  <c r="B211" i="93" s="1"/>
  <c r="B212" i="93" s="1"/>
  <c r="B213" i="93" s="1"/>
  <c r="B214" i="93" s="1"/>
  <c r="B215" i="93" s="1"/>
  <c r="B216" i="93" s="1"/>
  <c r="B217" i="93" s="1"/>
  <c r="B218" i="93" s="1"/>
  <c r="B219" i="93" s="1"/>
  <c r="B220" i="93" s="1"/>
  <c r="B221" i="93" s="1"/>
  <c r="B222" i="93" s="1"/>
  <c r="B223" i="93" s="1"/>
  <c r="B3" i="142" l="1"/>
  <c r="B4" i="142" s="1"/>
  <c r="B5" i="142" s="1"/>
  <c r="B6" i="142" s="1"/>
  <c r="B7" i="142" s="1"/>
  <c r="B8" i="142" s="1"/>
  <c r="B9" i="142" s="1"/>
  <c r="B10" i="142" s="1"/>
  <c r="B11" i="142" s="1"/>
  <c r="B12" i="142" s="1"/>
  <c r="B13" i="142" s="1"/>
  <c r="B14" i="142" s="1"/>
  <c r="B15" i="142" s="1"/>
  <c r="B16" i="142" s="1"/>
  <c r="B17" i="142" s="1"/>
  <c r="B18" i="142" s="1"/>
  <c r="B19" i="142" s="1"/>
  <c r="B20" i="142" s="1"/>
  <c r="B21" i="142" s="1"/>
  <c r="B22" i="142" s="1"/>
  <c r="B23" i="142" s="1"/>
  <c r="B24" i="142" s="1"/>
  <c r="B25" i="142" s="1"/>
  <c r="B26" i="142" s="1"/>
  <c r="B27" i="142" s="1"/>
  <c r="B28" i="142" s="1"/>
  <c r="B29" i="142" s="1"/>
  <c r="B30" i="142" s="1"/>
  <c r="B31" i="142" s="1"/>
  <c r="B32" i="142" s="1"/>
  <c r="B33" i="142" s="1"/>
  <c r="B34" i="142" s="1"/>
  <c r="B35" i="142" s="1"/>
  <c r="B36" i="142" s="1"/>
  <c r="B37" i="142" s="1"/>
  <c r="B38" i="142" s="1"/>
  <c r="B39" i="142" s="1"/>
  <c r="B40" i="142" s="1"/>
  <c r="B41" i="142" s="1"/>
  <c r="B42" i="142" s="1"/>
  <c r="B43" i="142" s="1"/>
  <c r="B44" i="142" s="1"/>
  <c r="B45" i="142" s="1"/>
  <c r="B46" i="142" s="1"/>
  <c r="B47" i="142" s="1"/>
  <c r="B48" i="142" s="1"/>
  <c r="B49" i="142" s="1"/>
  <c r="B50" i="142" s="1"/>
  <c r="B51" i="142" s="1"/>
  <c r="B52" i="142" s="1"/>
  <c r="B53" i="142" s="1"/>
  <c r="B54" i="142" s="1"/>
  <c r="B55" i="142" s="1"/>
  <c r="B56" i="142" s="1"/>
  <c r="B57" i="142" s="1"/>
  <c r="B58" i="142" s="1"/>
  <c r="B59" i="142" s="1"/>
  <c r="B60" i="142" s="1"/>
  <c r="B61" i="142" s="1"/>
  <c r="B62" i="142" s="1"/>
  <c r="B63" i="142" s="1"/>
  <c r="B64" i="142" s="1"/>
  <c r="B65" i="142" s="1"/>
  <c r="B66" i="142" s="1"/>
  <c r="B67" i="142" s="1"/>
  <c r="B68" i="142" s="1"/>
  <c r="B69" i="142" s="1"/>
  <c r="B70" i="142" s="1"/>
  <c r="B71" i="142" s="1"/>
  <c r="B72" i="142" s="1"/>
  <c r="B73" i="142" s="1"/>
  <c r="B74" i="142" s="1"/>
  <c r="B75" i="142" s="1"/>
  <c r="B76" i="142" s="1"/>
  <c r="B77" i="142" s="1"/>
  <c r="B78" i="142" s="1"/>
  <c r="B79" i="142" s="1"/>
  <c r="B80" i="142" s="1"/>
  <c r="B81" i="142" s="1"/>
  <c r="B82" i="142" s="1"/>
  <c r="B83" i="142" s="1"/>
  <c r="B84" i="142" s="1"/>
  <c r="B85" i="142" s="1"/>
  <c r="B86" i="142" s="1"/>
  <c r="B87" i="142" s="1"/>
  <c r="B88" i="142" s="1"/>
  <c r="B89" i="142" s="1"/>
  <c r="B90" i="142" s="1"/>
  <c r="B91" i="142" s="1"/>
  <c r="B92" i="142" s="1"/>
  <c r="B93" i="142" s="1"/>
  <c r="B94" i="142" s="1"/>
  <c r="B95" i="142" s="1"/>
  <c r="B96" i="142" s="1"/>
  <c r="B97" i="142" s="1"/>
  <c r="B98" i="142" s="1"/>
  <c r="B99" i="142" s="1"/>
  <c r="B100" i="142" s="1"/>
  <c r="B101" i="142" s="1"/>
  <c r="B102" i="142" s="1"/>
  <c r="B103" i="142" s="1"/>
  <c r="B104" i="142" s="1"/>
  <c r="B105" i="142" s="1"/>
  <c r="B106" i="142" s="1"/>
  <c r="B107" i="142" s="1"/>
  <c r="B108" i="142" s="1"/>
  <c r="B109" i="142" s="1"/>
  <c r="B110" i="142" s="1"/>
  <c r="B111" i="142" s="1"/>
  <c r="B112" i="142" s="1"/>
  <c r="B113" i="142" s="1"/>
  <c r="B114" i="142" s="1"/>
  <c r="B115" i="142" s="1"/>
  <c r="B116" i="142" s="1"/>
  <c r="B117" i="142" s="1"/>
  <c r="B118" i="142" s="1"/>
  <c r="B119" i="142" s="1"/>
  <c r="B120" i="142" s="1"/>
  <c r="B121" i="142" s="1"/>
  <c r="B122" i="142" s="1"/>
  <c r="B123" i="142" s="1"/>
  <c r="B124" i="142" s="1"/>
  <c r="B125" i="142" s="1"/>
  <c r="B126" i="142" s="1"/>
  <c r="B127" i="142" s="1"/>
  <c r="B128" i="142" s="1"/>
  <c r="B129" i="142" s="1"/>
  <c r="B130" i="142" s="1"/>
  <c r="B131" i="142" s="1"/>
  <c r="B132" i="142" s="1"/>
  <c r="B133" i="142" s="1"/>
  <c r="B134" i="142" s="1"/>
  <c r="B135" i="142" s="1"/>
  <c r="B136" i="142" s="1"/>
  <c r="B137" i="142" s="1"/>
  <c r="B138" i="142" s="1"/>
  <c r="B139" i="142" s="1"/>
  <c r="B140" i="142" s="1"/>
  <c r="B141" i="142" s="1"/>
  <c r="B142" i="142" s="1"/>
  <c r="B143" i="142" s="1"/>
  <c r="B144" i="142" s="1"/>
  <c r="B145" i="142" s="1"/>
  <c r="B146" i="142" s="1"/>
  <c r="B147" i="142" s="1"/>
  <c r="B148" i="142" s="1"/>
  <c r="B149" i="142" s="1"/>
  <c r="B150" i="142" s="1"/>
  <c r="B151" i="142" s="1"/>
  <c r="B152" i="142" s="1"/>
  <c r="B153" i="142" s="1"/>
  <c r="B154" i="142" s="1"/>
  <c r="B155" i="142" s="1"/>
  <c r="B156" i="142" s="1"/>
  <c r="B157" i="142" s="1"/>
  <c r="B158" i="142" s="1"/>
  <c r="B159" i="142" s="1"/>
  <c r="B160" i="142" s="1"/>
  <c r="B161" i="142" s="1"/>
  <c r="B162" i="142" s="1"/>
  <c r="B163" i="142" s="1"/>
  <c r="B164" i="142" s="1"/>
  <c r="B165" i="142" s="1"/>
  <c r="B166" i="142" s="1"/>
  <c r="B167" i="142" s="1"/>
  <c r="B168" i="142" s="1"/>
  <c r="B169" i="142" s="1"/>
  <c r="B170" i="142" s="1"/>
  <c r="B171" i="142" s="1"/>
  <c r="B172" i="142" s="1"/>
  <c r="B173" i="142" s="1"/>
  <c r="B174" i="142" s="1"/>
  <c r="B175" i="142" s="1"/>
  <c r="B176" i="142" s="1"/>
  <c r="B177" i="142" s="1"/>
  <c r="B178" i="142" s="1"/>
  <c r="B179" i="142" s="1"/>
  <c r="B180" i="142" s="1"/>
  <c r="B181" i="142" s="1"/>
  <c r="B182" i="142" s="1"/>
  <c r="B183" i="142" s="1"/>
  <c r="B184" i="142" s="1"/>
  <c r="B185" i="142" s="1"/>
  <c r="B186" i="142" s="1"/>
  <c r="B187" i="142" s="1"/>
  <c r="B188" i="142" s="1"/>
  <c r="B189" i="142" s="1"/>
  <c r="B190" i="142" s="1"/>
  <c r="B191" i="142" s="1"/>
  <c r="B192" i="142" s="1"/>
  <c r="B193" i="142" s="1"/>
  <c r="B194" i="142" s="1"/>
  <c r="B195" i="142" s="1"/>
  <c r="B196" i="142" s="1"/>
  <c r="B197" i="142" s="1"/>
  <c r="B198" i="142" s="1"/>
  <c r="B199" i="142" s="1"/>
  <c r="B200" i="142" s="1"/>
  <c r="B201" i="142" s="1"/>
  <c r="B202" i="142" s="1"/>
  <c r="B203" i="142" s="1"/>
  <c r="B204" i="142" s="1"/>
  <c r="B205" i="142" s="1"/>
  <c r="B206" i="142" s="1"/>
  <c r="B207" i="142" s="1"/>
  <c r="B208" i="142" s="1"/>
  <c r="B209" i="142" s="1"/>
  <c r="B210" i="142" s="1"/>
  <c r="B211" i="142" s="1"/>
  <c r="B212" i="142" s="1"/>
  <c r="B213" i="142" s="1"/>
  <c r="B214" i="142" s="1"/>
  <c r="B215" i="142" s="1"/>
  <c r="B216" i="142" s="1"/>
  <c r="B217" i="142" s="1"/>
  <c r="B218" i="142" s="1"/>
  <c r="B219" i="142" s="1"/>
  <c r="B220" i="142" s="1"/>
  <c r="B221" i="142" s="1"/>
  <c r="B222" i="142" s="1"/>
  <c r="B223" i="142" s="1"/>
  <c r="B224" i="142" s="1"/>
  <c r="B225" i="142" s="1"/>
  <c r="B226" i="142" s="1"/>
  <c r="B227" i="142" s="1"/>
  <c r="B228" i="142" s="1"/>
  <c r="B229" i="142" s="1"/>
  <c r="B230" i="142" s="1"/>
  <c r="B231" i="142" s="1"/>
  <c r="B232" i="142" s="1"/>
  <c r="B233" i="142" s="1"/>
  <c r="B234" i="142" s="1"/>
  <c r="B235" i="142" s="1"/>
  <c r="B236" i="142" s="1"/>
  <c r="B237" i="142" s="1"/>
  <c r="B238" i="142" s="1"/>
  <c r="B239" i="142" s="1"/>
  <c r="B240" i="142" s="1"/>
  <c r="B241" i="142" s="1"/>
  <c r="B242" i="142" s="1"/>
  <c r="B243" i="142" s="1"/>
  <c r="B244" i="142" s="1"/>
  <c r="B245" i="142" s="1"/>
  <c r="B246" i="142" s="1"/>
  <c r="B247" i="142" s="1"/>
  <c r="B248" i="142" s="1"/>
  <c r="B249" i="142" s="1"/>
  <c r="B250" i="142" s="1"/>
  <c r="B251" i="142" s="1"/>
  <c r="B252" i="142" s="1"/>
  <c r="B253" i="142" s="1"/>
  <c r="B254" i="142" s="1"/>
  <c r="B255" i="142" s="1"/>
  <c r="B256" i="142" s="1"/>
  <c r="B257" i="142" s="1"/>
  <c r="B258" i="142" s="1"/>
  <c r="B259" i="142" s="1"/>
  <c r="B260" i="142" s="1"/>
  <c r="B261" i="142" s="1"/>
  <c r="B262" i="142" s="1"/>
  <c r="B263" i="142" s="1"/>
  <c r="B264" i="142" s="1"/>
  <c r="B265" i="142" s="1"/>
  <c r="B266" i="142" s="1"/>
  <c r="B267" i="142" s="1"/>
  <c r="B268" i="142" s="1"/>
  <c r="B269" i="142" s="1"/>
  <c r="B270" i="142" s="1"/>
  <c r="B271" i="142" s="1"/>
  <c r="B272" i="142" s="1"/>
  <c r="B273" i="142" s="1"/>
  <c r="B274" i="142" s="1"/>
  <c r="B275" i="142" s="1"/>
  <c r="B276" i="142" s="1"/>
  <c r="B277" i="142" s="1"/>
  <c r="B278" i="142" s="1"/>
  <c r="B279" i="142" s="1"/>
  <c r="B280" i="142" s="1"/>
  <c r="B281" i="142" s="1"/>
  <c r="B282" i="142" s="1"/>
  <c r="B283" i="142" s="1"/>
  <c r="B284" i="142" s="1"/>
  <c r="B285" i="142" s="1"/>
  <c r="B286" i="142" s="1"/>
  <c r="B287" i="142" s="1"/>
  <c r="B288" i="142" s="1"/>
  <c r="B289" i="142" s="1"/>
  <c r="B290" i="142" s="1"/>
  <c r="B291" i="142" s="1"/>
  <c r="B292" i="142" s="1"/>
  <c r="B293" i="142" s="1"/>
  <c r="B294" i="142" s="1"/>
  <c r="B295" i="142" s="1"/>
  <c r="B296" i="142" s="1"/>
  <c r="B297" i="142" s="1"/>
  <c r="B298" i="142" s="1"/>
  <c r="B299" i="142" s="1"/>
  <c r="B300" i="142" s="1"/>
  <c r="B301" i="142" s="1"/>
  <c r="B302" i="142" s="1"/>
  <c r="B303" i="142" s="1"/>
  <c r="B304" i="142" s="1"/>
  <c r="B305" i="142" s="1"/>
  <c r="B306" i="142" s="1"/>
  <c r="B307" i="142" s="1"/>
  <c r="B308" i="142" s="1"/>
  <c r="B309" i="142" s="1"/>
  <c r="B310" i="142" s="1"/>
  <c r="B311" i="142" s="1"/>
  <c r="B312" i="142" s="1"/>
  <c r="B313" i="142" s="1"/>
  <c r="B314" i="142" s="1"/>
  <c r="B315" i="142" s="1"/>
  <c r="B316" i="142" s="1"/>
  <c r="B317" i="142" s="1"/>
  <c r="B318" i="142" s="1"/>
  <c r="B319" i="142" s="1"/>
  <c r="B320" i="142" s="1"/>
  <c r="B321" i="142" s="1"/>
  <c r="B322" i="142" s="1"/>
  <c r="B323" i="142" s="1"/>
  <c r="B324" i="142" s="1"/>
  <c r="B325" i="142" s="1"/>
  <c r="B326" i="142" s="1"/>
  <c r="B327" i="142" s="1"/>
  <c r="B328" i="142" s="1"/>
  <c r="B329" i="142" s="1"/>
  <c r="B330" i="142" s="1"/>
  <c r="B331" i="142" s="1"/>
  <c r="B332" i="142" s="1"/>
  <c r="B333" i="142" s="1"/>
  <c r="B334" i="142" s="1"/>
  <c r="B335" i="142" s="1"/>
  <c r="B336" i="142" s="1"/>
  <c r="B337" i="142" s="1"/>
  <c r="B338" i="142" s="1"/>
  <c r="B339" i="142" s="1"/>
  <c r="B340" i="142" s="1"/>
  <c r="B341" i="142" s="1"/>
  <c r="B342" i="142" s="1"/>
  <c r="B343" i="142" s="1"/>
  <c r="B344" i="142" s="1"/>
  <c r="B345" i="142" s="1"/>
  <c r="B3" i="136"/>
  <c r="B4" i="136" s="1"/>
  <c r="B5" i="136" s="1"/>
  <c r="B6" i="136" s="1"/>
  <c r="B7" i="136" s="1"/>
  <c r="B8" i="136" s="1"/>
  <c r="B9" i="136" s="1"/>
  <c r="B10" i="136" s="1"/>
  <c r="B11" i="136" s="1"/>
  <c r="B12" i="136" s="1"/>
  <c r="B13" i="136" s="1"/>
  <c r="B14" i="136" s="1"/>
  <c r="B15" i="136" s="1"/>
  <c r="B16" i="136" s="1"/>
  <c r="B17" i="136" s="1"/>
  <c r="B18" i="136" s="1"/>
  <c r="B19" i="136" s="1"/>
  <c r="B20" i="136" s="1"/>
  <c r="B21" i="136" s="1"/>
  <c r="B22" i="136" s="1"/>
  <c r="B23" i="136" s="1"/>
  <c r="B24" i="136" s="1"/>
  <c r="B25" i="136" s="1"/>
  <c r="B3" i="135"/>
  <c r="B4" i="135" s="1"/>
  <c r="B5" i="135" s="1"/>
  <c r="B6" i="135" s="1"/>
  <c r="B7" i="135" s="1"/>
  <c r="B8" i="135" s="1"/>
  <c r="B9" i="135" s="1"/>
  <c r="B10" i="135" s="1"/>
  <c r="B11" i="135" s="1"/>
  <c r="B12" i="135" s="1"/>
  <c r="B13" i="135" s="1"/>
  <c r="B14" i="135" s="1"/>
  <c r="B15" i="135" s="1"/>
  <c r="B16" i="135" s="1"/>
  <c r="B17" i="135" s="1"/>
  <c r="B18" i="135" s="1"/>
  <c r="B19" i="135" s="1"/>
  <c r="B3" i="100"/>
  <c r="B4" i="100" s="1"/>
  <c r="B5" i="100" s="1"/>
  <c r="B6" i="100" s="1"/>
  <c r="B7" i="100" s="1"/>
  <c r="B8" i="100" s="1"/>
  <c r="B9" i="100" s="1"/>
  <c r="B10" i="100" s="1"/>
  <c r="B11" i="100" s="1"/>
  <c r="B12" i="100" s="1"/>
  <c r="B13" i="100" s="1"/>
  <c r="B14" i="100" s="1"/>
  <c r="B15" i="100" s="1"/>
  <c r="B16" i="100" s="1"/>
  <c r="B17" i="100" s="1"/>
  <c r="B18" i="100" s="1"/>
  <c r="B19" i="100" s="1"/>
  <c r="B20" i="100" s="1"/>
  <c r="B21" i="100" s="1"/>
  <c r="B22" i="100" s="1"/>
  <c r="B23" i="100" s="1"/>
  <c r="B24" i="100" s="1"/>
  <c r="B25" i="100" s="1"/>
  <c r="B26" i="100" s="1"/>
  <c r="B27" i="100" s="1"/>
  <c r="B28" i="100" s="1"/>
  <c r="B29" i="100" s="1"/>
  <c r="B30" i="100" s="1"/>
  <c r="B31" i="100" s="1"/>
  <c r="B32" i="100" s="1"/>
  <c r="B33" i="100" s="1"/>
  <c r="B34" i="100" s="1"/>
  <c r="B35" i="100" s="1"/>
  <c r="B36" i="100" s="1"/>
  <c r="B37" i="100" s="1"/>
  <c r="B38" i="100" s="1"/>
  <c r="B39" i="100" s="1"/>
  <c r="B40" i="100" s="1"/>
  <c r="B41" i="100" s="1"/>
  <c r="B42" i="100" s="1"/>
  <c r="B43" i="100" s="1"/>
  <c r="B44" i="100" s="1"/>
  <c r="B45" i="100" s="1"/>
  <c r="B46" i="100" s="1"/>
  <c r="B47" i="100" s="1"/>
  <c r="B48" i="100" s="1"/>
  <c r="B49" i="100" s="1"/>
  <c r="B50" i="100" s="1"/>
  <c r="B51" i="100" s="1"/>
  <c r="B52" i="100" s="1"/>
  <c r="B53" i="100" s="1"/>
  <c r="B54" i="100" s="1"/>
  <c r="B55" i="100" s="1"/>
  <c r="B56" i="100" s="1"/>
  <c r="B57" i="100" s="1"/>
  <c r="B58" i="100" s="1"/>
  <c r="B59" i="100" s="1"/>
  <c r="B60" i="100" s="1"/>
  <c r="B61" i="100" s="1"/>
  <c r="B62" i="100" s="1"/>
  <c r="B63" i="100" s="1"/>
  <c r="B64" i="100" s="1"/>
  <c r="B65" i="100" s="1"/>
  <c r="B66" i="100" s="1"/>
  <c r="B67" i="100" s="1"/>
  <c r="B68" i="100" s="1"/>
  <c r="B69" i="100" s="1"/>
  <c r="B70" i="100" s="1"/>
  <c r="B71" i="100" s="1"/>
  <c r="B72" i="100" s="1"/>
  <c r="B73" i="100" s="1"/>
  <c r="B74" i="100" s="1"/>
  <c r="B75" i="100" s="1"/>
  <c r="B76" i="100" s="1"/>
  <c r="B77" i="100" s="1"/>
  <c r="B78" i="100" s="1"/>
  <c r="B79" i="100" s="1"/>
  <c r="B80" i="100" s="1"/>
  <c r="B81" i="100" s="1"/>
  <c r="B82" i="100" s="1"/>
  <c r="B83" i="100" s="1"/>
  <c r="B84" i="100" s="1"/>
  <c r="B85" i="100" s="1"/>
  <c r="B86" i="100" s="1"/>
  <c r="B87" i="100" s="1"/>
  <c r="B88" i="100" s="1"/>
  <c r="B89" i="100" s="1"/>
  <c r="B90" i="100" s="1"/>
  <c r="B91" i="100" s="1"/>
  <c r="B92" i="100" s="1"/>
  <c r="B93" i="100" s="1"/>
  <c r="B94" i="100" s="1"/>
  <c r="B95" i="100" s="1"/>
  <c r="B96" i="100" s="1"/>
  <c r="B97" i="100" s="1"/>
  <c r="B98" i="100" s="1"/>
  <c r="B99" i="100" s="1"/>
  <c r="B100" i="100" s="1"/>
  <c r="B101" i="100" s="1"/>
  <c r="B102" i="100" s="1"/>
  <c r="B103" i="100" s="1"/>
  <c r="B104" i="100" s="1"/>
  <c r="B105" i="100" s="1"/>
  <c r="B106" i="100" s="1"/>
  <c r="B107" i="100" s="1"/>
  <c r="B108" i="100" s="1"/>
  <c r="B109" i="100" s="1"/>
  <c r="B110" i="100" s="1"/>
  <c r="B111" i="100" s="1"/>
  <c r="B112" i="100" s="1"/>
  <c r="B113" i="100" s="1"/>
  <c r="B114" i="100" s="1"/>
  <c r="B115" i="100" s="1"/>
  <c r="B116" i="100" s="1"/>
  <c r="B117" i="100" s="1"/>
  <c r="B118" i="100" s="1"/>
  <c r="B3" i="127"/>
  <c r="B4" i="127" s="1"/>
  <c r="B5" i="127" s="1"/>
  <c r="B6" i="127" s="1"/>
  <c r="B7" i="127" s="1"/>
  <c r="B8" i="127" s="1"/>
  <c r="B9" i="127" s="1"/>
  <c r="B10" i="127" s="1"/>
  <c r="B11" i="127" s="1"/>
  <c r="B12" i="127" s="1"/>
  <c r="B13" i="127" s="1"/>
  <c r="B14" i="127" s="1"/>
  <c r="B15" i="127" s="1"/>
  <c r="B16" i="127" s="1"/>
  <c r="B17" i="127" s="1"/>
  <c r="B18" i="127" s="1"/>
  <c r="B19" i="127" s="1"/>
  <c r="B20" i="127" s="1"/>
  <c r="B21" i="127" s="1"/>
  <c r="B22" i="127" s="1"/>
  <c r="B23" i="127" s="1"/>
  <c r="B24" i="127" s="1"/>
  <c r="B25" i="127" s="1"/>
  <c r="B26" i="127" s="1"/>
  <c r="B27" i="127" s="1"/>
  <c r="B28" i="127" s="1"/>
  <c r="B29" i="127" s="1"/>
  <c r="B30" i="127" s="1"/>
  <c r="B31" i="127" s="1"/>
  <c r="B32" i="127" s="1"/>
  <c r="B33" i="127" s="1"/>
  <c r="B34" i="127" s="1"/>
  <c r="B35" i="127" s="1"/>
  <c r="B36" i="127" s="1"/>
  <c r="B37" i="127" s="1"/>
  <c r="B38" i="127" s="1"/>
  <c r="B39" i="127" s="1"/>
  <c r="B40" i="127" s="1"/>
  <c r="B41" i="127" s="1"/>
  <c r="B42" i="127" s="1"/>
  <c r="B43" i="127" s="1"/>
  <c r="B44" i="127" s="1"/>
  <c r="B45" i="127" s="1"/>
  <c r="B46" i="127" s="1"/>
  <c r="B47" i="127" s="1"/>
  <c r="B48" i="127" s="1"/>
  <c r="B49" i="127" s="1"/>
  <c r="B50" i="127" s="1"/>
  <c r="B51" i="127" s="1"/>
  <c r="B52" i="127" s="1"/>
  <c r="B53" i="127" s="1"/>
  <c r="B54" i="127" s="1"/>
  <c r="B55" i="127" s="1"/>
  <c r="B56" i="127" s="1"/>
  <c r="B57" i="127" s="1"/>
  <c r="B58" i="127" s="1"/>
  <c r="B59" i="127" s="1"/>
  <c r="B60" i="127" s="1"/>
  <c r="B61" i="127" s="1"/>
  <c r="B62" i="127" s="1"/>
  <c r="B63" i="127" s="1"/>
  <c r="B64" i="127" s="1"/>
  <c r="B65" i="127" s="1"/>
  <c r="B66" i="127" s="1"/>
  <c r="B67" i="127" s="1"/>
  <c r="B68" i="127" s="1"/>
  <c r="B69" i="127" s="1"/>
  <c r="B70" i="127" s="1"/>
  <c r="B71" i="127" s="1"/>
  <c r="B72" i="127" s="1"/>
  <c r="B73" i="127" s="1"/>
  <c r="B74" i="127" s="1"/>
  <c r="B75" i="127" s="1"/>
  <c r="B76" i="127" s="1"/>
  <c r="B3" i="134"/>
  <c r="B4" i="134" s="1"/>
  <c r="B5" i="134" s="1"/>
  <c r="B6" i="134" s="1"/>
  <c r="B7" i="134" s="1"/>
  <c r="B8" i="134" s="1"/>
  <c r="B9" i="134" s="1"/>
  <c r="B4" i="56" l="1"/>
  <c r="B5" i="56" s="1"/>
  <c r="B6" i="56" s="1"/>
  <c r="B7" i="56" s="1"/>
  <c r="B8" i="56" s="1"/>
  <c r="B9" i="56" s="1"/>
  <c r="B10" i="56" s="1"/>
  <c r="B11" i="56" s="1"/>
  <c r="B12" i="56" s="1"/>
  <c r="B13" i="56" s="1"/>
  <c r="B14" i="56" s="1"/>
  <c r="B15" i="56" s="1"/>
  <c r="B16" i="56" s="1"/>
  <c r="B17" i="56" s="1"/>
  <c r="B18" i="56" s="1"/>
  <c r="B19" i="56" s="1"/>
  <c r="B20" i="56" s="1"/>
  <c r="B21" i="56" s="1"/>
  <c r="B22" i="56" s="1"/>
  <c r="B23" i="56" s="1"/>
  <c r="B24" i="56" s="1"/>
  <c r="B25" i="56" s="1"/>
  <c r="B26" i="56" s="1"/>
  <c r="B27" i="56" s="1"/>
  <c r="B28" i="56" s="1"/>
  <c r="B29" i="56" s="1"/>
  <c r="B30" i="56" s="1"/>
  <c r="B31" i="56" s="1"/>
  <c r="B32" i="56" s="1"/>
  <c r="B33" i="56" s="1"/>
  <c r="B34" i="56" s="1"/>
  <c r="B35" i="56" s="1"/>
  <c r="B36" i="56" s="1"/>
  <c r="B37" i="56" s="1"/>
  <c r="B38" i="56" s="1"/>
  <c r="B39" i="56" s="1"/>
  <c r="B40" i="56" s="1"/>
  <c r="B41" i="56" s="1"/>
  <c r="B42" i="56" s="1"/>
  <c r="B43" i="56" s="1"/>
  <c r="B44" i="56" s="1"/>
  <c r="B45" i="56" s="1"/>
  <c r="B46" i="56" s="1"/>
  <c r="B47" i="56" s="1"/>
  <c r="B48" i="56" s="1"/>
  <c r="B49" i="56" s="1"/>
  <c r="B50" i="56" s="1"/>
  <c r="B51" i="56" s="1"/>
  <c r="B52" i="56" s="1"/>
  <c r="B53" i="56" s="1"/>
  <c r="B54" i="56" s="1"/>
  <c r="B55" i="56" s="1"/>
  <c r="B56" i="56" s="1"/>
  <c r="B57" i="56" s="1"/>
  <c r="B58" i="56" s="1"/>
  <c r="B59" i="56" s="1"/>
  <c r="B60" i="56" s="1"/>
  <c r="B61" i="56" s="1"/>
  <c r="B62" i="56" s="1"/>
  <c r="B63" i="56" s="1"/>
  <c r="B64" i="56" s="1"/>
  <c r="B65" i="56" s="1"/>
  <c r="B66" i="56" s="1"/>
  <c r="B67" i="56" s="1"/>
  <c r="B68" i="56" s="1"/>
  <c r="B69" i="56" s="1"/>
  <c r="B70" i="56" s="1"/>
  <c r="B71" i="56" s="1"/>
  <c r="B72" i="56" s="1"/>
  <c r="B73" i="56" s="1"/>
  <c r="B74" i="56" s="1"/>
  <c r="B75" i="56" s="1"/>
  <c r="B76" i="56" s="1"/>
  <c r="B77" i="56" s="1"/>
  <c r="B78" i="56" s="1"/>
  <c r="B79" i="56" s="1"/>
  <c r="B80" i="56" s="1"/>
  <c r="B81" i="56" s="1"/>
  <c r="B82" i="56" s="1"/>
  <c r="B83" i="56" s="1"/>
  <c r="B84" i="56" s="1"/>
  <c r="B85" i="56" s="1"/>
  <c r="B86" i="56" s="1"/>
  <c r="B87" i="56" s="1"/>
  <c r="B88" i="56" s="1"/>
  <c r="B89" i="56" s="1"/>
  <c r="B90" i="56" s="1"/>
  <c r="B91" i="56" s="1"/>
  <c r="B92" i="56" s="1"/>
  <c r="B93" i="56" s="1"/>
  <c r="B94" i="56" s="1"/>
  <c r="B95" i="56" s="1"/>
  <c r="B96" i="56" s="1"/>
  <c r="B97" i="56" s="1"/>
  <c r="B98" i="56" s="1"/>
  <c r="B99" i="56" s="1"/>
  <c r="B100" i="56" s="1"/>
  <c r="B101" i="56" s="1"/>
  <c r="B102" i="56" s="1"/>
  <c r="B103" i="56" s="1"/>
  <c r="B104" i="56" s="1"/>
  <c r="B105" i="56" s="1"/>
  <c r="B106" i="56" s="1"/>
  <c r="B107" i="56" s="1"/>
  <c r="B108" i="56" s="1"/>
  <c r="B109" i="56" s="1"/>
  <c r="B110" i="56" s="1"/>
  <c r="B111" i="56" s="1"/>
  <c r="B112" i="56" s="1"/>
  <c r="B113" i="56" s="1"/>
  <c r="B114" i="56" s="1"/>
  <c r="B115" i="56" s="1"/>
  <c r="B116" i="56" s="1"/>
  <c r="B117" i="56" s="1"/>
  <c r="B118" i="56" s="1"/>
  <c r="B119" i="56" s="1"/>
  <c r="B120" i="56" s="1"/>
  <c r="B121" i="56" s="1"/>
  <c r="B122" i="56" s="1"/>
  <c r="B123" i="56" s="1"/>
  <c r="B124" i="56" s="1"/>
  <c r="B125" i="56" s="1"/>
  <c r="B126" i="56" s="1"/>
  <c r="B127" i="56" s="1"/>
  <c r="B128" i="56" s="1"/>
  <c r="B129" i="56" s="1"/>
  <c r="B130" i="56" s="1"/>
  <c r="B131" i="56" s="1"/>
  <c r="B132" i="56" s="1"/>
  <c r="B133" i="56" s="1"/>
  <c r="B134" i="56" s="1"/>
  <c r="B135" i="56" s="1"/>
  <c r="B136" i="56" s="1"/>
  <c r="B137" i="56" s="1"/>
  <c r="B138" i="56" s="1"/>
  <c r="B139" i="56" s="1"/>
  <c r="B140" i="56" s="1"/>
  <c r="B141" i="56" s="1"/>
  <c r="B142" i="56" s="1"/>
  <c r="B143" i="56" s="1"/>
  <c r="B144" i="56" s="1"/>
  <c r="B145" i="56" s="1"/>
  <c r="B146" i="56" s="1"/>
  <c r="B147" i="56" s="1"/>
  <c r="B148" i="56" s="1"/>
  <c r="B149" i="56" s="1"/>
  <c r="B150" i="56" s="1"/>
  <c r="B151" i="56" s="1"/>
  <c r="B152" i="56" s="1"/>
  <c r="B153" i="56" s="1"/>
  <c r="B154" i="56" s="1"/>
  <c r="B155" i="56" s="1"/>
  <c r="B156" i="56" s="1"/>
  <c r="B157" i="56" s="1"/>
  <c r="B158" i="56" s="1"/>
  <c r="B159" i="56" s="1"/>
  <c r="B160" i="56" s="1"/>
  <c r="B161" i="56" s="1"/>
  <c r="B162" i="56" s="1"/>
  <c r="B163" i="56" s="1"/>
  <c r="B164" i="56" s="1"/>
  <c r="B165" i="56" s="1"/>
  <c r="B166" i="56" s="1"/>
  <c r="B167" i="56" s="1"/>
  <c r="B168" i="56" s="1"/>
  <c r="B169" i="56" s="1"/>
  <c r="B170" i="56" s="1"/>
  <c r="B171" i="56" s="1"/>
  <c r="B3" i="133"/>
  <c r="B4" i="133" s="1"/>
  <c r="B5" i="133" s="1"/>
  <c r="B6" i="133" s="1"/>
  <c r="B7" i="133" s="1"/>
  <c r="B8" i="133" s="1"/>
  <c r="B9" i="133" s="1"/>
  <c r="B10" i="133" s="1"/>
  <c r="B11" i="133" s="1"/>
  <c r="B12" i="133" s="1"/>
  <c r="B13" i="133" s="1"/>
  <c r="B14" i="133" s="1"/>
  <c r="B15" i="133" s="1"/>
  <c r="B16" i="133" s="1"/>
  <c r="B17" i="133" s="1"/>
  <c r="B18" i="133" s="1"/>
  <c r="B19" i="133" s="1"/>
  <c r="B20" i="133" s="1"/>
  <c r="B21" i="133" s="1"/>
  <c r="B22" i="133" s="1"/>
  <c r="B23" i="133" s="1"/>
  <c r="B24" i="133" s="1"/>
  <c r="B25" i="133" s="1"/>
  <c r="C245" i="139" l="1"/>
  <c r="C246" i="139" s="1"/>
  <c r="C247" i="139" s="1"/>
  <c r="C248" i="139" s="1"/>
  <c r="C249" i="139" s="1"/>
  <c r="C250" i="139" s="1"/>
  <c r="C251" i="139" s="1"/>
  <c r="C252" i="139" s="1"/>
  <c r="C253" i="139" s="1"/>
  <c r="C254" i="139" s="1"/>
  <c r="C255" i="139" s="1"/>
  <c r="C256" i="139" s="1"/>
  <c r="C257" i="139" s="1"/>
  <c r="C258" i="139" s="1"/>
  <c r="C259" i="139" s="1"/>
  <c r="C260" i="139" s="1"/>
  <c r="C261" i="139" s="1"/>
  <c r="C262" i="139" s="1"/>
  <c r="C263" i="139" s="1"/>
  <c r="C264" i="139" s="1"/>
  <c r="C265" i="139" s="1"/>
  <c r="C266" i="139" s="1"/>
  <c r="C267" i="139" s="1"/>
  <c r="C268" i="139" s="1"/>
  <c r="C269" i="139" s="1"/>
  <c r="C3" i="120"/>
  <c r="C4" i="120" s="1"/>
  <c r="C5" i="120" s="1"/>
  <c r="C6" i="120" s="1"/>
  <c r="C7" i="120" s="1"/>
  <c r="C8" i="120" s="1"/>
  <c r="C9" i="120" s="1"/>
  <c r="C10" i="120" s="1"/>
  <c r="C11" i="120" s="1"/>
  <c r="C12" i="120" s="1"/>
  <c r="C13" i="120" s="1"/>
  <c r="C14" i="120" s="1"/>
  <c r="C15" i="120" s="1"/>
  <c r="C16" i="120" s="1"/>
  <c r="C17" i="120" s="1"/>
  <c r="C18" i="120" s="1"/>
  <c r="C19" i="120" s="1"/>
  <c r="C20" i="120" s="1"/>
  <c r="C21" i="120" s="1"/>
  <c r="C22" i="120" s="1"/>
  <c r="C23" i="120" s="1"/>
  <c r="C24" i="120" s="1"/>
  <c r="C25" i="120" s="1"/>
  <c r="C26" i="120" s="1"/>
  <c r="C27" i="120" s="1"/>
  <c r="C28" i="120" s="1"/>
  <c r="C29" i="120" s="1"/>
  <c r="C30" i="120" s="1"/>
  <c r="C31" i="120" s="1"/>
  <c r="C32" i="120" s="1"/>
  <c r="C33" i="120" s="1"/>
  <c r="C34" i="120" s="1"/>
  <c r="C35" i="120" s="1"/>
  <c r="C36" i="120" s="1"/>
  <c r="C37" i="120" s="1"/>
  <c r="C38" i="120" s="1"/>
  <c r="C39" i="120" s="1"/>
  <c r="C40" i="120" s="1"/>
  <c r="C41" i="120" s="1"/>
  <c r="C42" i="120" s="1"/>
  <c r="C43" i="120" s="1"/>
  <c r="C44" i="120" s="1"/>
  <c r="C45" i="120" s="1"/>
  <c r="C46" i="120" s="1"/>
  <c r="C47" i="120" s="1"/>
  <c r="C48" i="120" s="1"/>
  <c r="C49" i="120" s="1"/>
  <c r="C50" i="120" s="1"/>
  <c r="C51" i="120" s="1"/>
  <c r="C52" i="120" s="1"/>
  <c r="C53" i="120" s="1"/>
  <c r="C54" i="120" s="1"/>
  <c r="C55" i="120" s="1"/>
  <c r="C56" i="120" s="1"/>
  <c r="C57" i="120" s="1"/>
  <c r="C58" i="120" s="1"/>
  <c r="C59" i="120" s="1"/>
  <c r="C60" i="120" s="1"/>
  <c r="C61" i="120" s="1"/>
  <c r="C62" i="120" s="1"/>
  <c r="C63" i="120" s="1"/>
  <c r="C64" i="120" s="1"/>
  <c r="C65" i="120" s="1"/>
  <c r="C66" i="120" s="1"/>
  <c r="C67" i="120" s="1"/>
  <c r="C68" i="120" s="1"/>
  <c r="C69" i="120" s="1"/>
  <c r="C70" i="120" s="1"/>
  <c r="C71" i="120" s="1"/>
  <c r="C3" i="94"/>
  <c r="C4" i="94" s="1"/>
  <c r="C5" i="94" s="1"/>
  <c r="C6" i="94" s="1"/>
  <c r="C7" i="94" s="1"/>
  <c r="C8" i="94" s="1"/>
  <c r="C9" i="94" s="1"/>
  <c r="C10" i="94" s="1"/>
  <c r="C11" i="94" s="1"/>
  <c r="C12" i="94" s="1"/>
  <c r="C13" i="94" s="1"/>
  <c r="C14" i="94" s="1"/>
  <c r="C15" i="94" s="1"/>
  <c r="C16" i="94" s="1"/>
  <c r="C17" i="94" s="1"/>
  <c r="C18" i="94" s="1"/>
  <c r="C19" i="94" s="1"/>
  <c r="C20" i="94" s="1"/>
  <c r="C21" i="94" s="1"/>
  <c r="C22" i="94" s="1"/>
  <c r="C23" i="94" s="1"/>
  <c r="C24" i="94" s="1"/>
  <c r="C25" i="94" s="1"/>
  <c r="C26" i="94" s="1"/>
  <c r="C27" i="94" s="1"/>
  <c r="C28" i="94" s="1"/>
  <c r="C29" i="94" s="1"/>
  <c r="C30" i="94" s="1"/>
  <c r="C31" i="94" s="1"/>
  <c r="C32" i="94" s="1"/>
  <c r="C33" i="94" s="1"/>
  <c r="C34" i="94" s="1"/>
  <c r="C35" i="94" s="1"/>
  <c r="C36" i="94" s="1"/>
  <c r="C37" i="94" s="1"/>
  <c r="C38" i="94" s="1"/>
  <c r="C39" i="94" s="1"/>
  <c r="C40" i="94" s="1"/>
  <c r="C41" i="94" s="1"/>
  <c r="C42" i="94" s="1"/>
  <c r="C43" i="94" s="1"/>
  <c r="C44" i="94" s="1"/>
  <c r="C45" i="94" s="1"/>
  <c r="C46" i="94" s="1"/>
  <c r="C47" i="94" s="1"/>
  <c r="C48" i="94" s="1"/>
  <c r="C49" i="94" s="1"/>
  <c r="C50" i="94" s="1"/>
  <c r="C51" i="94" s="1"/>
  <c r="C52" i="94" s="1"/>
  <c r="C53" i="94" s="1"/>
  <c r="C54" i="94" s="1"/>
  <c r="C55" i="94" s="1"/>
  <c r="C56" i="94" s="1"/>
  <c r="C57" i="94" s="1"/>
  <c r="C58" i="94" s="1"/>
  <c r="C59" i="94" s="1"/>
  <c r="C60" i="94" s="1"/>
  <c r="C61" i="94" s="1"/>
  <c r="C62" i="94" s="1"/>
  <c r="C63" i="94" s="1"/>
  <c r="C64" i="94" s="1"/>
  <c r="C65" i="94" s="1"/>
  <c r="C66" i="94" s="1"/>
  <c r="C67" i="94" s="1"/>
  <c r="C68" i="94" s="1"/>
  <c r="C69" i="94" s="1"/>
  <c r="C70" i="94" s="1"/>
  <c r="C71" i="94" s="1"/>
  <c r="C72" i="94" s="1"/>
  <c r="C73" i="94" s="1"/>
  <c r="C74" i="94" s="1"/>
  <c r="C75" i="94" s="1"/>
  <c r="C76" i="94" s="1"/>
  <c r="C77" i="94" s="1"/>
  <c r="C78" i="94" s="1"/>
  <c r="C79" i="94" s="1"/>
  <c r="C80" i="94" s="1"/>
  <c r="C81" i="94" s="1"/>
  <c r="C82" i="94" s="1"/>
  <c r="C83" i="94" s="1"/>
  <c r="C84" i="94" s="1"/>
  <c r="C85" i="94" s="1"/>
  <c r="C86" i="94" s="1"/>
  <c r="C87" i="94" s="1"/>
  <c r="C88" i="94" s="1"/>
  <c r="C89" i="94" s="1"/>
  <c r="C90" i="94" s="1"/>
  <c r="C91" i="94" s="1"/>
  <c r="C92" i="94" s="1"/>
  <c r="C93" i="94" s="1"/>
  <c r="C94" i="94" s="1"/>
  <c r="C95" i="94" s="1"/>
  <c r="C96" i="94" s="1"/>
  <c r="C97" i="94" s="1"/>
  <c r="C98" i="94" s="1"/>
  <c r="C99" i="94" s="1"/>
  <c r="C100" i="94" s="1"/>
  <c r="C101" i="94" s="1"/>
  <c r="C102" i="94" s="1"/>
  <c r="C103" i="94" s="1"/>
  <c r="C104" i="94" s="1"/>
  <c r="C105" i="94" s="1"/>
  <c r="C106" i="94" s="1"/>
  <c r="C107" i="94" s="1"/>
  <c r="C108" i="94" s="1"/>
  <c r="C109" i="94" s="1"/>
  <c r="C110" i="94" s="1"/>
  <c r="C111" i="94" s="1"/>
  <c r="C112" i="94" s="1"/>
  <c r="C113" i="94" s="1"/>
  <c r="C114" i="94" s="1"/>
  <c r="C115" i="94" s="1"/>
  <c r="C116" i="94" s="1"/>
  <c r="C117" i="94" s="1"/>
  <c r="C118" i="94" s="1"/>
  <c r="C119" i="94" s="1"/>
  <c r="C120" i="94" s="1"/>
  <c r="C121" i="94" s="1"/>
  <c r="C122" i="94" s="1"/>
  <c r="C123" i="94" s="1"/>
  <c r="C124" i="94" s="1"/>
  <c r="C125" i="94" s="1"/>
  <c r="C126" i="94" s="1"/>
  <c r="C127" i="94" s="1"/>
  <c r="C128" i="94" s="1"/>
  <c r="C129" i="94" s="1"/>
  <c r="C130" i="94" s="1"/>
  <c r="C131" i="94" s="1"/>
  <c r="C132" i="94" s="1"/>
  <c r="C133" i="94" s="1"/>
  <c r="C134" i="94" s="1"/>
  <c r="C135" i="94" s="1"/>
  <c r="C136" i="94" s="1"/>
  <c r="C137" i="94" s="1"/>
  <c r="C138" i="94" s="1"/>
  <c r="C139" i="94" s="1"/>
  <c r="C140" i="94" s="1"/>
  <c r="C141" i="94" s="1"/>
  <c r="C142" i="94" s="1"/>
  <c r="C143" i="94" s="1"/>
  <c r="C144" i="94" s="1"/>
  <c r="C145" i="94" s="1"/>
  <c r="C146" i="94" s="1"/>
  <c r="C147" i="94" s="1"/>
  <c r="C148" i="94" s="1"/>
  <c r="C149" i="94" s="1"/>
  <c r="C150" i="94" s="1"/>
  <c r="C151" i="94" s="1"/>
  <c r="C152" i="94" s="1"/>
  <c r="C153" i="94" s="1"/>
  <c r="C154" i="94" s="1"/>
  <c r="C155" i="94" s="1"/>
  <c r="C156" i="94" s="1"/>
  <c r="C157" i="94" s="1"/>
  <c r="C158" i="94" s="1"/>
  <c r="C159" i="94" s="1"/>
  <c r="C160" i="94" s="1"/>
  <c r="C161" i="94" s="1"/>
  <c r="C162" i="94" s="1"/>
  <c r="C163" i="94" s="1"/>
  <c r="C164" i="94" s="1"/>
  <c r="C165" i="94" s="1"/>
  <c r="C166" i="94" s="1"/>
  <c r="C167" i="94" s="1"/>
  <c r="C168" i="94" s="1"/>
  <c r="C169" i="94" s="1"/>
  <c r="C170" i="94" s="1"/>
  <c r="C171" i="94" s="1"/>
  <c r="C172" i="94" s="1"/>
  <c r="C173" i="94" s="1"/>
  <c r="C174" i="94" s="1"/>
  <c r="C175" i="94" s="1"/>
  <c r="C176" i="94" s="1"/>
  <c r="C3" i="77" l="1"/>
  <c r="C4" i="77" s="1"/>
  <c r="C5" i="77" s="1"/>
  <c r="C6" i="77" s="1"/>
  <c r="C7" i="77" s="1"/>
  <c r="C8" i="77" s="1"/>
  <c r="C9" i="77" s="1"/>
  <c r="C10" i="77" s="1"/>
  <c r="C11" i="77" s="1"/>
  <c r="C12" i="77" s="1"/>
  <c r="C13" i="77" s="1"/>
  <c r="C14" i="77" s="1"/>
  <c r="C15" i="77" s="1"/>
  <c r="C16" i="77" s="1"/>
  <c r="C17" i="77" s="1"/>
  <c r="C18" i="77" s="1"/>
  <c r="C19" i="77" s="1"/>
  <c r="C20" i="77" s="1"/>
  <c r="C21" i="77" s="1"/>
  <c r="C22" i="77" s="1"/>
  <c r="C23" i="77" s="1"/>
  <c r="C24" i="77" s="1"/>
  <c r="C25" i="77" s="1"/>
  <c r="C26" i="77" s="1"/>
  <c r="C27" i="77" s="1"/>
  <c r="C28" i="77" s="1"/>
  <c r="C29" i="77" s="1"/>
  <c r="C30" i="77" s="1"/>
  <c r="C31" i="77" s="1"/>
  <c r="C32" i="77" s="1"/>
  <c r="C33" i="77" s="1"/>
  <c r="C34" i="77" s="1"/>
  <c r="C35" i="77" s="1"/>
  <c r="C36" i="77" s="1"/>
  <c r="C37" i="77" s="1"/>
  <c r="C38" i="77" s="1"/>
  <c r="C39" i="77" s="1"/>
  <c r="C40" i="77" s="1"/>
  <c r="C41" i="77" s="1"/>
  <c r="C42" i="77" s="1"/>
  <c r="C43" i="77" s="1"/>
  <c r="C44" i="77" s="1"/>
  <c r="C45" i="77" s="1"/>
  <c r="C46" i="77" s="1"/>
  <c r="C47" i="77" s="1"/>
  <c r="C48" i="77" s="1"/>
  <c r="C49" i="77" s="1"/>
  <c r="C50" i="77" s="1"/>
  <c r="C51" i="77" s="1"/>
  <c r="C52" i="77" s="1"/>
  <c r="C53" i="77" s="1"/>
  <c r="C54" i="77" s="1"/>
  <c r="C55" i="77" s="1"/>
  <c r="C56" i="77" s="1"/>
  <c r="C57" i="77" s="1"/>
  <c r="C58" i="77" s="1"/>
  <c r="C59" i="77" s="1"/>
  <c r="C60" i="77" s="1"/>
  <c r="C61" i="77" s="1"/>
  <c r="C62" i="77" s="1"/>
  <c r="C63" i="77" s="1"/>
  <c r="C64" i="77" s="1"/>
  <c r="C65" i="77" s="1"/>
  <c r="C66" i="77" s="1"/>
  <c r="C67" i="77" s="1"/>
  <c r="C68" i="77" s="1"/>
  <c r="C69" i="77" s="1"/>
  <c r="C70" i="77" s="1"/>
  <c r="C71" i="77" s="1"/>
  <c r="C72" i="77" s="1"/>
  <c r="C73" i="77" s="1"/>
  <c r="C74" i="77" s="1"/>
  <c r="C75" i="77" s="1"/>
  <c r="C76" i="77" s="1"/>
  <c r="C77" i="77" s="1"/>
  <c r="C78" i="77" s="1"/>
  <c r="C79" i="77" s="1"/>
  <c r="C80" i="77" s="1"/>
  <c r="C81" i="77" s="1"/>
  <c r="C82" i="77" s="1"/>
  <c r="C83" i="77" s="1"/>
  <c r="C84" i="77" s="1"/>
  <c r="C85" i="77" s="1"/>
  <c r="C86" i="77" s="1"/>
  <c r="C87" i="77" s="1"/>
  <c r="C88" i="77" s="1"/>
  <c r="C89" i="77" s="1"/>
  <c r="C90" i="77" s="1"/>
  <c r="C91" i="77" s="1"/>
  <c r="C92" i="77" s="1"/>
  <c r="C93" i="77" s="1"/>
  <c r="C94" i="77" s="1"/>
  <c r="C95" i="77" s="1"/>
  <c r="C96" i="77" s="1"/>
  <c r="C97" i="77" s="1"/>
  <c r="C98" i="77" s="1"/>
  <c r="C99" i="77" s="1"/>
  <c r="C100" i="77" s="1"/>
  <c r="C101" i="77" s="1"/>
  <c r="C102" i="77" s="1"/>
  <c r="C103" i="77" s="1"/>
  <c r="C104" i="77" s="1"/>
  <c r="C105" i="77" s="1"/>
  <c r="C106" i="77" s="1"/>
  <c r="C107" i="77" s="1"/>
  <c r="C108" i="77" s="1"/>
  <c r="C109" i="77" s="1"/>
  <c r="C110" i="77" s="1"/>
  <c r="C111" i="77" s="1"/>
  <c r="C112" i="77" s="1"/>
  <c r="C113" i="77" s="1"/>
  <c r="C114" i="77" s="1"/>
  <c r="C115" i="77" s="1"/>
  <c r="C116" i="77" s="1"/>
  <c r="C117" i="77" s="1"/>
  <c r="C118" i="77" s="1"/>
  <c r="C119" i="77" s="1"/>
  <c r="C120" i="77" s="1"/>
  <c r="C121" i="77" s="1"/>
  <c r="C122" i="77" s="1"/>
  <c r="C123" i="77" s="1"/>
  <c r="C124" i="77" s="1"/>
  <c r="C125" i="77" s="1"/>
  <c r="C126" i="77" s="1"/>
  <c r="C127" i="77" s="1"/>
  <c r="C128" i="77" s="1"/>
  <c r="C129" i="77" s="1"/>
  <c r="C130" i="77" s="1"/>
  <c r="C131" i="77" s="1"/>
  <c r="C132" i="77" s="1"/>
  <c r="C133" i="77" s="1"/>
  <c r="C134" i="77" s="1"/>
  <c r="C135" i="77" s="1"/>
  <c r="C136" i="77" s="1"/>
  <c r="C137" i="77" s="1"/>
  <c r="C138" i="77" s="1"/>
  <c r="C139" i="77" s="1"/>
  <c r="C140" i="77" s="1"/>
  <c r="C141" i="77" s="1"/>
  <c r="C142" i="77" s="1"/>
  <c r="C143" i="77" s="1"/>
  <c r="C144" i="77" s="1"/>
  <c r="C145" i="77" s="1"/>
  <c r="C146" i="77" s="1"/>
  <c r="C147" i="77" s="1"/>
  <c r="C148" i="77" s="1"/>
  <c r="C149" i="77" s="1"/>
  <c r="C150" i="77" s="1"/>
  <c r="C151" i="77" s="1"/>
  <c r="C152" i="77" s="1"/>
  <c r="C153" i="77" s="1"/>
  <c r="C154" i="77" s="1"/>
  <c r="C155" i="77" s="1"/>
  <c r="C156" i="77" s="1"/>
  <c r="C157" i="77" s="1"/>
  <c r="C158" i="77" s="1"/>
  <c r="C159" i="77" s="1"/>
  <c r="C160" i="77" s="1"/>
  <c r="C161" i="77" s="1"/>
  <c r="C162" i="77" s="1"/>
  <c r="C163" i="77" s="1"/>
  <c r="C164" i="77" s="1"/>
  <c r="C165" i="77" s="1"/>
  <c r="C166" i="77" s="1"/>
  <c r="C167" i="77" s="1"/>
  <c r="C168" i="77" s="1"/>
  <c r="C169" i="77" s="1"/>
  <c r="C170" i="77" s="1"/>
  <c r="C171" i="77" s="1"/>
  <c r="C172" i="77" s="1"/>
  <c r="C173" i="77" s="1"/>
  <c r="C174" i="77" s="1"/>
  <c r="C175" i="77" s="1"/>
  <c r="C176" i="77" s="1"/>
  <c r="C177" i="77" s="1"/>
  <c r="C178" i="77" s="1"/>
  <c r="C179" i="77" s="1"/>
  <c r="C180" i="77" s="1"/>
  <c r="C181" i="77" s="1"/>
  <c r="C182" i="77" s="1"/>
  <c r="C183" i="77" s="1"/>
  <c r="C184" i="77" s="1"/>
  <c r="C185" i="77" s="1"/>
  <c r="C186" i="77" s="1"/>
  <c r="C187" i="77" s="1"/>
  <c r="C188" i="77" s="1"/>
  <c r="C189" i="77" s="1"/>
  <c r="C190" i="77" s="1"/>
  <c r="C191" i="77" s="1"/>
  <c r="C192" i="77" s="1"/>
  <c r="C193" i="77" s="1"/>
  <c r="C194" i="77" s="1"/>
  <c r="C195" i="77" s="1"/>
  <c r="C196" i="77" s="1"/>
  <c r="C197" i="77" s="1"/>
  <c r="C198" i="77" s="1"/>
  <c r="C199" i="77" s="1"/>
  <c r="C200" i="77" s="1"/>
  <c r="C201" i="77" s="1"/>
  <c r="C202" i="77" s="1"/>
  <c r="C203" i="77" s="1"/>
  <c r="C204" i="77" s="1"/>
  <c r="C205" i="77" s="1"/>
  <c r="C206" i="77" s="1"/>
  <c r="C207" i="77" s="1"/>
  <c r="C208" i="77" s="1"/>
  <c r="C209" i="77" s="1"/>
  <c r="C210" i="77" s="1"/>
  <c r="C211" i="77" s="1"/>
  <c r="C212" i="77" s="1"/>
  <c r="C213" i="77" s="1"/>
  <c r="C214" i="77" s="1"/>
  <c r="C215" i="77" s="1"/>
  <c r="C216" i="77" s="1"/>
  <c r="C217" i="77" s="1"/>
  <c r="C218" i="77" s="1"/>
  <c r="C219" i="77" s="1"/>
  <c r="C220" i="77" s="1"/>
  <c r="C221" i="77" s="1"/>
  <c r="C222" i="77" s="1"/>
  <c r="C223" i="77" s="1"/>
  <c r="C224" i="77" s="1"/>
  <c r="C225" i="77" s="1"/>
  <c r="C226" i="77" s="1"/>
  <c r="C227" i="77" s="1"/>
  <c r="C228" i="77" s="1"/>
  <c r="C229" i="77" s="1"/>
  <c r="C230" i="77" s="1"/>
  <c r="C231" i="77" s="1"/>
  <c r="C232" i="77" s="1"/>
  <c r="C233" i="77" s="1"/>
  <c r="C234" i="77" s="1"/>
  <c r="C235" i="77" s="1"/>
  <c r="C236" i="77" s="1"/>
  <c r="C237" i="77" s="1"/>
  <c r="C238" i="77" s="1"/>
  <c r="C239" i="77" s="1"/>
  <c r="C240" i="77" s="1"/>
  <c r="C241" i="77" s="1"/>
  <c r="C242" i="77" s="1"/>
  <c r="C243" i="77" s="1"/>
  <c r="C244" i="77" s="1"/>
  <c r="C245" i="77" s="1"/>
  <c r="C246" i="77" s="1"/>
  <c r="C247" i="77" s="1"/>
  <c r="C248" i="77" s="1"/>
  <c r="C249" i="77" s="1"/>
  <c r="C250" i="77" s="1"/>
  <c r="C251" i="77" s="1"/>
  <c r="C252" i="77" s="1"/>
  <c r="C253" i="77" s="1"/>
  <c r="C254" i="77" s="1"/>
  <c r="C255" i="77" s="1"/>
  <c r="C256" i="77" s="1"/>
  <c r="C257" i="77" s="1"/>
  <c r="C258" i="77" s="1"/>
  <c r="C259" i="77" s="1"/>
  <c r="C260" i="77" s="1"/>
  <c r="C261" i="77" s="1"/>
  <c r="C262" i="77" s="1"/>
  <c r="C263" i="77" s="1"/>
  <c r="C264" i="77" s="1"/>
  <c r="C265" i="77" s="1"/>
  <c r="C266" i="77" s="1"/>
  <c r="C267" i="77" s="1"/>
  <c r="C268" i="77" s="1"/>
  <c r="C269" i="77" s="1"/>
  <c r="C270" i="77" s="1"/>
  <c r="C271" i="77" s="1"/>
  <c r="C272" i="77" s="1"/>
  <c r="C273" i="77" s="1"/>
  <c r="C274" i="77" s="1"/>
  <c r="C275" i="77" s="1"/>
  <c r="C276" i="77" s="1"/>
  <c r="C277" i="77" s="1"/>
  <c r="C278" i="77" s="1"/>
  <c r="C279" i="77" s="1"/>
  <c r="C280" i="77" s="1"/>
  <c r="C281" i="77" s="1"/>
  <c r="C282" i="77" s="1"/>
  <c r="C283" i="77" s="1"/>
  <c r="C284" i="77" s="1"/>
  <c r="C285" i="77" s="1"/>
  <c r="C286" i="77" s="1"/>
  <c r="C287" i="77" s="1"/>
  <c r="C288" i="77" s="1"/>
  <c r="C289" i="77" s="1"/>
  <c r="C290" i="77" s="1"/>
  <c r="C291" i="77" s="1"/>
  <c r="C292" i="77" s="1"/>
  <c r="C293" i="77" s="1"/>
  <c r="C294" i="77" s="1"/>
  <c r="C295" i="77" s="1"/>
  <c r="C296" i="77" s="1"/>
  <c r="C297" i="77" s="1"/>
  <c r="C298" i="77" s="1"/>
  <c r="C299" i="77" s="1"/>
  <c r="C300" i="77" s="1"/>
  <c r="C301" i="77" s="1"/>
  <c r="C302" i="77" s="1"/>
  <c r="C303" i="77" s="1"/>
  <c r="C304" i="77" s="1"/>
  <c r="C305" i="77" s="1"/>
  <c r="C306" i="77" s="1"/>
  <c r="C307" i="77" s="1"/>
  <c r="C308" i="77" s="1"/>
  <c r="C309" i="77" s="1"/>
  <c r="C310" i="77" s="1"/>
  <c r="C311" i="77" s="1"/>
  <c r="C312" i="77" s="1"/>
  <c r="C313" i="77" s="1"/>
  <c r="C314" i="77" s="1"/>
  <c r="C315" i="77" s="1"/>
  <c r="C316" i="77" s="1"/>
  <c r="C317" i="77" s="1"/>
  <c r="C318" i="77" s="1"/>
  <c r="C319" i="77" s="1"/>
  <c r="C320" i="77" s="1"/>
  <c r="C321" i="77" s="1"/>
  <c r="C322" i="77" s="1"/>
  <c r="C323" i="77" s="1"/>
  <c r="C324" i="77" s="1"/>
  <c r="C325" i="77" s="1"/>
  <c r="C326" i="77" s="1"/>
  <c r="C327" i="77" s="1"/>
  <c r="C328" i="77" s="1"/>
  <c r="C329" i="77" s="1"/>
  <c r="C330" i="77" s="1"/>
  <c r="C331" i="77" s="1"/>
  <c r="C332" i="77" s="1"/>
  <c r="C333" i="77" s="1"/>
  <c r="C334" i="77" s="1"/>
  <c r="C335" i="77" s="1"/>
  <c r="C336" i="77" s="1"/>
  <c r="C337" i="77" s="1"/>
  <c r="C338" i="77" s="1"/>
  <c r="C339" i="77" s="1"/>
  <c r="C340" i="77" s="1"/>
  <c r="C341" i="77" s="1"/>
  <c r="C342" i="77" s="1"/>
  <c r="C343" i="77" s="1"/>
  <c r="C344" i="77" s="1"/>
  <c r="C345" i="77" s="1"/>
  <c r="C346" i="77" s="1"/>
  <c r="C347" i="77" s="1"/>
  <c r="C348" i="77" s="1"/>
  <c r="C349" i="77" s="1"/>
  <c r="C350" i="77" s="1"/>
  <c r="C351" i="77" s="1"/>
  <c r="C352" i="77" s="1"/>
  <c r="C353" i="77" s="1"/>
  <c r="C354" i="77" s="1"/>
  <c r="C355" i="77" s="1"/>
  <c r="C356" i="77" s="1"/>
  <c r="C357" i="77" s="1"/>
  <c r="C358" i="77" s="1"/>
  <c r="C359" i="77" s="1"/>
  <c r="C360" i="77" s="1"/>
  <c r="C361" i="77" s="1"/>
  <c r="C362" i="77" s="1"/>
  <c r="C363" i="77" s="1"/>
  <c r="C364" i="77" s="1"/>
  <c r="C365" i="77" s="1"/>
  <c r="C366" i="77" s="1"/>
  <c r="C367" i="77" s="1"/>
  <c r="C368" i="77" s="1"/>
  <c r="C369" i="77" s="1"/>
  <c r="C370" i="77" s="1"/>
  <c r="C371" i="77" s="1"/>
  <c r="C372" i="77" s="1"/>
  <c r="C373" i="77" s="1"/>
  <c r="C374" i="77" s="1"/>
  <c r="C375" i="77" s="1"/>
  <c r="C376" i="77" s="1"/>
  <c r="C377" i="77" s="1"/>
  <c r="C378" i="77" s="1"/>
  <c r="C379" i="77" s="1"/>
  <c r="C380" i="77" s="1"/>
  <c r="C381" i="77" s="1"/>
  <c r="C382" i="77" s="1"/>
  <c r="C383" i="77" s="1"/>
  <c r="C384" i="77" s="1"/>
  <c r="C385" i="77" s="1"/>
  <c r="C386" i="77" s="1"/>
  <c r="C387" i="77" s="1"/>
  <c r="C388" i="77" s="1"/>
  <c r="C3" i="90"/>
  <c r="C4" i="90" s="1"/>
  <c r="C5" i="90" s="1"/>
  <c r="C6" i="90" s="1"/>
  <c r="C7" i="90" s="1"/>
  <c r="C8" i="90" s="1"/>
  <c r="C9" i="90" s="1"/>
  <c r="C10" i="90" s="1"/>
  <c r="C11" i="90" s="1"/>
  <c r="C12" i="90" s="1"/>
  <c r="C13" i="90" s="1"/>
  <c r="C14" i="90" s="1"/>
  <c r="C15" i="90" s="1"/>
  <c r="C16" i="90" s="1"/>
  <c r="C17" i="90" s="1"/>
  <c r="C18" i="90" s="1"/>
  <c r="C19" i="90" s="1"/>
  <c r="C20" i="90" s="1"/>
  <c r="C21" i="90" s="1"/>
  <c r="C22" i="90" s="1"/>
  <c r="C23" i="90" s="1"/>
  <c r="C24" i="90" s="1"/>
  <c r="C25" i="90" s="1"/>
  <c r="C26" i="90" s="1"/>
  <c r="C27" i="90" s="1"/>
  <c r="C28" i="90" s="1"/>
  <c r="C29" i="90" s="1"/>
  <c r="C30" i="90" s="1"/>
  <c r="C31" i="90" s="1"/>
  <c r="C32" i="90" s="1"/>
  <c r="C33" i="90" s="1"/>
  <c r="C34" i="90" s="1"/>
  <c r="C35" i="90" s="1"/>
  <c r="C36" i="90" s="1"/>
  <c r="C37" i="90" s="1"/>
  <c r="C38" i="90" s="1"/>
  <c r="C39" i="90" s="1"/>
  <c r="C40" i="90" s="1"/>
  <c r="C41" i="90" s="1"/>
  <c r="C42" i="90" s="1"/>
  <c r="C43" i="90" s="1"/>
  <c r="C44" i="90" s="1"/>
  <c r="C45" i="90" s="1"/>
  <c r="C46" i="90" s="1"/>
  <c r="C47" i="90" s="1"/>
  <c r="C48" i="90" s="1"/>
  <c r="C49" i="90" s="1"/>
  <c r="C50" i="90" s="1"/>
  <c r="C51" i="90" s="1"/>
  <c r="C52" i="90" s="1"/>
  <c r="C53" i="90" s="1"/>
  <c r="C54" i="90" s="1"/>
  <c r="C55" i="90" s="1"/>
  <c r="C56" i="90" s="1"/>
  <c r="C57" i="90" s="1"/>
  <c r="C58" i="90" s="1"/>
  <c r="C59" i="90" s="1"/>
  <c r="C60" i="90" s="1"/>
  <c r="C61" i="90" s="1"/>
  <c r="C62" i="90" s="1"/>
  <c r="C63" i="90" s="1"/>
  <c r="C64" i="90" s="1"/>
  <c r="C65" i="90" s="1"/>
  <c r="C66" i="90" s="1"/>
  <c r="C67" i="90" s="1"/>
  <c r="C68" i="90" s="1"/>
  <c r="C69" i="90" s="1"/>
  <c r="C70" i="90" s="1"/>
  <c r="C71" i="90" s="1"/>
  <c r="C72" i="90" s="1"/>
  <c r="C73" i="90" s="1"/>
  <c r="C74" i="90" s="1"/>
  <c r="C75" i="90" s="1"/>
  <c r="C76" i="90" s="1"/>
  <c r="C77" i="90" s="1"/>
  <c r="C78" i="90" s="1"/>
  <c r="C79" i="90" s="1"/>
  <c r="C80" i="90" s="1"/>
  <c r="C81" i="90" s="1"/>
  <c r="C82" i="90" s="1"/>
  <c r="C83" i="90" s="1"/>
  <c r="C84" i="90" s="1"/>
  <c r="C85" i="90" s="1"/>
  <c r="C86" i="90" s="1"/>
  <c r="C87" i="90" s="1"/>
  <c r="C88" i="90" s="1"/>
  <c r="C89" i="90" s="1"/>
  <c r="C90" i="90" s="1"/>
  <c r="C91" i="90" s="1"/>
  <c r="C92" i="90" s="1"/>
  <c r="C93" i="90" s="1"/>
  <c r="C94" i="90" s="1"/>
  <c r="C95" i="90" s="1"/>
  <c r="C96" i="90" s="1"/>
  <c r="C97" i="90" s="1"/>
  <c r="C98" i="90" s="1"/>
  <c r="C99" i="90" s="1"/>
  <c r="C100" i="90" s="1"/>
  <c r="C101" i="90" s="1"/>
  <c r="C102" i="90" s="1"/>
  <c r="C103" i="90" s="1"/>
  <c r="C104" i="90" s="1"/>
  <c r="C105" i="90" s="1"/>
  <c r="C106" i="90" s="1"/>
  <c r="C107" i="90" s="1"/>
  <c r="C108" i="90" s="1"/>
  <c r="C109" i="90" s="1"/>
  <c r="C110" i="90" s="1"/>
  <c r="C111" i="90" s="1"/>
  <c r="C112" i="90" s="1"/>
  <c r="C113" i="90" s="1"/>
  <c r="C114" i="90" s="1"/>
  <c r="C115" i="90" s="1"/>
  <c r="C116" i="90" s="1"/>
  <c r="C117" i="90" s="1"/>
  <c r="C118" i="90" s="1"/>
  <c r="C119" i="90" s="1"/>
  <c r="C120" i="90" s="1"/>
  <c r="C121" i="90" s="1"/>
  <c r="C122" i="90" s="1"/>
  <c r="C123" i="90" s="1"/>
  <c r="C124" i="90" s="1"/>
  <c r="C125" i="90" s="1"/>
  <c r="C126" i="90" s="1"/>
  <c r="C127" i="90" s="1"/>
  <c r="C128" i="90" s="1"/>
  <c r="C129" i="90" s="1"/>
  <c r="C130" i="90" s="1"/>
  <c r="C131" i="90" s="1"/>
  <c r="C132" i="90" s="1"/>
  <c r="C133" i="90" s="1"/>
  <c r="C134" i="90" s="1"/>
  <c r="C135" i="90" s="1"/>
  <c r="C136" i="90" s="1"/>
  <c r="C137" i="90" s="1"/>
  <c r="C138" i="90" s="1"/>
  <c r="C139" i="90" s="1"/>
  <c r="C140" i="90" s="1"/>
  <c r="C141" i="90" s="1"/>
  <c r="C142" i="90" s="1"/>
  <c r="C143" i="90" s="1"/>
  <c r="C144" i="90" s="1"/>
  <c r="C145" i="90" s="1"/>
  <c r="C146" i="90" s="1"/>
  <c r="C147" i="90" s="1"/>
  <c r="C148" i="90" s="1"/>
  <c r="C149" i="90" s="1"/>
  <c r="C150" i="90" s="1"/>
  <c r="C151" i="90" s="1"/>
  <c r="C152" i="90" s="1"/>
  <c r="C153" i="90" s="1"/>
  <c r="C154" i="90" s="1"/>
  <c r="C155" i="90" s="1"/>
  <c r="C156" i="90" s="1"/>
  <c r="C157" i="90" s="1"/>
  <c r="C158" i="90" s="1"/>
  <c r="C159" i="90" s="1"/>
  <c r="C160" i="90" s="1"/>
  <c r="C161" i="90" s="1"/>
  <c r="C162" i="90" s="1"/>
  <c r="C163" i="90" s="1"/>
  <c r="C164" i="90" s="1"/>
  <c r="C165" i="90" s="1"/>
  <c r="C166" i="90" s="1"/>
  <c r="C167" i="90" s="1"/>
  <c r="C168" i="90" s="1"/>
  <c r="C169" i="90" s="1"/>
  <c r="C170" i="90" s="1"/>
  <c r="C171" i="90" s="1"/>
  <c r="C172" i="90" s="1"/>
  <c r="C173" i="90" s="1"/>
  <c r="C174" i="90" s="1"/>
  <c r="C175" i="90" s="1"/>
  <c r="C176" i="90" s="1"/>
  <c r="C177" i="90" s="1"/>
  <c r="C178" i="90" s="1"/>
  <c r="C179" i="90" s="1"/>
  <c r="C180" i="90" s="1"/>
  <c r="C181" i="90" s="1"/>
  <c r="C182" i="90" s="1"/>
  <c r="C183" i="90" s="1"/>
  <c r="C184" i="90" s="1"/>
  <c r="C185" i="90" s="1"/>
  <c r="C186" i="90" s="1"/>
  <c r="C187" i="90" s="1"/>
  <c r="C188" i="90" s="1"/>
  <c r="C189" i="90" s="1"/>
  <c r="C190" i="90" s="1"/>
  <c r="C191" i="90" s="1"/>
  <c r="C192" i="90" s="1"/>
  <c r="C193" i="90" s="1"/>
  <c r="C194" i="90" s="1"/>
  <c r="C195" i="90" s="1"/>
  <c r="C196" i="90" s="1"/>
  <c r="C198" i="90" s="1"/>
  <c r="C199" i="90" s="1"/>
  <c r="C200" i="90" s="1"/>
  <c r="C201" i="90" s="1"/>
  <c r="C202" i="90" s="1"/>
  <c r="C203" i="90" s="1"/>
  <c r="C204" i="90" s="1"/>
  <c r="C205" i="90" s="1"/>
  <c r="C3" i="93"/>
  <c r="C4" i="93" s="1"/>
  <c r="C5" i="93" s="1"/>
  <c r="C6" i="93" s="1"/>
  <c r="C7" i="93" s="1"/>
  <c r="C8" i="93" s="1"/>
  <c r="C9" i="93" s="1"/>
  <c r="C10" i="93" s="1"/>
  <c r="C11" i="93" s="1"/>
  <c r="C12" i="93" s="1"/>
  <c r="C13" i="93" s="1"/>
  <c r="C14" i="93" s="1"/>
  <c r="C15" i="93" s="1"/>
  <c r="C16" i="93" s="1"/>
  <c r="C17" i="93" s="1"/>
  <c r="C18" i="93" s="1"/>
  <c r="C19" i="93" s="1"/>
  <c r="C20" i="93" s="1"/>
  <c r="C21" i="93" s="1"/>
  <c r="C22" i="93" s="1"/>
  <c r="C23" i="93" s="1"/>
  <c r="C24" i="93" s="1"/>
  <c r="C25" i="93" s="1"/>
  <c r="C26" i="93" s="1"/>
  <c r="C27" i="93" s="1"/>
  <c r="C28" i="93" s="1"/>
  <c r="C29" i="93" s="1"/>
  <c r="C30" i="93" s="1"/>
  <c r="C31" i="93" s="1"/>
  <c r="C32" i="93" s="1"/>
  <c r="C33" i="93" s="1"/>
  <c r="C34" i="93" s="1"/>
  <c r="C35" i="93" s="1"/>
  <c r="C36" i="93" s="1"/>
  <c r="C37" i="93" s="1"/>
  <c r="C38" i="93" s="1"/>
  <c r="C39" i="93" s="1"/>
  <c r="C40" i="93" s="1"/>
  <c r="C41" i="93" s="1"/>
  <c r="C42" i="93" s="1"/>
  <c r="C43" i="93" s="1"/>
  <c r="C44" i="93" s="1"/>
  <c r="C45" i="93" s="1"/>
  <c r="C46" i="93" s="1"/>
  <c r="C47" i="93" s="1"/>
  <c r="C48" i="93" s="1"/>
  <c r="C49" i="93" s="1"/>
  <c r="C50" i="93" s="1"/>
  <c r="C51" i="93" s="1"/>
  <c r="C52" i="93" s="1"/>
  <c r="C53" i="93" s="1"/>
  <c r="C54" i="93" s="1"/>
  <c r="C55" i="93" s="1"/>
  <c r="C56" i="93" s="1"/>
  <c r="C57" i="93" s="1"/>
  <c r="C58" i="93" s="1"/>
  <c r="C59" i="93" s="1"/>
  <c r="C60" i="93" s="1"/>
  <c r="C61" i="93" s="1"/>
  <c r="C62" i="93" s="1"/>
  <c r="C63" i="93" s="1"/>
  <c r="C64" i="93" s="1"/>
  <c r="C65" i="93" s="1"/>
  <c r="C66" i="93" s="1"/>
  <c r="C67" i="93" s="1"/>
  <c r="C68" i="93" s="1"/>
  <c r="C69" i="93" s="1"/>
  <c r="C70" i="93" s="1"/>
  <c r="C71" i="93" s="1"/>
  <c r="C72" i="93" s="1"/>
  <c r="C73" i="93" s="1"/>
  <c r="C74" i="93" s="1"/>
  <c r="C75" i="93" s="1"/>
  <c r="C76" i="93" s="1"/>
  <c r="C77" i="93" s="1"/>
  <c r="C78" i="93" s="1"/>
  <c r="C79" i="93" s="1"/>
  <c r="C80" i="93" s="1"/>
  <c r="C81" i="93" s="1"/>
  <c r="C82" i="93" s="1"/>
  <c r="C83" i="93" s="1"/>
  <c r="C84" i="93" s="1"/>
  <c r="C85" i="93" s="1"/>
  <c r="C86" i="93" s="1"/>
  <c r="C87" i="93" s="1"/>
  <c r="C88" i="93" s="1"/>
  <c r="C89" i="93" s="1"/>
  <c r="C90" i="93" s="1"/>
  <c r="C91" i="93" s="1"/>
  <c r="C92" i="93" s="1"/>
  <c r="C93" i="93" s="1"/>
  <c r="C94" i="93" s="1"/>
  <c r="C95" i="93" s="1"/>
  <c r="C96" i="93" s="1"/>
  <c r="C97" i="93" s="1"/>
  <c r="C98" i="93" s="1"/>
  <c r="C99" i="93" s="1"/>
  <c r="C100" i="93" s="1"/>
  <c r="C101" i="93" s="1"/>
  <c r="C102" i="93" s="1"/>
  <c r="C103" i="93" s="1"/>
  <c r="C104" i="93" s="1"/>
  <c r="C105" i="93" s="1"/>
  <c r="C106" i="93" s="1"/>
  <c r="C107" i="93" s="1"/>
  <c r="C108" i="93" s="1"/>
  <c r="C109" i="93" s="1"/>
  <c r="C110" i="93" s="1"/>
  <c r="C111" i="93" s="1"/>
  <c r="C112" i="93" s="1"/>
  <c r="C113" i="93" s="1"/>
  <c r="C114" i="93" s="1"/>
  <c r="C115" i="93" s="1"/>
  <c r="C116" i="93" s="1"/>
  <c r="C117" i="93" s="1"/>
  <c r="C118" i="93" s="1"/>
  <c r="C119" i="93" s="1"/>
  <c r="C120" i="93" s="1"/>
  <c r="C121" i="93" s="1"/>
  <c r="C122" i="93" s="1"/>
  <c r="C123" i="93" s="1"/>
  <c r="C124" i="93" s="1"/>
  <c r="C125" i="93" s="1"/>
  <c r="C126" i="93" s="1"/>
  <c r="C127" i="93" s="1"/>
  <c r="C128" i="93" s="1"/>
  <c r="C129" i="93" s="1"/>
  <c r="C130" i="93" s="1"/>
  <c r="C131" i="93" s="1"/>
  <c r="C132" i="93" s="1"/>
  <c r="C133" i="93" s="1"/>
  <c r="C134" i="93" s="1"/>
  <c r="C135" i="93" s="1"/>
  <c r="C136" i="93" s="1"/>
  <c r="C137" i="93" s="1"/>
  <c r="C138" i="93" s="1"/>
  <c r="C139" i="93" s="1"/>
  <c r="C140" i="93" s="1"/>
  <c r="C141" i="93" s="1"/>
  <c r="C142" i="93" s="1"/>
  <c r="C143" i="93" s="1"/>
  <c r="C144" i="93" s="1"/>
  <c r="C145" i="93" s="1"/>
  <c r="C146" i="93" s="1"/>
  <c r="C147" i="93" s="1"/>
  <c r="C148" i="93" s="1"/>
  <c r="C149" i="93" s="1"/>
  <c r="C150" i="93" s="1"/>
  <c r="C151" i="93" s="1"/>
  <c r="C152" i="93" s="1"/>
  <c r="C153" i="93" s="1"/>
  <c r="C154" i="93" s="1"/>
  <c r="C155" i="93" s="1"/>
  <c r="C156" i="93" s="1"/>
  <c r="C157" i="93" s="1"/>
  <c r="C158" i="93" s="1"/>
  <c r="C159" i="93" s="1"/>
  <c r="C160" i="93" s="1"/>
  <c r="C161" i="93" s="1"/>
  <c r="C162" i="93" s="1"/>
  <c r="C163" i="93" s="1"/>
  <c r="C164" i="93" s="1"/>
  <c r="C165" i="93" s="1"/>
  <c r="C166" i="93" s="1"/>
  <c r="C167" i="93" s="1"/>
  <c r="C168" i="93" s="1"/>
  <c r="C169" i="93" s="1"/>
  <c r="C170" i="93" s="1"/>
  <c r="C171" i="93" s="1"/>
  <c r="C172" i="93" s="1"/>
  <c r="C173" i="93" s="1"/>
  <c r="C174" i="93" s="1"/>
  <c r="C175" i="93" s="1"/>
  <c r="C176" i="93" s="1"/>
  <c r="C177" i="93" s="1"/>
  <c r="C178" i="93" s="1"/>
  <c r="C179" i="93" s="1"/>
  <c r="C180" i="93" s="1"/>
  <c r="C181" i="93" s="1"/>
  <c r="C182" i="93" s="1"/>
  <c r="C183" i="93" s="1"/>
  <c r="C184" i="93" s="1"/>
  <c r="C185" i="93" s="1"/>
  <c r="C186" i="93" s="1"/>
  <c r="C187" i="93" s="1"/>
  <c r="C188" i="93" s="1"/>
  <c r="C189" i="93" s="1"/>
  <c r="C190" i="93" s="1"/>
  <c r="C191" i="93" s="1"/>
  <c r="C192" i="93" s="1"/>
  <c r="C193" i="93" s="1"/>
  <c r="C194" i="93" s="1"/>
  <c r="C195" i="93" s="1"/>
  <c r="C196" i="93" s="1"/>
  <c r="C197" i="93" s="1"/>
  <c r="C198" i="93" s="1"/>
  <c r="C199" i="93" s="1"/>
  <c r="C200" i="93" s="1"/>
  <c r="C201" i="93" s="1"/>
  <c r="C202" i="93" s="1"/>
  <c r="C203" i="93" s="1"/>
  <c r="C204" i="93" s="1"/>
  <c r="C205" i="93" s="1"/>
  <c r="C206" i="93" s="1"/>
  <c r="C207" i="93" s="1"/>
  <c r="C208" i="93" s="1"/>
  <c r="C209" i="93" s="1"/>
  <c r="C210" i="93" s="1"/>
  <c r="C211" i="93" s="1"/>
  <c r="C212" i="93" s="1"/>
  <c r="C213" i="93" s="1"/>
  <c r="C214" i="93" s="1"/>
  <c r="C215" i="93" s="1"/>
  <c r="C216" i="93" s="1"/>
  <c r="C217" i="93" s="1"/>
  <c r="C218" i="93" s="1"/>
  <c r="C219" i="93" s="1"/>
  <c r="C220" i="93" s="1"/>
  <c r="C221" i="93" s="1"/>
  <c r="C222" i="93" s="1"/>
  <c r="C223" i="93" s="1"/>
  <c r="C3" i="142" l="1"/>
  <c r="C4" i="142" s="1"/>
  <c r="C5" i="142" s="1"/>
  <c r="C6" i="142" s="1"/>
  <c r="C7" i="142" s="1"/>
  <c r="C8" i="142" s="1"/>
  <c r="C9" i="142" s="1"/>
  <c r="C10" i="142" s="1"/>
  <c r="C11" i="142" s="1"/>
  <c r="C12" i="142" s="1"/>
  <c r="C13" i="142" s="1"/>
  <c r="C14" i="142" s="1"/>
  <c r="C15" i="142" s="1"/>
  <c r="C16" i="142" s="1"/>
  <c r="C17" i="142" s="1"/>
  <c r="C18" i="142" s="1"/>
  <c r="C19" i="142" s="1"/>
  <c r="C20" i="142" s="1"/>
  <c r="C21" i="142" s="1"/>
  <c r="C22" i="142" s="1"/>
  <c r="C23" i="142" s="1"/>
  <c r="C24" i="142" s="1"/>
  <c r="C25" i="142" s="1"/>
  <c r="C26" i="142" s="1"/>
  <c r="C27" i="142" s="1"/>
  <c r="C28" i="142" s="1"/>
  <c r="C29" i="142" s="1"/>
  <c r="C30" i="142" s="1"/>
  <c r="C31" i="142" s="1"/>
  <c r="C32" i="142" s="1"/>
  <c r="C33" i="142" s="1"/>
  <c r="C34" i="142" s="1"/>
  <c r="C35" i="142" s="1"/>
  <c r="C36" i="142" s="1"/>
  <c r="C37" i="142" s="1"/>
  <c r="C38" i="142" s="1"/>
  <c r="C39" i="142" s="1"/>
  <c r="C40" i="142" s="1"/>
  <c r="C41" i="142" s="1"/>
  <c r="C42" i="142" s="1"/>
  <c r="C43" i="142" s="1"/>
  <c r="C44" i="142" s="1"/>
  <c r="C45" i="142" s="1"/>
  <c r="C46" i="142" s="1"/>
  <c r="C47" i="142" s="1"/>
  <c r="C48" i="142" s="1"/>
  <c r="C49" i="142" s="1"/>
  <c r="C50" i="142" s="1"/>
  <c r="C51" i="142" s="1"/>
  <c r="C52" i="142" s="1"/>
  <c r="C53" i="142" s="1"/>
  <c r="C54" i="142" s="1"/>
  <c r="C55" i="142" s="1"/>
  <c r="C56" i="142" s="1"/>
  <c r="C57" i="142" s="1"/>
  <c r="C58" i="142" s="1"/>
  <c r="C59" i="142" s="1"/>
  <c r="C60" i="142" s="1"/>
  <c r="C61" i="142" s="1"/>
  <c r="C62" i="142" s="1"/>
  <c r="C63" i="142" s="1"/>
  <c r="C64" i="142" s="1"/>
  <c r="C65" i="142" s="1"/>
  <c r="C66" i="142" s="1"/>
  <c r="C67" i="142" s="1"/>
  <c r="C68" i="142" s="1"/>
  <c r="C69" i="142" s="1"/>
  <c r="C70" i="142" s="1"/>
  <c r="C71" i="142" s="1"/>
  <c r="C72" i="142" s="1"/>
  <c r="C73" i="142" s="1"/>
  <c r="C74" i="142" s="1"/>
  <c r="C75" i="142" s="1"/>
  <c r="C76" i="142" s="1"/>
  <c r="C77" i="142" s="1"/>
  <c r="C78" i="142" s="1"/>
  <c r="C79" i="142" s="1"/>
  <c r="C80" i="142" s="1"/>
  <c r="C81" i="142" s="1"/>
  <c r="C82" i="142" s="1"/>
  <c r="C83" i="142" s="1"/>
  <c r="C84" i="142" s="1"/>
  <c r="C85" i="142" s="1"/>
  <c r="C86" i="142" s="1"/>
  <c r="C87" i="142" s="1"/>
  <c r="C88" i="142" s="1"/>
  <c r="C89" i="142" s="1"/>
  <c r="C90" i="142" s="1"/>
  <c r="C91" i="142" s="1"/>
  <c r="C92" i="142" s="1"/>
  <c r="C93" i="142" s="1"/>
  <c r="C94" i="142" s="1"/>
  <c r="C95" i="142" s="1"/>
  <c r="C96" i="142" s="1"/>
  <c r="C97" i="142" s="1"/>
  <c r="C98" i="142" s="1"/>
  <c r="C99" i="142" s="1"/>
  <c r="C100" i="142" s="1"/>
  <c r="C101" i="142" s="1"/>
  <c r="C102" i="142" s="1"/>
  <c r="C103" i="142" s="1"/>
  <c r="C104" i="142" s="1"/>
  <c r="C105" i="142" s="1"/>
  <c r="C106" i="142" s="1"/>
  <c r="C107" i="142" s="1"/>
  <c r="C108" i="142" s="1"/>
  <c r="C109" i="142" s="1"/>
  <c r="C110" i="142" s="1"/>
  <c r="C111" i="142" s="1"/>
  <c r="C112" i="142" s="1"/>
  <c r="C113" i="142" s="1"/>
  <c r="C114" i="142" s="1"/>
  <c r="C115" i="142" s="1"/>
  <c r="C116" i="142" s="1"/>
  <c r="C117" i="142" s="1"/>
  <c r="C118" i="142" s="1"/>
  <c r="C119" i="142" s="1"/>
  <c r="C120" i="142" s="1"/>
  <c r="C121" i="142" s="1"/>
  <c r="C122" i="142" s="1"/>
  <c r="C123" i="142" s="1"/>
  <c r="C124" i="142" s="1"/>
  <c r="C125" i="142" s="1"/>
  <c r="C126" i="142" s="1"/>
  <c r="C127" i="142" s="1"/>
  <c r="C128" i="142" s="1"/>
  <c r="C129" i="142" s="1"/>
  <c r="C130" i="142" s="1"/>
  <c r="C131" i="142" s="1"/>
  <c r="C132" i="142" s="1"/>
  <c r="C133" i="142" s="1"/>
  <c r="C134" i="142" s="1"/>
  <c r="C135" i="142" s="1"/>
  <c r="C136" i="142" s="1"/>
  <c r="C137" i="142" s="1"/>
  <c r="C138" i="142" s="1"/>
  <c r="C139" i="142" s="1"/>
  <c r="C140" i="142" s="1"/>
  <c r="C141" i="142" s="1"/>
  <c r="C142" i="142" s="1"/>
  <c r="C143" i="142" s="1"/>
  <c r="C144" i="142" s="1"/>
  <c r="C145" i="142" s="1"/>
  <c r="C146" i="142" s="1"/>
  <c r="C147" i="142" s="1"/>
  <c r="C148" i="142" s="1"/>
  <c r="C149" i="142" s="1"/>
  <c r="C150" i="142" s="1"/>
  <c r="C151" i="142" s="1"/>
  <c r="C152" i="142" s="1"/>
  <c r="C153" i="142" s="1"/>
  <c r="C154" i="142" s="1"/>
  <c r="C155" i="142" s="1"/>
  <c r="C156" i="142" s="1"/>
  <c r="C157" i="142" s="1"/>
  <c r="C158" i="142" s="1"/>
  <c r="C159" i="142" s="1"/>
  <c r="C160" i="142" s="1"/>
  <c r="C161" i="142" s="1"/>
  <c r="C162" i="142" s="1"/>
  <c r="C163" i="142" s="1"/>
  <c r="C164" i="142" s="1"/>
  <c r="C165" i="142" s="1"/>
  <c r="C166" i="142" s="1"/>
  <c r="C167" i="142" s="1"/>
  <c r="C168" i="142" s="1"/>
  <c r="C169" i="142" s="1"/>
  <c r="C170" i="142" s="1"/>
  <c r="C171" i="142" s="1"/>
  <c r="C172" i="142" s="1"/>
  <c r="C173" i="142" s="1"/>
  <c r="C174" i="142" s="1"/>
  <c r="C175" i="142" s="1"/>
  <c r="C176" i="142" s="1"/>
  <c r="C177" i="142" s="1"/>
  <c r="C178" i="142" s="1"/>
  <c r="C179" i="142" s="1"/>
  <c r="C180" i="142" s="1"/>
  <c r="C181" i="142" s="1"/>
  <c r="C182" i="142" s="1"/>
  <c r="C183" i="142" s="1"/>
  <c r="C184" i="142" s="1"/>
  <c r="C185" i="142" s="1"/>
  <c r="C186" i="142" s="1"/>
  <c r="C187" i="142" s="1"/>
  <c r="C188" i="142" s="1"/>
  <c r="C189" i="142" s="1"/>
  <c r="C190" i="142" s="1"/>
  <c r="C191" i="142" s="1"/>
  <c r="C192" i="142" s="1"/>
  <c r="C193" i="142" s="1"/>
  <c r="C194" i="142" s="1"/>
  <c r="C195" i="142" s="1"/>
  <c r="C196" i="142" s="1"/>
  <c r="C197" i="142" s="1"/>
  <c r="C198" i="142" s="1"/>
  <c r="C199" i="142" s="1"/>
  <c r="C200" i="142" s="1"/>
  <c r="C201" i="142" s="1"/>
  <c r="C202" i="142" s="1"/>
  <c r="C203" i="142" s="1"/>
  <c r="C204" i="142" s="1"/>
  <c r="C205" i="142" s="1"/>
  <c r="C206" i="142" s="1"/>
  <c r="C207" i="142" s="1"/>
  <c r="C208" i="142" s="1"/>
  <c r="C209" i="142" s="1"/>
  <c r="C210" i="142" s="1"/>
  <c r="C211" i="142" s="1"/>
  <c r="C212" i="142" s="1"/>
  <c r="C213" i="142" s="1"/>
  <c r="C214" i="142" s="1"/>
  <c r="C215" i="142" s="1"/>
  <c r="C216" i="142" s="1"/>
  <c r="C217" i="142" s="1"/>
  <c r="C218" i="142" s="1"/>
  <c r="C219" i="142" s="1"/>
  <c r="C220" i="142" s="1"/>
  <c r="C221" i="142" s="1"/>
  <c r="C222" i="142" s="1"/>
  <c r="C223" i="142" s="1"/>
  <c r="C224" i="142" s="1"/>
  <c r="C225" i="142" s="1"/>
  <c r="C226" i="142" s="1"/>
  <c r="C227" i="142" s="1"/>
  <c r="C228" i="142" s="1"/>
  <c r="C229" i="142" s="1"/>
  <c r="C230" i="142" s="1"/>
  <c r="C231" i="142" s="1"/>
  <c r="C232" i="142" s="1"/>
  <c r="C233" i="142" s="1"/>
  <c r="C234" i="142" s="1"/>
  <c r="C235" i="142" s="1"/>
  <c r="C236" i="142" s="1"/>
  <c r="C237" i="142" s="1"/>
  <c r="C238" i="142" s="1"/>
  <c r="C239" i="142" s="1"/>
  <c r="C240" i="142" s="1"/>
  <c r="C241" i="142" s="1"/>
  <c r="C242" i="142" s="1"/>
  <c r="C243" i="142" s="1"/>
  <c r="C244" i="142" s="1"/>
  <c r="C245" i="142" s="1"/>
  <c r="C246" i="142" s="1"/>
  <c r="C247" i="142" s="1"/>
  <c r="C248" i="142" s="1"/>
  <c r="C249" i="142" s="1"/>
  <c r="C250" i="142" s="1"/>
  <c r="C251" i="142" s="1"/>
  <c r="C252" i="142" s="1"/>
  <c r="C253" i="142" s="1"/>
  <c r="C254" i="142" s="1"/>
  <c r="C255" i="142" s="1"/>
  <c r="C256" i="142" s="1"/>
  <c r="C257" i="142" s="1"/>
  <c r="C258" i="142" s="1"/>
  <c r="C259" i="142" s="1"/>
  <c r="C260" i="142" s="1"/>
  <c r="C261" i="142" s="1"/>
  <c r="C262" i="142" s="1"/>
  <c r="C263" i="142" s="1"/>
  <c r="C264" i="142" s="1"/>
  <c r="C265" i="142" s="1"/>
  <c r="C266" i="142" s="1"/>
  <c r="C267" i="142" s="1"/>
  <c r="C268" i="142" s="1"/>
  <c r="C269" i="142" s="1"/>
  <c r="C270" i="142" s="1"/>
  <c r="C271" i="142" s="1"/>
  <c r="C272" i="142" s="1"/>
  <c r="C273" i="142" s="1"/>
  <c r="C274" i="142" s="1"/>
  <c r="C275" i="142" s="1"/>
  <c r="C276" i="142" s="1"/>
  <c r="C277" i="142" s="1"/>
  <c r="C278" i="142" s="1"/>
  <c r="C279" i="142" s="1"/>
  <c r="C280" i="142" s="1"/>
  <c r="C281" i="142" s="1"/>
  <c r="C282" i="142" s="1"/>
  <c r="C283" i="142" s="1"/>
  <c r="C284" i="142" s="1"/>
  <c r="C285" i="142" s="1"/>
  <c r="C286" i="142" s="1"/>
  <c r="C287" i="142" s="1"/>
  <c r="C288" i="142" s="1"/>
  <c r="C289" i="142" s="1"/>
  <c r="C290" i="142" s="1"/>
  <c r="C291" i="142" s="1"/>
  <c r="C292" i="142" s="1"/>
  <c r="C293" i="142" s="1"/>
  <c r="C294" i="142" s="1"/>
  <c r="C295" i="142" s="1"/>
  <c r="C296" i="142" s="1"/>
  <c r="C297" i="142" s="1"/>
  <c r="C298" i="142" s="1"/>
  <c r="C299" i="142" s="1"/>
  <c r="C300" i="142" s="1"/>
  <c r="C301" i="142" s="1"/>
  <c r="C302" i="142" s="1"/>
  <c r="C303" i="142" s="1"/>
  <c r="C304" i="142" s="1"/>
  <c r="C305" i="142" s="1"/>
  <c r="C306" i="142" s="1"/>
  <c r="C307" i="142" s="1"/>
  <c r="C308" i="142" s="1"/>
  <c r="C309" i="142" s="1"/>
  <c r="C310" i="142" s="1"/>
  <c r="C311" i="142" s="1"/>
  <c r="C312" i="142" s="1"/>
  <c r="C313" i="142" s="1"/>
  <c r="C314" i="142" s="1"/>
  <c r="C315" i="142" s="1"/>
  <c r="C316" i="142" s="1"/>
  <c r="C317" i="142" s="1"/>
  <c r="C318" i="142" s="1"/>
  <c r="C319" i="142" s="1"/>
  <c r="C320" i="142" s="1"/>
  <c r="C321" i="142" s="1"/>
  <c r="C322" i="142" s="1"/>
  <c r="C323" i="142" s="1"/>
  <c r="C324" i="142" s="1"/>
  <c r="C325" i="142" s="1"/>
  <c r="C326" i="142" s="1"/>
  <c r="C327" i="142" s="1"/>
  <c r="C328" i="142" s="1"/>
  <c r="C329" i="142" s="1"/>
  <c r="C330" i="142" s="1"/>
  <c r="C331" i="142" s="1"/>
  <c r="C332" i="142" s="1"/>
  <c r="C333" i="142" s="1"/>
  <c r="C334" i="142" s="1"/>
  <c r="C335" i="142" s="1"/>
  <c r="C336" i="142" s="1"/>
  <c r="C337" i="142" s="1"/>
  <c r="C338" i="142" s="1"/>
  <c r="C339" i="142" s="1"/>
  <c r="C340" i="142" s="1"/>
  <c r="C341" i="142" s="1"/>
  <c r="C342" i="142" s="1"/>
  <c r="C343" i="142" s="1"/>
  <c r="C344" i="142" s="1"/>
  <c r="C345" i="142" s="1"/>
  <c r="C3" i="136"/>
  <c r="C4" i="136" s="1"/>
  <c r="C5" i="136" s="1"/>
  <c r="C6" i="136" s="1"/>
  <c r="C7" i="136" s="1"/>
  <c r="C8" i="136" s="1"/>
  <c r="C9" i="136" s="1"/>
  <c r="C10" i="136" s="1"/>
  <c r="C11" i="136" s="1"/>
  <c r="C12" i="136" s="1"/>
  <c r="C13" i="136" s="1"/>
  <c r="C14" i="136" s="1"/>
  <c r="C15" i="136" s="1"/>
  <c r="C16" i="136" s="1"/>
  <c r="C17" i="136" s="1"/>
  <c r="C18" i="136" s="1"/>
  <c r="C19" i="136" s="1"/>
  <c r="C20" i="136" s="1"/>
  <c r="C21" i="136" s="1"/>
  <c r="C22" i="136" s="1"/>
  <c r="C23" i="136" s="1"/>
  <c r="C24" i="136" s="1"/>
  <c r="C25" i="136" s="1"/>
  <c r="C3" i="135"/>
  <c r="C4" i="135" s="1"/>
  <c r="C5" i="135" s="1"/>
  <c r="C6" i="135" s="1"/>
  <c r="C7" i="135" s="1"/>
  <c r="C8" i="135" s="1"/>
  <c r="C9" i="135" s="1"/>
  <c r="C10" i="135" s="1"/>
  <c r="C11" i="135" s="1"/>
  <c r="C12" i="135" s="1"/>
  <c r="C13" i="135" s="1"/>
  <c r="C14" i="135" s="1"/>
  <c r="C15" i="135" s="1"/>
  <c r="C16" i="135" s="1"/>
  <c r="C17" i="135" s="1"/>
  <c r="C18" i="135" s="1"/>
  <c r="C19" i="135" s="1"/>
  <c r="C3" i="100"/>
  <c r="C4" i="100" s="1"/>
  <c r="C5" i="100" s="1"/>
  <c r="C6" i="100" s="1"/>
  <c r="C7" i="100" s="1"/>
  <c r="C8" i="100" s="1"/>
  <c r="C9" i="100" s="1"/>
  <c r="C10" i="100" s="1"/>
  <c r="C11" i="100" s="1"/>
  <c r="C12" i="100" s="1"/>
  <c r="C13" i="100" s="1"/>
  <c r="C14" i="100" s="1"/>
  <c r="C15" i="100" s="1"/>
  <c r="C16" i="100" s="1"/>
  <c r="C17" i="100" s="1"/>
  <c r="C18" i="100" s="1"/>
  <c r="C19" i="100" s="1"/>
  <c r="C20" i="100" s="1"/>
  <c r="C21" i="100" s="1"/>
  <c r="C22" i="100" s="1"/>
  <c r="C23" i="100" s="1"/>
  <c r="C24" i="100" s="1"/>
  <c r="C25" i="100" s="1"/>
  <c r="C26" i="100" s="1"/>
  <c r="C27" i="100" s="1"/>
  <c r="C28" i="100" s="1"/>
  <c r="C29" i="100" s="1"/>
  <c r="C30" i="100" s="1"/>
  <c r="C31" i="100" s="1"/>
  <c r="C32" i="100" s="1"/>
  <c r="C33" i="100" s="1"/>
  <c r="C34" i="100" s="1"/>
  <c r="C35" i="100" s="1"/>
  <c r="C36" i="100" s="1"/>
  <c r="C37" i="100" s="1"/>
  <c r="C38" i="100" s="1"/>
  <c r="C39" i="100" s="1"/>
  <c r="C40" i="100" s="1"/>
  <c r="C41" i="100" s="1"/>
  <c r="C42" i="100" s="1"/>
  <c r="C43" i="100" s="1"/>
  <c r="C44" i="100" s="1"/>
  <c r="C45" i="100" s="1"/>
  <c r="C46" i="100" s="1"/>
  <c r="C47" i="100" s="1"/>
  <c r="C48" i="100" s="1"/>
  <c r="C49" i="100" s="1"/>
  <c r="C50" i="100" s="1"/>
  <c r="C51" i="100" s="1"/>
  <c r="C52" i="100" s="1"/>
  <c r="C53" i="100" s="1"/>
  <c r="C54" i="100" s="1"/>
  <c r="C55" i="100" s="1"/>
  <c r="C56" i="100" s="1"/>
  <c r="C57" i="100" s="1"/>
  <c r="C58" i="100" s="1"/>
  <c r="C59" i="100" s="1"/>
  <c r="C60" i="100" s="1"/>
  <c r="C61" i="100" s="1"/>
  <c r="C62" i="100" s="1"/>
  <c r="C63" i="100" s="1"/>
  <c r="C64" i="100" s="1"/>
  <c r="C65" i="100" s="1"/>
  <c r="C66" i="100" s="1"/>
  <c r="C67" i="100" s="1"/>
  <c r="C68" i="100" s="1"/>
  <c r="C69" i="100" s="1"/>
  <c r="C70" i="100" s="1"/>
  <c r="C71" i="100" s="1"/>
  <c r="C72" i="100" s="1"/>
  <c r="C73" i="100" s="1"/>
  <c r="C74" i="100" s="1"/>
  <c r="C75" i="100" s="1"/>
  <c r="C76" i="100" s="1"/>
  <c r="C77" i="100" s="1"/>
  <c r="C78" i="100" s="1"/>
  <c r="C79" i="100" s="1"/>
  <c r="C80" i="100" s="1"/>
  <c r="C81" i="100" s="1"/>
  <c r="C82" i="100" s="1"/>
  <c r="C83" i="100" s="1"/>
  <c r="C84" i="100" s="1"/>
  <c r="C85" i="100" s="1"/>
  <c r="C86" i="100" s="1"/>
  <c r="C87" i="100" s="1"/>
  <c r="C88" i="100" s="1"/>
  <c r="C89" i="100" s="1"/>
  <c r="C90" i="100" s="1"/>
  <c r="C91" i="100" s="1"/>
  <c r="C92" i="100" s="1"/>
  <c r="C93" i="100" s="1"/>
  <c r="C94" i="100" s="1"/>
  <c r="C95" i="100" s="1"/>
  <c r="C96" i="100" s="1"/>
  <c r="C97" i="100" s="1"/>
  <c r="C98" i="100" s="1"/>
  <c r="C99" i="100" s="1"/>
  <c r="C100" i="100" s="1"/>
  <c r="C101" i="100" s="1"/>
  <c r="C102" i="100" s="1"/>
  <c r="C103" i="100" s="1"/>
  <c r="C104" i="100" s="1"/>
  <c r="C105" i="100" s="1"/>
  <c r="C106" i="100" s="1"/>
  <c r="C107" i="100" s="1"/>
  <c r="C108" i="100" s="1"/>
  <c r="C109" i="100" s="1"/>
  <c r="C110" i="100" s="1"/>
  <c r="C111" i="100" s="1"/>
  <c r="C112" i="100" s="1"/>
  <c r="C113" i="100" s="1"/>
  <c r="C114" i="100" s="1"/>
  <c r="C115" i="100" s="1"/>
  <c r="C116" i="100" s="1"/>
  <c r="C117" i="100" s="1"/>
  <c r="C118" i="100" s="1"/>
  <c r="C3" i="134"/>
  <c r="C4" i="134" s="1"/>
  <c r="C5" i="134" s="1"/>
  <c r="C6" i="134" s="1"/>
  <c r="C7" i="134" s="1"/>
  <c r="C8" i="134" s="1"/>
  <c r="C9" i="134" s="1"/>
  <c r="C3" i="127"/>
  <c r="C4" i="127" s="1"/>
  <c r="C5" i="127" s="1"/>
  <c r="C6" i="127" s="1"/>
  <c r="C7" i="127" s="1"/>
  <c r="C8" i="127" s="1"/>
  <c r="C9" i="127" s="1"/>
  <c r="C10" i="127" s="1"/>
  <c r="C11" i="127" s="1"/>
  <c r="C12" i="127" s="1"/>
  <c r="C13" i="127" s="1"/>
  <c r="C14" i="127" s="1"/>
  <c r="C15" i="127" s="1"/>
  <c r="C16" i="127" s="1"/>
  <c r="C17" i="127" s="1"/>
  <c r="C18" i="127" s="1"/>
  <c r="C19" i="127" s="1"/>
  <c r="C20" i="127" s="1"/>
  <c r="C21" i="127" s="1"/>
  <c r="C22" i="127" s="1"/>
  <c r="C23" i="127" s="1"/>
  <c r="C24" i="127" s="1"/>
  <c r="C25" i="127" s="1"/>
  <c r="C26" i="127" s="1"/>
  <c r="C27" i="127" s="1"/>
  <c r="C28" i="127" s="1"/>
  <c r="C29" i="127" s="1"/>
  <c r="C30" i="127" s="1"/>
  <c r="C31" i="127" s="1"/>
  <c r="C32" i="127" s="1"/>
  <c r="C33" i="127" s="1"/>
  <c r="C34" i="127" s="1"/>
  <c r="C35" i="127" s="1"/>
  <c r="C36" i="127" s="1"/>
  <c r="C37" i="127" s="1"/>
  <c r="C38" i="127" s="1"/>
  <c r="C39" i="127" s="1"/>
  <c r="C40" i="127" s="1"/>
  <c r="C41" i="127" s="1"/>
  <c r="C42" i="127" s="1"/>
  <c r="C43" i="127" s="1"/>
  <c r="C44" i="127" s="1"/>
  <c r="C45" i="127" s="1"/>
  <c r="C46" i="127" s="1"/>
  <c r="C47" i="127" s="1"/>
  <c r="C48" i="127" s="1"/>
  <c r="C49" i="127" s="1"/>
  <c r="C50" i="127" s="1"/>
  <c r="C51" i="127" s="1"/>
  <c r="C52" i="127" s="1"/>
  <c r="C53" i="127" s="1"/>
  <c r="C54" i="127" s="1"/>
  <c r="C55" i="127" s="1"/>
  <c r="C56" i="127" s="1"/>
  <c r="C57" i="127" s="1"/>
  <c r="C58" i="127" s="1"/>
  <c r="C59" i="127" s="1"/>
  <c r="C60" i="127" s="1"/>
  <c r="C61" i="127" s="1"/>
  <c r="C62" i="127" s="1"/>
  <c r="C63" i="127" s="1"/>
  <c r="C64" i="127" s="1"/>
  <c r="C65" i="127" s="1"/>
  <c r="C66" i="127" s="1"/>
  <c r="C67" i="127" s="1"/>
  <c r="C68" i="127" s="1"/>
  <c r="C69" i="127" s="1"/>
  <c r="C70" i="127" s="1"/>
  <c r="C71" i="127" s="1"/>
  <c r="C72" i="127" s="1"/>
  <c r="C73" i="127" s="1"/>
  <c r="C74" i="127" s="1"/>
  <c r="C75" i="127" s="1"/>
  <c r="C76" i="127" s="1"/>
  <c r="C4" i="56" l="1"/>
  <c r="C5" i="56" s="1"/>
  <c r="C6" i="56" s="1"/>
  <c r="C7" i="56" s="1"/>
  <c r="C8" i="56" s="1"/>
  <c r="C9" i="56" s="1"/>
  <c r="C10" i="56" s="1"/>
  <c r="C11" i="56" s="1"/>
  <c r="C12" i="56" s="1"/>
  <c r="C13" i="56" s="1"/>
  <c r="C14" i="56" s="1"/>
  <c r="C15" i="56" s="1"/>
  <c r="C16" i="56" s="1"/>
  <c r="C17" i="56" s="1"/>
  <c r="C18" i="56" s="1"/>
  <c r="C19" i="56" s="1"/>
  <c r="C20" i="56" s="1"/>
  <c r="C21" i="56" s="1"/>
  <c r="C22" i="56" s="1"/>
  <c r="C23" i="56" s="1"/>
  <c r="C24" i="56" s="1"/>
  <c r="C25" i="56" s="1"/>
  <c r="C26" i="56" s="1"/>
  <c r="C27" i="56" s="1"/>
  <c r="C28" i="56" s="1"/>
  <c r="C29" i="56" s="1"/>
  <c r="C30" i="56" s="1"/>
  <c r="C31" i="56" s="1"/>
  <c r="C32" i="56" s="1"/>
  <c r="C33" i="56" s="1"/>
  <c r="C34" i="56" s="1"/>
  <c r="C35" i="56" s="1"/>
  <c r="C36" i="56" s="1"/>
  <c r="C37" i="56" s="1"/>
  <c r="C38" i="56" s="1"/>
  <c r="C39" i="56" s="1"/>
  <c r="C40" i="56" s="1"/>
  <c r="C41" i="56" s="1"/>
  <c r="C42" i="56" s="1"/>
  <c r="C43" i="56" s="1"/>
  <c r="C44" i="56" s="1"/>
  <c r="C45" i="56" s="1"/>
  <c r="C46" i="56" s="1"/>
  <c r="C47" i="56" s="1"/>
  <c r="C48" i="56" s="1"/>
  <c r="C49" i="56" s="1"/>
  <c r="C50" i="56" s="1"/>
  <c r="C51" i="56" s="1"/>
  <c r="C52" i="56" s="1"/>
  <c r="C53" i="56" s="1"/>
  <c r="C54" i="56" s="1"/>
  <c r="C55" i="56" s="1"/>
  <c r="C56" i="56" s="1"/>
  <c r="C57" i="56" s="1"/>
  <c r="C58" i="56" s="1"/>
  <c r="C59" i="56" s="1"/>
  <c r="C60" i="56" s="1"/>
  <c r="C61" i="56" s="1"/>
  <c r="C62" i="56" s="1"/>
  <c r="C63" i="56" s="1"/>
  <c r="C64" i="56" s="1"/>
  <c r="C65" i="56" s="1"/>
  <c r="C66" i="56" s="1"/>
  <c r="C67" i="56" s="1"/>
  <c r="C68" i="56" s="1"/>
  <c r="C69" i="56" s="1"/>
  <c r="C70" i="56" s="1"/>
  <c r="C71" i="56" s="1"/>
  <c r="C72" i="56" s="1"/>
  <c r="C73" i="56" s="1"/>
  <c r="C74" i="56" s="1"/>
  <c r="C75" i="56" s="1"/>
  <c r="C76" i="56" s="1"/>
  <c r="C77" i="56" s="1"/>
  <c r="C78" i="56" s="1"/>
  <c r="C79" i="56" s="1"/>
  <c r="C80" i="56" s="1"/>
  <c r="C81" i="56" s="1"/>
  <c r="C82" i="56" s="1"/>
  <c r="C83" i="56" s="1"/>
  <c r="C84" i="56" s="1"/>
  <c r="C85" i="56" s="1"/>
  <c r="C86" i="56" s="1"/>
  <c r="C87" i="56" s="1"/>
  <c r="C88" i="56" s="1"/>
  <c r="C89" i="56" s="1"/>
  <c r="C90" i="56" s="1"/>
  <c r="C91" i="56" s="1"/>
  <c r="C92" i="56" s="1"/>
  <c r="C93" i="56" s="1"/>
  <c r="C94" i="56" s="1"/>
  <c r="C95" i="56" s="1"/>
  <c r="C96" i="56" s="1"/>
  <c r="C97" i="56" s="1"/>
  <c r="C98" i="56" s="1"/>
  <c r="C99" i="56" s="1"/>
  <c r="C100" i="56" s="1"/>
  <c r="C101" i="56" s="1"/>
  <c r="C102" i="56" s="1"/>
  <c r="C103" i="56" s="1"/>
  <c r="C104" i="56" s="1"/>
  <c r="C105" i="56" s="1"/>
  <c r="C106" i="56" s="1"/>
  <c r="C107" i="56" s="1"/>
  <c r="C108" i="56" s="1"/>
  <c r="C109" i="56" s="1"/>
  <c r="C110" i="56" s="1"/>
  <c r="C111" i="56" s="1"/>
  <c r="C112" i="56" s="1"/>
  <c r="C113" i="56" s="1"/>
  <c r="C114" i="56" s="1"/>
  <c r="C115" i="56" s="1"/>
  <c r="C116" i="56" s="1"/>
  <c r="C117" i="56" s="1"/>
  <c r="C118" i="56" s="1"/>
  <c r="C119" i="56" s="1"/>
  <c r="C120" i="56" s="1"/>
  <c r="C121" i="56" s="1"/>
  <c r="C122" i="56" s="1"/>
  <c r="C123" i="56" s="1"/>
  <c r="C124" i="56" s="1"/>
  <c r="C125" i="56" s="1"/>
  <c r="C126" i="56" s="1"/>
  <c r="C127" i="56" s="1"/>
  <c r="C128" i="56" s="1"/>
  <c r="C129" i="56" s="1"/>
  <c r="C130" i="56" s="1"/>
  <c r="C131" i="56" s="1"/>
  <c r="C132" i="56" s="1"/>
  <c r="C133" i="56" s="1"/>
  <c r="C134" i="56" s="1"/>
  <c r="C135" i="56" s="1"/>
  <c r="C136" i="56" s="1"/>
  <c r="C137" i="56" s="1"/>
  <c r="C138" i="56" s="1"/>
  <c r="C139" i="56" s="1"/>
  <c r="C140" i="56" s="1"/>
  <c r="C141" i="56" s="1"/>
  <c r="C142" i="56" s="1"/>
  <c r="C143" i="56" s="1"/>
  <c r="C144" i="56" s="1"/>
  <c r="C145" i="56" s="1"/>
  <c r="C146" i="56" s="1"/>
  <c r="C147" i="56" s="1"/>
  <c r="C148" i="56" s="1"/>
  <c r="C149" i="56" s="1"/>
  <c r="C150" i="56" s="1"/>
  <c r="C151" i="56" s="1"/>
  <c r="C152" i="56" s="1"/>
  <c r="C153" i="56" s="1"/>
  <c r="C154" i="56" s="1"/>
  <c r="C155" i="56" s="1"/>
  <c r="C156" i="56" s="1"/>
  <c r="C157" i="56" s="1"/>
  <c r="C158" i="56" s="1"/>
  <c r="C159" i="56" s="1"/>
  <c r="C160" i="56" s="1"/>
  <c r="C161" i="56" s="1"/>
  <c r="C162" i="56" s="1"/>
  <c r="C163" i="56" s="1"/>
  <c r="C164" i="56" s="1"/>
  <c r="C165" i="56" s="1"/>
  <c r="C166" i="56" s="1"/>
  <c r="C167" i="56" s="1"/>
  <c r="C168" i="56" s="1"/>
  <c r="C169" i="56" s="1"/>
  <c r="C170" i="56" s="1"/>
  <c r="C171" i="56" s="1"/>
  <c r="C3" i="133"/>
  <c r="C4" i="133" s="1"/>
  <c r="C5" i="133" s="1"/>
  <c r="C6" i="133" s="1"/>
  <c r="C7" i="133" s="1"/>
  <c r="C8" i="133" s="1"/>
  <c r="C9" i="133" s="1"/>
  <c r="C10" i="133" s="1"/>
  <c r="C11" i="133" s="1"/>
  <c r="C12" i="133" s="1"/>
  <c r="C13" i="133" s="1"/>
  <c r="C14" i="133" s="1"/>
  <c r="C15" i="133" s="1"/>
  <c r="C16" i="133" s="1"/>
  <c r="C17" i="133" s="1"/>
  <c r="C18" i="133" s="1"/>
  <c r="C19" i="133" s="1"/>
  <c r="C20" i="133" s="1"/>
  <c r="C21" i="133" s="1"/>
  <c r="C22" i="133" s="1"/>
  <c r="C23" i="133" s="1"/>
  <c r="C24" i="133" s="1"/>
  <c r="C25" i="13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9364344-CFEC-4720-AF5D-22F3A1AD3C4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8FFC47CD-90F0-4880-8FD2-F1907D27049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C8C6F994-8DBF-48EB-AAAD-C4B1944FE9F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868D6E6-B6AF-4705-B78B-54F96034B1B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BB5D6E96-49B0-4B5B-A1D5-18F9BED7E2A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C1B9F947-343F-45C3-B529-9128A5452ED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1685EDA2-5C0B-4DD5-8D95-FFC73F57B89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75A105D-9D77-4010-B382-67F1AFBC564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8BCCFD39-9B25-45D0-9025-B8DDEAFA96F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C2E9A4E5-CA21-43E1-939D-2D758F6C737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FBD565C1-20A6-44C4-A0FA-493D0416289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B0207AD2-68DB-40CE-A023-CAC5B010240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CE62329E-1709-40E3-93D8-2A24E6D194E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6F23EACE-041F-4223-928D-4A75B49BD44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53063E8F-E962-4D22-A546-E62045D5F76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FCD5DF6B-2488-4D7E-B770-FF33078DE95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341FD9B6-C9F9-4BF1-A806-99C9D152EE6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3781287E-BF71-470E-BBC7-636EF7ACE0F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B977D81-8F73-4189-BB18-04AA9087962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F61D34B2-58FE-4A0D-B041-5D930735447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5B8440D8-7157-4709-AAE8-462151CD367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5E8378AD-F2DD-47D5-841C-524BF17D2C5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A01AB00D-10AB-436E-AFA2-81251B6B4C4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F2FED3B9-B3D9-4374-AF97-11D6A6F4B36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803C6FC7-A644-49F6-9FFF-BBA7E4A31B5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C8F8991B-27C4-46EF-9082-AC969631E2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4CC3211F-8A33-4A95-96FA-DB049C62DFA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4391152C-BD0D-4464-8A48-AB3E43A01E8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85E3B023-EC8C-4D56-ADD7-5CD402D5407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8E2DD318-A971-41EF-8948-C35CB26585D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1CD77C9D-2630-4F21-BDB8-FD6895988BF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6097545F-87A2-4373-A8D5-254EEC5E6C6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6E90F700-7DB9-4131-85BB-7223C7274E5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4BDB18DA-FC08-4F24-A61C-5DA77E17608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69C5BDC2-E43C-40B8-9537-F97E99FF0D5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F6D45E6C-E535-4215-B6FC-2BEAFA0726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2F6FF78F-E02B-48A8-8900-26BBCD20C8C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CCF62FF0-220D-4D7A-8A87-B8DA39C9B7B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85F3CB61-B439-4A59-998E-0A2FA8D3436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32E615D7-A34F-497D-BAFB-830CD8DBED2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BAEA9706-77E9-435E-8F0E-B3B378E14D8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6F382AF4-0935-42CE-96B9-459CC251E5A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72A5BC64-95FD-428C-9C5B-2BEC370A5E8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6851D047-C3AA-4BEA-952E-53D7962459A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C649BF13-0532-4341-AEF5-E35CD0CE2E0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8082E725-0684-4050-895E-7CDE01D4150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7FA1CF0D-586F-4801-8706-71A175D5AA0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908E29ED-AB8A-4237-87D8-11508E08CC1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FF09F7A8-2A9B-498A-9892-CFCE179073B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D5288634-8266-492B-BB06-EC11F0095E8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E87B617B-7A9E-4A06-BFF7-6FA8D5E3699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A9D64ADC-1AA2-4960-93CD-567A32DE74C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EB16C5C3-7489-423F-A2D1-4AD9ED14616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7A5D552F-DAFA-4687-9D22-A9DE9CFE489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3EAA8D8-72C6-4F33-BD6E-A6F48090ECB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C0523C23-859E-44AC-8F4D-71034475428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23191391-1081-4085-90FB-3D69EBA14AE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40BB9286-2F53-4E45-9616-A21A4AD47CA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9CC4F748-2E91-4165-9443-C8974F009F3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6D1DCA7C-F283-475D-80B3-A242A55B45D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B075E9EE-7B27-42B5-A17E-8FF328A9846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C4B8743B-9E13-43FA-98D4-8BCA33CB9D7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7EA9A1F-A22C-460C-8505-DF971582A7D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E4C06A80-9837-4C01-845C-29CBE375A0D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5A6AC462-F72A-4E45-A3C6-254F6A0295E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769C2105-E09C-45A7-B01C-4216E8F59B3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688C2228-00B4-4C05-B4E6-DFF4EC01D43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36747BFB-72CC-4A29-B4AA-19BDA135985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AA7A40C2-A85D-4452-95B0-3960B136508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64A97344-6FC0-446F-9B2E-FCDD7987E42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88221EB7-513A-4029-8EF1-B4CA8A1DFF7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67878211-8760-4D35-B7AC-AF5BF535743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8119787C-7B36-44E1-A219-14723949FC7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E678A92F-5998-4BEA-BA56-CB32EDDC8B8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24C6EF19-4209-4028-B1D4-70A976BC766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19433BB3-9515-401D-9595-7088517B5BF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C818B391-EB11-4AA5-ACC8-4CFC0BC5B28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BE6A87ED-7525-4EC3-8E6D-14E1BAB2F30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7E87616-855C-41B0-9952-76FE0D1FE4D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75943A6A-BD23-469D-B0B4-5213B624CA0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871492A3-CB8A-4B8D-9D1C-95F5FA9D95D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274040A5-6F8A-457D-A769-2F5C59388E5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9D7B64B9-52C4-473F-8B0B-6BEBCA1462C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FF99EAF9-A671-49F6-90BD-FE410CA27F6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D9895E6B-B1FC-478A-975F-2A2E9343F61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68A6DABA-7754-413C-81F8-2B7FC35B4C1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6F95F7B6-6426-4394-A6A3-4D3CD425BB1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4F585350-6478-47F6-8CA3-58456A8A135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303BF62E-6D7A-4027-8FA0-CBFAD6833BE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148F381F-F70C-458F-9A61-8C1EDEE6358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CD3E4A6A-EA5B-4029-95DB-E8D92916C04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20D37A2A-4F5F-47D6-AECA-B3B55C36142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AB7624A7-6B1C-445A-BA12-25B5EAB0A71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FEB8BF81-C03D-47BC-A2B2-DCC5EAB1F73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4EA96D07-CBB2-435C-BC52-76A4844973C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61777081-34DB-4FCA-B108-42DEAD0AC5C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19FC1135-5ABF-45B5-8015-A700E580782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27DA569-67F2-414E-AAF6-BC357C7593A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109FCD7A-C3A6-4291-A8CF-A6411B474D5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DD290F85-3DC3-4195-BE14-4D706DC47BC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7BB7B434-22AA-4785-8AF4-491E83C0C9B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A49E25FF-0261-4C18-AB6E-8B41E27E593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4CB25B5F-A931-421F-B176-2A6F83E8907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59AE64FA-7E2C-42DD-9CA0-59CFBB7A9B2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22D8A18D-51D7-48DD-91A5-20C94D53036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236F6696-807B-44CE-8B5B-76A352815FC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2C64E41-91E2-424D-8CDC-E6B497C0588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7A2DB38-0A76-439C-9DB3-8924682D98D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3B70B212-E005-4344-AE5E-CFE49DBAEA1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EC2D792A-6B33-4EC6-A1D2-60EB856D108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A74FA827-9C1D-4093-A780-48A60781BD0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423FE90A-D483-441B-844B-44E4C252324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C39D7AE1-93ED-4C43-BFAE-0318570B2A4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5E1EA68B-6A98-42D7-B9AC-00089ACA484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8C19355D-DBF6-46CA-AC87-67785CEB219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917C3F1-9366-4BF7-8ED5-9EE2E11D46D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3CBF38F1-C20B-4492-B349-01145F826DA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8959BB40-5E9E-492D-BBF6-DCE40BE48B4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330C9D68-42D4-48CE-A625-7871D099A23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116E770F-7C71-4232-A167-8DE7FD0C63E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F21F06D2-7130-4C88-899A-9C31487D3B9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2F605AE-E1CE-47A6-8447-CDF735DDF9D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B136AAB8-4494-4685-BCFA-7247D5FBFC8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B8B636A8-6607-4E76-A023-AF6D3BE67E9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96F4E4A1-9ECE-4CB2-A3E7-CE1EA6A71D1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415C9F85-0164-4A4C-98E5-1BB9320A865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C35EBAFF-BCF0-46C7-8209-73079A1273D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8A41052F-796E-4C29-BFC4-F4AD0179743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B2C52F0-DE41-4A75-8210-898FCE07372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EEF36C00-CE6A-416A-91BF-EBDA8AB9577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B7EBD767-4486-461E-95D7-956D49FBF87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C58CA74C-A2C7-452F-9DE6-D874D50C689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8E1B22E8-F3AE-4DB0-95D0-DDEF850AA52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C31E0F37-8FC1-4457-A42B-A1E349702FA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422AB899-C430-41CC-9969-363347DAC12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23AA688-6C95-48D7-AFF9-23DEEACD03D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EA34229B-B103-4056-933A-A2D0C2C7B95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8E645BBD-754C-4C1B-B3B1-AE039EF833F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BEE17FBC-7B66-43BC-8CA1-CADF0251F32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4AB0C389-12BE-4FD3-9236-4F6F86AE267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7984D21D-967F-4343-8F4F-DDDC889EB8C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EB14509D-FE6B-4FFD-A238-07E9FC7EF25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EF2D5F66-522D-450B-A9A6-0A6EAC41197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23CA09B5-0EFC-4EC0-BED0-D2E5E819882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DF67B876-BF8F-44FC-8763-591A7D9A925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3B913892-B555-4186-B94A-338DC2CD185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FCBED7B5-C9C2-4304-BB14-C9E5BAFAA06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736199DD-FDF8-4138-B011-887FEA5E22E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6755F9F2-B359-4EBE-AF98-52088F0CDBE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1EA7B17F-73DB-4D86-B526-F22ABF60053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354DBE9D-C59C-424A-B3E7-45C4087F1B3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D971BFDB-9360-41EA-9DC6-471EE494576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CF1ED3A7-160B-453B-951A-948B649F9C4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2C8B852E-9443-484D-9A83-8F3CAD48387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77D7B33E-816C-49A4-BA46-A9B80F81335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2D5C1237-3590-40BA-8AE9-295FAA2BF19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52CEB384-17D4-4091-B847-702369CF665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1DAC6108-69AA-4444-AEEF-4550DC4331E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2C11607C-10B8-46AA-82E8-49586432CAC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7F927A7-0454-4E96-AD63-DF9DC551C9D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80CD4EFD-1936-4FAA-92B4-A782C2DFACF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41A7A4E8-9CED-43FA-9048-7D660509D4C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874645A8-5573-4FA4-BDBE-11B73F8DD24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4CE239-A653-4405-A785-B04770DD4D0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37E68983-751F-409C-A72B-35F29BB4D89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4B0F3270-C140-4B23-A303-EAFC841E262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452D9510-4290-49DA-B4E4-4D2AADE250D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2DE1D6A1-1457-47BC-B651-1D97A093552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D510352F-2046-443B-B25D-42FE2BAF887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75F51967-9DE8-439C-943F-BA4AE819267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BFC8D99C-87C3-4EDF-A962-13DFBBF4786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3D4D8309-A068-4572-8276-C91A237007B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259F8CEA-9402-4BA7-BCAC-40809B3EA17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D4431FAF-2972-44D6-B3D7-C54D67F32CF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720F0A6C-9EC8-4763-B715-ACC7BF2E30C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393C1335-C2A3-49D3-A3F9-7B4BC39FCFD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E009ABAD-C865-4121-BC2C-7FDD1CC32BE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A6F26AB7-9F3A-40FD-9F70-E74B59851E7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697E122A-4AAB-44AC-8BDD-D7016895B14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ADDD0243-C3A7-41E3-B39C-BD5718953EA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64C1445D-AA24-4FF3-92D3-128932065D9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FE86509A-7BE8-47B2-A169-398199B010F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AB86AA2C-1D17-48F8-A53F-7F681D3C5F9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3BD5424C-7CDD-4DCE-8A6D-33D134CE72B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292F8520-5D6A-4F49-AE10-523A55613E0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648C123A-96F8-44FE-98A3-ED129A2B9A4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2FE0512B-E82E-482C-8EF8-5926F2CC267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78A056A3-98B4-44ED-8D72-2CC64859550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28C84DD4-468E-4CF7-BCC4-296E31BD094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49DFFC8A-4F4E-4511-B6FF-B676EA22997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A3568B62-B242-4E1E-A377-C2746F31145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1188D8C2-FA7D-42C1-A285-C4A75C9D372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5C26759D-62E0-44C4-9C21-FE4E5AA9859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CCF7E5D7-FC1F-45C8-B06F-8EAA9BA6472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FF5FCF58-D46F-48C8-AC0B-404B3FF3653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47C0591E-3E39-45B4-9BA9-6CCD35D1A5A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<sst xmlns="http://schemas.openxmlformats.org/spreadsheetml/2006/main" count="9828" uniqueCount="3346">
  <si>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</si>
  <si>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</si>
  <si>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</si>
  <si>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</si>
  <si>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</si>
  <si>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</si>
  <si>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</si>
  <si>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</si>
  <si>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</si>
  <si>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</si>
  <si>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</si>
  <si>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</si>
  <si>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</si>
  <si>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</si>
  <si>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</si>
  <si>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</si>
  <si>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</si>
  <si>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DISNEY</t>
  </si>
  <si>
    <t>LPDNMIN</t>
  </si>
  <si>
    <t>BXGY</t>
  </si>
  <si>
    <t>DLOVWMIN</t>
  </si>
  <si>
    <t>DLFRZOVW</t>
  </si>
  <si>
    <t>LSWVFZA</t>
  </si>
  <si>
    <t>LSWKTMIN</t>
  </si>
  <si>
    <t>LS4TXMIN</t>
  </si>
  <si>
    <t>LPDANPRN</t>
  </si>
  <si>
    <t>DENIM LONG PANTS FRAYING PRINCESS ANIME 66050100PRN LPDANPRN:MEDIUM DENIM:5-6:GRAPHIC:DENIM LONG PAN</t>
  </si>
  <si>
    <t>B1G1</t>
  </si>
  <si>
    <t>DENIM LONG PANTS FRAYING PRINCESS ANIME 66050100PRN LPDANPRN:MEDIUM DENIM:7-8:GRAPHIC:DENIM LONG PAN</t>
  </si>
  <si>
    <t>DENIM LONG PANTS FRAYING PRINCESS ANIME 66050100PRN LPDANPRN:MEDIUM DENIM:9-10:GRAPHIC:DENIM LONG PA</t>
  </si>
  <si>
    <t>DENIM LONG PANTS FRAYING PRINCESS ANIME 66050100PRN LPDANPRN:MEDIUM DENIM:11-12:GRAPHIC:DENIM LONG P</t>
  </si>
  <si>
    <t>LPDCKMIN</t>
  </si>
  <si>
    <t>DENIM LONG PANTS MIINIE CHECKED 66050100MIN LPDCKMIN:MEDIUM DENIM:5-6:CHECKS:DENIM LONG PANTS</t>
  </si>
  <si>
    <t>DENIM LONG PANTS MIINIE CHECKED 66050100MIN LPDCKMIN:MEDIUM DENIM:7-8:CHECKS:DENIM LONG PANTS</t>
  </si>
  <si>
    <t>DENIM LONG PANTS MIINIE CHECKED 66050100MIN LPDCKMIN:MEDIUM DENIM:9-10:CHECKS:DENIM LONG PANTS</t>
  </si>
  <si>
    <t>DENIM LONG PANTS MIINIE CHECKED 66050100MIN LPDCKMIN:MEDIUM DENIM:11-12:CHECKS:DENIM LONG PANTS</t>
  </si>
  <si>
    <t>TSGGPPG1</t>
  </si>
  <si>
    <t>TSGGPPG2</t>
  </si>
  <si>
    <t>TSGGPPG6</t>
  </si>
  <si>
    <t>CHARACTER</t>
  </si>
  <si>
    <t>DSWKTMIN</t>
  </si>
  <si>
    <t>DSBROMIN</t>
  </si>
  <si>
    <t>SS MIDI DRESS BROKAT MINNIE DSBROMIN:OFF WHITE:5-6:GRAPHIC:SS MIDI DRESS</t>
  </si>
  <si>
    <t>SS MIDI DRESS BROKAT MINNIE DSBROMIN:OFF WHITE:7-8:GRAPHIC:SS MIDI DRESS</t>
  </si>
  <si>
    <t>SS MIDI DRESS BROKAT MINNIE DSBROMIN:OFF WHITE:11-12:GRAPHIC:SS MIDI DRESS</t>
  </si>
  <si>
    <t>TSPPG44</t>
  </si>
  <si>
    <t>SS T-SHIRT PPG KERAH TSPPG44:PASTEL PINK:5-6:GRAPHIC:SS T-SHIRT</t>
  </si>
  <si>
    <t>SS T-SHIRT PPG KERAH TSPPG44:PASTEL PINK:7-8:GRAPHIC:SS T-SHIRT</t>
  </si>
  <si>
    <t>SS T-SHIRT PPG KERAH TSPPG44:PASTEL PINK:11-12:GRAPHIC:SS T-SHIRT</t>
  </si>
  <si>
    <t>TSPPG41</t>
  </si>
  <si>
    <t>SS T-SHIRT PPG OMBRE LENGAN RUFFLE TSPPG41:PASTEL PINK:5-6:GRAPHIC:SS T-SHIRT</t>
  </si>
  <si>
    <t>SS T-SHIRT PPG OMBRE LENGAN RUFFLE TSPPG41:PASTEL PINK:7-8:GRAPHIC:SS T-SHIRT</t>
  </si>
  <si>
    <t>SS T-SHIRT PPG OMBRE LENGAN RUFFLE TSPPG41:PASTEL PINK:9-10:GRAPHIC:SS T-SHIRT</t>
  </si>
  <si>
    <t>SS T-SHIRT PPG OMBRE LENGAN RUFFLE TSPPG41:PASTEL PINK:11-12:GRAPHIC:SS T-SHIRT</t>
  </si>
  <si>
    <t>TSPPG42</t>
  </si>
  <si>
    <t>SS T-SHIRT PPG LENGAN SERUT TSPPG42:PASTEL BLUE:5-6:GRAPHIC:SS T-SHIRT</t>
  </si>
  <si>
    <t>SS T-SHIRT PPG LENGAN SERUT TSPPG42:PASTEL BLUE:7-8:GRAPHIC:SS T-SHIRT</t>
  </si>
  <si>
    <t>SS T-SHIRT PPG LENGAN SERUT TSPPG42:PASTEL BLUE:9-10:GRAPHIC:SS T-SHIRT</t>
  </si>
  <si>
    <t>SS T-SHIRT PPG LENGAN SERUT TSPPG42:PASTEL BLUE:11-12:GRAPHIC:SS T-SHIRT</t>
  </si>
  <si>
    <t>TSHK1</t>
  </si>
  <si>
    <t>SS T-SHIRT FP BBTR HELLO KITTY W BAG TSHK1:CLASSIC RED:3-4:PRINT:SS T-SHIRT</t>
  </si>
  <si>
    <t>SS T-SHIRT FP BBTR HELLO KITTY W BAG TSHK1:CLASSIC RED:4-5:PRINT:SS T-SHIRT</t>
  </si>
  <si>
    <t>SS T-SHIRT FP BBTR HELLO KITTY W BAG TSHK1:CLASSIC RED:5-6:PRINT:SS T-SHIRT</t>
  </si>
  <si>
    <t>TSPPG43</t>
  </si>
  <si>
    <t>SS T-SHIRT PPG OMBRE PITA DEPAN TSPPG43:ASSORTIVE COLOR:5-6:GRAPHIC:SS T-SHIRT</t>
  </si>
  <si>
    <t>SS T-SHIRT PPG OMBRE PITA DEPAN TSPPG43:ASSORTIVE COLOR:7-8:GRAPHIC:SS T-SHIRT</t>
  </si>
  <si>
    <t>SS T-SHIRT PPG OMBRE PITA DEPAN TSPPG43:ASSORTIVE COLOR:9-10:GRAPHIC:SS T-SHIRT</t>
  </si>
  <si>
    <t>SS T-SHIRT PPG OMBRE PITA DEPAN TSPPG43:ASSORTIVE COLOR:11-12:GRAPHIC:SS T-SHIRT</t>
  </si>
  <si>
    <t>TSHK3</t>
  </si>
  <si>
    <t>SS T-SHIRT HELLO KITTY RUFFLE TULLE DIL TSHK3:PASTEL ORANGE:3-4:GRAPHIC:SS T-SHIRT</t>
  </si>
  <si>
    <t>SS T-SHIRT HELLO KITTY RUFFLE TULLE DIL TSHK3:PASTEL ORANGE:4-5:GRAPHIC:SS T-SHIRT</t>
  </si>
  <si>
    <t>SS T-SHIRT HELLO KITTY RUFFLE TULLE DIL TSHK3:PASTEL ORANGE:5-6:GRAPHIC:SS T-SHIRT</t>
  </si>
  <si>
    <t>SS T-SHIRT HELLO KITTY RUFFLE TULLE DIL TSHK3:PASTEL ORANGE:7-8:GRAPHIC:SS T-SHIRT</t>
  </si>
  <si>
    <t>SS T-SHIRT PPG APL BORDIR TSGGPPG1:PASTEL PINK:7-8:GRAPHIC:SS T-SHIRT</t>
  </si>
  <si>
    <t>SS T-SHIRT PPG HAPPY AND FREE TSGGPPG2:OFF WHITE:7-8:GRAPHIC:SS T-SHIRT</t>
  </si>
  <si>
    <t>SS T-SHIRT POWER PARTY PPG TSGGPPG6:PASTEL GREEN:7-8:GRAPHIC:SS T-SHIRT</t>
  </si>
  <si>
    <t>TSHKT5</t>
  </si>
  <si>
    <t>SS T-SHIRT CS HELLO KITTY TSHKT5:ASSORTIVE COLOR:5-6:GRAPHIC:SS T-SHIRT</t>
  </si>
  <si>
    <t>SS T-SHIRT CS HELLO KITTY TSHKT5:ASSORTIVE COLOR:7-8:GRAPHIC:SS T-SHIRT</t>
  </si>
  <si>
    <t>SS T-SHIRT CS HELLO KITTY TSHKT5:ASSORTIVE COLOR:11-12:GRAPHIC:SS T-SHIRT</t>
  </si>
  <si>
    <t>TSHKT6</t>
  </si>
  <si>
    <t>SS T-SHIRT FP HELLO KITTY TSHKT6:OFF WHITE:5-6:PRINT:SS T-SHIRT</t>
  </si>
  <si>
    <t>SS T-SHIRT FP HELLO KITTY TSHKT6:OFF WHITE:7-8:PRINT:SS T-SHIRT</t>
  </si>
  <si>
    <t>SS T-SHIRT FP HELLO KITTY TSHKT6:OFF WHITE:11-12:PRINT:SS T-SHIRT</t>
  </si>
  <si>
    <t>SSBAR245</t>
  </si>
  <si>
    <t>SS T-SHIRT BARBIE SQUAD GOALS SSBAR245:PASTEL PINK:5-6:GRAPHIC:SS T-SHIRT</t>
  </si>
  <si>
    <t>SS T-SHIRT BARBIE SQUAD GOALS SSBAR245:PASTEL PINK:7-8:GRAPHIC:SS T-SHIRT</t>
  </si>
  <si>
    <t>SS T-SHIRT BARBIE SQUAD GOALS SSBAR245:PASTEL PINK:9-10:GRAPHIC:SS T-SHIRT</t>
  </si>
  <si>
    <t>SS T-SHIRT BARBIE SQUAD GOALS SSBAR245:PASTEL PINK:11-12:GRAPHIC:SS T-SHIRT</t>
  </si>
  <si>
    <t>SSBAR242</t>
  </si>
  <si>
    <t>SS T-SHIRT BARBIE LGN TULLE LEBAR SSBAR242:OFF WHITE:5-6:GRAPHIC:SS T-SHIRT</t>
  </si>
  <si>
    <t>SS T-SHIRT BARBIE LGN TULLE LEBAR SSBAR242:OFF WHITE:7-8:GRAPHIC:SS T-SHIRT</t>
  </si>
  <si>
    <t>SS T-SHIRT BARBIE LGN TULLE LEBAR SSBAR242:OFF WHITE:9-10:GRAPHIC:SS T-SHIRT</t>
  </si>
  <si>
    <t>SS T-SHIRT BARBIE LGN TULLE LEBAR SSBAR242:OFF WHITE:11-12:GRAPHIC:SS T-SHIRT</t>
  </si>
  <si>
    <t>SSBAR243</t>
  </si>
  <si>
    <t>SS T-SHIRT BARBIE RAINBOW LGN LEBAR SSBAR243:PASTEL PINK:5-6:GRAPHIC:SS T-SHIRT</t>
  </si>
  <si>
    <t>SS T-SHIRT BARBIE RAINBOW LGN LEBAR SSBAR243:PASTEL PINK:7-8:GRAPHIC:SS T-SHIRT</t>
  </si>
  <si>
    <t>SS T-SHIRT BARBIE RAINBOW LGN LEBAR SSBAR243:PASTEL PINK:9-10:GRAPHIC:SS T-SHIRT</t>
  </si>
  <si>
    <t>SS T-SHIRT BARBIE RAINBOW LGN LEBAR SSBAR243:PASTEL PINK:11-12:GRAPHIC:SS T-SHIRT</t>
  </si>
  <si>
    <t>SSBARB2A</t>
  </si>
  <si>
    <t>SS T-SHIRT BARBIE COLOR BLOCK SSBARB2A:PASTEL PINK:5-6:TEXT:SS T-SHIRT</t>
  </si>
  <si>
    <t>SS T-SHIRT BARBIE COLOR BLOCK SSBARB2A:PASTEL PINK:7-8:TEXT:SS T-SHIRT</t>
  </si>
  <si>
    <t>SS T-SHIRT BARBIE COLOR BLOCK SSBARB2A:PASTEL PINK:9-10:TEXT:SS T-SHIRT</t>
  </si>
  <si>
    <t>SS T-SHIRT BARBIE COLOR BLOCK SSBARB2A:PASTEL PINK:11-12:TEXT:SS T-SHIRT</t>
  </si>
  <si>
    <t>LSBAR242</t>
  </si>
  <si>
    <t>LS T-SHIRT BARBIE CUT N SEWN KANTONG LSBAR242:PASTEL PINK:5-6:GRAPHIC:LS T-SHIRT</t>
  </si>
  <si>
    <t>LS T-SHIRT BARBIE CUT N SEWN KANTONG LSBAR242:PASTEL PINK:7-8:GRAPHIC:LS T-SHIRT</t>
  </si>
  <si>
    <t>LS T-SHIRT BARBIE CUT N SEWN KANTONG LSBAR242:PASTEL PINK:9-10:GRAPHIC:LS T-SHIRT</t>
  </si>
  <si>
    <t>LS T-SHIRT BARBIE CUT N SEWN KANTONG LSBAR242:PASTEL PINK:11-12:GRAPHIC:LS T-SHIRT</t>
  </si>
  <si>
    <t>JKAMHK</t>
  </si>
  <si>
    <t>JACKET HELLO KITTY JKAMHK:CLASSIC RED:3-4:GRAPHIC:JACKET</t>
  </si>
  <si>
    <t>JACKET HELLO KITTY JKAMHK:CLASSIC RED:4-5:GRAPHIC:JACKET</t>
  </si>
  <si>
    <t>JACKET HELLO KITTY JKAMHK:CLASSIC RED:5-6:GRAPHIC:JACKET</t>
  </si>
  <si>
    <t>SWAMHK</t>
  </si>
  <si>
    <t>SWEATSHIRT HELLO KITTY SWAMHK:OFF WHITE:3-4:GRAPHIC:SWEATSHIRT</t>
  </si>
  <si>
    <t>SWEATSHIRT HELLO KITTY SWAMHK:OFF WHITE:4-5:GRAPHIC:SWEATSHIRT</t>
  </si>
  <si>
    <t>SWEATSHIRT HELLO KITTY SWAMHK:OFF WHITE:5-6:GRAPHIC:SWEATSHIRT</t>
  </si>
  <si>
    <t>SWBAR241</t>
  </si>
  <si>
    <t>SWEATSHIRT BARBIE DREAM BIG SWBAR241:PASTEL PINK:5-6:GRAPHIC:SWEATSHIRT</t>
  </si>
  <si>
    <t>SWEATSHIRT BARBIE DREAM BIG SWBAR241:PASTEL PINK:7-8:GRAPHIC:SWEATSHIRT</t>
  </si>
  <si>
    <t>SWEATSHIRT BARBIE DREAM BIG SWBAR241:PASTEL PINK:9-10:GRAPHIC:SWEATSHIRT</t>
  </si>
  <si>
    <t>SWEATSHIRT BARBIE DREAM BIG SWBAR241:PASTEL PINK:11-12:GRAPHIC:SWEATSHIRT</t>
  </si>
  <si>
    <t>SKAMHK</t>
  </si>
  <si>
    <t>MINI SKIRT SKORT HELLO KITTY SKAMHK:CLASSIC RED:3-4:GRAPHIC:MINI SKIRT</t>
  </si>
  <si>
    <t>MINI SKIRT SKORT HELLO KITTY SKAMHK:CLASSIC RED:4-5:GRAPHIC:MINI SKIRT</t>
  </si>
  <si>
    <t>MINI SKIRT SKORT HELLO KITTY SKAMHK:CLASSIC RED:5-6:GRAPHIC:MINI SKIRT</t>
  </si>
  <si>
    <t>JGAMHK</t>
  </si>
  <si>
    <t>JOGGER HELLO KITTY JGAMHK:CLASSIC RED:3-4:GRAPHIC:JOGGER</t>
  </si>
  <si>
    <t>JOGGER HELLO KITTY JGAMHK:CLASSIC RED:4-5:GRAPHIC:JOGGER</t>
  </si>
  <si>
    <t>JOGGER HELLO KITTY JGAMHK:CLASSIC RED:5-6:GRAPHIC:JOGGER</t>
  </si>
  <si>
    <t>SKKIBHK</t>
  </si>
  <si>
    <t>MINI SKIRT SKORT DENIM HELLO KITTY SKKIBHK:MEDIUM DENIM:5-6:GRAPHIC:MINI SKIRT</t>
  </si>
  <si>
    <t>MINI SKIRT SKORT DENIM HELLO KITTY SKKIBHK:MEDIUM DENIM:7-8:GRAPHIC:MINI SKIRT</t>
  </si>
  <si>
    <t>MINI SKIRT SKORT DENIM HELLO KITTY SKKIBHK:MEDIUM DENIM:11-12:GRAPHIC:MINI SKIRT</t>
  </si>
  <si>
    <t>DOSHK</t>
  </si>
  <si>
    <t>SS MIDI DRESS OVERALL HELLO KITTY DOSHK:OFF WHITE:3-4:GRAPHIC:SS MIDI DRESS</t>
  </si>
  <si>
    <t>SS MIDI DRESS OVERALL HELLO KITTY DOSHK:OFF WHITE:4-5:GRAPHIC:SS MIDI DRESS</t>
  </si>
  <si>
    <t>SS MIDI DRESS OVERALL HELLO KITTY DOSHK:OFF WHITE:5-6:GRAPHIC:SS MIDI DRESS</t>
  </si>
  <si>
    <t>DSKRHK</t>
  </si>
  <si>
    <t>SS MIDI DRESS HELLO KITTY KERAH DSKRHK:CLASSIC RED:3-4:GRAPHIC:SS MIDI DRESS</t>
  </si>
  <si>
    <t>SS MIDI DRESS HELLO KITTY KERAH DSKRHK:CLASSIC RED:4-5:GRAPHIC:SS MIDI DRESS</t>
  </si>
  <si>
    <t>SS MIDI DRESS HELLO KITTY KERAH DSKRHK:CLASSIC RED:5-6:GRAPHIC:SS MIDI DRESS</t>
  </si>
  <si>
    <t>DSDILHK1</t>
  </si>
  <si>
    <t>SS MIDI DRESS FP HELLO KITTY DSDILHK1:OFF WHITE:3-4:GRAPHIC:SS MIDI DRESS</t>
  </si>
  <si>
    <t>SS MIDI DRESS FP HELLO KITTY DSDILHK1:OFF WHITE:4-5:GRAPHIC:SS MIDI DRESS</t>
  </si>
  <si>
    <t>SS MIDI DRESS FP HELLO KITTY DSDILHK1:OFF WHITE:5-6:GRAPHIC:SS MIDI DRESS</t>
  </si>
  <si>
    <t>SS MIDI DRESS FP HELLO KITTY DSDILHK1:OFF WHITE:7-8:GRAPHIC:SS MIDI DRESS</t>
  </si>
  <si>
    <t>DSDILHK2</t>
  </si>
  <si>
    <t>SS MIDI DRESS OVERALL HELLO KITTY DIL DSDILHK2:PASTEL PINK:3-4:GRAPHIC:SS MIDI DRESS</t>
  </si>
  <si>
    <t>SS MIDI DRESS OVERALL HELLO KITTY DIL DSDILHK2:PASTEL PINK:4-5:GRAPHIC:SS MIDI DRESS</t>
  </si>
  <si>
    <t>SS MIDI DRESS OVERALL HELLO KITTY DIL DSDILHK2:PASTEL PINK:5-6:GRAPHIC:SS MIDI DRESS</t>
  </si>
  <si>
    <t>SS MIDI DRESS OVERALL HELLO KITTY DIL DSDILHK2:PASTEL PINK:7-8:GRAPHIC:SS MIDI DRESS</t>
  </si>
  <si>
    <t>DSDILHK</t>
  </si>
  <si>
    <t>LS MIDI DRESS HELLO KITTY SLING BAG DSDILHK:OFF WHITE:3-4:GRAPHIC:LS MIDI DRESS</t>
  </si>
  <si>
    <t>LS MIDI DRESS HELLO KITTY SLING BAG DSDILHK:OFF WHITE:4-5:GRAPHIC:LS MIDI DRESS</t>
  </si>
  <si>
    <t>LS MIDI DRESS HELLO KITTY SLING BAG DSDILHK:OFF WHITE:5-6:GRAPHIC:LS MIDI DRESS</t>
  </si>
  <si>
    <t>LS MIDI DRESS HELLO KITTY SLING BAG DSDILHK:OFF WHITE:7-8:GRAPHIC:LS MIDI DRESS</t>
  </si>
  <si>
    <t>SSMEMAR1</t>
  </si>
  <si>
    <t>SS T-SHIRT TOP TALI SERUT FP MARIE SSMEMAR1:PASTEL ORANGE:5-6:PRINT:SS T-SHIRT</t>
  </si>
  <si>
    <t>SS T-SHIRT TOP TALI SERUT FP MARIE SSMEMAR1:PASTEL ORANGE:7-8:PRINT:SS T-SHIRT</t>
  </si>
  <si>
    <t>SS T-SHIRT TOP TALI SERUT FP MARIE SSMEMAR1:PASTEL ORANGE:9-10:PRINT:SS T-SHIRT</t>
  </si>
  <si>
    <t>SS T-SHIRT TOP TALI SERUT FP MARIE SSMEMAR1:PASTEL ORANGE:11-12:PRINT:SS T-SHIRT</t>
  </si>
  <si>
    <t>SSMMIN</t>
  </si>
  <si>
    <t>SS T-SHIRT TOP FP MINNIE FLOCKING SSMMIN:PASTEL BLUE:5-6:PRINT:SS T-SHIRT</t>
  </si>
  <si>
    <t>SS T-SHIRT TOP FP MINNIE FLOCKING SSMMIN:PASTEL BLUE:7-8:PRINT:SS T-SHIRT</t>
  </si>
  <si>
    <t>SS T-SHIRT TOP FP MINNIE FLOCKING SSMMIN:PASTEL BLUE:11-12:PRINT:SS T-SHIRT</t>
  </si>
  <si>
    <t>LSMINL4</t>
  </si>
  <si>
    <t>LS T-SHIRT 3/4 BT MINNIE WILD FLOWER LSMINL4:PASTEL PINK:5-6:GRAPHIC:LS T-SHIRT</t>
  </si>
  <si>
    <t>LS T-SHIRT 3/4 BT MINNIE WILD FLOWER LSMINL4:PASTEL PINK:7-8:GRAPHIC:LS T-SHIRT</t>
  </si>
  <si>
    <t>LS T-SHIRT 3/4 BT MINNIE WILD FLOWER LSMINL4:PASTEL PINK:11-12:GRAPHIC:LS T-SHIRT</t>
  </si>
  <si>
    <t>TSSNMIN</t>
  </si>
  <si>
    <t>SS T-SHIRT FP MINNIE STARRY NIGHT TSSNMIN:PASTEL ORANGE:5-6:PRINT:SS T-SHIRT</t>
  </si>
  <si>
    <t>SS T-SHIRT FP MINNIE STARRY NIGHT TSSNMIN:PASTEL ORANGE:7-8:PRINT:SS T-SHIRT</t>
  </si>
  <si>
    <t>SS T-SHIRT FP MINNIE STARRY NIGHT TSSNMIN:PASTEL ORANGE:9-10:PRINT:SS T-SHIRT</t>
  </si>
  <si>
    <t>SS T-SHIRT FP MINNIE STARRY NIGHT TSSNMIN:PASTEL ORANGE:11-12:PRINT:SS T-SHIRT</t>
  </si>
  <si>
    <t>LSL4FZA</t>
  </si>
  <si>
    <t>LS T-SHIRT TOP FROZEN RUFFLE LENGAN BBTR  LSL4FZA:PASTEL GREEN:5-6:GRAPHIC:LS T-SHIRT</t>
  </si>
  <si>
    <t>LS T-SHIRT TOP FROZEN RUFFLE LENGAN BBTR  LSL4FZA:PASTEL GREEN:7-8:GRAPHIC:LS T-SHIRT</t>
  </si>
  <si>
    <t>LS T-SHIRT TOP FROZEN RUFFLE LENGAN BBTR  LSL4FZA:PASTEL GREEN:9-10:GRAPHIC:LS T-SHIRT</t>
  </si>
  <si>
    <t>LS T-SHIRT TOP FROZEN RUFFLE LENGAN BBTR  LSL4FZA:PASTEL GREEN:11-12:GRAPHIC:LS T-SHIRT</t>
  </si>
  <si>
    <t>LSL4RMAR</t>
  </si>
  <si>
    <t>LS T-SHIRT TOP MARIE RUFFLE BAWAH BBTR LSL4RMAR:PASTEL PINK:5-6:GRAPHIC:LS T-SHIRT</t>
  </si>
  <si>
    <t>LS T-SHIRT TOP MARIE RUFFLE BAWAH BBTR LSL4RMAR:PASTEL PINK:7-8:GRAPHIC:LS T-SHIRT</t>
  </si>
  <si>
    <t>LS T-SHIRT TOP MARIE RUFFLE BAWAH BBTR LSL4RMAR:PASTEL PINK:9-10:GRAPHIC:LS T-SHIRT</t>
  </si>
  <si>
    <t>LS T-SHIRT TOP MARIE RUFFLE BAWAH BBTR LSL4RMAR:PASTEL PINK:11-12:GRAPHIC:LS T-SHIRT</t>
  </si>
  <si>
    <t>TSCSANPRN</t>
  </si>
  <si>
    <t>SS T-SHIRT PRINCESS ANIME CUT AND SEWN TSCSANPRN:ASSORTIVE COLOR:5-6:GRAPHIC:SS T-SHIRT</t>
  </si>
  <si>
    <t>SS T-SHIRT PRINCESS ANIME CUT AND SEWN TSCSANPRN:ASSORTIVE COLOR:7-8:GRAPHIC:SS T-SHIRT</t>
  </si>
  <si>
    <t>SS T-SHIRT PRINCESS ANIME CUT AND SEWN TSCSANPRN:ASSORTIVE COLOR:11-12:GRAPHIC:SS T-SHIRT</t>
  </si>
  <si>
    <t>SWTANPRN</t>
  </si>
  <si>
    <t>SWEATSHIRT TIEDYE PRINCESS ANIME 66050100PRN SWTANPRN:ASSORTIVE COLOR:5-6:OMBRE:SWEATSHIRT</t>
  </si>
  <si>
    <t>SWEATSHIRT TIEDYE PRINCESS ANIME 66050100PRN SWTANPRN:ASSORTIVE COLOR:7-8:OMBRE:SWEATSHIRT</t>
  </si>
  <si>
    <t>SWEATSHIRT TIEDYE PRINCESS ANIME 66050100PRN SWTANPRN:ASSORTIVE COLOR:9-10:OMBRE:SWEATSHIRT</t>
  </si>
  <si>
    <t>SWEATSHIRT TIEDYE PRINCESS ANIME 66050100PRN SWTANPRN:ASSORTIVE COLOR:11-12:OMBRE:SWEATSHIRT</t>
  </si>
  <si>
    <t>SWSNMIN</t>
  </si>
  <si>
    <t>SWEATSHIRT MINNIE STARRY NIGHT SWSNMIN:PASTEL ORANGE:5-6:GRAPHIC:SWEATSHIRT</t>
  </si>
  <si>
    <t>SWEATSHIRT MINNIE STARRY NIGHT SWSNMIN:PASTEL ORANGE:7-8:GRAPHIC:SWEATSHIRT</t>
  </si>
  <si>
    <t>SWEATSHIRT MINNIE STARRY NIGHT SWSNMIN:PASTEL ORANGE:9-10:GRAPHIC:SWEATSHIRT</t>
  </si>
  <si>
    <t>SWEATSHIRT MINNIE STARRY NIGHT SWSNMIN:PASTEL ORANGE:11-12:GRAPHIC:SWEATSHIRT</t>
  </si>
  <si>
    <t>DLANPRN</t>
  </si>
  <si>
    <t>LS MIDI DRESS PRINCESS ANIME 66050100PRN DLANPRN:PASTEL PINK:5-6:GRAPHIC:LS MIDI DRESS</t>
  </si>
  <si>
    <t>LS MIDI DRESS PRINCESS ANIME 66050100PRN DLANPRN:PASTEL PINK:7-8:GRAPHIC:LS MIDI DRESS</t>
  </si>
  <si>
    <t>LS MIDI DRESS PRINCESS ANIME 66050100PRN DLANPRN:PASTEL PINK:9-10:GRAPHIC:LS MIDI DRESS</t>
  </si>
  <si>
    <t>LS MIDI DRESS PRINCESS ANIME 66050100PRN DLANPRN:PASTEL PINK:11-12:GRAPHIC:LS MIDI DRESS</t>
  </si>
  <si>
    <t>DD23FZA</t>
  </si>
  <si>
    <t>SS MIDI DRESS DAILY TOD FROZEN DD23FZA:ASSORTIVE COLOR:3-4:GRAPHIC:SS MIDI DRESS</t>
  </si>
  <si>
    <t>SS MIDI DRESS DAILY TOD FROZEN DD23FZA:ASSORTIVE COLOR:4-5:GRAPHIC:SS MIDI DRESS</t>
  </si>
  <si>
    <t>SS MIDI DRESS DAILY TOD FROZEN DD23FZA:ASSORTIVE COLOR:5-6:GRAPHIC:SS MIDI DRESS</t>
  </si>
  <si>
    <t>SS MIDI DRESS DAILY TOD FROZEN DD23FZA:ASSORTIVE COLOR:7-8:GRAPHIC:SS MIDI DRESS</t>
  </si>
  <si>
    <t>DLFZALV</t>
  </si>
  <si>
    <t>LS MIDI DRESS APL LOVE FROZEN 66050100FZA DLFZALV:PASTEL GREEN:5-6:GRAPHIC:LS MIDI DRESS</t>
  </si>
  <si>
    <t>LS MIDI DRESS APL LOVE FROZEN 66050100FZA DLFZALV:PASTEL GREEN:7-8:GRAPHIC:LS MIDI DRESS</t>
  </si>
  <si>
    <t>LS MIDI DRESS APL LOVE FROZEN 66050100FZA DLFZALV:PASTEL GREEN:9-10:GRAPHIC:LS MIDI DRESS</t>
  </si>
  <si>
    <t>LS MIDI DRESS APL LOVE FROZEN 66050100FZA DLFZALV:PASTEL GREEN:11-12:GRAPHIC:LS MIDI DRESS</t>
  </si>
  <si>
    <t>DSMARFLW</t>
  </si>
  <si>
    <t>SS MIDI DRESS MARIE FLOWER DSMARFLW:PASTEL ORANGE:5-6:GRAPHIC:SS MIDI DRESS</t>
  </si>
  <si>
    <t>SS MIDI DRESS MARIE FLOWER DSMARFLW:PASTEL ORANGE:7-8:GRAPHIC:SS MIDI DRESS</t>
  </si>
  <si>
    <t>SS MIDI DRESS MARIE FLOWER DSMARFLW:PASTEL ORANGE:9-10:GRAPHIC:SS MIDI DRESS</t>
  </si>
  <si>
    <t>SS MIDI DRESS MARIE FLOWER DSMARFLW:PASTEL ORANGE:11-12:GRAPHIC:SS MIDI DRESS</t>
  </si>
  <si>
    <t>DOLMARIE</t>
  </si>
  <si>
    <t>LS MIDI DRESS OVERALL MARIE DOLMARIE:PASTEL PINK:3-4:GRAPHIC:LS MIDI DRESS</t>
  </si>
  <si>
    <t>LS MIDI DRESS OVERALL MARIE DOLMARIE:PASTEL PINK:4-5:GRAPHIC:LS MIDI DRESS</t>
  </si>
  <si>
    <t>LS MIDI DRESS OVERALL MARIE DOLMARIE:PASTEL PINK:5-6:GRAPHIC:LS MIDI DRESS</t>
  </si>
  <si>
    <t>LS MIDI DRESS OVERALL MARIE DOLMARIE:PASTEL PINK:7-8:GRAPHIC:LS MIDI DRESS</t>
  </si>
  <si>
    <t>LSMINFL</t>
  </si>
  <si>
    <t>LS T-SHIRT MINNIE LITTLE FLOWER LSMINFL:PASTEL PINK:6-12:PRINT:LS T-SHIRT</t>
  </si>
  <si>
    <t>LS T-SHIRT MINNIE LITTLE FLOWER LSMINFL:PASTEL PINK:18-24:PRINT:LS T-SHIRT</t>
  </si>
  <si>
    <t>LS T-SHIRT MINNIE LITTLE FLOWER LSMINFL:PASTEL PINK:24-36:PRINT:LS T-SHIRT</t>
  </si>
  <si>
    <t>TSBTBMIN</t>
  </si>
  <si>
    <t>SS T-SHIRT MINNIE AND DAISY BORN TO BLOOM TSBTBMIN:PASTEL GREEN:6-12:PRINT:SS T-SHIRT</t>
  </si>
  <si>
    <t>SS T-SHIRT MINNIE AND DAISY BORN TO BLOOM TSBTBMIN:PASTEL GREEN:12-18:PRINT:SS T-SHIRT</t>
  </si>
  <si>
    <t>SS T-SHIRT MINNIE AND DAISY BORN TO BLOOM TSBTBMIN:PASTEL GREEN:18-24:PRINT:SS T-SHIRT</t>
  </si>
  <si>
    <t>SS T-SHIRT MINNIE AND DAISY BORN TO BLOOM TSBTBMIN:PASTEL GREEN:24-36:PRINT:SS T-SHIRT</t>
  </si>
  <si>
    <t>SSMICCS</t>
  </si>
  <si>
    <t>SS T-SHIRT CUT &amp; SEWN MICKEY 66020100MIC DSKTPOOH:ASSORTIVE COLOR:6-12:GRAPHIC:SS T-SHIRT</t>
  </si>
  <si>
    <t>SS T-SHIRT CUT &amp; SEWN MICKEY 66020100MIC DSKTPOOH:ASSORTIVE COLOR:18-24:GRAPHIC:SS T-SHIRT</t>
  </si>
  <si>
    <t>SS T-SHIRT CUT &amp; SEWN MICKEY 66020100MIC DSKTPOOH:ASSORTIVE COLOR:24-36:GRAPHIC:SS T-SHIRT</t>
  </si>
  <si>
    <t>SETMINLF</t>
  </si>
  <si>
    <t>TOP - BOTTOM SET SS MINNIE LITTLE FLOWER SETMINLF:PASTEL PINK:6-12:PRINT:TOP - BOTTOM SET</t>
  </si>
  <si>
    <t>TOP - BOTTOM SET SS MINNIE LITTLE FLOWER SETMINLF:PASTEL PINK:18-24:PRINT:TOP - BOTTOM SET</t>
  </si>
  <si>
    <t>ONE SET SS MINNIE LITTLE FLOWER SETMINLF:PASTEL PINK:24-36:PRINT:TOP - BOTTOM SET</t>
  </si>
  <si>
    <t>SETMINLP</t>
  </si>
  <si>
    <t>TOP - BOTTOM SET SS MINNIE LITTLE PETAL SETMINLP:PASTEL BLUE:6-12:PRINT:TOP - BOTTOM SET</t>
  </si>
  <si>
    <t>TOP - BOTTOM SET SS MINNIE LITTLE PETAL SETMINLP:PASTEL BLUE:12-18:PRINT:TOP - BOTTOM SET</t>
  </si>
  <si>
    <t>TOP - BOTTOM SET SS MINNIE LITTLE PETAL SETMINLP:PASTEL BLUE:18-24:PRINT:TOP - BOTTOM SET</t>
  </si>
  <si>
    <t>TOP - BOTTOM SET SS MINNIE LITTLE PETAL SETMINLP:PASTEL BLUE:24-36:PRINT:TOP - BOTTOM SET</t>
  </si>
  <si>
    <t>SETPLBAM</t>
  </si>
  <si>
    <t>TOP - BOTTOM SET SKIRT SS RUFFLE BAMBI SETPLBAM:PASTEL PINK:6-12:PRINT:TOP - BOTTOM SET</t>
  </si>
  <si>
    <t>TOP - BOTTOM SET SKIRT SS RUFFLE BAMBI SETPLBAM:PASTEL PINK:12-18:PRINT:TOP - BOTTOM SET</t>
  </si>
  <si>
    <t>TOP - BOTTOM SET SKIRT SS RUFFLE BAMBI SETPLBAM:PASTEL PINK:18-24:PRINT:TOP - BOTTOM SET</t>
  </si>
  <si>
    <t>TOP - BOTTOM SET SKIRT SS RUFFLE BAMBI SETPLBAM:PASTEL PINK:24-36:PRINT:TOP - BOTTOM SET</t>
  </si>
  <si>
    <t>SETLKNG</t>
  </si>
  <si>
    <t>ONE SET LION KING 66020100 SETLKNG:MUSTARD:6-12:PRINT:TOP - BOTTOM SET</t>
  </si>
  <si>
    <t>ONE SET LION KING 66020100 SETLKNG:MUSTARD:12-18:PRINT:TOP - BOTTOM SET</t>
  </si>
  <si>
    <t>ONE SET LION KING 66020100 SETLKNG:MUSTARD:18-24:PRINT:TOP - BOTTOM SET</t>
  </si>
  <si>
    <t>ONE SET LION KING 66020100 SETLKNG:MUSTARD:24-36:PRINT:TOP - BOTTOM SET</t>
  </si>
  <si>
    <t>SETBAMKIB</t>
  </si>
  <si>
    <t>TOP - BOTTOM SET SSLP BAMBI SETBAMKIB:PASTEL PINK:6-12:PRINT:TOP - BOTTOM SET</t>
  </si>
  <si>
    <t>TOP - BOTTOM SET SSLP BAMBI SETBAMKIB:PASTEL PINK:12-18:PRINT:TOP - BOTTOM SET</t>
  </si>
  <si>
    <t>TOP - BOTTOM SET SSLP BAMBI SETBAMKIB:PASTEL PINK:18-24:PRINT:TOP - BOTTOM SET</t>
  </si>
  <si>
    <t>TOP - BOTTOM SET SSLP BAMBI SETBAMKIB:PASTEL PINK:24-36:PRINT:TOP - BOTTOM SET</t>
  </si>
  <si>
    <t>DSKRBAMB</t>
  </si>
  <si>
    <t>SS MIDI DRESS SS LITTLE BAMBI DSKRBAMB:PASTEL PINK:6-12:PRINT:SS MIDI DRESS</t>
  </si>
  <si>
    <t>SS MIDI DRESS SS LITTLE BAMBI DSKRBAMB:PASTEL PINK:12-18:PRINT:SS MIDI DRESS</t>
  </si>
  <si>
    <t>SS MIDI DRESS SS LITTLE BAMBI DSKRBAMB:PASTEL PINK:18-24:PRINT:SS MIDI DRESS</t>
  </si>
  <si>
    <t>SS MIDI DRESS SS LITTLE BAMBI DSKRBAMB:PASTEL PINK:24-36:PRINT:SS MIDI DRESS</t>
  </si>
  <si>
    <t>DSMINLF</t>
  </si>
  <si>
    <t>SS MIDI DRESS MINNIE LITTLE FLOWER DSMINLF:PASTEL PINK:6-12:PRINT:SS MIDI DRESS</t>
  </si>
  <si>
    <t>SS MIDI DRESS MINNIE LITTLE FLOWER DSMINLF:PASTEL PINK:18-24:PRINT:SS MIDI DRESS</t>
  </si>
  <si>
    <t>SS MIDI DRESS MINNIE LITTLE FLOWER DSMINLF:PASTEL PINK:24-36:PRINT:SS MIDI DRESS</t>
  </si>
  <si>
    <t>DTLPRIN</t>
  </si>
  <si>
    <t>SS MIDI DRESS TULLE PRINCESS DTLPRIN:OFF WHITE:6-12:PRINT:SS MIDI DRESS</t>
  </si>
  <si>
    <t>SS MIDI DRESS TULLE PRINCESS DTLPRIN:OFF WHITE:12-18:PRINT:SS MIDI DRESS</t>
  </si>
  <si>
    <t>SS MIDI DRESS TULLE PRINCESS DTLPRIN:OFF WHITE:18-24:PRINT:SS MIDI DRESS</t>
  </si>
  <si>
    <t>SS MIDI DRESS TULLE PRINCESS DTLPRIN:OFF WHITE:24-36:PRINT:SS MIDI DRESS</t>
  </si>
  <si>
    <t>OVGPRIN</t>
  </si>
  <si>
    <t>SS MIDI DRESS CLN PRINCESS OVGPRIN:PASTEL PINK:6-12:PRINT:SS MIDI DRESS</t>
  </si>
  <si>
    <t>SS MIDI DRESS CLN PRINCESS OVGPRIN:PASTEL PINK:12-18:PRINT:SS MIDI DRESS</t>
  </si>
  <si>
    <t>SS MIDI DRESS CLN PRINCESS OVGPRIN:PASTEL PINK:18-24:PRINT:SS MIDI DRESS</t>
  </si>
  <si>
    <t>SS MIDI DRESS CLN PRINCESS OVGPRIN:PASTEL PINK:24-36:PRINT:SS MIDI DRESS</t>
  </si>
  <si>
    <t>DSKTPOOH</t>
  </si>
  <si>
    <t>SS MIDI DRESS KOTAK POOH DSKTPOOH:PASTEL ORANGE:6-12:PRINT:SS MIDI DRESS</t>
  </si>
  <si>
    <t>SS MIDI DRESS KOTAK POOH DSKTPOOH:PASTEL ORANGE:12-18:PRINT:SS MIDI DRESS</t>
  </si>
  <si>
    <t>SS MIDI DRESS KOTAK POOH DSKTPOOH:PASTEL ORANGE:18-24:PRINT:SS MIDI DRESS</t>
  </si>
  <si>
    <t>SS MIDI DRESS SS KOTAK POOH DSKTPOOH:PASTEL ORANGE:24-36:PRINT:SS MIDI DRESS</t>
  </si>
  <si>
    <t>DSMINLP</t>
  </si>
  <si>
    <t>SS MIDI DRESS MINNIE LOVE PETAL DSMINLP:PASTEL PINK:6-12:PRINT:SS MIDI DRESS</t>
  </si>
  <si>
    <t>SS MIDI DRESS MINNIE LOVE PETAL DSMINLP:PASTEL PINK:12-18:PRINT:SS MIDI DRESS</t>
  </si>
  <si>
    <t>SS MIDI DRESS MINNIE LOVE PETAL DSMINLP:PASTEL PINK:18-24:PRINT:SS MIDI DRESS</t>
  </si>
  <si>
    <t>SS MIDI DRESS MINNIE LOVE PETAL DSMINLP:PASTEL PINK:24-36:PRINT:SS MIDI DRESS</t>
  </si>
  <si>
    <t>ODSMINLF</t>
  </si>
  <si>
    <t>OVERALL MIDI SKIRT MINNIE LITTLE FLOWER ODSMINLF:PASTEL PINK:6-12:PRINT:OVERALL MIDI SKIRT</t>
  </si>
  <si>
    <t>OVERALL MIDI SKIRT MINNIE LITTLE FLOWER ODSMINLF:PASTEL PINK:18-24:PRINT:OVERALL MIDI SKIRT</t>
  </si>
  <si>
    <t>OVERALL MIDI SKIRT MINNIE LITTLE FLOWER ODSMINLF:PASTEL PINK:24-36:PRINT:OVERALL MIDI SKIRT</t>
  </si>
  <si>
    <t>OVGMIN</t>
  </si>
  <si>
    <t>OVERALL MIDI SKIRT GIRLS SS MINNIE OVGMIN:PASTEL PINK:6-12:PRINT:OVERALL MIDI SKIRT</t>
  </si>
  <si>
    <t>OVERALL MIDI SKIRT GIRLS SS MINNIE OVGMIN:PASTEL PINK:12-18:PRINT:OVERALL MIDI SKIRT</t>
  </si>
  <si>
    <t>OVERALL MIDI SKIRT GIRLS SS MINNIE OVGMIN:PASTEL PINK:18-24:PRINT:OVERALL MIDI SKIRT</t>
  </si>
  <si>
    <t>OVERALL MIDI SKIRT GIRLS SS MINNIE OVGMIN:PASTEL PINK:24-36:PRINT:OVERALL MIDI SKIRT</t>
  </si>
  <si>
    <t>OVGPLMAR</t>
  </si>
  <si>
    <t>OVERALL MIDI SKIRT GIRLS SS MARIE OVGPLMAR:PASTEL ORANGE:6-12:PRINT:OVERALL MIDI SKIRT</t>
  </si>
  <si>
    <t>OVERALL MIDI SKIRT GIRLS SS MARIE OVGPLMAR:PASTEL ORANGE:12-18:PRINT:OVERALL MIDI SKIRT</t>
  </si>
  <si>
    <t>OVERALL MIDI SKIRT GIRLS SS MARIE OVGPLMAR:PASTEL ORANGE:18-24:PRINT:OVERALL MIDI SKIRT</t>
  </si>
  <si>
    <t>OVERALL MIDI SKIRT GIRLS SS MARIE OVGPLMAR:PASTEL ORANGE:24-36:PRINT:OVERALL MIDI SKIRT</t>
  </si>
  <si>
    <t>OVLKING</t>
  </si>
  <si>
    <t>OVERALL MIDI SKIRT LION KING 66020100 OVLKING:MUSTARD:6-12:PRINT:OVERALL MIDI SKIRT</t>
  </si>
  <si>
    <t>OVERALL MIDI SKIRT LION KING 66020100 OVLKING:MUSTARD:18-24:PRINT:OVERALL MIDI SKIRT</t>
  </si>
  <si>
    <t>OVERALL MIDI SKIRT LION KING 66020100 OVLKING:MUSTARD:24-36:PRINT:OVERALL MIDI SKIRT</t>
  </si>
  <si>
    <t>OVGUFMIC</t>
  </si>
  <si>
    <t>OVERALL MIDI SKIRT MICKEY AND GUFI 66020100 OVGUFMIC:ASSORTIVE COLOR:6-12:PRINT:OVERALL MIDI SKIRT</t>
  </si>
  <si>
    <t>OVERALL MIDI SKIRT MICKEY AND GUFI 66020100 OVGUFMIC:ASSORTIVE COLOR:18-24:PRINT:OVERALL MIDI SKIRT</t>
  </si>
  <si>
    <t>OVERALL MIDI SKIRT MICKEY AND GUFI 66020100 OVGUFMIC:ASSORTIVE COLOR:24-36:PRINT:OVERALL MIDI SKIRT</t>
  </si>
  <si>
    <t>TSMVCB</t>
  </si>
  <si>
    <t>SS T-SHIRT MARVEL CHIBI SUPER HEROES 66020100 TSMVCB:NAVY BLUE:6-12:GRAPHIC:SS T-SHIRT</t>
  </si>
  <si>
    <t>SS T-SHIRT MARVEL CHIBI SUPER HEROES 66020100 TSMVCB:NAVY BLUE:18-24:GRAPHIC:SS T-SHIRT</t>
  </si>
  <si>
    <t>SS T-SHIRT MARVEL CHIBI SUPER HEROES 66020100 TSMVCB:NAVY BLUE:24-36:GRAPHIC:SS T-SHIRT</t>
  </si>
  <si>
    <t>SETMVCB</t>
  </si>
  <si>
    <t>ONE SET MARVEL CHIBI SUPER HEROES 66020100 SETMVCB:NAVY BLUE:6-12:GRAPHIC:TOP - BOTTOM SET</t>
  </si>
  <si>
    <t>ONE SET MARVEL CHIBI SUPER HEROES 66020100 SETMVCB:NAVY BLUE:18-24:GRAPHIC:TOP - BOTTOM SET</t>
  </si>
  <si>
    <t>ONE SET MARVEL CHIBI SUPER HEROES 66020100 SETMVCB:NAVY BLUE:24-36:GRAPHIC:TOP - BOTTOM SET</t>
  </si>
  <si>
    <t>KKBLMIN</t>
  </si>
  <si>
    <t>KK MINNIE 68060304MIN KKBLMIN:BLACK:14-16:PRINT:SOCKS</t>
  </si>
  <si>
    <t>KK MINNIE 68060304MIN KKBLMIN:BLACK:18-20:PRINT:SOCKS</t>
  </si>
  <si>
    <t>KKBLMIC</t>
  </si>
  <si>
    <t>KK MICKEY 68060304MIC KKBLMIC:BLACK:14-16:PRINT:SOCKS</t>
  </si>
  <si>
    <t>KK MICKEY 68060304MIC KKBLMIC:BLACK:18-20:PRINT:SOCKS</t>
  </si>
  <si>
    <t>KK23MICFP</t>
  </si>
  <si>
    <t>SOCKS KKB FP MICKEY KK23MICFP:PASTEL GREY:14-16:PRINT:SOCKS</t>
  </si>
  <si>
    <t>SOCKS KKB FP MICKEY KK23MICFP:PASTEL GREY:18-20:PRINT:SOCKS</t>
  </si>
  <si>
    <t>SWLARIEL</t>
  </si>
  <si>
    <t>LS PYJAMA PANTS LSLP ARIEL 66040300PRN SWLARIEL:PASTEL PINK:4:PRINT:LS PYJAMA PANTS</t>
  </si>
  <si>
    <t>LS PYJAMA PANTS LSLP ARIEL 66040300PRN SWLARIEL:PASTEL PINK:5:PRINT:LS PYJAMA PANTS</t>
  </si>
  <si>
    <t>LS PYJAMA PANTS LSLP ARIEL 66040300PRN SWLARIEL:PASTEL PINK:6:PRINT:LS PYJAMA PANTS</t>
  </si>
  <si>
    <t>LS PYJAMA PANTS LSLP ARIEL 66040300PRN SWLARIEL:PASTEL PINK:7:PRINT:LS PYJAMA PANTS</t>
  </si>
  <si>
    <t>LS PYJAMA PANTS LSLP ARIEL 66040300PRN SWLARIEL:PASTEL PINK:8:PRINT:LS PYJAMA PANTS</t>
  </si>
  <si>
    <t>LS PYJAMA PANTS LSLP ARIEL 66040300PRN SWLARIEL:PASTEL PINK:10:PRINT:LS PYJAMA PANTS</t>
  </si>
  <si>
    <t>LS PYJAMA PANTS LSLP ARIEL 66040300PRN SWLARIEL:PASTEL PINK:12:PRINT:LS PYJAMA PANTS</t>
  </si>
  <si>
    <t>LS PYJAMA PANTS LSLP ARIEL 66040300PRN SWLARIEL:PASTEL PINK:14:PRINT:LS PYJAMA PANTS</t>
  </si>
  <si>
    <t>SWDILMAR</t>
  </si>
  <si>
    <t>ONE SET LSLP MARIE SWDILMAR:PASTEL PINK:8:GRAPHIC:TOP - BOTTOM SET</t>
  </si>
  <si>
    <t>ONE SET LSLP MARIE SWDILMAR:PASTEL PINK:10:GRAPHIC:TOP - BOTTOM SET</t>
  </si>
  <si>
    <t>ONE SET LSLP MARIE SWDILMAR:PASTEL PINK:12:GRAPHIC:TOP - BOTTOM SET</t>
  </si>
  <si>
    <t>ONE SET LSLP MARIE SWDILMAR:PASTEL PINK:14:GRAPHIC:TOP - BOTTOM SET</t>
  </si>
  <si>
    <t>SWRFMIN</t>
  </si>
  <si>
    <t>PYJAMAS SET LSLP MINNIE RUFFLE BAHU SWRFMIN:PASTEL PINK:4:PRINT:LS PYJAMA PANTS</t>
  </si>
  <si>
    <t>PYJAMAS SET LSLP MINNIE RUFFLE BAHU SWRFMIN:PASTEL PINK:5:PRINT:LS PYJAMA PANTS</t>
  </si>
  <si>
    <t>PYJAMAS SET LSLP MINNIE RUFFLE BAHU SWRFMIN:PASTEL PINK:6:PRINT:LS PYJAMA PANTS</t>
  </si>
  <si>
    <t>PYJAMAS SET LSLP MINNIE RUFFLE BAHU SWRFMIN:PASTEL PINK:7:PRINT:LS PYJAMA PANTS</t>
  </si>
  <si>
    <t>PYJAMAS SET LSLP MINNIE RUFFLE BAHU SWRFMIN:PASTEL PINK:8:PRINT:LS PYJAMA PANTS</t>
  </si>
  <si>
    <t>PYJAMAS SET LSLP MINNIE RUFFLE BAHU SWRFMIN:PASTEL PINK:10:PRINT:LS PYJAMA PANTS</t>
  </si>
  <si>
    <t>PYJAMAS SET LSLP MINNIE RUFFLE BAHU SWRFMIN:PASTEL PINK:12:PRINT:LS PYJAMA PANTS</t>
  </si>
  <si>
    <t>KKJRSPD</t>
  </si>
  <si>
    <t>KKB SPIDERMAN JARING LABA KKJRSPD:CLASSIC RED:14-16:PRINT:SOCKS</t>
  </si>
  <si>
    <t>KKB SPIDERMAN JARING LABA KKJRSPD:CLASSIC RED:18-20:PRINT:SOCKS</t>
  </si>
  <si>
    <t>KKIRNLK</t>
  </si>
  <si>
    <t>SOCKS KKB LKR IRON MAN KKIRNLK:WHITE:14-16:PRINT:SOCKS</t>
  </si>
  <si>
    <t>SOCKS KKB LKR IRON MAN KKIRNLK:WHITE:18-20:PRINT:SOCKS</t>
  </si>
  <si>
    <t>KKCAPTLK</t>
  </si>
  <si>
    <t>SOCKS KKB LKR LOGO CAPTAIN AMERICA KKCAPTLK:PASTEL GREY:14-16:PRINT:SOCKS</t>
  </si>
  <si>
    <t>SOCKS KKB LKR LOGO CAPTAIN AMERICA KKCAPTLK:PASTEL GREY:18-20:PRINT:SOCKS</t>
  </si>
  <si>
    <t>KKSPD242</t>
  </si>
  <si>
    <t>SOCKS KKB SPIDERMAN KKSPD242:CLASSIC BLUE:14-16:PRINT:SOCKS</t>
  </si>
  <si>
    <t>SOCKS KKB SPIDERMAN KKSPD242:CLASSIC BLUE:18-20:PRINT:SOCKS</t>
  </si>
  <si>
    <t>KKSPD243</t>
  </si>
  <si>
    <t>SOCKS KKB SPIDERMAN KKSPD243:PASTEL GREY:14-16:PRINT:SOCKS</t>
  </si>
  <si>
    <t>SOCKS KKB SPIDERMAN KKSPD243:PASTEL GREY:18-20:PRINT:SOCKS</t>
  </si>
  <si>
    <t>KKPTSPD15</t>
  </si>
  <si>
    <t>SOCKS KKB JARING SPIDERMAN KKPTSPD15:PASTEL GREY:14-16:PRINT:SOCKS</t>
  </si>
  <si>
    <t>SOCKS KKB JARING SPIDERMAN KKPTSPD15:PASTEL GREY:18-20:PRINT:SOCKS</t>
  </si>
  <si>
    <t>KKPTSPD16</t>
  </si>
  <si>
    <t>SOCKS KKB FP KEPALA SPIDERMAN KKPTSPD16:PASTEL GREY:14-16:PRINT:SOCKS</t>
  </si>
  <si>
    <t>SOCKS KKB FP KEPALA SPIDERMAN KKPTSPD16:PASTEL GREY:18-20:PRINT:SOCKS</t>
  </si>
  <si>
    <t>KKPTSPD17</t>
  </si>
  <si>
    <t>SOCKS KKB FP JARING SPIDERMAN KKPTSPD17:PASTEL GREY:14-16:PRINT:SOCKS</t>
  </si>
  <si>
    <t>SOCKS KKB FP JARING SPIDERMAN KKPTSPD17:PASTEL GREY:18-20:PRINT:SOCKS</t>
  </si>
  <si>
    <t>KKPTSPD18</t>
  </si>
  <si>
    <t>SOCKS KKG BIG SPIDERMAN KKPTSPD18:PASTEL GREY:14-16:PRINT:SOCKS</t>
  </si>
  <si>
    <t>SOCKS KKG BIG SPIDERMAN KKPTSPD18:PASTEL GREY:18-20:PRINT:SOCKS</t>
  </si>
  <si>
    <t>KKPTSPD19</t>
  </si>
  <si>
    <t>SOCKS KKG BIG SPIDERMAN KKPTSPD19:CLASSIC BLUE:14-16:PRINT:SOCKS</t>
  </si>
  <si>
    <t>SOCKS KKG BIG SPIDERMAN KKPTSPD19:CLASSIC BLUE:18-20:PRINT:SOCKS</t>
  </si>
  <si>
    <t>SWCOSCA</t>
  </si>
  <si>
    <t>SET SSLP COSTUM CAPTAIN AMERICA 660603000VA SWCOSCA:CLASSIC BLUE:4:PRINT:SS PYJAMA PANTS</t>
  </si>
  <si>
    <t>SET SSLP COSTUM CAPTAIN AMERICA 660603000VA SWCOSCA:CLASSIC BLUE:5:PRINT:SS PYJAMA PANTS</t>
  </si>
  <si>
    <t>SET SSLP COSTUM CAPTAIN AMERICA 660603000VA SWCOSCA:CLASSIC BLUE:6:PRINT:SS PYJAMA PANTS</t>
  </si>
  <si>
    <t>SW23MCOM</t>
  </si>
  <si>
    <t>SET LSLP MARVEL COMICS 66040300MCU SW23MCOM:NAVY BLUE:8:GRAPHIC:BACKPACK</t>
  </si>
  <si>
    <t>SET LSLP MARVEL COMICS 66040300MCU SW23MCOM:NAVY BLUE:10:GRAPHIC:BACKPACK</t>
  </si>
  <si>
    <t>SET LSLP MARVEL COMICS 66040300MCU SW23MCOM:NAVY BLUE:12:GRAPHIC:BACKPACK</t>
  </si>
  <si>
    <t>SET LSLP MARVEL COMICS 66040300MCU SW23MCOM:NAVY BLUE:14:GRAPHIC:BACKPACK</t>
  </si>
  <si>
    <t>SWBLSPD</t>
  </si>
  <si>
    <t>SET LSLP SPIDERMAN THWIP 66040300MCS SWBLSPD:BLACK:8:PRINT:SACKPACK</t>
  </si>
  <si>
    <t>SET LSLP SPIDERMAN THWIP 66040300MCS SWBLSPD:BLACK:10:PRINT:SACKPACK</t>
  </si>
  <si>
    <t>SET LSLP SPIDERMAN THWIP 66040300MCS SWBLSPD:BLACK:12:PRINT:SACKPACK</t>
  </si>
  <si>
    <t>SET LSLP SPIDERMAN THWIP 66040300MCS SWBLSPD:BLACK:14:PRINT:SACKPACK</t>
  </si>
  <si>
    <t>SWHEROAVG</t>
  </si>
  <si>
    <t>SET LSLP MARVEL HERO FOR HIRE 660603000VA SWHEROAVG:NAVY BLUE:4:PRINT:TOP - BOTTOM SET</t>
  </si>
  <si>
    <t>SET LSLP MARVEL HERO FOR HIRE 660603000VA SWHEROAVG:NAVY BLUE:5:PRINT:TOP - BOTTOM SET</t>
  </si>
  <si>
    <t>SET LSLP MARVEL HERO FOR HIRE 660603000VA SWHEROAVG:NAVY BLUE:6:PRINT:TOP - BOTTOM SET</t>
  </si>
  <si>
    <t>SET LSLP MARVEL HERO FOR HIRE 660603000VA SWHEROAVG:NAVY BLUE:7:PRINT:TOP - BOTTOM SET</t>
  </si>
  <si>
    <t>SET LSLP MARVEL HERO FOR HIRE 660603000VA SWHEROAVG:NAVY BLUE:8:PRINT:TOP - BOTTOM SET</t>
  </si>
  <si>
    <t>SET LSLP MARVEL HERO FOR HIRE 660603000VA SWHEROAVG:NAVY BLUE:10:PRINT:TOP - BOTTOM SET</t>
  </si>
  <si>
    <t>SET LSLP MARVEL HERO FOR HIRE 660603000VA SWHEROAVG:NAVY BLUE:12:PRINT:TOP - BOTTOM SET</t>
  </si>
  <si>
    <t>SET LSLP MARVEL HERO FOR HIRE 660603000VA SWHEROAVG:NAVY BLUE:14:PRINT:TOP - BOTTOM SET</t>
  </si>
  <si>
    <t>SWFPMV</t>
  </si>
  <si>
    <t>PYJAMAS SET LSLP FULL PRINT MARVEL SWFPMV:OFF WHITE:4:PRINT:LS PYJAMA PANTS</t>
  </si>
  <si>
    <t>PYJAMAS SET LSLP FULL PRINT MARVEL SWFPMV:OFF WHITE:5:PRINT:LS PYJAMA PANTS</t>
  </si>
  <si>
    <t>PYJAMAS SET LSLP FULL PRINT MARVEL SWFPMV:OFF WHITE:6:PRINT:LS PYJAMA PANTS</t>
  </si>
  <si>
    <t>PYJAMAS SET LSLP FULL PRINT MARVEL SWFPMV:OFF WHITE:7:PRINT:LS PYJAMA PANTS</t>
  </si>
  <si>
    <t>PYJAMAS SET LSLP FULL PRINT MARVEL SWFPMV:OFF WHITE:8:PRINT:LS PYJAMA PANTS</t>
  </si>
  <si>
    <t>PYJAMAS SET LSLP FULL PRINT MARVEL SWFPMV:OFF WHITE:10:PRINT:LS PYJAMA PANTS</t>
  </si>
  <si>
    <t>PYJAMAS SET LSLP FULL PRINT MARVEL SWFPMV:OFF WHITE:12:PRINT:LS PYJAMA PANTS</t>
  </si>
  <si>
    <t>SSSHK1</t>
  </si>
  <si>
    <t>SS T-SHIRT TOP BBTR SPORT HELLO KITTY SSSHK1:PASTEL PINK:5-6:GRAPHIC:SS T-SHIRT</t>
  </si>
  <si>
    <t>SS T-SHIRT TOP BBTR SPORT HELLO KITTY SSSHK1:PASTEL PINK:7-8:GRAPHIC:SS T-SHIRT</t>
  </si>
  <si>
    <t>SS T-SHIRT TOP BBTR SPORT HELLO KITTY SSSHK1:PASTEL PINK:9-10:GRAPHIC:SS T-SHIRT</t>
  </si>
  <si>
    <t>SS T-SHIRT TOP BBTR SPORT HELLO KITTY SSSHK1:PASTEL PINK:11-12:GRAPHIC:SS T-SHIRT</t>
  </si>
  <si>
    <t>SSSHK2</t>
  </si>
  <si>
    <t>SS T-SHIRT TOP BBTR SPORT HELLO KITTY SSSHK2:OFF WHITE:5-6:PRINT:SS T-SHIRT</t>
  </si>
  <si>
    <t>SS T-SHIRT TOP BBTR SPORT HELLO KITTY SSSHK2:OFF WHITE:7-8:PRINT:SS T-SHIRT</t>
  </si>
  <si>
    <t>SS T-SHIRT TOP BBTR SPORT HELLO KITTY SSSHK2:OFF WHITE:9-10:PRINT:SS T-SHIRT</t>
  </si>
  <si>
    <t>SS T-SHIRT TOP BBTR SPORT HELLO KITTY SSSHK2:OFF WHITE:11-12:PRINT:SS T-SHIRT</t>
  </si>
  <si>
    <t>SSSPPG1</t>
  </si>
  <si>
    <t>SS T-SHIRT TOP SPORT PPG SSSPPG1:PASTEL PINK:5-6:GRAPHIC:SS T-SHIRT</t>
  </si>
  <si>
    <t>SS T-SHIRT TOP SPORT PPG SSSPPG1:PASTEL PINK:7-8:GRAPHIC:SS T-SHIRT</t>
  </si>
  <si>
    <t>SS T-SHIRT TOP SPORT PPG SSSPPG1:PASTEL PINK:9-10:GRAPHIC:SS T-SHIRT</t>
  </si>
  <si>
    <t>SS T-SHIRT TOP SPORT PPG SSSPPG1:PASTEL PINK:11-12:GRAPHIC:SS T-SHIRT</t>
  </si>
  <si>
    <t>SSSPPG2</t>
  </si>
  <si>
    <t>SS T-SHIRT TOP SPORT PPG SSSPPG2:OFF WHITE:5-6:GRAPHIC:SS T-SHIRT</t>
  </si>
  <si>
    <t>SS T-SHIRT TOP SPORT PPG SSSPPG2:OFF WHITE:7-8:GRAPHIC:SS T-SHIRT</t>
  </si>
  <si>
    <t>SS T-SHIRT TOP SPORT PPG SSSPPG2:OFF WHITE:9-10:GRAPHIC:SS T-SHIRT</t>
  </si>
  <si>
    <t>SS T-SHIRT TOP SPORT PPG SSSPPG2:OFF WHITE:11-12:GRAPHIC:SS T-SHIRT</t>
  </si>
  <si>
    <t>SS T-SHIRT PPG KERAH TSPPG44:PASTEL PINK:9-10:GRAPHIC:SS T-SHIRT</t>
  </si>
  <si>
    <t>SS T-SHIRT FP BBTR HELLO KITTY W BAG TSHK1:CLASSIC RED:7-8:PRINT:SS T-SHIRT</t>
  </si>
  <si>
    <t>SS T-SHIRT FP HELLO KITTY TSHKT6:OFF WHITE:9-10:PRINT:SS T-SHIRT</t>
  </si>
  <si>
    <t>TSHKT7</t>
  </si>
  <si>
    <t>SS T-SHIRT CS HELLO KITTY WORDING TSHKT7:ASSORTIVE COLOR:5-6:GRAPHIC:SS T-SHIRT</t>
  </si>
  <si>
    <t>SS T-SHIRT CS HELLO KITTY WORDING TSHKT7:ASSORTIVE COLOR:7-8:GRAPHIC:SS T-SHIRT</t>
  </si>
  <si>
    <t>SS T-SHIRT CS HELLO KITTY WORDING TSHKT7:ASSORTIVE COLOR:9-10:GRAPHIC:SS T-SHIRT</t>
  </si>
  <si>
    <t>SS T-SHIRT CS HELLO KITTY WORDING TSHKT7:ASSORTIVE COLOR:11-12:GRAPHIC:SS T-SHIRT</t>
  </si>
  <si>
    <t>JKSPPPG</t>
  </si>
  <si>
    <t>JACKET SPORT PPG JKSPPPG:PASTEL PINK:5-6:GRAPHIC:JACKET</t>
  </si>
  <si>
    <t>JACKET SPORT PPG JKSPPPG:PASTEL PINK:7-8:GRAPHIC:JACKET</t>
  </si>
  <si>
    <t>JACKET SPORT PPG JKSPPPG:PASTEL PINK:9-10:GRAPHIC:JACKET</t>
  </si>
  <si>
    <t>JACKET SPORT PPG JKSPPPG:PASTEL PINK:11-12:GRAPHIC:JACKET</t>
  </si>
  <si>
    <t>JACKET HELLO KITTY JKAMHK:CLASSIC RED:7-8:GRAPHIC:JACKET</t>
  </si>
  <si>
    <t>SWEATSHIRT HELLO KITTY SWAMHK:OFF WHITE:7-8:GRAPHIC:SWEATSHIRT</t>
  </si>
  <si>
    <t>JGSPPPG</t>
  </si>
  <si>
    <t>JOGGER SPORT PPG JGSPPPG:PASTEL PINK:5-6:GRAPHIC:JOGGER</t>
  </si>
  <si>
    <t>JOGGER SPORT PPG JGSPPPG:PASTEL PINK:7-8:GRAPHIC:JOGGER</t>
  </si>
  <si>
    <t>JOGGER SPORT PPG JGSPPPG:PASTEL PINK:9-10:GRAPHIC:JOGGER</t>
  </si>
  <si>
    <t>JOGGER SPORT PPG JGSPPPG:PASTEL PINK:11-12:GRAPHIC:JOGGER</t>
  </si>
  <si>
    <t>MINI SKIRT SKORT HELLO KITTY SKAMHK:CLASSIC RED:7-8:GRAPHIC:MINI SKIRT</t>
  </si>
  <si>
    <t>JOGGER HELLO KITTY JGAMHK:CLASSIC RED:7-8:GRAPHIC:JOGGER</t>
  </si>
  <si>
    <t>JGBAR24</t>
  </si>
  <si>
    <t>JOGGER BARBIE TALI STOPPER JGBAR24:PASTEL PINK:5-6:GRAPHIC:JOGGER</t>
  </si>
  <si>
    <t>JOGGER BARBIE TALI STOPPER JGBAR24:PASTEL PINK:7-8:GRAPHIC:JOGGER</t>
  </si>
  <si>
    <t>JOGGER BARBIE TALI STOPPER JGBAR24:PASTEL PINK:9-10:GRAPHIC:JOGGER</t>
  </si>
  <si>
    <t>JOGGER BARBIE TALI STOPPER JGBAR24:PASTEL PINK:11-12:GRAPHIC:JOGGER</t>
  </si>
  <si>
    <t>MINI SKIRT SKORT DENIM HELLO KITTY SKKIBHK:MEDIUM DENIM:9-10:GRAPHIC:MINI SKIRT</t>
  </si>
  <si>
    <t>DSSPPPG</t>
  </si>
  <si>
    <t>SS MIDI DRESS SPORT PPG DSSPPPG:PASTEL PINK:5-6:GRAPHIC:SS MIDI DRESS</t>
  </si>
  <si>
    <t>SS MIDI DRESS SPORT PPG DSSPPPG:PASTEL PINK:7-8:GRAPHIC:SS MIDI DRESS</t>
  </si>
  <si>
    <t>SS MIDI DRESS SPORT PPG DSSPPPG:PASTEL PINK:9-10:GRAPHIC:SS MIDI DRESS</t>
  </si>
  <si>
    <t>SS MIDI DRESS SPORT PPG DSSPPPG:PASTEL PINK:11-12:GRAPHIC:SS MIDI DRESS</t>
  </si>
  <si>
    <t>DSGHKLV</t>
  </si>
  <si>
    <t>SS MIDI DRESS HELLO KITTY LOVE PLEATS DSGHKLV:PASTEL PINK:3-4:GRAPHIC:SS MIDI DRESS</t>
  </si>
  <si>
    <t>SS MIDI DRESS HELLO KITTY LOVE PLEATS DSGHKLV:PASTEL PINK:4-5:GRAPHIC:SS MIDI DRESS</t>
  </si>
  <si>
    <t>SS MIDI DRESS HELLO KITTY LOVE PLEATS DSGHKLV:PASTEL PINK:5-6:GRAPHIC:SS MIDI DRESS</t>
  </si>
  <si>
    <t>SS MIDI DRESS HELLO KITTY LOVE PLEATS DSGHKLV:PASTEL PINK:7-8:GRAPHIC:SS MIDI DRESS</t>
  </si>
  <si>
    <t>DSSPHK</t>
  </si>
  <si>
    <t>SS MIDI DRESS SPORT HELLO KITTY DSSPHK:PASTEL ORANGE:5-6:GRAPHIC:SS MIDI DRESS</t>
  </si>
  <si>
    <t>SS MIDI DRESS SPORT HELLO KITTY DSSPHK:PASTEL ORANGE:7-8:GRAPHIC:SS MIDI DRESS</t>
  </si>
  <si>
    <t>SS MIDI DRESS SPORT HELLO KITTY DSSPHK:PASTEL ORANGE:9-10:GRAPHIC:SS MIDI DRESS</t>
  </si>
  <si>
    <t>SS MIDI DRESS SPORT HELLO KITTY DSSPHK:PASTEL ORANGE:11-12:GRAPHIC:SS MIDI DRESS</t>
  </si>
  <si>
    <t>SS MIDI DRESS OVERALL HELLO KITTY DOSHK:OFF WHITE:7-8:GRAPHIC:SS MIDI DRESS</t>
  </si>
  <si>
    <t>SS MIDI DRESS HELLO KITTY KERAH DSKRHK:CLASSIC RED:7-8:GRAPHIC:SS MIDI DRESS</t>
  </si>
  <si>
    <t>DLBAR24</t>
  </si>
  <si>
    <t>LS MIDI DRESS BARBIE TEXTURE DLBAR24:PASTEL PINK:5-6:GRAPHIC:LS MIDI DRESS</t>
  </si>
  <si>
    <t>LS MIDI DRESS BARBIE TEXTURE DLBAR24:PASTEL PINK:7-8:GRAPHIC:LS MIDI DRESS</t>
  </si>
  <si>
    <t>LS MIDI DRESS BARBIE TEXTURE DLBAR24:PASTEL PINK:9-10:GRAPHIC:LS MIDI DRESS</t>
  </si>
  <si>
    <t>LS MIDI DRESS BARBIE TEXTURE DLBAR24:PASTEL PINK:11-12:GRAPHIC:LS MIDI DRESS</t>
  </si>
  <si>
    <t>SS T-SHIRT TOP FP MINNIE FLOCKING SSMMIN:PASTEL BLUE:9-10:PRINT:SS T-SHIRT</t>
  </si>
  <si>
    <t>LSKBMAR</t>
  </si>
  <si>
    <t>LS T-SHIRT TOP MARIE KOMBI KATUN EMBRO LSKBMAR:PASTEL PINK:5-6:GRAPHIC:LS T-SHIRT</t>
  </si>
  <si>
    <t>LS T-SHIRT TOP MARIE KOMBI KATUN EMBRO LSKBMAR:PASTEL PINK:7-8:GRAPHIC:LS T-SHIRT</t>
  </si>
  <si>
    <t>LS T-SHIRT TOP MARIE KOMBI KATUN EMBRO LSKBMAR:PASTEL PINK:11-12:GRAPHIC:LS T-SHIRT</t>
  </si>
  <si>
    <t>LS T-SHIRT 3/4 BT MINNIE WILD FLOWER LSMINL4:PASTEL PINK:9-10:GRAPHIC:LS T-SHIRT</t>
  </si>
  <si>
    <t>SSLRCIN</t>
  </si>
  <si>
    <t>SS T-SHIRT LENGAN RUFFLE CINDERELLA SSLRCIN:PASTEL BLUE:5-6:GRAPHIC:SS T-SHIRT</t>
  </si>
  <si>
    <t>SS T-SHIRT LENGAN RUFFLE CINDERELLA SSLRCIN:PASTEL BLUE:7-8:GRAPHIC:SS T-SHIRT</t>
  </si>
  <si>
    <t>SS T-SHIRT LENGAN RUFFLE CINDERELLA SSLRCIN:PASTEL BLUE:9-10:GRAPHIC:SS T-SHIRT</t>
  </si>
  <si>
    <t>SS T-SHIRT LENGAN RUFFLE CINDERELLA SSLRCIN:PASTEL BLUE:11-12:GRAPHIC:SS T-SHIRT</t>
  </si>
  <si>
    <t>SSFZASC</t>
  </si>
  <si>
    <t>SS T-SHIRT TOP FROZEN CS RUFFL STAY COOL SSFZASC:PASTEL ORANGE:5-6:GRAPHIC:SS T-SHIRT</t>
  </si>
  <si>
    <t>SS T-SHIRT TOP FROZEN CS RUFFL STAY COOL SSFZASC:PASTEL ORANGE:7-8:GRAPHIC:SS T-SHIRT</t>
  </si>
  <si>
    <t>SS T-SHIRT TOP FROZEN CS RUFFL STAY COOL SSFZASC:PASTEL ORANGE:11-12:GRAPHIC:SS T-SHIRT</t>
  </si>
  <si>
    <t>TSSRANPRN</t>
  </si>
  <si>
    <t>SS T-SHIRT PRINCESS ANIME SERUT BAWAH TSSRANPRN:ASSORTIVE COLOR:5-6:GRAPHIC:SS T-SHIRT</t>
  </si>
  <si>
    <t>SS T-SHIRT PRINCESS ANIME SERUT BAWAH TSSRANPRN:ASSORTIVE COLOR:7-8:GRAPHIC:SS T-SHIRT</t>
  </si>
  <si>
    <t>SS T-SHIRT PRINCESS ANIME SERUT BAWAH TSSRANPRN:ASSORTIVE COLOR:9-10:GRAPHIC:SS T-SHIRT</t>
  </si>
  <si>
    <t>SS T-SHIRT PRINCESS ANIME SERUT BAWAH TSSRANPRN:ASSORTIVE COLOR:11-12:GRAPHIC:SS T-SHIRT</t>
  </si>
  <si>
    <t>TSC4MARI</t>
  </si>
  <si>
    <t>SS T-SHIRT CS4 FP MARIE TSC4MARI:PASTEL PINK:5-6:PRINT:SS T-SHIRT</t>
  </si>
  <si>
    <t>SS T-SHIRT CS4 FP MARIE TSC4MARI:PASTEL PINK:7-8:PRINT:SS T-SHIRT</t>
  </si>
  <si>
    <t>SS T-SHIRT CS4 FP MARIE TSC4MARI:PASTEL PINK:9-10:PRINT:SS T-SHIRT</t>
  </si>
  <si>
    <t>SS T-SHIRT CS4 FP MARIE TSC4MARI:PASTEL PINK:11-12:PRINT:SS T-SHIRT</t>
  </si>
  <si>
    <t>TSFPITM</t>
  </si>
  <si>
    <t>SS T-SHIRT CS FP PITA MINNIE TSFPITM:OFF WHITE:5-6:PRINT:SS T-SHIRT</t>
  </si>
  <si>
    <t>SS T-SHIRT CS FP PITA MINNIE TSFPITM:OFF WHITE:7-8:PRINT:SS T-SHIRT</t>
  </si>
  <si>
    <t>SS T-SHIRT CS FP PITA MINNIE TSFPITM:OFF WHITE:9-10:PRINT:SS T-SHIRT</t>
  </si>
  <si>
    <t>SS T-SHIRT CS FP PITA MINNIE TSFPITM:OFF WHITE:11-12:PRINT:SS T-SHIRT</t>
  </si>
  <si>
    <t>JKWMIN</t>
  </si>
  <si>
    <t>JACKET WORDING MINNIE MOUSE JKWMIN:PASTEL PINK:5-6:GRAPHIC:JACKET</t>
  </si>
  <si>
    <t>JACKET WORDING MINNIE MOUSE JKWMIN:PASTEL PINK:7-8:GRAPHIC:JACKET</t>
  </si>
  <si>
    <t>JACKET WORDING MINNIE MOUSE JKWMIN:PASTEL PINK:9-10:GRAPHIC:JACKET</t>
  </si>
  <si>
    <t>JACKET WORDING MINNIE MOUSE JKWMIN:PASTEL PINK:11-12:GRAPHIC:JACKET</t>
  </si>
  <si>
    <t>DOVARBAM3</t>
  </si>
  <si>
    <t>SS MIDI DRESS OVERALL BAMBI DOVARBAM3:PASTEL ORANGE:3-4:GRAPHIC:SS MIDI DRESS</t>
  </si>
  <si>
    <t>SS MIDI DRESS OVERALL BAMBI DOVARBAM3:PASTEL ORANGE:4-5:GRAPHIC:SS MIDI DRESS</t>
  </si>
  <si>
    <t>SS MIDI DRESS OVERALL BAMBI DOVARBAM3:PASTEL ORANGE:5-6:GRAPHIC:SS MIDI DRESS</t>
  </si>
  <si>
    <t>DOSCDMIN</t>
  </si>
  <si>
    <t>SS MIDI DRESS OVR FP MINNIE CDR DOSCDMIN:PASTEL PURPLE:3-4:PRINT:SS MIDI DRESS</t>
  </si>
  <si>
    <t>SS MIDI DRESS OVR FP MINNIE CDR DOSCDMIN:PASTEL PURPLE:4-5:PRINT:SS MIDI DRESS</t>
  </si>
  <si>
    <t>SS MIDI DRESS OVR FP MINNIE CDR DOSCDMIN:PASTEL PURPLE:5-6:PRINT:SS MIDI DRESS</t>
  </si>
  <si>
    <t>DOSCOMAR</t>
  </si>
  <si>
    <t>SS MIDI DRESS OVR RIB MARIE DOSCOMAR:PASTEL ORANGE:3-4:GRAPHIC:SS MIDI DRESS</t>
  </si>
  <si>
    <t>SS MIDI DRESS OVR RIB MARIE DOSCOMAR:PASTEL ORANGE:4-5:GRAPHIC:SS MIDI DRESS</t>
  </si>
  <si>
    <t>SS MIDI DRESS OVR RIB MARIE DOSCOMAR:PASTEL ORANGE:5-6:GRAPHIC:SS MIDI DRESS</t>
  </si>
  <si>
    <t>SSTDPPG</t>
  </si>
  <si>
    <t>SS T-SHIRT TOP TIEDYE PPG SSTDPPG:PASTEL PINK:5-6:GRAPHIC:SS T-SHIRT</t>
  </si>
  <si>
    <t>SS T-SHIRT TOP TIEDYE PPG SSTDPPG:PASTEL PINK:7-8:GRAPHIC:SS T-SHIRT</t>
  </si>
  <si>
    <t>SS T-SHIRT TOP TIEDYE PPG SSTDPPG:PASTEL PINK:9-10:GRAPHIC:SS T-SHIRT</t>
  </si>
  <si>
    <t>SS T-SHIRT TOP TIEDYE PPG SSTDPPG:PASTEL PINK:11-12:GRAPHIC:SS T-SHIRT</t>
  </si>
  <si>
    <t>TSPPG6</t>
  </si>
  <si>
    <t>SS T-SHIRT PPG POWER RIB NECI TSPPG6:OFF WHITE:5-6:GRAPHIC:SS T-SHIRT</t>
  </si>
  <si>
    <t>SS T-SHIRT PPG POWER RIB NECI TSPPG6:OFF WHITE:7-8:GRAPHIC:SS T-SHIRT</t>
  </si>
  <si>
    <t>SS T-SHIRT PPG POWER RIB NECI TSPPG6:OFF WHITE:9-10:GRAPHIC:SS T-SHIRT</t>
  </si>
  <si>
    <t>SS T-SHIRT PPG POWER RIB NECI TSPPG6:OFF WHITE:11-12:GRAPHIC:SS T-SHIRT</t>
  </si>
  <si>
    <t>SSDILPPG1</t>
  </si>
  <si>
    <t>SS T-SHIRT TOP PPG TEXTURE RUFFLE LENGAN SSDILPPG1:PASTEL PINK:5-6:GRAPHIC:SS T-SHIRT</t>
  </si>
  <si>
    <t>SS T-SHIRT TOP PPG TEXTURE RUFFLE LENGAN SSDILPPG1:PASTEL PINK:7-8:GRAPHIC:SS T-SHIRT</t>
  </si>
  <si>
    <t>SS T-SHIRT TOP PPG TEXTURE RUFFLE LENGAN SSDILPPG1:PASTEL PINK:11-12:GRAPHIC:SS T-SHIRT</t>
  </si>
  <si>
    <t>SSDILPPG2</t>
  </si>
  <si>
    <t>SS T-SHIRT TOP PPG TEXTURE RUFFLE KERAH SSDILPPG2:PASTEL ORANGE:5-6:GRAPHIC:SS T-SHIRT</t>
  </si>
  <si>
    <t>SS T-SHIRT TOP PPG TEXTURE RUFFLE KERAH SSDILPPG2:PASTEL ORANGE:7-8:GRAPHIC:SS T-SHIRT</t>
  </si>
  <si>
    <t>SS T-SHIRT TOP PPG TEXTURE RUFFLE KERAH SSDILPPG2:PASTEL ORANGE:11-12:GRAPHIC:SS T-SHIRT</t>
  </si>
  <si>
    <t>SSDILPPG3</t>
  </si>
  <si>
    <t>SS T-SHIRT TOP PPG TEXTURE SSDILPPG3:OFF WHITE:5-6:GRAPHIC:SS T-SHIRT</t>
  </si>
  <si>
    <t>SS T-SHIRT TOP PPG TEXTURE SSDILPPG3:OFF WHITE:7-8:GRAPHIC:SS T-SHIRT</t>
  </si>
  <si>
    <t>SS T-SHIRT TOP PPG TEXTURE SSDILPPG3:OFF WHITE:9-10:GRAPHIC:SS T-SHIRT</t>
  </si>
  <si>
    <t>SS T-SHIRT TOP PPG TEXTURE SSDILPPG3:OFF WHITE:11-12:GRAPHIC:SS T-SHIRT</t>
  </si>
  <si>
    <t>TSPPG22</t>
  </si>
  <si>
    <t>SS T-SHIRT PPG GRL PWR RUFFLE LENGAN KOTAK-KOTAK TSPPG22:PASTEL PINK:5-6:GRAPHIC:SS T-SHIRT</t>
  </si>
  <si>
    <t>SS T-SHIRT PPG GRL PWR RUFFLE LENGAN KOTAK-KOTAK TSPPG22:PASTEL PINK:7-8:GRAPHIC:SS T-SHIRT</t>
  </si>
  <si>
    <t>SS T-SHIRT PPG GRL PWR RUFFLE LENGAN KOTAK-KOTAK TSPPG22:PASTEL PINK:9-10:GRAPHIC:SS T-SHIRT</t>
  </si>
  <si>
    <t>SS T-SHIRT PPG GRL PWR RUFFLE LENGAN KOTAK-KOTAK TSPPG22:PASTEL PINK:11-12:GRAPHIC:SS T-SHIRT</t>
  </si>
  <si>
    <t>SSBAR241</t>
  </si>
  <si>
    <t>SS T-SHIRT BARBIE STAR LGN RUFFLE SSBAR241:PASTEL PINK:5-6:GRAPHIC:SS T-SHIRT</t>
  </si>
  <si>
    <t>SS T-SHIRT BARBIE STAR LGN RUFFLE SSBAR241:PASTEL PINK:7-8:GRAPHIC:SS T-SHIRT</t>
  </si>
  <si>
    <t>SS T-SHIRT BARBIE STAR LGN RUFFLE SSBAR241:PASTEL PINK:11-12:GRAPHIC:SS T-SHIRT</t>
  </si>
  <si>
    <t>JGTDPPG</t>
  </si>
  <si>
    <t>JOGGER TIEDYE PPG JGTDPPG:PASTEL PINK:5-6:GRAPHIC:JOGGER</t>
  </si>
  <si>
    <t>JOGGER TIEDYE PPG JGTDPPG:PASTEL PINK:7-8:GRAPHIC:JOGGER</t>
  </si>
  <si>
    <t>JOGGER TIEDYE PPG JGTDPPG:PASTEL PINK:9-10:GRAPHIC:JOGGER</t>
  </si>
  <si>
    <t>JOGGER TIEDYE PPG JGTDPPG:PASTEL PINK:11-12:GRAPHIC:JOGGER</t>
  </si>
  <si>
    <t>LS T-SHIRT TOP MARIE KOMBI KATUN EMBRO LSKBMAR:PASTEL PINK:9-10:GRAPHIC:LS T-SHIRT</t>
  </si>
  <si>
    <t>SS T-SHIRT TOP FROZEN CS RUFFL STAY COOL SSFZASC:PASTEL ORANGE:9-10:GRAPHIC:SS T-SHIRT</t>
  </si>
  <si>
    <t>TSC2MAR</t>
  </si>
  <si>
    <t>SS T-SHIRT CS2 FP MARIE TSC2MAR:PASTEL BLUE:5-6:PRINT:SS T-SHIRT</t>
  </si>
  <si>
    <t>SS T-SHIRT CS2 FP MARIE TSC2MAR:PASTEL BLUE:7-8:PRINT:SS T-SHIRT</t>
  </si>
  <si>
    <t>SS T-SHIRT CS2 FP MARIE TSC2MAR:PASTEL BLUE:9-10:PRINT:SS T-SHIRT</t>
  </si>
  <si>
    <t>SS T-SHIRT CS2 FP MARIE TSC2MAR:PASTEL BLUE:11-12:PRINT:SS T-SHIRT</t>
  </si>
  <si>
    <t>SS MIDI DRESS OVERALL BAMBI DOVARBAM3:PASTEL ORANGE:7-8:GRAPHIC:SS MIDI DRESS</t>
  </si>
  <si>
    <t>SS MIDI DRESS OVR FP MINNIE CDR DOSCDMIN:PASTEL PURPLE:7-8:PRINT:SS MIDI DRESS</t>
  </si>
  <si>
    <t>SS MIDI DRESS OVR RIB MARIE DOSCOMAR:PASTEL ORANGE:7-8:GRAPHIC:SS MIDI DRESS</t>
  </si>
  <si>
    <t>DSFPBMIN</t>
  </si>
  <si>
    <t>SS MIDI DRESS WOVEN FULL PRINT FLOWER MINNIE TUMPUK DSFPBMIN:OFF WHITE:3-4:PRINT:SS MIDI DRESS</t>
  </si>
  <si>
    <t>SS MIDI DRESS WOVEN FULL PRINT FLOWER MINNIE TUMPUK DSFPBMIN:OFF WHITE:4-5:PRINT:SS MIDI DRESS</t>
  </si>
  <si>
    <t>SS MIDI DRESS WOVEN FULL PRINT FLOWER MINNIE TUMPUK DSFPBMIN:OFF WHITE:5-6:PRINT:SS MIDI DRESS</t>
  </si>
  <si>
    <t>DSOSSFZA</t>
  </si>
  <si>
    <t>SS MIDI DRESS WOVEN OVERALL FROZEN RUFFLE SUSUN DSOSSFZA:PASTEL BLUE:3-4:GRAPHIC:SS MIDI DRESS</t>
  </si>
  <si>
    <t>SS MIDI DRESS WOVEN OVERALL FROZEN RUFFLE SUSUN DSOSSFZA:PASTEL BLUE:4-5:GRAPHIC:SS MIDI DRESS</t>
  </si>
  <si>
    <t>SS MIDI DRESS WOVEN OVERALL FROZEN RUFFLE SUSUN DSOSSFZA:PASTEL BLUE:5-6:GRAPHIC:SS MIDI DRESS</t>
  </si>
  <si>
    <t>SS MIDI DRESS WOVEN OVERALL FROZEN RUFFLE SUSUN DSOSSFZA:PASTEL BLUE:7-8:GRAPHIC:SS MIDI DRESS</t>
  </si>
  <si>
    <t>DSOVSLR</t>
  </si>
  <si>
    <t>SS MIDI DRESS WOVEN OVERALL STRIPE MINNIE DSOVSLR:PASTEL PINK:5-6:STRIPES:SS MIDI DRESS</t>
  </si>
  <si>
    <t>SS MIDI DRESS WOVEN OVERALL STRIPE MINNIE DSOVSLR:PASTEL PINK:7-8:STRIPES:SS MIDI DRESS</t>
  </si>
  <si>
    <t>SS MIDI DRESS WOVEN OVERALL STRIPE MINNIE DSOVSLR:PASTEL PINK:9-10:STRIPES:SS MIDI DRESS</t>
  </si>
  <si>
    <t>SS MIDI DRESS WOVEN OVERALL STRIPE MINNIE DSOVSLR:PASTEL PINK:11-12:STRIPES:SS MIDI DRESS</t>
  </si>
  <si>
    <t>LS T-SHIRT MINNIE LITTLE FLOWER LSMINFL:PASTEL PINK:12-18:PRINT:LS T-SHIRT</t>
  </si>
  <si>
    <t>JKHKTMIN</t>
  </si>
  <si>
    <t>JACKET HOODIE MINNIE EMBOS KOTAK JKHKTMIN:PASTEL PINK:6-12:PRINT:JACKET</t>
  </si>
  <si>
    <t>JACKET HOODIE MINNIE EMBOS KOTAK JKHKTMIN:PASTEL PINK:12-18:PRINT:JACKET</t>
  </si>
  <si>
    <t>JACKET HOODIE MINNIE EMBOS KOTAK JKHKTMIN:PASTEL PINK:18-24:PRINT:JACKET</t>
  </si>
  <si>
    <t>JACKET HOODIE MINNIE EMBOS KOTAK JKHKTMIN:PASTEL PINK:24-36:PRINT:JACKET</t>
  </si>
  <si>
    <t>SSPLMAR</t>
  </si>
  <si>
    <t>SS T-SHIRT TOP FP MARIE SSPLMAR:OFF WHITE:6-12:PRINT:SS T-SHIRT</t>
  </si>
  <si>
    <t>SS T-SHIRT TOP FP MARIE SSPLMAR:OFF WHITE:12-18:PRINT:SS T-SHIRT</t>
  </si>
  <si>
    <t>SS T-SHIRT TOP FP MARIE SSPLMAR:OFF WHITE:18-24:PRINT:SS T-SHIRT</t>
  </si>
  <si>
    <t>SS T-SHIRT TOP FP MARIE SSPLMAR:OFF WHITE:24-36:PRINT:SS T-SHIRT</t>
  </si>
  <si>
    <t>SS T-SHIRT CUT &amp; SEWN MICKEY 66020100MIC DSKTPOOH:ASSORTIVE COLOR:12-18:GRAPHIC:SS T-SHIRT</t>
  </si>
  <si>
    <t>LONG PANTS DENIM MINNIE LPDNMIN:MEDIUM DENIM:6-12:PRINT:DENIM LONG PANTS</t>
  </si>
  <si>
    <t>LONG PANTS DENIM MINNIE LPDNMIN:MEDIUM DENIM:12-18:PRINT:DENIM LONG PANTS</t>
  </si>
  <si>
    <t>LONG PANTS DENIM MINNIE LPDNMIN:MEDIUM DENIM:18-24:PRINT:DENIM LONG PANTS</t>
  </si>
  <si>
    <t>LONG PANTS DENIM MINNIE LPDNMIN:MEDIUM DENIM:24-36:PRINT:DENIM LONG PANTS</t>
  </si>
  <si>
    <t>SETTXMAR</t>
  </si>
  <si>
    <t>ONE SET SS MARIE BTM TEXTURE  SETTXMAR:PASTEL ORANGE:6-12:PRINT:TOP - BOTTOM SET</t>
  </si>
  <si>
    <t>ONE SET SS MARIE BTM TEXTURE  SETTXMAR:PASTEL ORANGE:12-18:PRINT:TOP - BOTTOM SET</t>
  </si>
  <si>
    <t>ONE SET SS MARIE BTM TEXTURE  SETTXMAR:PASTEL ORANGE:18-24:PRINT:TOP - BOTTOM SET</t>
  </si>
  <si>
    <t>ONE SET SS MARIE BTM TEXTURE  SETTXMAR:PASTEL ORANGE:24-36:PRINT:TOP - BOTTOM SET</t>
  </si>
  <si>
    <t>TOP - BOTTOM SET SS MINNIE LITTLE FLOWER SETMINLF:PASTEL PINK:12-18:PRINT:TOP - BOTTOM SET</t>
  </si>
  <si>
    <t>SETHDPOO</t>
  </si>
  <si>
    <t>ONE SET SS POOH HAPPY DAY SETHDPOO:PASTEL YELLOW:6-12:PRINT:TOP - BOTTOM SET</t>
  </si>
  <si>
    <t>ONE SET SS POOH HAPPY DAY SETHDPOO:PASTEL YELLOW:12-18:PRINT:TOP - BOTTOM SET</t>
  </si>
  <si>
    <t>ONE SET SS POOH HAPPY DAY SETHDPOO:PASTEL YELLOW:18-24:PRINT:TOP - BOTTOM SET</t>
  </si>
  <si>
    <t>ONE SET SS POOH HAPPY DAY SETHDPOO:PASTEL YELLOW:24-36:PRINT:TOP - BOTTOM SET</t>
  </si>
  <si>
    <t>SLDILMIN</t>
  </si>
  <si>
    <t>ONE SET LS TULLE TEXTURE MINNIE SLDILMIN:PASTEL PINK:6-12:PRINT:TOP - BOTTOM SET</t>
  </si>
  <si>
    <t>ONE SET LS TULLE TEXTURE MINNIE SLDILMIN:PASTEL PINK:12-18:PRINT:TOP - BOTTOM SET</t>
  </si>
  <si>
    <t>ONE SET LS TULLE TEXTURE MINNIE SLDILMIN:PASTEL PINK:18-24:PRINT:TOP - BOTTOM SET</t>
  </si>
  <si>
    <t>ONE SET LS TULLE TEXTURE MINNIE SLDILMIN:PASTEL PINK:24-36:PRINT:TOP - BOTTOM SET</t>
  </si>
  <si>
    <t>SETDILMIN</t>
  </si>
  <si>
    <t>ONE SET TEXTURE MINNIE SETDILMIN:PASTEL PINK:6-12:PRINT:TOP - BOTTOM SET</t>
  </si>
  <si>
    <t>ONE SET TEXTURE MINNIE SETDILMIN:PASTEL PINK:12-18:PRINT:TOP - BOTTOM SET</t>
  </si>
  <si>
    <t>ONE SET TEXTURE MINNIE SETDILMIN:PASTEL PINK:18-24:PRINT:TOP - BOTTOM SET</t>
  </si>
  <si>
    <t>ONE SET TEXTURE MINNIE SETDILMIN:PASTEL PINK:24-36:PRINT:TOP - BOTTOM SET</t>
  </si>
  <si>
    <t>SETORMIC</t>
  </si>
  <si>
    <t>ONE SET MICKEY ORNAMEN 66020100MIC SETORMIC:PASTEL BLUE:6-12:PRINT:TOP - BOTTOM SET</t>
  </si>
  <si>
    <t>ONE SET MICKEY ORNAMEN 66020100MIC SETORMIC:PASTEL BLUE:12-18:PRINT:TOP - BOTTOM SET</t>
  </si>
  <si>
    <t>ONE SET MICKEY ORNAMEN 66020100MIC SETORMIC:PASTEL BLUE:18-24:PRINT:TOP - BOTTOM SET</t>
  </si>
  <si>
    <t>ONE SET MICKEY ORNAMEN 66020100MIC SETORMIC:PASTEL BLUE:24-36:PRINT:TOP - BOTTOM SET</t>
  </si>
  <si>
    <t>SS MIDI DRESS MINNIE LITTLE FLOWER DSMINLF:PASTEL PINK:12-18:PRINT:SS MIDI DRESS</t>
  </si>
  <si>
    <t>DSOKPOOH</t>
  </si>
  <si>
    <t>SS MIDI DRESS TALI KEPANG POOH DSOKPOOH:OFF WHITE:6-12:PRINT:SS MIDI DRESS</t>
  </si>
  <si>
    <t>SS MIDI DRESS TALI KEPANG POOH DSOKPOOH:OFF WHITE:12-18:PRINT:SS MIDI DRESS</t>
  </si>
  <si>
    <t>SS MIDI DRESS TALI KEPANG POOH DSOKPOOH:OFF WHITE:18-24:PRINT:SS MIDI DRESS</t>
  </si>
  <si>
    <t>SS MIDI DRESS TALI KEPANG POOH DSOKPOOH:OFF WHITE:24-36:PRINT:SS MIDI DRESS</t>
  </si>
  <si>
    <t>DLELMIN</t>
  </si>
  <si>
    <t>LS MIDI DRESS TULLE MINNIE DLELMIN:PASTEL PINK:6-12:PRINT:LS MIDI DRESS</t>
  </si>
  <si>
    <t>LS MIDI DRESS TULLE MINNIE DLELMIN:PASTEL PINK:12-18:PRINT:LS MIDI DRESS</t>
  </si>
  <si>
    <t>LS MIDI DRESS TULLE MINNIE DLELMIN:PASTEL PINK:18-24:PRINT:LS MIDI DRESS</t>
  </si>
  <si>
    <t>LS MIDI DRESS TULLE MINNIE DLELMIN:PASTEL PINK:24-36:PRINT:LS MIDI DRESS</t>
  </si>
  <si>
    <t>DTDILMAR</t>
  </si>
  <si>
    <t>SS MIDI DRESS TULLE MARIE DTDILMAR:PASTEL PINK:6-12:PRINT:SS MIDI DRESS</t>
  </si>
  <si>
    <t>SS MIDI DRESS TULLE MARIE DTDILMAR:PASTEL PINK:12-18:PRINT:SS MIDI DRESS</t>
  </si>
  <si>
    <t>SS MIDI DRESS TULLE MARIE DTDILMAR:PASTEL PINK:18-24:PRINT:SS MIDI DRESS</t>
  </si>
  <si>
    <t>SS MIDI DRESS TULLE MARIE DTDILMAR:PASTEL PINK:24-36:PRINT:SS MIDI DRESS</t>
  </si>
  <si>
    <t>OVGCLNMAR</t>
  </si>
  <si>
    <t>SS MIDI DRESS OVERALL SS SP MARIE OVGCLNMAR:PASTEL PINK:6-12:PRINT:SS MIDI DRESS</t>
  </si>
  <si>
    <t>SS MIDI DRESS OVERALL SS SP MARIE OVGCLNMAR:PASTEL PINK:12-18:PRINT:SS MIDI DRESS</t>
  </si>
  <si>
    <t>SS MIDI DRESS OVERALL SS SP MARIE OVGCLNMAR:PASTEL PINK:18-24:PRINT:SS MIDI DRESS</t>
  </si>
  <si>
    <t>SS MIDI DRESS OVERALL SS SP MARIE OVGCLNMAR:PASTEL PINK:24-36:PRINT:SS MIDI DRESS</t>
  </si>
  <si>
    <t>OVERALL MIDI SKIRT MINNIE LITTLE FLOWER ODSMINLF:PASTEL PINK:12-18:PRINT:OVERALL MIDI SKIRT</t>
  </si>
  <si>
    <t>OVTIGER</t>
  </si>
  <si>
    <t>OVERALL MIDI SKIRT TIGER OVTIGER:CLASSIC ORANGE:6-12:PRINT:OVERALL MIDI SKIRT</t>
  </si>
  <si>
    <t>OVERALL MIDI SKIRT TIGER OVTIGER:CLASSIC ORANGE:12-18:PRINT:OVERALL MIDI SKIRT</t>
  </si>
  <si>
    <t>OVERALL MIDI SKIRT TIGER OVTIGER:CLASSIC ORANGE:18-24:PRINT:OVERALL MIDI SKIRT</t>
  </si>
  <si>
    <t>OVERALL MIDI SKIRT TIGER OVTIGER:CLASSIC ORANGE:24-36:PRINT:OVERALL MIDI SKIRT</t>
  </si>
  <si>
    <t>OVPLBAM</t>
  </si>
  <si>
    <t>OVERALL MIDI SKIRT GIRLS SS BAMBI OVPLBAM:PASTEL PINK:6-12:PRINT:OVERALL MIDI SKIRT</t>
  </si>
  <si>
    <t>OVERALL MIDI SKIRT GIRLS SS BAMBI OVPLBAM:PASTEL PINK:12-18:PRINT:OVERALL MIDI SKIRT</t>
  </si>
  <si>
    <t>OVERALL MIDI SKIRT GIRLS SS BAMBI OVPLBAM:PASTEL PINK:18-24:PRINT:OVERALL MIDI SKIRT</t>
  </si>
  <si>
    <t>OVERALL MIDI SKIRT GIRLS SS BAMBI OVPLBAM:PASTEL PINK:24-36:PRINT:OVERALL MIDI SKIRT</t>
  </si>
  <si>
    <t>OVDILPOOH</t>
  </si>
  <si>
    <t>OVERALL GIRLS POOH 66020100 OVDILPOOH:PASTEL PINK:6-12:PRINT:SHORT JUMPSUIT</t>
  </si>
  <si>
    <t>OVERALL GIRLS POOH 66020100 OVDILPOOH:PASTEL PINK:12-18:PRINT:SHORT JUMPSUIT</t>
  </si>
  <si>
    <t>OVERALL GIRLS POOH 66020100 OVDILPOOH:PASTEL PINK:18-24:PRINT:SHORT JUMPSUIT</t>
  </si>
  <si>
    <t>OVERALL GIRLS POOH 66020100 OVDILPOOH:PASTEL PINK:24-36:PRINT:SHORT JUMPSUIT</t>
  </si>
  <si>
    <t>OVERALL MIDI SKIRT LION KING 66020100 OVLKING:MUSTARD:12-18:PRINT:OVERALL MIDI SKIRT</t>
  </si>
  <si>
    <t>OVERALL MIDI SKIRT MICKEY AND GUFI 66020100 OVGUFMIC:ASSORTIVE COLOR:12-18:PRINT:OVERALL MIDI SKIRT</t>
  </si>
  <si>
    <t>OVBORMIC</t>
  </si>
  <si>
    <t>OVERALL MICKEY ORNAMEN 66020100 OVBORMIC:PASTEL BLUE:6-12:PRINT:SHORT JUMPSUIT</t>
  </si>
  <si>
    <t>OVERALL MICKEY ORNAMEN 66020100 OVBORMIC:PASTEL BLUE:12-18:PRINT:SHORT JUMPSUIT</t>
  </si>
  <si>
    <t>OVERALL MICKEY ORNAMEN 66020100 OVBORMIC:PASTEL BLUE:18-24:PRINT:SHORT JUMPSUIT</t>
  </si>
  <si>
    <t>OVERALL MICKEY ORNAMEN 66020100 OVBORMIC:PASTEL BLUE:24-36:PRINT:SHORT JUMPSUIT</t>
  </si>
  <si>
    <t>OVBSIM</t>
  </si>
  <si>
    <t>OVERALL MIDI SKIRT SIMBA KAKI OVBSIM:PASTEL BLUE:6-12:PRINT:OVERALL MIDI SKIRT</t>
  </si>
  <si>
    <t>OVERALL MIDI SKIRT SIMBA KAKI OVBSIM:PASTEL BLUE:12-18:PRINT:OVERALL MIDI SKIRT</t>
  </si>
  <si>
    <t>OVERALL MIDI SKIRT SIMBA KAKI OVBSIM:PASTEL BLUE:18-24:PRINT:OVERALL MIDI SKIRT</t>
  </si>
  <si>
    <t>OVERALL MIDI SKIRT SIMBA KAKI OVBSIM:PASTEL BLUE:24-36:PRINT:OVERALL MIDI SKIRT</t>
  </si>
  <si>
    <t>SS T-SHIRT MARVEL CHIBI SUPER HEROES 66020100 TSMVCB:NAVY BLUE:12-18:GRAPHIC:SS T-SHIRT</t>
  </si>
  <si>
    <t>JKMVCB</t>
  </si>
  <si>
    <t>JACKET MARVEL CHIBI SUPER HEROES 66020100 JKMVCB:NAVY BLUE:6-12:GRAPHIC:JACKET</t>
  </si>
  <si>
    <t>JACKET MARVEL CHIBI SUPER HEROES 66020100 JKMVCB:NAVY BLUE:12-18:GRAPHIC:JACKET</t>
  </si>
  <si>
    <t>JACKET MARVEL CHIBI SUPER HEROES 66020100 JKMVCB:NAVY BLUE:18-24:GRAPHIC:JACKET</t>
  </si>
  <si>
    <t>JACKET MARVEL CHIBI SUPER HEROES 66020100 JKMVCB:NAVY BLUE:24-36:GRAPHIC:JACKET</t>
  </si>
  <si>
    <t>ONE SET MARVEL CHIBI SUPER HEROES 66020100 SETMVCB:NAVY BLUE:12-18:GRAPHIC:TOP - BOTTOM SET</t>
  </si>
  <si>
    <t>OVLMVCB</t>
  </si>
  <si>
    <t>OVERALL MARVEL CHIBI SUPER HEROES 66020100 OVLMVCB:NAVY BLUE:6-12:GRAPHIC:SHORT JUMPSUIT</t>
  </si>
  <si>
    <t>OVERALL MARVEL CHIBI SUPER HEROES 66020100 OVLMVCB:NAVY BLUE:12-18:GRAPHIC:SHORT JUMPSUIT</t>
  </si>
  <si>
    <t>OVERALL MARVEL CHIBI SUPER HEROES 66020100 OVLMVCB:NAVY BLUE:18-24:GRAPHIC:SHORT JUMPSUIT</t>
  </si>
  <si>
    <t>OVERALL MARVEL CHIBI SUPER HEROES 66020100 OVLMVCB:NAVY BLUE:24-36:GRAPHIC:SHORT JUMPSUIT</t>
  </si>
  <si>
    <t>KKSPTMIN</t>
  </si>
  <si>
    <t>SOCKS KKG FP &amp; PITA MINNIE KKSPTMIN:PASTEL YELLOW:14-16:PRINT:SOCKS</t>
  </si>
  <si>
    <t>SOCKS KKG FP &amp; PITA MINNIE KKSPTMIN:PASTEL YELLOW:18-20:PRINT:SOCKS</t>
  </si>
  <si>
    <t>SWLAURR</t>
  </si>
  <si>
    <t>LS PYJAMA PANTS LSLP SLEEPING BEAUTY 66040300PRN SWLAURR:PASTEL PINK:4:PRINT:LS PYJAMA PANTS</t>
  </si>
  <si>
    <t>LS PYJAMA PANTS LSLP SLEEPING BEAUTY 66040300PRN SWLAURR:PASTEL PINK:5:PRINT:LS PYJAMA PANTS</t>
  </si>
  <si>
    <t>LS PYJAMA PANTS LSLP SLEEPING BEAUTY 66040300PRN SWLAURR:PASTEL PINK:6:PRINT:LS PYJAMA PANTS</t>
  </si>
  <si>
    <t>LS PYJAMA PANTS LSLP SLEEPING BEAUTY 66040300PRN SWLAURR:PASTEL PINK:7:PRINT:LS PYJAMA PANTS</t>
  </si>
  <si>
    <t>LS PYJAMA PANTS LSLP SLEEPING BEAUTY 66040300PRN SWLAURR:PASTEL PINK:8:PRINT:LS PYJAMA PANTS</t>
  </si>
  <si>
    <t>LS PYJAMA PANTS LSLP SLEEPING BEAUTY 66040300PRN SWLAURR:PASTEL PINK:10:PRINT:LS PYJAMA PANTS</t>
  </si>
  <si>
    <t>LS PYJAMA PANTS LSLP SLEEPING BEAUTY 66040300PRN SWLAURR:PASTEL PINK:12:PRINT:LS PYJAMA PANTS</t>
  </si>
  <si>
    <t>LS PYJAMA PANTS LSLP SLEEPING BEAUTY 66040300PRN SWLAURR:PASTEL PINK:14:PRINT:LS PYJAMA PANTS</t>
  </si>
  <si>
    <t>PYJAMAS SET LSLP MINNIE RUFFLE BAHU SWRFMIN:PASTEL PINK:14:PRINT:LS PYJAMA PANTS</t>
  </si>
  <si>
    <t>KKSPSPD</t>
  </si>
  <si>
    <t>SOCKS KKB SPIDERMAN HEAD KKSPSPD:CLASSIC RED:14-16:PRINT:SOCKS</t>
  </si>
  <si>
    <t>SOCKS KKB SPIDERMAN HEAD KKSPSPD:CLASSIC RED:18-20:PRINT:SOCKS</t>
  </si>
  <si>
    <t>KKMM2401</t>
  </si>
  <si>
    <t>SOCKS KKB SPIDERMAN KKMM2401:BLACK:14-16:PRINT:SOCKS</t>
  </si>
  <si>
    <t>SOCKS KKB SPIDERMAN KKMM2401:BLACK:18-20:PRINT:SOCKS</t>
  </si>
  <si>
    <t>KKMM2402</t>
  </si>
  <si>
    <t>SOCKS KKB JARING SPIDERMAN KKMM2402:BLACK:14-16:PRINT:SOCKS</t>
  </si>
  <si>
    <t>SOCKS KKB JARING SPIDERMAN KKMM2402:BLACK:18-20:PRINT:SOCKS</t>
  </si>
  <si>
    <t>KKMM2404</t>
  </si>
  <si>
    <t>SOCKS KKB JARING SPIDERMAN KKMM2404:CLASSIC RED:14-16:PRINT:SOCKS</t>
  </si>
  <si>
    <t>SOCKS KKB JARING SPIDERMAN KKMM2404:CLASSIC RED:18-20:PRINT:SOCKS</t>
  </si>
  <si>
    <t>KKMM2406</t>
  </si>
  <si>
    <t>SOCKS KKB JARING SPIDERMAN KKMM2406:PASTEL GREY:14-16:PRINT:SOCKS</t>
  </si>
  <si>
    <t>SOCKS KKB JARING SPIDERMAN KKMM2406:PASTEL GREY:18-20:PRINT:SOCKS</t>
  </si>
  <si>
    <t>A-909</t>
  </si>
  <si>
    <t>ONE SET SSLP MARVEL AVENGERS A-909:MISTY MEDIUM BLUE:8:PRINT:LS PYJAMA PANTS</t>
  </si>
  <si>
    <t>ONE SET SSLP MARVEL AVENGERS A-909:MISTY MEDIUM BLUE:10:PRINT:LS PYJAMA PANTS</t>
  </si>
  <si>
    <t>ONE SET SSLP MARVEL AVENGERS A-909:MISTY MEDIUM BLUE:12:PRINT:LS PYJAMA PANTS</t>
  </si>
  <si>
    <t>ONE SET SSLP MARVEL AVENGERS A-909:MISTY MEDIUM BLUE:14:PRINT:LS PYJAMA PANTS</t>
  </si>
  <si>
    <t>PYJAMAS SET LSLP FULL PRINT MARVEL SWFPMV:OFF WHITE:14:PRINT:LS PYJAMA PANTS</t>
  </si>
  <si>
    <t>SET SSLP COSTUM CAPTAIN AMERICA 660603000VA SWCOSCA:CLASSIC BLUE:7:PRINT:SS PYJAMA PANTS</t>
  </si>
  <si>
    <t>TSMEPPGBL</t>
  </si>
  <si>
    <t>SS T-SHIRT PPG BLOSSOM TSMEPPGBL:PASTEL PINK:3-4:GRAPHIC:SS T-SHIRT</t>
  </si>
  <si>
    <t>SS T-SHIRT PPG BLOSSOM TSMEPPGBL:PASTEL PINK:4-5:GRAPHIC:SS T-SHIRT</t>
  </si>
  <si>
    <t>SS T-SHIRT PPG BLOSSOM TSMEPPGBL:PASTEL PINK:5-6:GRAPHIC:SS T-SHIRT</t>
  </si>
  <si>
    <t>SS T-SHIRT PPG BLOSSOM TSMEPPGBL:PASTEL PINK:7-8:GRAPHIC:SS T-SHIRT</t>
  </si>
  <si>
    <t>TSME3PPG</t>
  </si>
  <si>
    <t>SS T-SHIRT 3 PPG TSME3PPG:PASTEL GREEN:3-4:GRAPHIC:SS T-SHIRT</t>
  </si>
  <si>
    <t>SS T-SHIRT 3 PPG TSME3PPG:PASTEL GREEN:4-5:GRAPHIC:SS T-SHIRT</t>
  </si>
  <si>
    <t>SS T-SHIRT 3 PPG TSME3PPG:PASTEL GREEN:5-6:GRAPHIC:SS T-SHIRT</t>
  </si>
  <si>
    <t>SS T-SHIRT 3 PPG TSME3PPG:PASTEL GREEN:7-8:GRAPHIC:SS T-SHIRT</t>
  </si>
  <si>
    <t>SSAMIMYM</t>
  </si>
  <si>
    <t>SS T-SHIRT TOP MY MELODY SSAMIMYM:PASTEL PINK:3-4:GRAPHIC:SS T-SHIRT</t>
  </si>
  <si>
    <t>SS T-SHIRT TOP MY MELODY SSAMIMYM:PASTEL PINK:4-5:GRAPHIC:SS T-SHIRT</t>
  </si>
  <si>
    <t>SS T-SHIRT TOP MY MELODY SSAMIMYM:PASTEL PINK:5-6:GRAPHIC:SS T-SHIRT</t>
  </si>
  <si>
    <t>SS T-SHIRT TOP MY MELODY SSAMIMYM:PASTEL PINK:7-8:GRAPHIC:SS T-SHIRT</t>
  </si>
  <si>
    <t>TSHK1HMT</t>
  </si>
  <si>
    <t>SS T-SHIRT HELLO KITTY TSHK1HMT:PASTEL PINK:5-6:GRAPHIC:SS T-SHIRT</t>
  </si>
  <si>
    <t>SS T-SHIRT HELLO KITTY TSHK1HMT:PASTEL PINK:7-8:GRAPHIC:SS T-SHIRT</t>
  </si>
  <si>
    <t>SS T-SHIRT HELLO KITTY TSHK1HMT:PASTEL PINK:9-10:GRAPHIC:SS T-SHIRT</t>
  </si>
  <si>
    <t>SS T-SHIRT HELLO KITTY TSHK1HMT:PASTEL PINK:11-12:GRAPHIC:SS T-SHIRT</t>
  </si>
  <si>
    <t>TS50HK2</t>
  </si>
  <si>
    <t>SS T-SHIRT KANTONG HELLO KITTY 25 TS50HK2:PASTEL PINK:5-6:GRAPHIC:SS T-SHIRT</t>
  </si>
  <si>
    <t>SS T-SHIRT KANTONG HELLO KITTY 25 TS50HK2:PASTEL PINK:7-8:GRAPHIC:SS T-SHIRT</t>
  </si>
  <si>
    <t>SS T-SHIRT KANTONG HELLO KITTY 25 TS50HK2:PASTEL PINK:9-10:GRAPHIC:SS T-SHIRT</t>
  </si>
  <si>
    <t>SS T-SHIRT KANTONG HELLO KITTY 25 TS50HK2:PASTEL PINK:11-12:GRAPHIC:SS T-SHIRT</t>
  </si>
  <si>
    <t>TS50HK4</t>
  </si>
  <si>
    <t>SS T-SHIRT 2PR HELLO KITTY 25 TS50HK4:PASTEL BLUE:5-6:GRAPHIC:SS T-SHIRT</t>
  </si>
  <si>
    <t>SS T-SHIRT 2PR HELLO KITTY 25 TS50HK4:PASTEL BLUE:7-8:GRAPHIC:SS T-SHIRT</t>
  </si>
  <si>
    <t>SS T-SHIRT 2PR HELLO KITTY 25 TS50HK4:PASTEL BLUE:9-10:GRAPHIC:SS T-SHIRT</t>
  </si>
  <si>
    <t>SS T-SHIRT 2PR HELLO KITTY 25 TS50HK4:PASTEL BLUE:11-12:GRAPHIC:SS T-SHIRT</t>
  </si>
  <si>
    <t>TS50HK5</t>
  </si>
  <si>
    <t>SS T-SHIRT RIB HELLO KITTY 25 TS50HK5:PASTEL ORANGE:5-6:GRAPHIC:SS T-SHIRT</t>
  </si>
  <si>
    <t>SS T-SHIRT RIB HELLO KITTY 25 TS50HK5:PASTEL ORANGE:7-8:GRAPHIC:SS T-SHIRT</t>
  </si>
  <si>
    <t>SS T-SHIRT RIB HELLO KITTY 25 TS50HK5:PASTEL ORANGE:9-10:GRAPHIC:SS T-SHIRT</t>
  </si>
  <si>
    <t>SS T-SHIRT RIB HELLO KITTY 25 TS50HK5:PASTEL ORANGE:11-12:GRAPHIC:SS T-SHIRT</t>
  </si>
  <si>
    <t>TSTWT1</t>
  </si>
  <si>
    <t>SS T-SHIRT FP TWEETY TSTWT1:OFF WHITE:5-6:PRINT:SS T-SHIRT</t>
  </si>
  <si>
    <t>SS T-SHIRT FP TWEETY TSTWT1:OFF WHITE:7-8:PRINT:SS T-SHIRT</t>
  </si>
  <si>
    <t>SS T-SHIRT FP TWEETY TSTWT1:OFF WHITE:9-10:PRINT:SS T-SHIRT</t>
  </si>
  <si>
    <t>SS T-SHIRT FP TWEETY TSTWT1:OFF WHITE:11-12:PRINT:SS T-SHIRT</t>
  </si>
  <si>
    <t>TSTWT2</t>
  </si>
  <si>
    <t>SS T-SHIRT TWEETY GOOD VIBES ONLY TSTWT2:PASTEL ORANGE:5-6:GRAPHIC:SS T-SHIRT</t>
  </si>
  <si>
    <t>SS T-SHIRT TWEETY GOOD VIBES ONLY TSTWT2:PASTEL ORANGE:7-8:GRAPHIC:SS T-SHIRT</t>
  </si>
  <si>
    <t>SS T-SHIRT TWEETY GOOD VIBES ONLY TSTWT2:PASTEL ORANGE:9-10:GRAPHIC:SS T-SHIRT</t>
  </si>
  <si>
    <t>SS T-SHIRT TWEETY GOOD VIBES ONLY TSTWT2:PASTEL ORANGE:11-12:GRAPHIC:SS T-SHIRT</t>
  </si>
  <si>
    <t>TSTWT3</t>
  </si>
  <si>
    <t>SS T-SHIRT FE TWEETY OUTLINE TSTWT3:PASTEL YELLOW:5-6:GRAPHIC:SS T-SHIRT</t>
  </si>
  <si>
    <t>SS T-SHIRT FE TWEETY OUTLINE TSTWT3:PASTEL YELLOW:7-8:GRAPHIC:SS T-SHIRT</t>
  </si>
  <si>
    <t>SS T-SHIRT FE TWEETY OUTLINE TSTWT3:PASTEL YELLOW:9-10:GRAPHIC:SS T-SHIRT</t>
  </si>
  <si>
    <t>SS T-SHIRT FE TWEETY OUTLINE TSTWT3:PASTEL YELLOW:11-12:GRAPHIC:SS T-SHIRT</t>
  </si>
  <si>
    <t>TSTWT4</t>
  </si>
  <si>
    <t>SS T-SHIRT CS TWEETY SUPER CHICK TSTWT4:PASTEL PINK:5-6:GRAPHIC:SS T-SHIRT</t>
  </si>
  <si>
    <t>SS T-SHIRT CS TWEETY SUPER CHICK TSTWT4:PASTEL PINK:7-8:GRAPHIC:SS T-SHIRT</t>
  </si>
  <si>
    <t>SS T-SHIRT CS TWEETY SUPER CHICK TSTWT4:PASTEL PINK:9-10:GRAPHIC:SS T-SHIRT</t>
  </si>
  <si>
    <t>SS T-SHIRT CS TWEETY SUPER CHICK TSTWT4:PASTEL PINK:11-12:GRAPHIC:SS T-SHIRT</t>
  </si>
  <si>
    <t>TSTWT5</t>
  </si>
  <si>
    <t>SS T-SHIRT TWEETY PITA TSTWT5:PASTEL YELLOW:5-6:GRAPHIC:SS T-SHIRT</t>
  </si>
  <si>
    <t>SS T-SHIRT TWEETY PITA TSTWT5:PASTEL YELLOW:7-8:GRAPHIC:SS T-SHIRT</t>
  </si>
  <si>
    <t>SS T-SHIRT TWEETY PITA TSTWT5:PASTEL YELLOW:9-10:GRAPHIC:SS T-SHIRT</t>
  </si>
  <si>
    <t>SS T-SHIRT TWEETY PITA TSTWT5:PASTEL YELLOW:11-12:GRAPHIC:SS T-SHIRT</t>
  </si>
  <si>
    <t>TS50HK1</t>
  </si>
  <si>
    <t>SS T-SHIRT FP HELLO KITTY 50 TS50HK1:OFF WHITE:5-6:PRINT:SS T-SHIRT</t>
  </si>
  <si>
    <t>SS T-SHIRT FP HELLO KITTY 50 TS50HK1:OFF WHITE:7-8:PRINT:SS T-SHIRT</t>
  </si>
  <si>
    <t>SS T-SHIRT FP HELLO KITTY 50 TS50HK1:OFF WHITE:9-10:PRINT:SS T-SHIRT</t>
  </si>
  <si>
    <t>SS T-SHIRT FP HELLO KITTY 50 TS50HK1:OFF WHITE:11-12:PRINT:SS T-SHIRT</t>
  </si>
  <si>
    <t>TS50HK3</t>
  </si>
  <si>
    <t>SS T-SHIRT RIB HELLO KITTY 50 TS50HK3:OFF WHITE:5-6:GRAPHIC:SS T-SHIRT</t>
  </si>
  <si>
    <t>SS T-SHIRT RIB HELLO KITTY 50 TS50HK3:OFF WHITE:7-8:GRAPHIC:SS T-SHIRT</t>
  </si>
  <si>
    <t>SS T-SHIRT RIB HELLO KITTY 50 TS50HK3:OFF WHITE:9-10:GRAPHIC:SS T-SHIRT</t>
  </si>
  <si>
    <t>SS T-SHIRT RIB HELLO KITTY 50 TS50HK3:OFF WHITE:11-12:GRAPHIC:SS T-SHIRT</t>
  </si>
  <si>
    <t>SS T-SHIRT TOP PPG TEXTURE RUFFLE LENGAN SSDILPPG1:PASTEL PINK:9-10:GRAPHIC:SS T-SHIRT</t>
  </si>
  <si>
    <t>SS T-SHIRT TOP PPG TEXTURE RUFFLE KERAH SSDILPPG2:PASTEL ORANGE:9-10:GRAPHIC:SS T-SHIRT</t>
  </si>
  <si>
    <t>SS T-SHIRT CS HELLO KITTY TSHKT5:ASSORTIVE COLOR:9-10:GRAPHIC:SS T-SHIRT</t>
  </si>
  <si>
    <t>TSMYM05</t>
  </si>
  <si>
    <t>SS T-SHIRT MY MELODY TSMYM05:OFF WHITE:5-6:PRINT:SS T-SHIRT</t>
  </si>
  <si>
    <t>SS T-SHIRT MY MELODY TSMYM05:OFF WHITE:7-8:PRINT:SS T-SHIRT</t>
  </si>
  <si>
    <t>SS T-SHIRT MY MELODY TSMYM05:OFF WHITE:9-10:PRINT:SS T-SHIRT</t>
  </si>
  <si>
    <t>SS T-SHIRT MY MELODY TSMYM05:OFF WHITE:11-12:PRINT:SS T-SHIRT</t>
  </si>
  <si>
    <t>TSMYM06</t>
  </si>
  <si>
    <t>SS T-SHIRT MY MELODY TSMYM06:PASTEL BLUE:5-6:GRAPHIC:SS T-SHIRT</t>
  </si>
  <si>
    <t>SS T-SHIRT MY MELODY TSMYM06:PASTEL BLUE:7-8:GRAPHIC:SS T-SHIRT</t>
  </si>
  <si>
    <t>SS T-SHIRT MY MELODY TSMYM06:PASTEL BLUE:9-10:GRAPHIC:SS T-SHIRT</t>
  </si>
  <si>
    <t>SS T-SHIRT MY MELODY TSMYM06:PASTEL BLUE:11-12:GRAPHIC:SS T-SHIRT</t>
  </si>
  <si>
    <t>TSGPPG1</t>
  </si>
  <si>
    <t>SS T-SHIRT PPG LOVE TSGPPG1:OFF WHITE:5-6:GRAPHIC:SS T-SHIRT</t>
  </si>
  <si>
    <t>SS T-SHIRT PPG LOVE TSGPPG1:OFF WHITE:7-8:GRAPHIC:SS T-SHIRT</t>
  </si>
  <si>
    <t>SS T-SHIRT PPG LOVE TSGPPG1:OFF WHITE:9-10:GRAPHIC:SS T-SHIRT</t>
  </si>
  <si>
    <t>SS T-SHIRT PPG LOVE TSGPPG1:OFF WHITE:11-12:GRAPHIC:SS T-SHIRT</t>
  </si>
  <si>
    <t>SS T-SHIRT BARBIE STAR LGN RUFFLE SSBAR241:PASTEL PINK:9-10:GRAPHIC:SS T-SHIRT</t>
  </si>
  <si>
    <t>SSBAR246</t>
  </si>
  <si>
    <t>SS T-SHIRT BARBIE TENNIS CLUB SSBAR246:OFF WHITE:5-6:GRAPHIC:SS T-SHIRT</t>
  </si>
  <si>
    <t>SS T-SHIRT BARBIE TENNIS CLUB SSBAR246:OFF WHITE:7-8:GRAPHIC:SS T-SHIRT</t>
  </si>
  <si>
    <t>SS T-SHIRT BARBIE TENNIS CLUB SSBAR246:OFF WHITE:9-10:GRAPHIC:SS T-SHIRT</t>
  </si>
  <si>
    <t>SS T-SHIRT BARBIE TENNIS CLUB SSBAR246:OFF WHITE:11-12:GRAPHIC:SS T-SHIRT</t>
  </si>
  <si>
    <t>SSBAR244</t>
  </si>
  <si>
    <t>SS T-SHIRT BARBIE OFFSHOULDER SSBAR244:PASTEL PINK:5-6:GRAPHIC:SS T-SHIRT</t>
  </si>
  <si>
    <t>SS T-SHIRT BARBIE OFFSHOULDER SSBAR244:PASTEL PINK:7-8:GRAPHIC:SS T-SHIRT</t>
  </si>
  <si>
    <t>SS T-SHIRT BARBIE OFFSHOULDER SSBAR244:PASTEL PINK:9-10:GRAPHIC:SS T-SHIRT</t>
  </si>
  <si>
    <t>SS T-SHIRT BARBIE OFFSHOULDER SSBAR244:PASTEL PINK:11-12:GRAPHIC:SS T-SHIRT</t>
  </si>
  <si>
    <t>SSBAR247</t>
  </si>
  <si>
    <t>SS T-SHIRT BARBIE DREAMS SSBAR247:PASTEL PURPLE:5-6:GRAPHIC:SS T-SHIRT</t>
  </si>
  <si>
    <t>SS T-SHIRT BARBIE DREAMS SSBAR247:PASTEL PURPLE:7-8:GRAPHIC:SS T-SHIRT</t>
  </si>
  <si>
    <t>SS T-SHIRT BARBIE DREAMS SSBAR247:PASTEL PURPLE:9-10:GRAPHIC:SS T-SHIRT</t>
  </si>
  <si>
    <t>SS T-SHIRT BARBIE DREAMS SSBAR247:PASTEL PURPLE:11-12:GRAPHIC:SS T-SHIRT</t>
  </si>
  <si>
    <t>JKAMIMYM</t>
  </si>
  <si>
    <t>JACKET HOODIE MY MELODY JKAMIMYM:PASTEL PINK:3-4:GRAPHIC:JACKET</t>
  </si>
  <si>
    <t>JACKET HOODIE MY MELODY JKAMIMYM:PASTEL PINK:4-5:GRAPHIC:JACKET</t>
  </si>
  <si>
    <t>JACKET HOODIE MY MELODY JKAMIMYM:PASTEL PINK:5-6:GRAPHIC:JACKET</t>
  </si>
  <si>
    <t>JACKET HOODIE MY MELODY JKAMIMYM:PASTEL PINK:7-8:GRAPHIC:JACKET</t>
  </si>
  <si>
    <t>SWBAR242</t>
  </si>
  <si>
    <t>SWEATSHIRT BARBIE TEXTURE SWBAR242:FUSCHIA:5-6:TEXT:SWEATSHIRT</t>
  </si>
  <si>
    <t>SWEATSHIRT BARBIE TEXTURE SWBAR242:FUSCHIA:7-8:TEXT:SWEATSHIRT</t>
  </si>
  <si>
    <t>SWEATSHIRT BARBIE TEXTURE SWBAR242:FUSCHIA:9-10:TEXT:SWEATSHIRT</t>
  </si>
  <si>
    <t>SWEATSHIRT BARBIE TEXTURE SWBAR242:FUSCHIA:11-12:TEXT:SWEATSHIRT</t>
  </si>
  <si>
    <t>SWBAR242P</t>
  </si>
  <si>
    <t>SWEATSHIRT BARBIE TEXTURE SWBAR242P:PASTEL PINK:5-6:TEXT:SWEATSHIRT</t>
  </si>
  <si>
    <t>SWEATSHIRT BARBIE TEXTURE SWBAR242P:PASTEL PINK:7-8:TEXT:SWEATSHIRT</t>
  </si>
  <si>
    <t>SWEATSHIRT BARBIE TEXTURE SWBAR242P:PASTEL PINK:9-10:TEXT:SWEATSHIRT</t>
  </si>
  <si>
    <t>SWEATSHIRT BARBIE TEXTURE SWBAR242P:PASTEL PINK:11-12:TEXT:SWEATSHIRT</t>
  </si>
  <si>
    <t>JGAMIMYM</t>
  </si>
  <si>
    <t>JOGGER MY MELODY JGAMIMYM:PASTEL PINK:3-4:GRAPHIC:JOGGER</t>
  </si>
  <si>
    <t>JOGGER MY MELODY JGAMIMYM:PASTEL PINK:4-5:GRAPHIC:JOGGER</t>
  </si>
  <si>
    <t>JOGGER MY MELODY JGAMIMYM:PASTEL PINK:5-6:GRAPHIC:JOGGER</t>
  </si>
  <si>
    <t>JOGGER MY MELODY JGAMIMYM:PASTEL PINK:7-8:GRAPHIC:JOGGER</t>
  </si>
  <si>
    <t>DSDILMYM</t>
  </si>
  <si>
    <t>SS MIDI DRESS MY MELODY DSDILMYM:OFF WHITE:3-4:GRAPHIC:SS MIDI DRESS</t>
  </si>
  <si>
    <t>SS MIDI DRESS MY MELODY DSDILMYM:OFF WHITE:4-5:GRAPHIC:SS MIDI DRESS</t>
  </si>
  <si>
    <t>SS MIDI DRESS MY MELODY DSDILMYM:OFF WHITE:5-6:GRAPHIC:SS MIDI DRESS</t>
  </si>
  <si>
    <t>SS MIDI DRESS MY MELODY DSDILMYM:OFF WHITE:7-8:GRAPHIC:SS MIDI DRESS</t>
  </si>
  <si>
    <t>SSMINDO</t>
  </si>
  <si>
    <t>SS T-SHIRT TOP MINNIE DONALD MAKE YOUR SOUL HAPPY SSMINDO:PASTEL PINK:5-6:GRAPHIC:SS T-SHIRT</t>
  </si>
  <si>
    <t>SS T-SHIRT TOP MINNIE DONALD MAKE YOUR SOUL HAPPY SSMINDO:PASTEL PINK:7-8:GRAPHIC:SS T-SHIRT</t>
  </si>
  <si>
    <t>SS T-SHIRT TOP MINNIE DONALD MAKE YOUR SOUL HAPPY SSMINDO:PASTEL PINK:9-10:GRAPHIC:SS T-SHIRT</t>
  </si>
  <si>
    <t>SS T-SHIRT TOP MINNIE DONALD MAKE YOUR SOUL HAPPY SSMINDO:PASTEL PINK:11-12:GRAPHIC:SS T-SHIRT</t>
  </si>
  <si>
    <t>SSRFMAR4</t>
  </si>
  <si>
    <t>SS T-SHIRT RUFFLE MARIE SSRFMAR4:PASTEL PINK:3-4:GRAPHIC:SS T-SHIRT</t>
  </si>
  <si>
    <t>SS T-SHIRT RUFFLE MARIE SSRFMAR4:PASTEL PINK:4-5:GRAPHIC:SS T-SHIRT</t>
  </si>
  <si>
    <t>SS T-SHIRT RUFFLE MARIE SSRFMAR4:PASTEL PINK:5-6:GRAPHIC:SS T-SHIRT</t>
  </si>
  <si>
    <t>SS T-SHIRT RUFFLE MARIE SSRFMAR4:PASTEL PINK:7-8:GRAPHIC:SS T-SHIRT</t>
  </si>
  <si>
    <t>SSCSBAM5</t>
  </si>
  <si>
    <t>SS T-SHIRT CUT AND SEWN BAMBI SSCSBAM5:PASTEL PINK:3-4:GRAPHIC:SS T-SHIRT</t>
  </si>
  <si>
    <t>SS T-SHIRT CUT AND SEWN BAMBI SSCSBAM5:PASTEL PINK:4-5:GRAPHIC:SS T-SHIRT</t>
  </si>
  <si>
    <t>SS T-SHIRT CUT AND SEWN BAMBI SSCSBAM5:PASTEL PINK:5-6:GRAPHIC:SS T-SHIRT</t>
  </si>
  <si>
    <t>SS T-SHIRT CUT AND SEWN BAMBI SSCSBAM5:PASTEL PINK:7-8:GRAPHIC:SS T-SHIRT</t>
  </si>
  <si>
    <t>SS T-SHIRT PRINCESS ANIME CUT AND SEWN TSCSANPRN:ASSORTIVE COLOR:9-10:GRAPHIC:SS T-SHIRT</t>
  </si>
  <si>
    <t>TSFPLOTS</t>
  </si>
  <si>
    <t>SS T-SHIRT FP LOTSO TSFPLOTS:OFF WHITE:5-6:PRINT:SS T-SHIRT</t>
  </si>
  <si>
    <t>SS T-SHIRT FP LOTSO TSFPLOTS:OFF WHITE:7-8:PRINT:SS T-SHIRT</t>
  </si>
  <si>
    <t>SS T-SHIRT FP LOTSO TSFPLOTS:OFF WHITE:9-10:PRINT:SS T-SHIRT</t>
  </si>
  <si>
    <t>SS T-SHIRT FP LOTSO TSFPLOTS:OFF WHITE:11-12:PRINT:SS T-SHIRT</t>
  </si>
  <si>
    <t>TSLOTSO</t>
  </si>
  <si>
    <t>SS T-SHIRT LOTSO TSLOTSO:PASTEL PINK:5-6:GRAPHIC:SS T-SHIRT</t>
  </si>
  <si>
    <t>SS T-SHIRT LOTSO TSLOTSO:PASTEL PINK:7-8:GRAPHIC:SS T-SHIRT</t>
  </si>
  <si>
    <t>SS T-SHIRT LOTSO TSLOTSO:PASTEL PINK:9-10:GRAPHIC:SS T-SHIRT</t>
  </si>
  <si>
    <t>SS T-SHIRT LOTSO TSLOTSO:PASTEL PINK:11-12:GRAPHIC:SS T-SHIRT</t>
  </si>
  <si>
    <t>TSSTC01</t>
  </si>
  <si>
    <t>SS T-SHIRT STITCH JUST A PHASE TSSTC01:PASTEL BLUE:5-6:GRAPHIC:SS T-SHIRT</t>
  </si>
  <si>
    <t>SS T-SHIRT STITCH JUST A PHASE TSSTC01:PASTEL BLUE:7-8:GRAPHIC:SS T-SHIRT</t>
  </si>
  <si>
    <t>SS T-SHIRT STITCH JUST A PHASE TSSTC01:PASTEL BLUE:9-10:GRAPHIC:SS T-SHIRT</t>
  </si>
  <si>
    <t>SS T-SHIRT STITCH JUST A PHASE TSSTC01:PASTEL BLUE:11-12:GRAPHIC:SS T-SHIRT</t>
  </si>
  <si>
    <t>TSSTC05</t>
  </si>
  <si>
    <t>SS T-SHIRT ONE OF A KIND STITCH TSSTC05:PASTEL PINK:5-6:GRAPHIC:SS T-SHIRT</t>
  </si>
  <si>
    <t>SS T-SHIRT ONE OF A KIND STITCH TSSTC05:PASTEL PINK:7-8:GRAPHIC:SS T-SHIRT</t>
  </si>
  <si>
    <t>SS T-SHIRT ONE OF A KIND STITCH TSSTC05:PASTEL PINK:9-10:GRAPHIC:SS T-SHIRT</t>
  </si>
  <si>
    <t>SS T-SHIRT ONE OF A KIND STITCH TSSTC05:PASTEL PINK:11-12:GRAPHIC:SS T-SHIRT</t>
  </si>
  <si>
    <t>JKMINDO</t>
  </si>
  <si>
    <t>JACKET KOMBI FP MINNIE DAISY JKMINDO:PASTEL PINK:5-6:GRAPHIC:JACKET</t>
  </si>
  <si>
    <t>JACKET KOMBI FP MINNIE DAISY JKMINDO:PASTEL PINK:7-8:GRAPHIC:JACKET</t>
  </si>
  <si>
    <t>JACKET KOMBI FP MINNIE DAISY JKMINDO:PASTEL PINK:9-10:GRAPHIC:JACKET</t>
  </si>
  <si>
    <t>JACKET KOMBI FP MINNIE DAISY JKMINDO:PASTEL PINK:11-12:GRAPHIC:JACKET</t>
  </si>
  <si>
    <t>SWLOTSO</t>
  </si>
  <si>
    <t>SWEATSHIRT HOODIE LOTSO SWLOTSO:PASTEL PINK:5-6:GRAPHIC:SWEATSHIRT</t>
  </si>
  <si>
    <t>SWEATSHIRT HOODIE LOTSO SWLOTSO:PASTEL PINK:7-8:GRAPHIC:SWEATSHIRT</t>
  </si>
  <si>
    <t>SWEATSHIRT HOODIE LOTSO SWLOTSO:PASTEL PINK:9-10:GRAPHIC:SWEATSHIRT</t>
  </si>
  <si>
    <t>SWEATSHIRT HOODIE LOTSO SWLOTSO:PASTEL PINK:11-12:GRAPHIC:SWEATSHIRT</t>
  </si>
  <si>
    <t>SKBAM4</t>
  </si>
  <si>
    <t>MINI SKIRT SKORT MARIE AND BAMBI SKBAM4:PASTEL PINK:3-4:GRAPHIC:MINI SKIRT</t>
  </si>
  <si>
    <t>MINI SKIRT SKORT MARIE AND BAMBI SKBAM4:PASTEL PINK:4-5:GRAPHIC:MINI SKIRT</t>
  </si>
  <si>
    <t>MINI SKIRT SKORT MARIE AND BAMBI SKBAM4:PASTEL PINK:5-6:GRAPHIC:MINI SKIRT</t>
  </si>
  <si>
    <t>MINI SKIRT SKORT MARIE AND BAMBI SKBAM4:PASTEL PINK:7-8:GRAPHIC:MINI SKIRT</t>
  </si>
  <si>
    <t>DSKMINDO</t>
  </si>
  <si>
    <t>SS MIDI DRESS MINNIE DAISY KERAH KOMBI KANTONG KOTAK DSKMINDO:PASTEL PURPLE:5-6:GRAPHIC:SS MIDI DRES</t>
  </si>
  <si>
    <t>SS MIDI DRESS MINNIE DAISY KERAH KOMBI KANTONG KOTAK DSKMINDO:PASTEL PURPLE:7-8:GRAPHIC:SS MIDI DRES</t>
  </si>
  <si>
    <t>SS MIDI DRESS MINNIE DAISY KERAH KOMBI KANTONG KOTAK DSKMINDO:PASTEL PURPLE:9-10:GRAPHIC:SS MIDI DRE</t>
  </si>
  <si>
    <t>SS MIDI DRESS MINNIE DAISY KERAH KOMBI KANTONG KOTAK DSKMINDO:PASTEL PURPLE:11-12:GRAPHIC:SS MIDI DR</t>
  </si>
  <si>
    <t>DSHMINDO</t>
  </si>
  <si>
    <t>SS MIDI DRESS HOODIE MINNIE DAISY DSHMINDO:PASTEL PINK:3-4:GRAPHIC:SS MIDI DRESS</t>
  </si>
  <si>
    <t>SS MIDI DRESS HOODIE MINNIE DAISY DSHMINDO:PASTEL PINK:4-5:GRAPHIC:SS MIDI DRESS</t>
  </si>
  <si>
    <t>SS MIDI DRESS HOODIE MINNIE DAISY DSHMINDO:PASTEL PINK:5-6:GRAPHIC:SS MIDI DRESS</t>
  </si>
  <si>
    <t>SS MIDI DRESS HOODIE MINNIE DAISY DSHMINDO:PASTEL PINK:7-8:GRAPHIC:SS MIDI DRESS</t>
  </si>
  <si>
    <t>DSHLOTS</t>
  </si>
  <si>
    <t>SS MIDI DRESS LOTSO KTG CARGO DSHLOTS:PASTEL PINK:5-6:GRAPHIC:SS MIDI DRESS</t>
  </si>
  <si>
    <t>SS MIDI DRESS LOTSO KTG CARGO DSHLOTS:PASTEL PINK:7-8:GRAPHIC:SS MIDI DRESS</t>
  </si>
  <si>
    <t>SS MIDI DRESS LOTSO KTG CARGO DSHLOTS:PASTEL PINK:9-10:GRAPHIC:SS MIDI DRESS</t>
  </si>
  <si>
    <t>SS MIDI DRESS LOTSO KTG CARGO DSHLOTS:PASTEL PINK:11-12:GRAPHIC:SS MIDI DRESS</t>
  </si>
  <si>
    <t>DSSPBAM4</t>
  </si>
  <si>
    <t>SS MIDI DRESS SLING POCKET BAMBI DSSPBAM4:PASTEL PINK:3-4:GRAPHIC:SS MIDI DRESS</t>
  </si>
  <si>
    <t>SS MIDI DRESS SLING POCKET BAMBI DSSPBAM4:PASTEL PINK:4-5:GRAPHIC:SS MIDI DRESS</t>
  </si>
  <si>
    <t>SS MIDI DRESS SLING POCKET BAMBI DSSPBAM4:PASTEL PINK:5-6:GRAPHIC:SS MIDI DRESS</t>
  </si>
  <si>
    <t>SS MIDI DRESS SLING POCKET BAMBI DSSPBAM4:PASTEL PINK:7-8:GRAPHIC:SS MIDI DRESS</t>
  </si>
  <si>
    <t>DSOMAR4</t>
  </si>
  <si>
    <t>SS MIDI DRESS OVL MARIE DSOMAR4:PASTEL PINK:3-4:GRAPHIC:SS MIDI DRESS</t>
  </si>
  <si>
    <t>SS MIDI DRESS OVL MARIE DSOMAR4:PASTEL PINK:4-5:GRAPHIC:SS MIDI DRESS</t>
  </si>
  <si>
    <t>SS MIDI DRESS OVL MARIE DSOMAR4:PASTEL PINK:5-6:GRAPHIC:SS MIDI DRESS</t>
  </si>
  <si>
    <t>SS MIDI DRESS OVL MARIE DSOMAR4:PASTEL PINK:7-8:GRAPHIC:SS MIDI DRESS</t>
  </si>
  <si>
    <t>DSIKMAR</t>
  </si>
  <si>
    <t>SS MIDI DRESS MARIE IKAT DEPAN DSIKMAR:PASTEL BLUE:5-6:STRIPES:SS MIDI DRESS</t>
  </si>
  <si>
    <t>SS MIDI DRESS MARIE IKAT DEPAN DSIKMAR:PASTEL BLUE:7-8:STRIPES:SS MIDI DRESS</t>
  </si>
  <si>
    <t>SS MIDI DRESS MARIE IKAT DEPAN DSIKMAR:PASTEL BLUE:9-10:STRIPES:SS MIDI DRESS</t>
  </si>
  <si>
    <t>SS MIDI DRESS MARIE IKAT DEPAN DSIKMAR:PASTEL BLUE:11-12:STRIPES:SS MIDI DRESS</t>
  </si>
  <si>
    <t>SS MIDI DRESS WOVEN FULL PRINT FLOWER MINNIE TUMPUK DSFPBMIN:OFF WHITE:7-8:PRINT:SS MIDI DRESS</t>
  </si>
  <si>
    <t>DSFPBMIN2</t>
  </si>
  <si>
    <t>SS MIDI DRESS WOVEN FULL PRINT FLOWER MINNIE KATUN TWILL DSFPBMIN2:PASTEL PINK:3-4:PRINT:SS MIDI DRE</t>
  </si>
  <si>
    <t>SS MIDI DRESS WOVEN FULL PRINT FLOWER MINNIE KATUN TWILL DSFPBMIN2:PASTEL PINK:4-5:PRINT:SS MIDI DRE</t>
  </si>
  <si>
    <t>SS MIDI DRESS WOVEN FULL PRINT FLOWER MINNIE KATUN TWILL DSFPBMIN2:PASTEL PINK:5-6:PRINT:SS MIDI DRE</t>
  </si>
  <si>
    <t>SS MIDI DRESS WOVEN FULL PRINT FLOWER MINNIE KATUN TWILL DSFPBMIN2:PASTEL PINK:7-8:PRINT:SS MIDI DRE</t>
  </si>
  <si>
    <t>SETFRPOO</t>
  </si>
  <si>
    <t>ONE SET SS FRESH POOH SETFRPOO:PASTEL PINK:6-12:GRAPHIC:TOP - BOTTOM SET</t>
  </si>
  <si>
    <t>ONE SET SS FRESH POOH SETFRPOO:PASTEL PINK:12-18:GRAPHIC:TOP - BOTTOM SET</t>
  </si>
  <si>
    <t>ONE SET SS FRESH POOH SETFRPOO:PASTEL PINK:18-24:GRAPHIC:TOP - BOTTOM SET</t>
  </si>
  <si>
    <t>ONE SET SS FRESH POOH SETFRPOO:PASTEL PINK:24-36:GRAPHIC:TOP - BOTTOM SET</t>
  </si>
  <si>
    <t>SETBAMI2</t>
  </si>
  <si>
    <t>ONE SET GIRLS BAMBI SETBAMI2:PASTEL YELLOW:24-36:GRAPHIC:TOP - BOTTOM SET</t>
  </si>
  <si>
    <t>ONE SET GIRLS BAMBI SETBAMI2:PASTEL YELLOW:6-12:PRINT:TOP - BOTTOM SET</t>
  </si>
  <si>
    <t>ONE SET GIRLS BAMBI SETBAMI2:PASTEL YELLOW:12-18:PRINT:TOP - BOTTOM SET</t>
  </si>
  <si>
    <t>ONE SET GIRLS BAMBI SETBAMI2:PASTEL YELLOW:18-24:PRINT:TOP - BOTTOM SET</t>
  </si>
  <si>
    <t>SETFLMAR</t>
  </si>
  <si>
    <t>ONE SET MARIE FLOWER SETFLMAR:PASTEL PINK:6-12:GRAPHIC:TOP - BOTTOM SET</t>
  </si>
  <si>
    <t>ONE SET MARIE FLOWER SETFLMAR:PASTEL PINK:12-18:GRAPHIC:TOP - BOTTOM SET</t>
  </si>
  <si>
    <t>ONE SET MARIE FLOWER SETFLMAR:PASTEL PINK:18-24:GRAPHIC:TOP - BOTTOM SET</t>
  </si>
  <si>
    <t>ONE SET MARIE FLOWER SETFLMAR:PASTEL PINK:24-36:GRAPHIC:TOP - BOTTOM SET</t>
  </si>
  <si>
    <t>SETPPMIN</t>
  </si>
  <si>
    <t>ONE SET PEPLUM MINNIE SETPPMIN:PASTEL PINK:6-12:GRAPHIC:TOP - BOTTOM SET</t>
  </si>
  <si>
    <t>ONE SET PEPLUM MINNIE SETPPMIN:PASTEL PINK:12-18:GRAPHIC:TOP - BOTTOM SET</t>
  </si>
  <si>
    <t>ONE SET PEPLUM MINNIE SETPPMIN:PASTEL PINK:18-24:GRAPHIC:TOP - BOTTOM SET</t>
  </si>
  <si>
    <t>ONE SET PEPLUM MINNIE SETPPMIN:PASTEL PINK:24-36:GRAPHIC:TOP - BOTTOM SET</t>
  </si>
  <si>
    <t>SETLCMIN</t>
  </si>
  <si>
    <t>ONE SET LACE MINNIE SETLCMIN:OFF WHITE:6-12:GRAPHIC:TOP - BOTTOM SET</t>
  </si>
  <si>
    <t>ONE SET LACE MINNIE SETLCMIN:OFF WHITE:12-18:GRAPHIC:TOP - BOTTOM SET</t>
  </si>
  <si>
    <t>ONE SET LACE MINNIE SETLCMIN:OFF WHITE:18-24:GRAPHIC:TOP - BOTTOM SET</t>
  </si>
  <si>
    <t>ONE SET LACE MINNIE SETLCMIN:OFF WHITE:24-36:GRAPHIC:TOP - BOTTOM SET</t>
  </si>
  <si>
    <t>SETSIM</t>
  </si>
  <si>
    <t>TOP - BOTTOM SET SIMBA 66020100 SETSIM:PASTEL BLUE:6-12:PRINT:TOP - BOTTOM SET</t>
  </si>
  <si>
    <t>TOP - BOTTOM SET SIMBA 66020100 SETSIM:PASTEL BLUE:12-18:PRINT:TOP - BOTTOM SET</t>
  </si>
  <si>
    <t>TOP - BOTTOM SET SIMBA 66020100 SETSIM:PASTEL BLUE:18-24:PRINT:TOP - BOTTOM SET</t>
  </si>
  <si>
    <t>TOP - BOTTOM SET SIMBA 66020100 SETSIM:PASTEL BLUE:24-36:PRINT:TOP - BOTTOM SET</t>
  </si>
  <si>
    <t>DSFRPOO</t>
  </si>
  <si>
    <t>SS MIDI DRESS SS FRESH POOH DSFRPOO:PASTEL PINK:6-12:GRAPHIC:SS MIDI DRESS</t>
  </si>
  <si>
    <t>SS MIDI DRESS SS FRESH POOH DSFRPOO:PASTEL PINK:12-18:GRAPHIC:SS MIDI DRESS</t>
  </si>
  <si>
    <t>SS MIDI DRESS SS FRESH POOH DSFRPOO:PASTEL PINK:18-24:GRAPHIC:SS MIDI DRESS</t>
  </si>
  <si>
    <t>SS MIDI DRESS SS FRESH POOH DSFRPOO:PASTEL PINK:24-36:GRAPHIC:SS MIDI DRESS</t>
  </si>
  <si>
    <t>DSORFBAM</t>
  </si>
  <si>
    <t>SS MIDI DRESS OVERALL SS BAMBI DSORFBAM:PASTEL PINK:6-12:GRAPHIC:SS MIDI DRESS</t>
  </si>
  <si>
    <t>SS MIDI DRESS OVERALL SS BAMBI DSORFBAM:PASTEL PINK:12-18:GRAPHIC:SS MIDI DRESS</t>
  </si>
  <si>
    <t>SS MIDI DRESS OVERALL SS BAMBI DSORFBAM:PASTEL PINK:18-24:GRAPHIC:SS MIDI DRESS</t>
  </si>
  <si>
    <t>SS MIDI DRESS OVERALL SS BAMBI DSORFBAM:PASTEL PINK:24-36:GRAPHIC:SS MIDI DRESS</t>
  </si>
  <si>
    <t>OVLBAMI</t>
  </si>
  <si>
    <t>OVERALL SS BAMBI OVLBAMI:PASTEL YELLOW:6-12:PRINT:SHORT JUMPSUIT</t>
  </si>
  <si>
    <t>OVERALL SS BAMBI OVLBAMI:PASTEL YELLOW:12-18:PRINT:SHORT JUMPSUIT</t>
  </si>
  <si>
    <t>OVERALL SS BAMBI OVLBAMI:PASTEL YELLOW:18-24:PRINT:SHORT JUMPSUIT</t>
  </si>
  <si>
    <t>OVERALL SS BAMBI OVLBAMI:PASTEL YELLOW:24-36:PRINT:SHORT JUMPSUIT</t>
  </si>
  <si>
    <t>KKMMSIM1</t>
  </si>
  <si>
    <t>SOCKS KKB SIMBA LION KING  KKMMSIM1:CLASSIC ORANGE:14-16:PRINT:SOCKS</t>
  </si>
  <si>
    <t>KKELSAFZ2</t>
  </si>
  <si>
    <t>SOCKS ELSA FROZEN 68060304FZA KKELSAFZ2:PASTEL BLUE:18-20:PRINT:SOCKS</t>
  </si>
  <si>
    <t>KKMICST</t>
  </si>
  <si>
    <t>SOCKS MICKEY 5 STRIPE  KKMICST:BLACK:14-16:PRINT:SOCKS</t>
  </si>
  <si>
    <t>SOCKS MICKEY 5 STRIPE  KKMICST:BLACK:18-20:PRINT:SOCKS</t>
  </si>
  <si>
    <t>KKMMMIC</t>
  </si>
  <si>
    <t>SOCKS KKB MICKEY KKMMMIC:PASTEL BLUE:14-16:PRINT:SOCKS</t>
  </si>
  <si>
    <t>KKDON</t>
  </si>
  <si>
    <t>SOCKS KKB DONALD DUCK KKDON:OFF WHITE:14-16:GRAPHIC:SOCKS</t>
  </si>
  <si>
    <t>SOCKS KKB DONALD DUCK KKDON:OFF WHITE:18-20:GRAPHIC:SOCKS</t>
  </si>
  <si>
    <t>KKMMDON</t>
  </si>
  <si>
    <t>SOCKS KKB DONALD DUCK KKMMDON:PASTEL BLUE:14-16:GRAPHIC:SOCKS</t>
  </si>
  <si>
    <t>SOCKS KKB DONALD DUCK KKMMDON:PASTEL BLUE:18-20:GRAPHIC:SOCKS</t>
  </si>
  <si>
    <t>SWSLMAR</t>
  </si>
  <si>
    <t>LS PYJAMA PANTS LSLP MARIE 66040300MAR SWSLMAR:PASTEL PINK:8:PRINT:LS PYJAMA PANTS</t>
  </si>
  <si>
    <t>LS PYJAMA PANTS LSLP MARIE 66040300MAR SWSLMAR:PASTEL PINK:10:PRINT:LS PYJAMA PANTS</t>
  </si>
  <si>
    <t>LS PYJAMA PANTS LSLP MARIE 66040300MAR SWSLMAR:PASTEL PINK:12:PRINT:LS PYJAMA PANTS</t>
  </si>
  <si>
    <t>LS PYJAMA PANTS LSLP MARIE 66040300MAR SWSLMAR:PASTEL PINK:14:PRINT:LS PYJAMA PANTS</t>
  </si>
  <si>
    <t>SWREX3</t>
  </si>
  <si>
    <t>LS PYJAMA PANTS LSLP REX SWREX3:MISTY MEDIUM GREY:8:PRINT:LS PYJAMA PANTS</t>
  </si>
  <si>
    <t>LS PYJAMA PANTS LSLP REX SWREX3:MISTY MEDIUM GREY:10:PRINT:LS PYJAMA PANTS</t>
  </si>
  <si>
    <t>LS PYJAMA PANTS LSLP REX SWREX3:MISTY MEDIUM GREY:14:PRINT:LS PYJAMA PANTS</t>
  </si>
  <si>
    <t>ONE SET LSLP LOTSO SWLOTSO:PASTEL PINK:8:GRAPHIC:LS PYJAMA PANTS</t>
  </si>
  <si>
    <t>ONE SET LSLP LOTSO SWLOTSO:PASTEL PINK:10:GRAPHIC:LS PYJAMA PANTS</t>
  </si>
  <si>
    <t>ONE SET LSLP LOTSO SWLOTSO:PASTEL PINK:12:GRAPHIC:LS PYJAMA PANTS</t>
  </si>
  <si>
    <t>ONE SET LSLP LOTSO SWLOTSO:PASTEL PINK:14:GRAPHIC:LS PYJAMA PANTS</t>
  </si>
  <si>
    <t>SWFPLOTS</t>
  </si>
  <si>
    <t>LS PYJAMA PANTS LSLP FP LOTSO SWFPLOTS:PASTEL PINK:8:PRINT:LS PYJAMA PANTS</t>
  </si>
  <si>
    <t>LS PYJAMA PANTS LSLP FP LOTSO SWFPLOTS:PASTEL PINK:10:PRINT:LS PYJAMA PANTS</t>
  </si>
  <si>
    <t>LS PYJAMA PANTS LSLP FP LOTSO SWFPLOTS:PASTEL PINK:12:PRINT:LS PYJAMA PANTS</t>
  </si>
  <si>
    <t>LS PYJAMA PANTS LSLP FP LOTSO SWFPLOTS:PASTEL PINK:14:PRINT:LS PYJAMA PANTS</t>
  </si>
  <si>
    <t>MP3HERO</t>
  </si>
  <si>
    <t>BRIEF MP UW MARVEL HEROES MP3HERO:ASSORTIVE COLOR:S:PRINT:TRUNK</t>
  </si>
  <si>
    <t>BRIEF MP UW MARVEL HEROES MP3HERO:ASSORTIVE COLOR:L:PRINT:TRUNK</t>
  </si>
  <si>
    <t>BRIEF MP UW MARVEL HEROES MP3HERO:ASSORTIVE COLOR:XL:PRINT:TRUNK</t>
  </si>
  <si>
    <t>KKCAP241</t>
  </si>
  <si>
    <t>SOCKS KK LOGO CAPTAIN AMERICA KKCAP241:OFF WHITE:14-16:PRINT:SOCKS</t>
  </si>
  <si>
    <t>KKCAP242</t>
  </si>
  <si>
    <t>SOCKS KK CAPTAIN AMERICA FACE KKCAP242:CLASSIC BLUE:14-16:PRINT:SOCKS</t>
  </si>
  <si>
    <t>KKFP2IRN</t>
  </si>
  <si>
    <t>SOCKS KKB FP IRON MAN KKFP2IRN:BLACK:18-20:PRINT:SOCKS</t>
  </si>
  <si>
    <t>KKWHAM</t>
  </si>
  <si>
    <t>SOCKS KKB SPIDERMAN WHAM KKWHAM:PASTEL GREY:18-20:PRINT:SOCKS</t>
  </si>
  <si>
    <t>KKFPLABA</t>
  </si>
  <si>
    <t>SOCKS KKB FP SPIDERMAN JARING KKFPLABA:BLACK:18-20:PRINT:SOCKS</t>
  </si>
  <si>
    <t>KKFP3CAPT</t>
  </si>
  <si>
    <t>SOCKS KKB FP MARVEL KKFP3CAPT:BLACK:14-16:PRINT:SOCKS</t>
  </si>
  <si>
    <t>SOCKS KKB FP MARVEL KKFP3CAPT:BLACK:18-20:PRINT:SOCKS</t>
  </si>
  <si>
    <t>KKFP1SPD</t>
  </si>
  <si>
    <t>SOCKS KKB FP SPIDERMAN KKFP1SPD:CLASSIC BLUE:14-16:PRINT:SOCKS</t>
  </si>
  <si>
    <t>SOCKS KKB FP SPIDERMAN KKFP1SPD:CLASSIC BLUE:18-20:PRINT:SOCKS</t>
  </si>
  <si>
    <t>M3DWB01</t>
  </si>
  <si>
    <t>BRIEF CD PACK OF 3 SPIDERMAN 66040200 M3DWB01:ASSORTIVE COLOR:S:PRINT:TRUNK</t>
  </si>
  <si>
    <t>BRIEF CD PACK OF 3 SPIDERMAN 66040200 M3DWB01:ASSORTIVE COLOR:L:PRINT:TRUNK</t>
  </si>
  <si>
    <t>M3DWB03</t>
  </si>
  <si>
    <t>BRIEF CD PACK OF 3 SPIDERMAN 66040200 M3DWB03:ASSORTIVE COLOR:S:PRINT:TRUNK</t>
  </si>
  <si>
    <t>BRIEF CD PACK OF 3 SPIDERMAN 66040200 M3DWB03:ASSORTIVE COLOR:M:PRINT:TRUNK</t>
  </si>
  <si>
    <t>BRIEF CD PACK OF 3 SPIDERMAN 66040200 M3DWB03:ASSORTIVE COLOR:L:PRINT:TRUNK</t>
  </si>
  <si>
    <t>M3UNDW04</t>
  </si>
  <si>
    <t>BRIEF PACK OF 3 SPIDEY FRIENDLY NEIGHBORHOOD M3UNDW04:ASSORTIVE COLOR:S:PRINT:TRUNK</t>
  </si>
  <si>
    <t>BRIEF PACK OF 3 SPIDEY FRIENDLY NEIGHBORHOOD M3UNDW04:ASSORTIVE COLOR:M:PRINT:TRUNK</t>
  </si>
  <si>
    <t>BRIEF PACK OF 3 SPIDEY FRIENDLY NEIGHBORHOOD M3UNDW04:ASSORTIVE COLOR:L:PRINT:TRUNK</t>
  </si>
  <si>
    <t>BRIEF PACK OF 3 SPIDEY FRIENDLY NEIGHBORHOOD M3UNDW04:ASSORTIVE COLOR:XL:PRINT:TRUNK</t>
  </si>
  <si>
    <t>MP3SNMIN</t>
  </si>
  <si>
    <t>BRIEF PACK OF 3 UW MINNIE STARRY NIGHTS MP3SNMIN:ASSORTIVE COLOR:S:PRINT:TRUNK</t>
  </si>
  <si>
    <t>BRIEF PACK OF 3 UW MINNIE STARRY NIGHTS MP3SNMIN:ASSORTIVE COLOR:M:PRINT:TRUNK</t>
  </si>
  <si>
    <t>BRIEF PACK OF 3 UW MINNIE STARRY NIGHTS MP3SNMIN:ASSORTIVE COLOR:L:PRINT:TRUNK</t>
  </si>
  <si>
    <t>BRIEF PACK OF 3 UW MINNIE STARRY NIGHTS MP3SNMIN:ASSORTIVE COLOR:XL:PRINT:TRUNK</t>
  </si>
  <si>
    <t>MP3AWMIN</t>
  </si>
  <si>
    <t>BRIEF PACK OF 3 UW MINNIE AWESOME MP3AWMIN:ASSORTIVE COLOR:S:PRINT:TRUNK</t>
  </si>
  <si>
    <t>BRIEF PACK OF 3 UW MINNIE AWESOME MP3AWMIN:ASSORTIVE COLOR:M:PRINT:TRUNK</t>
  </si>
  <si>
    <t>BRIEF PACK OF 3 UW MINNIE AWESOME MP3AWMIN:ASSORTIVE COLOR:L:PRINT:TRUNK</t>
  </si>
  <si>
    <t>BRIEF PACK OF 3 UW MINNIE AWESOME MP3AWMIN:ASSORTIVE COLOR:XL:PRINT:TRUNK</t>
  </si>
  <si>
    <t>MP3BAMRP</t>
  </si>
  <si>
    <t>BRIEF PACK OF 3 UW BAMBI MP3BAMRP:ASSORTIVE COLOR:S:PRINT:TRUNK</t>
  </si>
  <si>
    <t>BRIEF PACK OF 3 UW BAMBI MP3BAMRP:ASSORTIVE COLOR:M:PRINT:TRUNK</t>
  </si>
  <si>
    <t>BRIEF PACK OF 3 UW BAMBI MP3BAMRP:ASSORTIVE COLOR:L:PRINT:TRUNK</t>
  </si>
  <si>
    <t>BRIEF PACK OF 3 UW BAMBI MP3BAMRP:ASSORTIVE COLOR:XL:PRINT:TRUNK</t>
  </si>
  <si>
    <t>MP3PRN241</t>
  </si>
  <si>
    <t>BRIEF MULTIPACK UW PRINCESS MP3PRN241:ASSORTIVE COLOR:S:PRINT:TRUNK</t>
  </si>
  <si>
    <t>BRIEF MULTIPACK UW PRINCESS MP3PRN241:ASSORTIVE COLOR:M:PRINT:TRUNK</t>
  </si>
  <si>
    <t>BRIEF MULTIPACK UW PRINCESS MP3PRN241:ASSORTIVE COLOR:L:PRINT:TRUNK</t>
  </si>
  <si>
    <t>BRIEF MULTIPACK UW PRINCESS MP3PRN241:ASSORTIVE COLOR:XL:PRINT:TRUNK</t>
  </si>
  <si>
    <t>MP3FZ241</t>
  </si>
  <si>
    <t>BRIEF MULTIPACK UW FROZEN MP3FZ241:ASSORTIVE COLOR:S:PRINT:TRUNK</t>
  </si>
  <si>
    <t>BRIEF MULTIPACK UW FROZEN MP3FZ241:ASSORTIVE COLOR:M:PRINT:TRUNK</t>
  </si>
  <si>
    <t>BRIEF MULTIPACK UW FROZEN MP3FZ241:ASSORTIVE COLOR:L:PRINT:TRUNK</t>
  </si>
  <si>
    <t>BRIEF MULTIPACK UW FROZEN MP3FZ241:ASSORTIVE COLOR:XL:PRINT:TRUNK</t>
  </si>
  <si>
    <t>MP3MIN241</t>
  </si>
  <si>
    <t>BRIEF MULTIPACK UW MINNIE MP3MIN241:ASSORTIVE COLOR:S:PRINT:TRUNK</t>
  </si>
  <si>
    <t>BRIEF MULTIPACK UW MINNIE MP3MIN241:ASSORTIVE COLOR:M:PRINT:TRUNK</t>
  </si>
  <si>
    <t>BRIEF MULTIPACK UW MINNIE MP3MIN241:ASSORTIVE COLOR:L:PRINT:TRUNK</t>
  </si>
  <si>
    <t>BRIEF MULTIPACK UW MINNIE MP3MIN241:ASSORTIVE COLOR:XL:PRINT:TRUNK</t>
  </si>
  <si>
    <t>MP3AVG</t>
  </si>
  <si>
    <t>PACK OF 3 UW AVENGERS MP3AVG:ASSORTIVE COLOR:S:PRINT:TRUNK</t>
  </si>
  <si>
    <t>PACK OF 3 UW AVENGERS MP3AVG:ASSORTIVE COLOR:M:PRINT:TRUNK</t>
  </si>
  <si>
    <t>PACK OF 3 UW AVENGERS MP3AVG:ASSORTIVE COLOR:L:PRINT:TRUNK</t>
  </si>
  <si>
    <t>PACK OF 3 UW AVENGERS MP3AVG:ASSORTIVE COLOR:XL:PRINT:TRUNK</t>
  </si>
  <si>
    <t>MP3SPD41</t>
  </si>
  <si>
    <t>BRIEF PACK OF 3 UW SPIDERMAN MP3SPD41:ASSORTIVE COLOR:S:PRINT:TRUNK</t>
  </si>
  <si>
    <t>BRIEF PACK OF 3 UW SPIDERMAN MP3SPD41:ASSORTIVE COLOR:M:PRINT:TRUNK</t>
  </si>
  <si>
    <t>BRIEF PACK OF 3 UW SPIDERMAN MP3SPD41:ASSORTIVE COLOR:L:PRINT:TRUNK</t>
  </si>
  <si>
    <t>BRIEF PACK OF 3 UW SPIDERMAN MP3SPD41:ASSORTIVE COLOR:XL:PRINT:TRUNK</t>
  </si>
  <si>
    <t>MP3AVSPD</t>
  </si>
  <si>
    <t>BRIEF MP UW AMERICAN VINTAGE SPIDERMAN MP3AVSPD:ASSORTIVE COLOR:S:PRINT:TRUNK</t>
  </si>
  <si>
    <t>BRIEF MP UW AMERICAN VINTAGE SPIDERMAN MP3AVSPD:ASSORTIVE COLOR:M:PRINT:TRUNK</t>
  </si>
  <si>
    <t>BRIEF MP UW AMERICAN VINTAGE SPIDERMAN MP3AVSPD:ASSORTIVE COLOR:L:PRINT:TRUNK</t>
  </si>
  <si>
    <t>BRIEF MP UW AMERICAN VINTAGE SPIDERMAN MP3AVSPD:ASSORTIVE COLOR:XL:PRINT:TRUNK</t>
  </si>
  <si>
    <t>MP3SPDCF</t>
  </si>
  <si>
    <t>BRIEF PACK OF 3 UW SPIDERMAN CRIME FIGHTER MP3SPDCF:ASSORTIVE COLOR:S:PRINT:TRUNK</t>
  </si>
  <si>
    <t>BRIEF PACK OF 3 UW SPIDERMAN CRIME FIGHTER MP3SPDCF:ASSORTIVE COLOR:M:PRINT:TRUNK</t>
  </si>
  <si>
    <t>BRIEF PACK OF 3 UW SPIDERMAN CRIME FIGHTER MP3SPDCF:ASSORTIVE COLOR:L:PRINT:TRUNK</t>
  </si>
  <si>
    <t>BRIEF PACK OF 3 UW SPIDERMAN CRIME FIGHTER MP3SPDCF:ASSORTIVE COLOR:XL:PRINT:TRUNK</t>
  </si>
  <si>
    <t>MP3SPY03</t>
  </si>
  <si>
    <t>CD PACK OF 3 SPIDERSENSE 66040200 MP3SPY03:ASSORTIVE COLOR:S:PRINT:PUSH UP REGULAR BRA</t>
  </si>
  <si>
    <t>CD PACK OF 3 SPIDERSENSE 66040200 MP3SPY03:ASSORTIVE COLOR:M:PRINT:PUSH UP REGULAR BRA</t>
  </si>
  <si>
    <t>CD PACK OF 3 SPIDERSENSE 66040200 MP3SPY03:ASSORTIVE COLOR:L:PRINT:PUSH UP REGULAR BRA</t>
  </si>
  <si>
    <t>CD PACK OF 3 SPIDERSENSE 66040200 MP3SPY03:ASSORTIVE COLOR:XL:PRINT:PUSH UP REGULAR BRA</t>
  </si>
  <si>
    <t>MP3DW07</t>
  </si>
  <si>
    <t>CD PACK OF 3 MARVEL 66040200 MP3DW07:ASSORTIVE COLOR:S:PRINT:PUSH UP REGULAR BRA</t>
  </si>
  <si>
    <t>CD PACK OF 3 MARVEL 66040200 MP3DW07:ASSORTIVE COLOR:M:PRINT:PUSH UP REGULAR BRA</t>
  </si>
  <si>
    <t>CD PACK OF 3 MARVEL 66040200 MP3DW07:ASSORTIVE COLOR:L:PRINT:PUSH UP REGULAR BRA</t>
  </si>
  <si>
    <t>CD PACK OF 3 MARVEL 66040200 MP3DW07:ASSORTIVE COLOR:XL:PRINT:PUSH UP REGULAR BRA</t>
  </si>
  <si>
    <t>SS T-SHIRT TOP KOTAK MY MELODY SSKTMYM:PASTEL PINK:3-4:CHECKS:SS T-SHIRT</t>
  </si>
  <si>
    <t>SS T-SHIRT TOP KOTAK MY MELODY SSKTMYM:PASTEL PINK:4-5:CHECKS:SS T-SHIRT</t>
  </si>
  <si>
    <t>SS T-SHIRT TOP KOTAK MY MELODY SSKTMYM:PASTEL PINK:5-6:CHECKS:SS T-SHIRT</t>
  </si>
  <si>
    <t>SS T-SHIRT TOP KOTAK MY MELODY SSKTMYM:PASTEL PINK:7-8:CHECKS:SS T-SHIRT</t>
  </si>
  <si>
    <t>SS T-SHIRT MY MELODY EMBOS TSMYM03:PASTEL PINK:5-6:GRAPHIC:SS T-SHIRT</t>
  </si>
  <si>
    <t>SS T-SHIRT MY MELODY EMBOS TSMYM03:PASTEL PINK:7-8:GRAPHIC:SS T-SHIRT</t>
  </si>
  <si>
    <t>SS T-SHIRT MY MELODY EMBOS TSMYM03:PASTEL PINK:9-10:GRAPHIC:SS T-SHIRT</t>
  </si>
  <si>
    <t>SS T-SHIRT MY MELODY EMBOS TSMYM03:PASTEL PINK:11-12:GRAPHIC:SS T-SHIRT</t>
  </si>
  <si>
    <t>SS T-SHIRT MY MELODY EMBOS TSMYM04:PASTEL ORANGE:5-6:GRAPHIC:SS T-SHIRT</t>
  </si>
  <si>
    <t>SS T-SHIRT MY MELODY EMBOS TSMYM04:PASTEL ORANGE:7-8:GRAPHIC:SS T-SHIRT</t>
  </si>
  <si>
    <t>SS T-SHIRT MY MELODY EMBOS TSMYM04:PASTEL ORANGE:9-10:GRAPHIC:SS T-SHIRT</t>
  </si>
  <si>
    <t>SS T-SHIRT MY MELODY EMBOS TSMYM04:PASTEL ORANGE:11-12:GRAPHIC:SS T-SHIRT</t>
  </si>
  <si>
    <t>SS MIDI DRESS KOTAK MY MELODY DSKTMYM:PASTEL PINK:3-4:CHECKS:SS MIDI DRESS</t>
  </si>
  <si>
    <t>SS MIDI DRESS KOTAK MY MELODY DSKTMYM:PASTEL PINK:4-5:CHECKS:SS MIDI DRESS</t>
  </si>
  <si>
    <t>SS MIDI DRESS KOTAK MY MELODY DSKTMYM:PASTEL PINK:5-6:CHECKS:SS MIDI DRESS</t>
  </si>
  <si>
    <t>SS MIDI DRESS KOTAK MY MELODY DSKTMYM:PASTEL PINK:7-8:CHECKS:SS MIDI DRESS</t>
  </si>
  <si>
    <t>SSKTMYM</t>
  </si>
  <si>
    <t>TSMYM03</t>
  </si>
  <si>
    <t>TSMYM04</t>
  </si>
  <si>
    <t>DSKTMYM</t>
  </si>
  <si>
    <t>KKMMSIM3</t>
  </si>
  <si>
    <t>SOCKS KKB LION KING SIMBA KKMMSIM3:CLASSIC YELLOW:14-16:GRAPHIC:SOCKS</t>
  </si>
  <si>
    <t>SOCKS KKB LION KING SIMBA KKMMSIM3:CLASSIC YELLOW:18-20:GRAPHIC:SOCKS</t>
  </si>
  <si>
    <t>SWREX2</t>
  </si>
  <si>
    <t>TOP - BOTTOM SET LSLP REX TOYS STORY SWREX2:NAVY BLUE:8:GRAPHIC:TOP - BOTTOM SET</t>
  </si>
  <si>
    <t>TOP - BOTTOM SET LSLP REX TOYS STORY SWREX2:NAVY BLUE:10:GRAPHIC:TOP - BOTTOM SET</t>
  </si>
  <si>
    <t>TOP - BOTTOM SET LSLP REX TOYS STORY SWREX2:NAVY BLUE:12:GRAPHIC:TOP - BOTTOM SET</t>
  </si>
  <si>
    <t>TOP - BOTTOM SET LSLP REX TOYS STORY SWREX2:NAVY BLUE:14:GRAPHIC:TOP - BOTTOM SET</t>
  </si>
  <si>
    <t>M3UNDW02</t>
  </si>
  <si>
    <t>BRIEF UW PACK OF 3 CAPTAIN AMERICA M3UNDW02:ASSORTIVE COLOR:S:PRINT:TRUNK</t>
  </si>
  <si>
    <t>BRIEF UW PACK OF 3 CAPTAIN AMERICA M3UNDW02:ASSORTIVE COLOR:M:PRINT:TRUNK</t>
  </si>
  <si>
    <t>BRIEF UW PACK OF 3 CAPTAIN AMERICA M3UNDW02:ASSORTIVE COLOR:L:PRINT:TRUNK</t>
  </si>
  <si>
    <t>BRIEF UW PACK OF 3 CAPTAIN AMERICA M3UNDW02:ASSORTIVE COLOR:XL:PRINT:TRUNK</t>
  </si>
  <si>
    <t>KKCAP24</t>
  </si>
  <si>
    <t>SOCKS KKB AVENGERS MUKA KKCAP24:PASTEL BLUE:14-16:GRAPHIC:SOCKS</t>
  </si>
  <si>
    <t>SOCKS KKB AVENGERS MUKA KKCAP24:PASTEL BLUE:18-20:GRAPHIC:SOCKS</t>
  </si>
  <si>
    <t>KKAVGLG</t>
  </si>
  <si>
    <t>SOCKS KKB AVENGERS LOGO KKAVGLG:OFF WHITE:14-16:GRAPHIC:SOCKS</t>
  </si>
  <si>
    <t>SOCKS KKB AVENGERS LOGO KKAVGLG:OFF WHITE:18-20:GRAPHIC:SOCKS</t>
  </si>
  <si>
    <t>DSTJCN</t>
  </si>
  <si>
    <t>SS MIDI DRESS KRH CINNAMOROLL KB WVN DSTJCN:OFF WHITE:3-4:GRAPHIC:SS MIDI DRESS</t>
  </si>
  <si>
    <t>SS MIDI DRESS KRH CINNAMOROLL KB WVN DSTJCN:OFF WHITE:4-5:GRAPHIC:SS MIDI DRESS</t>
  </si>
  <si>
    <t>SS MIDI DRESS KRH CINNAMOROLL KB WVN DSTJCN:OFF WHITE:5-6:GRAPHIC:SS MIDI DRESS</t>
  </si>
  <si>
    <t>SS MIDI DRESS KRH CINNAMOROLL KB WVN DSTJCN:OFF WHITE:7-8:GRAPHIC:SS MIDI DRESS</t>
  </si>
  <si>
    <t>SS MIDI DRESS KRH CINNAMOROLL KB WVN DSTJCN:OFF WHITE:9-10:GRAPHIC:SS MIDI DRESS</t>
  </si>
  <si>
    <t>DSCKTMAR</t>
  </si>
  <si>
    <t>SS MIDI DRESS MARIE CARDI KOMBI KTK AND RIB DSCKTMAR:PASTEL ORANGE:3-4:CHECKS:SS MIDI DRESS</t>
  </si>
  <si>
    <t>SS MIDI DRESS MARIE CARDI KOMBI KTK AND RIB DSCKTMAR:PASTEL ORANGE:4-5:CHECKS:SS MIDI DRESS</t>
  </si>
  <si>
    <t>SS MIDI DRESS MARIE CARDI KOMBI KTK AND RIB DSCKTMAR:PASTEL ORANGE:5-6:CHECKS:SS MIDI DRESS</t>
  </si>
  <si>
    <t>SS MIDI DRESS MARIE CARDI KOMBI KTK AND RIB DSCKTMAR:PASTEL ORANGE:7-8:CHECKS:SS MIDI DRESS</t>
  </si>
  <si>
    <t>DSKTMAR</t>
  </si>
  <si>
    <t>SS MIDI DRESS MARIE KOMBI KTK AND TAS DSKTMAR:OFF WHITE:3-4:CHECKS:SS MIDI DRESS</t>
  </si>
  <si>
    <t>SS MIDI DRESS MARIE KOMBI KTK AND TAS DSKTMAR:OFF WHITE:4-5:CHECKS:SS MIDI DRESS</t>
  </si>
  <si>
    <t>SS MIDI DRESS MARIE KOMBI KTK AND TAS DSKTMAR:OFF WHITE:5-6:CHECKS:SS MIDI DRESS</t>
  </si>
  <si>
    <t>SS MIDI DRESS MARIE KOMBI KTK AND TAS DSKTMAR:OFF WHITE:7-8:CHECKS:SS MIDI DRESS</t>
  </si>
  <si>
    <t>DSMEKTFZ</t>
  </si>
  <si>
    <t>SS MIDI DRESS KOMBI KOTAK FROZEN DSMEKTFZ:OFF WHITE:3-4:CHECKS:SS MIDI DRESS</t>
  </si>
  <si>
    <t>SS MIDI DRESS KOMBI KOTAK FROZEN DSMEKTFZ:OFF WHITE:4-5:CHECKS:SS MIDI DRESS</t>
  </si>
  <si>
    <t>SS MIDI DRESS KOMBI KOTAK FROZEN DSMEKTFZ:OFF WHITE:5-6:CHECKS:SS MIDI DRESS</t>
  </si>
  <si>
    <t>SS MIDI DRESS KOMBI KOTAK FROZEN DSMEKTFZ:OFF WHITE:7-8:CHECKS:SS MIDI DRESS</t>
  </si>
  <si>
    <t>OVWPOOH2</t>
  </si>
  <si>
    <t>OVERALL MIDI SKIRT GIRLS POOH HAPPY DAYS WV COMB OVWPOOH2:PASTEL PINK:6-12:GRAPHIC:OVERALL MIDI SKIR</t>
  </si>
  <si>
    <t>OVERALL MIDI SKIRT GIRLS POOH HAPPY DAYS WV COMB OVWPOOH2:PASTEL PINK:12-18:GRAPHIC:OVERALL MIDI SKI</t>
  </si>
  <si>
    <t>OVERALL MIDI SKIRT GIRLS POOH HAPPY DAYS WV COMB OVWPOOH2:PASTEL PINK:24-36:GRAPHIC:OVERALL MIDI SKI</t>
  </si>
  <si>
    <t>OVERALL MIDI SKIRT GIRLS POOH HAPPY DAYS WV COMB OVWPOOH2:PASTEL PINK:18-24:GRAPHIC:OVERALL MIDI SKI</t>
  </si>
  <si>
    <t>OVMELION</t>
  </si>
  <si>
    <t>OVERALL MIDI SKIRT LION KING STAY WILD OVMELION:PASTEL GREEN:6-12:GRAPHIC:OVERALL MIDI SKIRT</t>
  </si>
  <si>
    <t>OVERALL MIDI SKIRT LION KING STAY WILD OVMELION:PASTEL GREEN:12-18:GRAPHIC:OVERALL MIDI SKIRT</t>
  </si>
  <si>
    <t>OVERALL MIDI SKIRT LION KING STAY WILD OVMELION:PASTEL GREEN:18-24:GRAPHIC:OVERALL MIDI SKIRT</t>
  </si>
  <si>
    <t>OVERALL MIDI SKIRT LION KING STAY WILD OVMELION:PASTEL GREEN:24-36:GRAPHIC:OVERALL MIDI SKIRT</t>
  </si>
  <si>
    <t>SSHDMYM</t>
  </si>
  <si>
    <t>SS T-SHIRT TIEDYE MY MELODY SSHDMYM:ASSORTIVE COLOR:5-6:OMBRE:SS T-SHIRT</t>
  </si>
  <si>
    <t>SS T-SHIRT TIEDYE MY MELODY SSHDMYM:ASSORTIVE COLOR:7-8:OMBRE:SS T-SHIRT</t>
  </si>
  <si>
    <t>SS T-SHIRT TIEDYE MY MELODY SSHDMYM:ASSORTIVE COLOR:9-10:OMBRE:SS T-SHIRT</t>
  </si>
  <si>
    <t>SS T-SHIRT TIEDYE MY MELODY SSHDMYM:ASSORTIVE COLOR:11-12:OMBRE:SS T-SHIRT</t>
  </si>
  <si>
    <t>TSHK6</t>
  </si>
  <si>
    <t>SS T-SHIRT HELLO KITTY STAMP LOVE TSHK6:PASTEL PINK:5-6:GRAPHIC:SS T-SHIRT</t>
  </si>
  <si>
    <t>SS T-SHIRT HELLO KITTY STAMP LOVE TSHK6:PASTEL PINK:7-8:GRAPHIC:SS T-SHIRT</t>
  </si>
  <si>
    <t>SS T-SHIRT HELLO KITTY STAMP LOVE TSHK6:PASTEL PINK:9-10:GRAPHIC:SS T-SHIRT</t>
  </si>
  <si>
    <t>SS T-SHIRT HELLO KITTY STAMP LOVE TSHK6:PASTEL PINK:11-12:GRAPHIC:SS T-SHIRT</t>
  </si>
  <si>
    <t>SSHDCINN</t>
  </si>
  <si>
    <t>SS T-SHIRT TIEDYE CINNAMOROLL SSHDCINN:ASSORTIVE COLOR:5-6:OMBRE:SS T-SHIRT</t>
  </si>
  <si>
    <t>SS T-SHIRT TIEDYE CINNAMOROLL SSHDCINN:ASSORTIVE COLOR:7-8:OMBRE:SS T-SHIRT</t>
  </si>
  <si>
    <t>SS T-SHIRT TIEDYE CINNAMOROLL SSHDCINN:ASSORTIVE COLOR:9-10:OMBRE:SS T-SHIRT</t>
  </si>
  <si>
    <t>SS T-SHIRT TIEDYE CINNAMOROLL SSHDCINN:ASSORTIVE COLOR:11-12:OMBRE:SS T-SHIRT</t>
  </si>
  <si>
    <t>SSHDKURM</t>
  </si>
  <si>
    <t>SS T-SHIRT TIEDYE KUROMI SSHDKURM:PASTEL PURPLE:9-10:STRIPES:SS T-SHIRT</t>
  </si>
  <si>
    <t>SS T-SHIRT TIEDYE KUROMI SSHDKURM:PASTEL PURPLE:5-6:STRIPES:SS T-SHIRT</t>
  </si>
  <si>
    <t>SS T-SHIRT TIEDYE KUROMI SSHDKURM:PASTEL PURPLE:11-12:STRIPES:SS T-SHIRT</t>
  </si>
  <si>
    <t>TSGKUR5</t>
  </si>
  <si>
    <t>SS T-SHIRT KUROMI TSGKUR5:BLACK:5-6:GRAPHIC:SS T-SHIRT</t>
  </si>
  <si>
    <t>SS T-SHIRT KUROMI TSGKUR5:BLACK:7-8:GRAPHIC:SS T-SHIRT</t>
  </si>
  <si>
    <t>SS T-SHIRT KUROMI TSGKUR5:BLACK:9-10:GRAPHIC:SS T-SHIRT</t>
  </si>
  <si>
    <t>SS T-SHIRT KUROMI TSGKUR5:BLACK:11-12:GRAPHIC:SS T-SHIRT</t>
  </si>
  <si>
    <t>TSGCIN1</t>
  </si>
  <si>
    <t>SS T-SHIRT TIE DYE APL CINNAMOROLL TSGCIN1:PASTEL BLUE:3-4:GRAPHIC:SS T-SHIRT</t>
  </si>
  <si>
    <t>SS T-SHIRT TIE DYE APL CINNAMOROLL TSGCIN1:PASTEL BLUE:4-5:GRAPHIC:SS T-SHIRT</t>
  </si>
  <si>
    <t>SS T-SHIRT TIE DYE APL CINNAMOROLL TSGCIN1:PASTEL BLUE:5-6:GRAPHIC:SS T-SHIRT</t>
  </si>
  <si>
    <t>SS T-SHIRT TIE DYE APL CINNAMOROLL TSGCIN1:PASTEL BLUE:7-8:GRAPHIC:SS T-SHIRT</t>
  </si>
  <si>
    <t>TSGCIN4</t>
  </si>
  <si>
    <t>SS T-SHIRT RAGLAN CINNAMOROLL TSGCIN4:OFF WHITE:3-4:GRAPHIC:SS T-SHIRT</t>
  </si>
  <si>
    <t>SS T-SHIRT RAGLAN CINNAMOROLL TSGCIN4:OFF WHITE:4-5:GRAPHIC:SS T-SHIRT</t>
  </si>
  <si>
    <t>SS T-SHIRT RAGLAN CINNAMOROLL TSGCIN4:OFF WHITE:5-6:GRAPHIC:SS T-SHIRT</t>
  </si>
  <si>
    <t>SS T-SHIRT RAGLAN CINNAMOROLL TSGCIN4:OFF WHITE:7-8:GRAPHIC:SS T-SHIRT</t>
  </si>
  <si>
    <t>DSCROL</t>
  </si>
  <si>
    <t>SS MIDI DRESS CINNAMOROLL DSCROL:PASTEL BLUE:3-4:GRAPHIC:SS MIDI DRESS</t>
  </si>
  <si>
    <t>SS MIDI DRESS CINNAMOROLL DSCROL:PASTEL BLUE:4-5:GRAPHIC:SS MIDI DRESS</t>
  </si>
  <si>
    <t>SS MIDI DRESS CINNAMOROLL DSCROL:PASTEL BLUE:5-6:GRAPHIC:SS MIDI DRESS</t>
  </si>
  <si>
    <t>SS MIDI DRESS CINNAMOROLL DSCROL:PASTEL BLUE:7-8:GRAPHIC:SS MIDI DRESS</t>
  </si>
  <si>
    <t>DSRTJKU</t>
  </si>
  <si>
    <t>SS MIDI DRESS KUROMI ROMPI KRH KB WVN DSRTJKU:PASTEL PURPLE:3-4:GRAPHIC:SS MIDI DRESS</t>
  </si>
  <si>
    <t>SS MIDI DRESS KUROMI ROMPI KRH KB WVN DSRTJKU:PASTEL PURPLE:4-5:GRAPHIC:SS MIDI DRESS</t>
  </si>
  <si>
    <t>SS MIDI DRESS KUROMI ROMPI KRH KB WVN DSRTJKU:PASTEL PURPLE:5-6:GRAPHIC:SS MIDI DRESS</t>
  </si>
  <si>
    <t>SS MIDI DRESS KUROMI ROMPI KRH KB WVN DSRTJKU:PASTEL PURPLE:7-8:GRAPHIC:SS MIDI DRESS</t>
  </si>
  <si>
    <t>SS MIDI DRESS KUROMI ROMPI KRH KB WVN DSRTJKU:PASTEL PURPLE:9-10:GRAPHIC:SS MIDI DRESS</t>
  </si>
  <si>
    <t>DSMARST</t>
  </si>
  <si>
    <t>SS MIDI DRESS STRIPE MARIE DSMARST:PASTEL PINK:3-4:GRAPHIC:SS MIDI DRESS</t>
  </si>
  <si>
    <t>SS MIDI DRESS STRIPE MARIE DSMARST:PASTEL PINK:4-5:GRAPHIC:SS MIDI DRESS</t>
  </si>
  <si>
    <t>SS MIDI DRESS STRIPE MARIE DSMARST:PASTEL PINK:5-6:GRAPHIC:SS MIDI DRESS</t>
  </si>
  <si>
    <t>SS MIDI DRESS STRIPE MARIE DSMARST:PASTEL PINK:7-8:GRAPHIC:SS MIDI DRESS</t>
  </si>
  <si>
    <t>SETMELION</t>
  </si>
  <si>
    <t>TOP - BOTTOM SET LION KING BE BRAVE SETMELION:PASTEL GREEN:6-12:PRINT:TOP - BOTTOM SET</t>
  </si>
  <si>
    <t>TOP - BOTTOM SET LION KING BE BRAVE SETMELION:PASTEL GREEN:12-18:PRINT:TOP - BOTTOM SET</t>
  </si>
  <si>
    <t>TOP - BOTTOM SET LION KING BE BRAVE SETMELION:PASTEL GREEN:18-24:PRINT:TOP - BOTTOM SET</t>
  </si>
  <si>
    <t>TOP - BOTTOM SET LION KING BE BRAVE SETMELION:PASTEL GREEN:24-36:PRINT:TOP - BOTTOM SET</t>
  </si>
  <si>
    <t>SETPPBAM</t>
  </si>
  <si>
    <t>TOP - BOTTOM SET PEPLUM BAMBI SETPPBAM:PASTEL PINK:6-12:GRAPHIC:TOP - BOTTOM SET</t>
  </si>
  <si>
    <t>TOP - BOTTOM SET PEPLUM BAMBI SETPPBAM:PASTEL PINK:12-18:GRAPHIC:TOP - BOTTOM SET</t>
  </si>
  <si>
    <t>TOP - BOTTOM SET PEPLUM BAMBI SETPPBAM:PASTEL PINK:18-24:GRAPHIC:TOP - BOTTOM SET</t>
  </si>
  <si>
    <t>TOP - BOTTOM SET PEPLUM BAMBI SETPPBAM:PASTEL PINK:24-36:GRAPHIC:TOP - BOTTOM SET</t>
  </si>
  <si>
    <t>M3DWG01</t>
  </si>
  <si>
    <t>BRIEF UW PACK OF 3 MINNIE BESTIES M3DWG01:ASSORTIVE COLOR:S:PRINT:BRIEF</t>
  </si>
  <si>
    <t>BRIEF UW PACK OF 3 MINNIE BESTIES M3DWG01:ASSORTIVE COLOR:M:PRINT:BRIEF</t>
  </si>
  <si>
    <t>BRIEF UW PACK OF 3 MINNIE BESTIES M3DWG01:ASSORTIVE COLOR:L:PRINT:BRIEF</t>
  </si>
  <si>
    <t>BRIEF UW PACK OF 3 MINNIE BESTIES M3DWG01:ASSORTIVE COLOR:XL:PRINT:BRIEF</t>
  </si>
  <si>
    <t>UNBOY02</t>
  </si>
  <si>
    <t>BRIEF UW PACK OF 3 SPIDEY UNBOY02:ASSORTIVE COLOR:S:PRINT:BRIEF</t>
  </si>
  <si>
    <t>BRIEF UW PACK OF 3 SPIDEY UNBOY02:ASSORTIVE COLOR:M:PRINT:BRIEF</t>
  </si>
  <si>
    <t>BRIEF UW PACK OF 3 SPIDEY UNBOY02:ASSORTIVE COLOR:L:PRINT:BRIEF</t>
  </si>
  <si>
    <t>BRIEF UW PACK OF 3 SPIDEY UNBOY02:ASSORTIVE COLOR:XL:PRINT:BRIEF</t>
  </si>
  <si>
    <t>KKIRNST</t>
  </si>
  <si>
    <t>SOCKS KKB IRON MAN MUKA KKIRNST:PASTEL GREY:14-16:GRAPHIC:SOCKS</t>
  </si>
  <si>
    <t>SOCKS KKB IRON MAN MUKA KKIRNST:PASTEL GREY:18-20:GRAPHIC:SOCKS</t>
  </si>
  <si>
    <t>KKMM2405</t>
  </si>
  <si>
    <t>SOCKS JARING SPIDERMAN KKMM2405:CLASSIC BLUE:14-16:PRINT:SOCKS</t>
  </si>
  <si>
    <t>SOCKS JARING SPIDERMAN KKMM2405:CLASSIC BLUE:18-20:PRINT:SOCKS</t>
  </si>
  <si>
    <t>SWMVFC</t>
  </si>
  <si>
    <t>TOP - BOTTOM SET LSLP FULL PRINT MARVEL SPIDERMAN HEAD SWMVFC:BROWN SUGAR:4:PRINT:TOP - BOTTOM SET</t>
  </si>
  <si>
    <t>TOP - BOTTOM SET LSLP FULL PRINT MARVEL SPIDERMAN HEAD SWMVFC:BROWN SUGAR:5:PRINT:TOP - BOTTOM SET</t>
  </si>
  <si>
    <t>TOP - BOTTOM SET LSLP FULL PRINT MARVEL SPIDERMAN HEAD SWMVFC:BROWN SUGAR:6:PRINT:TOP - BOTTOM SET</t>
  </si>
  <si>
    <t>TOP - BOTTOM SET LSLP FULL PRINT MARVEL SPIDERMAN HEAD SWMVFC:BROWN SUGAR:7:PRINT:TOP - BOTTOM SET</t>
  </si>
  <si>
    <t>TOP - BOTTOM SET LSLP FULL PRINT MARVEL SPIDERMAN HEAD SWMVFC:BROWN SUGAR:8:PRINT:TOP - BOTTOM SET</t>
  </si>
  <si>
    <t>TOP - BOTTOM SET LSLP FULL PRINT MARVEL SPIDERMAN HEAD SWMVFC:BROWN SUGAR:10:PRINT:TOP - BOTTOM SET</t>
  </si>
  <si>
    <t>TOP - BOTTOM SET LSLP FULL PRINT MARVEL SPIDERMAN HEAD SWMVFC:BROWN SUGAR:12:PRINT:TOP - BOTTOM SET</t>
  </si>
  <si>
    <t>TOP - BOTTOM SET LSLP FULL PRINT MARVEL SPIDERMAN HEAD SWMVFC:BROWN SUGAR:14:PRINT:TOP - BOTTOM SET</t>
  </si>
  <si>
    <t>TSGCIN2</t>
  </si>
  <si>
    <t>SS T-SHIRT STRIPE CINNAMOROLL TSGCIN2:PASTEL PINK:3-4:STRIPES:SS T-SHIRT</t>
  </si>
  <si>
    <t>SS T-SHIRT STRIPE CINNAMOROLL TSGCIN2:PASTEL PINK:4-5:STRIPES:SS T-SHIRT</t>
  </si>
  <si>
    <t>SS T-SHIRT STRIPE CINNAMOROLL TSGCIN2:PASTEL PINK:5-6:STRIPES:SS T-SHIRT</t>
  </si>
  <si>
    <t>SS T-SHIRT STRIPE CINNAMOROLL TSGCIN2:PASTEL PINK:7-8:STRIPES:SS T-SHIRT</t>
  </si>
  <si>
    <t>DSOTJMM</t>
  </si>
  <si>
    <t>SS MIDI DRESS OVR KOMBI WVN MY MELODY DSOTJMM:PASTEL PINK:3-4:GRAPHIC:SS MIDI DRESS</t>
  </si>
  <si>
    <t>SS MIDI DRESS OVR KOMBI WVN MY MELODY DSOTJMM:PASTEL PINK:4-5:GRAPHIC:SS MIDI DRESS</t>
  </si>
  <si>
    <t>SS MIDI DRESS OVR KOMBI WVN MY MELODY DSOTJMM:PASTEL PINK:5-6:GRAPHIC:SS MIDI DRESS</t>
  </si>
  <si>
    <t>SS MIDI DRESS OVR KOMBI WVN MY MELODY DSOTJMM:PASTEL PINK:7-8:GRAPHIC:SS MIDI DRESS</t>
  </si>
  <si>
    <t>SS MIDI DRESS OVR KOMBI WVN MY MELODY DSOTJMM:PASTEL PINK:9-10:GRAPHIC:SS MIDI DRESS</t>
  </si>
  <si>
    <t>TSGCIN3</t>
  </si>
  <si>
    <t>SS T-SHIRT CUT N SEWN CINNAMOROLL TSGCIN3:PASTEL BLUE:3-4:GRAPHIC:SS T-SHIRT</t>
  </si>
  <si>
    <t>SS T-SHIRT CUT N SEWN CINNAMOROLL TSGCIN3:PASTEL BLUE:4-5:GRAPHIC:SS T-SHIRT</t>
  </si>
  <si>
    <t>SS T-SHIRT CUT N SEWN CINNAMOROLL TSGCIN3:PASTEL BLUE:5-6:GRAPHIC:SS T-SHIRT</t>
  </si>
  <si>
    <t>SS T-SHIRT CUT N SEWN CINNAMOROLL TSGCIN3:PASTEL BLUE:7-8:GRAPHIC:SS T-SHIRT</t>
  </si>
  <si>
    <t>TSGKUR6</t>
  </si>
  <si>
    <t>SS T-SHIRT KUROMI TSGKUR6:PASTEL PINK:5-6:GRAPHIC:SS T-SHIRT</t>
  </si>
  <si>
    <t>SS T-SHIRT KUROMI TSGKUR6:PASTEL PINK:7-8:GRAPHIC:SS T-SHIRT</t>
  </si>
  <si>
    <t>SS T-SHIRT KUROMI TSGKUR6:PASTEL PINK:11-12:GRAPHIC:SS T-SHIRT</t>
  </si>
  <si>
    <t>SS T-SHIRT KUROMI TSGKUR6:PASTEL PINK:9-10:GRAPHIC:SS T-SHIRT</t>
  </si>
  <si>
    <t>SSRKU</t>
  </si>
  <si>
    <t>SS T-SHIRT RAGLAN APLIKASI &amp; POMPOM KUROMI SSRKU:OFF WHITE:3-4:GRAPHIC:SS T-SHIRT</t>
  </si>
  <si>
    <t>SS T-SHIRT RAGLAN APLIKASI &amp; POMPOM KUROMI SSRKU:OFF WHITE:4-5:GRAPHIC:SS T-SHIRT</t>
  </si>
  <si>
    <t>SS T-SHIRT RAGLAN APLIKASI &amp; POMPOM KUROMI SSRKU:OFF WHITE:5-6:GRAPHIC:SS T-SHIRT</t>
  </si>
  <si>
    <t>SS T-SHIRT RAGLAN APLIKASI &amp; POMPOM KUROMI SSRKU:OFF WHITE:7-8:GRAPHIC:SS T-SHIRT</t>
  </si>
  <si>
    <t>SSSRKU</t>
  </si>
  <si>
    <t>SS T-SHIRT LENGAN SERUT KUROMI SSSRKU:PASTEL PURPLE:3-4:GRAPHIC:SS T-SHIRT</t>
  </si>
  <si>
    <t>SS T-SHIRT LENGAN SERUT KUROMI SSSRKU:PASTEL PURPLE:4-5:GRAPHIC:SS T-SHIRT</t>
  </si>
  <si>
    <t>SS T-SHIRT LENGAN SERUT KUROMI SSSRKU:PASTEL PURPLE:5-6:GRAPHIC:SS T-SHIRT</t>
  </si>
  <si>
    <t>SS T-SHIRT LENGAN SERUT KUROMI SSSRKU:PASTEL PURPLE:7-8:GRAPHIC:SS T-SHIRT</t>
  </si>
  <si>
    <t>JKKU</t>
  </si>
  <si>
    <t>JACKET VARSITY MANSET KUROMI JKKU:PASTEL PURPLE:5-6:GRAPHIC:JACKET</t>
  </si>
  <si>
    <t>JACKET VARSITY MANSET KUROMI JKKU:PASTEL PURPLE:7-8:GRAPHIC:JACKET</t>
  </si>
  <si>
    <t>JACKET VARSITY MANSET KUROMI JKKU:PASTEL PURPLE:3-4:GRAPHIC:JACKET</t>
  </si>
  <si>
    <t>JACKET VARSITY MANSET KUROMI JKKU:PASTEL PURPLE:4-5:GRAPHIC:JACKET</t>
  </si>
  <si>
    <t>JGKU</t>
  </si>
  <si>
    <t>LONG PANTS KUROMI JGKU:PASTEL PURPLE:5-6:GRAPHIC:LONG PANTS</t>
  </si>
  <si>
    <t>LONG PANTS KUROMI JGKU:PASTEL PURPLE:7-8:GRAPHIC:LONG PANTS</t>
  </si>
  <si>
    <t>LONG PANTS KUROMI JGKU:PASTEL PURPLE:3-4:GRAPHIC:LONG PANTS</t>
  </si>
  <si>
    <t>LONG PANTS KUROMI JGKU:PASTEL PURPLE:4-5:GRAPHIC:LONG PANTS</t>
  </si>
  <si>
    <t>DCOSKUR</t>
  </si>
  <si>
    <t>SS MIDI DRESS COSTUME KUROMI DCOSKUR:PASTEL PURPLE:3-4:GRAPHIC:SS MIDI DRESS</t>
  </si>
  <si>
    <t>SS MIDI DRESS COSTUME KUROMI DCOSKUR:PASTEL PURPLE:4-5:GRAPHIC:SS MIDI DRESS</t>
  </si>
  <si>
    <t>SS MIDI DRESS COSTUME KUROMI DCOSKUR:PASTEL PURPLE:5-6:GRAPHIC:SS MIDI DRESS</t>
  </si>
  <si>
    <t>SS MIDI DRESS COSTUME KUROMI DCOSKUR:PASTEL PURPLE:7-8:GRAPHIC:SS MIDI DRESS</t>
  </si>
  <si>
    <t>OVGMMIN</t>
  </si>
  <si>
    <t>SHORT JUMPSUIT OVERALL GIRLS MINNIE OVGMMIN:PASTEL PINK:6-12:GRAPHIC:SHORT JUMPSUIT</t>
  </si>
  <si>
    <t>SHORT JUMPSUIT OVERALL GIRLS MINNIE OVGMMIN:PASTEL PINK:12-18:GRAPHIC:SHORT JUMPSUIT</t>
  </si>
  <si>
    <t>SHORT JUMPSUIT OVERALL GIRLS MINNIE OVGMMIN:PASTEL PINK:18-24:GRAPHIC:SHORT JUMPSUIT</t>
  </si>
  <si>
    <t>SHORT JUMPSUIT OVERALL GIRLS MINNIE OVGMMIN:PASTEL PINK:24-36:GRAPHIC:SHORT JUMPSUIT</t>
  </si>
  <si>
    <t>MP3RMIN2</t>
  </si>
  <si>
    <t>BRIEF MP UW MINNIE MP3RMIN2:ASSORTIVE COLOR:S:PRINT:BRIEF</t>
  </si>
  <si>
    <t>BRIEF MP UW MINNIE MP3RMIN2:ASSORTIVE COLOR:M:PRINT:BRIEF</t>
  </si>
  <si>
    <t>BRIEF MP UW MINNIE MP3RMIN2:ASSORTIVE COLOR:L:PRINT:BRIEF</t>
  </si>
  <si>
    <t>BRIEF MP UW MINNIE MP3RMIN2:ASSORTIVE COLOR:XL:PRINT:BRIEF</t>
  </si>
  <si>
    <t>MP3RMAR</t>
  </si>
  <si>
    <t>BRIEF MP UW MARIE MP3RMAR:ASSORTIVE COLOR:S:PRINT:BRIEF</t>
  </si>
  <si>
    <t>BRIEF MP UW MARIE MP3RMAR:ASSORTIVE COLOR:M:PRINT:BRIEF</t>
  </si>
  <si>
    <t>BRIEF MP UW MARIE MP3RMAR:ASSORTIVE COLOR:L:PRINT:BRIEF</t>
  </si>
  <si>
    <t>BRIEF MP UW MARIE MP3RMAR:ASSORTIVE COLOR:XL:PRINT:BRIEF</t>
  </si>
  <si>
    <t>KKSPD246</t>
  </si>
  <si>
    <t>SOCKS KK SPIDERMAN SPIDEY KKSPD246:BLACK:14-16:GRAPHIC:SOCKS</t>
  </si>
  <si>
    <t>SOCKS KK SPIDERMAN SPIDEY KKSPD246:BLACK:18-20:GRAPHIC:SOCKS</t>
  </si>
  <si>
    <t>KKSPD245</t>
  </si>
  <si>
    <t>SOCKS KK SPIDERMAN KKSPD245:PASTEL GREY:14-16:GRAPHIC:SOCKS</t>
  </si>
  <si>
    <t>SOCKS KK SPIDERMAN KKSPD245:PASTEL GREY:18-20:GRAPHIC:SOCKS</t>
  </si>
  <si>
    <t>KKMMSIM4</t>
  </si>
  <si>
    <t>SOCKS KKB STRIPE SIMBA LION KING KKMMSIM4:CLASSIC ORANGE:14-16:GRAPHIC:SOCKS</t>
  </si>
  <si>
    <t>SOCKS KKB STRIPE SIMBA LION KING KKMMSIM4:CLASSIC ORANGE:18-20:GRAPHIC:SOCKS</t>
  </si>
  <si>
    <t>KKSPD247</t>
  </si>
  <si>
    <t>SOCKS KK SPIDERMAN KKSPD247:PASTEL GREY:14-16:GRAPHIC:SOCKS</t>
  </si>
  <si>
    <t>SOCKS KK SPIDERMAN KKSPD247:PASTEL GREY:18-20:GRAPHIC:SOCKS</t>
  </si>
  <si>
    <t>KKSPD248</t>
  </si>
  <si>
    <t>SOCKS KK SPIDERMAN TO THE RESCUE KKSPD248:BLACK:14-16:GRAPHIC:SOCKS</t>
  </si>
  <si>
    <t>SOCKS KK SPIDERMAN TO THE RESCUE KKSPD248:BLACK:18-20:GRAPHIC:SOCKS</t>
  </si>
  <si>
    <t>SWSIMBA</t>
  </si>
  <si>
    <t>TOP - BOTTOM SET LSLP FP SIMBA SWSIMBA:BROWN SUGAR:4:PRINT:TOP - BOTTOM SET</t>
  </si>
  <si>
    <t>TOP - BOTTOM SET LSLP FP SIMBA SWSIMBA:BROWN SUGAR:5:PRINT:TOP - BOTTOM SET</t>
  </si>
  <si>
    <t>TOP - BOTTOM SET LSLP FP SIMBA SWSIMBA:BROWN SUGAR:6:PRINT:TOP - BOTTOM SET</t>
  </si>
  <si>
    <t>TOP - BOTTOM SET LSLP FP SIMBA SWSIMBA:BROWN SUGAR:7:PRINT:TOP - BOTTOM SET</t>
  </si>
  <si>
    <t>TOP - BOTTOM SET LSLP FP SIMBA SWSIMBA:BROWN SUGAR:8:PRINT:TOP - BOTTOM SET</t>
  </si>
  <si>
    <t>TOP - BOTTOM SET LSLP FP SIMBA SWSIMBA:BROWN SUGAR:10:PRINT:TOP - BOTTOM SET</t>
  </si>
  <si>
    <t>TOP - BOTTOM SET LSLP FP SIMBA SWSIMBA:BROWN SUGAR:12:PRINT:TOP - BOTTOM SET</t>
  </si>
  <si>
    <t>TOP - BOTTOM SET LSLP FP SIMBA SWSIMBA:BROWN SUGAR:14:PRINT:TOP - BOTTOM SET</t>
  </si>
  <si>
    <t>SWSPD241</t>
  </si>
  <si>
    <t>TOP - BOTTOM SET LSLP SPIDERMAN SWSPD241:CLASSIC BLUE:4:PRINT:TOP - BOTTOM SET</t>
  </si>
  <si>
    <t>TOP - BOTTOM SET LSLP SPIDERMAN SWSPD241:CLASSIC BLUE:5:PRINT:TOP - BOTTOM SET</t>
  </si>
  <si>
    <t>TOP - BOTTOM SET LSLP SPIDERMAN SWSPD241:CLASSIC BLUE:6:PRINT:TOP - BOTTOM SET</t>
  </si>
  <si>
    <t>TOP - BOTTOM SET LSLP SPIDERMAN SWSPD241:CLASSIC BLUE:7:PRINT:TOP - BOTTOM SET</t>
  </si>
  <si>
    <t>TOP - BOTTOM SET LSLP SPIDERMAN SWSPD241:CLASSIC BLUE:8:PRINT:TOP - BOTTOM SET</t>
  </si>
  <si>
    <t>TOP - BOTTOM SET LSLP SPIDERMAN SWSPD241:CLASSIC BLUE:10:PRINT:TOP - BOTTOM SET</t>
  </si>
  <si>
    <t>TOP - BOTTOM SET LSLP SPIDERMAN SWSPD241:CLASSIC BLUE:12:PRINT:TOP - BOTTOM SET</t>
  </si>
  <si>
    <t>TOP - BOTTOM SET LSLP SPIDERMAN SWSPD241:CLASSIC BLUE:14:PRINT:TOP - BOTTOM SET</t>
  </si>
  <si>
    <t>SWSPD243</t>
  </si>
  <si>
    <t>TOP - BOTTOM SET LSLP SPIDERMAN SWSPD243:CLASSIC RED:4:PRINT:TOP - BOTTOM SET</t>
  </si>
  <si>
    <t>TOP - BOTTOM SET LSLP SPIDERMAN SWSPD243:CLASSIC RED:5:PRINT:TOP - BOTTOM SET</t>
  </si>
  <si>
    <t>TOP - BOTTOM SET LSLP SPIDERMAN SWSPD243:CLASSIC RED:6:PRINT:TOP - BOTTOM SET</t>
  </si>
  <si>
    <t>TOP - BOTTOM SET LSLP SPIDERMAN SWSPD243:CLASSIC RED:7:PRINT:TOP - BOTTOM SET</t>
  </si>
  <si>
    <t>TOP - BOTTOM SET LSLP SPIDERMAN SWSPD243:CLASSIC RED:8:PRINT:TOP - BOTTOM SET</t>
  </si>
  <si>
    <t>TOP - BOTTOM SET LSLP SPIDERMAN SWSPD243:CLASSIC RED:10:PRINT:TOP - BOTTOM SET</t>
  </si>
  <si>
    <t>TOP - BOTTOM SET LSLP SPIDERMAN SWSPD243:CLASSIC RED:12:PRINT:TOP - BOTTOM SET</t>
  </si>
  <si>
    <t>TOP - BOTTOM SET LSLP SPIDERMAN SWSPD243:CLASSIC RED:14:PRINT:TOP - BOTTOM SET</t>
  </si>
  <si>
    <t>MP3RSPD</t>
  </si>
  <si>
    <t>BRIEF MP UW SPIDERMAN MP3RSPD:ASSORTIVE COLOR:S:PRINT:BRIEF</t>
  </si>
  <si>
    <t>BRIEF MP UW SPIDERMAN MP3RSPD:ASSORTIVE COLOR:L:PRINT:BRIEF</t>
  </si>
  <si>
    <t>MP3RAVG</t>
  </si>
  <si>
    <t>BRIEF MP UW AVENGERS MP3RAVG:ASSORTIVE COLOR:S:PRINT:BRIEF</t>
  </si>
  <si>
    <t>BRIEF MP UW AVENGERS MP3RAVG:ASSORTIVE COLOR:M:PRINT:BRIEF</t>
  </si>
  <si>
    <t>BRIEF MP UW AVENGERS MP3RAVG:ASSORTIVE COLOR:L:PRINT:BRIEF</t>
  </si>
  <si>
    <t>BRIEF MP UW AVENGERS MP3RAVG:ASSORTIVE COLOR:XL:PRINT:BRIEF</t>
  </si>
  <si>
    <t>BRIEF MP UW SPIDERMAN MP3RSPD:ASSORTIVE COLOR:M:PRINT:BRIEF</t>
  </si>
  <si>
    <t>BRIEF MP UW SPIDERMAN MP3RSPD:ASSORTIVE COLOR:XL:PRINT:BRIEF</t>
  </si>
  <si>
    <t>MP3RFZA</t>
  </si>
  <si>
    <t>BRIEF MP UW FROZEN MP3RFZA:ASSORTIVE COLOR:S:PRINT:BRIEF</t>
  </si>
  <si>
    <t>BRIEF MP UW FROZEN MP3RFZA:ASSORTIVE COLOR:M:PRINT:BRIEF</t>
  </si>
  <si>
    <t>BRIEF MP UW FROZEN MP3RFZA:ASSORTIVE COLOR:L:PRINT:BRIEF</t>
  </si>
  <si>
    <t>BRIEF MP UW FROZEN MP3RFZA:ASSORTIVE COLOR:XL:PRINT:BRIEF</t>
  </si>
  <si>
    <t>KKFZELS</t>
  </si>
  <si>
    <t>SOCKS KKG ELSA FROZEN KKFZELS:PASTEL BLUE:14-16:PRINT:SOCKS</t>
  </si>
  <si>
    <t>SOCKS KKG ELSA FROZEN KKFZELS:PASTEL BLUE:18-20:PRINT:SOCKS</t>
  </si>
  <si>
    <t>DSOBAMB</t>
  </si>
  <si>
    <t>SS MIDI DRESS OVL BAMBI DSOBAMB:PASTEL GREEN:6-12:PRINT:SS MIDI DRESS</t>
  </si>
  <si>
    <t>SS MIDI DRESS OVL BAMBI DSOBAMB:PASTEL GREEN:12-18:PRINT:SS MIDI DRESS</t>
  </si>
  <si>
    <t>SS MIDI DRESS OVL BAMBI DSOBAMB:PASTEL GREEN:18-24:PRINT:SS MIDI DRESS</t>
  </si>
  <si>
    <t>SS MIDI DRESS OVL BAMBI DSOBAMB:PASTEL GREEN:24-36:PRINT:SS MIDI DRESS</t>
  </si>
  <si>
    <t>DSWPOOH2</t>
  </si>
  <si>
    <t>SS MIDI DRESS POOH MY LITTLE BUTTERFLY WV COMB DSWPOOH2:PASTEL PINK:6-12:PRINT:SS MIDI DRESS</t>
  </si>
  <si>
    <t>SS MIDI DRESS POOH MY LITTLE BUTTERFLY WV COMB DSWPOOH2:PASTEL PINK:12-18:PRINT:SS MIDI DRESS</t>
  </si>
  <si>
    <t>SS MIDI DRESS POOH MY LITTLE BUTTERFLY WV COMB DSWPOOH2:PASTEL PINK:18-24:PRINT:SS MIDI DRESS</t>
  </si>
  <si>
    <t>SS MIDI DRESS POOH MY LITTLE BUTTERFLY WV COMB DSWPOOH2:PASTEL PINK:24-36:PRINT:SS MIDI DRESS</t>
  </si>
  <si>
    <t>DSORFBAM2</t>
  </si>
  <si>
    <t>SS MIDI DRESS OVERALL BAMBI DSORFBAM2:PASTEL PINK:6-12:PRINT:SS MIDI DRESS</t>
  </si>
  <si>
    <t>SS MIDI DRESS OVERALL BAMBI DSORFBAM2:PASTEL PINK:12-18:PRINT:SS MIDI DRESS</t>
  </si>
  <si>
    <t>SS MIDI DRESS OVERALL BAMBI DSORFBAM2:PASTEL PINK:18-24:PRINT:SS MIDI DRESS</t>
  </si>
  <si>
    <t>SS MIDI DRESS OVERALL BAMBI DSORFBAM2:PASTEL PINK:24-36:PRINT:SS MIDI DRESS</t>
  </si>
  <si>
    <t>DSOPTMIN</t>
  </si>
  <si>
    <t>SS MIDI DRESS OVERALL MINNIE DSOPTMIN:MEDIUM DENIM:6-12:PRINT:SS MIDI DRESS</t>
  </si>
  <si>
    <t>SS MIDI DRESS OVERALL MINNIE DSOPTMIN:MEDIUM DENIM:12-18:PRINT:SS MIDI DRESS</t>
  </si>
  <si>
    <t>SS MIDI DRESS OVERALL MINNIE DSOPTMIN:MEDIUM DENIM:24-36:PRINT:SS MIDI DRESS</t>
  </si>
  <si>
    <t>SS MIDI DRESS OVERALL MINNIE DSOPTMIN:MEDIUM DENIM:18-24:PRINT:SS MIDI DRESS</t>
  </si>
  <si>
    <t>DSSPTMIN</t>
  </si>
  <si>
    <t>SS MIDI DRESS WOVEN PITA MINNIE DSSPTMIN:PASTEL BLUE:6-12:PRINT:SS MIDI DRESS</t>
  </si>
  <si>
    <t>SS MIDI DRESS WOVEN PITA MINNIE DSSPTMIN:PASTEL BLUE:12-18:PRINT:SS MIDI DRESS</t>
  </si>
  <si>
    <t>SS MIDI DRESS WOVEN PITA MINNIE DSSPTMIN:PASTEL BLUE:18-24:PRINT:SS MIDI DRESS</t>
  </si>
  <si>
    <t>SS MIDI DRESS WOVEN PITA MINNIE DSSPTMIN:PASTEL BLUE:24-36:PRINT:SS MIDI DRESS</t>
  </si>
  <si>
    <t>SSTDFZA</t>
  </si>
  <si>
    <t>SS T-SHIRT TIEDYE FROZEN SSTDFZA:ASSORTIVE COLOR:5-6:PRINT:SS T-SHIRT</t>
  </si>
  <si>
    <t>SS T-SHIRT TIEDYE FROZEN SSTDFZA:ASSORTIVE COLOR:7-8:PRINT:SS T-SHIRT</t>
  </si>
  <si>
    <t>SS T-SHIRT TIEDYE FROZEN SSTDFZA:ASSORTIVE COLOR:9-10:PRINT:SS T-SHIRT</t>
  </si>
  <si>
    <t>SS T-SHIRT TIEDYE FROZEN SSTDFZA:ASSORTIVE COLOR:11-12:PRINT:SS T-SHIRT</t>
  </si>
  <si>
    <t>LSDLFZA</t>
  </si>
  <si>
    <t>SWEATSHIRT FROZEN II PRINT EMBRO LSDLFZA:PASTEL BLUE:3-4:GRAPHIC:SWEATSHIRT</t>
  </si>
  <si>
    <t>SWEATSHIRT FROZEN II PRINT EMBRO LSDLFZA:PASTEL BLUE:4-5:GRAPHIC:SWEATSHIRT</t>
  </si>
  <si>
    <t>SWEATSHIRT FROZEN II PRINT EMBRO LSDLFZA:PASTEL BLUE:5-6:GRAPHIC:SWEATSHIRT</t>
  </si>
  <si>
    <t>SWEATSHIRT FROZEN II PRINT EMBRO LSDLFZA:PASTEL BLUE:7-8:GRAPHIC:SWEATSHIRT</t>
  </si>
  <si>
    <t>DSDLFZA2</t>
  </si>
  <si>
    <t>SS MIDI DRESS FROZEN II PRINT EMBRO RIB KARET DSDLFZA2:PASTEL BLUE:3-4:PRINT:SS MIDI DRESS</t>
  </si>
  <si>
    <t>SS MIDI DRESS FROZEN II PRINT EMBRO RIB KARET DSDLFZA2:PASTEL BLUE:4-5:PRINT:SS MIDI DRESS</t>
  </si>
  <si>
    <t>SS MIDI DRESS FROZEN II PRINT EMBRO RIB KARET DSDLFZA2:PASTEL BLUE:5-6:PRINT:SS MIDI DRESS</t>
  </si>
  <si>
    <t>SS MIDI DRESS FROZEN II PRINT EMBRO RIB KARET DSDLFZA2:PASTEL BLUE:7-8:PRINT:SS MIDI DRESS</t>
  </si>
  <si>
    <t>KULDNFZA</t>
  </si>
  <si>
    <t>DENIM LONG PANTS KULOT FROZEN II KULDNFZA:MEDIUM DENIM:3-4:GRAPHIC:DENIM LONG PANTS</t>
  </si>
  <si>
    <t>DENIM LONG PANTS KULOT FROZEN II KULDNFZA:MEDIUM DENIM:4-5:GRAPHIC:DENIM LONG PANTS</t>
  </si>
  <si>
    <t>DENIM LONG PANTS KULOT FROZEN II KULDNFZA:MEDIUM DENIM:5-6:GRAPHIC:DENIM LONG PANTS</t>
  </si>
  <si>
    <t>DENIM LONG PANTS KULOT FROZEN II KULDNFZA:MEDIUM DENIM:7-8:GRAPHIC:DENIM LONG PANTS</t>
  </si>
  <si>
    <t>DSBRFZA</t>
  </si>
  <si>
    <t>SS MIDI DRESS BORDER FROZEN DSBRFZA:OFF WHITE:3-4:GRAPHIC:SS MIDI DRESS</t>
  </si>
  <si>
    <t>SS MIDI DRESS BORDER FROZEN DSBRFZA:OFF WHITE:4-5:GRAPHIC:SS MIDI DRESS</t>
  </si>
  <si>
    <t>SS MIDI DRESS BORDER FROZEN DSBRFZA:OFF WHITE:5-6:GRAPHIC:SS MIDI DRESS</t>
  </si>
  <si>
    <t>SS MIDI DRESS BORDER FROZEN DSBRFZA:OFF WHITE:7-8:GRAPHIC:SS MIDI DRESS</t>
  </si>
  <si>
    <t>DSDLFZA1</t>
  </si>
  <si>
    <t>SS MIDI DRESS OVR FROZEN II PRINT EMBRO DSDLFZA1:PASTEL BLUE:3-4:PRINT:SS MIDI DRESS</t>
  </si>
  <si>
    <t>SS MIDI DRESS OVR FROZEN II PRINT EMBRO DSDLFZA1:PASTEL BLUE:4-5:PRINT:SS MIDI DRESS</t>
  </si>
  <si>
    <t>SS MIDI DRESS OVR FROZEN II PRINT EMBRO DSDLFZA1:PASTEL BLUE:5-6:PRINT:SS MIDI DRESS</t>
  </si>
  <si>
    <t>SS MIDI DRESS OVR FROZEN II PRINT EMBRO DSDLFZA1:PASTEL BLUE:7-8:PRINT:SS MIDI DRESS</t>
  </si>
  <si>
    <t>DSMINFP</t>
  </si>
  <si>
    <t>SS MIDI DRESS WVN FP MINNIE HEAD DSMINFP:PASTEL ORANGE:5-6:PRINT:SS MIDI DRESS</t>
  </si>
  <si>
    <t>SS MIDI DRESS WVN FP MINNIE HEAD DSMINFP:PASTEL ORANGE:7-8:PRINT:SS MIDI DRESS</t>
  </si>
  <si>
    <t>SS MIDI DRESS WVN FP MINNIE HEAD DSMINFP:PASTEL ORANGE:9-10:PRINT:SS MIDI DRESS</t>
  </si>
  <si>
    <t>SS MIDI DRESS WVN FP MINNIE HEAD DSMINFP:PASTEL ORANGE:11-12:PRINT:SS MIDI DRESS</t>
  </si>
  <si>
    <t>DSLOTKT2</t>
  </si>
  <si>
    <t>SS MIDI DRESS LOTSO KOMBI KOTAK DSLOTKT2:PASTEL PINK:3-4:CHECKS:SS MIDI DRESS</t>
  </si>
  <si>
    <t>SS MIDI DRESS LOTSO KOMBI KOTAK DSLOTKT2:PASTEL PINK:4-5:CHECKS:SS MIDI DRESS</t>
  </si>
  <si>
    <t>SS MIDI DRESS LOTSO KOMBI KOTAK DSLOTKT2:PASTEL PINK:5-6:CHECKS:SS MIDI DRESS</t>
  </si>
  <si>
    <t>SS MIDI DRESS LOTSO KOMBI KOTAK DSLOTKT2:PASTEL PINK:7-8:CHECKS:SS MIDI DRESS</t>
  </si>
  <si>
    <t>TSMMLP2</t>
  </si>
  <si>
    <t>SS T-SHIRT LENGAN RUFFLE MY LITTLE PONY TSMMLP2:PASTEL PURPLE:5-6:GRAPHIC:SS T-SHIRT</t>
  </si>
  <si>
    <t>SS T-SHIRT LENGAN RUFFLE MY LITTLE PONY TSMMLP2:PASTEL PURPLE:7-8:GRAPHIC:SS T-SHIRT</t>
  </si>
  <si>
    <t>SS T-SHIRT LENGAN RUFFLE MY LITTLE PONY TSMMLP2:PASTEL PURPLE:9-10:GRAPHIC:SS T-SHIRT</t>
  </si>
  <si>
    <t>SS T-SHIRT LENGAN RUFFLE MY LITTLE PONY TSMMLP2:PASTEL PURPLE:11-12:GRAPHIC:SS T-SHIRT</t>
  </si>
  <si>
    <t>SWMM</t>
  </si>
  <si>
    <t>SWEATSHIRT PITA MY MELODY SWMM:PASTEL PINK:4-5:GRAPHIC:SWEATSHIRT</t>
  </si>
  <si>
    <t>SWEATSHIRT PITA MY MELODY SWMM:PASTEL PINK:5-6:GRAPHIC:SWEATSHIRT</t>
  </si>
  <si>
    <t>SWEATSHIRT PITA MY MELODY SWMM:PASTEL PINK:7-8:GRAPHIC:SWEATSHIRT</t>
  </si>
  <si>
    <t>SWEATSHIRT PITA MY MELODY SWMM:PASTEL PINK:3-4:GRAPHIC:SWEATSHIRT</t>
  </si>
  <si>
    <t>SWEATSHIRT PITA MY MELODY SWMM:PASTEL PINK:9-10:GRAPHIC:SWEATSHIRT</t>
  </si>
  <si>
    <t>DSKUTL</t>
  </si>
  <si>
    <t>SS MIDI DRESS TULLE KERAH SLING BAG KUROMI DSKUTL:PASTEL PURPLE:3-4:GRAPHIC:SS MIDI DRESS</t>
  </si>
  <si>
    <t>SS MIDI DRESS TULLE KERAH SLING BAG KUROMI DSKUTL:PASTEL PURPLE:4-5:GRAPHIC:SS MIDI DRESS</t>
  </si>
  <si>
    <t>SS MIDI DRESS TULLE KERAH SLING BAG KUROMI DSKUTL:PASTEL PURPLE:7-8:GRAPHIC:SS MIDI DRESS</t>
  </si>
  <si>
    <t>SS MIDI DRESS TULLE KERAH SLING BAG KUROMI DSKUTL:PASTEL PURPLE:5-6:GRAPHIC:SS MIDI DRESS</t>
  </si>
  <si>
    <t>JGCN</t>
  </si>
  <si>
    <t>LONG PANTS CINNAMOROLL JGCN:PASTEL BLUE:7-8:GRAPHIC:LONG PANTS</t>
  </si>
  <si>
    <t>LONG PANTS CINNAMOROLL JGCN:PASTEL BLUE:5-6:GRAPHIC:LONG PANTS</t>
  </si>
  <si>
    <t>LONG PANTS CINNAMOROLL JGCN:PASTEL BLUE:3-4:GRAPHIC:LONG PANTS</t>
  </si>
  <si>
    <t>LONG PANTS CINNAMOROLL JGCN:PASTEL BLUE:4-5:GRAPHIC:LONG PANTS</t>
  </si>
  <si>
    <t>OVPCN</t>
  </si>
  <si>
    <t>SHORT JUMPSUIT OVERALL PANTS CINNAMOROLL OVPCN:PASTEL BLUE:3-4:GRAPHIC:SHORT JUMPSUIT</t>
  </si>
  <si>
    <t>SHORT JUMPSUIT OVERALL PANTS CINNAMOROLL OVPCN:PASTEL BLUE:4-5:GRAPHIC:SHORT JUMPSUIT</t>
  </si>
  <si>
    <t>SHORT JUMPSUIT OVERALL PANTS CINNAMOROLL OVPCN:PASTEL BLUE:7-8:GRAPHIC:SHORT JUMPSUIT</t>
  </si>
  <si>
    <t>SHORT JUMPSUIT OVERALL PANTS CINNAMOROLL OVPCN:PASTEL BLUE:5-6:GRAPHIC:SHORT JUMPSUIT</t>
  </si>
  <si>
    <t>TSGKUR7</t>
  </si>
  <si>
    <t>SS T-SHIRT KUROMI CUT N SEWN TSGKUR7:ASSORTIVE COLOR:5-6:PRINT:SS T-SHIRT</t>
  </si>
  <si>
    <t>SS T-SHIRT KUROMI CUT N SEWN TSGKUR7:ASSORTIVE COLOR:7-8:PRINT:SS T-SHIRT</t>
  </si>
  <si>
    <t>SS T-SHIRT KUROMI CUT N SEWN TSGKUR7:ASSORTIVE COLOR:9-10:PRINT:SS T-SHIRT</t>
  </si>
  <si>
    <t>SS T-SHIRT KUROMI CUT N SEWN TSGKUR7:ASSORTIVE COLOR:11-12:PRINT:SS T-SHIRT</t>
  </si>
  <si>
    <t>TSGKUR8</t>
  </si>
  <si>
    <t>SS T-SHIRT FP KUROMI TSGKUR8:PASTEL PURPLE:7-8:PRINT:SS T-SHIRT</t>
  </si>
  <si>
    <t>SS T-SHIRT FP KUROMI TSGKUR8:PASTEL PURPLE:5-6:PRINT:SS T-SHIRT</t>
  </si>
  <si>
    <t>SS T-SHIRT FP KUROMI TSGKUR8:PASTEL PURPLE:9-10:PRINT:SS T-SHIRT</t>
  </si>
  <si>
    <t>SS T-SHIRT FP KUROMI TSGKUR8:PASTEL PURPLE:11-12:PRINT:SS T-SHIRT</t>
  </si>
  <si>
    <t>TSMMLP3</t>
  </si>
  <si>
    <t>SS T-SHIRT RIB MY LITTLE PONY TSMMLP3:PASTEL PINK:5-6:GRAPHIC:SS T-SHIRT</t>
  </si>
  <si>
    <t>SS T-SHIRT RIB MY LITTLE PONY TSMMLP3:PASTEL PINK:7-8:GRAPHIC:SS T-SHIRT</t>
  </si>
  <si>
    <t>SS T-SHIRT RIB MY LITTLE PONY TSMMLP3:PASTEL PINK:9-10:GRAPHIC:SS T-SHIRT</t>
  </si>
  <si>
    <t>SS T-SHIRT RIB MY LITTLE PONY TSMMLP3:PASTEL PINK:11-12:GRAPHIC:SS T-SHIRT</t>
  </si>
  <si>
    <t>TSMMLP1</t>
  </si>
  <si>
    <t>SS T-SHIRT TULLE MY LITTLE PONY TSMMLP1:PASTEL PINK:3-4:GRAPHIC:SS T-SHIRT</t>
  </si>
  <si>
    <t>SS T-SHIRT TULLE MY LITTLE PONY TSMMLP1:PASTEL PINK:4-5:GRAPHIC:SS T-SHIRT</t>
  </si>
  <si>
    <t>SS T-SHIRT TULLE MY LITTLE PONY TSMMLP1:PASTEL PINK:5-6:GRAPHIC:SS T-SHIRT</t>
  </si>
  <si>
    <t>SS T-SHIRT TULLE MY LITTLE PONY TSMMLP1:PASTEL PINK:7-8:GRAPHIC:SS T-SHIRT</t>
  </si>
  <si>
    <t>TSRBLKU1</t>
  </si>
  <si>
    <t>TSRBLKU2</t>
  </si>
  <si>
    <t>SS T-SHIRT RIB KUROMI TSRBLKU2:PASTEL GREY:11-12:GRAPHIC:SS T-SHIRT</t>
  </si>
  <si>
    <t>SS T-SHIRT RIB KUROMI TSRBLKU2:PASTEL GREY:5-6:GRAPHIC:SS T-SHIRT</t>
  </si>
  <si>
    <t>SS T-SHIRT RIB KUROMI TSRBLKU2:PASTEL GREY:7-8:GRAPHIC:SS T-SHIRT</t>
  </si>
  <si>
    <t>SS T-SHIRT RIB KUROMI TSRBLKU2:PASTEL GREY:9-10:GRAPHIC:SS T-SHIRT</t>
  </si>
  <si>
    <t>DSSBCN</t>
  </si>
  <si>
    <t>SS MIDI DRESS CINNAMOROLL SLING BAG DSSBCN:PASTEL PINK:3-4:GRAPHIC:SS MIDI DRESS</t>
  </si>
  <si>
    <t>SS MIDI DRESS CINNAMOROLL SLING BAG DSSBCN:PASTEL PINK:4-5:GRAPHIC:SS MIDI DRESS</t>
  </si>
  <si>
    <t>SS MIDI DRESS CINNAMOROLL SLING BAG DSSBCN:PASTEL PINK:5-6:GRAPHIC:SS MIDI DRESS</t>
  </si>
  <si>
    <t>SS MIDI DRESS CINNAMOROLL SLING BAG DSSBCN:PASTEL PINK:7-8:GRAPHIC:SS MIDI DRESS</t>
  </si>
  <si>
    <t>DSOKU</t>
  </si>
  <si>
    <t>SS MIDI DRESS OVERALL KUROMI DSOKU:PASTEL PINK:3-4:GRAPHIC:SS MIDI DRESS</t>
  </si>
  <si>
    <t>SS MIDI DRESS OVERALL KUROMI DSOKU:PASTEL PINK:4-5:GRAPHIC:SS MIDI DRESS</t>
  </si>
  <si>
    <t>SS MIDI DRESS OVERALL KUROMI DSOKU:PASTEL PINK:5-6:GRAPHIC:SS MIDI DRESS</t>
  </si>
  <si>
    <t>SS MIDI DRESS OVERALL KUROMI DSOKU:PASTEL PINK:7-8:GRAPHIC:SS MIDI DRESS</t>
  </si>
  <si>
    <t>DSOSTJMM</t>
  </si>
  <si>
    <t>SS MIDI DRESS OFF SHOULDER WVN MY MELODY DSOSTJMM:PASTEL PINK:3-4:GRAPHIC:SS MIDI DRESS</t>
  </si>
  <si>
    <t>SS MIDI DRESS OFF SHOULDER WVN MY MELODY DSOSTJMM:PASTEL PINK:4-5:GRAPHIC:SS MIDI DRESS</t>
  </si>
  <si>
    <t>SS MIDI DRESS OFF SHOULDER WVN MY MELODY DSOSTJMM:PASTEL PINK:5-6:GRAPHIC:SS MIDI DRESS</t>
  </si>
  <si>
    <t>SS MIDI DRESS OFF SHOULDER WVN MY MELODY DSOSTJMM:PASTEL PINK:7-8:GRAPHIC:SS MIDI DRESS</t>
  </si>
  <si>
    <t>SS MIDI DRESS OFF SHOULDER WVN MY MELODY DSOSTJMM:PASTEL PINK:9-10:GRAPHIC:SS MIDI DRESS</t>
  </si>
  <si>
    <t>DSOSTJCN</t>
  </si>
  <si>
    <t>SS MIDI DRESS OFF SHOULDER WVN CINNAMOROLL DSOSTJCN:PASTEL BLUE:3-4:GRAPHIC:SS MIDI DRESS</t>
  </si>
  <si>
    <t>SS MIDI DRESS OFF SHOULDER WVN CINNAMOROLL DSOSTJCN:PASTEL BLUE:4-5:GRAPHIC:SS MIDI DRESS</t>
  </si>
  <si>
    <t>SS MIDI DRESS OFF SHOULDER WVN CINNAMOROLL DSOSTJCN:PASTEL BLUE:5-6:GRAPHIC:SS MIDI DRESS</t>
  </si>
  <si>
    <t>SS MIDI DRESS OFF SHOULDER WVN CINNAMOROLL DSOSTJCN:PASTEL BLUE:7-8:GRAPHIC:SS MIDI DRESS</t>
  </si>
  <si>
    <t>SS MIDI DRESS OFF SHOULDER WVN CINNAMOROLL DSOSTJCN:PASTEL BLUE:9-10:GRAPHIC:SS MIDI DRESS</t>
  </si>
  <si>
    <t>SSMLP</t>
  </si>
  <si>
    <t>SS T-SHIRT TOP KERAH MY LITTLE PONY SSMLP:OFF WHITE:3-4:GRAPHIC:SS T-SHIRT</t>
  </si>
  <si>
    <t>SS T-SHIRT TOP KERAH MY LITTLE PONY SSMLP:OFF WHITE:4-5:GRAPHIC:SS T-SHIRT</t>
  </si>
  <si>
    <t>SS T-SHIRT TOP KERAH MY LITTLE PONY SSMLP:OFF WHITE:5-6:GRAPHIC:SS T-SHIRT</t>
  </si>
  <si>
    <t>SS T-SHIRT TOP KERAH MY LITTLE PONY SSMLP:OFF WHITE:7-8:GRAPHIC:SS T-SHIRT</t>
  </si>
  <si>
    <t>SWMLP</t>
  </si>
  <si>
    <t>SWEATSHIRT MY LITTLE PONY SWMLP:PASTEL PINK:3-4:GRAPHIC:SWEATSHIRT</t>
  </si>
  <si>
    <t>SWEATSHIRT MY LITTLE PONY SWMLP:PASTEL PINK:4-5:GRAPHIC:SWEATSHIRT</t>
  </si>
  <si>
    <t>SWEATSHIRT MY LITTLE PONY SWMLP:PASTEL PINK:5-6:GRAPHIC:SWEATSHIRT</t>
  </si>
  <si>
    <t>SWEATSHIRT MY LITTLE PONY SWMLP:PASTEL PINK:7-8:GRAPHIC:SWEATSHIRT</t>
  </si>
  <si>
    <t>JKHCN</t>
  </si>
  <si>
    <t>JACKET HOODIE CINNAMOROLL JKHCN:PASTEL PINK:3-4:GRAPHIC:JACKET</t>
  </si>
  <si>
    <t>JACKET HOODIE CINNAMOROLL JKHCN:PASTEL PINK:4-5:GRAPHIC:JACKET</t>
  </si>
  <si>
    <t>JACKET HOODIE CINNAMOROLL JKHCN:PASTEL PINK:5-6:GRAPHIC:JACKET</t>
  </si>
  <si>
    <t>JACKET HOODIE CINNAMOROLL JKHCN:PASTEL PINK:7-8:GRAPHIC:JACKET</t>
  </si>
  <si>
    <t>SWBARSI</t>
  </si>
  <si>
    <t>SWEATSHIRT BARBIE STYLE ICON SWBARSI:PASTEL PINK:5-6:GRAPHIC:SWEATSHIRT</t>
  </si>
  <si>
    <t>SWEATSHIRT BARBIE STYLE ICON SWBARSI:PASTEL PINK:7-8:GRAPHIC:SWEATSHIRT</t>
  </si>
  <si>
    <t>SWEATSHIRT BARBIE STYLE ICON SWBARSI:PASTEL PINK:9-10:GRAPHIC:SWEATSHIRT</t>
  </si>
  <si>
    <t>SWEATSHIRT BARBIE STYLE ICON SWBARSI:PASTEL PINK:11-12:GRAPHIC:SWEATSHIRT</t>
  </si>
  <si>
    <t>JGBARSI</t>
  </si>
  <si>
    <t>JOGGER BARBIE STOPPER JGBARSI:PASTEL PINK:5-6:GRAPHIC:JOGGER</t>
  </si>
  <si>
    <t>JOGGER BARBIE STOPPER JGBARSI:PASTEL PINK:7-8:GRAPHIC:JOGGER</t>
  </si>
  <si>
    <t>JOGGER BARBIE STOPPER JGBARSI:PASTEL PINK:9-10:GRAPHIC:JOGGER</t>
  </si>
  <si>
    <t>JOGGER BARBIE STOPPER JGBARSI:PASTEL PINK:11-12:GRAPHIC:JOGGER</t>
  </si>
  <si>
    <t>DSCDMLP</t>
  </si>
  <si>
    <t>SS MIDI DRESS CARD MY LITTLE PONY DSCDMLP:PASTEL PINK:3-4:GRAPHIC:SS MIDI DRESS</t>
  </si>
  <si>
    <t>SS MIDI DRESS CARD MY LITTLE PONY DSCDMLP:PASTEL PINK:4-5:GRAPHIC:SS MIDI DRESS</t>
  </si>
  <si>
    <t>SS MIDI DRESS CARD MY LITTLE PONY DSCDMLP:PASTEL PINK:5-6:GRAPHIC:SS MIDI DRESS</t>
  </si>
  <si>
    <t>SS MIDI DRESS CARD MY LITTLE PONY DSCDMLP:PASTEL PINK:7-8:GRAPHIC:SS MIDI DRESS</t>
  </si>
  <si>
    <t>DSTMLP</t>
  </si>
  <si>
    <t>SS MIDI DRESS TULLE MLP DSTMLP:OFF WHITE:3-4:GRAPHIC:SS MIDI DRESS</t>
  </si>
  <si>
    <t>SS MIDI DRESS TULLE MLP DSTMLP:OFF WHITE:4-5:GRAPHIC:SS MIDI DRESS</t>
  </si>
  <si>
    <t>SS MIDI DRESS TULLE MLP DSTMLP:OFF WHITE:5-6:GRAPHIC:SS MIDI DRESS</t>
  </si>
  <si>
    <t>SS MIDI DRESS TULLE MLP DSTMLP:OFF WHITE:7-8:GRAPHIC:SS MIDI DRESS</t>
  </si>
  <si>
    <t>DSPBAR</t>
  </si>
  <si>
    <t>SS MIDI DRESS TULLE BARBIE DSPBAR:PASTEL PINK:4-5:GRAPHIC:SS MIDI DRESS</t>
  </si>
  <si>
    <t>SS MIDI DRESS TULLE BARBIE DSPBAR:PASTEL PINK:5-6:GRAPHIC:SS MIDI DRESS</t>
  </si>
  <si>
    <t>SS MIDI DRESS TULLE BARBIE DSPBAR:PASTEL PINK:7-8:GRAPHIC:SS MIDI DRESS</t>
  </si>
  <si>
    <t>SS MIDI DRESS TULLE BARBIE DSPBAR:PASTEL PINK:9-10:GRAPHIC:SS MIDI DRESS</t>
  </si>
  <si>
    <t>SS T-SHIRT RAGLAN APLIKASI &amp; POMPOM KUROMI SSRKU:OFF WHITE:11-12:GRAPHIC:SS T-SHIRT</t>
  </si>
  <si>
    <t>SS T-SHIRT RAGLAN APLIKASI &amp; POMPOM KUROMI SSRKU:OFF WHITE:9-10:GRAPHIC:SS T-SHIRT</t>
  </si>
  <si>
    <t>SWKEMM</t>
  </si>
  <si>
    <t>SWEATSHIRT PITA MY MELODY SWKEMM:OFF WHITE:4-5:GRAPHIC:SWEATSHIRT</t>
  </si>
  <si>
    <t>SWEATSHIRT PITA MY MELODY SWKEMM:OFF WHITE:9-10:GRAPHIC:SWEATSHIRT</t>
  </si>
  <si>
    <t>SWEATSHIRT PITA MY MELODY SWKEMM:OFF WHITE:7-8:GRAPHIC:SWEATSHIRT</t>
  </si>
  <si>
    <t>SWEATSHIRT PITA MY MELODY SWKEMM:OFF WHITE:5-6:GRAPHIC:SWEATSHIRT</t>
  </si>
  <si>
    <t>SWEATSHIRT PITA MY MELODY SWKEMM:OFF WHITE:3-4:GRAPHIC:SWEATSHIRT</t>
  </si>
  <si>
    <t>JKBARSI</t>
  </si>
  <si>
    <t>JACKET VARSITY BARBIE GLOBAL ICON JKBARSI:PASTEL PINK:9-10:GRAPHIC:JACKET</t>
  </si>
  <si>
    <t>JACKET VARSITY BARBIE GLOBAL ICON JKBARSI:PASTEL PINK:11-12:GRAPHIC:JACKET</t>
  </si>
  <si>
    <t>JACKET VARSITY BARBIE GLOBAL ICON JKBARSI:PASTEL PINK:7-8:GRAPHIC:JACKET</t>
  </si>
  <si>
    <t>JACKET VARSITY BARBIE GLOBAL ICON JKBARSI:PASTEL PINK:5-6:GRAPHIC:JACKET</t>
  </si>
  <si>
    <t>DSOTJKU</t>
  </si>
  <si>
    <t>SS MIDI DRESS OVERALL KUROMI DSOTJKU:PASTEL PURPLE:5-6:GRAPHIC:SS MIDI DRESS</t>
  </si>
  <si>
    <t>SS MIDI DRESS OVERALL KUROMI DSOTJKU:PASTEL PURPLE:7-8:GRAPHIC:SS MIDI DRESS</t>
  </si>
  <si>
    <t>SS MIDI DRESS OVERALL KUROMI DSOTJKU:PASTEL PURPLE:9-10:GRAPHIC:SS MIDI DRESS</t>
  </si>
  <si>
    <t>SS MIDI DRESS OVERALL KUROMI DSOTJKU:PASTEL PURPLE:3-4:GRAPHIC:SS MIDI DRESS</t>
  </si>
  <si>
    <t>SS MIDI DRESS OVERALL KUROMI DSOTJKU:PASTEL PURPLE:4-5:GRAPHIC:SS MIDI DRESS</t>
  </si>
  <si>
    <t>DSCMFZA</t>
  </si>
  <si>
    <t>SS MIDI DRESS COSTUM FROZEN DSCMFZA:PASTEL BLUE:3-4:SOLID:SS MIDI DRESS</t>
  </si>
  <si>
    <t>SS MIDI DRESS COSTUM FROZEN DSCMFZA:PASTEL BLUE:4-5:SOLID:SS MIDI DRESS</t>
  </si>
  <si>
    <t>SS MIDI DRESS COSTUM FROZEN DSCMFZA:PASTEL BLUE:5-6:SOLID:SS MIDI DRESS</t>
  </si>
  <si>
    <t>SS MIDI DRESS COSTUM FROZEN DSCMFZA:PASTEL BLUE:7-8:SOLID:SS MIDI DRESS</t>
  </si>
  <si>
    <t>SSCSMAR</t>
  </si>
  <si>
    <t>SS T-SHIRT RIB CUT N SEWN MARIE SSCSMAR:OFF WHITE:9-10:GRAPHIC:SS T-SHIRT</t>
  </si>
  <si>
    <t>SS T-SHIRT RIB CUT N SEWN MARIE SSCSMAR:OFF WHITE:11-12:GRAPHIC:SS T-SHIRT</t>
  </si>
  <si>
    <t>SS T-SHIRT RIB CUT N SEWN MARIE SSCSMAR:OFF WHITE:5-6:GRAPHIC:SS T-SHIRT</t>
  </si>
  <si>
    <t>SS T-SHIRT RIB CUT N SEWN MARIE SSCSMAR:OFF WHITE:7-8:GRAPHIC:SS T-SHIRT</t>
  </si>
  <si>
    <t>SSAPLMAR</t>
  </si>
  <si>
    <t>SS T-SHIRT RIB APLIKASI MARIE SSAPLMAR:OFF WHITE:3-4:GRAPHIC:SS T-SHIRT</t>
  </si>
  <si>
    <t>SS T-SHIRT RIB APLIKASI MARIE SSAPLMAR:OFF WHITE:4-5:GRAPHIC:SS T-SHIRT</t>
  </si>
  <si>
    <t>SS T-SHIRT RIB APLIKASI MARIE SSAPLMAR:OFF WHITE:5-6:GRAPHIC:SS T-SHIRT</t>
  </si>
  <si>
    <t>SS T-SHIRT RIB APLIKASI MARIE SSAPLMAR:OFF WHITE:7-8:GRAPHIC:SS T-SHIRT</t>
  </si>
  <si>
    <t>DSTULFRZ</t>
  </si>
  <si>
    <t>SS MIDI DRESS TULLE FROZEN DSTULFRZ:PASTEL BLUE:3-4:PRINT:SS MIDI DRESS</t>
  </si>
  <si>
    <t>SS MIDI DRESS TULLE FROZEN DSTULFRZ:PASTEL BLUE:4-5:PRINT:SS MIDI DRESS</t>
  </si>
  <si>
    <t>SS MIDI DRESS TULLE FROZEN DSTULFRZ:PASTEL BLUE:5-6:PRINT:SS MIDI DRESS</t>
  </si>
  <si>
    <t>SS MIDI DRESS TULLE FROZEN DSTULFRZ:PASTEL BLUE:7-8:PRINT:SS MIDI DRESS</t>
  </si>
  <si>
    <t>DSAURO</t>
  </si>
  <si>
    <t>SS MIDI DRESS SLEEPING BEAUTY DSAURO:PASTEL PINK:7-8:PRINT:SS MIDI DRESS</t>
  </si>
  <si>
    <t>SS MIDI DRESS SLEEPING BEAUTY DSAURO:PASTEL PINK:3-4:PRINT:SS MIDI DRESS</t>
  </si>
  <si>
    <t>SS MIDI DRESS SLEEPING BEAUTY DSAURO:PASTEL PINK:4-5:PRINT:SS MIDI DRESS</t>
  </si>
  <si>
    <t>SS MIDI DRESS SLEEPING BEAUTY DSAURO:PASTEL PINK:5-6:PRINT:SS MIDI DRESS</t>
  </si>
  <si>
    <t>DSCTMAR</t>
  </si>
  <si>
    <t>SS MIDI DRESS MARIE KOMBI TULLE DSCTMAR:MISTY MEDIUM GREY:7-8:GRAPHIC:SS MIDI DRESS</t>
  </si>
  <si>
    <t>DSOKMAR</t>
  </si>
  <si>
    <t>SS MIDI DRESS MARIE OVERALL KERAH DSOKMAR:PASTEL PINK:3-4:GRAPHIC:SS MIDI DRESS</t>
  </si>
  <si>
    <t>SS MIDI DRESS MARIE OVERALL KERAH DSOKMAR:PASTEL PINK:4-5:GRAPHIC:SS MIDI DRESS</t>
  </si>
  <si>
    <t>SS MIDI DRESS MARIE OVERALL KERAH DSOKMAR:PASTEL PINK:5-6:GRAPHIC:SS MIDI DRESS</t>
  </si>
  <si>
    <t>SS MIDI DRESS MARIE OVERALL KERAH DSOKMAR:PASTEL PINK:7-8:GRAPHIC:SS MIDI DRESS</t>
  </si>
  <si>
    <t>SS MIDI DRESS MARIE KOMBI TULLE DSCTMAR:MISTY MEDIUM GREY:3-4:GRAPHIC:SS MIDI DRESS</t>
  </si>
  <si>
    <t>SS MIDI DRESS MARIE KOMBI TULLE DSCTMAR:MISTY MEDIUM GREY:4-5:GRAPHIC:SS MIDI DRESS</t>
  </si>
  <si>
    <t>SS MIDI DRESS MARIE KOMBI TULLE DSCTMAR:MISTY MEDIUM GREY:5-6:GRAPHIC:SS MIDI DRESS</t>
  </si>
  <si>
    <t>SWMEMIN</t>
  </si>
  <si>
    <t>SWEATSHIRT CUT SEWN MINNIE SWMEMIN:PASTEL PINK:11-12:GRAPHIC:SWEATSHIRT</t>
  </si>
  <si>
    <t>SWEATSHIRT CUT SEWN MINNIE SWMEMIN:PASTEL PINK:9-10:GRAPHIC:SWEATSHIRT</t>
  </si>
  <si>
    <t>SWEATSHIRT CUT SEWN MINNIE SWMEMIN:PASTEL PINK:5-6:GRAPHIC:SWEATSHIRT</t>
  </si>
  <si>
    <t>SWEATSHIRT CUT SEWN MINNIE SWMEMIN:PASTEL PINK:7-8:GRAPHIC:SWEATSHIRT</t>
  </si>
  <si>
    <t>JGMEMIN</t>
  </si>
  <si>
    <t>JOGGER CARGO MINNIE JGMEMIN:PASTEL PINK:11-12:GRAPHIC:JOGGER</t>
  </si>
  <si>
    <t>JOGGER CARGO MINNIE JGMEMIN:PASTEL PINK:7-8:GRAPHIC:JOGGER</t>
  </si>
  <si>
    <t>JOGGER CARGO MINNIE JGMEMIN:PASTEL PINK:9-10:GRAPHIC:JOGGER</t>
  </si>
  <si>
    <t>JOGGER CARGO MINNIE JGMEMIN:PASTEL PINK:5-6:GRAPHIC:JOGGER</t>
  </si>
  <si>
    <t>DSLOT1</t>
  </si>
  <si>
    <t>SS MIDI DRESS PITA LOTSO DSLOT1:OFF WHITE:5-6:GRAPHIC:SS MIDI DRESS</t>
  </si>
  <si>
    <t>SS MIDI DRESS PITA LOTSO DSLOT1:OFF WHITE:7-8:GRAPHIC:SS MIDI DRESS</t>
  </si>
  <si>
    <t>SS MIDI DRESS PITA LOTSO DSLOT1:OFF WHITE:9-10:GRAPHIC:SS MIDI DRESS</t>
  </si>
  <si>
    <t>SS MIDI DRESS PITA LOTSO DSLOT1:OFF WHITE:11-12:GRAPHIC:SS MIDI DRESS</t>
  </si>
  <si>
    <t>DSLOT2</t>
  </si>
  <si>
    <t>SS MIDI DRESS KOTAK LOTSO DSLOT2:PASTEL PINK:5-6:CHECKS:SS MIDI DRESS</t>
  </si>
  <si>
    <t>SS MIDI DRESS KOTAK LOTSO DSLOT2:PASTEL PINK:7-8:CHECKS:SS MIDI DRESS</t>
  </si>
  <si>
    <t>SS MIDI DRESS KOTAK LOTSO DSLOT2:PASTEL PINK:9-10:CHECKS:SS MIDI DRESS</t>
  </si>
  <si>
    <t>SS MIDI DRESS KOTAK LOTSO DSLOT2:PASTEL PINK:11-12:CHECKS:SS MIDI DRESS</t>
  </si>
  <si>
    <t>TSREX</t>
  </si>
  <si>
    <t>SS T-SHIRT TS APL REX TSREX:PASTEL YELLOW:24-36:PRINT:SS T-SHIRT</t>
  </si>
  <si>
    <t>SS T-SHIRT TS APL REX TSREX:PASTEL YELLOW:18-24:PRINT:SS T-SHIRT</t>
  </si>
  <si>
    <t>SS T-SHIRT TS APL REX TSREX:PASTEL YELLOW:6-12:PRINT:SS T-SHIRT</t>
  </si>
  <si>
    <t>SS T-SHIRT TS APL REX TSREX:PASTEL YELLOW:12-18:PRINT:SS T-SHIRT</t>
  </si>
  <si>
    <t>JKREX</t>
  </si>
  <si>
    <t>JACKET APL REX JKREX:NAVY BLUE:6-12:PRINT:JACKET</t>
  </si>
  <si>
    <t>JACKET APL REX JKREX:NAVY BLUE:12-18:PRINT:JACKET</t>
  </si>
  <si>
    <t>JACKET APL REX JKREX:NAVY BLUE:18-24:PRINT:JACKET</t>
  </si>
  <si>
    <t>JACKET APL REX JKREX:NAVY BLUE:24-36:PRINT:JACKET</t>
  </si>
  <si>
    <t>JGREX</t>
  </si>
  <si>
    <t>JOGGER APL REX JGREX:NAVY BLUE:6-12:PRINT:JOGGER</t>
  </si>
  <si>
    <t>JOGGER APL REX JGREX:NAVY BLUE:12-18:PRINT:JOGGER</t>
  </si>
  <si>
    <t>JOGGER APL REX JGREX:NAVY BLUE:18-24:PRINT:JOGGER</t>
  </si>
  <si>
    <t>JOGGER APL REX JGREX:NAVY BLUE:24-36:PRINT:JOGGER</t>
  </si>
  <si>
    <t>SETREX</t>
  </si>
  <si>
    <t>TOP - BOTTOM SET APL REX SETREX:PASTEL GREEN:6-12:PRINT:TOP - BOTTOM SET</t>
  </si>
  <si>
    <t>TOP - BOTTOM SET APL REX SETREX:PASTEL GREEN:12-18:PRINT:TOP - BOTTOM SET</t>
  </si>
  <si>
    <t>TOP - BOTTOM SET APL REX SETREX:PASTEL GREEN:18-24:PRINT:TOP - BOTTOM SET</t>
  </si>
  <si>
    <t>TOP - BOTTOM SET APL REX SETREX:PASTEL GREEN:24-36:PRINT:TOP - BOTTOM SET</t>
  </si>
  <si>
    <t>OVREX</t>
  </si>
  <si>
    <t>SHORT JUMPSUIT OVERALL APL REX OVREX:NAVY BLUE:6-12:PRINT:SHORT JUMPSUIT</t>
  </si>
  <si>
    <t>SHORT JUMPSUIT OVERALL APL REX OVREX:NAVY BLUE:12-18:PRINT:SHORT JUMPSUIT</t>
  </si>
  <si>
    <t>SHORT JUMPSUIT OVERALL APL REX OVREX:NAVY BLUE:18-24:PRINT:SHORT JUMPSUIT</t>
  </si>
  <si>
    <t>SHORT JUMPSUIT OVERALL APL REX OVREX:NAVY BLUE:24-36:PRINT:SHORT JUMPSUIT</t>
  </si>
  <si>
    <t>SETWFREX</t>
  </si>
  <si>
    <t>TOP - BOTTOM SET WAFEL REX SETWFREX:PASTEL GREEN:18-24:PRINT:TOP - BOTTOM SET</t>
  </si>
  <si>
    <t>TOP - BOTTOM SET WAFEL REX SETWFREX:PASTEL GREEN:24-36:PRINT:TOP - BOTTOM SET</t>
  </si>
  <si>
    <t>TOP - BOTTOM SET WAFEL REX SETWFREX:PASTEL GREEN:6-12:PRINT:TOP - BOTTOM SET</t>
  </si>
  <si>
    <t>TOP - BOTTOM SET WAFEL REX SETWFREX:PASTEL GREEN:12-18:PRINT:TOP - BOTTOM SET</t>
  </si>
  <si>
    <t>OVWFREX</t>
  </si>
  <si>
    <t>SHORT JUMPSUIT OVERALL WAFEL REX OVWFREX:PASTEL GREEN:18-24:PRINT:SHORT JUMPSUIT</t>
  </si>
  <si>
    <t>SHORT JUMPSUIT OVERALL WAFEL REX OVWFREX:PASTEL GREEN:24-36:PRINT:SHORT JUMPSUIT</t>
  </si>
  <si>
    <t>SHORT JUMPSUIT OVERALL WAFEL REX OVWFREX:PASTEL GREEN:6-12:PRINT:SHORT JUMPSUIT</t>
  </si>
  <si>
    <t>SHORT JUMPSUIT OVERALL WAFEL REX OVWFREX:PASTEL GREEN:12-18:PRINT:SHORT JUMPSUIT</t>
  </si>
  <si>
    <t>UNBOY09</t>
  </si>
  <si>
    <t>BRIEF UW PACK OF 3 SPIDERMAN UNBOY09:ASSORTIVE COLOR:S:PRINT:BRIEF</t>
  </si>
  <si>
    <t>BRIEF UW PACK OF 3 SPIDERMAN UNBOY09:ASSORTIVE COLOR:M:PRINT:BRIEF</t>
  </si>
  <si>
    <t>BRIEF UW PACK OF 3 SPIDERMAN UNBOY09:ASSORTIVE COLOR:L:PRINT:BRIEF</t>
  </si>
  <si>
    <t>BRIEF UW PACK OF 3 SPIDERMAN UNBOY09:ASSORTIVE COLOR:XL:PRINT:BRIEF</t>
  </si>
  <si>
    <t>KKSPD250</t>
  </si>
  <si>
    <t>SOCKS KK SPIDERMAN KKSPD250:BLACK:14-16:GRAPHIC:SOCKS</t>
  </si>
  <si>
    <t>SOCKS KK SPIDERMAN KKSPD250:BLACK:18-20:GRAPHIC:SOCKS</t>
  </si>
  <si>
    <t>KKHDSPD</t>
  </si>
  <si>
    <t>SOCKS KKB FP SPIDERMAN HEAD AND SPIDER KKHDSPD:BLACK:14-16:PRINT:SOCKS</t>
  </si>
  <si>
    <t>SOCKS KKB FP SPIDERMAN HEAD AND SPIDER KKHDSPD:BLACK:18-20:PRINT:SOCKS</t>
  </si>
  <si>
    <t>KKSPDWEB</t>
  </si>
  <si>
    <t>SOCKS KKB FP SPIDERMAN SPIDER WEB KKSPDWEB:BLACK:14-16:PRINT:SOCKS</t>
  </si>
  <si>
    <t>SOCKS KKB FP SPIDERMAN SPIDER WEB KKSPDWEB:BLACK:18-20:PRINT:SOCKS</t>
  </si>
  <si>
    <t>KKSPD249</t>
  </si>
  <si>
    <t>SOCKS KK SPIDERMAN JARING KKSPD249:BLACK:18-20:GRAPHIC:SOCKS</t>
  </si>
  <si>
    <t>SOCKS KK SPIDERMAN JARING KKSPD249:BLACK:14-16:GRAPHIC:SOCKS</t>
  </si>
  <si>
    <t>SWSPD242</t>
  </si>
  <si>
    <t>TOP - BOTTOM SET LSLP FP MARVEL SPIDERMAN SWSPD242:PASTEL GREY:4:PRINT:TOP - BOTTOM SET</t>
  </si>
  <si>
    <t>TOP - BOTTOM SET LSLP FP MARVEL SPIDERMAN SWSPD242:PASTEL GREY:5:PRINT:TOP - BOTTOM SET</t>
  </si>
  <si>
    <t>TOP - BOTTOM SET LSLP FP MARVEL SPIDERMAN SWSPD242:PASTEL GREY:6:PRINT:TOP - BOTTOM SET</t>
  </si>
  <si>
    <t>TOP - BOTTOM SET LSLP FP MARVEL SPIDERMAN SWSPD242:PASTEL GREY:7:PRINT:TOP - BOTTOM SET</t>
  </si>
  <si>
    <t>TOP - BOTTOM SET LSLP FP MARVEL SPIDERMAN SWSPD242:PASTEL GREY:8:PRINT:TOP - BOTTOM SET</t>
  </si>
  <si>
    <t>TOP - BOTTOM SET LSLP FP MARVEL SPIDERMAN SWSPD242:PASTEL GREY:10:PRINT:TOP - BOTTOM SET</t>
  </si>
  <si>
    <t>TOP - BOTTOM SET LSLP FP MARVEL SPIDERMAN SWSPD242:PASTEL GREY:12:PRINT:TOP - BOTTOM SET</t>
  </si>
  <si>
    <t>TOP - BOTTOM SET LSLP FP MARVEL SPIDERMAN SWSPD242:PASTEL GREY:14:PRINT:TOP - BOTTOM SET</t>
  </si>
  <si>
    <t>KKMMLK</t>
  </si>
  <si>
    <t>SOCKS KKB SIMBA LION KING KKMMLK:PASTEL YELLOW:14-16:GRAPHIC:SOCKS</t>
  </si>
  <si>
    <t>SOCKS KKB SIMBA LION KING KKMMLK:PASTEL YELLOW:18-20:GRAPHIC:SOCKS</t>
  </si>
  <si>
    <t>KKLGMIN</t>
  </si>
  <si>
    <t>SOCKS KKG MINNIE LOGO ATAS KKLGMIN:PASTEL PINK:14-16:GRAPHIC:SOCKS</t>
  </si>
  <si>
    <t>SOCKS KKG MINNIE LOGO ATAS KKLGMIN:PASTEL PINK:18-20:GRAPHIC:SOCKS</t>
  </si>
  <si>
    <t>KKELFZA</t>
  </si>
  <si>
    <t>SOCKS KKG ELSA FROZEN 68060304FZA KKELFZA:PASTEL PURPLE:18-20:GRAPHIC:SOCKS</t>
  </si>
  <si>
    <t>SOCKS KKG ELSA FROZEN 68060304FZA KKELFZA:PASTEL PURPLE:14-16:GRAPHIC:SOCKS</t>
  </si>
  <si>
    <t>UNBOY04</t>
  </si>
  <si>
    <t>BRIEF UW PACK OF 3 MARVEL UNBOY04:ASSORTIVE COLOR:M:PRINT:BRIEF</t>
  </si>
  <si>
    <t>BRIEF UW PACK OF 3 MARVEL UNBOY04:ASSORTIVE COLOR:XL:PRINT:BRIEF</t>
  </si>
  <si>
    <t>BRIEF UW PACK OF 3 MARVEL UNBOY04:ASSORTIVE COLOR:S:PRINT:BRIEF</t>
  </si>
  <si>
    <t>BRIEF UW PACK OF 3 MARVEL UNBOY04:ASSORTIVE COLOR:L:PRINT:BRIEF</t>
  </si>
  <si>
    <t>SSTFKU</t>
  </si>
  <si>
    <t>SS T-SHIRT KUROMI R TOFU SSTFKU:PASTEL PURPLE:7-8:GRAPHIC:SS T-SHIRT</t>
  </si>
  <si>
    <t>SSTFCN</t>
  </si>
  <si>
    <t>SS T-SHIRT CINNAMOROLL R TOFU SSTFCN:PASTEL BLUE:9-10:GRAPHIC:SS T-SHIRT</t>
  </si>
  <si>
    <t>SS T-SHIRT KUROMI R TOFU SSTFKU:PASTEL PURPLE:9-10:GRAPHIC:SS T-SHIRT</t>
  </si>
  <si>
    <t>SS T-SHIRT CINNAMOROLL R TOFU SSTFCN:PASTEL BLUE:7-8:GRAPHIC:SS T-SHIRT</t>
  </si>
  <si>
    <t>SS T-SHIRT KUROMI R TOFU SSTFKU:PASTEL PURPLE:11-12:GRAPHIC:SS T-SHIRT</t>
  </si>
  <si>
    <t>SS T-SHIRT CINNAMOROLL R TOFU SSTFCN:PASTEL BLUE:11-12:GRAPHIC:SS T-SHIRT</t>
  </si>
  <si>
    <t>SS T-SHIRT CINNAMOROLL R TOFU SSTFCN:PASTEL BLUE:5-6:GRAPHIC:SS T-SHIRT</t>
  </si>
  <si>
    <t>SS T-SHIRT KUROMI R TOFU SSTFKU:PASTEL PURPLE:5-6:GRAPHIC:SS T-SHIRT</t>
  </si>
  <si>
    <t>JGKU2</t>
  </si>
  <si>
    <t>JOGGER KUROMI JGKU2:PASTEL PURPLE:3-4:GRAPHIC:JOGGER</t>
  </si>
  <si>
    <t>JOGGER KUROMI JGKU2:PASTEL PURPLE:7-8:GRAPHIC:JOGGER</t>
  </si>
  <si>
    <t>JOGGER KUROMI JGKU2:PASTEL PURPLE:5-6:GRAPHIC:JOGGER</t>
  </si>
  <si>
    <t>JOGGER KUROMI JGKU2:PASTEL PURPLE:4-5:GRAPHIC:JOGGER</t>
  </si>
  <si>
    <t>DSOCKU</t>
  </si>
  <si>
    <t>SS MIDI DRESS OVR WVN CHBRY KUROMI DSOCKU:MEDIUM DENIM:3-4:GRAPHIC:SS MIDI DRESS</t>
  </si>
  <si>
    <t>SS MIDI DRESS OVR WVN CHBRY KUROMI DSOCKU:MEDIUM DENIM:9-10:GRAPHIC:SS MIDI DRESS</t>
  </si>
  <si>
    <t>SS MIDI DRESS OVR WVN CHBRY KUROMI DSOCKU:MEDIUM DENIM:5-6:GRAPHIC:SS MIDI DRESS</t>
  </si>
  <si>
    <t>SS MIDI DRESS OVR WVN CHBRY KUROMI DSOCKU:MEDIUM DENIM:4-5:GRAPHIC:SS MIDI DRESS</t>
  </si>
  <si>
    <t>SS MIDI DRESS OVR WVN CHBRY KUROMI DSOCKU:MEDIUM DENIM:7-8:GRAPHIC:SS MIDI DRESS</t>
  </si>
  <si>
    <t>DSCRDOL</t>
  </si>
  <si>
    <t>SS MIDI DRESS CINNAMOROLL DOLL DSCRDOL:PASTEL BLUE:4-5:GRAPHIC:SS MIDI DRESS</t>
  </si>
  <si>
    <t>SS MIDI DRESS CINNAMOROLL DOLL DSCRDOL:PASTEL BLUE:5-6:GRAPHIC:SS MIDI DRESS</t>
  </si>
  <si>
    <t>SS MIDI DRESS CINNAMOROLL DOLL DSCRDOL:PASTEL BLUE:3-4:GRAPHIC:SS MIDI DRESS</t>
  </si>
  <si>
    <t>SS MIDI DRESS CINNAMOROLL DOLL DSCRDOL:PASTEL BLUE:7-8:GRAPHIC:SS MIDI DRESS</t>
  </si>
  <si>
    <t>DSTLMM</t>
  </si>
  <si>
    <t>SS MIDI DRESS MELODY W 3D FLOWER DSTLMM:PASTEL PINK:5-6:GRAPHIC:SS MIDI DRESS</t>
  </si>
  <si>
    <t>SS MIDI DRESS MELODY W 3D FLOWER DSTLMM:PASTEL PINK:3-4:GRAPHIC:SS MIDI DRESS</t>
  </si>
  <si>
    <t>SS MIDI DRESS MELODY W 3D FLOWER DSTLMM:PASTEL PINK:7-8:GRAPHIC:SS MIDI DRESS</t>
  </si>
  <si>
    <t>SS MIDI DRESS MELODY W 3D FLOWER DSTLMM:PASTEL PINK:4-5:GRAPHIC:SS MIDI DRESS</t>
  </si>
  <si>
    <t>SSRPMIN</t>
  </si>
  <si>
    <t>SS T-SHIRT KERAH ROMPI MINNIE SSRPMIN:PASTEL PINK:5-6:GRAPHIC:SS T-SHIRT</t>
  </si>
  <si>
    <t>SS T-SHIRT KERAH ROMPI MINNIE SSRPMIN:PASTEL PINK:7-8:GRAPHIC:SS T-SHIRT</t>
  </si>
  <si>
    <t>SS T-SHIRT KERAH ROMPI MINNIE SSRPMIN:PASTEL PINK:11-12:GRAPHIC:SS T-SHIRT</t>
  </si>
  <si>
    <t>SS T-SHIRT KERAH ROMPI MINNIE SSRPMIN:PASTEL PINK:9-10:GRAPHIC:SS T-SHIRT</t>
  </si>
  <si>
    <t>JKMEMIN</t>
  </si>
  <si>
    <t>JACKET VARSITY MINNIE JKMEMIN:PASTEL PINK:5-6:GRAPHIC:JACKET</t>
  </si>
  <si>
    <t>JACKET VARSITY MINNIE JKMEMIN:PASTEL PINK:9-10:GRAPHIC:JACKET</t>
  </si>
  <si>
    <t>JACKET VARSITY MINNIE JKMEMIN:PASTEL PINK:11-12:GRAPHIC:JACKET</t>
  </si>
  <si>
    <t>JACKET VARSITY MINNIE JKMEMIN:PASTEL PINK:7-8:GRAPHIC:JACKET</t>
  </si>
  <si>
    <t>DSLBLMIN</t>
  </si>
  <si>
    <t>SS MIDI DRESS LENGAN BALON MINNIE DSLBLMIN:PASTEL PINK:4-5:PRINT:SS MIDI DRESS</t>
  </si>
  <si>
    <t>SS MIDI DRESS LENGAN BALON MINNIE DSLBLMIN:PASTEL PINK:3-4:PRINT:SS MIDI DRESS</t>
  </si>
  <si>
    <t>SS MIDI DRESS LENGAN BALON MINNIE DSLBLMIN:PASTEL PINK:5-6:PRINT:SS MIDI DRESS</t>
  </si>
  <si>
    <t>SS MIDI DRESS LENGAN BALON MINNIE DSLBLMIN:PASTEL PINK:7-8:PRINT:SS MIDI DRESS</t>
  </si>
  <si>
    <t>DSMARKT</t>
  </si>
  <si>
    <t>SS MIDI DRESS MARIE KOMBI KOTAK DSMARKT:PASTEL PINK:3-4:GRAPHIC:SS MIDI DRESS</t>
  </si>
  <si>
    <t>SS MIDI DRESS MARIE KOMBI KOTAK DSMARKT:PASTEL PINK:5-6:GRAPHIC:SS MIDI DRESS</t>
  </si>
  <si>
    <t>SS MIDI DRESS MARIE KOMBI KOTAK DSMARKT:PASTEL PINK:7-8:GRAPHIC:SS MIDI DRESS</t>
  </si>
  <si>
    <t>SS MIDI DRESS MARIE KOMBI KOTAK DSMARKT:PASTEL PINK:4-5:GRAPHIC:SS MIDI DRESS</t>
  </si>
  <si>
    <t>DLMMIN</t>
  </si>
  <si>
    <t>LS MIDI DRESS KERAH MINNIE DLMMIN:PASTEL PINK:9-10:GRAPHIC:LS MIDI DRESS</t>
  </si>
  <si>
    <t>LS MIDI DRESS KERAH MINNIE DLMMIN:PASTEL PINK:7-8:GRAPHIC:LS MIDI DRESS</t>
  </si>
  <si>
    <t>LS MIDI DRESS KERAH MINNIE DLMMIN:PASTEL PINK:5-6:GRAPHIC:LS MIDI DRESS</t>
  </si>
  <si>
    <t>LS MIDI DRESS KERAH MINNIE DLMMIN:PASTEL PINK:11-12:GRAPHIC:LS MIDI DRESS</t>
  </si>
  <si>
    <t>DSKMIN</t>
  </si>
  <si>
    <t>SS MIDI DRESS KERAH MARIE DSKMIN:PASTEL PINK:6-12:PRINT:SS MIDI DRESS</t>
  </si>
  <si>
    <t>SS MIDI DRESS KERAH MARIE DSKMIN:PASTEL PINK:12-18:PRINT:SS MIDI DRESS</t>
  </si>
  <si>
    <t>SS MIDI DRESS KERAH MARIE DSKMIN:PASTEL PINK:24-36:PRINT:SS MIDI DRESS</t>
  </si>
  <si>
    <t>SS MIDI DRESS KERAH MARIE DSKMIN:PASTEL PINK:18-24:PRINT:SS MIDI DRESS</t>
  </si>
  <si>
    <t>TSDCMIN</t>
  </si>
  <si>
    <t>SS T-SHIRT MINNIE TINY DANCER TSDCMIN:PASTEL PINK:18-24:PRINT:SS T-SHIRT</t>
  </si>
  <si>
    <t>SS T-SHIRT MINNIE TINY DANCER TSDCMIN:PASTEL PINK:6-12:PRINT:SS T-SHIRT</t>
  </si>
  <si>
    <t>SS T-SHIRT MINNIE TINY DANCER TSDCMIN:PASTEL PINK:12-18:PRINT:SS T-SHIRT</t>
  </si>
  <si>
    <t>SS T-SHIRT MINNIE TINY DANCER TSDCMIN:PASTEL PINK:24-36:PRINT:SS T-SHIRT</t>
  </si>
  <si>
    <t>DSDCMIN</t>
  </si>
  <si>
    <t>SS MIDI DRESS ULLE MINNIE TINY DANCER DSDCMIN:PASTEL PINK:6-12:PRINT:SS MIDI DRESS</t>
  </si>
  <si>
    <t>SS MIDI DRESS ULLE MINNIE TINY DANCER DSDCMIN:PASTEL PINK:18-24:PRINT:SS MIDI DRESS</t>
  </si>
  <si>
    <t>SS MIDI DRESS ULLE MINNIE TINY DANCER DSDCMIN:PASTEL PINK:12-18:PRINT:SS MIDI DRESS</t>
  </si>
  <si>
    <t>SS MIDI DRESS ULLE MINNIE TINY DANCER DSDCMIN:PASTEL PINK:24-36:PRINT:SS MIDI DRESS</t>
  </si>
  <si>
    <t>OVRMAR</t>
  </si>
  <si>
    <t>SHORT JUMPSUIT OVERALL MARIE OVRMAR:PASTEL PINK:24-36:PRINT:SHORT JUMPSUIT</t>
  </si>
  <si>
    <t>SHORT JUMPSUIT OVERALL MARIE OVRMAR:PASTEL PINK:6-12:PRINT:SHORT JUMPSUIT</t>
  </si>
  <si>
    <t>SHORT JUMPSUIT OVERALL MARIE OVRMAR:PASTEL PINK:12-18:PRINT:SHORT JUMPSUIT</t>
  </si>
  <si>
    <t>SHORT JUMPSUIT OVERALL MARIE OVRMAR:PASTEL PINK:18-24:PRINT:SHORT JUMPSUIT</t>
  </si>
  <si>
    <t>JKDCMIN</t>
  </si>
  <si>
    <t>JACKET MINNIE TINY DANCER JKDCMIN:PASTEL PINK:24-36:PRINT:JACKET</t>
  </si>
  <si>
    <t>JACKET MINNIE TINY DANCER JKDCMIN:PASTEL PINK:6-12:PRINT:JACKET</t>
  </si>
  <si>
    <t>JACKET MINNIE TINY DANCER JKDCMIN:PASTEL PINK:18-24:PRINT:JACKET</t>
  </si>
  <si>
    <t>JACKET MINNIE TINY DANCER JKDCMIN:PASTEL PINK:12-18:PRINT:JACKET</t>
  </si>
  <si>
    <t>JGDCMIN</t>
  </si>
  <si>
    <t>JOGGER MINNIE TINY DANCER JGDCMIN:PASTEL PINK:24-36:PRINT:JOGGER</t>
  </si>
  <si>
    <t>JOGGER MINNIE TINY DANCER JGDCMIN:PASTEL PINK:12-18:PRINT:JOGGER</t>
  </si>
  <si>
    <t>JOGGER MINNIE TINY DANCER JGDCMIN:PASTEL PINK:6-12:PRINT:JOGGER</t>
  </si>
  <si>
    <t>JOGGER MINNIE TINY DANCER JGDCMIN:PASTEL PINK:18-24:PRINT:JOGGER</t>
  </si>
  <si>
    <t>SETDCMIN</t>
  </si>
  <si>
    <t>TOP - BOTTOM SET MINNIE TINY DANCER KOMBI WVN SETDCMIN:PASTEL PINK:18-24:PRINT:TOP - BOTTOM SET</t>
  </si>
  <si>
    <t>TOP - BOTTOM SET MINNIE TINY DANCER KOMBI WVN SETDCMIN:PASTEL PINK:24-36:PRINT:TOP - BOTTOM SET</t>
  </si>
  <si>
    <t>TOP - BOTTOM SET MINNIE TINY DANCER KOMBI WVN SETDCMIN:PASTEL PINK:6-12:PRINT:TOP - BOTTOM SET</t>
  </si>
  <si>
    <t>TOP - BOTTOM SET MINNIE TINY DANCER KOMBI WVN SETDCMIN:PASTEL PINK:12-18:PRINT:TOP - BOTTOM SET</t>
  </si>
  <si>
    <t>DSODCMIN</t>
  </si>
  <si>
    <t>SS MIDI DRESS OVERALL MINNIE TINY DANCER DSODCMIN:PASTEL PINK:6-12:PRINT:SS MIDI DRESS</t>
  </si>
  <si>
    <t>SS MIDI DRESS OVERALL MINNIE TINY DANCER DSODCMIN:PASTEL PINK:18-24:PRINT:SS MIDI DRESS</t>
  </si>
  <si>
    <t>SS MIDI DRESS OVERALL MINNIE TINY DANCER DSODCMIN:PASTEL PINK:12-18:PRINT:SS MIDI DRESS</t>
  </si>
  <si>
    <t>SS MIDI DRESS OVERALL MINNIE TINY DANCER DSODCMIN:PASTEL PINK:24-36:PRINT:SS MIDI DRESS</t>
  </si>
  <si>
    <t>KKMM2409</t>
  </si>
  <si>
    <t>SOCKS KKB SPIDERMAN KKMM2409:PASTEL BLUE:14-16:GRAPHIC:SOCKS</t>
  </si>
  <si>
    <t>KKMMIRM</t>
  </si>
  <si>
    <t>SOCKS KK IRON MAN KKMMIRM:PASTEL BLUE:14-16:GRAPHIC:SOCKS</t>
  </si>
  <si>
    <t>SOCKS KKB SPIDERMAN KKMM2409:PASTEL BLUE:18-20:GRAPHIC:SOCKS</t>
  </si>
  <si>
    <t>SOCKS KK IRON MAN KKMMIRM:PASTEL BLUE:18-20:GRAPHIC:SOCKS</t>
  </si>
  <si>
    <t>SW4FZA</t>
  </si>
  <si>
    <t>TOP - BOTTOM SET LSLP FROZEN MAGIC OF NATURE SW4FZA:PASTEL BLUE:4:PRINT:TOP - BOTTOM SET</t>
  </si>
  <si>
    <t>TOP - BOTTOM SET LSLP FROZEN MAGIC OF NATURE SW4FZA:PASTEL BLUE:7:PRINT:TOP - BOTTOM SET</t>
  </si>
  <si>
    <t>TOP - BOTTOM SET LSLP FROZEN MAGIC OF NATURE SW4FZA:PASTEL BLUE:14:PRINT:TOP - BOTTOM SET</t>
  </si>
  <si>
    <t>TOP - BOTTOM SET LSLP FROZEN MAGIC OF NATURE SW4FZA:PASTEL BLUE:10:PRINT:TOP - BOTTOM SET</t>
  </si>
  <si>
    <t>TOP - BOTTOM SET LSLP FROZEN MAGIC OF NATURE SW4FZA:PASTEL BLUE:12:PRINT:TOP - BOTTOM SET</t>
  </si>
  <si>
    <t>TOP - BOTTOM SET LSLP FROZEN MAGIC OF NATURE SW4FZA:PASTEL BLUE:8:PRINT:TOP - BOTTOM SET</t>
  </si>
  <si>
    <t>TOP - BOTTOM SET LSLP FROZEN MAGIC OF NATURE SW4FZA:PASTEL BLUE:5:PRINT:TOP - BOTTOM SET</t>
  </si>
  <si>
    <t>TOP - BOTTOM SET LSLP FROZEN MAGIC OF NATURE SW4FZA:PASTEL BLUE:6:PRINT:TOP - BOTTOM SET</t>
  </si>
  <si>
    <t>P3USPDE</t>
  </si>
  <si>
    <t>BRIEF PACK OF 3 UW SPIDERMAN EYES P3USPDE:ASSORTIVE COLOR:L:PRINT:BRIEF</t>
  </si>
  <si>
    <t>BRIEF PACK OF 3 UW SPIDERMAN EYES P3USPDE:ASSORTIVE COLOR:XL:PRINT:BRIEF</t>
  </si>
  <si>
    <t>BRIEF PACK OF 3 UW SPIDERMAN EYES P3USPDE:ASSORTIVE COLOR:M:PRINT:BRIEF</t>
  </si>
  <si>
    <t>BRIEF PACK OF 3 UW SPIDERMAN EYES P3USPDE:ASSORTIVE COLOR:S:PRINT:BRIEF</t>
  </si>
  <si>
    <t>SETBUTBAM</t>
  </si>
  <si>
    <t>TOP - BOTTOM SET BAMBI BUTTERFLY SETBUTBAM:OFF WHITE:12-18:PRINT:TOP - BOTTOM SET</t>
  </si>
  <si>
    <t>TOP - BOTTOM SET BAMBI BUTTERFLY SETBUTBAM:OFF WHITE:18-24:PRINT:TOP - BOTTOM SET</t>
  </si>
  <si>
    <t>TOP - BOTTOM SET BAMBI BUTTERFLY SETBUTBAM:OFF WHITE:6-12:PRINT:TOP - BOTTOM SET</t>
  </si>
  <si>
    <t>TOP - BOTTOM SET BAMBI BUTTERFLY SETBUTBAM:OFF WHITE:24-36:PRINT:TOP - BOTTOM SET</t>
  </si>
  <si>
    <t>SKKU</t>
  </si>
  <si>
    <t>SKORT PARASUT KUROMI SKKU:BLACK:3-4:GRAPHIC:SKORT</t>
  </si>
  <si>
    <t>SKORT PARASUT KUROMI SKKU:BLACK:5-6:GRAPHIC:SKORT</t>
  </si>
  <si>
    <t>SKORT PARASUT KUROMI SKKU:BLACK:7-8:GRAPHIC:SKORT</t>
  </si>
  <si>
    <t>SKORT PARASUT KUROMI SKKU:BLACK:4-5:GRAPHIC:SKORT</t>
  </si>
  <si>
    <t>DSPTMM</t>
  </si>
  <si>
    <t>SS MIDI DRESS MY MELODY DSPTMM:PASTEL PINK:3-4:GRAPHIC:SS MIDI DRESS</t>
  </si>
  <si>
    <t>SS MIDI DRESS MY MELODY DSPTMM:PASTEL PINK:7-8:GRAPHIC:SS MIDI DRESS</t>
  </si>
  <si>
    <t>SS MIDI DRESS MY MELODY DSPTMM:PASTEL PINK:5-6:GRAPHIC:SS MIDI DRESS</t>
  </si>
  <si>
    <t>SS MIDI DRESS MY MELODY DSPTMM:PASTEL PINK:4-5:GRAPHIC:SS MIDI DRESS</t>
  </si>
  <si>
    <t>DSOARMM2</t>
  </si>
  <si>
    <t>SS MIDI DRESS OVERALL MY MELODY DSOARMM2:PASTEL PINK:5-6:GRAPHIC:SS MIDI DRESS</t>
  </si>
  <si>
    <t>SS MIDI DRESS OVERALL MY MELODY DSOARMM2:PASTEL PINK:4-5:GRAPHIC:SS MIDI DRESS</t>
  </si>
  <si>
    <t>SS MIDI DRESS OVERALL MY MELODY DSOARMM2:PASTEL PINK:3-4:GRAPHIC:SS MIDI DRESS</t>
  </si>
  <si>
    <t>SS MIDI DRESS OVERALL MY MELODY DSOARMM2:PASTEL PINK:7-8:GRAPHIC:SS MIDI DRESS</t>
  </si>
  <si>
    <t>DSOARMM</t>
  </si>
  <si>
    <t>SS MIDI DRESS OVERALL MY MELODY DSOARMM:PASTEL GREEN:3-4:GRAPHIC:SS MIDI DRESS</t>
  </si>
  <si>
    <t>SS MIDI DRESS OVERALL MY MELODY DSOARMM:PASTEL GREEN:5-6:GRAPHIC:SS MIDI DRESS</t>
  </si>
  <si>
    <t>SS MIDI DRESS OVERALL MY MELODY DSOARMM:PASTEL GREEN:4-5:GRAPHIC:SS MIDI DRESS</t>
  </si>
  <si>
    <t>SS MIDI DRESS OVERALL MY MELODY DSOARMM:PASTEL GREEN:7-8:GRAPHIC:SS MIDI DRESS</t>
  </si>
  <si>
    <t>DOWMM</t>
  </si>
  <si>
    <t>SS MIDI DRESS OVERALL KOMBI WVN MY MELODY DOWMM:DUSTY PINK:9-10:GRAPHIC:SS MIDI DRESS</t>
  </si>
  <si>
    <t>SS MIDI DRESS OVERALL KOMBI WVN MY MELODY DOWMM:DUSTY PINK:11-12:GRAPHIC:SS MIDI DRESS</t>
  </si>
  <si>
    <t>SS MIDI DRESS OVERALL KOMBI WVN MY MELODY DOWMM:DUSTY PINK:7-8:GRAPHIC:SS MIDI DRESS</t>
  </si>
  <si>
    <t>SS MIDI DRESS OVERALL KOMBI WVN MY MELODY DOWMM:DUSTY PINK:5-6:GRAPHIC:SS MIDI DRESS</t>
  </si>
  <si>
    <t>SKORT PARASUT KUROMI SKKU:BLACK:9-10:GRAPHIC:SKORT</t>
  </si>
  <si>
    <t>SKORT PARASUT KUROMI SKKU:BLACK:11-12:GRAPHIC:SKORT</t>
  </si>
  <si>
    <t>SSGMLP</t>
  </si>
  <si>
    <t>SS T-SHIRT MY LITTLE PONY KERUT PGG SSGMLP:PASTEL PINK:7-8:GRAPHIC:SS T-SHIRT</t>
  </si>
  <si>
    <t>SS T-SHIRT MY LITTLE PONY KERUT PGG SSGMLP:PASTEL PINK:3-4:GRAPHIC:SS T-SHIRT</t>
  </si>
  <si>
    <t>SS T-SHIRT MY LITTLE PONY KERUT PGG SSGMLP:PASTEL PINK:4-5:GRAPHIC:SS T-SHIRT</t>
  </si>
  <si>
    <t>SS T-SHIRT MY LITTLE PONY KERUT PGG SSGMLP:PASTEL PINK:5-6:GRAPHIC:SS T-SHIRT</t>
  </si>
  <si>
    <t>TSMLP1</t>
  </si>
  <si>
    <t>SS T-SHIRT RUFFLE MY LITTLE PONY TSMLP1:PASTEL PURPLE:5-6:GRAPHIC:SS T-SHIRT</t>
  </si>
  <si>
    <t>SS T-SHIRT RUFFLE MY LITTLE PONY TSMLP1:PASTEL PURPLE:7-8:GRAPHIC:SS T-SHIRT</t>
  </si>
  <si>
    <t>SS T-SHIRT RUFFLE MY LITTLE PONY TSMLP1:PASTEL PURPLE:4-5:GRAPHIC:SS T-SHIRT</t>
  </si>
  <si>
    <t>SS T-SHIRT RUFFLE MY LITTLE PONY TSMLP1:PASTEL PURPLE:3-4:GRAPHIC:SS T-SHIRT</t>
  </si>
  <si>
    <t>TSMLP2</t>
  </si>
  <si>
    <t>SS T-SHIRT OVERSIZED MY LITTLE PONY TSMLP2:FUSCHIA:4-5:GRAPHIC:SS T-SHIRT</t>
  </si>
  <si>
    <t>SS T-SHIRT OVERSIZED MY LITTLE PONY TSMLP2:FUSCHIA:3-4:GRAPHIC:SS T-SHIRT</t>
  </si>
  <si>
    <t>SS T-SHIRT OVERSIZED MY LITTLE PONY TSMLP2:FUSCHIA:5-6:GRAPHIC:SS T-SHIRT</t>
  </si>
  <si>
    <t>SS T-SHIRT OVERSIZED MY LITTLE PONY TSMLP2:FUSCHIA:7-8:GRAPHIC:SS T-SHIRT</t>
  </si>
  <si>
    <t>DSCMM</t>
  </si>
  <si>
    <t>SS MIDI DRESS MY MELODY OVR CLN KOMBI WVN DSCMM:PASTEL GREEN:3-4:GRAPHIC:SS MIDI DRESS</t>
  </si>
  <si>
    <t>SS MIDI DRESS MY MELODY OVR CLN KOMBI WVN DSCMM:PASTEL GREEN:7-8:GRAPHIC:SS MIDI DRESS</t>
  </si>
  <si>
    <t>SS MIDI DRESS MY MELODY OVR CLN KOMBI WVN DSCMM:PASTEL GREEN:4-5:GRAPHIC:SS MIDI DRESS</t>
  </si>
  <si>
    <t>SS MIDI DRESS MY MELODY OVR CLN KOMBI WVN DSCMM:PASTEL GREEN:5-6:GRAPHIC:SS MIDI DRESS</t>
  </si>
  <si>
    <t>DOLPMM</t>
  </si>
  <si>
    <t>SS MIDI DRESS OVERALL LIPIT KOMBI WVN MY MELODY DOLPMM:PASTEL ORANGE:7-8:GRAPHIC:SS MIDI DRESS</t>
  </si>
  <si>
    <t>SS MIDI DRESS OVERALL LIPIT KOMBI WVN MY MELODY DOLPMM:PASTEL ORANGE:5-6:GRAPHIC:SS MIDI DRESS</t>
  </si>
  <si>
    <t>SS MIDI DRESS OVERALL LIPIT KOMBI WVN MY MELODY DOLPMM:PASTEL ORANGE:4-5:GRAPHIC:SS MIDI DRESS</t>
  </si>
  <si>
    <t>SS MIDI DRESS OVERALL LIPIT KOMBI WVN MY MELODY DOLPMM:PASTEL ORANGE:3-4:GRAPHIC:SS MIDI DRESS</t>
  </si>
  <si>
    <t>SSFZARIB</t>
  </si>
  <si>
    <t>SS T-SHIRT RIB FROZEN SSFZARIB:PASTEL PURPLE:11-12:GRAPHIC:SS T-SHIRT</t>
  </si>
  <si>
    <t>SS T-SHIRT RIB FROZEN SSFZARIB:PASTEL PURPLE:5-6:GRAPHIC:SS T-SHIRT</t>
  </si>
  <si>
    <t>SS T-SHIRT RIB FROZEN SSFZARIB:PASTEL PURPLE:9-10:GRAPHIC:SS T-SHIRT</t>
  </si>
  <si>
    <t>SS T-SHIRT RIB FROZEN SSFZARIB:PASTEL PURPLE:7-8:GRAPHIC:SS T-SHIRT</t>
  </si>
  <si>
    <t>LSL25MIN</t>
  </si>
  <si>
    <t>LS SHIRT WOVEN MINNIE LSL25MIN:PASTEL GREEN:9-10:GRAPHIC:LS SHIRT</t>
  </si>
  <si>
    <t>LS SHIRT WOVEN MINNIE LSL25MIN:PASTEL GREEN:5-6:GRAPHIC:LS SHIRT</t>
  </si>
  <si>
    <t>LS SHIRT WOVEN MINNIE LSL25MIN:PASTEL GREEN:11-12:GRAPHIC:LS SHIRT</t>
  </si>
  <si>
    <t>LS SHIRT WOVEN MINNIE LSL25MIN:PASTEL GREEN:7-8:GRAPHIC:LS SHIRT</t>
  </si>
  <si>
    <t>SWKRPRN</t>
  </si>
  <si>
    <t>SWEATSHIRT PRINCESS KERAH RENDA SWKRPRN:PASTEL PINK:4-5:GRAPHIC:SWEATSHIRT</t>
  </si>
  <si>
    <t>SWEATSHIRT PRINCESS KERAH RENDA SWKRPRN:PASTEL PINK:7-8:GRAPHIC:SWEATSHIRT</t>
  </si>
  <si>
    <t>SWEATSHIRT PRINCESS KERAH RENDA SWKRPRN:PASTEL PINK:3-4:GRAPHIC:SWEATSHIRT</t>
  </si>
  <si>
    <t>SWEATSHIRT PRINCESS KERAH RENDA SWKRPRN:PASTEL PINK:5-6:GRAPHIC:SWEATSHIRT</t>
  </si>
  <si>
    <t>TSBGPRN</t>
  </si>
  <si>
    <t>SS T-SHIRT PRINCESS BLOOMING GARDEN TSBGPRN:PASTEL PINK:5-6:GRAPHIC:SS T-SHIRT</t>
  </si>
  <si>
    <t>SS T-SHIRT PRINCESS BLOOMING GARDEN TSBGPRN:PASTEL PINK:3-4:GRAPHIC:SS T-SHIRT</t>
  </si>
  <si>
    <t>SS T-SHIRT PRINCESS BLOOMING GARDEN TSBGPRN:PASTEL PINK:4-5:GRAPHIC:SS T-SHIRT</t>
  </si>
  <si>
    <t>SS T-SHIRT PRINCESS BLOOMING GARDEN TSBGPRN:PASTEL PINK:7-8:GRAPHIC:SS T-SHIRT</t>
  </si>
  <si>
    <t>SSMINCC</t>
  </si>
  <si>
    <t>SS T-SHIRT TOP MINNIE COASTAL COTTAGE SSMINCC:PASTEL BLUE:7-8:GRAPHIC:SS T-SHIRT</t>
  </si>
  <si>
    <t>SS T-SHIRT TOP MINNIE COASTAL COTTAGE SSMINCC:PASTEL BLUE:5-6:GRAPHIC:SS T-SHIRT</t>
  </si>
  <si>
    <t>SS T-SHIRT TOP MINNIE COASTAL COTTAGE SSMINCC:PASTEL BLUE:9-10:GRAPHIC:SS T-SHIRT</t>
  </si>
  <si>
    <t>SS T-SHIRT TOP MINNIE COASTAL COTTAGE SSMINCC:PASTEL BLUE:4-5:GRAPHIC:SS T-SHIRT</t>
  </si>
  <si>
    <t>LSL25FZA</t>
  </si>
  <si>
    <t>LS SHIRT WOVEN FROZEN LSL25FZA:PASTEL BLUE:5-6:GRAPHIC:LS SHIRT</t>
  </si>
  <si>
    <t>LS SHIRT WOVEN FROZEN LSL25FZA:PASTEL BLUE:11-12:GRAPHIC:LS SHIRT</t>
  </si>
  <si>
    <t>LS SHIRT WOVEN FROZEN LSL25FZA:PASTEL BLUE:7-8:GRAPHIC:LS SHIRT</t>
  </si>
  <si>
    <t>LS SHIRT WOVEN FROZEN LSL25FZA:PASTEL BLUE:9-10:GRAPHIC:LS SHIRT</t>
  </si>
  <si>
    <t>LSWFPRN</t>
  </si>
  <si>
    <t>LS T-SHIRT WAFEL PRINCESS LSWFPRN:PASTEL PINK:11-12:GRAPHIC:LS T-SHIRT</t>
  </si>
  <si>
    <t>LS T-SHIRT WAFEL PRINCESS LSWFPRN:PASTEL PINK:7-8:GRAPHIC:LS T-SHIRT</t>
  </si>
  <si>
    <t>LS T-SHIRT WAFEL PRINCESS LSWFPRN:PASTEL PINK:5-6:GRAPHIC:LS T-SHIRT</t>
  </si>
  <si>
    <t>LS T-SHIRT WAFEL PRINCESS LSWFPRN:PASTEL PINK:9-10:GRAPHIC:LS T-SHIRT</t>
  </si>
  <si>
    <t>SWPITAMIN</t>
  </si>
  <si>
    <t>SWEATSHIRT MINNIE PITA TULLE SWPITAMIN:PASTEL PINK:9-10:GRAPHIC:SWEATSHIRT</t>
  </si>
  <si>
    <t>SWEATSHIRT MINNIE PITA TULLE SWPITAMIN:PASTEL PINK:5-6:GRAPHIC:SWEATSHIRT</t>
  </si>
  <si>
    <t>SWEATSHIRT MINNIE PITA TULLE SWPITAMIN:PASTEL PINK:7-8:GRAPHIC:SWEATSHIRT</t>
  </si>
  <si>
    <t>SWEATSHIRT MINNIE PITA TULLE SWPITAMIN:PASTEL PINK:11-12:GRAPHIC:SWEATSHIRT</t>
  </si>
  <si>
    <t>DSBPRN</t>
  </si>
  <si>
    <t>SS MIDI DRESS BORDER PRINCESS DSBPRN:PASTEL ORANGE:7-8:GRAPHIC:SS MIDI DRESS</t>
  </si>
  <si>
    <t>SS MIDI DRESS BORDER PRINCESS DSBPRN:PASTEL ORANGE:4-5:GRAPHIC:SS MIDI DRESS</t>
  </si>
  <si>
    <t>SS MIDI DRESS BORDER PRINCESS DSBPRN:PASTEL ORANGE:3-4:GRAPHIC:SS MIDI DRESS</t>
  </si>
  <si>
    <t>SS MIDI DRESS BORDER PRINCESS DSBPRN:PASTEL ORANGE:5-6:GRAPHIC:SS MIDI DRESS</t>
  </si>
  <si>
    <t>DSBRMAR</t>
  </si>
  <si>
    <t>SS MIDI DRESS BORDER MARIE DSBRMAR:PASTEL PINK:7-8:GRAPHIC:SS MIDI DRESS</t>
  </si>
  <si>
    <t>SS MIDI DRESS BORDER MARIE DSBRMAR:PASTEL PINK:3-4:GRAPHIC:SS MIDI DRESS</t>
  </si>
  <si>
    <t>SS MIDI DRESS BORDER MARIE DSBRMAR:PASTEL PINK:5-6:GRAPHIC:SS MIDI DRESS</t>
  </si>
  <si>
    <t>SS MIDI DRESS BORDER MARIE DSBRMAR:PASTEL PINK:4-5:GRAPHIC:SS MIDI DRESS</t>
  </si>
  <si>
    <t>DLOVWFZA2</t>
  </si>
  <si>
    <t>LS MIDI DRESS WOVEN FROZEN DLOVWFZA2:PASTEL BLUE:7-8:GRAPHIC:LS MIDI DRESS</t>
  </si>
  <si>
    <t>LS MIDI DRESS WOVEN FROZEN DLOVWFZA2:PASTEL BLUE:4-5:GRAPHIC:LS MIDI DRESS</t>
  </si>
  <si>
    <t>LS MIDI DRESS WOVEN FROZEN DLOVWFZA2:PASTEL BLUE:9-10:GRAPHIC:LS MIDI DRESS</t>
  </si>
  <si>
    <t>LS MIDI DRESS WOVEN FROZEN DLOVWFZA2:PASTEL BLUE:5-6:GRAPHIC:LS MIDI DRESS</t>
  </si>
  <si>
    <t>DLCCMIN</t>
  </si>
  <si>
    <t>LS MIDI DRESS WOVEN MINNIE COSTAL COTTAGE DLCCMIN:PASTEL BLUE:7-8:GRAPHIC:LS MIDI DRESS</t>
  </si>
  <si>
    <t>LS MIDI DRESS WOVEN MINNIE COSTAL COTTAGE DLCCMIN:PASTEL BLUE:9-10:GRAPHIC:LS MIDI DRESS</t>
  </si>
  <si>
    <t>LS MIDI DRESS WOVEN MINNIE COSTAL COTTAGE DLCCMIN:PASTEL BLUE:4-5:GRAPHIC:LS MIDI DRESS</t>
  </si>
  <si>
    <t>LS MIDI DRESS WOVEN MINNIE COSTAL COTTAGE DLCCMIN:PASTEL BLUE:5-6:GRAPHIC:LS MIDI DRESS</t>
  </si>
  <si>
    <t>DLFLMAR</t>
  </si>
  <si>
    <t>LS MIDI DRESS WOVEN MARIE FLOWER DLFLMAR:PASTEL ORANGE:5-6:PRINT:LS MIDI DRESS</t>
  </si>
  <si>
    <t>LS MIDI DRESS WOVEN MARIE FLOWER DLFLMAR:PASTEL ORANGE:9-10:PRINT:LS MIDI DRESS</t>
  </si>
  <si>
    <t>LS MIDI DRESS WOVEN MARIE FLOWER DLFLMAR:PASTEL ORANGE:7-8:PRINT:LS MIDI DRESS</t>
  </si>
  <si>
    <t>LS MIDI DRESS WOVEN MARIE FLOWER DLFLMAR:PASTEL ORANGE:4-5:PRINT:LS MIDI DRESS</t>
  </si>
  <si>
    <t>P325MAR</t>
  </si>
  <si>
    <t>BRIEF PACK OF 3 UW MARIE HELLO HEART BREAKER P325MAR:ASSORTIVE COLOR:S:PRINT:BRIEF</t>
  </si>
  <si>
    <t>BRIEF PACK OF 3 UW MARIE HELLO HEART BREAKER P325MAR:ASSORTIVE COLOR:XL:PRINT:BRIEF</t>
  </si>
  <si>
    <t>BRIEF PACK OF 3 UW MARIE HELLO HEART BREAKER P325MAR:ASSORTIVE COLOR:L:PRINT:BRIEF</t>
  </si>
  <si>
    <t>BRIEF PACK OF 3 UW MARIE HELLO HEART BREAKER P325MAR:ASSORTIVE COLOR:M:PRINT:BRIEF</t>
  </si>
  <si>
    <t>P3252FZA</t>
  </si>
  <si>
    <t>BRIEF PACK OF 3 UW FROZEN N FRIENDS P3252FZA:ASSORTIVE COLOR:L:PRINT:BRIEF</t>
  </si>
  <si>
    <t>BRIEF PACK OF 3 UW FROZEN N FRIENDS P3252FZA:ASSORTIVE COLOR:XL:PRINT:BRIEF</t>
  </si>
  <si>
    <t>BRIEF PACK OF 3 UW FROZEN N FRIENDS P3252FZA:ASSORTIVE COLOR:S:PRINT:BRIEF</t>
  </si>
  <si>
    <t>BRIEF PACK OF 3 UW FROZEN N FRIENDS P3252FZA:ASSORTIVE COLOR:M:PRINT:BRIEF</t>
  </si>
  <si>
    <t>P325MIN</t>
  </si>
  <si>
    <t>BRIEF PACK OF 3 UW MINNIE FLOWER P325MIN:ASSORTIVE COLOR:XL:PRINT:BRIEF</t>
  </si>
  <si>
    <t>BRIEF PACK OF 3 UW MINNIE FLOWER P325MIN:ASSORTIVE COLOR:S:PRINT:BRIEF</t>
  </si>
  <si>
    <t>BRIEF PACK OF 3 UW MINNIE FLOWER P325MIN:ASSORTIVE COLOR:L:PRINT:BRIEF</t>
  </si>
  <si>
    <t>BRIEF PACK OF 3 UW MINNIE FLOWER P325MIN:ASSORTIVE COLOR:M:PRINT:BRIEF</t>
  </si>
  <si>
    <t>KKSUIMAR2</t>
  </si>
  <si>
    <t>SOCKS KKG MARIE KKSUIMAR2:PASTEL PINK:14-16:PRINT:SOCKS</t>
  </si>
  <si>
    <t>SOCKS KKG MARIE KKSUIMAR2:PASTEL PINK:18-20:PRINT:SOCKS</t>
  </si>
  <si>
    <t>KKSUIMAR3</t>
  </si>
  <si>
    <t>SOCKS KKG MARIE STRIPE KKSUIMAR3:PASTEL PINK:14-16:PRINT:SOCKS</t>
  </si>
  <si>
    <t>SOCKS KKG MARIE STRIPE KKSUIMAR3:PASTEL PINK:18-20:PRINT:SOCKS</t>
  </si>
  <si>
    <t>KK252SPD</t>
  </si>
  <si>
    <t>SOCKS KKB SPIDERMAN KK252SPD:PASTEL GREY:14-16:PRINT:SOCKS</t>
  </si>
  <si>
    <t>SOCKS KKB SPIDERMAN KK252SPD:PASTEL GREY:18-20:PRINT:SOCKS</t>
  </si>
  <si>
    <t>KK256SPD</t>
  </si>
  <si>
    <t>SOCKS KKB SPIDERMAN KK256SPD:BLACK:18-20:PRINT:SOCKS</t>
  </si>
  <si>
    <t>SOCKS KKB SPIDERMAN KK256SPD:BLACK:14-16:PRINT:SOCKS</t>
  </si>
  <si>
    <t>KK251SPD</t>
  </si>
  <si>
    <t>SOCKS KKB SPIDERMAN KK251SPD:NAVY BLUE:14-16:PRINT:SOCKS</t>
  </si>
  <si>
    <t>SOCKS KKB SPIDERMAN KK251SPD:NAVY BLUE:18-20:PRINT:SOCKS</t>
  </si>
  <si>
    <t>KK252CA</t>
  </si>
  <si>
    <t>SOCKS KKB CAPTAIN AMERICA LOGO KK252CA:WHITE:18-20:PRINT:SOCKS</t>
  </si>
  <si>
    <t>SOCKS KKB CAPTAIN AMERICA LOGO KK252CA:WHITE:14-16:PRINT:SOCKS</t>
  </si>
  <si>
    <t>KK253SPD</t>
  </si>
  <si>
    <t>SOCKS KKB SPIDERMAN KK253SPD:BLACK:14-16:PRINT:SOCKS</t>
  </si>
  <si>
    <t>SOCKS KKB SPIDERMAN KK253SPD:BLACK:18-20:PRINT:SOCKS</t>
  </si>
  <si>
    <t>SWSIMBA2</t>
  </si>
  <si>
    <t>TOP - BOTTOM SET LSLP SIMBA WHAT UP CUB SWSIMBA2:KHAKI:4:GRAPHIC:TOP - BOTTOM SET</t>
  </si>
  <si>
    <t>TOP - BOTTOM SET LSLP SIMBA WHAT UP CUB SWSIMBA2:KHAKI:7:GRAPHIC:TOP - BOTTOM SET</t>
  </si>
  <si>
    <t>TOP - BOTTOM SET LSLP SIMBA WHAT UP CUB SWSIMBA2:KHAKI:12:GRAPHIC:TOP - BOTTOM SET</t>
  </si>
  <si>
    <t>TOP - BOTTOM SET LSLP SIMBA WHAT UP CUB SWSIMBA2:KHAKI:6:GRAPHIC:TOP - BOTTOM SET</t>
  </si>
  <si>
    <t>TOP - BOTTOM SET LSLP SIMBA WHAT UP CUB SWSIMBA2:KHAKI:14:GRAPHIC:TOP - BOTTOM SET</t>
  </si>
  <si>
    <t>TOP - BOTTOM SET LSLP SIMBA WHAT UP CUB SWSIMBA2:KHAKI:5:GRAPHIC:TOP - BOTTOM SET</t>
  </si>
  <si>
    <t>TOP - BOTTOM SET LSLP SIMBA WHAT UP CUB SWSIMBA2:KHAKI:10:GRAPHIC:TOP - BOTTOM SET</t>
  </si>
  <si>
    <t>TOP - BOTTOM SET LSLP SIMBA WHAT UP CUB SWSIMBA2:KHAKI:8:GRAPHIC:TOP - BOTTOM SET</t>
  </si>
  <si>
    <t>MP3DR10</t>
  </si>
  <si>
    <t>BRIEF CD PACK OF 3 SPIDERMAN MP3DR10:ASSORTIVE COLOR:S:PRINT:BRIEF</t>
  </si>
  <si>
    <t>BRIEF CD PACK OF 3 SPIDERMAN MP3DR10:ASSORTIVE COLOR:L:PRINT:BRIEF</t>
  </si>
  <si>
    <t>BRIEF CD PACK OF 3 SPIDERMAN MP3DR10:ASSORTIVE COLOR:M:PRINT:BRIEF</t>
  </si>
  <si>
    <t>BRIEF CD PACK OF 3 SPIDERMAN MP3DR10:ASSORTIVE COLOR:XL:PRINT:BRIEF</t>
  </si>
  <si>
    <t>MP3DRO8</t>
  </si>
  <si>
    <t>BRIEF CD PACK OF 3 CAPTAIN AMERICA MP3DRO8:ASSORTIVE COLOR:XL:PRINT:BRIEF</t>
  </si>
  <si>
    <t>BRIEF CD PACK OF 3 CAPTAIN AMERICA MP3DRO8:ASSORTIVE COLOR:L:PRINT:BRIEF</t>
  </si>
  <si>
    <t>BRIEF CD PACK OF 3 CAPTAIN AMERICA MP3DRO8:ASSORTIVE COLOR:M:PRINT:BRIEF</t>
  </si>
  <si>
    <t>BRIEF CD PACK OF 3 CAPTAIN AMERICA MP3DRO8:ASSORTIVE COLOR:S:PRINT:BRIEF</t>
  </si>
  <si>
    <t>KKSUIDON</t>
  </si>
  <si>
    <t>SOCKS KKB DONALD DUCK KKSUIDON:PASTEL YELLOW:14-16:PRINT:SOCKS</t>
  </si>
  <si>
    <t>SOCKS KKB DONALD DUCK KKSUIDON:PASTEL YELLOW:18-20:PRINT:SOCKS</t>
  </si>
  <si>
    <t>KKSUIDSY</t>
  </si>
  <si>
    <t>SOCKS KKG DAISY DUCK KKSUIDSY:PASTEL PINK:14-16:PRINT:SOCKS</t>
  </si>
  <si>
    <t>SOCKS KKG DAISY DUCK KKSUIDSY:PASTEL PINK:18-20:PRINT:SOCKS</t>
  </si>
  <si>
    <t>KK251CA</t>
  </si>
  <si>
    <t>SOCKS KKB CAPTAIN AMERICA LOGO KK251CA:PASTEL BLUE:18-20:PRINT:SOCKS</t>
  </si>
  <si>
    <t>SOCKS KKB CAPTAIN AMERICA LOGO KK251CA:PASTEL BLUE:14-16:PRINT:SOCKS</t>
  </si>
  <si>
    <t>KK253CA</t>
  </si>
  <si>
    <t>SOCKS KKB CAPTAIN AMERICA KK253CA:WHITE:18-20:PRINT:SOCKS</t>
  </si>
  <si>
    <t>SOCKS KKB CAPTAIN AMERICA KK253CA:WHITE:14-16:PRINT:SOCKS</t>
  </si>
  <si>
    <t>SWLAVG</t>
  </si>
  <si>
    <t>TOP - BOTTOM SET LSLP AVENGERS SWLAVG:PASTEL BLUE:5:GRAPHIC:TOP - BOTTOM SET</t>
  </si>
  <si>
    <t>TOP - BOTTOM SET LSLP AVENGERS SWLAVG:PASTEL BLUE:12:GRAPHIC:TOP - BOTTOM SET</t>
  </si>
  <si>
    <t>TOP - BOTTOM SET LSLP AVENGERS SWLAVG:PASTEL BLUE:10:GRAPHIC:TOP - BOTTOM SET</t>
  </si>
  <si>
    <t>TOP - BOTTOM SET LSLP AVENGERS SWLAVG:PASTEL BLUE:7:GRAPHIC:TOP - BOTTOM SET</t>
  </si>
  <si>
    <t>TOP - BOTTOM SET LSLP AVENGERS SWLAVG:PASTEL BLUE:8:GRAPHIC:TOP - BOTTOM SET</t>
  </si>
  <si>
    <t>TOP - BOTTOM SET LSLP AVENGERS SWLAVG:PASTEL BLUE:6:GRAPHIC:TOP - BOTTOM SET</t>
  </si>
  <si>
    <t>TOP - BOTTOM SET LSLP AVENGERS SWLAVG:PASTEL BLUE:14:GRAPHIC:TOP - BOTTOM SET</t>
  </si>
  <si>
    <t>TOP - BOTTOM SET LSLP AVENGERS SWLAVG:PASTEL BLUE:4:GRAPHIC:TOP - BOTTOM SET</t>
  </si>
  <si>
    <t>SWSAVG</t>
  </si>
  <si>
    <t>TOP - BOTTOM SET SSLP CAPTAIN AMERICA SWSAVG:OFF WHITE:5:GRAPHIC:TOP - BOTTOM SET</t>
  </si>
  <si>
    <t>TOP - BOTTOM SET SSLP CAPTAIN AMERICA SWSAVG:OFF WHITE:6:GRAPHIC:TOP - BOTTOM SET</t>
  </si>
  <si>
    <t>TOP - BOTTOM SET SSLP CAPTAIN AMERICA SWSAVG:OFF WHITE:12:GRAPHIC:TOP - BOTTOM SET</t>
  </si>
  <si>
    <t>TOP - BOTTOM SET SSLP CAPTAIN AMERICA SWSAVG:OFF WHITE:4:GRAPHIC:TOP - BOTTOM SET</t>
  </si>
  <si>
    <t>TOP - BOTTOM SET SSLP CAPTAIN AMERICA SWSAVG:OFF WHITE:14:GRAPHIC:TOP - BOTTOM SET</t>
  </si>
  <si>
    <t>TOP - BOTTOM SET SSLP CAPTAIN AMERICA SWSAVG:OFF WHITE:10:GRAPHIC:TOP - BOTTOM SET</t>
  </si>
  <si>
    <t>TOP - BOTTOM SET SSLP CAPTAIN AMERICA SWSAVG:OFF WHITE:7:GRAPHIC:TOP - BOTTOM SET</t>
  </si>
  <si>
    <t>TOP - BOTTOM SET SSLP CAPTAIN AMERICA SWSAVG:OFF WHITE:8:GRAPHIC:TOP - BOTTOM SET</t>
  </si>
  <si>
    <t>OVSTMIC</t>
  </si>
  <si>
    <t>SHORT JUMPSUIT OVERALL MICKEY STRIPE OVSTMIC:CLASSIC BLUE:24-36:STRIPES:SHORT JUMPSUIT</t>
  </si>
  <si>
    <t>SHORT JUMPSUIT OVERALL MICKEY STRIPE OVSTMIC:CLASSIC BLUE:12-18:STRIPES:SHORT JUMPSUIT</t>
  </si>
  <si>
    <t>SHORT JUMPSUIT OVERALL MICKEY STRIPE OVSTMIC:CLASSIC BLUE:18-24:STRIPES:SHORT JUMPSUIT</t>
  </si>
  <si>
    <t>SHORT JUMPSUIT OVERALL MICKEY STRIPE OVSTMIC:CLASSIC BLUE:6-12:STRIPES:SHORT JUMPSUIT</t>
  </si>
  <si>
    <t>OVPLPOOH</t>
  </si>
  <si>
    <t>SHORT JUMPSUIT OVERALL POOH OVPLPOOH:MUSTARD:18-24:GRAPHIC:SHORT JUMPSUIT</t>
  </si>
  <si>
    <t>SHORT JUMPSUIT OVERALL POOH OVPLPOOH:MUSTARD:24-36:GRAPHIC:SHORT JUMPSUIT</t>
  </si>
  <si>
    <t>SHORT JUMPSUIT OVERALL POOH OVPLPOOH:MUSTARD:6-12:GRAPHIC:SHORT JUMPSUIT</t>
  </si>
  <si>
    <t>SHORT JUMPSUIT OVERALL POOH OVPLPOOH:MUSTARD:12-18:GRAPHIC:SHORT JUMPSUIT</t>
  </si>
  <si>
    <t>SETSIM1</t>
  </si>
  <si>
    <t>TOP - BOTTOM SET FP SIMBA SETSIM1:KHAKI:6-12:PRINT:TOP - BOTTOM SET</t>
  </si>
  <si>
    <t>TOP - BOTTOM SET FP SIMBA SETSIM1:KHAKI:24-36:PRINT:TOP - BOTTOM SET</t>
  </si>
  <si>
    <t>TOP - BOTTOM SET FP SIMBA SETSIM1:KHAKI:18-24:PRINT:TOP - BOTTOM SET</t>
  </si>
  <si>
    <t>TOP - BOTTOM SET FP SIMBA SETSIM1:KHAKI:12-18:PRINT:TOP - BOTTOM SET</t>
  </si>
  <si>
    <t>SETSIM2</t>
  </si>
  <si>
    <t>TOP - BOTTOM SET ROMPI SIMBA SETSIM2:CLASSIC GREEN:18-24:PRINT:TOP - BOTTOM SET</t>
  </si>
  <si>
    <t>TOP - BOTTOM SET ROMPI SIMBA SETSIM2:CLASSIC GREEN:6-12:PRINT:TOP - BOTTOM SET</t>
  </si>
  <si>
    <t>TOP - BOTTOM SET ROMPI SIMBA SETSIM2:CLASSIC GREEN:24-36:PRINT:TOP - BOTTOM SET</t>
  </si>
  <si>
    <t>TOP - BOTTOM SET ROMPI SIMBA SETSIM2:CLASSIC GREEN:12-18:PRINT:TOP - BOTTOM SET</t>
  </si>
  <si>
    <t>SETLMAR</t>
  </si>
  <si>
    <t>TOP - BOTTOM SET LS MARIE SETLMAR:PASTEL PINK:12-18:PRINT:TOP - BOTTOM SET</t>
  </si>
  <si>
    <t>TOP - BOTTOM SET LS MARIE SETLMAR:PASTEL PINK:24-36:PRINT:TOP - BOTTOM SET</t>
  </si>
  <si>
    <t>TOP - BOTTOM SET LS MARIE SETLMAR:PASTEL PINK:18-24:PRINT:TOP - BOTTOM SET</t>
  </si>
  <si>
    <t>TOP - BOTTOM SET LS MARIE SETLMAR:PASTEL PINK:6-12:PRINT:TOP - BOTTOM SET</t>
  </si>
  <si>
    <t>TSGKUR10</t>
  </si>
  <si>
    <t>SS T-SHIRT FP KUROMI TSGKUR10:PASTEL PURPLE:9-10:GRAPHIC:SS T-SHIRT</t>
  </si>
  <si>
    <t>SS T-SHIRT FP KUROMI TSGKUR10:PASTEL PURPLE:11-12:GRAPHIC:SS T-SHIRT</t>
  </si>
  <si>
    <t>SS T-SHIRT FP KUROMI TSGKUR10:PASTEL PURPLE:7-8:GRAPHIC:SS T-SHIRT</t>
  </si>
  <si>
    <t>SS T-SHIRT FP KUROMI TSGKUR10:PASTEL PURPLE:5-6:GRAPHIC:SS T-SHIRT</t>
  </si>
  <si>
    <t>TSGKUR9</t>
  </si>
  <si>
    <t>SS T-SHIRT KUROMI CUT N SEWN TSGKUR9:ASSORTIVE COLOR:9-10:GRAPHIC:SS T-SHIRT</t>
  </si>
  <si>
    <t>SS T-SHIRT KUROMI CUT N SEWN TSGKUR9:ASSORTIVE COLOR:5-6:GRAPHIC:SS T-SHIRT</t>
  </si>
  <si>
    <t>SS T-SHIRT KUROMI CUT N SEWN TSGKUR9:ASSORTIVE COLOR:7-8:GRAPHIC:SS T-SHIRT</t>
  </si>
  <si>
    <t>SS T-SHIRT KUROMI CUT N SEWN TSGKUR9:ASSORTIVE COLOR:11-12:GRAPHIC:SS T-SHIRT</t>
  </si>
  <si>
    <t>SSBGPRN</t>
  </si>
  <si>
    <t>SS T-SHIRT TOP PRINCESS LOVE BLOOMING GARDEN SSBGPRN:PASTEL PINK:4-5:GRAPHIC:SS T-SHIRT</t>
  </si>
  <si>
    <t>SS T-SHIRT TOP PRINCESS LOVE BLOOMING GARDEN SSBGPRN:PASTEL PINK:7-8:GRAPHIC:SS T-SHIRT</t>
  </si>
  <si>
    <t>SS T-SHIRT TOP PRINCESS LOVE BLOOMING GARDEN SSBGPRN:PASTEL PINK:3-4:GRAPHIC:SS T-SHIRT</t>
  </si>
  <si>
    <t>SS T-SHIRT TOP PRINCESS LOVE BLOOMING GARDEN SSBGPRN:PASTEL PINK:5-6:GRAPHIC:SS T-SHIRT</t>
  </si>
  <si>
    <t>LSL25MAR</t>
  </si>
  <si>
    <t>LS BLOUSE WOVEN MARIE LSL25MAR:PASTEL PINK:9-10:GRAPHIC:LS BLOUSE</t>
  </si>
  <si>
    <t>LS BLOUSE WOVEN MARIE LSL25MAR:PASTEL PINK:11-12:GRAPHIC:LS BLOUSE</t>
  </si>
  <si>
    <t>LS BLOUSE WOVEN MARIE LSL25MAR:PASTEL PINK:7-8:GRAPHIC:LS BLOUSE</t>
  </si>
  <si>
    <t>LS BLOUSE WOVEN MARIE LSL25MAR:PASTEL PINK:5-6:GRAPHIC:LS BLOUSE</t>
  </si>
  <si>
    <t>LSDLFZA2</t>
  </si>
  <si>
    <t>SWEATSHIRT FROZEN II PRINT EMBRO LSDLFZA2:PASTEL BLUE:7-8:GRAPHIC:SWEATSHIRT</t>
  </si>
  <si>
    <t>SWEATSHIRT FROZEN II PRINT EMBRO LSDLFZA2:PASTEL BLUE:4-5:GRAPHIC:SWEATSHIRT</t>
  </si>
  <si>
    <t>SWEATSHIRT FROZEN II PRINT EMBRO LSDLFZA2:PASTEL BLUE:5-6:GRAPHIC:SWEATSHIRT</t>
  </si>
  <si>
    <t>SWEATSHIRT FROZEN II PRINT EMBRO LSDLFZA2:PASTEL BLUE:3-4:GRAPHIC:SWEATSHIRT</t>
  </si>
  <si>
    <t>SW25MAR</t>
  </si>
  <si>
    <t>SWEATSHIRT MARIE RIBBON SW25MAR:PASTEL PINK:11-12:GRAPHIC:SWEATSHIRT</t>
  </si>
  <si>
    <t>SWEATSHIRT MARIE RIBBON SW25MAR:PASTEL PINK:9-10:GRAPHIC:SWEATSHIRT</t>
  </si>
  <si>
    <t>SWEATSHIRT MARIE RIBBON SW25MAR:PASTEL PINK:7-8:GRAPHIC:SWEATSHIRT</t>
  </si>
  <si>
    <t>SWEATSHIRT MARIE RIBBON SW25MAR:PASTEL PINK:5-6:GRAPHIC:SWEATSHIRT</t>
  </si>
  <si>
    <t>DLWPMIN</t>
  </si>
  <si>
    <t>LS MIDI DRESS WOVEN PITA KOTAK MINNIE DLWPMIN:TERRACOTTA:11-12:CHECKS:LS MIDI DRESS</t>
  </si>
  <si>
    <t>LS MIDI DRESS WOVEN PITA KOTAK MINNIE DLWPMIN:TERRACOTTA:7-8:CHECKS:LS MIDI DRESS</t>
  </si>
  <si>
    <t>LS MIDI DRESS WOVEN PITA KOTAK MINNIE DLWPMIN:TERRACOTTA:5-6:CHECKS:LS MIDI DRESS</t>
  </si>
  <si>
    <t>LS MIDI DRESS WOVEN PITA KOTAK MINNIE DLWPMIN:TERRACOTTA:9-10:CHECKS:LS MIDI DRESS</t>
  </si>
  <si>
    <t>SWHSFZA</t>
  </si>
  <si>
    <t>SWEATSHIRT HOODIE FROZEN STAR SWHSFZA:PASTEL BLUE:7-8:GRAPHIC:SWEATSHIRT</t>
  </si>
  <si>
    <t>SWEATSHIRT HOODIE FROZEN STAR SWHSFZA:PASTEL BLUE:5-6:GRAPHIC:SWEATSHIRT</t>
  </si>
  <si>
    <t>SWEATSHIRT HOODIE FROZEN STAR SWHSFZA:PASTEL BLUE:9-10:GRAPHIC:SWEATSHIRT</t>
  </si>
  <si>
    <t>SWEATSHIRT HOODIE FROZEN STAR SWHSFZA:PASTEL BLUE:11-12:GRAPHIC:SWEATSHIRT</t>
  </si>
  <si>
    <t>DLKRMIN</t>
  </si>
  <si>
    <t>LS MIDI DRESS MINNIE MOUSE PITA DLKRMIN:PASTEL PINK:11-12:GRAPHIC:LS MIDI DRESS</t>
  </si>
  <si>
    <t>LS MIDI DRESS MINNIE MOUSE PITA DLKRMIN:PASTEL PINK:5-6:GRAPHIC:LS MIDI DRESS</t>
  </si>
  <si>
    <t>LS MIDI DRESS MINNIE MOUSE PITA DLKRMIN:PASTEL PINK:7-8:GRAPHIC:LS MIDI DRESS</t>
  </si>
  <si>
    <t>LS MIDI DRESS MINNIE MOUSE PITA DLKRMIN:PASTEL PINK:9-10:GRAPHIC:LS MIDI DRESS</t>
  </si>
  <si>
    <t>TSSPI</t>
  </si>
  <si>
    <t>SS T-SHIRT SPIDERMAN TSSPI:NAVY BLUE:18-24:PRINT:SS T-SHIRT</t>
  </si>
  <si>
    <t>SS T-SHIRT SPIDERMAN TSSPI:NAVY BLUE:6-12:PRINT:SS T-SHIRT</t>
  </si>
  <si>
    <t>SS T-SHIRT SPIDERMAN TSSPI:NAVY BLUE:12-18:PRINT:SS T-SHIRT</t>
  </si>
  <si>
    <t>SS T-SHIRT SPIDERMAN TSSPI:NAVY BLUE:24-36:PRINT:SS T-SHIRT</t>
  </si>
  <si>
    <t>SETGEMIN</t>
  </si>
  <si>
    <t>TOP - BOTTOM SET GIRLS MINNIE PRINT EMBRO SETGEMIN:PASTEL BLUE:6-12:PRINT:TOP - BOTTOM SET</t>
  </si>
  <si>
    <t>TOP - BOTTOM SET GIRLS MINNIE PRINT EMBRO SETGEMIN:PASTEL BLUE:24-36:PRINT:TOP - BOTTOM SET</t>
  </si>
  <si>
    <t>TOP - BOTTOM SET GIRLS MINNIE PRINT EMBRO SETGEMIN:PASTEL BLUE:12-18:PRINT:TOP - BOTTOM SET</t>
  </si>
  <si>
    <t>TOP - BOTTOM SET GIRLS MINNIE PRINT EMBRO SETGEMIN:PASTEL BLUE:18-24:PRINT:TOP - BOTTOM SET</t>
  </si>
  <si>
    <t>DSWVMAR</t>
  </si>
  <si>
    <t>SS MIDI DRESS OVERALL MARIE WOVEN DSWVMAR:PASTEL PURPLE:24-36:GRAPHIC:SS MIDI DRESS</t>
  </si>
  <si>
    <t>SS MIDI DRESS OVERALL MARIE WOVEN DSWVMAR:PASTEL PURPLE:6-12:GRAPHIC:SS MIDI DRESS</t>
  </si>
  <si>
    <t>SS MIDI DRESS OVERALL MARIE WOVEN DSWVMAR:PASTEL PURPLE:12-18:GRAPHIC:SS MIDI DRESS</t>
  </si>
  <si>
    <t>SS MIDI DRESS OVERALL MARIE WOVEN DSWVMAR:PASTEL PURPLE:18-24:GRAPHIC:SS MIDI DRESS</t>
  </si>
  <si>
    <t>SETLVMIN</t>
  </si>
  <si>
    <t>TOP - BOTTOM SET MINNIE LOVE SETLVMIN:PASTEL ORANGE:12-18:PRINT:TOP - BOTTOM SET</t>
  </si>
  <si>
    <t>TOP - BOTTOM SET MINNIE LOVE SETLVMIN:PASTEL ORANGE:18-24:PRINT:TOP - BOTTOM SET</t>
  </si>
  <si>
    <t>TOP - BOTTOM SET MINNIE LOVE SETLVMIN:PASTEL ORANGE:24-36:PRINT:TOP - BOTTOM SET</t>
  </si>
  <si>
    <t>TOP - BOTTOM SET MINNIE LOVE SETLVMIN:PASTEL ORANGE:6-12:PRINT:TOP - BOTTOM SET</t>
  </si>
  <si>
    <t>OVSIMKK</t>
  </si>
  <si>
    <t>SHORT JUMPSUIT OVERALL SS SIMBA OVSIMKK:MUSTARD:18-24:PRINT:SHORT JUMPSUIT</t>
  </si>
  <si>
    <t>SHORT JUMPSUIT OVERALL SS SIMBA OVSIMKK:MUSTARD:24-36:PRINT:SHORT JUMPSUIT</t>
  </si>
  <si>
    <t>SHORT JUMPSUIT OVERALL SS SIMBA OVSIMKK:MUSTARD:12-18:PRINT:SHORT JUMPSUIT</t>
  </si>
  <si>
    <t>SHORT JUMPSUIT OVERALL SS SIMBA OVSIMKK:MUSTARD:6-12:PRINT:SHORT JUMPSUIT</t>
  </si>
  <si>
    <t>DSKRPOOH</t>
  </si>
  <si>
    <t>SS MIDI DRESS COLLAR POOH DSKRPOOH:PASTEL ORANGE:18-24:GRAPHIC:SS MIDI DRESS</t>
  </si>
  <si>
    <t>SS MIDI DRESS COLLAR POOH DSKRPOOH:PASTEL ORANGE:6-12:GRAPHIC:SS MIDI DRESS</t>
  </si>
  <si>
    <t>SS MIDI DRESS COLLAR POOH DSKRPOOH:PASTEL ORANGE:24-36:GRAPHIC:SS MIDI DRESS</t>
  </si>
  <si>
    <t>SS MIDI DRESS COLLAR POOH DSKRPOOH:PASTEL ORANGE:12-18:GRAPHIC:SS MIDI DRESS</t>
  </si>
  <si>
    <t>DOWVMAR</t>
  </si>
  <si>
    <t>SS MIDI DRESS OVERALL MARIE RIBBON WOVEN DOWVMAR:PASTEL ORANGE:18-24:GRAPHIC:SS MIDI DRESS</t>
  </si>
  <si>
    <t>SS MIDI DRESS OVERALL MARIE RIBBON WOVEN DOWVMAR:PASTEL ORANGE:12-18:GRAPHIC:SS MIDI DRESS</t>
  </si>
  <si>
    <t>SS MIDI DRESS OVERALL MARIE RIBBON WOVEN DOWVMAR:PASTEL ORANGE:24-36:GRAPHIC:SS MIDI DRESS</t>
  </si>
  <si>
    <t>SS MIDI DRESS OVERALL MARIE RIBBON WOVEN DOWVMAR:PASTEL ORANGE:6-12:GRAPHIC:SS MIDI DRESS</t>
  </si>
  <si>
    <t>SETMV2</t>
  </si>
  <si>
    <t>TOP - BOTTOM SET SPIDERMAN SETMV2:ASSORTIVE COLOR:6-12:PRINT:TOP - BOTTOM SET</t>
  </si>
  <si>
    <t>TOP - BOTTOM SET SPIDERMAN SETMV2:ASSORTIVE COLOR:24-36:PRINT:TOP - BOTTOM SET</t>
  </si>
  <si>
    <t>TOP - BOTTOM SET SPIDERMAN SETMV2:ASSORTIVE COLOR:12-18:PRINT:TOP - BOTTOM SET</t>
  </si>
  <si>
    <t>TOP - BOTTOM SET SPIDERMAN SETMV2:ASSORTIVE COLOR:18-24:PRINT:TOP - BOTTOM SET</t>
  </si>
  <si>
    <t>SETRFMAR</t>
  </si>
  <si>
    <t>TOP - BOTTOM SET MARIE RUFFLE SKIRT SETRFMAR:PASTEL PINK:6-12:PRINT:TOP - BOTTOM SET</t>
  </si>
  <si>
    <t>TOP - BOTTOM SET MARIE RUFFLE SKIRT SETRFMAR:PASTEL PINK:18-24:PRINT:TOP - BOTTOM SET</t>
  </si>
  <si>
    <t>TOP - BOTTOM SET MARIE RUFFLE SKIRT SETRFMAR:PASTEL PINK:24-36:PRINT:TOP - BOTTOM SET</t>
  </si>
  <si>
    <t>TOP - BOTTOM SET MARIE RUFFLE SKIRT SETRFMAR:PASTEL PINK:12-18:PRINT:TOP - BOTTOM SET</t>
  </si>
  <si>
    <t>SWHSPI</t>
  </si>
  <si>
    <t>SWEATSHIRT HOODIE SPIDERMAN SWHSPI:NAVY BLUE:12-18:PRINT:SWEATSHIRT</t>
  </si>
  <si>
    <t>SWEATSHIRT HOODIE SPIDERMAN SWHSPI:NAVY BLUE:6-12:PRINT:SWEATSHIRT</t>
  </si>
  <si>
    <t>SWEATSHIRT HOODIE SPIDERMAN SWHSPI:NAVY BLUE:24-36:PRINT:SWEATSHIRT</t>
  </si>
  <si>
    <t>SWEATSHIRT HOODIE SPIDERMAN SWHSPI:NAVY BLUE:18-24:PRINT:SWEATSHIRT</t>
  </si>
  <si>
    <t>JOGSPI</t>
  </si>
  <si>
    <t>JOGGER SPIDERMAN JOGSPI:NAVY BLUE:6-12:PRINT:JOGGER</t>
  </si>
  <si>
    <t>JOGGER SPIDERMAN JOGSPI:NAVY BLUE:24-36:PRINT:JOGGER</t>
  </si>
  <si>
    <t>JOGGER SPIDERMAN JOGSPI:NAVY BLUE:18-24:PRINT:JOGGER</t>
  </si>
  <si>
    <t>JOGGER SPIDERMAN JOGSPI:NAVY BLUE:12-18:PRINT:JOGGER</t>
  </si>
  <si>
    <t>SETMV1</t>
  </si>
  <si>
    <t>TOP - BOTTOM SET CUT AND SEWN SPIDERMAN SETMV1:ASSORTIVE COLOR:18-24:PRINT:TOP - BOTTOM SET</t>
  </si>
  <si>
    <t>TOP - BOTTOM SET CUT AND SEWN SPIDERMAN SETMV1:ASSORTIVE COLOR:6-12:PRINT:TOP - BOTTOM SET</t>
  </si>
  <si>
    <t>TOP - BOTTOM SET CUT AND SEWN SPIDERMAN SETMV1:ASSORTIVE COLOR:12-18:PRINT:TOP - BOTTOM SET</t>
  </si>
  <si>
    <t>TOP - BOTTOM SET CUT AND SEWN SPIDERMAN SETMV1:ASSORTIVE COLOR:24-36:PRINT:TOP - BOTTOM SET</t>
  </si>
  <si>
    <t>OVSPI2</t>
  </si>
  <si>
    <t>SHORT JUMPSUIT OVERALL FP SPIDERMAN OVSPI2:ASSORTIVE COLOR:24-36:PRINT:SHORT JUMPSUIT</t>
  </si>
  <si>
    <t>SHORT JUMPSUIT OVERALL FP SPIDERMAN OVSPI2:ASSORTIVE COLOR:18-24:PRINT:SHORT JUMPSUIT</t>
  </si>
  <si>
    <t>SHORT JUMPSUIT OVERALL FP SPIDERMAN OVSPI2:ASSORTIVE COLOR:6-12:PRINT:SHORT JUMPSUIT</t>
  </si>
  <si>
    <t>SHORT JUMPSUIT OVERALL FP SPIDERMAN OVSPI2:ASSORTIVE COLOR:12-18:PRINT:SHORT JUMPSUIT</t>
  </si>
  <si>
    <t>OVSPI1</t>
  </si>
  <si>
    <t>SHORT JUMPSUIT OVERALL SPIDERMAN OVSPI1:ASSORTIVE COLOR:18-24:PRINT:SHORT JUMPSUIT</t>
  </si>
  <si>
    <t>SHORT JUMPSUIT OVERALL SPIDERMAN OVSPI1:ASSORTIVE COLOR:12-18:PRINT:SHORT JUMPSUIT</t>
  </si>
  <si>
    <t>SHORT JUMPSUIT OVERALL SPIDERMAN OVSPI1:ASSORTIVE COLOR:6-12:PRINT:SHORT JUMPSUIT</t>
  </si>
  <si>
    <t>SHORT JUMPSUIT OVERALL SPIDERMAN OVSPI1:ASSORTIVE COLOR:24-36:PRINT:SHORT JUMPSUIT</t>
  </si>
  <si>
    <t>MP3DRO3</t>
  </si>
  <si>
    <t>BRIEF CD PACK OF 3 SPIDERMAN MP3DRO3:ASSORTIVE COLOR:S:PRINT:BRIEF</t>
  </si>
  <si>
    <t>BRIEF CD PACK OF 3 SPIDERMAN MP3DRO3:ASSORTIVE COLOR:XL:PRINT:BRIEF</t>
  </si>
  <si>
    <t>BRIEF CD PACK OF 3 SPIDERMAN MP3DRO3:ASSORTIVE COLOR:L:PRINT:BRIEF</t>
  </si>
  <si>
    <t>BRIEF CD PACK OF 3 SPIDERMAN MP3DRO3:ASSORTIVE COLOR:M:PRINT:BRIEF</t>
  </si>
  <si>
    <t>U325MVAVG</t>
  </si>
  <si>
    <t>BRIEF PACK OF 3 UNDERWEAR MARVEL U325MVAVG:ASSORTIVE COLOR:M:PRINT:BRIEF</t>
  </si>
  <si>
    <t>BRIEF PACK OF 3 UNDERWEAR MARVEL U325MVAVG:ASSORTIVE COLOR:XL:PRINT:BRIEF</t>
  </si>
  <si>
    <t>BRIEF PACK OF 3 UNDERWEAR MARVEL U325MVAVG:ASSORTIVE COLOR:S:PRINT:BRIEF</t>
  </si>
  <si>
    <t>BRIEF PACK OF 3 UNDERWEAR MARVEL U325MVAVG:ASSORTIVE COLOR:L:PRINT:BRIEF</t>
  </si>
  <si>
    <t>P325SPI</t>
  </si>
  <si>
    <t>BRIEF PACK OF 3 UW SPIDER-MAN P325SPI:ASSORTIVE COLOR:XL:PRINT:BRIEF</t>
  </si>
  <si>
    <t>BRIEF PACK OF 3 UW SPIDER-MAN P325SPI:ASSORTIVE COLOR:M:PRINT:BRIEF</t>
  </si>
  <si>
    <t>BRIEF PACK OF 3 UW SPIDER-MAN P325SPI:ASSORTIVE COLOR:S:PRINT:BRIEF</t>
  </si>
  <si>
    <t>BRIEF PACK OF 3 UW SPIDER-MAN P325SPI:ASSORTIVE COLOR:L:PRINT:BRIEF</t>
  </si>
  <si>
    <t>SWPRSPD</t>
  </si>
  <si>
    <t>TOP - BOTTOM SET LSSP SPIDERMAN SWPRSPD:PASTEL GREY:4:PRINT:TOP - BOTTOM SET</t>
  </si>
  <si>
    <t>TOP - BOTTOM SET LSSP SPIDERMAN SWPRSPD:PASTEL GREY:5:PRINT:TOP - BOTTOM SET</t>
  </si>
  <si>
    <t>TOP - BOTTOM SET LSSP SPIDERMAN SWPRSPD:PASTEL GREY:12:PRINT:TOP - BOTTOM SET</t>
  </si>
  <si>
    <t>TOP - BOTTOM SET LSSP SPIDERMAN SWPRSPD:PASTEL GREY:14:PRINT:TOP - BOTTOM SET</t>
  </si>
  <si>
    <t>TOP - BOTTOM SET LSSP SPIDERMAN SWPRSPD:PASTEL GREY:7:PRINT:TOP - BOTTOM SET</t>
  </si>
  <si>
    <t>TOP - BOTTOM SET LSSP SPIDERMAN SWPRSPD:PASTEL GREY:8:PRINT:TOP - BOTTOM SET</t>
  </si>
  <si>
    <t>TOP - BOTTOM SET LSSP SPIDERMAN SWPRSPD:PASTEL GREY:10:PRINT:TOP - BOTTOM SET</t>
  </si>
  <si>
    <t>TOP - BOTTOM SET LSSP SPIDERMAN SWPRSPD:PASTEL GREY:6:PRINT:TOP - BOTTOM SET</t>
  </si>
  <si>
    <t>SWMFPMV</t>
  </si>
  <si>
    <t>TOP - BOTTOM SET LSLP FULL PRINT MARVEL SWMFPMV:NAVY BLUE:6:PRINT:TOP - BOTTOM SET</t>
  </si>
  <si>
    <t>TOP - BOTTOM SET LSLP FULL PRINT MARVEL SWMFPMV:NAVY BLUE:7:PRINT:TOP - BOTTOM SET</t>
  </si>
  <si>
    <t>TOP - BOTTOM SET LSLP FULL PRINT MARVEL SWMFPMV:NAVY BLUE:10:PRINT:TOP - BOTTOM SET</t>
  </si>
  <si>
    <t>TOP - BOTTOM SET LSLP FULL PRINT MARVEL SWMFPMV:NAVY BLUE:4:PRINT:TOP - BOTTOM SET</t>
  </si>
  <si>
    <t>TOP - BOTTOM SET LSLP FULL PRINT MARVEL SWMFPMV:NAVY BLUE:5:PRINT:TOP - BOTTOM SET</t>
  </si>
  <si>
    <t>TOP - BOTTOM SET LSLP FULL PRINT MARVEL SWMFPMV:NAVY BLUE:14:PRINT:TOP - BOTTOM SET</t>
  </si>
  <si>
    <t>TOP - BOTTOM SET LSLP FULL PRINT MARVEL SWMFPMV:NAVY BLUE:12:PRINT:TOP - BOTTOM SET</t>
  </si>
  <si>
    <t>TOP - BOTTOM SET LSLP FULL PRINT MARVEL SWMFPMV:NAVY BLUE:8:PRINT:TOP - BOTTOM SET</t>
  </si>
  <si>
    <t>P325FZA</t>
  </si>
  <si>
    <t>BRIEF PACK OF 3 UW FROZEN P325FZA:ASSORTIVE COLOR:M:PRINT:BRIEF</t>
  </si>
  <si>
    <t>BRIEF PACK OF 3 UW FROZEN P325FZA:ASSORTIVE COLOR:S:PRINT:BRIEF</t>
  </si>
  <si>
    <t>BRIEF PACK OF 3 UW FROZEN P325FZA:ASSORTIVE COLOR:L:PRINT:BRIEF</t>
  </si>
  <si>
    <t>BRIEF PACK OF 3 UW FROZEN P325FZA:ASSORTIVE COLOR:XL:PRINT:BRIEF</t>
  </si>
  <si>
    <t>SWHMFZA</t>
  </si>
  <si>
    <t>TOP - BOTTOM SET LSLP FROZEN ELSA AND ANNA SWHMFZA:PASTEL ORANGE:7:PRINT:TOP - BOTTOM SET</t>
  </si>
  <si>
    <t>TOP - BOTTOM SET LSLP FROZEN ELSA AND ANNA SWHMFZA:PASTEL ORANGE:6:PRINT:TOP - BOTTOM SET</t>
  </si>
  <si>
    <t>TOP - BOTTOM SET LSLP FROZEN ELSA AND ANNA SWHMFZA:PASTEL ORANGE:5:PRINT:TOP - BOTTOM SET</t>
  </si>
  <si>
    <t>TOP - BOTTOM SET LSLP FROZEN ELSA AND ANNA SWHMFZA:PASTEL ORANGE:12:PRINT:TOP - BOTTOM SET</t>
  </si>
  <si>
    <t>TOP - BOTTOM SET LSLP FROZEN ELSA AND ANNA SWHMFZA:PASTEL ORANGE:14:PRINT:TOP - BOTTOM SET</t>
  </si>
  <si>
    <t>TOP - BOTTOM SET LSLP FROZEN ELSA AND ANNA SWHMFZA:PASTEL ORANGE:4:PRINT:TOP - BOTTOM SET</t>
  </si>
  <si>
    <t>TOP - BOTTOM SET LSLP FROZEN ELSA AND ANNA SWHMFZA:PASTEL ORANGE:10:PRINT:TOP - BOTTOM SET</t>
  </si>
  <si>
    <t>TOP - BOTTOM SET LSLP FROZEN ELSA AND ANNA SWHMFZA:PASTEL ORANGE:8:PRINT:TOP - BOTTOM SET</t>
  </si>
  <si>
    <t>MP3DRO6</t>
  </si>
  <si>
    <t>BRIEF CD PACK OF 3 SPIDERMAN &amp; CAPTEN AMERICA MP3DRO6:ASSORTIVE COLOR:M:PRINT:BRIEF</t>
  </si>
  <si>
    <t>BRIEF CD PACK OF 3 SPIDERMAN &amp; CAPTEN AMERICA MP3DRO6:ASSORTIVE COLOR:XL:PRINT:BRIEF</t>
  </si>
  <si>
    <t>BRIEF CD PACK OF 3 SPIDERMAN &amp; CAPTEN AMERICA MP3DRO6:ASSORTIVE COLOR:L:PRINT:BRIEF</t>
  </si>
  <si>
    <t>BRIEF CD PACK OF 3 SPIDERMAN &amp; CAPTEN AMERICA MP3DRO6:ASSORTIVE COLOR:S:PRINT:BRIEF</t>
  </si>
  <si>
    <t>U325SPDLB</t>
  </si>
  <si>
    <t>BRIEF PACK OF 3 UNDERWEAR SPIDERMAN FP LABA U325SPDLB:ASSORTIVE COLOR:M:PRINT:BRIEF</t>
  </si>
  <si>
    <t>BRIEF PACK OF 3 UNDERWEAR SPIDERMAN FP LABA U325SPDLB:ASSORTIVE COLOR:L:PRINT:BRIEF</t>
  </si>
  <si>
    <t>BRIEF PACK OF 3 UNDERWEAR SPIDERMAN FP LABA U325SPDLB:ASSORTIVE COLOR:XL:PRINT:BRIEF</t>
  </si>
  <si>
    <t>BRIEF PACK OF 3 UNDERWEAR SPIDERMAN FP LABA U325SPDLB:ASSORTIVE COLOR:S:PRINT:BRIEF</t>
  </si>
  <si>
    <t>SS MIDI DRESS BROKAT MINNIE DSBROMIN:OFF WHITE:9-10:GRAPHIC:SS MIDI DRESS</t>
  </si>
  <si>
    <t>U325MM</t>
  </si>
  <si>
    <t>BRIEF PACK OF 3 UNDERWEAR MY MELODY U325MM:ASSORTIVE COLOR:S:PRINT:BRIEF</t>
  </si>
  <si>
    <t>BRIEF PACK OF 3 UNDERWEAR MY MELODY U325MM:ASSORTIVE COLOR:L:PRINT:BRIEF</t>
  </si>
  <si>
    <t>BRIEF PACK OF 3 UNDERWEAR MY MELODY U325MM:ASSORTIVE COLOR:XL:PRINT:BRIEF</t>
  </si>
  <si>
    <t>BRIEF PACK OF 3 UNDERWEAR MY MELODY U325MM:ASSORTIVE COLOR:M:PRINT:BRIEF</t>
  </si>
  <si>
    <t>KKKU1</t>
  </si>
  <si>
    <t>SOCKS KKG KUROMI FP KKKU1:PASTEL PURPLE:14-16:PRINT:SOCKS</t>
  </si>
  <si>
    <t>KKHK2</t>
  </si>
  <si>
    <t>SOCKS KKG HELLO KITTY STRIPE KKHK2:PASTEL PINK:18-20:PRINT:SOCKS</t>
  </si>
  <si>
    <t>KKKU2</t>
  </si>
  <si>
    <t>SOCKS KKG KUROMI KKKU2:PASTEL PURPLE:14-16:PRINT:SOCKS</t>
  </si>
  <si>
    <t>KKHK4</t>
  </si>
  <si>
    <t>SOCKS KKG HELLO KITTY KKHK4:PASTEL PINK:14-16:PRINT:SOCKS</t>
  </si>
  <si>
    <t>KKHK3</t>
  </si>
  <si>
    <t>SOCKS KKG HELLO KITTY FP KKHK3:PASTEL PINK:14-16:PRINT:SOCKS</t>
  </si>
  <si>
    <t>KKCN2</t>
  </si>
  <si>
    <t>SOCKS KKG CINNAMOROLL KKCN2:PASTEL PINK:14-16:PRINT:SOCKS</t>
  </si>
  <si>
    <t>SOCKS KKG KUROMI FP KKKU1:PASTEL PURPLE:18-20:PRINT:SOCKS</t>
  </si>
  <si>
    <t>SOCKS KKG CINNAMOROLL KKCN2:PASTEL PINK:18-20:PRINT:SOCKS</t>
  </si>
  <si>
    <t>KKHK1</t>
  </si>
  <si>
    <t>SOCKS KKG HELLO KITTY RIBBON KKHK1:PASTEL PINK:14-16:PRINT:SOCKS</t>
  </si>
  <si>
    <t>SOCKS KKG KUROMI KKKU2:PASTEL PURPLE:18-20:PRINT:SOCKS</t>
  </si>
  <si>
    <t>KKCN1</t>
  </si>
  <si>
    <t>SOCKS KKG CINNAMOROLL KKCN1:PASTEL BLUE:18-20:PRINT:SOCKS</t>
  </si>
  <si>
    <t>SOCKS KKG HELLO KITTY FP KKHK3:PASTEL PINK:18-20:PRINT:SOCKS</t>
  </si>
  <si>
    <t>SOCKS KKG HELLO KITTY STRIPE KKHK2:PASTEL PINK:14-16:PRINT:SOCKS</t>
  </si>
  <si>
    <t>SOCKS KKG CINNAMOROLL KKCN1:PASTEL BLUE:14-16:PRINT:SOCKS</t>
  </si>
  <si>
    <t>SOCKS KKG HELLO KITTY RIBBON KKHK1:PASTEL PINK:18-20:PRINT:SOCKS</t>
  </si>
  <si>
    <t>SOCKS KKG HELLO KITTY KKHK4:PASTEL PINK:18-20:PRINT:SOCKS</t>
  </si>
  <si>
    <t>SWMHK</t>
  </si>
  <si>
    <t>TOP - BOTTOM SET SLEEPWEAR HELLO KITTY SWMHK:PASTEL PINK:12:PRINT:TOP - BOTTOM SET</t>
  </si>
  <si>
    <t>TOP - BOTTOM SET SLEEPWEAR HELLO KITTY SWMHK:PASTEL PINK:10:PRINT:TOP - BOTTOM SET</t>
  </si>
  <si>
    <t>TOP - BOTTOM SET SLEEPWEAR HELLO KITTY SWMHK:PASTEL PINK:4:PRINT:TOP - BOTTOM SET</t>
  </si>
  <si>
    <t>TOP - BOTTOM SET SLEEPWEAR HELLO KITTY SWMHK:PASTEL PINK:7:PRINT:TOP - BOTTOM SET</t>
  </si>
  <si>
    <t>TOP - BOTTOM SET SLEEPWEAR HELLO KITTY SWMHK:PASTEL PINK:6:PRINT:TOP - BOTTOM SET</t>
  </si>
  <si>
    <t>TOP - BOTTOM SET SLEEPWEAR HELLO KITTY SWMHK:PASTEL PINK:14:PRINT:TOP - BOTTOM SET</t>
  </si>
  <si>
    <t>TOP - BOTTOM SET SLEEPWEAR HELLO KITTY SWMHK:PASTEL PINK:8:PRINT:TOP - BOTTOM SET</t>
  </si>
  <si>
    <t>TOP - BOTTOM SET SLEEPWEAR HELLO KITTY SWMHK:PASTEL PINK:5:PRINT:TOP - BOTTOM SET</t>
  </si>
  <si>
    <t>U325KITY</t>
  </si>
  <si>
    <t>BRIEF PACK OF 3 UNDERWEAR HELLO KITTY U325KITY:ASSORTIVE COLOR:L:PRINT:BRIEF</t>
  </si>
  <si>
    <t>BRIEF PACK OF 3 UNDERWEAR HELLO KITTY U325KITY:ASSORTIVE COLOR:M:PRINT:BRIEF</t>
  </si>
  <si>
    <t>BRIEF PACK OF 3 UNDERWEAR HELLO KITTY U325KITY:ASSORTIVE COLOR:XL:PRINT:BRIEF</t>
  </si>
  <si>
    <t>BRIEF PACK OF 3 UNDERWEAR HELLO KITTY U325KITY:ASSORTIVE COLOR:S:PRINT:BRIEF</t>
  </si>
  <si>
    <t>U325BAT</t>
  </si>
  <si>
    <t>BRIEF PACK OF 3 UNDERWEAR BATMAN U325BAT:ASSORTIVE COLOR:L:PRINT:BRIEF</t>
  </si>
  <si>
    <t>BRIEF PACK OF 3 UNDERWEAR BATMAN U325BAT:ASSORTIVE COLOR:XL:PRINT:BRIEF</t>
  </si>
  <si>
    <t>BRIEF PACK OF 3 UNDERWEAR BATMAN U325BAT:ASSORTIVE COLOR:M:PRINT:BRIEF</t>
  </si>
  <si>
    <t>BRIEF PACK OF 3 UNDERWEAR BATMAN U325BAT:ASSORTIVE COLOR:S:PRINT:BRIEF</t>
  </si>
  <si>
    <t>MP3BAT05</t>
  </si>
  <si>
    <t>BRIEF UW PACK OF 3 BATMAN MP3BAT05:ASSORTIVE COLOR:S:PRINT:BRIEF</t>
  </si>
  <si>
    <t>BRIEF UW PACK OF 3 BATMAN MP3BAT05:ASSORTIVE COLOR:M:PRINT:BRIEF</t>
  </si>
  <si>
    <t>BRIEF UW PACK OF 3 BATMAN MP3BAT05:ASSORTIVE COLOR:L:PRINT:BRIEF</t>
  </si>
  <si>
    <t>BRIEF UW PACK OF 3 BATMAN MP3BAT05:ASSORTIVE COLOR:XL:PRINT:BRIEF</t>
  </si>
  <si>
    <t>MP3UCN</t>
  </si>
  <si>
    <t>BRIEF PACK OF 3 UW CINNAMOROLL MP3UCN:ASSORTIVE COLOR:S:GRAPHIC:BRIEF</t>
  </si>
  <si>
    <t>BRIEF PACK OF 3 UW CINNAMOROLL MP3UCN:ASSORTIVE COLOR:M:GRAPHIC:BRIEF</t>
  </si>
  <si>
    <t>BRIEF PACK OF 3 UW CINNAMOROLL MP3UCN:ASSORTIVE COLOR:L:GRAPHIC:BRIEF</t>
  </si>
  <si>
    <t>BRIEF PACK OF 3 UW CINNAMOROLL MP3UCN:ASSORTIVE COLOR:XL:GRAPHIC:BRIEF</t>
  </si>
  <si>
    <t>MP3UMM</t>
  </si>
  <si>
    <t>BRIEF PACK OF 3 UW MY MELODY MP3UMM:ASSORTIVE COLOR:S:GRAPHIC:BRIEF</t>
  </si>
  <si>
    <t>BRIEF PACK OF 3 UW MY MELODY MP3UMM:ASSORTIVE COLOR:M:GRAPHIC:BRIEF</t>
  </si>
  <si>
    <t>BRIEF PACK OF 3 UW MY MELODY MP3UMM:ASSORTIVE COLOR:L:GRAPHIC:BRIEF</t>
  </si>
  <si>
    <t>BRIEF PACK OF 3 UW MY MELODY MP3UMM:ASSORTIVE COLOR:XL:GRAPHIC:BRIEF</t>
  </si>
  <si>
    <t>MP3UKU</t>
  </si>
  <si>
    <t>BRIEF PACK OF 3 UW KUROMI MP3UKU:ASSORTIVE COLOR:S:GRAPHIC:BRIEF</t>
  </si>
  <si>
    <t>BRIEF PACK OF 3 UW KUROMI MP3UKU:ASSORTIVE COLOR:M:GRAPHIC:BRIEF</t>
  </si>
  <si>
    <t>BRIEF PACK OF 3 UW KUROMI MP3UKU:ASSORTIVE COLOR:L:GRAPHIC:BRIEF</t>
  </si>
  <si>
    <t>BRIEF PACK OF 3 UW KUROMI MP3UKU:ASSORTIVE COLOR:XL:GRAPHIC:BRIEF</t>
  </si>
  <si>
    <t>PYLMM</t>
  </si>
  <si>
    <t>TOP - BOTTOM SET PIYAMA KERAH LSLP MY MELODY PYLMM:PASTEL PINK:4:PRINT:TOP - BOTTOM SET</t>
  </si>
  <si>
    <t>TOP - BOTTOM SET PIYAMA KERAH LSLP MY MELODY PYLMM:PASTEL PINK:5:PRINT:TOP - BOTTOM SET</t>
  </si>
  <si>
    <t>TOP - BOTTOM SET PIYAMA KERAH LSLP MY MELODY PYLMM:PASTEL PINK:6:PRINT:TOP - BOTTOM SET</t>
  </si>
  <si>
    <t>TOP - BOTTOM SET PIYAMA KERAH LSLP MY MELODY PYLMM:PASTEL PINK:7:PRINT:TOP - BOTTOM SET</t>
  </si>
  <si>
    <t>TOP - BOTTOM SET PIYAMA KERAH LSLP MY MELODY PYLMM:PASTEL PINK:8:PRINT:TOP - BOTTOM SET</t>
  </si>
  <si>
    <t>TOP - BOTTOM SET PIYAMA KERAH LSLP MY MELODY PYLMM:PASTEL PINK:10:PRINT:TOP - BOTTOM SET</t>
  </si>
  <si>
    <t>TOP - BOTTOM SET PIYAMA KERAH LSLP MY MELODY PYLMM:PASTEL PINK:12:PRINT:TOP - BOTTOM SET</t>
  </si>
  <si>
    <t>TOP - BOTTOM SET PIYAMA KERAH LSLP MY MELODY PYLMM:PASTEL PINK:14:PRINT:TOP - BOTTOM SET</t>
  </si>
  <si>
    <t>SWKU</t>
  </si>
  <si>
    <t>TOP - BOTTOM SET LSLP KUROMI SWKU:PASTEL PURPLE:8:PRINT:TOP - BOTTOM SET</t>
  </si>
  <si>
    <t>TOP - BOTTOM SET LSLP KUROMI SWKU:PASTEL PURPLE:10:PRINT:TOP - BOTTOM SET</t>
  </si>
  <si>
    <t>TOP - BOTTOM SET LSLP KUROMI SWKU:PASTEL PURPLE:12:PRINT:TOP - BOTTOM SET</t>
  </si>
  <si>
    <t>TOP - BOTTOM SET LSLP KUROMI SWKU:PASTEL PURPLE:14:PRINT:TOP - BOTTOM SET</t>
  </si>
  <si>
    <t>MP3TWEET</t>
  </si>
  <si>
    <t>PACK OF 3 UW TWEETY MP3TWEET:ASSORTIVE COLOR:S:PRINT:TRUNK</t>
  </si>
  <si>
    <t>PACK OF 3 UW TWEETY MP3TWEET:ASSORTIVE COLOR:M:PRINT:TRUNK</t>
  </si>
  <si>
    <t>PACK OF 3 UW TWEETY MP3TWEET:ASSORTIVE COLOR:L:PRINT:TRUNK</t>
  </si>
  <si>
    <t>PACK OF 3 UW TWEETY MP3TWEET:ASSORTIVE COLOR:XL:PRINT:TRUNK</t>
  </si>
  <si>
    <t>MP3SUP4</t>
  </si>
  <si>
    <t>BRIEF PACK OF 3 SUPERMAN MP3SUP4:ASSORTIVE COLOR:S:PRINT:TRUNK</t>
  </si>
  <si>
    <t>BRIEF PACK OF 3 SUPERMAN MP3SUP4:ASSORTIVE COLOR:M:PRINT:TRUNK</t>
  </si>
  <si>
    <t>BRIEF PACK OF 3 SUPERMAN MP3SUP4:ASSORTIVE COLOR:L:PRINT:TRUNK</t>
  </si>
  <si>
    <t>BRIEF PACK OF 3 SUPERMAN MP3SUP4:ASSORTIVE COLOR:XL:PRINT:TRUNK</t>
  </si>
  <si>
    <t>SWCSBAT</t>
  </si>
  <si>
    <t>SET SSLP COSTUME BATMAN  SWCSBAT:PASTEL GREY:8:PRINT:SS PYJAMA PANTS</t>
  </si>
  <si>
    <t>SET SSLP COSTUME BATMAN  SWCSBAT:PASTEL GREY:10:PRINT:SS PYJAMA PANTS</t>
  </si>
  <si>
    <t>SET SSLP COSTUME BATMAN  SWCSBAT:PASTEL GREY:12:PRINT:SS PYJAMA PANTS</t>
  </si>
  <si>
    <t>SET SSLP COSTUME BATMAN  SWCSBAT:PASTEL GREY:14:PRINT:SS PYJAMA PANTS</t>
  </si>
  <si>
    <t>KKBAT242</t>
  </si>
  <si>
    <t>SOCKS KKB BATMAN KKBAT242:BLACK:14-16:GRAPHIC:SOCKS</t>
  </si>
  <si>
    <t>SOCKS KKB BATMAN KKBAT242:BLACK:18-20:GRAPHIC:SOCKS</t>
  </si>
  <si>
    <t>KKBAT244</t>
  </si>
  <si>
    <t>SOCKS KKB BATMAN KKBAT244:PASTEL GREY:14-16:GRAPHIC:SOCKS</t>
  </si>
  <si>
    <t>SOCKS KKB BATMAN KKBAT244:PASTEL GREY:18-20:GRAPHIC:SOCKS</t>
  </si>
  <si>
    <t>KBAT241</t>
  </si>
  <si>
    <t>SOCKS KKB BATMAN KBAT241:BLACK:14-16:GRAPHIC:SOCKS</t>
  </si>
  <si>
    <t>SOCKS KKB BATMAN KBAT241:BLACK:18-20:GRAPHIC:SOCKS</t>
  </si>
  <si>
    <t>KBAT243</t>
  </si>
  <si>
    <t>SOCKS KKB BATMAN KBAT243:BLACK:14-16:GRAPHIC:SOCKS</t>
  </si>
  <si>
    <t>SOCKS KKB BATMAN KBAT243:BLACK:18-20:GRAPHIC:SOCKS</t>
  </si>
  <si>
    <t>KSUP241</t>
  </si>
  <si>
    <t>SOCKS KKB SUPERMAN KSUP241:CLASSIC BLUE:14-16:GRAPHIC:SOCKS</t>
  </si>
  <si>
    <t>SOCKS KKB SUPERMAN KSUP241:CLASSIC BLUE:18-20:GRAPHIC:SOCKS</t>
  </si>
  <si>
    <t>KSUP242</t>
  </si>
  <si>
    <t>SOCKS KKB SUPERMAN KSUP242:CLASSIC BLUE:14-16:GRAPHIC:SOCKS</t>
  </si>
  <si>
    <t>SOCKS KKB SUPERMAN KSUP242:CLASSIC BLUE:18-20:GRAPHIC:SOCKS</t>
  </si>
  <si>
    <t>KKBAT245</t>
  </si>
  <si>
    <t>SOCKS KKB BATMAN LOGO KKBAT245:PASTEL GREY:14-16:GRAPHIC:SOCKS</t>
  </si>
  <si>
    <t>SOCKS KKB BATMAN LOGO KKBAT245:PASTEL GREY:18-20:GRAPHIC:SOCKS</t>
  </si>
  <si>
    <t>KKBAT246</t>
  </si>
  <si>
    <t>SOCKS KKB BATMAN FP LOGO KKBAT246:BLACK:14-16:GRAPHIC:SOCKS</t>
  </si>
  <si>
    <t>SOCKS KKB BATMAN FP LOGO KKBAT246:BLACK:18-20:GRAPHIC:SOCKS</t>
  </si>
  <si>
    <t>KKTW01</t>
  </si>
  <si>
    <t>SOCKS KKG TWEETY KKTW01:PASTEL YELLOW:14-16:GRAPHIC:SOCKS</t>
  </si>
  <si>
    <t>SOCKS KKG TWEETY KKTW01:PASTEL YELLOW:18-20:GRAPHIC:SOCKS</t>
  </si>
  <si>
    <t>KKTW02</t>
  </si>
  <si>
    <t>SOCKS KKG TWEETY KKTW02:PASTEL YELLOW:14-16:GRAPHIC:SOCKS</t>
  </si>
  <si>
    <t>SOCKS KKG TWEETY KKTW02:PASTEL YELLOW:18-20:GRAPHIC:SOCKS</t>
  </si>
  <si>
    <t>HK-AM1</t>
  </si>
  <si>
    <t>TOP - BOTTOM SET HELLO KITTY SAKURA LEGGING HK-AM1:PASTEL PINK:3-6:PRINT:TOP - BOTTOM SET</t>
  </si>
  <si>
    <t>TOP - BOTTOM SET HELLO KITTY SAKURA LEGGING HK-AM1:PASTEL PINK:6-12:PRINT:TOP - BOTTOM SET</t>
  </si>
  <si>
    <t>TOP - BOTTOM SET HELLO KITTY SAKURA LEGGING HK-AM1:PASTEL PINK:12-18:PRINT:TOP - BOTTOM SET</t>
  </si>
  <si>
    <t>TOP - BOTTOM SET HELLO KITTY SAKURA LEGGING HK-AM1:PASTEL PINK:18-24:PRINT:TOP - BOTTOM SET</t>
  </si>
  <si>
    <t>TOP - BOTTOM SET HELLO KITTY SAKURA LEGGING HK-AM1:PASTEL PINK:24-36:PRINT:TOP - BOTTOM SET</t>
  </si>
  <si>
    <t>HK-AM2</t>
  </si>
  <si>
    <t>SHORT JUMPSUIT OVERALL PANTS ICON HELLO KITTY HK-AM2:FUSCHIA:3-6:GRAPHIC:SHORT JUMPSUIT</t>
  </si>
  <si>
    <t>SHORT JUMPSUIT OVERALL PANTS ICON HELLO KITTY HK-AM2:FUSCHIA:6-12:GRAPHIC:SHORT JUMPSUIT</t>
  </si>
  <si>
    <t>SHORT JUMPSUIT OVERALL PANTS ICON HELLO KITTY HK-AM2:FUSCHIA:12-18:GRAPHIC:SHORT JUMPSUIT</t>
  </si>
  <si>
    <t>SHORT JUMPSUIT OVERALL PANTS ICON HELLO KITTY HK-AM2:FUSCHIA:18-24:GRAPHIC:SHORT JUMPSUIT</t>
  </si>
  <si>
    <t>SHORT JUMPSUIT OVERALL PANTS ICON HELLO KITTY HK-AM2:FUSCHIA:24-36:GRAPHIC:SHORT JUMPSUIT</t>
  </si>
  <si>
    <t>HK-AM3</t>
  </si>
  <si>
    <t>SS MIDI DRESS HELLO KITTY SAKURA FP HK-AM3:PASTEL PINK:3-6:PRINT:SS MIDI DRESS</t>
  </si>
  <si>
    <t>SS MIDI DRESS HELLO KITTY SAKURA FP HK-AM3:PASTEL PINK:6-12:PRINT:SS MIDI DRESS</t>
  </si>
  <si>
    <t>SS MIDI DRESS HELLO KITTY SAKURA FP HK-AM3:PASTEL PINK:12-18:PRINT:SS MIDI DRESS</t>
  </si>
  <si>
    <t>SS MIDI DRESS HELLO KITTY SAKURA FP HK-AM3:PASTEL PINK:18-24:PRINT:SS MIDI DRESS</t>
  </si>
  <si>
    <t>SS MIDI DRESS HELLO KITTY SAKURA FP HK-AM3:PASTEL PINK:24-36:PRINT:SS MIDI DRESS</t>
  </si>
  <si>
    <t>PPG1</t>
  </si>
  <si>
    <t>ONE SET SS PPG LEGGING POLOS PPG1:ASSORTIVE COLOR:3-6:PRINT:TOP - BOTTOM SET</t>
  </si>
  <si>
    <t>ONE SET SS PPG LEGGING POLOS PPG1:ASSORTIVE COLOR:6-12:PRINT:TOP - BOTTOM SET</t>
  </si>
  <si>
    <t>ONE SET SS PPG LEGGING POLOS PPG1:ASSORTIVE COLOR:12-18:PRINT:TOP - BOTTOM SET</t>
  </si>
  <si>
    <t>ONE SET SS PPG LEGGING POLOS PPG1:ASSORTIVE COLOR:18-24:PRINT:TOP - BOTTOM SET</t>
  </si>
  <si>
    <t>ONE SET SS PPG LEGGING POLOS PPG1:ASSORTIVE COLOR:24-36:PRINT:TOP - BOTTOM SET</t>
  </si>
  <si>
    <t>PPG2</t>
  </si>
  <si>
    <t>SS MIDI DRESS CHARACTER PPG KERAH FULL PRINT PPG2:PASTEL PINK:3-6:PRINT:SS MIDI DRESS</t>
  </si>
  <si>
    <t>SS MIDI DRESS CHARACTER PPG KERAH FULL PRINT PPG2:PASTEL PINK:6-12:PRINT:SS MIDI DRESS</t>
  </si>
  <si>
    <t>SS MIDI DRESS CHARACTER PPG KERAH FULL PRINT PPG2:PASTEL PINK:12-18:PRINT:SS MIDI DRESS</t>
  </si>
  <si>
    <t>SS MIDI DRESS CHARACTER PPG KERAH FULL PRINT PPG2:PASTEL PINK:18-24:PRINT:SS MIDI DRESS</t>
  </si>
  <si>
    <t>SS MIDI DRESS CHARACTER PPG KERAH FULL PRINT PPG2:PASTEL PINK:24-36:PRINT:SS MIDI DRESS</t>
  </si>
  <si>
    <t>PPG3</t>
  </si>
  <si>
    <t>ONE SET SS PPG LEGGING FULL PRINT PPG3:PASTEL PINK:3-6:PRINT:TOP - BOTTOM SET</t>
  </si>
  <si>
    <t>ONE SET SS PPG LEGGING FULL PRINT PPG3:PASTEL PINK:6-12:PRINT:TOP - BOTTOM SET</t>
  </si>
  <si>
    <t>ONE SET SS PPG LEGGING FULL PRINT PPG3:PASTEL PINK:12-18:PRINT:TOP - BOTTOM SET</t>
  </si>
  <si>
    <t>ONE SET SS PPG LEGGING FULL PRINT PPG3:PASTEL PINK:18-24:PRINT:TOP - BOTTOM SET</t>
  </si>
  <si>
    <t>ONE SET SS PPG LEGGING FULL PRINT PPG3:PASTEL PINK:24-36:PRINT:TOP - BOTTOM SET</t>
  </si>
  <si>
    <t>PPG4</t>
  </si>
  <si>
    <t>SS MIDI DRESS OVERALL SUPER CUTE PPG PPG4:PASTEL PINK:3-6:PRINT:SS MIDI DRESS</t>
  </si>
  <si>
    <t>SS MIDI DRESS OVERALL SUPER CUTE PPG PPG4:PASTEL PINK:6-12:PRINT:SS MIDI DRESS</t>
  </si>
  <si>
    <t>SS MIDI DRESS OVERALL SUPER CUTE PPG PPG4:PASTEL PINK:12-18:PRINT:SS MIDI DRESS</t>
  </si>
  <si>
    <t>SS MIDI DRESS OVERALL SUPER CUTE PPG PPG4:PASTEL PINK:18-24:PRINT:SS MIDI DRESS</t>
  </si>
  <si>
    <t>SS MIDI DRESS OVERALL SUPER CUTE PPG PPG4:PASTEL PINK:24-36:PRINT:SS MIDI DRESS</t>
  </si>
  <si>
    <t>GGSETS1</t>
  </si>
  <si>
    <t>SET SHORT PANTS CNS SUPERMAN 1 GGSETS1:ASSORTIVE COLOR:3-6:GRAPHIC:TOP - BOTTOM SET</t>
  </si>
  <si>
    <t>SET SHORT PANTS CNS SUPERMAN 1 GGSETS1:ASSORTIVE COLOR:6-12:GRAPHIC:TOP - BOTTOM SET</t>
  </si>
  <si>
    <t>SET SHORT PANTS CNS SUPERMAN 1 GGSETS1:ASSORTIVE COLOR:12-18:GRAPHIC:TOP - BOTTOM SET</t>
  </si>
  <si>
    <t>SET SHORT PANTS CNS SUPERMAN 1 GGSETS1:ASSORTIVE COLOR:18-24:GRAPHIC:TOP - BOTTOM SET</t>
  </si>
  <si>
    <t>SET SHORT PANTS CNS SUPERMAN 1 GGSETS1:ASSORTIVE COLOR:24-36:GRAPHIC:TOP - BOTTOM SET</t>
  </si>
  <si>
    <t>GGSETS2</t>
  </si>
  <si>
    <t>SET SHORT PANTS CNS SUPERMAN 2 GGSETS2:ASSORTIVE COLOR:3-6:GRAPHIC:TOP - BOTTOM SET</t>
  </si>
  <si>
    <t>SET SHORT PANTS CNS SUPERMAN 2 GGSETS2:ASSORTIVE COLOR:6-12:GRAPHIC:TOP - BOTTOM SET</t>
  </si>
  <si>
    <t>SET SHORT PANTS CNS SUPERMAN 2 GGSETS2:ASSORTIVE COLOR:12-18:GRAPHIC:TOP - BOTTOM SET</t>
  </si>
  <si>
    <t>SET SHORT PANTS CNS SUPERMAN 2 GGSETS2:ASSORTIVE COLOR:18-24:GRAPHIC:TOP - BOTTOM SET</t>
  </si>
  <si>
    <t>SET SHORT PANTS CNS SUPERMAN 2 GGSETS2:ASSORTIVE COLOR:24-36:GRAPHIC:TOP - BOTTOM SET</t>
  </si>
  <si>
    <t>GGSETS3</t>
  </si>
  <si>
    <t>SET SHORT PANTS SUPERHERO GGSETS3:ASSORTIVE COLOR:3-6:GRAPHIC:TOP - BOTTOM SET</t>
  </si>
  <si>
    <t>SET SHORT PANTS SUPERHERO GGSETS3:ASSORTIVE COLOR:6-12:GRAPHIC:TOP - BOTTOM SET</t>
  </si>
  <si>
    <t>SET SHORT PANTS SUPERHERO GGSETS3:ASSORTIVE COLOR:12-18:GRAPHIC:TOP - BOTTOM SET</t>
  </si>
  <si>
    <t>SET SHORT PANTS SUPERHERO GGSETS3:ASSORTIVE COLOR:18-24:GRAPHIC:TOP - BOTTOM SET</t>
  </si>
  <si>
    <t>SET SHORT PANTS SUPERHERO GGSETS3:ASSORTIVE COLOR:24-36:GRAPHIC:TOP - BOTTOM SET</t>
  </si>
  <si>
    <t>TSGKU1</t>
  </si>
  <si>
    <t>SS T-SHIRT KUROMI TSGKU1:PASTEL PINK:7-8:GRAPHIC:SS T-SHIRT</t>
  </si>
  <si>
    <t>SS T-SHIRT KUROMI TSGKU1:PASTEL PINK:9-10:GRAPHIC:SS T-SHIRT</t>
  </si>
  <si>
    <t>TSGKU2</t>
  </si>
  <si>
    <t>SS T-SHIRT KUROMI TSGKU2:OFF WHITE:7-8:GRAPHIC:SS T-SHIRT</t>
  </si>
  <si>
    <t>SS T-SHIRT KUROMI TSGKU1:PASTEL PINK:11-12:GRAPHIC:SS T-SHIRT</t>
  </si>
  <si>
    <t>SS T-SHIRT KUROMI TSGKU1:PASTEL PINK:5-6:GRAPHIC:SS T-SHIRT</t>
  </si>
  <si>
    <t>SS T-SHIRT KUROMI TSGKU2:OFF WHITE:9-10:GRAPHIC:SS T-SHIRT</t>
  </si>
  <si>
    <t>SS T-SHIRT KUROMI TSGKU2:OFF WHITE:11-12:GRAPHIC:SS T-SHIRT</t>
  </si>
  <si>
    <t>SS T-SHIRT KUROMI TSGKU2:OFF WHITE:5-6:GRAPHIC:SS T-SHIRT</t>
  </si>
  <si>
    <t>DLWFMM</t>
  </si>
  <si>
    <t>LS MIDI DRESS WAFEL MY MELODY DLWFMM:PASTEL ORANGE:4-5:GRAPHIC:LS MIDI DRESS</t>
  </si>
  <si>
    <t>LS MIDI DRESS WAFEL MY MELODY DLWFMM:PASTEL ORANGE:3-4:GRAPHIC:LS MIDI DRESS</t>
  </si>
  <si>
    <t>LS MIDI DRESS WAFEL MY MELODY DLWFMM:PASTEL ORANGE:5-6:GRAPHIC:LS MIDI DRESS</t>
  </si>
  <si>
    <t>LS MIDI DRESS WAFEL MY MELODY DLWFMM:PASTEL ORANGE:9-10:GRAPHIC:LS MIDI DRESS</t>
  </si>
  <si>
    <t>LS MIDI DRESS WAFEL MY MELODY DLWFMM:PASTEL ORANGE:11-12:GRAPHIC:LS MIDI DRESS</t>
  </si>
  <si>
    <t>LS MIDI DRESS WAFEL MY MELODY DLWFMM:PASTEL ORANGE:7-8:GRAPHIC:LS MIDI DRESS</t>
  </si>
  <si>
    <t>SWKU1</t>
  </si>
  <si>
    <t>SWEATSHIRT KUROMI COLLAR SWKU1:PASTEL PURPLE:5-6:GRAPHIC:SWEATSHIRT</t>
  </si>
  <si>
    <t>SWEATSHIRT KUROMI COLLAR SWKU1:PASTEL PURPLE:9-10:GRAPHIC:SWEATSHIRT</t>
  </si>
  <si>
    <t>SWEATSHIRT KUROMI COLLAR SWKU1:PASTEL PURPLE:11-12:GRAPHIC:SWEATSHIRT</t>
  </si>
  <si>
    <t>SWEATSHIRT KUROMI COLLAR SWKU1:PASTEL PURPLE:7-8:GRAPHIC:SWEATSHIRT</t>
  </si>
  <si>
    <t>JKVMM</t>
  </si>
  <si>
    <t>JACKET VARSITY MY MELODY JKVMM:PASTEL PINK:7-8:GRAPHIC:JACKET</t>
  </si>
  <si>
    <t>JACKET VARSITY MY MELODY JKVMM:PASTEL PINK:9-10:GRAPHIC:JACKET</t>
  </si>
  <si>
    <t>JACKET VARSITY MY MELODY JKVMM:PASTEL PINK:11-12:GRAPHIC:JACKET</t>
  </si>
  <si>
    <t>JACKET VARSITY MY MELODY JKVMM:PASTEL PINK:5-6:GRAPHIC:JACKET</t>
  </si>
  <si>
    <t>JKTMLP</t>
  </si>
  <si>
    <t>JACKET HOODIE TANDUK MY LITTLE PONY JKTMLP:PASTEL PURPLE:7-8:GRAPHIC:JACKET</t>
  </si>
  <si>
    <t>JACKET HOODIE TANDUK MY LITTLE PONY JKTMLP:PASTEL PURPLE:5-6:GRAPHIC:JACKET</t>
  </si>
  <si>
    <t>JACKET HOODIE TANDUK MY LITTLE PONY JKTMLP:PASTEL PURPLE:3-4:GRAPHIC:JACKET</t>
  </si>
  <si>
    <t>JACKET HOODIE TANDUK MY LITTLE PONY JKTMLP:PASTEL PURPLE:4-5:GRAPHIC:JACKET</t>
  </si>
  <si>
    <t>JGGMM</t>
  </si>
  <si>
    <t>JOGGER MY MELODY JGGMM:PASTEL PINK:5-6:GRAPHIC:JOGGER</t>
  </si>
  <si>
    <t>JOGGER MY MELODY JGGMM:PASTEL PINK:9-10:GRAPHIC:JOGGER</t>
  </si>
  <si>
    <t>JOGGER MY MELODY JGGMM:PASTEL PINK:7-8:GRAPHIC:JOGGER</t>
  </si>
  <si>
    <t>JOGGER MY MELODY JGGMM:PASTEL PINK:11-12:GRAPHIC:JOGGER</t>
  </si>
  <si>
    <t>DLCDMM</t>
  </si>
  <si>
    <t>LS MIDI DRESS CARDIGAN MY MELODY DLCDMM:PASTEL PINK:9-10:FLORAL:LS MIDI DRESS</t>
  </si>
  <si>
    <t>LS MIDI DRESS CARDIGAN MY MELODY DLCDMM:PASTEL PINK:4-5:FLORAL:LS MIDI DRESS</t>
  </si>
  <si>
    <t>LS MIDI DRESS CARDIGAN MY MELODY DLCDMM:PASTEL PINK:3-4:FLORAL:LS MIDI DRESS</t>
  </si>
  <si>
    <t>LS MIDI DRESS CARDIGAN MY MELODY DLCDMM:PASTEL PINK:11-12:FLORAL:LS MIDI DRESS</t>
  </si>
  <si>
    <t>LS MIDI DRESS CARDIGAN MY MELODY DLCDMM:PASTEL PINK:7-8:FLORAL:LS MIDI DRESS</t>
  </si>
  <si>
    <t>LS MIDI DRESS CARDIGAN MY MELODY DLCDMM:PASTEL PINK:5-6:FLORAL:LS MIDI DRESS</t>
  </si>
  <si>
    <t>DSOCKR</t>
  </si>
  <si>
    <t>SHORT JUMPSUIT DRESS SS CORDUROY KUROMI DSOCKR:PASTEL PURPLE:3-4:GRAPHIC:SHORT JUMPSUIT</t>
  </si>
  <si>
    <t>SHORT JUMPSUIT DRESS SS CORDUROY KUROMI DSOCKR:PASTEL PURPLE:4-5:GRAPHIC:SHORT JUMPSUIT</t>
  </si>
  <si>
    <t>SHORT JUMPSUIT DRESS SS CORDUROY KUROMI DSOCKR:PASTEL PURPLE:5-6:GRAPHIC:SHORT JUMPSUIT</t>
  </si>
  <si>
    <t>SHORT JUMPSUIT DRESS SS CORDUROY KUROMI DSOCKR:PASTEL PURPLE:7-8:GRAPHIC:SHORT JUMPSUIT</t>
  </si>
  <si>
    <t>SHORT JUMPSUIT DRESS SS CORDUROY KUROMI DSOCKR:PASTEL PURPLE:9-10:GRAPHIC:SHORT JUMPSUIT</t>
  </si>
  <si>
    <t>TSGCN2</t>
  </si>
  <si>
    <t>SS T-SHIRT CINNAMOROLL TSGCN2:PASTEL BLUE:5-6:GRAPHIC:SS T-SHIRT</t>
  </si>
  <si>
    <t>SS T-SHIRT CINNAMOROLL TSGCN2:PASTEL BLUE:11-12:GRAPHIC:SS T-SHIRT</t>
  </si>
  <si>
    <t>SS T-SHIRT CINNAMOROLL TSGCN2:PASTEL BLUE:9-10:GRAPHIC:SS T-SHIRT</t>
  </si>
  <si>
    <t>SS T-SHIRT CINNAMOROLL TSGCN2:PASTEL BLUE:7-8:GRAPHIC:SS T-SHIRT</t>
  </si>
  <si>
    <t>JKHMLP</t>
  </si>
  <si>
    <t>JACKET HOODIE MY LITTLE PONY JKHMLP:PASTEL PINK:4-5:GRAPHIC:JACKET</t>
  </si>
  <si>
    <t>JACKET HOODIE MY LITTLE PONY JKHMLP:PASTEL PINK:7-8:GRAPHIC:JACKET</t>
  </si>
  <si>
    <t>JACKET HOODIE MY LITTLE PONY JKHMLP:PASTEL PINK:5-6:GRAPHIC:JACKET</t>
  </si>
  <si>
    <t>JACKET HOODIE MY LITTLE PONY JKHMLP:PASTEL PINK:3-4:GRAPHIC:JACKET</t>
  </si>
  <si>
    <t>SSRPKU</t>
  </si>
  <si>
    <t>SS T-SHIRT ROMPI KUROMI SSRPKU:PASTEL PURPLE:5-6:GRAPHIC:SS T-SHIRT</t>
  </si>
  <si>
    <t>SS T-SHIRT ROMPI KUROMI SSRPKU:PASTEL PURPLE:7-8:GRAPHIC:SS T-SHIRT</t>
  </si>
  <si>
    <t>SS T-SHIRT ROMPI KUROMI SSRPKU:PASTEL PURPLE:11-12:GRAPHIC:SS T-SHIRT</t>
  </si>
  <si>
    <t>SS T-SHIRT ROMPI KUROMI SSRPKU:PASTEL PURPLE:9-10:GRAPHIC:SS T-SHIRT</t>
  </si>
  <si>
    <t>LSKRFZA</t>
  </si>
  <si>
    <t>LS T-SHIRT KERAH FROZEN LSKRFZA:PASTEL BLUE:7-8:GRAPHIC:LS T-SHIRT</t>
  </si>
  <si>
    <t>LS T-SHIRT KERAH FROZEN LSKRFZA:PASTEL BLUE:11-12:GRAPHIC:LS T-SHIRT</t>
  </si>
  <si>
    <t>LS T-SHIRT KERAH FROZEN LSKRFZA:PASTEL BLUE:5-6:GRAPHIC:LS T-SHIRT</t>
  </si>
  <si>
    <t>LS T-SHIRT KERAH FROZEN LSKRFZA:PASTEL BLUE:9-10:GRAPHIC:LS T-SHIRT</t>
  </si>
  <si>
    <t>LSL25MAR2</t>
  </si>
  <si>
    <t>LS BLOUSE WOVEN MARIE LSL25MAR2:PASTEL PINK:5-6:GRAPHIC:LS BLOUSE</t>
  </si>
  <si>
    <t>LS BLOUSE WOVEN MARIE LSL25MAR2:PASTEL PINK:4-5:GRAPHIC:LS BLOUSE</t>
  </si>
  <si>
    <t>LS BLOUSE WOVEN MARIE LSL25MAR2:PASTEL PINK:7-8:GRAPHIC:LS BLOUSE</t>
  </si>
  <si>
    <t>LS BLOUSE WOVEN MARIE LSL25MAR2:PASTEL PINK:3-4:GRAPHIC:LS BLOUSE</t>
  </si>
  <si>
    <t>LSCCMIN</t>
  </si>
  <si>
    <t>LS T-SHIRT TOP KERAH MINNIE COASTAL COTTAGE LSCCMIN:PASTEL BLUE:7-8:STRIPES:LS T-SHIRT</t>
  </si>
  <si>
    <t>LS T-SHIRT TOP KERAH MINNIE COASTAL COTTAGE LSCCMIN:PASTEL BLUE:4-5:STRIPES:LS T-SHIRT</t>
  </si>
  <si>
    <t>LS T-SHIRT TOP KERAH MINNIE COASTAL COTTAGE LSCCMIN:PASTEL BLUE:9-10:STRIPES:LS T-SHIRT</t>
  </si>
  <si>
    <t>LS T-SHIRT TOP KERAH MINNIE COASTAL COTTAGE LSCCMIN:PASTEL BLUE:5-6:STRIPES:LS T-SHIRT</t>
  </si>
  <si>
    <t>JKWNMIN</t>
  </si>
  <si>
    <t>JACKET WORDING MINNIE MOUSE JKWNMIN:NAVY BLUE:7-8:GRAPHIC:JACKET</t>
  </si>
  <si>
    <t>JACKET WORDING MINNIE MOUSE JKWNMIN:NAVY BLUE:5-6:GRAPHIC:JACKET</t>
  </si>
  <si>
    <t>JACKET WORDING MINNIE MOUSE JKWNMIN:NAVY BLUE:9-10:GRAPHIC:JACKET</t>
  </si>
  <si>
    <t>JACKET WORDING MINNIE MOUSE JKWNMIN:NAVY BLUE:11-12:GRAPHIC:JACKET</t>
  </si>
  <si>
    <t>DSMINFL</t>
  </si>
  <si>
    <t>SS MIDI DRESS MINNIE FP FLOWER DSMINFL:PASTEL PINK:5-6:PRINT:SS MIDI DRESS</t>
  </si>
  <si>
    <t>SS MIDI DRESS MINNIE FP FLOWER DSMINFL:PASTEL PINK:7-8:PRINT:SS MIDI DRESS</t>
  </si>
  <si>
    <t>SS MIDI DRESS MINNIE FP FLOWER DSMINFL:PASTEL PINK:3-4:PRINT:SS MIDI DRESS</t>
  </si>
  <si>
    <t>SS MIDI DRESS MINNIE FP FLOWER DSMINFL:PASTEL PINK:4-5:PRINT:SS MIDI DRESS</t>
  </si>
  <si>
    <t>DSMINPR</t>
  </si>
  <si>
    <t>SS MIDI DRESS TIERED MINNIE PRINT BTM DSMINPR:OFF WHITE:7-8:PRINT:SS MIDI DRESS</t>
  </si>
  <si>
    <t>DSBRMIN</t>
  </si>
  <si>
    <t>SS MIDI DRESS BORDER MINNIE DSBRMIN:PASTEL ORANGE:7-8:GRAPHIC:SS MIDI DRESS</t>
  </si>
  <si>
    <t>SS MIDI DRESS TIERED MINNIE PRINT BTM DSMINPR:OFF WHITE:4-5:PRINT:SS MIDI DRESS</t>
  </si>
  <si>
    <t>SS MIDI DRESS TIERED MINNIE PRINT BTM DSMINPR:OFF WHITE:5-6:PRINT:SS MIDI DRESS</t>
  </si>
  <si>
    <t>SS MIDI DRESS TIERED MINNIE PRINT BTM DSMINPR:OFF WHITE:3-4:PRINT:SS MIDI DRESS</t>
  </si>
  <si>
    <t>SS MIDI DRESS BORDER MINNIE DSBRMIN:PASTEL ORANGE:3-4:GRAPHIC:SS MIDI DRESS</t>
  </si>
  <si>
    <t>SS MIDI DRESS BORDER MINNIE DSBRMIN:PASTEL ORANGE:5-6:GRAPHIC:SS MIDI DRESS</t>
  </si>
  <si>
    <t>SS MIDI DRESS BORDER MINNIE DSBRMIN:PASTEL ORANGE:4-5:GRAPHIC:SS MIDI DRESS</t>
  </si>
  <si>
    <t>DSMINSM</t>
  </si>
  <si>
    <t>SS MIDI DRESS SMOCK MINNIE DSMINSM:ASSORTIVE COLOR:3-4:PRINT:SS MIDI DRESS</t>
  </si>
  <si>
    <t>SS MIDI DRESS SMOCK MINNIE DSMINSM:ASSORTIVE COLOR:11-12:PRINT:SS MIDI DRESS</t>
  </si>
  <si>
    <t>SS MIDI DRESS SMOCK MINNIE DSMINSM:ASSORTIVE COLOR:7-8:PRINT:SS MIDI DRESS</t>
  </si>
  <si>
    <t>DSWCCMIN</t>
  </si>
  <si>
    <t>SS MIDI DRESS WOVEN MINNIE COASTAL COTTAGE DSWCCMIN:PASTEL BLUE:4-5:GRAPHIC:SS MIDI DRESS</t>
  </si>
  <si>
    <t>SS MIDI DRESS WOVEN MINNIE COASTAL COTTAGE DSWCCMIN:PASTEL BLUE:7-8:GRAPHIC:SS MIDI DRESS</t>
  </si>
  <si>
    <t>SS MIDI DRESS SMOCK MINNIE DSMINSM:ASSORTIVE COLOR:4-5:PRINT:SS MIDI DRESS</t>
  </si>
  <si>
    <t>SS MIDI DRESS SMOCK MINNIE DSMINSM:ASSORTIVE COLOR:5-6:PRINT:SS MIDI DRESS</t>
  </si>
  <si>
    <t>SS MIDI DRESS WOVEN MINNIE COASTAL COTTAGE DSWCCMIN:PASTEL BLUE:5-6:GRAPHIC:SS MIDI DRESS</t>
  </si>
  <si>
    <t>SS MIDI DRESS WOVEN MINNIE COASTAL COTTAGE DSWCCMIN:PASTEL BLUE:3-4:GRAPHIC:SS MIDI DRESS</t>
  </si>
  <si>
    <t>SS MIDI DRESS SMOCK MINNIE DSMINSM:ASSORTIVE COLOR:9-10:PRINT:SS MIDI DRESS</t>
  </si>
  <si>
    <t>TSCDKLOT</t>
  </si>
  <si>
    <t>SS T-SHIRT LOTSO TROPHY COLLAR TSCDKLOT:OFF WHITE:11-12:GRAPHIC:SS T-SHIRT</t>
  </si>
  <si>
    <t>SS T-SHIRT LOTSO TROPHY COLLAR TSCDKLOT:OFF WHITE:7-8:GRAPHIC:SS T-SHIRT</t>
  </si>
  <si>
    <t>SS T-SHIRT LOTSO TROPHY COLLAR TSCDKLOT:OFF WHITE:5-6:GRAPHIC:SS T-SHIRT</t>
  </si>
  <si>
    <t>SS T-SHIRT LOTSO TROPHY COLLAR TSCDKLOT:OFF WHITE:9-10:GRAPHIC:SS T-SHIRT</t>
  </si>
  <si>
    <t>JKHGLOT</t>
  </si>
  <si>
    <t>JACKET HOODIE LOTSO JKHGLOT:PASTEL PINK:7-8:GRAPHIC:JACKET</t>
  </si>
  <si>
    <t>JACKET HOODIE LOTSO JKHGLOT:PASTEL PINK:9-10:GRAPHIC:JACKET</t>
  </si>
  <si>
    <t>JACKET HOODIE LOTSO JKHGLOT:PASTEL PINK:11-12:GRAPHIC:JACKET</t>
  </si>
  <si>
    <t>JACKET HOODIE LOTSO JKHGLOT:PASTEL PINK:5-6:GRAPHIC:JACKET</t>
  </si>
  <si>
    <t>DSKRKTM</t>
  </si>
  <si>
    <t>SS MIDI DRESS COLLAR WOVEN MINNIE DSKRKTM:WOOD BROWN:11-12:CHECKS:SS MIDI DRESS</t>
  </si>
  <si>
    <t>SS MIDI DRESS COLLAR WOVEN MINNIE DSKRKTM:WOOD BROWN:7-8:CHECKS:SS MIDI DRESS</t>
  </si>
  <si>
    <t>SS MIDI DRESS COLLAR WOVEN MINNIE DSKRKTM:WOOD BROWN:9-10:CHECKS:SS MIDI DRESS</t>
  </si>
  <si>
    <t>SS MIDI DRESS COLLAR WOVEN MINNIE DSKRKTM:WOOD BROWN:5-6:CHECKS:SS MIDI DRESS</t>
  </si>
  <si>
    <t>TSDKLOT</t>
  </si>
  <si>
    <t>SS T-SHIRT LOOK OUT LOTSO TSDKLOT:PASTEL PURPLE:5-6:GRAPHIC:SS T-SHIRT</t>
  </si>
  <si>
    <t>SS T-SHIRT LOOK OUT LOTSO TSDKLOT:PASTEL PURPLE:11-12:GRAPHIC:SS T-SHIRT</t>
  </si>
  <si>
    <t>SS T-SHIRT LOOK OUT LOTSO TSDKLOT:PASTEL PURPLE:9-10:GRAPHIC:SS T-SHIRT</t>
  </si>
  <si>
    <t>SS T-SHIRT LOOK OUT LOTSO TSDKLOT:PASTEL PURPLE:7-8:GRAPHIC:SS T-SHIRT</t>
  </si>
  <si>
    <t>SETFLGMIN</t>
  </si>
  <si>
    <t>TOP - BOTTOM SET SS MINNIE FLOWER GARDEN SETFLGMIN:PASTEL ORANGE:24-36:PRINT:TOP - BOTTOM SET</t>
  </si>
  <si>
    <t>TOP - BOTTOM SET SS MINNIE FLOWER GARDEN SETFLGMIN:PASTEL ORANGE:12-18:PRINT:TOP - BOTTOM SET</t>
  </si>
  <si>
    <t>TOP - BOTTOM SET SS MINNIE FLOWER GARDEN SETFLGMIN:PASTEL ORANGE:18-24:PRINT:TOP - BOTTOM SET</t>
  </si>
  <si>
    <t>TOP - BOTTOM SET SS MINNIE FLOWER GARDEN SETFLGMIN:PASTEL ORANGE:6-12:PRINT:TOP - BOTTOM SET</t>
  </si>
  <si>
    <t>D34MAR</t>
  </si>
  <si>
    <t>SS MIDI DRESS 3/4S WVN MARIE D34MAR:PASTEL PINK:12-18:PRINT:SS MIDI DRESS</t>
  </si>
  <si>
    <t>SS MIDI DRESS 3/4S WVN MARIE D34MAR:PASTEL PINK:24-36:PRINT:SS MIDI DRESS</t>
  </si>
  <si>
    <t>SS MIDI DRESS 3/4S WVN MARIE D34MAR:PASTEL PINK:6-12:PRINT:SS MIDI DRESS</t>
  </si>
  <si>
    <t>SS MIDI DRESS 3/4S WVN MARIE D34MAR:PASTEL PINK:18-24:PRINT:SS MIDI DRESS</t>
  </si>
  <si>
    <t>OVRSIM</t>
  </si>
  <si>
    <t>SHORT JUMPSUIT OVERALL SIMBA KOMBI WVN OVRSIM:PASTEL GREEN:6-12:PRINT:SHORT JUMPSUIT</t>
  </si>
  <si>
    <t>SHORT JUMPSUIT OVERALL SIMBA KOMBI WVN OVRSIM:PASTEL GREEN:12-18:PRINT:SHORT JUMPSUIT</t>
  </si>
  <si>
    <t>SHORT JUMPSUIT OVERALL SIMBA KOMBI WVN OVRSIM:PASTEL GREEN:18-24:PRINT:SHORT JUMPSUIT</t>
  </si>
  <si>
    <t>SHORT JUMPSUIT OVERALL SIMBA KOMBI WVN OVRSIM:PASTEL GREEN:24-36:PRINT:SHORT JUMPSUIT</t>
  </si>
  <si>
    <t>AR-MLD5</t>
  </si>
  <si>
    <t>SS MIDI DRESS TAS MELODY AR-MLD5:ASSORTIVE COLOR:6-12:PRINT:SS MIDI DRESS</t>
  </si>
  <si>
    <t>AR-MLD1</t>
  </si>
  <si>
    <t>SS T-SHIRT TOP MELODY FP KOTAK-KOTAK AR-MLD1:OFF WHITE:12-18:GRAPHIC:SS T-SHIRT</t>
  </si>
  <si>
    <t>AR-MLD2</t>
  </si>
  <si>
    <t>SS T-SHIRT TOP MELODY BALON SLEEVE AR-MLD2:PALE PURPLE:12-18:GRAPHIC:SS T-SHIRT</t>
  </si>
  <si>
    <t>SS T-SHIRT TOP MELODY BALON SLEEVE AR-MLD2:PALE PURPLE:6-12:GRAPHIC:SS T-SHIRT</t>
  </si>
  <si>
    <t>AR-MLD4</t>
  </si>
  <si>
    <t>SS MIDI DRESS MY MELODY FP KOTAK-KOTAK AR-MLD4:ASSORTIVE COLOR:12-18:GRAPHIC:SS MIDI DRESS</t>
  </si>
  <si>
    <t>AR-MLD3</t>
  </si>
  <si>
    <t>DENIM LONG PANTS MY MELODY AR-MLD3:LIGHT DENIM:6-12:GRAPHIC:DENIM LONG PANTS</t>
  </si>
  <si>
    <t>SS T-SHIRT TOP MELODY FP KOTAK-KOTAK AR-MLD1:OFF WHITE:6-12:GRAPHIC:SS T-SHIRT</t>
  </si>
  <si>
    <t>DENIM LONG PANTS MY MELODY AR-MLD3:LIGHT DENIM:12-18:GRAPHIC:DENIM LONG PANTS</t>
  </si>
  <si>
    <t>SS MIDI DRESS MY MELODY FP KOTAK-KOTAK AR-MLD4:ASSORTIVE COLOR:6-12:GRAPHIC:SS MIDI DRESS</t>
  </si>
  <si>
    <t>SS T-SHIRT TOP MELODY BALON SLEEVE AR-MLD2:PALE PURPLE:24-36:GRAPHIC:SS T-SHIRT</t>
  </si>
  <si>
    <t>SS MIDI DRESS TAS MELODY AR-MLD5:ASSORTIVE COLOR:24-36:PRINT:SS MIDI DRESS</t>
  </si>
  <si>
    <t>SS MIDI DRESS TAS MELODY AR-MLD5:ASSORTIVE COLOR:18-24:PRINT:SS MIDI DRESS</t>
  </si>
  <si>
    <t>SS T-SHIRT TOP MELODY BALON SLEEVE AR-MLD2:PALE PURPLE:18-24:GRAPHIC:SS T-SHIRT</t>
  </si>
  <si>
    <t>SS MIDI DRESS TAS MELODY AR-MLD5:ASSORTIVE COLOR:12-18:PRINT:SS MIDI DRESS</t>
  </si>
  <si>
    <t>DENIM LONG PANTS MY MELODY AR-MLD3:LIGHT DENIM:18-24:GRAPHIC:DENIM LONG PANTS</t>
  </si>
  <si>
    <t>DENIM LONG PANTS MY MELODY AR-MLD3:LIGHT DENIM:24-36:GRAPHIC:DENIM LONG PANTS</t>
  </si>
  <si>
    <t>SS MIDI DRESS MY MELODY FP KOTAK-KOTAK AR-MLD4:ASSORTIVE COLOR:24-36:GRAPHIC:SS MIDI DRESS</t>
  </si>
  <si>
    <t>SS MIDI DRESS MY MELODY FP KOTAK-KOTAK AR-MLD4:ASSORTIVE COLOR:18-24:GRAPHIC:SS MIDI DRESS</t>
  </si>
  <si>
    <t>SS T-SHIRT TOP MELODY FP KOTAK-KOTAK AR-MLD1:OFF WHITE:24-36:GRAPHIC:SS T-SHIRT</t>
  </si>
  <si>
    <t>SS T-SHIRT TOP MELODY FP KOTAK-KOTAK AR-MLD1:OFF WHITE:18-24:GRAPHIC:SS T-SHIRT</t>
  </si>
  <si>
    <t>AL-DRS50</t>
  </si>
  <si>
    <t>SS MIDI DRESS MY MELODY AL-DRS50:PASTEL PINK:12-18:PRINT:SS MIDI DRESS</t>
  </si>
  <si>
    <t>SS MIDI DRESS MY MELODY AL-DRS50:PASTEL PINK:24-36:PRINT:SS MIDI DRESS</t>
  </si>
  <si>
    <t>SS MIDI DRESS MY MELODY AL-DRS50:PASTEL PINK:6-12:PRINT:SS MIDI DRESS</t>
  </si>
  <si>
    <t>SS MIDI DRESS MY MELODY AL-DRS50:PASTEL PINK:18-24:PRINT:SS MIDI DRESS</t>
  </si>
  <si>
    <t>SS MIDI DRESS MY MELODY AL-DRS50:PASTEL PINK:3-6:PRINT:SS MIDI DRESS</t>
  </si>
  <si>
    <t>DSMINOWV</t>
  </si>
  <si>
    <t>SS MIDI DRESS OVERALL EMBRO MINNIE COMBI WVN DSMINOWV:PASTEL PINK:24-36:PRINT:SS MIDI DRESS</t>
  </si>
  <si>
    <t>SS MIDI DRESS OVERALL EMBRO MINNIE COMBI WVN DSMINOWV:PASTEL PINK:6-12:PRINT:SS MIDI DRESS</t>
  </si>
  <si>
    <t>SS MIDI DRESS OVERALL EMBRO MINNIE COMBI WVN DSMINOWV:PASTEL PINK:18-24:PRINT:SS MIDI DRESS</t>
  </si>
  <si>
    <t>SS MIDI DRESS OVERALL EMBRO MINNIE COMBI WVN DSMINOWV:PASTEL PINK:12-18:PRINT:SS MIDI DRESS</t>
  </si>
  <si>
    <t>SETMINWV</t>
  </si>
  <si>
    <t>TOP - BOTTOM SET SS EMBRO MINNI COMBI WVN SETMINWV:PASTEL PINK:12-18:PRINT:TOP - BOTTOM SET</t>
  </si>
  <si>
    <t>TOP - BOTTOM SET SS EMBRO MINNI COMBI WVN SETMINWV:PASTEL PINK:24-36:PRINT:TOP - BOTTOM SET</t>
  </si>
  <si>
    <t>TOP - BOTTOM SET SS EMBRO MINNI COMBI WVN SETMINWV:PASTEL PINK:18-24:PRINT:TOP - BOTTOM SET</t>
  </si>
  <si>
    <t>TOP - BOTTOM SET SS EMBRO MINNI COMBI WVN SETMINWV:PASTEL PINK:6-12:PRINT:TOP - BOTTOM SET</t>
  </si>
  <si>
    <t>RPMARM</t>
  </si>
  <si>
    <t>SHORT JUMPSUIT ROMPER SS GIRLS MARIE RPMARM:PASTEL PINK:24-36:PRINT:SHORT JUMPSUIT</t>
  </si>
  <si>
    <t>SHORT JUMPSUIT ROMPER SS GIRLS MARIE RPMARM:PASTEL PINK:18-24:PRINT:SHORT JUMPSUIT</t>
  </si>
  <si>
    <t>SHORT JUMPSUIT ROMPER SS GIRLS MARIE RPMARM:PASTEL PINK:6-12:PRINT:SHORT JUMPSUIT</t>
  </si>
  <si>
    <t>SHORT JUMPSUIT ROMPER SS GIRLS MARIE RPMARM:PASTEL PINK:12-18:PRINT:SHORT JUMPSUIT</t>
  </si>
  <si>
    <t>DMARSB</t>
  </si>
  <si>
    <t>SS MIDI DRESS MARIE SLING BAG DMARSB:PASTEL PINK:18-24:PRINT:SS MIDI DRESS</t>
  </si>
  <si>
    <t>SS MIDI DRESS MARIE SLING BAG DMARSB:PASTEL PINK:6-12:PRINT:SS MIDI DRESS</t>
  </si>
  <si>
    <t>SS MIDI DRESS MARIE SLING BAG DMARSB:PASTEL PINK:12-18:PRINT:SS MIDI DRESS</t>
  </si>
  <si>
    <t>SS MIDI DRESS MARIE SLING BAG DMARSB:PASTEL PINK:24-36:PRINT:SS MIDI DRESS</t>
  </si>
  <si>
    <t>KKTPCAP1</t>
  </si>
  <si>
    <t>SOCKS KKB CAPTAIN AMERICA LOGO KKTPCAP1:OFF WHITE:14-16:PRINT:SOCKS</t>
  </si>
  <si>
    <t>SOCKS KKB CAPTAIN AMERICA LOGO KKTPCAP1:OFF WHITE:18-20:PRINT:SOCKS</t>
  </si>
  <si>
    <t>KKTPSPD</t>
  </si>
  <si>
    <t>SOCKS KKB SPIDERMAN KKTPSPD:NAVY BLUE:14-16:PRINT:SOCKS</t>
  </si>
  <si>
    <t>KKTPCAP2</t>
  </si>
  <si>
    <t>SOCKS KKB CAPTAIN AMERICA LOGO KKTPCAP2:NAVY BLUE:18-20:PRINT:SOCKS</t>
  </si>
  <si>
    <t>SOCKS KKB SPIDERMAN KKTPSPD:NAVY BLUE:18-20:PRINT:SOCKS</t>
  </si>
  <si>
    <t>SOCKS KKB CAPTAIN AMERICA LOGO KKTPCAP2:NAVY BLUE:14-16:PRINT:SOCKS</t>
  </si>
  <si>
    <t>KKSUIMIC</t>
  </si>
  <si>
    <t>SOCKS KKB MICKEY MOUSE KKSUIMIC:WHITE:18-20:PRINT:SOCKS</t>
  </si>
  <si>
    <t>KKSUIMIN</t>
  </si>
  <si>
    <t>SOCKS KKG MINNIE MOUSE KKSUIMIN:WHITE:14-16:PRINT:SOCKS</t>
  </si>
  <si>
    <t>SOCKS KKG MINNIE MOUSE KKSUIMIN:WHITE:18-20:PRINT:SOCKS</t>
  </si>
  <si>
    <t>SOCKS KKB MICKEY MOUSE KKSUIMIC:WHITE:14-16:PRINT:SOCKS</t>
  </si>
  <si>
    <t>KK254CA</t>
  </si>
  <si>
    <t>SOCKS KKB CAPTAIN AMERICA KK254CA:BLACK:18-20:PRINT:SOCKS</t>
  </si>
  <si>
    <t>KK256CA</t>
  </si>
  <si>
    <t>SOCKS KKB CAPTAIN AMERICA KK256CA:PASTEL GREY:18-20:PRINT:SOCKS</t>
  </si>
  <si>
    <t>KK264SPD</t>
  </si>
  <si>
    <t>SOCKS KKB SPIDERMAN HEAD KK264SPD:BLACK:14-16:PRINT:SOCKS</t>
  </si>
  <si>
    <t>KK255SPD</t>
  </si>
  <si>
    <t>SOCKS KKB SPIDERMAN KK255SPD:WHITE:14-16:PRINT:SOCKS</t>
  </si>
  <si>
    <t>KK258SPD</t>
  </si>
  <si>
    <t>SOCKS KKB SPIDERMAN KK258SPD:BLACK:18-20:PRINT:SOCKS</t>
  </si>
  <si>
    <t>SOCKS KKB SPIDERMAN KK258SPD:BLACK:14-16:PRINT:SOCKS</t>
  </si>
  <si>
    <t>SOCKS KKB CAPTAIN AMERICA KK256CA:PASTEL GREY:14-16:PRINT:SOCKS</t>
  </si>
  <si>
    <t>SOCKS KKB SPIDERMAN KK255SPD:WHITE:18-20:PRINT:SOCKS</t>
  </si>
  <si>
    <t>SOCKS KKB CAPTAIN AMERICA KK254CA:BLACK:14-16:PRINT:SOCKS</t>
  </si>
  <si>
    <t>SOCKS KKB SPIDERMAN HEAD KK264SPD:BLACK:18-20:PRINT:SOCKS</t>
  </si>
  <si>
    <t>KK259SPD</t>
  </si>
  <si>
    <t>SOCKS KKB SPIDERMAN KK259SPD:BLACK:14-16:PRINT:SOCKS</t>
  </si>
  <si>
    <t>SOCKS KKB SPIDERMAN KK259SPD:BLACK:18-20:PRINT:SOCKS</t>
  </si>
  <si>
    <t>PYLMCN</t>
  </si>
  <si>
    <t>LS PYJAMA PANTS LSLP CINNAMOROLL PYLMCN:PASTEL BLUE:7:PRINT:LS PYJAMA PANTS</t>
  </si>
  <si>
    <t>LS PYJAMA PANTS LSLP CINNAMOROLL PYLMCN:PASTEL BLUE:5:PRINT:LS PYJAMA PANTS</t>
  </si>
  <si>
    <t>LS PYJAMA PANTS LSLP CINNAMOROLL PYLMCN:PASTEL BLUE:6:PRINT:LS PYJAMA PANTS</t>
  </si>
  <si>
    <t>LS PYJAMA PANTS LSLP CINNAMOROLL PYLMCN:PASTEL BLUE:4:PRINT:LS PYJAMA PANTS</t>
  </si>
  <si>
    <t>U325MLP2</t>
  </si>
  <si>
    <t>BRIEF PACK OF 3 UNDERWEAR MY LITTLE PONY U325MLP2:ASSORTIVE COLOR:S:PRINT:BRIEF</t>
  </si>
  <si>
    <t>BRIEF PACK OF 3 UNDERWEAR MY LITTLE PONY U325MLP2:ASSORTIVE COLOR:L:PRINT:BRIEF</t>
  </si>
  <si>
    <t>BRIEF PACK OF 3 UNDERWEAR MY LITTLE PONY U325MLP2:ASSORTIVE COLOR:M:PRINT:BRIEF</t>
  </si>
  <si>
    <t>BRIEF PACK OF 3 UNDERWEAR MY LITTLE PONY U325MLP2:ASSORTIVE COLOR:XL:PRINT:BRIEF</t>
  </si>
  <si>
    <t>U325MKU</t>
  </si>
  <si>
    <t>BRIEF PACK OF 3 UNDERWEAR KUROMI U325MKU:ASSORTIVE COLOR:S:PRINT:BRIEF</t>
  </si>
  <si>
    <t>BRIEF PACK OF 3 UNDERWEAR KUROMI U325MKU:ASSORTIVE COLOR:XL:PRINT:BRIEF</t>
  </si>
  <si>
    <t>BRIEF PACK OF 3 UNDERWEAR KUROMI U325MKU:ASSORTIVE COLOR:L:PRINT:BRIEF</t>
  </si>
  <si>
    <t>BRIEF PACK OF 3 UNDERWEAR KUROMI U325MKU:ASSORTIVE COLOR:M:PRINT:BRIEF</t>
  </si>
  <si>
    <t>SWFPSP</t>
  </si>
  <si>
    <t>LS PYJAMA PANTS SET LSLP FULL PRINT SPIDERMAN SWFPSP:OFF WHITE:7:PRINT:LS PYJAMA PANTS</t>
  </si>
  <si>
    <t>LS PYJAMA PANTS SET LSLP FULL PRINT SPIDERMAN SWFPSP:OFF WHITE:6:PRINT:LS PYJAMA PANTS</t>
  </si>
  <si>
    <t>LS PYJAMA PANTS SET LSLP FULL PRINT SPIDERMAN SWFPSP:OFF WHITE:14:PRINT:LS PYJAMA PANTS</t>
  </si>
  <si>
    <t>LS PYJAMA PANTS SET LSLP FULL PRINT SPIDERMAN SWFPSP:OFF WHITE:10:PRINT:LS PYJAMA PANTS</t>
  </si>
  <si>
    <t>LS PYJAMA PANTS SET LSLP FULL PRINT SPIDERMAN SWFPSP:OFF WHITE:5:PRINT:LS PYJAMA PANTS</t>
  </si>
  <si>
    <t>LS PYJAMA PANTS SET LSLP FULL PRINT SPIDERMAN SWFPSP:OFF WHITE:8:PRINT:LS PYJAMA PANTS</t>
  </si>
  <si>
    <t>LS PYJAMA PANTS SET LSLP FULL PRINT SPIDERMAN SWFPSP:OFF WHITE:12:PRINT:LS PYJAMA PANTS</t>
  </si>
  <si>
    <t>LS PYJAMA PANTS SET LSLP FULL PRINT SPIDERMAN SWFPSP:OFF WHITE:4:PRINT:LS PYJAMA PANTS</t>
  </si>
  <si>
    <t>PYLMKU</t>
  </si>
  <si>
    <t>LS PYJAMA PANTS LSLP KUROMI PYLMKU:PASTEL PURPLE:6:PRINT:LS PYJAMA PANTS</t>
  </si>
  <si>
    <t>LS PYJAMA PANTS LSLP KUROMI PYLMKU:PASTEL PURPLE:10:PRINT:LS PYJAMA PANTS</t>
  </si>
  <si>
    <t>LS PYJAMA PANTS LSLP KUROMI PYLMKU:PASTEL PURPLE:7:PRINT:LS PYJAMA PANTS</t>
  </si>
  <si>
    <t>LS PYJAMA PANTS LSLP KUROMI PYLMKU:PASTEL PURPLE:14:PRINT:LS PYJAMA PANTS</t>
  </si>
  <si>
    <t>LS PYJAMA PANTS LSLP KUROMI PYLMKU:PASTEL PURPLE:5:PRINT:LS PYJAMA PANTS</t>
  </si>
  <si>
    <t>LS PYJAMA PANTS LSLP KUROMI PYLMKU:PASTEL PURPLE:4:PRINT:LS PYJAMA PANTS</t>
  </si>
  <si>
    <t>LS PYJAMA PANTS LSLP KUROMI PYLMKU:PASTEL PURPLE:12:PRINT:LS PYJAMA PANTS</t>
  </si>
  <si>
    <t>LS PYJAMA PANTS LSLP KUROMI PYLMKU:PASTEL PURPLE:8:PRINT:LS PYJAMA PANTS</t>
  </si>
  <si>
    <t>KKSUILT3</t>
  </si>
  <si>
    <t>SOCKS KKG LOTSO KOTAK KKSUILT3:PASTEL PINK:18-20:PRINT:SOCKS</t>
  </si>
  <si>
    <t>SOCKS KKG LOTSO KOTAK KKSUILT3:PASTEL PINK:14-16:PRINT:SOCKS</t>
  </si>
  <si>
    <t>KKSUILT4</t>
  </si>
  <si>
    <t>SOCKS KKG LOTSO KOTAK KKSUILT4:PASTEL PINK:18-20:PRINT:SOCKS</t>
  </si>
  <si>
    <t>SOCKS KKG LOTSO KOTAK KKSUILT4:PASTEL PINK:14-16:PRINT:SOCKS</t>
  </si>
  <si>
    <t>KK254SPD</t>
  </si>
  <si>
    <t>SOCKS KKB SPIDERMAN KK254SPD:PASTEL GREY:14-16:PRINT:SOCKS</t>
  </si>
  <si>
    <t>SOCKS KKB SPIDERMAN KK254SPD:PASTEL GREY:18-20:PRINT:SOCKS</t>
  </si>
  <si>
    <t>MP3CN</t>
  </si>
  <si>
    <t>BRIEF PACK OF 3 UW CINNAMOROLL MP3CN:ASSORTIVE COLOR:L:PRINT:BRIEF</t>
  </si>
  <si>
    <t>BRIEF PACK OF 3 UW CINNAMOROLL MP3CN:ASSORTIVE COLOR:M:PRINT:BRIEF</t>
  </si>
  <si>
    <t>BRIEF PACK OF 3 UW CINNAMOROLL MP3CN:ASSORTIVE COLOR:S:PRINT:BRIEF</t>
  </si>
  <si>
    <t>BRIEF PACK OF 3 UW CINNAMOROLL MP3CN:ASSORTIVE COLOR:XL:PRINT:BRIEF</t>
  </si>
  <si>
    <t>KKBAT252</t>
  </si>
  <si>
    <t>SOCKS KKB BATMAN KKBAT252:BLACK:18-20:PRINT:SOCKS</t>
  </si>
  <si>
    <t>SOCKS KKB BATMAN KKBAT252:BLACK:14-16:PRINT:SOCKS</t>
  </si>
  <si>
    <t>KKBAT251</t>
  </si>
  <si>
    <t>SOCKS KKB BATMAN KKBAT251:CLASSIC YELLOW:14-16:PRINT:SOCKS</t>
  </si>
  <si>
    <t>SOCKS KKB BATMAN KKBAT251:CLASSIC YELLOW:18-20:PRINT:SOCKS</t>
  </si>
  <si>
    <t>SWMY2</t>
  </si>
  <si>
    <t>SWEATSHIRT MY MELODY COLLAR RETS SWMY2:OFF WHITE:9-10:GRAPHIC:SWEATSHIRT</t>
  </si>
  <si>
    <t>SWEATSHIRT MY MELODY COLLAR RETS SWMY2:OFF WHITE:11-12:GRAPHIC:SWEATSHIRT</t>
  </si>
  <si>
    <t>SWEATSHIRT MY MELODY COLLAR RETS SWMY2:OFF WHITE:5-6:GRAPHIC:SWEATSHIRT</t>
  </si>
  <si>
    <t>SWEATSHIRT MY MELODY COLLAR RETS SWMY2:OFF WHITE:7-8:GRAPHIC:SWEATSHIRT</t>
  </si>
  <si>
    <t>DSBLMM</t>
  </si>
  <si>
    <t>SS MIDI DRESS BALON MY MELODY DSBLMM:PASTEL ORANGE:5-6:GRAPHIC:SS MIDI DRESS</t>
  </si>
  <si>
    <t>SS MIDI DRESS BALON MY MELODY DSBLMM:PASTEL ORANGE:4-5:GRAPHIC:SS MIDI DRESS</t>
  </si>
  <si>
    <t>SS MIDI DRESS BALON MY MELODY DSBLMM:PASTEL ORANGE:3-4:GRAPHIC:SS MIDI DRESS</t>
  </si>
  <si>
    <t>SS MIDI DRESS BALON MY MELODY DSBLMM:PASTEL ORANGE:7-8:GRAPHIC:SS MIDI DRESS</t>
  </si>
  <si>
    <t>TSMNION5</t>
  </si>
  <si>
    <t>SS T-SHIRT MINIONS IKAT DEPAN TSMNION5:PASTEL ORANGE:7-8:GRAPHIC:SS T-SHIRT</t>
  </si>
  <si>
    <t>TSMNION3</t>
  </si>
  <si>
    <t>SS T-SHIRT MINIONS BELLO TSMNION3:PASTEL YELLOW:7-8:EMBRO:SS T-SHIRT</t>
  </si>
  <si>
    <t>TSMNION4</t>
  </si>
  <si>
    <t>SS T-SHIRT MINIONS RAGLAN TSMNION4:OFF WHITE:3-4:GRAPHIC:SS T-SHIRT</t>
  </si>
  <si>
    <t>SS T-SHIRT MINIONS IKAT DEPAN TSMNION5:PASTEL ORANGE:4-5:GRAPHIC:SS T-SHIRT</t>
  </si>
  <si>
    <t>TSMNION2</t>
  </si>
  <si>
    <t>SS T-SHIRT MINIONS STRIPES TSMNION2:OFF WHITE:4-5:STRIPES:SS T-SHIRT</t>
  </si>
  <si>
    <t>SS T-SHIRT MINIONS IKAT DEPAN TSMNION5:PASTEL ORANGE:3-4:GRAPHIC:SS T-SHIRT</t>
  </si>
  <si>
    <t>SS T-SHIRT MINIONS RAGLAN TSMNION4:OFF WHITE:7-8:GRAPHIC:SS T-SHIRT</t>
  </si>
  <si>
    <t>TSMNION1</t>
  </si>
  <si>
    <t>SS T-SHIRT FP MINIONS SERUT TSMNION1:OFF WHITE:4-5:PRINT:SS T-SHIRT</t>
  </si>
  <si>
    <t>SS T-SHIRT FP MINIONS SERUT TSMNION1:OFF WHITE:5-6:PRINT:SS T-SHIRT</t>
  </si>
  <si>
    <t>SS T-SHIRT MINIONS RAGLAN TSMNION4:OFF WHITE:5-6:GRAPHIC:SS T-SHIRT</t>
  </si>
  <si>
    <t>SS T-SHIRT MINIONS STRIPES TSMNION2:OFF WHITE:5-6:STRIPES:SS T-SHIRT</t>
  </si>
  <si>
    <t>SS T-SHIRT MINIONS RAGLAN TSMNION4:OFF WHITE:4-5:GRAPHIC:SS T-SHIRT</t>
  </si>
  <si>
    <t>SS T-SHIRT FP MINIONS SERUT TSMNION1:OFF WHITE:7-8:PRINT:SS T-SHIRT</t>
  </si>
  <si>
    <t>SS T-SHIRT FP MINIONS SERUT TSMNION1:OFF WHITE:3-4:PRINT:SS T-SHIRT</t>
  </si>
  <si>
    <t>SS T-SHIRT MINIONS BELLO TSMNION3:PASTEL YELLOW:4-5:EMBRO:SS T-SHIRT</t>
  </si>
  <si>
    <t>SS T-SHIRT MINIONS BELLO TSMNION3:PASTEL YELLOW:3-4:EMBRO:SS T-SHIRT</t>
  </si>
  <si>
    <t>SS T-SHIRT MINIONS STRIPES TSMNION2:OFF WHITE:3-4:STRIPES:SS T-SHIRT</t>
  </si>
  <si>
    <t>SS T-SHIRT MINIONS BELLO TSMNION3:PASTEL YELLOW:5-6:EMBRO:SS T-SHIRT</t>
  </si>
  <si>
    <t>SS T-SHIRT MINIONS IKAT DEPAN TSMNION5:PASTEL ORANGE:5-6:GRAPHIC:SS T-SHIRT</t>
  </si>
  <si>
    <t>SS T-SHIRT MINIONS STRIPES TSMNION2:OFF WHITE:7-8:STRIPES:SS T-SHIRT</t>
  </si>
  <si>
    <t>SWSTT</t>
  </si>
  <si>
    <t>P325STT</t>
  </si>
  <si>
    <t>BRIEF PACK OF 3 UW STITCH P325STT:ASSORTIVE COLOR:XL:PRINT:BRIEF</t>
  </si>
  <si>
    <t>BRIEF PACK OF 3 UW STITCH P325STT:ASSORTIVE COLOR:L:PRINT:BRIEF</t>
  </si>
  <si>
    <t>BRIEF PACK OF 3 UW STITCH P325STT:ASSORTIVE COLOR:S:PRINT:BRIEF</t>
  </si>
  <si>
    <t>BRIEF PACK OF 3 UW STITCH P325STT:ASSORTIVE COLOR:M:PRINT:BRIEF</t>
  </si>
  <si>
    <t>SWSTTP</t>
  </si>
  <si>
    <t>LS PYJAMA PANTS LSLP STITCH SWSTTP:PASTEL BLUE:10:PRINT:LS PYJAMA PANTS</t>
  </si>
  <si>
    <t>LS PYJAMA PANTS LSLP STITCH SWSTTP:PASTEL BLUE:4:PRINT:LS PYJAMA PANTS</t>
  </si>
  <si>
    <t>LS PYJAMA PANTS LSLP STITCH SWSTTP:PASTEL BLUE:12:PRINT:LS PYJAMA PANTS</t>
  </si>
  <si>
    <t>LS PYJAMA PANTS LSLP STITCH SWSTTP:PASTEL BLUE:7:PRINT:LS PYJAMA PANTS</t>
  </si>
  <si>
    <t>LS PYJAMA PANTS LSLP STITCH SWSTTP:PASTEL BLUE:8:PRINT:LS PYJAMA PANTS</t>
  </si>
  <si>
    <t>LS PYJAMA PANTS LSLP STITCH SWSTTP:PASTEL BLUE:6:PRINT:LS PYJAMA PANTS</t>
  </si>
  <si>
    <t>LS PYJAMA PANTS LSLP STITCH SWSTTP:PASTEL BLUE:14:PRINT:LS PYJAMA PANTS</t>
  </si>
  <si>
    <t>LS PYJAMA PANTS LSLP STITCH SWSTTP:PASTEL BLUE:5:PRINT:LS PYJAMA PANTS</t>
  </si>
  <si>
    <t>TOP - BOTTOM SET LSLP STITCH SWSTT:PASTEL PINK:10:PRINT:TOP - BOTTOM SET</t>
  </si>
  <si>
    <t>TOP - BOTTOM SET LSLP STITCH SWSTT:PASTEL PINK:12:PRINT:TOP - BOTTOM SET</t>
  </si>
  <si>
    <t>TOP - BOTTOM SET LSLP STITCH SWSTT:PASTEL PINK:4:PRINT:TOP - BOTTOM SET</t>
  </si>
  <si>
    <t>TOP - BOTTOM SET LSLP STITCH SWSTT:PASTEL PINK:14:PRINT:TOP - BOTTOM SET</t>
  </si>
  <si>
    <t>TOP - BOTTOM SET LSLP STITCH SWSTT:PASTEL PINK:6:PRINT:TOP - BOTTOM SET</t>
  </si>
  <si>
    <t>TOP - BOTTOM SET LSLP STITCH SWSTT:PASTEL PINK:8:PRINT:TOP - BOTTOM SET</t>
  </si>
  <si>
    <t>TOP - BOTTOM SET LSLP STITCH SWSTT:PASTEL PINK:7:PRINT:TOP - BOTTOM SET</t>
  </si>
  <si>
    <t>TOP - BOTTOM SET LSLP STITCH SWSTT:PASTEL PINK:5:PRINT:TOP - BOTTOM SET</t>
  </si>
  <si>
    <t>KKSUIST2</t>
  </si>
  <si>
    <t>SOCKS KKG STICH LETS CHILL KKSUIST2:PASTEL PINK:18-20:PRINT:SOCKS</t>
  </si>
  <si>
    <t>SOCKS KKG STICH LETS CHILL KKSUIST2:PASTEL PINK:14-16:PRINT:SOCKS</t>
  </si>
  <si>
    <t>KKSUIST3</t>
  </si>
  <si>
    <t>SOCKS KKG STICH LETS CHILL KKSUIST3:PASTEL BLUE:14-16:PRINT:SOCKS</t>
  </si>
  <si>
    <t>KKSUIST1</t>
  </si>
  <si>
    <t>SOCKS KKG FP STICH KKSUIST1:OFF WHITE:18-20:PRINT:SOCKS</t>
  </si>
  <si>
    <t>SOCKS KKG FP STICH KKSUIST1:OFF WHITE:14-16:PRINT:SOCKS</t>
  </si>
  <si>
    <t>SOCKS KKG STICH LETS CHILL KKSUIST3:PASTEL BLUE:18-20:PRINT:SOCKS</t>
  </si>
  <si>
    <t>KK263SPD</t>
  </si>
  <si>
    <t>SOCKS KKB SPIDERMAN HEAD KK263SPD:BLACK:14-16:PRINT:SOCKS</t>
  </si>
  <si>
    <t>KK261SPD</t>
  </si>
  <si>
    <t>SOCKS KKB SPIDERMAN HEAD KK261SPD:PASTEL GREY:14-16:PRINT:SOCKS</t>
  </si>
  <si>
    <t>SOCKS KKB SPIDERMAN HEAD KK261SPD:PASTEL GREY:18-20:PRINT:SOCKS</t>
  </si>
  <si>
    <t>SOCKS KKB SPIDERMAN HEAD KK263SPD:BLACK:18-20:PRINT:SOCKS</t>
  </si>
  <si>
    <t>KK257SPD</t>
  </si>
  <si>
    <t>SOCKS KKB SPIDERMAN STRIPE KK257SPD:BLACK:14-16:STRIPES:SOCKS</t>
  </si>
  <si>
    <t>SOCKS KKB SPIDERMAN STRIPE KK257SPD:BLACK:18-20:STRIPES:SOCKS</t>
  </si>
  <si>
    <t>KKBAT253</t>
  </si>
  <si>
    <t>SOCKS KKB BATMAN KKBAT253:PASTEL GREY:14-16:PRINT:SOCKS</t>
  </si>
  <si>
    <t>SOCKS KKB BATMAN KKBAT253:PASTEL GREY:18-20:PRINT:SOCKS</t>
  </si>
  <si>
    <t>KK255CA</t>
  </si>
  <si>
    <t>SOCKS KKB MARVEL KK255CA:PASTEL GREY:14-16:PRINT:SOCKS</t>
  </si>
  <si>
    <t>KK262SPD</t>
  </si>
  <si>
    <t>SOCKS KKB SPIDERMAN AMAZING KK262SPD:BLACK:14-16:PRINT:SOCKS</t>
  </si>
  <si>
    <t>SOCKS KKB MARVEL KK255CA:PASTEL GREY:18-20:PRINT:SOCKS</t>
  </si>
  <si>
    <t>SOCKS KKB SPIDERMAN AMAZING KK262SPD:BLACK:18-20:PRINT:SOCKS</t>
  </si>
  <si>
    <t>KK260SPD</t>
  </si>
  <si>
    <t>SOCKS KKB SPIDERMAN HEAD KK260SPD:PASTEL GREY:18-20:PRINT:SOCKS</t>
  </si>
  <si>
    <t>SOCKS KKB SPIDERMAN HEAD KK260SPD:PASTEL GREY:14-16:PRINT:SOCKS</t>
  </si>
  <si>
    <t>KKKU3</t>
  </si>
  <si>
    <t>SOCKS KKG KUROMI STR BWH KKKU3:PASTEL PURPLE:14-16:PRINT:SOCKS</t>
  </si>
  <si>
    <t>KKKU5</t>
  </si>
  <si>
    <t>SOCKS KKG KUROMI BWH KKKU5:PASTEL PURPLE:18-20:PRINT:SOCKS</t>
  </si>
  <si>
    <t>KKKKCN3</t>
  </si>
  <si>
    <t>SOCKS KKG CINNAMOROLL STRIPE LOVE KKKKCN3:PASTEL BLUE:14-16:PRINT:SOCKS</t>
  </si>
  <si>
    <t>KKKU4</t>
  </si>
  <si>
    <t>SOCKS KKG KUROMI STR ATAS KKKU4:PASTEL PURPLE:14-16:PRINT:SOCKS</t>
  </si>
  <si>
    <t>SOCKS KKG CINNAMOROLL STRIPE LOVE KKKKCN3:PASTEL BLUE:18-20:PRINT:SOCKS</t>
  </si>
  <si>
    <t>SOCKS KKG KUROMI STR BWH KKKU3:PASTEL PURPLE:18-20:PRINT:SOCKS</t>
  </si>
  <si>
    <t>SOCKS KKG KUROMI STR ATAS KKKU4:PASTEL PURPLE:18-20:PRINT:SOCKS</t>
  </si>
  <si>
    <t>SOCKS KKG KUROMI BWH KKKU5:PASTEL PURPLE:14-16:PRINT:SOCKS</t>
  </si>
  <si>
    <t>JKMNION</t>
  </si>
  <si>
    <t>JACKET MINIONS JKMNION:PASTEL PINK:5-6:GRAPHIC:JACKET</t>
  </si>
  <si>
    <t>JACKET MINIONS JKMNION:PASTEL PINK:3-4:GRAPHIC:JACKET</t>
  </si>
  <si>
    <t>JACKET MINIONS JKMNION:PASTEL PINK:4-5:GRAPHIC:JACKET</t>
  </si>
  <si>
    <t>JACKET MINIONS JKMNION:PASTEL PINK:7-8:GRAPHIC:JACKET</t>
  </si>
  <si>
    <t>SKMNION</t>
  </si>
  <si>
    <t>SKORT MINIONS SKMNION:PASTEL PINK:5-6:GRAPHIC:SKORT</t>
  </si>
  <si>
    <t>SKORT MINIONS SKMNION:PASTEL PINK:4-5:GRAPHIC:SKORT</t>
  </si>
  <si>
    <t>SKORT MINIONS SKMNION:PASTEL PINK:3-4:GRAPHIC:SKORT</t>
  </si>
  <si>
    <t>SKORT MINIONS SKMNION:PASTEL PINK:7-8:GRAPHIC:SKORT</t>
  </si>
  <si>
    <t>DSMNION</t>
  </si>
  <si>
    <t>SS MIDI DRESS MINIONS DSMNION:PASTEL PINK:3-4:EMBRO:SS MIDI DRESS</t>
  </si>
  <si>
    <t>SS MIDI DRESS MINIONS DSMNION:PASTEL PINK:7-8:EMBRO:SS MIDI DRESS</t>
  </si>
  <si>
    <t>SS MIDI DRESS MINIONS DSMNION:PASTEL PINK:5-6:EMBRO:SS MIDI DRESS</t>
  </si>
  <si>
    <t>SS MIDI DRESS MINIONS DSMNION:PASTEL PINK:4-5:EMBRO:SS MIDI DRESS</t>
  </si>
  <si>
    <t>DSOKRMM</t>
  </si>
  <si>
    <t>SS MIDI DRESS KERAH MY MELODY DSOKRMM:PASTEL PINK:3-4:GRAPHIC:SS MIDI DRESS</t>
  </si>
  <si>
    <t>DSOKTMM</t>
  </si>
  <si>
    <t>SS MIDI DRESS OVERALL KANTONG MY MELODY DSOKTMM:PASTEL PINK:3-4:GRAPHIC:SS MIDI DRESS</t>
  </si>
  <si>
    <t>SS MIDI DRESS OVERALL KANTONG MY MELODY DSOKTMM:PASTEL PINK:7-8:GRAPHIC:SS MIDI DRESS</t>
  </si>
  <si>
    <t>SS MIDI DRESS KERAH MY MELODY DSOKRMM:PASTEL PINK:4-5:GRAPHIC:SS MIDI DRESS</t>
  </si>
  <si>
    <t>SS MIDI DRESS KERAH MY MELODY DSOKRMM:PASTEL PINK:7-8:GRAPHIC:SS MIDI DRESS</t>
  </si>
  <si>
    <t>SS MIDI DRESS KERAH MY MELODY DSOKRMM:PASTEL PINK:5-6:GRAPHIC:SS MIDI DRESS</t>
  </si>
  <si>
    <t>SS MIDI DRESS OVERALL KANTONG MY MELODY DSOKTMM:PASTEL PINK:5-6:GRAPHIC:SS MIDI DRESS</t>
  </si>
  <si>
    <t>SS MIDI DRESS OVERALL KANTONG MY MELODY DSOKTMM:PASTEL PINK:4-5:GRAPHIC:SS MIDI DRESS</t>
  </si>
  <si>
    <t>TSKUHD2</t>
  </si>
  <si>
    <t>SS T-SHIRT RAGLAN KUROMI TSKUHD2:OFF WHITE:9-10:GRAPHIC:SS T-SHIRT</t>
  </si>
  <si>
    <t>SS T-SHIRT RAGLAN KUROMI TSKUHD2:OFF WHITE:3-4:GRAPHIC:SS T-SHIRT</t>
  </si>
  <si>
    <t>TSKUHD1</t>
  </si>
  <si>
    <t>SS T-SHIRT KUROMI TSKUHD1:MISTY LIGHT GREY:9-10:GRAPHIC:SS T-SHIRT</t>
  </si>
  <si>
    <t>SS T-SHIRT KUROMI TSKUHD1:MISTY LIGHT GREY:3-4:GRAPHIC:SS T-SHIRT</t>
  </si>
  <si>
    <t>SS T-SHIRT KUROMI TSKUHD1:MISTY LIGHT GREY:4-5:GRAPHIC:SS T-SHIRT</t>
  </si>
  <si>
    <t>SS T-SHIRT RAGLAN KUROMI TSKUHD2:OFF WHITE:7-8:GRAPHIC:SS T-SHIRT</t>
  </si>
  <si>
    <t>SS T-SHIRT KUROMI TSKUHD1:MISTY LIGHT GREY:11-12:GRAPHIC:SS T-SHIRT</t>
  </si>
  <si>
    <t>SS T-SHIRT RAGLAN KUROMI TSKUHD2:OFF WHITE:5-6:GRAPHIC:SS T-SHIRT</t>
  </si>
  <si>
    <t>SS T-SHIRT KUROMI TSKUHD1:MISTY LIGHT GREY:7-8:GRAPHIC:SS T-SHIRT</t>
  </si>
  <si>
    <t>SS T-SHIRT RAGLAN KUROMI TSKUHD2:OFF WHITE:11-12:GRAPHIC:SS T-SHIRT</t>
  </si>
  <si>
    <t>SS T-SHIRT KUROMI TSKUHD1:MISTY LIGHT GREY:5-6:GRAPHIC:SS T-SHIRT</t>
  </si>
  <si>
    <t>SS T-SHIRT RAGLAN KUROMI TSKUHD2:OFF WHITE:4-5:GRAPHIC:SS T-SHIRT</t>
  </si>
  <si>
    <t>SSARMM</t>
  </si>
  <si>
    <t>SS T-SHIRT MY MELODY SSARMM:VANILLA:3-4:GRAPHIC:SS T-SHIRT</t>
  </si>
  <si>
    <t>SS T-SHIRT MY MELODY SSARMM:VANILLA:4-5:GRAPHIC:SS T-SHIRT</t>
  </si>
  <si>
    <t>SS T-SHIRT MY MELODY SSARMM:VANILLA:7-8:GRAPHIC:SS T-SHIRT</t>
  </si>
  <si>
    <t>SS T-SHIRT MY MELODY SSARMM:VANILLA:5-6:GRAPHIC:SS T-SHIRT</t>
  </si>
  <si>
    <t>TSGMM2</t>
  </si>
  <si>
    <t>SS T-SHIRT MY MELODY TSGMM2:PASTEL PINK:7-8:GRAPHIC:SS T-SHIRT</t>
  </si>
  <si>
    <t>SS T-SHIRT MY MELODY TSGMM2:PASTEL PINK:11-12:GRAPHIC:SS T-SHIRT</t>
  </si>
  <si>
    <t>SS T-SHIRT MY MELODY TSGMM2:PASTEL PINK:9-10:GRAPHIC:SS T-SHIRT</t>
  </si>
  <si>
    <t>SS T-SHIRT MY MELODY TSGMM2:PASTEL PINK:5-6:GRAPHIC:SS T-SHIRT</t>
  </si>
  <si>
    <t>SKBMM</t>
  </si>
  <si>
    <t>MINI SKIRT BALON MY MELODY SKBMM:PASTEL PINK:4-5:PRINT:MINI SKIRT</t>
  </si>
  <si>
    <t>MINI SKIRT BALON MY MELODY SKBMM:PASTEL PINK:5-6:PRINT:MINI SKIRT</t>
  </si>
  <si>
    <t>MINI SKIRT BALON MY MELODY SKBMM:PASTEL PINK:7-8:PRINT:MINI SKIRT</t>
  </si>
  <si>
    <t>MINI SKIRT BALON MY MELODY SKBMM:PASTEL PINK:3-4:PRINT:MINI SKIRT</t>
  </si>
  <si>
    <t>SWKRMM</t>
  </si>
  <si>
    <t>SWEATSHIRT COLLAR RETS MY MELODY SWKRMM:PASTEL PINK:4-5:GRAPHIC:SWEATSHIRT</t>
  </si>
  <si>
    <t>SWEATSHIRT COLLAR RETS MY MELODY SWKRMM:PASTEL PINK:5-6:GRAPHIC:SWEATSHIRT</t>
  </si>
  <si>
    <t>SWEATSHIRT COLLAR RETS MY MELODY SWKRMM:PASTEL PINK:7-8:GRAPHIC:SWEATSHIRT</t>
  </si>
  <si>
    <t>SWEATSHIRT COLLAR RETS MY MELODY SWKRMM:PASTEL PINK:3-4:GRAPHIC:SWEATSHIRT</t>
  </si>
  <si>
    <t>SETMM</t>
  </si>
  <si>
    <t>TOP - BOTTOM SET SKORT MY MELODY SETMM:PASTEL PINK:4-5:GRAPHIC:TOP - BOTTOM SET</t>
  </si>
  <si>
    <t>TOP - BOTTOM SET SKORT MY MELODY SETMM:PASTEL PINK:3-4:GRAPHIC:TOP - BOTTOM SET</t>
  </si>
  <si>
    <t>TOP - BOTTOM SET SKORT MY MELODY SETMM:PASTEL PINK:5-6:GRAPHIC:TOP - BOTTOM SET</t>
  </si>
  <si>
    <t>TOP - BOTTOM SET SKORT MY MELODY SETMM:PASTEL PINK:7-8:GRAPHIC:TOP - BOTTOM SET</t>
  </si>
  <si>
    <t>TSGGHK2</t>
  </si>
  <si>
    <t>SS T-SHIRT TD HELLO KITTY TSGGHK2:OFF WHITE:5-6:GRAPHIC:SS T-SHIRT</t>
  </si>
  <si>
    <t>TSGGHK1</t>
  </si>
  <si>
    <t>SS T-SHIRT KTG HELLO KITTY TSGGHK1:PASTEL PINK:5-6:GRAPHIC:SS T-SHIRT</t>
  </si>
  <si>
    <t>SS T-SHIRT KTG HELLO KITTY TSGGHK1:PASTEL PINK:11-12:GRAPHIC:SS T-SHIRT</t>
  </si>
  <si>
    <t>SS T-SHIRT TD HELLO KITTY TSGGHK2:OFF WHITE:11-12:GRAPHIC:SS T-SHIRT</t>
  </si>
  <si>
    <t>SS T-SHIRT TD HELLO KITTY TSGGHK2:OFF WHITE:4-5:GRAPHIC:SS T-SHIRT</t>
  </si>
  <si>
    <t>SS T-SHIRT KTG HELLO KITTY TSGGHK1:PASTEL PINK:3-4:GRAPHIC:SS T-SHIRT</t>
  </si>
  <si>
    <t>SS T-SHIRT TD HELLO KITTY TSGGHK2:OFF WHITE:7-8:GRAPHIC:SS T-SHIRT</t>
  </si>
  <si>
    <t>SS T-SHIRT KTG HELLO KITTY TSGGHK1:PASTEL PINK:4-5:GRAPHIC:SS T-SHIRT</t>
  </si>
  <si>
    <t>SS T-SHIRT KTG HELLO KITTY TSGGHK1:PASTEL PINK:7-8:GRAPHIC:SS T-SHIRT</t>
  </si>
  <si>
    <t>SS T-SHIRT TD HELLO KITTY TSGGHK2:OFF WHITE:9-10:GRAPHIC:SS T-SHIRT</t>
  </si>
  <si>
    <t>SS T-SHIRT KTG HELLO KITTY TSGGHK1:PASTEL PINK:9-10:GRAPHIC:SS T-SHIRT</t>
  </si>
  <si>
    <t>SS T-SHIRT TD HELLO KITTY TSGGHK2:OFF WHITE:3-4:GRAPHIC:SS T-SHIRT</t>
  </si>
  <si>
    <t>U325FZA3</t>
  </si>
  <si>
    <t>BRIEF PACK OF 3 UNDERWEAR FROZEN U325FZA3:ASSORTIVE COLOR:L:PRINT:BRIEF</t>
  </si>
  <si>
    <t>BRIEF PACK OF 3 UNDERWEAR FROZEN U325FZA3:ASSORTIVE COLOR:S:PRINT:BRIEF</t>
  </si>
  <si>
    <t>BRIEF PACK OF 3 UNDERWEAR FROZEN U325FZA3:ASSORTIVE COLOR:M:PRINT:BRIEF</t>
  </si>
  <si>
    <t>BRIEF PACK OF 3 UNDERWEAR FROZEN U325FZA3:ASSORTIVE COLOR:XL:PRINT:BRIEF</t>
  </si>
  <si>
    <t>SWSPD245</t>
  </si>
  <si>
    <t>TOP - BOTTOM SET LSLP MARVEL SPIDERMAN SWSPD245:PASTEL GREY:8:PRINT:TOP - BOTTOM SET</t>
  </si>
  <si>
    <t>TOP - BOTTOM SET LSLP MARVEL SPIDERMAN SWSPD245:PASTEL GREY:6:PRINT:TOP - BOTTOM SET</t>
  </si>
  <si>
    <t>TOP - BOTTOM SET LSLP MARVEL SPIDERMAN SWSPD245:PASTEL GREY:12:PRINT:TOP - BOTTOM SET</t>
  </si>
  <si>
    <t>TOP - BOTTOM SET LSLP MARVEL SPIDERMAN SWSPD245:PASTEL GREY:7:PRINT:TOP - BOTTOM SET</t>
  </si>
  <si>
    <t>TOP - BOTTOM SET LSLP MARVEL SPIDERMAN SWSPD245:PASTEL GREY:10:PRINT:TOP - BOTTOM SET</t>
  </si>
  <si>
    <t>TOP - BOTTOM SET LSLP MARVEL SPIDERMAN SWSPD245:PASTEL GREY:14:PRINT:TOP - BOTTOM SET</t>
  </si>
  <si>
    <t>TOP - BOTTOM SET LSLP MARVEL SPIDERMAN SWSPD245:PASTEL GREY:4:PRINT:TOP - BOTTOM SET</t>
  </si>
  <si>
    <t>TOP - BOTTOM SET LSLP MARVEL SPIDERMAN SWSPD245:PASTEL GREY:5:PRINT:TOP - BOTTOM SET</t>
  </si>
  <si>
    <t>SWCIN3</t>
  </si>
  <si>
    <t>TOP - BOTTOM SET LSLP RUFFLE CINNAMOROLL SWCIN3:PASTEL BLUE:5:PRINT:TOP - BOTTOM SET</t>
  </si>
  <si>
    <t>TOP - BOTTOM SET LSLP RUFFLE CINNAMOROLL SWCIN3:PASTEL BLUE:7:PRINT:TOP - BOTTOM SET</t>
  </si>
  <si>
    <t>TOP - BOTTOM SET LSLP RUFFLE CINNAMOROLL SWCIN3:PASTEL BLUE:4:PRINT:TOP - BOTTOM SET</t>
  </si>
  <si>
    <t>TOP - BOTTOM SET LSLP RUFFLE CINNAMOROLL SWCIN3:PASTEL BLUE:6:PRINT:TOP - BOTTOM SET</t>
  </si>
  <si>
    <t>TOP - BOTTOM SET LSLP RUFFLE CINNAMOROLL SWCIN3:PASTEL BLUE:10:PRINT:TOP - BOTTOM SET</t>
  </si>
  <si>
    <t>TOP - BOTTOM SET LSLP RUFFLE CINNAMOROLL SWCIN3:PASTEL BLUE:14:PRINT:TOP - BOTTOM SET</t>
  </si>
  <si>
    <t>TOP - BOTTOM SET LSLP RUFFLE CINNAMOROLL SWCIN3:PASTEL BLUE:12:PRINT:TOP - BOTTOM SET</t>
  </si>
  <si>
    <t>TOP - BOTTOM SET LSLP RUFFLE CINNAMOROLL SWCIN3:PASTEL BLUE:8:PRINT:TOP - BOTTOM SET</t>
  </si>
  <si>
    <t>SWLKMM</t>
  </si>
  <si>
    <t>TOP - BOTTOM SET LSLP MY MELODY SWLKMM:PASTEL BLUE:10:PRINT:TOP - BOTTOM SET</t>
  </si>
  <si>
    <t>TOP - BOTTOM SET LSLP MY MELODY SWLKMM:PASTEL BLUE:6:PRINT:TOP - BOTTOM SET</t>
  </si>
  <si>
    <t>TOP - BOTTOM SET LSLP MY MELODY SWLKMM:PASTEL BLUE:7:PRINT:TOP - BOTTOM SET</t>
  </si>
  <si>
    <t>TOP - BOTTOM SET LSLP MY MELODY SWLKMM:PASTEL BLUE:5:PRINT:TOP - BOTTOM SET</t>
  </si>
  <si>
    <t>TOP - BOTTOM SET LSLP MY MELODY SWLKMM:PASTEL BLUE:8:PRINT:TOP - BOTTOM SET</t>
  </si>
  <si>
    <t>TOP - BOTTOM SET LSLP MY MELODY SWLKMM:PASTEL BLUE:14:PRINT:TOP - BOTTOM SET</t>
  </si>
  <si>
    <t>TOP - BOTTOM SET LSLP MY MELODY SWLKMM:PASTEL BLUE:4:PRINT:TOP - BOTTOM SET</t>
  </si>
  <si>
    <t>TOP - BOTTOM SET LSLP MY MELODY SWLKMM:PASTEL BLUE:12:PRINT:TOP - BOTTOM SET</t>
  </si>
  <si>
    <t>KKHK5</t>
  </si>
  <si>
    <t>SOCKS KKG HELLO KITTY PITA KKHK5:PASTEL PINK:18-20:PRINT:SOCKS</t>
  </si>
  <si>
    <t>KKHK6</t>
  </si>
  <si>
    <t>SOCKS KKG HELLO KITTY LOVE KKHK6:PASTEL PINK:14-16:PRINT:SOCKS</t>
  </si>
  <si>
    <t>SOCKS KKG HELLO KITTY PITA KKHK5:PASTEL PINK:14-16:PRINT:SOCKS</t>
  </si>
  <si>
    <t>SOCKS KKG HELLO KITTY LOVE KKHK6:PASTEL PINK:18-20:PRINT:SOCKS</t>
  </si>
  <si>
    <t>TS3HK1</t>
  </si>
  <si>
    <t>SS T-SHIRT HELLO KITTY PIPING TS3HK1:PASTEL PINK:6:GRAPHIC:SS T-SHIRT</t>
  </si>
  <si>
    <t>SS T-SHIRT HELLO KITTY PIPING TS3HK1:PASTEL PINK:11-12:GRAPHIC:SS T-SHIRT</t>
  </si>
  <si>
    <t>SS T-SHIRT HELLO KITTY PIPING TS3HK1:PASTEL PINK:5:GRAPHIC:SS T-SHIRT</t>
  </si>
  <si>
    <t>SS T-SHIRT HELLO KITTY PIPING TS3HK1:PASTEL PINK:9-10:GRAPHIC:SS T-SHIRT</t>
  </si>
  <si>
    <t>SS T-SHIRT HELLO KITTY PIPING TS3HK1:PASTEL PINK:4:GRAPHIC:SS T-SHIRT</t>
  </si>
  <si>
    <t>SS T-SHIRT HELLO KITTY PIPING TS3HK1:PASTEL PINK:7-8:GRAPHIC:SS T-SHIRT</t>
  </si>
  <si>
    <t>TS3HK2</t>
  </si>
  <si>
    <t>SS T-SHIRT HELLO KITTY CS BAHU TS3HK2:OFF WHITE:11-12:GRAPHIC:SS T-SHIRT</t>
  </si>
  <si>
    <t>SS T-SHIRT HELLO KITTY CS BAHU TS3HK2:OFF WHITE:4:GRAPHIC:SS T-SHIRT</t>
  </si>
  <si>
    <t>SS T-SHIRT HELLO KITTY CS BAHU TS3HK2:OFF WHITE:9-10:GRAPHIC:SS T-SHIRT</t>
  </si>
  <si>
    <t>SS T-SHIRT HELLO KITTY CS BAHU TS3HK2:OFF WHITE:5:GRAPHIC:SS T-SHIRT</t>
  </si>
  <si>
    <t>SS T-SHIRT HELLO KITTY CS BAHU TS3HK2:OFF WHITE:6:GRAPHIC:SS T-SHIRT</t>
  </si>
  <si>
    <t>SS T-SHIRT HELLO KITTY CS BAHU TS3HK2:OFF WHITE:7-8:GRAPHIC:SS T-SHIRT</t>
  </si>
  <si>
    <t>OV3MM</t>
  </si>
  <si>
    <t>SS MIDI DRESS OVERALL MY MELODY OV3MM:PASTEL ORANGE:18-24:PRINT:SS MIDI DRESS</t>
  </si>
  <si>
    <t>SS MIDI DRESS OVERALL MY MELODY OV3MM:PASTEL ORANGE:12-18:PRINT:SS MIDI DRESS</t>
  </si>
  <si>
    <t>SS MIDI DRESS OVERALL MY MELODY OV3MM:PASTEL ORANGE:6-12:PRINT:SS MIDI DRESS</t>
  </si>
  <si>
    <t>SS MIDI DRESS OVERALL MY MELODY OV3MM:PASTEL ORANGE:24-36:PRINT:SS MIDI DRESS</t>
  </si>
  <si>
    <t>SET3LKU</t>
  </si>
  <si>
    <t>TOP - BOTTOM SET LP KUROMI SET3LKU:PASTEL PURPLE:6-12:PRINT:TOP - BOTTOM SET</t>
  </si>
  <si>
    <t>TOP - BOTTOM SET LP KUROMI SET3LKU:PASTEL PURPLE:12-18:PRINT:TOP - BOTTOM SET</t>
  </si>
  <si>
    <t>TOP - BOTTOM SET LP KUROMI SET3LKU:PASTEL PURPLE:24-36:PRINT:TOP - BOTTOM SET</t>
  </si>
  <si>
    <t>TOP - BOTTOM SET LP KUROMI SET3LKU:PASTEL PURPLE:18-24:PRINT:TOP - BOTTOM SET</t>
  </si>
  <si>
    <t>SS3MM</t>
  </si>
  <si>
    <t>SS T-SHIRT SS TOP MY MELODY SS3MM:PASTEL ORANGE:12-18:PRINT:SS T-SHIRT</t>
  </si>
  <si>
    <t>SS T-SHIRT SS TOP MY MELODY SS3MM:PASTEL ORANGE:18-24:PRINT:SS T-SHIRT</t>
  </si>
  <si>
    <t>SS T-SHIRT SS TOP MY MELODY SS3MM:PASTEL ORANGE:6-12:PRINT:SS T-SHIRT</t>
  </si>
  <si>
    <t>SS T-SHIRT SS TOP MY MELODY SS3MM:PASTEL ORANGE:24-36:PRINT:SS T-SHIRT</t>
  </si>
  <si>
    <t>DS3KU</t>
  </si>
  <si>
    <t>SS MIDI DRESS OVERALL KUROMI DS3KU:PASTEL PURPLE:6-12:PRINT:SS MIDI DRESS</t>
  </si>
  <si>
    <t>SS MIDI DRESS OVERALL KUROMI DS3KU:PASTEL PURPLE:18-24:PRINT:SS MIDI DRESS</t>
  </si>
  <si>
    <t>SS MIDI DRESS OVERALL KUROMI DS3KU:PASTEL PURPLE:24-36:PRINT:SS MIDI DRESS</t>
  </si>
  <si>
    <t>SS MIDI DRESS OVERALL KUROMI DS3KU:PASTEL PURPLE:12-18:PRINT:SS MIDI DRESS</t>
  </si>
  <si>
    <t>SETGKU3A</t>
  </si>
  <si>
    <t>TOP - BOTTOM SET KUROMI RUFFLE SETGKU3A:OFF WHITE:12-18:PRINT:TOP - BOTTOM SET</t>
  </si>
  <si>
    <t>TOP - BOTTOM SET KUROMI RUFFLE SETGKU3A:OFF WHITE:6-12:PRINT:TOP - BOTTOM SET</t>
  </si>
  <si>
    <t>TOP - BOTTOM SET KUROMI RUFFLE SETGKU3A:OFF WHITE:24-36:PRINT:TOP - BOTTOM SET</t>
  </si>
  <si>
    <t>TOP - BOTTOM SET KUROMI RUFFLE SETGKU3A:OFF WHITE:18-24:PRINT:TOP - BOTTOM SET</t>
  </si>
  <si>
    <t>SWPAW1</t>
  </si>
  <si>
    <t>TOP - BOTTOM SET LSLP PAW PATROL SWPAW1:PASTEL PINK:4:PRINT:TOP - BOTTOM SET</t>
  </si>
  <si>
    <t>TOP - BOTTOM SET LSLP PAW PATROL SWPAW1:PASTEL PINK:10:PRINT:TOP - BOTTOM SET</t>
  </si>
  <si>
    <t>TOP - BOTTOM SET LSLP PAW PATROL SWPAW1:PASTEL PINK:6:PRINT:TOP - BOTTOM SET</t>
  </si>
  <si>
    <t>TOP - BOTTOM SET LSLP PAW PATROL SWPAW1:PASTEL PINK:7:PRINT:TOP - BOTTOM SET</t>
  </si>
  <si>
    <t>TOP - BOTTOM SET LSLP PAW PATROL SWPAW1:PASTEL PINK:5:PRINT:TOP - BOTTOM SET</t>
  </si>
  <si>
    <t>TOP - BOTTOM SET LSLP PAW PATROL SWPAW1:PASTEL PINK:8:PRINT:TOP - BOTTOM SET</t>
  </si>
  <si>
    <t>TOP - BOTTOM SET LSLP PAW PATROL SWPAW1:PASTEL PINK:12:PRINT:TOP - BOTTOM SET</t>
  </si>
  <si>
    <t>TOP - BOTTOM SET LSLP PAW PATROL SWPAW1:PASTEL PINK:14:PRINT:TOP - BOTTOM SET</t>
  </si>
  <si>
    <t>TSTNJ2</t>
  </si>
  <si>
    <t>SS T-SHIRT PRINT KANTONG TOM N JERRY TSTNJ2:OFF WHITE:9-10:GRAPHIC:SS T-SHIRT</t>
  </si>
  <si>
    <t>SS T-SHIRT PRINT KANTONG TOM N JERRY TSTNJ2:OFF WHITE:6:GRAPHIC:SS T-SHIRT</t>
  </si>
  <si>
    <t>SS T-SHIRT PRINT KANTONG TOM N JERRY TSTNJ2:OFF WHITE:7-8:GRAPHIC:SS T-SHIRT</t>
  </si>
  <si>
    <t>SS T-SHIRT PRINT KANTONG TOM N JERRY TSTNJ2:OFF WHITE:11-12:GRAPHIC:SS T-SHIRT</t>
  </si>
  <si>
    <t>SS T-SHIRT PRINT KANTONG TOM N JERRY TSTNJ2:OFF WHITE:4:GRAPHIC:SS T-SHIRT</t>
  </si>
  <si>
    <t>SS T-SHIRT PRINT KANTONG TOM N JERRY TSTNJ2:OFF WHITE:5:GRAPHIC:SS T-SHIRT</t>
  </si>
  <si>
    <t>TSTNJ4</t>
  </si>
  <si>
    <t>SS T-SHIRT TOM N JERRY HIDE N SEEK TSTNJ4:PASTEL ORANGE:5:GRAPHIC:SS T-SHIRT</t>
  </si>
  <si>
    <t>SS T-SHIRT TOM N JERRY HIDE N SEEK TSTNJ4:PASTEL ORANGE:4:GRAPHIC:SS T-SHIRT</t>
  </si>
  <si>
    <t>SS T-SHIRT TOM N JERRY HIDE N SEEK TSTNJ4:PASTEL ORANGE:6:GRAPHIC:SS T-SHIRT</t>
  </si>
  <si>
    <t>SS T-SHIRT TOM N JERRY HIDE N SEEK TSTNJ4:PASTEL ORANGE:9-10:GRAPHIC:SS T-SHIRT</t>
  </si>
  <si>
    <t>SS T-SHIRT TOM N JERRY HIDE N SEEK TSTNJ4:PASTEL ORANGE:7-8:GRAPHIC:SS T-SHIRT</t>
  </si>
  <si>
    <t>SS T-SHIRT TOM N JERRY HIDE N SEEK TSTNJ4:PASTEL ORANGE:11-12:GRAPHIC:SS T-SHIRT</t>
  </si>
  <si>
    <t>TSTNJ3</t>
  </si>
  <si>
    <t>SS T-SHIRT TOM N JERRY TSTNJ3:MAROON:9-10:GRAPHIC:SS T-SHIRT</t>
  </si>
  <si>
    <t>SS T-SHIRT TOM N JERRY TSTNJ3:MAROON:7-8:GRAPHIC:SS T-SHIRT</t>
  </si>
  <si>
    <t>SS T-SHIRT TOM N JERRY TSTNJ3:MAROON:4:GRAPHIC:SS T-SHIRT</t>
  </si>
  <si>
    <t>SS T-SHIRT TOM N JERRY TSTNJ3:MAROON:6:GRAPHIC:SS T-SHIRT</t>
  </si>
  <si>
    <t>SS T-SHIRT TOM N JERRY TSTNJ3:MAROON:11-12:GRAPHIC:SS T-SHIRT</t>
  </si>
  <si>
    <t>SS T-SHIRT TOM N JERRY TSTNJ3:MAROON:5:GRAPHIC:SS T-SHIRT</t>
  </si>
  <si>
    <t>TSZTP2</t>
  </si>
  <si>
    <t>SS T-SHIRT ZOOTOPIA TSZTP2:PASTEL GREEN:9-10:GRAPHIC:SS T-SHIRT</t>
  </si>
  <si>
    <t>SS T-SHIRT ZOOTOPIA TSZTP2:PASTEL GREEN:7-8:GRAPHIC:SS T-SHIRT</t>
  </si>
  <si>
    <t>SS T-SHIRT ZOOTOPIA TSZTP2:PASTEL GREEN:13-14:GRAPHIC:SS T-SHIRT</t>
  </si>
  <si>
    <t>SS T-SHIRT ZOOTOPIA TSZTP2:PASTEL GREEN:11-12:GRAPHIC:SS T-SHIRT</t>
  </si>
  <si>
    <t>TSZTP1</t>
  </si>
  <si>
    <t>SS T-SHIRT ZOOTOPIA TSZTP1:PASTEL GREY:9-10:GRAPHIC:SS T-SHIRT</t>
  </si>
  <si>
    <t>SS T-SHIRT ZOOTOPIA TSZTP1:PASTEL GREY:7-8:GRAPHIC:SS T-SHIRT</t>
  </si>
  <si>
    <t>SS T-SHIRT ZOOTOPIA TSZTP1:PASTEL GREY:13-14:GRAPHIC:SS T-SHIRT</t>
  </si>
  <si>
    <t>SS T-SHIRT ZOOTOPIA TSZTP1:PASTEL GREY:11-12:GRAPHIC:SS T-SHIRT</t>
  </si>
  <si>
    <t>TSTST2</t>
  </si>
  <si>
    <t>SS T-SHIRT TOY STORY IKAT DPN 2 PRINT TSTST2:OFF WHITE:5:GRAPHIC:SS T-SHIRT</t>
  </si>
  <si>
    <t>SS T-SHIRT TOY STORY IKAT DPN 2 PRINT TSTST2:OFF WHITE:4:GRAPHIC:SS T-SHIRT</t>
  </si>
  <si>
    <t>SS T-SHIRT TOY STORY IKAT DPN 2 PRINT TSTST2:OFF WHITE:7-8:GRAPHIC:SS T-SHIRT</t>
  </si>
  <si>
    <t>SS T-SHIRT TOY STORY IKAT DPN 2 PRINT TSTST2:OFF WHITE:6:GRAPHIC:SS T-SHIRT</t>
  </si>
  <si>
    <t>TSTST1</t>
  </si>
  <si>
    <t>SS T-SHIRT STRIPE TOY STORY TSTST1:OFF WHITE:5:GRAPHIC:SS T-SHIRT</t>
  </si>
  <si>
    <t>SS T-SHIRT STRIPE TOY STORY TSTST1:OFF WHITE:6:GRAPHIC:SS T-SHIRT</t>
  </si>
  <si>
    <t>SS T-SHIRT STRIPE TOY STORY TSTST1:OFF WHITE:4:GRAPHIC:SS T-SHIRT</t>
  </si>
  <si>
    <t>SS T-SHIRT STRIPE TOY STORY TSTST1:OFF WHITE:7-8:GRAPHIC:SS T-SHIRT</t>
  </si>
  <si>
    <t>TSTST3</t>
  </si>
  <si>
    <t>SS T-SHIRT TOY STORY BAT WING TSTST3:PASTEL BLUE:13-14:GRAPHIC:SS T-SHIRT</t>
  </si>
  <si>
    <t>SS T-SHIRT TOY STORY BAT WING TSTST3:PASTEL BLUE:11-12:GRAPHIC:SS T-SHIRT</t>
  </si>
  <si>
    <t>SS T-SHIRT TOY STORY BAT WING TSTST3:PASTEL BLUE:7-8:GRAPHIC:SS T-SHIRT</t>
  </si>
  <si>
    <t>SS T-SHIRT TOY STORY BAT WING TSTST3:PASTEL BLUE:9-10:GRAPHIC:SS T-SHIRT</t>
  </si>
  <si>
    <t>TSZTP3</t>
  </si>
  <si>
    <t>SS T-SHIRT ZOOTOPIA TSZTP3:OFF WHITE:9-10:PRINT:SS T-SHIRT</t>
  </si>
  <si>
    <t>SS T-SHIRT ZOOTOPIA TSZTP3:OFF WHITE:7-8:PRINT:SS T-SHIRT</t>
  </si>
  <si>
    <t>SS T-SHIRT ZOOTOPIA TSZTP3:OFF WHITE:13-14:PRINT:SS T-SHIRT</t>
  </si>
  <si>
    <t>SS T-SHIRT ZOOTOPIA TSZTP3:OFF WHITE:11-12:PRINT:SS T-SHIRT</t>
  </si>
  <si>
    <t>MP425TSTG</t>
  </si>
  <si>
    <t>BRIEF PACK OF 3 UW TOY STORY MP425TSTG:ASSORTIVE COLOR:L:GRAPHIC:BRIEF</t>
  </si>
  <si>
    <t>BRIEF PACK OF 3 UW TOY STORY MP425TSTG:ASSORTIVE COLOR:XL:GRAPHIC:BRIEF</t>
  </si>
  <si>
    <t>BRIEF PACK OF 3 UW TOY STORY MP425TSTG:ASSORTIVE COLOR:S:GRAPHIC:BRIEF</t>
  </si>
  <si>
    <t>BRIEF PACK OF 3 UW TOY STORY MP425TSTG:ASSORTIVE COLOR:M:GRAPHIC:BRIEF</t>
  </si>
  <si>
    <t>KKSUITS3</t>
  </si>
  <si>
    <t>SOCKS KKB TOY STORY KKSUITS3:PASTEL YELLOW:14-16:PRINT:SOCKS</t>
  </si>
  <si>
    <t>SOCKS KKB TOY STORY KKSUITS3:PASTEL YELLOW:18-20:PRINT:SOCKS</t>
  </si>
  <si>
    <t>KKLGCAP</t>
  </si>
  <si>
    <t>SOCKS KKB LOGO CAPTAIN AMERICA KKLGCAP:BLACK:20-22:GRAPHIC:SOCKS</t>
  </si>
  <si>
    <t>SOCKS KKB LOGO CAPTAIN AMERICA KKLGCAP:BLACK:18-20:GRAPHIC:SOCKS</t>
  </si>
  <si>
    <t>SOCKS KKB LOGO CAPTAIN AMERICA KKLGCAP:BLACK:14-16:GRAPHIC:SOCKS</t>
  </si>
  <si>
    <t>KKSPDW</t>
  </si>
  <si>
    <t>SOCKS KKB SPIDERMAN WEB KKSPDW:BLACK:14-16:GRAPHIC:SOCKS</t>
  </si>
  <si>
    <t>SOCKS KKB SPIDERMAN WEB KKSPDW:BLACK:18-20:GRAPHIC:SOCKS</t>
  </si>
  <si>
    <t>SOCKS KKB SPIDERMAN WEB KKSPDW:BLACK:20-22:GRAPHIC:SOCKS</t>
  </si>
  <si>
    <t>KKKU9</t>
  </si>
  <si>
    <t>SOCKS KKG KUROMI KKKU9:PASTEL GREY:18-20:GRAPHIC:SOCKS</t>
  </si>
  <si>
    <t>SOCKS KKG KUROMI KKKU9:PASTEL GREY:14-16:GRAPHIC:SOCKS</t>
  </si>
  <si>
    <t>SOCKS KKG KUROMI KKKU9:PASTEL GREY:20-22:GRAPHIC:SOCKS</t>
  </si>
  <si>
    <t>KKKU8</t>
  </si>
  <si>
    <t>SOCKS KKG KUROMI KKKU8:PASTEL PINK:14-16:GRAPHIC:SOCKS</t>
  </si>
  <si>
    <t>SOCKS KKG KUROMI KKKU8:PASTEL PINK:20-22:GRAPHIC:SOCKS</t>
  </si>
  <si>
    <t>SOCKS KKG KUROMI KKKU8:PASTEL PINK:18-20:GRAPHIC:SOCKS</t>
  </si>
  <si>
    <t>SWTNJ</t>
  </si>
  <si>
    <t>TOP - BOTTOM SET LSLP TOM AND JERRY SWTNJ:NAVY BLUE:12:PRINT:TOP - BOTTOM SET</t>
  </si>
  <si>
    <t>TOP - BOTTOM SET LSLP TOM AND JERRY SWTNJ:NAVY BLUE:14:PRINT:TOP - BOTTOM SET</t>
  </si>
  <si>
    <t>TOP - BOTTOM SET LSLP TOM AND JERRY SWTNJ:NAVY BLUE:10:PRINT:TOP - BOTTOM SET</t>
  </si>
  <si>
    <t>TOP - BOTTOM SET LSLP TOM AND JERRY SWTNJ:NAVY BLUE:4:PRINT:TOP - BOTTOM SET</t>
  </si>
  <si>
    <t>TOP - BOTTOM SET LSLP TOM AND JERRY SWTNJ:NAVY BLUE:7:PRINT:TOP - BOTTOM SET</t>
  </si>
  <si>
    <t>TOP - BOTTOM SET LSLP TOM AND JERRY SWTNJ:NAVY BLUE:5:PRINT:TOP - BOTTOM SET</t>
  </si>
  <si>
    <t>TOP - BOTTOM SET LSLP TOM AND JERRY SWTNJ:NAVY BLUE:8:PRINT:TOP - BOTTOM SET</t>
  </si>
  <si>
    <t>TOP - BOTTOM SET LSLP TOM AND JERRY SWTNJ:NAVY BLUE:6:PRINT:TOP - BOTTOM SET</t>
  </si>
  <si>
    <t>SWPAW2</t>
  </si>
  <si>
    <t>TOP - BOTTOM SET SSLP PAW PATROL SWPAW2:OFF WHITE:10:PRINT:TOP - BOTTOM SET</t>
  </si>
  <si>
    <t>TOP - BOTTOM SET SSLP PAW PATROL SWPAW2:OFF WHITE:12:PRINT:TOP - BOTTOM SET</t>
  </si>
  <si>
    <t>TOP - BOTTOM SET SSLP PAW PATROL SWPAW2:OFF WHITE:8:PRINT:TOP - BOTTOM SET</t>
  </si>
  <si>
    <t>TOP - BOTTOM SET SSLP PAW PATROL SWPAW2:OFF WHITE:4:PRINT:TOP - BOTTOM SET</t>
  </si>
  <si>
    <t>TOP - BOTTOM SET SSLP PAW PATROL SWPAW2:OFF WHITE:14:PRINT:TOP - BOTTOM SET</t>
  </si>
  <si>
    <t>TOP - BOTTOM SET SSLP PAW PATROL SWPAW2:OFF WHITE:6:PRINT:TOP - BOTTOM SET</t>
  </si>
  <si>
    <t>TOP - BOTTOM SET SSLP PAW PATROL SWPAW2:OFF WHITE:7:PRINT:TOP - BOTTOM SET</t>
  </si>
  <si>
    <t>TOP - BOTTOM SET SSLP PAW PATROL SWPAW2:OFF WHITE:5:PRINT:TOP - BOTTOM SET</t>
  </si>
  <si>
    <t>MP425TSTB</t>
  </si>
  <si>
    <t>BRIEF PACK OF 3 UW TOY STORY MP425TSTB:ASSORTIVE COLOR:S:GRAPHIC:BRIEF</t>
  </si>
  <si>
    <t>BRIEF PACK OF 3 UW TOY STORY MP425TSTB:ASSORTIVE COLOR:XL:GRAPHIC:BRIEF</t>
  </si>
  <si>
    <t>BRIEF PACK OF 3 UW TOY STORY MP425TSTB:ASSORTIVE COLOR:L:GRAPHIC:BRIEF</t>
  </si>
  <si>
    <t>BRIEF PACK OF 3 UW TOY STORY MP425TSTB:ASSORTIVE COLOR:M:GRAPHIC:BRIEF</t>
  </si>
  <si>
    <t>SWBTS2</t>
  </si>
  <si>
    <t>TOP - BOTTOM SET LSLP TOYS STORY SWBTS2:PASTEL GREY:10:PRINT:TOP - BOTTOM SET</t>
  </si>
  <si>
    <t>TOP - BOTTOM SET LSLP TOYS STORY SWBTS2:PASTEL GREY:5:PRINT:TOP - BOTTOM SET</t>
  </si>
  <si>
    <t>TOP - BOTTOM SET LSLP TOYS STORY SWBTS2:PASTEL GREY:4:PRINT:TOP - BOTTOM SET</t>
  </si>
  <si>
    <t>TOP - BOTTOM SET LSLP TOYS STORY SWBTS2:PASTEL GREY:14:PRINT:TOP - BOTTOM SET</t>
  </si>
  <si>
    <t>TOP - BOTTOM SET LSLP TOYS STORY SWBTS2:PASTEL GREY:8:PRINT:TOP - BOTTOM SET</t>
  </si>
  <si>
    <t>TOP - BOTTOM SET LSLP TOYS STORY SWBTS2:PASTEL GREY:7:PRINT:TOP - BOTTOM SET</t>
  </si>
  <si>
    <t>TOP - BOTTOM SET LSLP TOYS STORY SWBTS2:PASTEL GREY:12:PRINT:TOP - BOTTOM SET</t>
  </si>
  <si>
    <t>TOP - BOTTOM SET LSLP TOYS STORY SWBTS2:PASTEL GREY:6:PRINT:TOP - BOTTOM SET</t>
  </si>
  <si>
    <t>KKTNJ1</t>
  </si>
  <si>
    <t>SOCKS KKG TOM AND JERRY CHEESEE KKTNJ1:PASTEL PINK:20-22:GRAPHIC:SOCKS</t>
  </si>
  <si>
    <t>SOCKS KKG TOM AND JERRY CHEESEE KKTNJ1:PASTEL PINK:14-16:GRAPHIC:SOCKS</t>
  </si>
  <si>
    <t>SOCKS KKG TOM AND JERRY CHEESEE KKTNJ1:PASTEL PINK:18-20:GRAPHIC:SOCKS</t>
  </si>
  <si>
    <t>KKTNJ2</t>
  </si>
  <si>
    <t>SOCKS KKG TOM AND JERRY CHEESEE KKTNJ2:PASTEL YELLOW:18-20:GRAPHIC:SOCKS</t>
  </si>
  <si>
    <t>SOCKS KKG TOM AND JERRY CHEESEE KKTNJ2:PASTEL YELLOW:14-16:GRAPHIC:SOCKS</t>
  </si>
  <si>
    <t>SOCKS KKG TOM AND JERRY CHEESEE KKTNJ2:PASTEL YELLOW:20-22:GRAPHIC:SOCKS</t>
  </si>
  <si>
    <t>KKTNJ5</t>
  </si>
  <si>
    <t>SOCKS KKB TOM AND JERRY STRIPE KKTNJ5:PASTEL BLUE:14-16:GRAPHIC:SOCKS</t>
  </si>
  <si>
    <t>SOCKS KKB TOM AND JERRY STRIPE KKTNJ5:PASTEL BLUE:20-22:GRAPHIC:SOCKS</t>
  </si>
  <si>
    <t>SOCKS KKB TOM AND JERRY STRIPE KKTNJ5:PASTEL BLUE:18-20:GRAPHIC:SOCKS</t>
  </si>
  <si>
    <t>KKTNJ4</t>
  </si>
  <si>
    <t>SOCKS KKB TOM AND JERRY KKTNJ4:NAVY BLUE:18-20:GRAPHIC:SOCKS</t>
  </si>
  <si>
    <t>SOCKS KKB TOM AND JERRY KKTNJ4:NAVY BLUE:14-16:GRAPHIC:SOCKS</t>
  </si>
  <si>
    <t>SOCKS KKB TOM AND JERRY KKTNJ4:NAVY BLUE:20-22:GRAPHIC:SOCKS</t>
  </si>
  <si>
    <t>KKKU10</t>
  </si>
  <si>
    <t>SOCKS KKG KUROMI LOVE KKKU10:PASTEL GREY:14-16:GRAPHIC:SOCKS</t>
  </si>
  <si>
    <t>SOCKS KKG KUROMI LOVE KKKU10:PASTEL GREY:18-20:GRAPHIC:SOCKS</t>
  </si>
  <si>
    <t>SOCKS KKG KUROMI LOVE KKKU10:PASTEL GREY:20-22:GRAPHIC:SOCKS</t>
  </si>
  <si>
    <t>KKKU11</t>
  </si>
  <si>
    <t>SOCKS KKG KUROMI LOVE KKKU11:PASTEL PURPLE:14-16:GRAPHIC:SOCKS</t>
  </si>
  <si>
    <t>SOCKS KKG KUROMI LOVE KKKU11:PASTEL PURPLE:18-20:GRAPHIC:SOCKS</t>
  </si>
  <si>
    <t>SOCKS KKG KUROMI LOVE KKKU11:PASTEL PURPLE:20-22:GRAPHIC:SOCKS</t>
  </si>
  <si>
    <t>KKKU12</t>
  </si>
  <si>
    <t>SOCKS KKG KUROMI LOVE KKKU12:PASTEL PURPLE:14-16:GRAPHIC:SOCKS</t>
  </si>
  <si>
    <t>SOCKS KKG KUROMI LOVE KKKU12:PASTEL PURPLE:20-22:GRAPHIC:SOCKS</t>
  </si>
  <si>
    <t>SOCKS KKG KUROMI LOVE KKKU12:PASTEL PURPLE:18-20:GRAPHIC:SOCKS</t>
  </si>
  <si>
    <t>TS253MM</t>
  </si>
  <si>
    <t>SS T-SHIRT MY MELODY TS253MM:OFF WHITE:3-4:GRAPHIC:SS T-SHIRT</t>
  </si>
  <si>
    <t>SS T-SHIRT MY MELODY TS253MM:OFF WHITE:4-5:GRAPHIC:SS T-SHIRT</t>
  </si>
  <si>
    <t>SS T-SHIRT MY MELODY TS253MM:OFF WHITE:5-6:GRAPHIC:SS T-SHIRT</t>
  </si>
  <si>
    <t>SS T-SHIRT MY MELODY TS253MM:OFF WHITE:7-8:GRAPHIC:SS T-SHIRT</t>
  </si>
  <si>
    <t>TS251MM</t>
  </si>
  <si>
    <t>SS T-SHIRT MY MELODY TS251MM:PASTEL PINK:3-4:GRAPHIC:SS T-SHIRT</t>
  </si>
  <si>
    <t>SS T-SHIRT MY MELODY TS251MM:PASTEL PINK:4-5:GRAPHIC:SS T-SHIRT</t>
  </si>
  <si>
    <t>SS T-SHIRT MY MELODY TS251MM:PASTEL PINK:5-6:GRAPHIC:SS T-SHIRT</t>
  </si>
  <si>
    <t>SS T-SHIRT MY MELODY TS251MM:PASTEL PINK:7-8:GRAPHIC:SS T-SHIRT</t>
  </si>
  <si>
    <t>TS254MM</t>
  </si>
  <si>
    <t>SS T-SHIRT MY MELODY TS254MM:PASTEL PINK:3-4:GRAPHIC:SS T-SHIRT</t>
  </si>
  <si>
    <t>SS T-SHIRT MY MELODY TS254MM:PASTEL PINK:4-5:GRAPHIC:SS T-SHIRT</t>
  </si>
  <si>
    <t>SS T-SHIRT MY MELODY TS254MM:PASTEL PINK:5-6:GRAPHIC:SS T-SHIRT</t>
  </si>
  <si>
    <t>SS T-SHIRT MY MELODY TS254MM:PASTEL PINK:7-8:GRAPHIC:SS T-SHIRT</t>
  </si>
  <si>
    <t>LS PYJAMA PANTS LSLP CINNAMOROLL PYLMCN:PASTEL BLUE:8:PRINT:LS PYJAMA PANTS</t>
  </si>
  <si>
    <t>LS PYJAMA PANTS LSLP CINNAMOROLL PYLMCN:PASTEL BLUE:10:PRINT:LS PYJAMA PANTS</t>
  </si>
  <si>
    <t>LS PYJAMA PANTS LSLP CINNAMOROLL PYLMCN:PASTEL BLUE:12:PRINT:LS PYJAMA PANTS</t>
  </si>
  <si>
    <t>LS PYJAMA PANTS LSLP CINNAMOROLL PYLMCN:PASTEL BLUE:14:PRINT:LS PYJAMA PANTS</t>
  </si>
  <si>
    <t>U325BAT2</t>
  </si>
  <si>
    <t>BRIEF PACK OF 3 UNDERWEAR BATMAN U325BAT2:ASSORTIVE COLOR:S:PRINT:BRIEF</t>
  </si>
  <si>
    <t>BRIEF PACK OF 3 UNDERWEAR BATMAN U325BAT2:ASSORTIVE COLOR:M:PRINT:BRIEF</t>
  </si>
  <si>
    <t>BRIEF PACK OF 3 UNDERWEAR BATMAN U325BAT2:ASSORTIVE COLOR:L:PRINT:BRIEF</t>
  </si>
  <si>
    <t>BRIEF PACK OF 3 UNDERWEAR BATMAN U325BAT2:ASSORTIVE COLOR:XL:PRINT:BRIEF</t>
  </si>
  <si>
    <t>TS3KU2</t>
  </si>
  <si>
    <t>SPPP</t>
  </si>
  <si>
    <t>TS3KU1</t>
  </si>
  <si>
    <t>SS T-SHIRT KUROMI TS3KU2:DUSTY PINK:4:GRAPHIC:SS T-SHIRT</t>
  </si>
  <si>
    <t>SS T-SHIRT KUROMI TS3KU2:DUSTY PINK:6:GRAPHIC:SS T-SHIRT</t>
  </si>
  <si>
    <t>SS T-SHIRT KUROMI TS3KU2:DUSTY PINK:7-8:GRAPHIC:SS T-SHIRT</t>
  </si>
  <si>
    <t>SS T-SHIRT KUROMI TS3KU2:DUSTY PINK:5:GRAPHIC:SS T-SHIRT</t>
  </si>
  <si>
    <t>SHORT PANTS PAW PATROL SPPP:PASTEL GREY:7-8:GRAPHIC:SHORT PANTS</t>
  </si>
  <si>
    <t>SHORT PANTS PAW PATROL SPPP:PASTEL GREY:5:GRAPHIC:SHORT PANTS</t>
  </si>
  <si>
    <t>SHORT PANTS PAW PATROL SPPP:PASTEL GREY:4:GRAPHIC:SHORT PANTS</t>
  </si>
  <si>
    <t>SHORT PANTS PAW PATROL SPPP:PASTEL GREY:6:GRAPHIC:SHORT PANTS</t>
  </si>
  <si>
    <t>SS T-SHIRT KUROMI PITA PRINT TS3KU1:PASTEL PURPLE:5:GRAPHIC:SS T-SHIRT</t>
  </si>
  <si>
    <t>SS T-SHIRT KUROMI PITA PRINT TS3KU1:PASTEL PURPLE:6:GRAPHIC:SS T-SHIRT</t>
  </si>
  <si>
    <t>SS T-SHIRT KUROMI PITA PRINT TS3KU1:PASTEL PURPLE:11-12:GRAPHIC:SS T-SHIRT</t>
  </si>
  <si>
    <t>SS T-SHIRT KUROMI PITA PRINT TS3KU1:PASTEL PURPLE:4:GRAPHIC:SS T-SHIRT</t>
  </si>
  <si>
    <t>SS T-SHIRT KUROMI PITA PRINT TS3KU1:PASTEL PURPLE:7-8:GRAPHIC:SS T-SHIRT</t>
  </si>
  <si>
    <t>SS T-SHIRT KUROMI PITA PRINT TS3KU1:PASTEL PURPLE:9-10:GRAPHIC:SS T-SHIRT</t>
  </si>
  <si>
    <t>SK3KU</t>
  </si>
  <si>
    <t>SKORT KUROMI SK3KU:CHARCOAL:6:GRAPHIC:SKORT</t>
  </si>
  <si>
    <t>SKORT KUROMI SK3KU:CHARCOAL:4:GRAPHIC:SKORT</t>
  </si>
  <si>
    <t>SKORT KUROMI SK3KU:CHARCOAL:7-8:GRAPHIC:SKORT</t>
  </si>
  <si>
    <t>SKORT KUROMI SK3KU:CHARCOAL:5:GRAPHIC:SKORT</t>
  </si>
  <si>
    <t>JG3KU</t>
  </si>
  <si>
    <t>JOGGER KUROMI JG3KU:CHARCOAL:5:EMBRO:JOGGER</t>
  </si>
  <si>
    <t>JOGGER KUROMI JG3KU:CHARCOAL:6:EMBRO:JOGGER</t>
  </si>
  <si>
    <t>JOGGER KUROMI JG3KU:CHARCOAL:7-8:EMBRO:JOGGER</t>
  </si>
  <si>
    <t>JOGGER KUROMI JG3KU:CHARCOAL:11-12:EMBRO:JOGGER</t>
  </si>
  <si>
    <t>JOGGER KUROMI JG3KU:CHARCOAL:4:EMBRO:JOGGER</t>
  </si>
  <si>
    <t>JOGGER KUROMI JG3KU:CHARCOAL:9-10:EMBRO:JOGGER</t>
  </si>
  <si>
    <t>JK3KU</t>
  </si>
  <si>
    <t>JACKET KUROMI WOVEN TWILL JK3KU:CHARCOAL:7-8:GRAPHIC:JACKET</t>
  </si>
  <si>
    <t>JACKET KUROMI WOVEN TWILL JK3KU:CHARCOAL:9-10:GRAPHIC:JACKET</t>
  </si>
  <si>
    <t>JACKET KUROMI WOVEN TWILL JK3KU:CHARCOAL:4:GRAPHIC:JACKET</t>
  </si>
  <si>
    <t>JACKET KUROMI WOVEN TWILL JK3KU:CHARCOAL:11-12:GRAPHIC:JACKET</t>
  </si>
  <si>
    <t>JACKET KUROMI WOVEN TWILL JK3KU:CHARCOAL:5:GRAPHIC:JACKET</t>
  </si>
  <si>
    <t>JACKET KUROMI WOVEN TWILL JK3KU:CHARCOAL:6:GRAPHIC:JACKET</t>
  </si>
  <si>
    <t>SWHPAW</t>
  </si>
  <si>
    <t>SWEATSHIRT HOODIE PAW PATROL SWHPAW:PASTEL PINK:6:GRAPHIC:SWEATSHIRT</t>
  </si>
  <si>
    <t>SWEATSHIRT HOODIE PAW PATROL SWHPAW:PASTEL PINK:4:GRAPHIC:SWEATSHIRT</t>
  </si>
  <si>
    <t>SWEATSHIRT HOODIE PAW PATROL SWHPAW:PASTEL PINK:7-8:GRAPHIC:SWEATSHIRT</t>
  </si>
  <si>
    <t>SWEATSHIRT HOODIE PAW PATROL SWHPAW:PASTEL PINK:5:GRAPHIC:SWEATSHIRT</t>
  </si>
  <si>
    <t>JKH3KU</t>
  </si>
  <si>
    <t>JACKET HOODIE KUROMI JKH3KU:OFF WHITE:13-14:GRAPHIC:JACKET</t>
  </si>
  <si>
    <t>JACKET HOODIE KUROMI JKH3KU:OFF WHITE:11-12:GRAPHIC:JACKET</t>
  </si>
  <si>
    <t>JACKET HOODIE KUROMI JKH3KU:OFF WHITE:7-8:GRAPHIC:JACKET</t>
  </si>
  <si>
    <t>JACKET HOODIE KUROMI JKH3KU:OFF WHITE:9-10:GRAPHIC:JACKET</t>
  </si>
  <si>
    <t>DS3MM</t>
  </si>
  <si>
    <t>SS MIDI DRESS WOVEN MY MELODY DS3MM:PASTEL PINK:4:GRAPHIC:SS MIDI DRESS</t>
  </si>
  <si>
    <t>SS MIDI DRESS WOVEN MY MELODY DS3MM:PASTEL PINK:7-8:GRAPHIC:SS MIDI DRESS</t>
  </si>
  <si>
    <t>SS MIDI DRESS WOVEN MY MELODY DS3MM:PASTEL PINK:5:GRAPHIC:SS MIDI DRESS</t>
  </si>
  <si>
    <t>SS MIDI DRESS WOVEN MY MELODY DS3MM:PASTEL PINK:6:GRAPHIC:SS MIDI DRESS</t>
  </si>
  <si>
    <t>SET3KU</t>
  </si>
  <si>
    <t>TOP - BOTTOM SET KUROMI SET3KU:PASTEL PURPLE:6:GRAPHIC:TOP - BOTTOM SET</t>
  </si>
  <si>
    <t>TOP - BOTTOM SET KUROMI SET3KU:PASTEL PURPLE:5:GRAPHIC:TOP - BOTTOM SET</t>
  </si>
  <si>
    <t>TOP - BOTTOM SET KUROMI SET3KU:PASTEL PURPLE:4:GRAPHIC:TOP - BOTTOM SET</t>
  </si>
  <si>
    <t>TOP - BOTTOM SET KUROMI SET3KU:PASTEL PURPLE:7-8:GRAPHIC:TOP - BOTTOM SET</t>
  </si>
  <si>
    <t>DS3KU2</t>
  </si>
  <si>
    <t>SS MIDI DRESS COLLAR KUROMI DS3KU2:BLACK:13-14:GRAPHIC:SS MIDI DRESS</t>
  </si>
  <si>
    <t>SS MIDI DRESS COLLAR KUROMI DS3KU2:BLACK:9-10:GRAPHIC:SS MIDI DRESS</t>
  </si>
  <si>
    <t>SS MIDI DRESS COLLAR KUROMI DS3KU2:BLACK:7-8:GRAPHIC:SS MIDI DRESS</t>
  </si>
  <si>
    <t>SS MIDI DRESS COLLAR KUROMI DS3KU2:BLACK:11-12:GRAPHIC:SS MIDI DRESS</t>
  </si>
  <si>
    <t>DS3KU1</t>
  </si>
  <si>
    <t>SS MIDI DRESS KUROMI DS3KU1:PASTEL PURPLE:4:GRAPHIC:SS MIDI DRESS</t>
  </si>
  <si>
    <t>SS MIDI DRESS KUROMI DS3KU1:PASTEL PURPLE:7-8:GRAPHIC:SS MIDI DRESS</t>
  </si>
  <si>
    <t>SS MIDI DRESS KUROMI DS3KU1:PASTEL PURPLE:6:GRAPHIC:SS MIDI DRESS</t>
  </si>
  <si>
    <t>SS MIDI DRESS KUROMI DS3KU1:PASTEL PURPLE:5:GRAPHIC:SS MIDI DRESS</t>
  </si>
  <si>
    <t>DS3HK</t>
  </si>
  <si>
    <t>SS MIDI DRESS HELLO KITTY DS3HK:PASTEL PINK:7-8:GRAPHIC:SS MIDI DRESS</t>
  </si>
  <si>
    <t>SS MIDI DRESS HELLO KITTY DS3HK:PASTEL PINK:5:GRAPHIC:SS MIDI DRESS</t>
  </si>
  <si>
    <t>SS MIDI DRESS HELLO KITTY DS3HK:PASTEL PINK:6:GRAPHIC:SS MIDI DRESS</t>
  </si>
  <si>
    <t>SS MIDI DRESS HELLO KITTY DS3HK:PASTEL PINK:4:GRAPHIC:SS MIDI DRESS</t>
  </si>
  <si>
    <t>SW425FZA</t>
  </si>
  <si>
    <t>TOP - BOTTOM SET LSLP PIYAMA FROZEN SW425FZA:PASTEL BLUE:4:PRINT:TOP - BOTTOM SET</t>
  </si>
  <si>
    <t>TOP - BOTTOM SET LSLP PIYAMA FROZEN SW425FZA:PASTEL BLUE:5:PRINT:TOP - BOTTOM SET</t>
  </si>
  <si>
    <t>TOP - BOTTOM SET LSLP PIYAMA FROZEN SW425FZA:PASTEL BLUE:6:PRINT:TOP - BOTTOM SET</t>
  </si>
  <si>
    <t>TOP - BOTTOM SET LSLP PIYAMA FROZEN SW425FZA:PASTEL BLUE:7:PRINT:TOP - BOTTOM SET</t>
  </si>
  <si>
    <t>TOP - BOTTOM SET LSLP PIYAMA FROZEN SW425FZA:PASTEL BLUE:8:PRINT:TOP - BOTTOM SET</t>
  </si>
  <si>
    <t>TOP - BOTTOM SET LSLP PIYAMA FROZEN SW425FZA:PASTEL BLUE:10:PRINT:TOP - BOTTOM SET</t>
  </si>
  <si>
    <t>TOP - BOTTOM SET LSLP PIYAMA FROZEN SW425FZA:PASTEL BLUE:12:PRINT:TOP - BOTTOM SET</t>
  </si>
  <si>
    <t>TOP - BOTTOM SET LSLP PIYAMA FROZEN SW425FZA:PASTEL BLUE:14:PRINT:TOP - BOTTOM SET</t>
  </si>
  <si>
    <t>SET3MM</t>
  </si>
  <si>
    <t>TOP - BOTTOM SET MY MELODY SET3MM:PASTEL PINK:6-12:PRINT:TOP - BOTTOM SET</t>
  </si>
  <si>
    <t>TOP - BOTTOM SET MY MELODY SET3MM:PASTEL PINK:12-18:PRINT:TOP - BOTTOM SET</t>
  </si>
  <si>
    <t>TOP - BOTTOM SET MY MELODY SET3MM:PASTEL PINK:18-24:PRINT:TOP - BOTTOM SET</t>
  </si>
  <si>
    <t>TOP - BOTTOM SET MY MELODY SET3MM:PASTEL PINK:24-36:PRINT:TOP - BOTTOM SET</t>
  </si>
  <si>
    <t>SS T-SHIRT RIB KUROMI TSRBLKU1:BLACK:5-6:GRAPHIC:SS T-SHIRT</t>
  </si>
  <si>
    <t>SS T-SHIRT RIB KUROMI TSRBLKU1:BLACK:7-8:GRAPHIC:SS T-SHIRT</t>
  </si>
  <si>
    <t>SS T-SHIRT RIB KUROMI TSRBLKU1:BLACK:9-10:GRAPHIC:SS T-SHIRT</t>
  </si>
  <si>
    <t>SS T-SHIRT RIB KUROMI TSRBLKU1:BLACK:11-12:GRAPHIC:SS T-SHIRT</t>
  </si>
  <si>
    <t>SS T-SHIRT TIEDYE KUROMI SSHDKURM:PASTEL PURPLE:7-8:STRIPES:SS T-SHIRT</t>
  </si>
  <si>
    <t>TSGGPPG5</t>
  </si>
  <si>
    <t>SS T-SHIRT FP PPG TSGGPPG5:PASTEL PURPLE:7-8:GRAPHIC:SS T-SHIRT</t>
  </si>
  <si>
    <t>SS MIDI DRESS WVN KOTAK MINNIE DSWKTMIN:PASTEL ORANGE:5-6:CHECKS:SS MIDI DRESS</t>
  </si>
  <si>
    <t>SS MIDI DRESS WVN KOTAK MINNIE DSWKTMIN:PASTEL ORANGE:7-8:CHECKS:SS MIDI DRESS</t>
  </si>
  <si>
    <t>SS MIDI DRESS WVN KOTAK MINNIE DSWKTMIN:PASTEL ORANGE:9-10:CHECKS:SS MIDI DRESS</t>
  </si>
  <si>
    <t>SS MIDI DRESS WVN KOTAK MINNIE DSWKTMIN:PASTEL ORANGE:11-12:CHECKS:SS MIDI DRESS</t>
  </si>
  <si>
    <t>LS MIDI DRESS OVR STR WVN MINNIE DLOVWMIN:PASTEL PINK:5-6:GRAPHIC:LS MIDI DRESS</t>
  </si>
  <si>
    <t>LS MIDI DRESS OVR STR WVN MINNIE DLOVWMIN:PASTEL PINK:7-8:GRAPHIC:LS MIDI DRESS</t>
  </si>
  <si>
    <t>LS MIDI DRESS OVR STR WVN MINNIE DLOVWMIN:PASTEL PINK:11-12:GRAPHIC:LS MIDI DRESS</t>
  </si>
  <si>
    <t>LS MIDI DRESS OVR STR WVN FROZEN 66050100FZA DLFRZOVW:PASTEL BLUE:5-6:GRAPHIC:LS MIDI DRESS</t>
  </si>
  <si>
    <t>LS MIDI DRESS OVR STR WVN FROZEN 66050100FZA DLFRZOVW:PASTEL BLUE:7-8:GRAPHIC:LS MIDI DRESS</t>
  </si>
  <si>
    <t>LS MIDI DRESS OVR STR WVN FROZEN 66050100FZA DLFRZOVW:PASTEL BLUE:9-10:GRAPHIC:LS MIDI DRESS</t>
  </si>
  <si>
    <t>LS MIDI DRESS OVR STR WVN FROZEN 66050100FZA DLFRZOVW:PASTEL BLUE:11-12:GRAPHIC:LS MIDI DRESS</t>
  </si>
  <si>
    <t>LS SHIRT BLOUSE WVN FROZEN LSWVFZA:PASTEL BLUE:5-6:GRAPHIC:LS SHIRT</t>
  </si>
  <si>
    <t>LS SHIRT BLOUSE WVN FROZEN LSWVFZA:PASTEL BLUE:7-8:GRAPHIC:LS SHIRT</t>
  </si>
  <si>
    <t>LS SHIRT BLOUSE WVN FROZEN LSWVFZA:PASTEL BLUE:9-10:GRAPHIC:LS SHIRT</t>
  </si>
  <si>
    <t>LS SHIRT BLOUSE WVN FROZEN LSWVFZA:PASTEL BLUE:11-12:GRAPHIC:LS SHIRT</t>
  </si>
  <si>
    <t>LS SHIRT WVN KOTAK MINNIE 66050100MIN LSWKTMIN:PASTEL ORANGE:5-6:CHECKS:LS SHIRT</t>
  </si>
  <si>
    <t>LS SHIRT WVN KOTAK MINNIE 66050100MIN LSWKTMIN:PASTEL ORANGE:7-8:CHECKS:LS SHIRT</t>
  </si>
  <si>
    <t>LS SHIRT WVN KOTAK MINNIE 66050100MIN LSWKTMIN:PASTEL ORANGE:9-10:CHECKS:LS SHIRT</t>
  </si>
  <si>
    <t>LS SHIRT WVN KOTAK MINNIE 66050100MIN LSWKTMIN:PASTEL ORANGE:11-12:CHECKS:LS SHIRT</t>
  </si>
  <si>
    <t>LS SHIRT WVN TEXTURE MINNIE 66050100MIN LS4TXMIN:PASTEL ORANGE:5-6:TEXTURE:LS SHIRT</t>
  </si>
  <si>
    <t>LS SHIRT WVN TEXTURE MINNIE 66050100MIN LS4TXMIN:PASTEL ORANGE:7-8:TEXTURE:LS SHIRT</t>
  </si>
  <si>
    <t>LS SHIRT WVN TEXTURE MINNIE 66050100MIN LS4TXMIN:PASTEL ORANGE:9-10:TEXTURE:LS SHIRT</t>
  </si>
  <si>
    <t>LS SHIRT WVN TEXTURE MINNIE 66050100MIN LS4TXMIN:PASTEL ORANGE:11-12:TEXTURE:LS SHIRT</t>
  </si>
  <si>
    <t>SS MIDI DRESS MINNIE CONSTELLATION DSMCONS:CHARCOAL:13-14:GRAPHIC:SS MIDI DRESS</t>
  </si>
  <si>
    <t>DSMCONS</t>
  </si>
  <si>
    <t>SS MIDI DRESS MINNIE CONSTELLATION DSMCONS:CHARCOAL:11-12:GRAPHIC:SS MIDI DRESS</t>
  </si>
  <si>
    <t>SS MIDI DRESS MINNIE CONSTELLATION DSMCONS:CHARCOAL:9-10:GRAPHIC:SS MIDI DRESS</t>
  </si>
  <si>
    <t>SS MIDI DRESS MINNIE CONSTELLATION DSMCONS:CHARCOAL:7-8:GRAPHIC:SS MIDI DRESS</t>
  </si>
  <si>
    <t>SHORT PANTS PRINCESS MANGA SPMPRN:CHARCOAL:13-14:GRAPHIC:SHORT PANTS</t>
  </si>
  <si>
    <t>SPMPRN</t>
  </si>
  <si>
    <t>SHORT PANTS PRINCESS MANGA SPMPRN:CHARCOAL:11-12:GRAPHIC:SHORT PANTS</t>
  </si>
  <si>
    <t>SHORT PANTS PRINCESS MANGA SPMPRN:CHARCOAL:9-10:GRAPHIC:SHORT PANTS</t>
  </si>
  <si>
    <t>SHORT PANTS PRINCESS MANGA SPMPRN:CHARCOAL:7-8:GRAPHIC:SHORT PANTS</t>
  </si>
  <si>
    <t>CARDIGAN MINNIE CONSTELLATION CARDMCON:PASTEL PURPLE:7-8:EMBRO:CARDIGAN</t>
  </si>
  <si>
    <t>CARDMCON</t>
  </si>
  <si>
    <t>CARDIGAN MINNIE CONSTELLATION CARDMCON:PASTEL PURPLE:6:EMBRO:CARDIGAN</t>
  </si>
  <si>
    <t>CARDIGAN MINNIE CONSTELLATION CARDMCON:PASTEL PURPLE:5:EMBRO:CARDIGAN</t>
  </si>
  <si>
    <t>CARDIGAN MINNIE CONSTELLATION CARDMCON:PASTEL PURPLE:4:EMBRO:CARDIGAN</t>
  </si>
  <si>
    <t>SKORT MINNIE CONSTELLATION SKCONS:BLACK:13-14:GRAPHIC:SKORT</t>
  </si>
  <si>
    <t>SKCONS</t>
  </si>
  <si>
    <t>SKORT MINNIE CONSTELLATION SKCONS:BLACK:11-12:GRAPHIC:SKORT</t>
  </si>
  <si>
    <t>SKORT MINNIE CONSTELLATION SKCONS:BLACK:9-10:GRAPHIC:SKORT</t>
  </si>
  <si>
    <t>SKORT MINNIE CONSTELLATION SKCONS:BLACK:7-8:GRAPHIC:SKORT</t>
  </si>
  <si>
    <t>2025 SEPT B1G1</t>
  </si>
  <si>
    <t>2024 JAN-SEP DISC 75%</t>
  </si>
  <si>
    <t>SSTDSTT1</t>
  </si>
  <si>
    <t>TSGJSTT</t>
  </si>
  <si>
    <t>TSSTT3</t>
  </si>
  <si>
    <t>SSTDSTT2</t>
  </si>
  <si>
    <t>JKSTITCH</t>
  </si>
  <si>
    <t>SPSTT</t>
  </si>
  <si>
    <t>DSSTIT1</t>
  </si>
  <si>
    <t>DSSTIT2</t>
  </si>
  <si>
    <t>SS T-SHIRT STITCH TIE DYE IKAT SSTDSTT1:PASTEL BLUE:5-6:PRINT:SS T-SHIRT</t>
  </si>
  <si>
    <t>SS T-SHIRT STITCH TIE DYE IKAT SSTDSTT1:PASTEL BLUE:7-8:PRINT:SS T-SHIRT</t>
  </si>
  <si>
    <t>SS T-SHIRT STITCH TIE DYE IKAT SSTDSTT1:PASTEL BLUE:9-10:PRINT:SS T-SHIRT</t>
  </si>
  <si>
    <t>SS T-SHIRT STITCH TIE DYE IKAT SSTDSTT1:PASTEL BLUE:11-12:PRINT:SS T-SHIRT</t>
  </si>
  <si>
    <t>SS T-SHIRT STITCH DBL PRINT TSGJSTT:OFF WHITE:5-6:GRAPHIC:SS T-SHIRT</t>
  </si>
  <si>
    <t>SS T-SHIRT STITCH DBL PRINT TSGJSTT:OFF WHITE:7-8:GRAPHIC:SS T-SHIRT</t>
  </si>
  <si>
    <t>SS T-SHIRT STITCH DBL PRINT TSGJSTT:OFF WHITE:9-10:GRAPHIC:SS T-SHIRT</t>
  </si>
  <si>
    <t>SS T-SHIRT STITCH DBL PRINT TSGJSTT:OFF WHITE:11-12:GRAPHIC:SS T-SHIRT</t>
  </si>
  <si>
    <t>SS T-SHIRT STRIPES STITCH MAKES SOME WAVES TSSTT3:PASTEL BLUE:5-6:STRIPES:SS T-SHIRT</t>
  </si>
  <si>
    <t>SS T-SHIRT STRIPES STITCH MAKES SOME WAVES TSSTT3:PASTEL BLUE:7-8:STRIPES:SS T-SHIRT</t>
  </si>
  <si>
    <t>SS T-SHIRT STRIPES STITCH MAKES SOME WAVES TSSTT3:PASTEL BLUE:9-10:STRIPES:SS T-SHIRT</t>
  </si>
  <si>
    <t>SS T-SHIRT STRIPES STITCH MAKES SOME WAVES TSSTT3:PASTEL BLUE:11-12:STRIPES:SS T-SHIRT</t>
  </si>
  <si>
    <t>SS T-SHIRT STITCH BOXY SSTDSTT2:PASTEL PINK:5-6:PRINT:SS T-SHIRT</t>
  </si>
  <si>
    <t>SS T-SHIRT STITCH BOXY SSTDSTT2:PASTEL PINK:7-8:PRINT:SS T-SHIRT</t>
  </si>
  <si>
    <t>SS T-SHIRT STITCH BOXY SSTDSTT2:PASTEL PINK:9-10:PRINT:SS T-SHIRT</t>
  </si>
  <si>
    <t>SS T-SHIRT STITCH BOXY SSTDSTT2:PASTEL PINK:11-12:PRINT:SS T-SHIRT</t>
  </si>
  <si>
    <t>JACKET VARSITY STITCH JKSTITCH:PASTEL BLUE:5-6:GRAPHIC:JACKET</t>
  </si>
  <si>
    <t>JACKET VARSITY STITCH JKSTITCH:PASTEL BLUE:7-8:GRAPHIC:JACKET</t>
  </si>
  <si>
    <t>JACKET VARSITY STITCH JKSTITCH:PASTEL BLUE:9-10:GRAPHIC:JACKET</t>
  </si>
  <si>
    <t>JACKET VARSITY STITCH JKSTITCH:PASTEL BLUE:11-12:GRAPHIC:JACKET</t>
  </si>
  <si>
    <t>SWEATSHIRT STITCH SWSTT:OFF WHITE:5-6:GRAPHIC:SWEATSHIRT</t>
  </si>
  <si>
    <t>SWEATSHIRT STITCH SWSTT:OFF WHITE:7-8:GRAPHIC:SWEATSHIRT</t>
  </si>
  <si>
    <t>SWEATSHIRT STITCH SWSTT:OFF WHITE:9-10:GRAPHIC:SWEATSHIRT</t>
  </si>
  <si>
    <t>SWEATSHIRT STITCH SWSTT:OFF WHITE:11-12:GRAPHIC:SWEATSHIRT</t>
  </si>
  <si>
    <t>SHORT PANTS SERUT STITCH SPSTT:PASTEL BLUE:5-6:GRAPHIC:SHORT PANTS</t>
  </si>
  <si>
    <t>SHORT PANTS SERUT STITCH SPSTT:PASTEL BLUE:7-8:GRAPHIC:SHORT PANTS</t>
  </si>
  <si>
    <t>SHORT PANTS SERUT STITCH SPSTT:PASTEL BLUE:9-10:GRAPHIC:SHORT PANTS</t>
  </si>
  <si>
    <t>SHORT PANTS SERUT STITCH SPSTT:PASTEL BLUE:11-12:GRAPHIC:SHORT PANTS</t>
  </si>
  <si>
    <t>SS MIDI DRESS STITCH KOMBI WVN DSSTIT1:PASTEL PINK:5-6:GRAPHIC:SS MIDI DRESS</t>
  </si>
  <si>
    <t>SS MIDI DRESS STITCH KOMBI WVN DSSTIT1:PASTEL PINK:7-8:GRAPHIC:SS MIDI DRESS</t>
  </si>
  <si>
    <t>SS MIDI DRESS STITCH KOMBI WVN DSSTIT1:PASTEL PINK:9-10:GRAPHIC:SS MIDI DRESS</t>
  </si>
  <si>
    <t>SS MIDI DRESS STITCH KOMBI WVN DSSTIT1:PASTEL PINK:11-12:GRAPHIC:SS MIDI DRESS</t>
  </si>
  <si>
    <t>SS MIDI DRESS COLLAR STITCH BBTR DSSTIT2:PASTEL BLUE:5-6:GRAPHIC:SS MIDI DRESS</t>
  </si>
  <si>
    <t>SS MIDI DRESS COLLAR STITCH BBTR DSSTIT2:PASTEL BLUE:7-8:GRAPHIC:SS MIDI DRESS</t>
  </si>
  <si>
    <t>SS MIDI DRESS COLLAR STITCH BBTR DSSTIT2:PASTEL BLUE:9-10:GRAPHIC:SS MIDI DRESS</t>
  </si>
  <si>
    <t>SS MIDI DRESS COLLAR STITCH BBTR DSSTIT2:PASTEL BLUE:11-12:GRAPHIC:SS MIDI DRESS</t>
  </si>
  <si>
    <t>LS MIDI DRESS OVR STR WOVEN MINNIE DLOVWMIN:PASTEL PINK:9-10:GRAPHIC:LS MIDI DRESS</t>
  </si>
  <si>
    <t>DSPOKFZA</t>
  </si>
  <si>
    <t>SS MIDI DRESS SLING POCKET FROZEN DSPOKFZA:PASTEL PURPLE:3-4:CHECKS:SS MIDI DRESS</t>
  </si>
  <si>
    <t>SS MIDI DRESS SLING POCKET FROZEN DSPOKFZA:PASTEL PURPLE:4-5:CHECKS:SS MIDI DRESS</t>
  </si>
  <si>
    <t>SS MIDI DRESS SLING POCKET FROZEN DSPOKFZA:PASTEL PURPLE:5-6:CHECKS:SS MIDI DRESS</t>
  </si>
  <si>
    <t>SS MIDI DRESS SLING POCKET FROZEN DSPOKFZA:PASTEL PURPLE:7-8:CHECKS:SS MIDI DRESS</t>
  </si>
  <si>
    <t>DSMINLV2</t>
  </si>
  <si>
    <t>SS MIDI DRESS MINNIE LOVE COMBI WVN DSMINLV2:PASTEL PINK:3-4:GRAPHIC:SS MIDI DRESS</t>
  </si>
  <si>
    <t>SS MIDI DRESS MINNIE LOVE COMBI WVN DSMINLV2:PASTEL PINK:4-5:GRAPHIC:SS MIDI DRESS</t>
  </si>
  <si>
    <t>SS MIDI DRESS MINNIE LOVE COMBI WVN DSMINLV2:PASTEL PINK:5-6:GRAPHIC:SS MIDI DRESS</t>
  </si>
  <si>
    <t>SS MIDI DRESS MINNIE LOVE COMBI WVN DSMINLV2:PASTEL PINK:7-8:GRAPHIC:SS MIDI DRESS</t>
  </si>
  <si>
    <t>TSSTC04</t>
  </si>
  <si>
    <t>SS T-SHIRT STITCH TIEDYE TSSTC04:PASTEL BLUE:5-6:GRAPHIC:SS T-SHIRT</t>
  </si>
  <si>
    <t>SS T-SHIRT STITCH TIEDYE TSSTC04:PASTEL BLUE:7-8:GRAPHIC:SS T-SHIRT</t>
  </si>
  <si>
    <t>SS T-SHIRT STITCH TIEDYE TSSTC04:PASTEL BLUE:9-10:GRAPHIC:SS T-SHIRT</t>
  </si>
  <si>
    <t>SS T-SHIRT STITCH TIEDYE TSSTC04:PASTEL BLUE:11-12:GRAPHIC:SS T-SHIRT</t>
  </si>
  <si>
    <t>TSSTC03</t>
  </si>
  <si>
    <t>SS T-SHIRT STITCH AND ANGEL TSSTC03:PASTEL PURPLE:5-6:GRAPHIC:SS T-SHIRT</t>
  </si>
  <si>
    <t>SS T-SHIRT STITCH AND ANGEL TSSTC03:PASTEL PURPLE:7-8:GRAPHIC:SS T-SHIRT</t>
  </si>
  <si>
    <t>SS T-SHIRT STITCH AND ANGEL TSSTC03:PASTEL PURPLE:9-10:GRAPHIC:SS T-SHIRT</t>
  </si>
  <si>
    <t>SS T-SHIRT STITCH AND ANGEL TSSTC03:PASTEL PURPLE:11-12:GRAPHIC:SS T-SHIRT</t>
  </si>
  <si>
    <t>2024 JAN-DEC DISC 75%</t>
  </si>
  <si>
    <t xml:space="preserve"> 2024 JAN-DEC D75 LICENSE BABY</t>
  </si>
  <si>
    <t>2025 SEPT B1G1 LICENSE ESS</t>
  </si>
  <si>
    <t>2024 JAN-DEC DISC 75 LICENSE ESS</t>
  </si>
  <si>
    <t>2026 NOV-FEB DISC 30%</t>
  </si>
  <si>
    <t>2025 OCT B1 DISC 30%</t>
  </si>
  <si>
    <t>2025 JAN-JUN D70%</t>
  </si>
  <si>
    <t>2025 JAN-APR DISC 70%</t>
  </si>
  <si>
    <t>2025 JAN-JUN DISC 70%</t>
  </si>
  <si>
    <t>2025 JAN-JUN DISC 70% LICENSE ESS</t>
  </si>
  <si>
    <t>2025 OCT DISC 30%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</si>
</sst>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yyyy\-mm\-dd;@"/>
    <numFmt numFmtId="167" formatCode="_-* #,##0_-;\-* #,##0_-;_-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/>
      <right/>
      <top style="thin">
        <color indexed="65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6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7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3" fontId="0" fillId="0" borderId="1" xfId="0" applyNumberForma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2" xfId="0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9" fontId="7" fillId="0" borderId="1" xfId="13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49" fontId="2" fillId="2" borderId="1" xfId="13" applyNumberFormat="1" applyFont="1" applyFill="1" applyBorder="1" applyAlignment="1">
      <alignment horizontal="center" vertical="center"/>
    </xf>
    <xf numFmtId="49" fontId="0" fillId="0" borderId="0" xfId="13" applyNumberFormat="1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left" vertical="center"/>
    </xf>
    <xf numFmtId="166" fontId="0" fillId="0" borderId="1" xfId="0" applyNumberFormat="1" applyFill="1" applyBorder="1" applyAlignment="1">
      <alignment horizontal="center" vertical="center"/>
    </xf>
    <xf numFmtId="3" fontId="0" fillId="0" borderId="1" xfId="0" applyNumberFormat="1" applyBorder="1"/>
    <xf numFmtId="0" fontId="0" fillId="0" borderId="0" xfId="0" applyBorder="1" applyAlignment="1">
      <alignment horizontal="center" vertical="center"/>
    </xf>
    <xf numFmtId="166" fontId="0" fillId="0" borderId="0" xfId="0" applyNumberFormat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 vertical="center"/>
    </xf>
    <xf numFmtId="1" fontId="0" fillId="0" borderId="1" xfId="0" applyNumberFormat="1" applyFill="1" applyBorder="1" applyAlignment="1">
      <alignment horizontal="center" vertical="center"/>
    </xf>
    <xf numFmtId="1" fontId="0" fillId="0" borderId="4" xfId="0" applyNumberForma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/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/>
    </xf>
    <xf numFmtId="0" fontId="2" fillId="2" borderId="4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3" fontId="0" fillId="0" borderId="2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66" fontId="0" fillId="0" borderId="2" xfId="0" applyNumberFormat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10" xfId="0" applyBorder="1"/>
    <xf numFmtId="3" fontId="2" fillId="2" borderId="4" xfId="0" applyNumberFormat="1" applyFont="1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0" xfId="0" applyBorder="1"/>
    <xf numFmtId="3" fontId="0" fillId="0" borderId="5" xfId="0" applyNumberFormat="1" applyBorder="1" applyAlignment="1">
      <alignment horizontal="center"/>
    </xf>
    <xf numFmtId="0" fontId="0" fillId="0" borderId="5" xfId="0" applyBorder="1"/>
    <xf numFmtId="9" fontId="0" fillId="0" borderId="1" xfId="0" applyNumberFormat="1" applyBorder="1" applyAlignment="1">
      <alignment horizontal="center" vertical="center"/>
    </xf>
    <xf numFmtId="167" fontId="0" fillId="0" borderId="1" xfId="15" applyNumberFormat="1" applyFont="1" applyBorder="1" applyAlignment="1">
      <alignment horizontal="center" vertical="center"/>
    </xf>
    <xf numFmtId="0" fontId="0" fillId="0" borderId="7" xfId="0" applyBorder="1"/>
    <xf numFmtId="167" fontId="7" fillId="0" borderId="1" xfId="15" applyNumberFormat="1" applyFont="1" applyBorder="1" applyAlignment="1">
      <alignment horizontal="center" vertical="center"/>
    </xf>
    <xf numFmtId="167" fontId="0" fillId="0" borderId="1" xfId="15" applyNumberFormat="1" applyFont="1" applyFill="1" applyBorder="1" applyAlignment="1">
      <alignment horizontal="center" vertical="center"/>
    </xf>
    <xf numFmtId="9" fontId="0" fillId="0" borderId="1" xfId="15" applyNumberFormat="1" applyFont="1" applyBorder="1" applyAlignment="1">
      <alignment horizontal="center" vertical="center"/>
    </xf>
  </cellXfs>
  <cellStyles count="16">
    <cellStyle name="Comma" xfId="15" builtinId="3"/>
    <cellStyle name="Comma [0] 2" xfId="6" xr:uid="{00000000-0005-0000-0000-000000000000}"/>
    <cellStyle name="Comma [0] 2 2" xfId="10" xr:uid="{00000000-0005-0000-0000-000001000000}"/>
    <cellStyle name="Comma [0] 3 2" xfId="5" xr:uid="{00000000-0005-0000-0000-000002000000}"/>
    <cellStyle name="Comma 16 3" xfId="4" xr:uid="{00000000-0005-0000-0000-000003000000}"/>
    <cellStyle name="Comma 2" xfId="2" xr:uid="{00000000-0005-0000-0000-000004000000}"/>
    <cellStyle name="Comma 3" xfId="14" xr:uid="{00000000-0005-0000-0000-000005000000}"/>
    <cellStyle name="Comma 5 2" xfId="8" xr:uid="{00000000-0005-0000-0000-000006000000}"/>
    <cellStyle name="Comma 5 2 2" xfId="11" xr:uid="{00000000-0005-0000-0000-000007000000}"/>
    <cellStyle name="Comma 7 2" xfId="9" xr:uid="{00000000-0005-0000-0000-000008000000}"/>
    <cellStyle name="Normal" xfId="0" builtinId="0"/>
    <cellStyle name="Normal 2" xfId="1" xr:uid="{00000000-0005-0000-0000-00000A000000}"/>
    <cellStyle name="Normal 2 2" xfId="7" xr:uid="{00000000-0005-0000-0000-00000B000000}"/>
    <cellStyle name="Normal 3" xfId="12" xr:uid="{00000000-0005-0000-0000-00000C000000}"/>
    <cellStyle name="Normal 4 3" xfId="3" xr:uid="{00000000-0005-0000-0000-00000D000000}"/>
    <cellStyle name="Percent" xfId="13" builtinId="5"/>
  </cellStyles>
  <dxfs count="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4DD73-B2B3-44A9-B73F-865129960E02}">
  <sheetPr>
    <tabColor rgb="FFFFFF00"/>
  </sheetPr>
  <dimension ref="A1:P19"/>
  <sheetViews>
    <sheetView zoomScale="63" workbookViewId="0">
      <selection activeCell="E26" sqref="E26"/>
    </sheetView>
  </sheetViews>
  <sheetFormatPr defaultRowHeight="14.5" x14ac:dyDescent="0.35"/>
  <cols>
    <col min="1" max="1" width="24.54296875" style="51" customWidth="1"/>
    <col min="2" max="3" width="13.7265625" customWidth="1"/>
    <col min="4" max="4" width="12.08984375" style="51" customWidth="1"/>
    <col min="5" max="5" width="12.7265625" customWidth="1"/>
    <col min="6" max="6" width="12" customWidth="1"/>
    <col min="7" max="7" width="11.08984375" customWidth="1"/>
    <col min="8" max="8" width="11.6328125" style="51" customWidth="1"/>
    <col min="9" max="9" width="11.81640625" customWidth="1"/>
    <col min="10" max="10" width="10.1796875" customWidth="1"/>
    <col min="11" max="11" width="11.36328125" customWidth="1"/>
    <col min="12" max="12" width="40" customWidth="1"/>
    <col min="13" max="13" width="16.453125" customWidth="1"/>
    <col min="14" max="14" width="13.26953125" style="51" customWidth="1"/>
    <col min="15" max="16" width="16.453125" style="68" customWidth="1"/>
  </cols>
  <sheetData>
    <row r="1" spans="1:16" s="32" customFormat="1" ht="30.75" customHeight="1" x14ac:dyDescent="0.35">
      <c r="A1" s="28" t="s">
        <v>0</v>
      </c>
      <c r="B1" s="29" t="s">
        <v>15</v>
      </c>
      <c r="C1" s="29" t="s">
        <v>11</v>
      </c>
      <c r="D1" s="28" t="s">
        <v>1</v>
      </c>
      <c r="E1" s="28" t="s">
        <v>2</v>
      </c>
      <c r="F1" s="28" t="s">
        <v>12</v>
      </c>
      <c r="G1" s="30" t="s">
        <v>3</v>
      </c>
      <c r="H1" s="30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31" t="s">
        <v>14</v>
      </c>
      <c r="N1" s="26" t="s">
        <v>8</v>
      </c>
      <c r="O1" s="66" t="s">
        <v>9</v>
      </c>
      <c r="P1" s="28" t="s">
        <v>10</v>
      </c>
    </row>
    <row r="2" spans="1:16" x14ac:dyDescent="0.35">
      <c r="A2" s="24" t="s">
        <v>3345</v>
      </c>
      <c r="B2" s="34">
        <v>46104</v>
      </c>
      <c r="C2" s="34">
        <v>46113</v>
      </c>
      <c r="D2" s="24">
        <v>3321</v>
      </c>
      <c r="E2" s="33">
        <v>337</v>
      </c>
      <c r="F2" s="33">
        <v>4</v>
      </c>
      <c r="G2" s="24">
        <v>1</v>
      </c>
      <c r="H2" s="24">
        <v>81588</v>
      </c>
      <c r="I2" s="33" t="s">
        <v>39</v>
      </c>
      <c r="J2" s="24">
        <v>61094466</v>
      </c>
      <c r="K2" s="23" t="s">
        <v>2974</v>
      </c>
      <c r="L2" s="23" t="s">
        <v>2979</v>
      </c>
      <c r="M2" s="25">
        <v>99900</v>
      </c>
      <c r="N2" s="71">
        <v>0.3</v>
      </c>
      <c r="O2" s="35">
        <f>M2-((30*M2)/100)</f>
        <v>69930</v>
      </c>
      <c r="P2" s="33" t="s">
        <v>16</v>
      </c>
    </row>
    <row r="3" spans="1:16" x14ac:dyDescent="0.35">
      <c r="A3" s="24" t="str">
        <f>A2</f>
        <v>2025 OCT DISC 30%</v>
      </c>
      <c r="B3" s="34">
        <f t="shared" ref="B3:C3" si="0">B2</f>
        <v>46104</v>
      </c>
      <c r="C3" s="34">
        <f t="shared" si="0"/>
        <v>46113</v>
      </c>
      <c r="D3" s="24">
        <v>3321</v>
      </c>
      <c r="E3" s="33">
        <v>337</v>
      </c>
      <c r="F3" s="33">
        <v>4</v>
      </c>
      <c r="G3" s="24">
        <v>1</v>
      </c>
      <c r="H3" s="24">
        <v>81588</v>
      </c>
      <c r="I3" s="33" t="s">
        <v>39</v>
      </c>
      <c r="J3" s="24">
        <v>61094475</v>
      </c>
      <c r="K3" s="23" t="s">
        <v>2974</v>
      </c>
      <c r="L3" s="23" t="s">
        <v>2980</v>
      </c>
      <c r="M3" s="25">
        <v>99900</v>
      </c>
      <c r="N3" s="76">
        <f>N2</f>
        <v>0.3</v>
      </c>
      <c r="O3" s="35">
        <f>M3-((30*M3)/100)</f>
        <v>69930</v>
      </c>
      <c r="P3" s="33" t="str">
        <f>P2</f>
        <v>PERCENTAGE</v>
      </c>
    </row>
    <row r="4" spans="1:16" x14ac:dyDescent="0.35">
      <c r="A4" s="24" t="str">
        <f t="shared" ref="A4:A19" si="1">A3</f>
        <v>2025 OCT DISC 30%</v>
      </c>
      <c r="B4" s="34">
        <f t="shared" ref="B4:C19" si="2">B3</f>
        <v>46104</v>
      </c>
      <c r="C4" s="34">
        <f t="shared" si="2"/>
        <v>46113</v>
      </c>
      <c r="D4" s="24">
        <v>3321</v>
      </c>
      <c r="E4" s="33">
        <v>337</v>
      </c>
      <c r="F4" s="33">
        <v>4</v>
      </c>
      <c r="G4" s="24">
        <v>1</v>
      </c>
      <c r="H4" s="24">
        <v>81588</v>
      </c>
      <c r="I4" s="33" t="s">
        <v>39</v>
      </c>
      <c r="J4" s="24">
        <v>61094484</v>
      </c>
      <c r="K4" s="23" t="s">
        <v>2974</v>
      </c>
      <c r="L4" s="23" t="s">
        <v>2976</v>
      </c>
      <c r="M4" s="25">
        <v>99900</v>
      </c>
      <c r="N4" s="76">
        <f t="shared" ref="N4:N19" si="3">N3</f>
        <v>0.3</v>
      </c>
      <c r="O4" s="35">
        <f t="shared" ref="O4:O19" si="4">M4-((30*M4)/100)</f>
        <v>69930</v>
      </c>
      <c r="P4" s="33" t="str">
        <f t="shared" ref="P4:P19" si="5">P3</f>
        <v>PERCENTAGE</v>
      </c>
    </row>
    <row r="5" spans="1:16" x14ac:dyDescent="0.35">
      <c r="A5" s="24" t="str">
        <f t="shared" si="1"/>
        <v>2025 OCT DISC 30%</v>
      </c>
      <c r="B5" s="34">
        <f t="shared" si="2"/>
        <v>46104</v>
      </c>
      <c r="C5" s="34">
        <f t="shared" si="2"/>
        <v>46113</v>
      </c>
      <c r="D5" s="24">
        <v>3321</v>
      </c>
      <c r="E5" s="33">
        <v>337</v>
      </c>
      <c r="F5" s="33">
        <v>4</v>
      </c>
      <c r="G5" s="24">
        <v>1</v>
      </c>
      <c r="H5" s="24">
        <v>81588</v>
      </c>
      <c r="I5" s="33" t="s">
        <v>39</v>
      </c>
      <c r="J5" s="24">
        <v>61094493</v>
      </c>
      <c r="K5" s="23" t="s">
        <v>2974</v>
      </c>
      <c r="L5" s="23" t="s">
        <v>2977</v>
      </c>
      <c r="M5" s="25">
        <v>99900</v>
      </c>
      <c r="N5" s="76">
        <f t="shared" si="3"/>
        <v>0.3</v>
      </c>
      <c r="O5" s="35">
        <f t="shared" si="4"/>
        <v>69930</v>
      </c>
      <c r="P5" s="33" t="str">
        <f t="shared" si="5"/>
        <v>PERCENTAGE</v>
      </c>
    </row>
    <row r="6" spans="1:16" x14ac:dyDescent="0.35">
      <c r="A6" s="24" t="str">
        <f t="shared" si="1"/>
        <v>2025 OCT DISC 30%</v>
      </c>
      <c r="B6" s="34">
        <f t="shared" si="2"/>
        <v>46104</v>
      </c>
      <c r="C6" s="34">
        <f t="shared" si="2"/>
        <v>46113</v>
      </c>
      <c r="D6" s="24">
        <v>3321</v>
      </c>
      <c r="E6" s="33">
        <v>337</v>
      </c>
      <c r="F6" s="33">
        <v>4</v>
      </c>
      <c r="G6" s="24">
        <v>1</v>
      </c>
      <c r="H6" s="24">
        <v>81588</v>
      </c>
      <c r="I6" s="33" t="s">
        <v>39</v>
      </c>
      <c r="J6" s="24">
        <v>61094500</v>
      </c>
      <c r="K6" s="23" t="s">
        <v>2974</v>
      </c>
      <c r="L6" s="23" t="s">
        <v>2975</v>
      </c>
      <c r="M6" s="25">
        <v>99900</v>
      </c>
      <c r="N6" s="76">
        <f t="shared" si="3"/>
        <v>0.3</v>
      </c>
      <c r="O6" s="35">
        <f t="shared" si="4"/>
        <v>69930</v>
      </c>
      <c r="P6" s="33" t="str">
        <f t="shared" si="5"/>
        <v>PERCENTAGE</v>
      </c>
    </row>
    <row r="7" spans="1:16" x14ac:dyDescent="0.35">
      <c r="A7" s="24" t="str">
        <f t="shared" si="1"/>
        <v>2025 OCT DISC 30%</v>
      </c>
      <c r="B7" s="34">
        <f t="shared" si="2"/>
        <v>46104</v>
      </c>
      <c r="C7" s="34">
        <f t="shared" si="2"/>
        <v>46113</v>
      </c>
      <c r="D7" s="24">
        <v>3321</v>
      </c>
      <c r="E7" s="33">
        <v>337</v>
      </c>
      <c r="F7" s="33">
        <v>4</v>
      </c>
      <c r="G7" s="24">
        <v>1</v>
      </c>
      <c r="H7" s="24">
        <v>81588</v>
      </c>
      <c r="I7" s="33" t="s">
        <v>39</v>
      </c>
      <c r="J7" s="24">
        <v>61094519</v>
      </c>
      <c r="K7" s="23" t="s">
        <v>2974</v>
      </c>
      <c r="L7" s="23" t="s">
        <v>2978</v>
      </c>
      <c r="M7" s="25">
        <v>99900</v>
      </c>
      <c r="N7" s="76">
        <f t="shared" si="3"/>
        <v>0.3</v>
      </c>
      <c r="O7" s="35">
        <f t="shared" si="4"/>
        <v>69930</v>
      </c>
      <c r="P7" s="33" t="str">
        <f t="shared" si="5"/>
        <v>PERCENTAGE</v>
      </c>
    </row>
    <row r="8" spans="1:16" x14ac:dyDescent="0.35">
      <c r="A8" s="24" t="str">
        <f t="shared" si="1"/>
        <v>2025 OCT DISC 30%</v>
      </c>
      <c r="B8" s="34">
        <f t="shared" si="2"/>
        <v>46104</v>
      </c>
      <c r="C8" s="34">
        <f t="shared" si="2"/>
        <v>46113</v>
      </c>
      <c r="D8" s="24">
        <v>3321</v>
      </c>
      <c r="E8" s="33">
        <v>337</v>
      </c>
      <c r="F8" s="33">
        <v>4</v>
      </c>
      <c r="G8" s="24">
        <v>1</v>
      </c>
      <c r="H8" s="24">
        <v>81588</v>
      </c>
      <c r="I8" s="33" t="s">
        <v>39</v>
      </c>
      <c r="J8" s="24">
        <v>55507398</v>
      </c>
      <c r="K8" s="23" t="s">
        <v>2981</v>
      </c>
      <c r="L8" s="23" t="s">
        <v>2983</v>
      </c>
      <c r="M8" s="25">
        <v>99900</v>
      </c>
      <c r="N8" s="76">
        <f t="shared" si="3"/>
        <v>0.3</v>
      </c>
      <c r="O8" s="35">
        <f t="shared" si="4"/>
        <v>69930</v>
      </c>
      <c r="P8" s="33" t="str">
        <f t="shared" si="5"/>
        <v>PERCENTAGE</v>
      </c>
    </row>
    <row r="9" spans="1:16" x14ac:dyDescent="0.35">
      <c r="A9" s="24" t="str">
        <f t="shared" si="1"/>
        <v>2025 OCT DISC 30%</v>
      </c>
      <c r="B9" s="34">
        <f t="shared" si="2"/>
        <v>46104</v>
      </c>
      <c r="C9" s="34">
        <f t="shared" si="2"/>
        <v>46113</v>
      </c>
      <c r="D9" s="24">
        <v>3321</v>
      </c>
      <c r="E9" s="33">
        <v>337</v>
      </c>
      <c r="F9" s="33">
        <v>4</v>
      </c>
      <c r="G9" s="24">
        <v>1</v>
      </c>
      <c r="H9" s="24">
        <v>81588</v>
      </c>
      <c r="I9" s="33" t="s">
        <v>39</v>
      </c>
      <c r="J9" s="24">
        <v>55507405</v>
      </c>
      <c r="K9" s="23" t="s">
        <v>2981</v>
      </c>
      <c r="L9" s="23" t="s">
        <v>2982</v>
      </c>
      <c r="M9" s="25">
        <v>99900</v>
      </c>
      <c r="N9" s="76">
        <f t="shared" si="3"/>
        <v>0.3</v>
      </c>
      <c r="O9" s="35">
        <f t="shared" si="4"/>
        <v>69930</v>
      </c>
      <c r="P9" s="33" t="str">
        <f t="shared" si="5"/>
        <v>PERCENTAGE</v>
      </c>
    </row>
    <row r="10" spans="1:16" x14ac:dyDescent="0.35">
      <c r="A10" s="24" t="str">
        <f t="shared" si="1"/>
        <v>2025 OCT DISC 30%</v>
      </c>
      <c r="B10" s="34">
        <f t="shared" si="2"/>
        <v>46104</v>
      </c>
      <c r="C10" s="34">
        <f t="shared" si="2"/>
        <v>46113</v>
      </c>
      <c r="D10" s="24">
        <v>3321</v>
      </c>
      <c r="E10" s="33">
        <v>337</v>
      </c>
      <c r="F10" s="33">
        <v>4</v>
      </c>
      <c r="G10" s="24">
        <v>1</v>
      </c>
      <c r="H10" s="24">
        <v>81588</v>
      </c>
      <c r="I10" s="33" t="s">
        <v>39</v>
      </c>
      <c r="J10" s="24">
        <v>55507414</v>
      </c>
      <c r="K10" s="23" t="s">
        <v>2981</v>
      </c>
      <c r="L10" s="23" t="s">
        <v>2984</v>
      </c>
      <c r="M10" s="25">
        <v>99900</v>
      </c>
      <c r="N10" s="76">
        <f t="shared" si="3"/>
        <v>0.3</v>
      </c>
      <c r="O10" s="35">
        <f t="shared" si="4"/>
        <v>69930</v>
      </c>
      <c r="P10" s="33" t="str">
        <f t="shared" si="5"/>
        <v>PERCENTAGE</v>
      </c>
    </row>
    <row r="11" spans="1:16" x14ac:dyDescent="0.35">
      <c r="A11" s="24" t="str">
        <f t="shared" si="1"/>
        <v>2025 OCT DISC 30%</v>
      </c>
      <c r="B11" s="34">
        <f t="shared" si="2"/>
        <v>46104</v>
      </c>
      <c r="C11" s="34">
        <f t="shared" si="2"/>
        <v>46113</v>
      </c>
      <c r="D11" s="24">
        <v>3321</v>
      </c>
      <c r="E11" s="33">
        <v>337</v>
      </c>
      <c r="F11" s="33">
        <v>4</v>
      </c>
      <c r="G11" s="24">
        <v>1</v>
      </c>
      <c r="H11" s="24">
        <v>81588</v>
      </c>
      <c r="I11" s="33" t="s">
        <v>39</v>
      </c>
      <c r="J11" s="24">
        <v>55507423</v>
      </c>
      <c r="K11" s="23" t="s">
        <v>2981</v>
      </c>
      <c r="L11" s="23" t="s">
        <v>2986</v>
      </c>
      <c r="M11" s="25">
        <v>99900</v>
      </c>
      <c r="N11" s="76">
        <f t="shared" si="3"/>
        <v>0.3</v>
      </c>
      <c r="O11" s="35">
        <f t="shared" si="4"/>
        <v>69930</v>
      </c>
      <c r="P11" s="33" t="str">
        <f t="shared" si="5"/>
        <v>PERCENTAGE</v>
      </c>
    </row>
    <row r="12" spans="1:16" x14ac:dyDescent="0.35">
      <c r="A12" s="24" t="str">
        <f t="shared" si="1"/>
        <v>2025 OCT DISC 30%</v>
      </c>
      <c r="B12" s="34">
        <f t="shared" si="2"/>
        <v>46104</v>
      </c>
      <c r="C12" s="34">
        <f t="shared" si="2"/>
        <v>46113</v>
      </c>
      <c r="D12" s="24">
        <v>3321</v>
      </c>
      <c r="E12" s="33">
        <v>337</v>
      </c>
      <c r="F12" s="33">
        <v>4</v>
      </c>
      <c r="G12" s="24">
        <v>1</v>
      </c>
      <c r="H12" s="24">
        <v>81588</v>
      </c>
      <c r="I12" s="33" t="s">
        <v>39</v>
      </c>
      <c r="J12" s="24">
        <v>55507432</v>
      </c>
      <c r="K12" s="23" t="s">
        <v>2981</v>
      </c>
      <c r="L12" s="23" t="s">
        <v>2985</v>
      </c>
      <c r="M12" s="25">
        <v>99900</v>
      </c>
      <c r="N12" s="76">
        <f t="shared" si="3"/>
        <v>0.3</v>
      </c>
      <c r="O12" s="35">
        <f t="shared" si="4"/>
        <v>69930</v>
      </c>
      <c r="P12" s="33" t="str">
        <f t="shared" si="5"/>
        <v>PERCENTAGE</v>
      </c>
    </row>
    <row r="13" spans="1:16" x14ac:dyDescent="0.35">
      <c r="A13" s="24" t="str">
        <f t="shared" si="1"/>
        <v>2025 OCT DISC 30%</v>
      </c>
      <c r="B13" s="34">
        <f t="shared" si="2"/>
        <v>46104</v>
      </c>
      <c r="C13" s="34">
        <f t="shared" si="2"/>
        <v>46113</v>
      </c>
      <c r="D13" s="24">
        <v>3321</v>
      </c>
      <c r="E13" s="33">
        <v>337</v>
      </c>
      <c r="F13" s="33">
        <v>4</v>
      </c>
      <c r="G13" s="24">
        <v>1</v>
      </c>
      <c r="H13" s="24">
        <v>81588</v>
      </c>
      <c r="I13" s="33" t="s">
        <v>39</v>
      </c>
      <c r="J13" s="24">
        <v>55507441</v>
      </c>
      <c r="K13" s="23" t="s">
        <v>2981</v>
      </c>
      <c r="L13" s="23" t="s">
        <v>2987</v>
      </c>
      <c r="M13" s="25">
        <v>99900</v>
      </c>
      <c r="N13" s="76">
        <f t="shared" si="3"/>
        <v>0.3</v>
      </c>
      <c r="O13" s="35">
        <f t="shared" si="4"/>
        <v>69930</v>
      </c>
      <c r="P13" s="33" t="str">
        <f t="shared" si="5"/>
        <v>PERCENTAGE</v>
      </c>
    </row>
    <row r="14" spans="1:16" x14ac:dyDescent="0.35">
      <c r="A14" s="24" t="str">
        <f t="shared" si="1"/>
        <v>2025 OCT DISC 30%</v>
      </c>
      <c r="B14" s="34">
        <f t="shared" si="2"/>
        <v>46104</v>
      </c>
      <c r="C14" s="34">
        <f t="shared" si="2"/>
        <v>46113</v>
      </c>
      <c r="D14" s="24">
        <v>3321</v>
      </c>
      <c r="E14" s="33">
        <v>337</v>
      </c>
      <c r="F14" s="33">
        <v>4</v>
      </c>
      <c r="G14" s="24">
        <v>1</v>
      </c>
      <c r="H14" s="24">
        <v>81588</v>
      </c>
      <c r="I14" s="33" t="s">
        <v>39</v>
      </c>
      <c r="J14" s="24">
        <v>61094402</v>
      </c>
      <c r="K14" s="23" t="s">
        <v>2988</v>
      </c>
      <c r="L14" s="23" t="s">
        <v>2991</v>
      </c>
      <c r="M14" s="25">
        <v>99900</v>
      </c>
      <c r="N14" s="76">
        <f t="shared" si="3"/>
        <v>0.3</v>
      </c>
      <c r="O14" s="35">
        <f t="shared" si="4"/>
        <v>69930</v>
      </c>
      <c r="P14" s="33" t="str">
        <f t="shared" si="5"/>
        <v>PERCENTAGE</v>
      </c>
    </row>
    <row r="15" spans="1:16" x14ac:dyDescent="0.35">
      <c r="A15" s="24" t="str">
        <f t="shared" si="1"/>
        <v>2025 OCT DISC 30%</v>
      </c>
      <c r="B15" s="34">
        <f t="shared" si="2"/>
        <v>46104</v>
      </c>
      <c r="C15" s="34">
        <f t="shared" si="2"/>
        <v>46113</v>
      </c>
      <c r="D15" s="24">
        <v>3321</v>
      </c>
      <c r="E15" s="33">
        <v>337</v>
      </c>
      <c r="F15" s="33">
        <v>4</v>
      </c>
      <c r="G15" s="24">
        <v>1</v>
      </c>
      <c r="H15" s="24">
        <v>81588</v>
      </c>
      <c r="I15" s="33" t="s">
        <v>39</v>
      </c>
      <c r="J15" s="24">
        <v>61094411</v>
      </c>
      <c r="K15" s="23" t="s">
        <v>2988</v>
      </c>
      <c r="L15" s="23" t="s">
        <v>2994</v>
      </c>
      <c r="M15" s="25">
        <v>99900</v>
      </c>
      <c r="N15" s="76">
        <f t="shared" si="3"/>
        <v>0.3</v>
      </c>
      <c r="O15" s="35">
        <f t="shared" si="4"/>
        <v>69930</v>
      </c>
      <c r="P15" s="33" t="str">
        <f t="shared" si="5"/>
        <v>PERCENTAGE</v>
      </c>
    </row>
    <row r="16" spans="1:16" x14ac:dyDescent="0.35">
      <c r="A16" s="24" t="str">
        <f t="shared" si="1"/>
        <v>2025 OCT DISC 30%</v>
      </c>
      <c r="B16" s="34">
        <f t="shared" si="2"/>
        <v>46104</v>
      </c>
      <c r="C16" s="34">
        <f t="shared" si="2"/>
        <v>46113</v>
      </c>
      <c r="D16" s="24">
        <v>3321</v>
      </c>
      <c r="E16" s="33">
        <v>337</v>
      </c>
      <c r="F16" s="33">
        <v>4</v>
      </c>
      <c r="G16" s="24">
        <v>1</v>
      </c>
      <c r="H16" s="24">
        <v>81588</v>
      </c>
      <c r="I16" s="33" t="s">
        <v>39</v>
      </c>
      <c r="J16" s="24">
        <v>61094420</v>
      </c>
      <c r="K16" s="23" t="s">
        <v>2988</v>
      </c>
      <c r="L16" s="23" t="s">
        <v>2992</v>
      </c>
      <c r="M16" s="25">
        <v>99900</v>
      </c>
      <c r="N16" s="76">
        <f t="shared" si="3"/>
        <v>0.3</v>
      </c>
      <c r="O16" s="35">
        <f t="shared" si="4"/>
        <v>69930</v>
      </c>
      <c r="P16" s="33" t="str">
        <f t="shared" si="5"/>
        <v>PERCENTAGE</v>
      </c>
    </row>
    <row r="17" spans="1:16" x14ac:dyDescent="0.35">
      <c r="A17" s="24" t="str">
        <f t="shared" si="1"/>
        <v>2025 OCT DISC 30%</v>
      </c>
      <c r="B17" s="34">
        <f t="shared" si="2"/>
        <v>46104</v>
      </c>
      <c r="C17" s="34">
        <f t="shared" si="2"/>
        <v>46113</v>
      </c>
      <c r="D17" s="24">
        <v>3321</v>
      </c>
      <c r="E17" s="33">
        <v>337</v>
      </c>
      <c r="F17" s="33">
        <v>4</v>
      </c>
      <c r="G17" s="24">
        <v>1</v>
      </c>
      <c r="H17" s="24">
        <v>81588</v>
      </c>
      <c r="I17" s="33" t="s">
        <v>39</v>
      </c>
      <c r="J17" s="24">
        <v>61094439</v>
      </c>
      <c r="K17" s="23" t="s">
        <v>2988</v>
      </c>
      <c r="L17" s="23" t="s">
        <v>2990</v>
      </c>
      <c r="M17" s="25">
        <v>99900</v>
      </c>
      <c r="N17" s="76">
        <f t="shared" si="3"/>
        <v>0.3</v>
      </c>
      <c r="O17" s="35">
        <f t="shared" si="4"/>
        <v>69930</v>
      </c>
      <c r="P17" s="33" t="str">
        <f t="shared" si="5"/>
        <v>PERCENTAGE</v>
      </c>
    </row>
    <row r="18" spans="1:16" x14ac:dyDescent="0.35">
      <c r="A18" s="24" t="str">
        <f t="shared" si="1"/>
        <v>2025 OCT DISC 30%</v>
      </c>
      <c r="B18" s="34">
        <f t="shared" si="2"/>
        <v>46104</v>
      </c>
      <c r="C18" s="34">
        <f t="shared" si="2"/>
        <v>46113</v>
      </c>
      <c r="D18" s="24">
        <v>3321</v>
      </c>
      <c r="E18" s="33">
        <v>337</v>
      </c>
      <c r="F18" s="33">
        <v>4</v>
      </c>
      <c r="G18" s="24">
        <v>1</v>
      </c>
      <c r="H18" s="24">
        <v>81588</v>
      </c>
      <c r="I18" s="33" t="s">
        <v>39</v>
      </c>
      <c r="J18" s="24">
        <v>61094448</v>
      </c>
      <c r="K18" s="23" t="s">
        <v>2988</v>
      </c>
      <c r="L18" s="23" t="s">
        <v>2989</v>
      </c>
      <c r="M18" s="25">
        <v>99900</v>
      </c>
      <c r="N18" s="76">
        <f t="shared" si="3"/>
        <v>0.3</v>
      </c>
      <c r="O18" s="35">
        <f t="shared" si="4"/>
        <v>69930</v>
      </c>
      <c r="P18" s="33" t="str">
        <f t="shared" si="5"/>
        <v>PERCENTAGE</v>
      </c>
    </row>
    <row r="19" spans="1:16" x14ac:dyDescent="0.35">
      <c r="A19" s="24" t="str">
        <f t="shared" si="1"/>
        <v>2025 OCT DISC 30%</v>
      </c>
      <c r="B19" s="34">
        <f t="shared" si="2"/>
        <v>46104</v>
      </c>
      <c r="C19" s="34">
        <f t="shared" si="2"/>
        <v>46113</v>
      </c>
      <c r="D19" s="24">
        <v>3321</v>
      </c>
      <c r="E19" s="33">
        <v>337</v>
      </c>
      <c r="F19" s="33">
        <v>4</v>
      </c>
      <c r="G19" s="24">
        <v>1</v>
      </c>
      <c r="H19" s="24">
        <v>81588</v>
      </c>
      <c r="I19" s="33" t="s">
        <v>39</v>
      </c>
      <c r="J19" s="24">
        <v>61094457</v>
      </c>
      <c r="K19" s="23" t="s">
        <v>2988</v>
      </c>
      <c r="L19" s="23" t="s">
        <v>2993</v>
      </c>
      <c r="M19" s="25">
        <v>99900</v>
      </c>
      <c r="N19" s="76">
        <f t="shared" si="3"/>
        <v>0.3</v>
      </c>
      <c r="O19" s="35">
        <f t="shared" si="4"/>
        <v>69930</v>
      </c>
      <c r="P19" s="33" t="str">
        <f t="shared" si="5"/>
        <v>PERCENTAGE</v>
      </c>
    </row>
  </sheetData>
  <phoneticPr fontId="8" type="noConversion"/>
  <conditionalFormatting sqref="J1">
    <cfRule type="duplicateValues" dxfId="24" priority="2"/>
    <cfRule type="duplicateValues" dxfId="23" priority="3"/>
    <cfRule type="duplicateValues" dxfId="22" priority="4"/>
    <cfRule type="duplicateValues" dxfId="21" priority="5"/>
  </conditionalFormatting>
  <conditionalFormatting sqref="J1:J1048576">
    <cfRule type="duplicateValues" dxfId="20" priority="1"/>
  </conditionalFormatting>
  <pageMargins left="0.7" right="0.7" top="0.75" bottom="0.75" header="0.3" footer="0.3"/>
  <ignoredErrors>
    <ignoredError sqref="O3:O19" formula="1"/>
  </ignoredErrors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C6CBA-A5E4-4CDC-9F81-51371F1BA29D}">
  <sheetPr>
    <tabColor rgb="FFFFFF00"/>
  </sheetPr>
  <dimension ref="A1:P71"/>
  <sheetViews>
    <sheetView topLeftCell="I1" zoomScale="75" zoomScaleNormal="71" workbookViewId="0">
      <pane ySplit="1" topLeftCell="A2" activePane="bottomLeft" state="frozen"/>
      <selection activeCell="C13" sqref="C13"/>
      <selection pane="bottomLeft" activeCell="B2" sqref="B2:C2"/>
    </sheetView>
  </sheetViews>
  <sheetFormatPr defaultColWidth="8.81640625" defaultRowHeight="14.5" x14ac:dyDescent="0.35"/>
  <cols>
    <col min="1" max="1" width="20.6328125" style="32" customWidth="1"/>
    <col min="2" max="2" width="12.08984375" style="37" customWidth="1"/>
    <col min="3" max="3" width="11.1796875" style="37" customWidth="1"/>
    <col min="4" max="4" width="10" style="32" bestFit="1" customWidth="1"/>
    <col min="5" max="5" width="9.81640625" style="32" customWidth="1"/>
    <col min="6" max="6" width="8.81640625" style="32" customWidth="1"/>
    <col min="7" max="7" width="6.81640625" style="32" customWidth="1"/>
    <col min="8" max="8" width="9.54296875" style="32" customWidth="1"/>
    <col min="9" max="9" width="12.54296875" style="32" customWidth="1"/>
    <col min="10" max="10" width="13.54296875" style="32" customWidth="1"/>
    <col min="11" max="11" width="12.453125" style="32" bestFit="1" customWidth="1"/>
    <col min="12" max="12" width="74.6328125" style="19" customWidth="1"/>
    <col min="13" max="13" width="16.54296875" style="38" customWidth="1"/>
    <col min="14" max="14" width="8.81640625" style="27" customWidth="1"/>
    <col min="15" max="15" width="19.36328125" style="38" customWidth="1"/>
    <col min="16" max="16" width="14.54296875" style="32" customWidth="1"/>
    <col min="17" max="16384" width="8.81640625" style="32"/>
  </cols>
  <sheetData>
    <row r="1" spans="1:16" ht="30.75" customHeight="1" x14ac:dyDescent="0.35">
      <c r="A1" s="28" t="s">
        <v>0</v>
      </c>
      <c r="B1" s="29" t="s">
        <v>15</v>
      </c>
      <c r="C1" s="29" t="s">
        <v>11</v>
      </c>
      <c r="D1" s="28" t="s">
        <v>1</v>
      </c>
      <c r="E1" s="28" t="s">
        <v>2</v>
      </c>
      <c r="F1" s="28" t="s">
        <v>12</v>
      </c>
      <c r="G1" s="30" t="s">
        <v>3</v>
      </c>
      <c r="H1" s="30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31" t="s">
        <v>14</v>
      </c>
      <c r="N1" s="26" t="s">
        <v>8</v>
      </c>
      <c r="O1" s="31" t="s">
        <v>9</v>
      </c>
      <c r="P1" s="28" t="s">
        <v>10</v>
      </c>
    </row>
    <row r="2" spans="1:16" x14ac:dyDescent="0.35">
      <c r="A2" s="33" t="s">
        <v>3268</v>
      </c>
      <c r="B2" s="34">
        <v>46104</v>
      </c>
      <c r="C2" s="34">
        <v>46113</v>
      </c>
      <c r="D2" s="33">
        <v>3321</v>
      </c>
      <c r="E2" s="33">
        <v>337</v>
      </c>
      <c r="F2" s="33">
        <v>4</v>
      </c>
      <c r="G2" s="23">
        <v>1</v>
      </c>
      <c r="H2" s="23">
        <v>81588</v>
      </c>
      <c r="I2" s="33" t="s">
        <v>39</v>
      </c>
      <c r="J2" s="23">
        <v>55301065</v>
      </c>
      <c r="K2" s="23" t="s">
        <v>3133</v>
      </c>
      <c r="L2" s="23" t="s">
        <v>3136</v>
      </c>
      <c r="M2" s="41">
        <v>99900</v>
      </c>
      <c r="N2" s="22" t="s">
        <v>19</v>
      </c>
      <c r="O2" s="33" t="s">
        <v>27</v>
      </c>
      <c r="P2" s="22" t="s">
        <v>19</v>
      </c>
    </row>
    <row r="3" spans="1:16" x14ac:dyDescent="0.35">
      <c r="A3" s="33" t="str">
        <f>A2</f>
        <v>2025 SEPT B1G1</v>
      </c>
      <c r="B3" s="40">
        <f t="shared" ref="B3:C3" si="0">B2</f>
        <v>46104</v>
      </c>
      <c r="C3" s="40">
        <f t="shared" si="0"/>
        <v>46113</v>
      </c>
      <c r="D3" s="33">
        <v>3321</v>
      </c>
      <c r="E3" s="33">
        <v>337</v>
      </c>
      <c r="F3" s="33">
        <v>4</v>
      </c>
      <c r="G3" s="23">
        <v>1</v>
      </c>
      <c r="H3" s="23">
        <v>81588</v>
      </c>
      <c r="I3" s="33" t="s">
        <v>39</v>
      </c>
      <c r="J3" s="23">
        <v>55301074</v>
      </c>
      <c r="K3" s="23" t="s">
        <v>3133</v>
      </c>
      <c r="L3" s="23" t="s">
        <v>3139</v>
      </c>
      <c r="M3" s="41">
        <v>99900</v>
      </c>
      <c r="N3" s="22" t="str">
        <f>N2</f>
        <v>BXGY</v>
      </c>
      <c r="O3" s="33" t="str">
        <f>O2</f>
        <v>B1G1</v>
      </c>
      <c r="P3" s="22" t="str">
        <f>P2</f>
        <v>BXGY</v>
      </c>
    </row>
    <row r="4" spans="1:16" x14ac:dyDescent="0.35">
      <c r="A4" s="33" t="str">
        <f t="shared" ref="A4:A67" si="1">A3</f>
        <v>2025 SEPT B1G1</v>
      </c>
      <c r="B4" s="40">
        <f t="shared" ref="B4:C4" si="2">B3</f>
        <v>46104</v>
      </c>
      <c r="C4" s="40">
        <f t="shared" si="2"/>
        <v>46113</v>
      </c>
      <c r="D4" s="33">
        <v>3321</v>
      </c>
      <c r="E4" s="33">
        <v>337</v>
      </c>
      <c r="F4" s="33">
        <v>4</v>
      </c>
      <c r="G4" s="23">
        <v>1</v>
      </c>
      <c r="H4" s="23">
        <v>81588</v>
      </c>
      <c r="I4" s="33" t="s">
        <v>39</v>
      </c>
      <c r="J4" s="23">
        <v>55301083</v>
      </c>
      <c r="K4" s="23" t="s">
        <v>3133</v>
      </c>
      <c r="L4" s="23" t="s">
        <v>3137</v>
      </c>
      <c r="M4" s="41">
        <v>99900</v>
      </c>
      <c r="N4" s="22" t="str">
        <f t="shared" ref="N4:O67" si="3">N3</f>
        <v>BXGY</v>
      </c>
      <c r="O4" s="33" t="str">
        <f t="shared" si="3"/>
        <v>B1G1</v>
      </c>
      <c r="P4" s="22" t="str">
        <f t="shared" ref="P4:P67" si="4">P3</f>
        <v>BXGY</v>
      </c>
    </row>
    <row r="5" spans="1:16" x14ac:dyDescent="0.35">
      <c r="A5" s="33" t="str">
        <f t="shared" si="1"/>
        <v>2025 SEPT B1G1</v>
      </c>
      <c r="B5" s="40">
        <f t="shared" ref="B5:C5" si="5">B4</f>
        <v>46104</v>
      </c>
      <c r="C5" s="40">
        <f t="shared" si="5"/>
        <v>46113</v>
      </c>
      <c r="D5" s="33">
        <v>3321</v>
      </c>
      <c r="E5" s="33">
        <v>337</v>
      </c>
      <c r="F5" s="33">
        <v>4</v>
      </c>
      <c r="G5" s="23">
        <v>1</v>
      </c>
      <c r="H5" s="23">
        <v>81588</v>
      </c>
      <c r="I5" s="33" t="s">
        <v>39</v>
      </c>
      <c r="J5" s="23">
        <v>55301092</v>
      </c>
      <c r="K5" s="23" t="s">
        <v>3133</v>
      </c>
      <c r="L5" s="23" t="s">
        <v>3138</v>
      </c>
      <c r="M5" s="41">
        <v>99900</v>
      </c>
      <c r="N5" s="22" t="str">
        <f t="shared" si="3"/>
        <v>BXGY</v>
      </c>
      <c r="O5" s="33" t="str">
        <f t="shared" si="3"/>
        <v>B1G1</v>
      </c>
      <c r="P5" s="22" t="str">
        <f t="shared" si="4"/>
        <v>BXGY</v>
      </c>
    </row>
    <row r="6" spans="1:16" x14ac:dyDescent="0.35">
      <c r="A6" s="33" t="str">
        <f t="shared" si="1"/>
        <v>2025 SEPT B1G1</v>
      </c>
      <c r="B6" s="40">
        <f t="shared" ref="B6:C6" si="6">B5</f>
        <v>46104</v>
      </c>
      <c r="C6" s="40">
        <f t="shared" si="6"/>
        <v>46113</v>
      </c>
      <c r="D6" s="33">
        <v>3321</v>
      </c>
      <c r="E6" s="33">
        <v>337</v>
      </c>
      <c r="F6" s="33">
        <v>4</v>
      </c>
      <c r="G6" s="23">
        <v>1</v>
      </c>
      <c r="H6" s="23">
        <v>81588</v>
      </c>
      <c r="I6" s="33" t="s">
        <v>39</v>
      </c>
      <c r="J6" s="23">
        <v>55301163</v>
      </c>
      <c r="K6" s="23" t="s">
        <v>2933</v>
      </c>
      <c r="L6" s="23" t="s">
        <v>2935</v>
      </c>
      <c r="M6" s="41">
        <v>99900</v>
      </c>
      <c r="N6" s="22" t="str">
        <f t="shared" si="3"/>
        <v>BXGY</v>
      </c>
      <c r="O6" s="33" t="str">
        <f t="shared" si="3"/>
        <v>B1G1</v>
      </c>
      <c r="P6" s="22" t="str">
        <f t="shared" si="4"/>
        <v>BXGY</v>
      </c>
    </row>
    <row r="7" spans="1:16" x14ac:dyDescent="0.35">
      <c r="A7" s="33" t="str">
        <f t="shared" si="1"/>
        <v>2025 SEPT B1G1</v>
      </c>
      <c r="B7" s="40">
        <f t="shared" ref="B7:C7" si="7">B6</f>
        <v>46104</v>
      </c>
      <c r="C7" s="40">
        <f t="shared" si="7"/>
        <v>46113</v>
      </c>
      <c r="D7" s="33">
        <v>3321</v>
      </c>
      <c r="E7" s="33">
        <v>337</v>
      </c>
      <c r="F7" s="33">
        <v>4</v>
      </c>
      <c r="G7" s="23">
        <v>1</v>
      </c>
      <c r="H7" s="23">
        <v>81588</v>
      </c>
      <c r="I7" s="33" t="s">
        <v>39</v>
      </c>
      <c r="J7" s="23">
        <v>55301172</v>
      </c>
      <c r="K7" s="23" t="s">
        <v>2933</v>
      </c>
      <c r="L7" s="23" t="s">
        <v>2937</v>
      </c>
      <c r="M7" s="41">
        <v>99900</v>
      </c>
      <c r="N7" s="22" t="str">
        <f t="shared" si="3"/>
        <v>BXGY</v>
      </c>
      <c r="O7" s="33" t="str">
        <f t="shared" si="3"/>
        <v>B1G1</v>
      </c>
      <c r="P7" s="22" t="str">
        <f t="shared" si="4"/>
        <v>BXGY</v>
      </c>
    </row>
    <row r="8" spans="1:16" x14ac:dyDescent="0.35">
      <c r="A8" s="33" t="str">
        <f t="shared" si="1"/>
        <v>2025 SEPT B1G1</v>
      </c>
      <c r="B8" s="40">
        <f t="shared" ref="B8:C8" si="8">B7</f>
        <v>46104</v>
      </c>
      <c r="C8" s="40">
        <f t="shared" si="8"/>
        <v>46113</v>
      </c>
      <c r="D8" s="33">
        <v>3321</v>
      </c>
      <c r="E8" s="33">
        <v>337</v>
      </c>
      <c r="F8" s="33">
        <v>4</v>
      </c>
      <c r="G8" s="23">
        <v>1</v>
      </c>
      <c r="H8" s="23">
        <v>81588</v>
      </c>
      <c r="I8" s="33" t="s">
        <v>39</v>
      </c>
      <c r="J8" s="23">
        <v>55301181</v>
      </c>
      <c r="K8" s="23" t="s">
        <v>2933</v>
      </c>
      <c r="L8" s="23" t="s">
        <v>2938</v>
      </c>
      <c r="M8" s="41">
        <v>99900</v>
      </c>
      <c r="N8" s="22" t="str">
        <f t="shared" si="3"/>
        <v>BXGY</v>
      </c>
      <c r="O8" s="33" t="str">
        <f t="shared" si="3"/>
        <v>B1G1</v>
      </c>
      <c r="P8" s="22" t="str">
        <f t="shared" si="4"/>
        <v>BXGY</v>
      </c>
    </row>
    <row r="9" spans="1:16" x14ac:dyDescent="0.35">
      <c r="A9" s="33" t="str">
        <f t="shared" si="1"/>
        <v>2025 SEPT B1G1</v>
      </c>
      <c r="B9" s="40">
        <f t="shared" ref="B9:C9" si="9">B8</f>
        <v>46104</v>
      </c>
      <c r="C9" s="40">
        <f t="shared" si="9"/>
        <v>46113</v>
      </c>
      <c r="D9" s="33">
        <v>3321</v>
      </c>
      <c r="E9" s="33">
        <v>337</v>
      </c>
      <c r="F9" s="33">
        <v>4</v>
      </c>
      <c r="G9" s="23">
        <v>1</v>
      </c>
      <c r="H9" s="23">
        <v>81588</v>
      </c>
      <c r="I9" s="33" t="s">
        <v>39</v>
      </c>
      <c r="J9" s="23">
        <v>55301190</v>
      </c>
      <c r="K9" s="23" t="s">
        <v>2933</v>
      </c>
      <c r="L9" s="23" t="s">
        <v>2939</v>
      </c>
      <c r="M9" s="41">
        <v>99900</v>
      </c>
      <c r="N9" s="22" t="str">
        <f t="shared" si="3"/>
        <v>BXGY</v>
      </c>
      <c r="O9" s="33" t="str">
        <f t="shared" si="3"/>
        <v>B1G1</v>
      </c>
      <c r="P9" s="22" t="str">
        <f t="shared" si="4"/>
        <v>BXGY</v>
      </c>
    </row>
    <row r="10" spans="1:16" x14ac:dyDescent="0.35">
      <c r="A10" s="33" t="str">
        <f t="shared" si="1"/>
        <v>2025 SEPT B1G1</v>
      </c>
      <c r="B10" s="40">
        <f t="shared" ref="B10:C10" si="10">B9</f>
        <v>46104</v>
      </c>
      <c r="C10" s="40">
        <f t="shared" si="10"/>
        <v>46113</v>
      </c>
      <c r="D10" s="33">
        <v>3321</v>
      </c>
      <c r="E10" s="33">
        <v>337</v>
      </c>
      <c r="F10" s="33">
        <v>4</v>
      </c>
      <c r="G10" s="23">
        <v>1</v>
      </c>
      <c r="H10" s="23">
        <v>81588</v>
      </c>
      <c r="I10" s="33" t="s">
        <v>39</v>
      </c>
      <c r="J10" s="23">
        <v>55301207</v>
      </c>
      <c r="K10" s="23" t="s">
        <v>2933</v>
      </c>
      <c r="L10" s="23" t="s">
        <v>2936</v>
      </c>
      <c r="M10" s="41">
        <v>99900</v>
      </c>
      <c r="N10" s="22" t="str">
        <f t="shared" si="3"/>
        <v>BXGY</v>
      </c>
      <c r="O10" s="33" t="str">
        <f t="shared" si="3"/>
        <v>B1G1</v>
      </c>
      <c r="P10" s="22" t="str">
        <f t="shared" si="4"/>
        <v>BXGY</v>
      </c>
    </row>
    <row r="11" spans="1:16" x14ac:dyDescent="0.35">
      <c r="A11" s="33" t="str">
        <f t="shared" si="1"/>
        <v>2025 SEPT B1G1</v>
      </c>
      <c r="B11" s="40">
        <f t="shared" ref="B11:C11" si="11">B10</f>
        <v>46104</v>
      </c>
      <c r="C11" s="40">
        <f t="shared" si="11"/>
        <v>46113</v>
      </c>
      <c r="D11" s="33">
        <v>3321</v>
      </c>
      <c r="E11" s="33">
        <v>337</v>
      </c>
      <c r="F11" s="33">
        <v>4</v>
      </c>
      <c r="G11" s="23">
        <v>1</v>
      </c>
      <c r="H11" s="23">
        <v>81588</v>
      </c>
      <c r="I11" s="33" t="s">
        <v>39</v>
      </c>
      <c r="J11" s="23">
        <v>55301216</v>
      </c>
      <c r="K11" s="23" t="s">
        <v>2933</v>
      </c>
      <c r="L11" s="23" t="s">
        <v>2934</v>
      </c>
      <c r="M11" s="41">
        <v>99900</v>
      </c>
      <c r="N11" s="22" t="str">
        <f t="shared" si="3"/>
        <v>BXGY</v>
      </c>
      <c r="O11" s="33" t="str">
        <f t="shared" si="3"/>
        <v>B1G1</v>
      </c>
      <c r="P11" s="22" t="str">
        <f t="shared" si="4"/>
        <v>BXGY</v>
      </c>
    </row>
    <row r="12" spans="1:16" x14ac:dyDescent="0.35">
      <c r="A12" s="33" t="str">
        <f t="shared" si="1"/>
        <v>2025 SEPT B1G1</v>
      </c>
      <c r="B12" s="40">
        <f t="shared" ref="B12:C12" si="12">B11</f>
        <v>46104</v>
      </c>
      <c r="C12" s="40">
        <f t="shared" si="12"/>
        <v>46113</v>
      </c>
      <c r="D12" s="33">
        <v>3321</v>
      </c>
      <c r="E12" s="33">
        <v>337</v>
      </c>
      <c r="F12" s="33">
        <v>4</v>
      </c>
      <c r="G12" s="23">
        <v>1</v>
      </c>
      <c r="H12" s="23">
        <v>81588</v>
      </c>
      <c r="I12" s="33" t="s">
        <v>39</v>
      </c>
      <c r="J12" s="23">
        <v>55301109</v>
      </c>
      <c r="K12" s="23" t="s">
        <v>2926</v>
      </c>
      <c r="L12" s="23" t="s">
        <v>2931</v>
      </c>
      <c r="M12" s="41">
        <v>99900</v>
      </c>
      <c r="N12" s="22" t="str">
        <f t="shared" si="3"/>
        <v>BXGY</v>
      </c>
      <c r="O12" s="33" t="str">
        <f t="shared" si="3"/>
        <v>B1G1</v>
      </c>
      <c r="P12" s="22" t="str">
        <f t="shared" si="4"/>
        <v>BXGY</v>
      </c>
    </row>
    <row r="13" spans="1:16" x14ac:dyDescent="0.35">
      <c r="A13" s="33" t="str">
        <f t="shared" si="1"/>
        <v>2025 SEPT B1G1</v>
      </c>
      <c r="B13" s="40">
        <f t="shared" ref="B13:C13" si="13">B12</f>
        <v>46104</v>
      </c>
      <c r="C13" s="40">
        <f t="shared" si="13"/>
        <v>46113</v>
      </c>
      <c r="D13" s="33">
        <v>3321</v>
      </c>
      <c r="E13" s="33">
        <v>337</v>
      </c>
      <c r="F13" s="33">
        <v>4</v>
      </c>
      <c r="G13" s="23">
        <v>1</v>
      </c>
      <c r="H13" s="23">
        <v>81588</v>
      </c>
      <c r="I13" s="33" t="s">
        <v>39</v>
      </c>
      <c r="J13" s="23">
        <v>55301118</v>
      </c>
      <c r="K13" s="23" t="s">
        <v>2926</v>
      </c>
      <c r="L13" s="23" t="s">
        <v>2929</v>
      </c>
      <c r="M13" s="41">
        <v>99900</v>
      </c>
      <c r="N13" s="22" t="str">
        <f t="shared" si="3"/>
        <v>BXGY</v>
      </c>
      <c r="O13" s="33" t="str">
        <f t="shared" si="3"/>
        <v>B1G1</v>
      </c>
      <c r="P13" s="22" t="str">
        <f t="shared" si="4"/>
        <v>BXGY</v>
      </c>
    </row>
    <row r="14" spans="1:16" x14ac:dyDescent="0.35">
      <c r="A14" s="33" t="str">
        <f t="shared" si="1"/>
        <v>2025 SEPT B1G1</v>
      </c>
      <c r="B14" s="40">
        <f t="shared" ref="B14:C14" si="14">B13</f>
        <v>46104</v>
      </c>
      <c r="C14" s="40">
        <f t="shared" si="14"/>
        <v>46113</v>
      </c>
      <c r="D14" s="33">
        <v>3321</v>
      </c>
      <c r="E14" s="33">
        <v>337</v>
      </c>
      <c r="F14" s="33">
        <v>4</v>
      </c>
      <c r="G14" s="23">
        <v>1</v>
      </c>
      <c r="H14" s="23">
        <v>81588</v>
      </c>
      <c r="I14" s="33" t="s">
        <v>39</v>
      </c>
      <c r="J14" s="23">
        <v>55301127</v>
      </c>
      <c r="K14" s="23" t="s">
        <v>2926</v>
      </c>
      <c r="L14" s="23" t="s">
        <v>2927</v>
      </c>
      <c r="M14" s="41">
        <v>99900</v>
      </c>
      <c r="N14" s="22" t="str">
        <f t="shared" si="3"/>
        <v>BXGY</v>
      </c>
      <c r="O14" s="33" t="str">
        <f t="shared" si="3"/>
        <v>B1G1</v>
      </c>
      <c r="P14" s="22" t="str">
        <f t="shared" si="4"/>
        <v>BXGY</v>
      </c>
    </row>
    <row r="15" spans="1:16" x14ac:dyDescent="0.35">
      <c r="A15" s="33" t="str">
        <f t="shared" si="1"/>
        <v>2025 SEPT B1G1</v>
      </c>
      <c r="B15" s="40">
        <f t="shared" ref="B15:C15" si="15">B14</f>
        <v>46104</v>
      </c>
      <c r="C15" s="40">
        <f t="shared" si="15"/>
        <v>46113</v>
      </c>
      <c r="D15" s="33">
        <v>3321</v>
      </c>
      <c r="E15" s="33">
        <v>337</v>
      </c>
      <c r="F15" s="33">
        <v>4</v>
      </c>
      <c r="G15" s="23">
        <v>1</v>
      </c>
      <c r="H15" s="23">
        <v>81588</v>
      </c>
      <c r="I15" s="33" t="s">
        <v>39</v>
      </c>
      <c r="J15" s="23">
        <v>55301136</v>
      </c>
      <c r="K15" s="23" t="s">
        <v>2926</v>
      </c>
      <c r="L15" s="23" t="s">
        <v>2932</v>
      </c>
      <c r="M15" s="41">
        <v>99900</v>
      </c>
      <c r="N15" s="22" t="str">
        <f t="shared" si="3"/>
        <v>BXGY</v>
      </c>
      <c r="O15" s="33" t="str">
        <f t="shared" si="3"/>
        <v>B1G1</v>
      </c>
      <c r="P15" s="22" t="str">
        <f t="shared" si="4"/>
        <v>BXGY</v>
      </c>
    </row>
    <row r="16" spans="1:16" x14ac:dyDescent="0.35">
      <c r="A16" s="33" t="str">
        <f t="shared" si="1"/>
        <v>2025 SEPT B1G1</v>
      </c>
      <c r="B16" s="40">
        <f t="shared" ref="B16:C16" si="16">B15</f>
        <v>46104</v>
      </c>
      <c r="C16" s="40">
        <f t="shared" si="16"/>
        <v>46113</v>
      </c>
      <c r="D16" s="33">
        <v>3321</v>
      </c>
      <c r="E16" s="33">
        <v>337</v>
      </c>
      <c r="F16" s="33">
        <v>4</v>
      </c>
      <c r="G16" s="23">
        <v>1</v>
      </c>
      <c r="H16" s="23">
        <v>81588</v>
      </c>
      <c r="I16" s="33" t="s">
        <v>39</v>
      </c>
      <c r="J16" s="23">
        <v>55301145</v>
      </c>
      <c r="K16" s="23" t="s">
        <v>2926</v>
      </c>
      <c r="L16" s="23" t="s">
        <v>2930</v>
      </c>
      <c r="M16" s="41">
        <v>99900</v>
      </c>
      <c r="N16" s="22" t="str">
        <f t="shared" si="3"/>
        <v>BXGY</v>
      </c>
      <c r="O16" s="33" t="str">
        <f t="shared" si="3"/>
        <v>B1G1</v>
      </c>
      <c r="P16" s="22" t="str">
        <f t="shared" si="4"/>
        <v>BXGY</v>
      </c>
    </row>
    <row r="17" spans="1:16" x14ac:dyDescent="0.35">
      <c r="A17" s="33" t="str">
        <f t="shared" si="1"/>
        <v>2025 SEPT B1G1</v>
      </c>
      <c r="B17" s="40">
        <f t="shared" ref="B17:C17" si="17">B16</f>
        <v>46104</v>
      </c>
      <c r="C17" s="40">
        <f t="shared" si="17"/>
        <v>46113</v>
      </c>
      <c r="D17" s="33">
        <v>3321</v>
      </c>
      <c r="E17" s="33">
        <v>337</v>
      </c>
      <c r="F17" s="33">
        <v>4</v>
      </c>
      <c r="G17" s="23">
        <v>3</v>
      </c>
      <c r="H17" s="23">
        <v>81588</v>
      </c>
      <c r="I17" s="33" t="s">
        <v>39</v>
      </c>
      <c r="J17" s="23">
        <v>55301154</v>
      </c>
      <c r="K17" s="23" t="s">
        <v>2926</v>
      </c>
      <c r="L17" s="23" t="s">
        <v>2928</v>
      </c>
      <c r="M17" s="41">
        <v>99900</v>
      </c>
      <c r="N17" s="22" t="str">
        <f t="shared" si="3"/>
        <v>BXGY</v>
      </c>
      <c r="O17" s="33" t="str">
        <f t="shared" si="3"/>
        <v>B1G1</v>
      </c>
      <c r="P17" s="22" t="str">
        <f t="shared" si="4"/>
        <v>BXGY</v>
      </c>
    </row>
    <row r="18" spans="1:16" x14ac:dyDescent="0.35">
      <c r="A18" s="33" t="str">
        <f t="shared" si="1"/>
        <v>2025 SEPT B1G1</v>
      </c>
      <c r="B18" s="40">
        <f t="shared" ref="B18:C18" si="18">B17</f>
        <v>46104</v>
      </c>
      <c r="C18" s="40">
        <f t="shared" si="18"/>
        <v>46113</v>
      </c>
      <c r="D18" s="33">
        <v>3321</v>
      </c>
      <c r="E18" s="33">
        <v>337</v>
      </c>
      <c r="F18" s="33">
        <v>4</v>
      </c>
      <c r="G18" s="23">
        <v>3</v>
      </c>
      <c r="H18" s="23">
        <v>81588</v>
      </c>
      <c r="I18" s="33" t="s">
        <v>39</v>
      </c>
      <c r="J18" s="23">
        <v>59168202</v>
      </c>
      <c r="K18" s="23" t="s">
        <v>3169</v>
      </c>
      <c r="L18" s="23" t="s">
        <v>3171</v>
      </c>
      <c r="M18" s="41">
        <v>199900</v>
      </c>
      <c r="N18" s="22" t="str">
        <f t="shared" si="3"/>
        <v>BXGY</v>
      </c>
      <c r="O18" s="33" t="str">
        <f t="shared" si="3"/>
        <v>B1G1</v>
      </c>
      <c r="P18" s="22" t="str">
        <f t="shared" si="4"/>
        <v>BXGY</v>
      </c>
    </row>
    <row r="19" spans="1:16" x14ac:dyDescent="0.35">
      <c r="A19" s="33" t="str">
        <f t="shared" si="1"/>
        <v>2025 SEPT B1G1</v>
      </c>
      <c r="B19" s="40">
        <f t="shared" ref="B19:C19" si="19">B18</f>
        <v>46104</v>
      </c>
      <c r="C19" s="40">
        <f t="shared" si="19"/>
        <v>46113</v>
      </c>
      <c r="D19" s="33">
        <v>3321</v>
      </c>
      <c r="E19" s="33">
        <v>337</v>
      </c>
      <c r="F19" s="33">
        <v>4</v>
      </c>
      <c r="G19" s="23">
        <v>3</v>
      </c>
      <c r="H19" s="23">
        <v>81588</v>
      </c>
      <c r="I19" s="33" t="s">
        <v>39</v>
      </c>
      <c r="J19" s="23">
        <v>59168211</v>
      </c>
      <c r="K19" s="23" t="s">
        <v>3169</v>
      </c>
      <c r="L19" s="23" t="s">
        <v>3173</v>
      </c>
      <c r="M19" s="41">
        <v>199900</v>
      </c>
      <c r="N19" s="22" t="str">
        <f t="shared" si="3"/>
        <v>BXGY</v>
      </c>
      <c r="O19" s="33" t="str">
        <f t="shared" si="3"/>
        <v>B1G1</v>
      </c>
      <c r="P19" s="22" t="str">
        <f t="shared" si="4"/>
        <v>BXGY</v>
      </c>
    </row>
    <row r="20" spans="1:16" x14ac:dyDescent="0.35">
      <c r="A20" s="33" t="str">
        <f t="shared" si="1"/>
        <v>2025 SEPT B1G1</v>
      </c>
      <c r="B20" s="40">
        <f t="shared" ref="B20:C20" si="20">B19</f>
        <v>46104</v>
      </c>
      <c r="C20" s="40">
        <f t="shared" si="20"/>
        <v>46113</v>
      </c>
      <c r="D20" s="33">
        <v>3321</v>
      </c>
      <c r="E20" s="33">
        <v>337</v>
      </c>
      <c r="F20" s="33">
        <v>4</v>
      </c>
      <c r="G20" s="23">
        <v>3</v>
      </c>
      <c r="H20" s="23">
        <v>81588</v>
      </c>
      <c r="I20" s="33" t="s">
        <v>39</v>
      </c>
      <c r="J20" s="23">
        <v>59168220</v>
      </c>
      <c r="K20" s="23" t="s">
        <v>3169</v>
      </c>
      <c r="L20" s="23" t="s">
        <v>3170</v>
      </c>
      <c r="M20" s="41">
        <v>199900</v>
      </c>
      <c r="N20" s="22" t="str">
        <f t="shared" si="3"/>
        <v>BXGY</v>
      </c>
      <c r="O20" s="33" t="str">
        <f t="shared" si="3"/>
        <v>B1G1</v>
      </c>
      <c r="P20" s="22" t="str">
        <f t="shared" si="4"/>
        <v>BXGY</v>
      </c>
    </row>
    <row r="21" spans="1:16" x14ac:dyDescent="0.35">
      <c r="A21" s="33" t="str">
        <f t="shared" si="1"/>
        <v>2025 SEPT B1G1</v>
      </c>
      <c r="B21" s="40">
        <f t="shared" ref="B21:C21" si="21">B20</f>
        <v>46104</v>
      </c>
      <c r="C21" s="40">
        <f t="shared" si="21"/>
        <v>46113</v>
      </c>
      <c r="D21" s="33">
        <v>3321</v>
      </c>
      <c r="E21" s="33">
        <v>337</v>
      </c>
      <c r="F21" s="33">
        <v>4</v>
      </c>
      <c r="G21" s="23">
        <v>4</v>
      </c>
      <c r="H21" s="23">
        <v>81588</v>
      </c>
      <c r="I21" s="33" t="s">
        <v>39</v>
      </c>
      <c r="J21" s="23">
        <v>59168239</v>
      </c>
      <c r="K21" s="23" t="s">
        <v>3169</v>
      </c>
      <c r="L21" s="23" t="s">
        <v>3172</v>
      </c>
      <c r="M21" s="41">
        <v>199900</v>
      </c>
      <c r="N21" s="22" t="str">
        <f t="shared" si="3"/>
        <v>BXGY</v>
      </c>
      <c r="O21" s="33" t="str">
        <f t="shared" si="3"/>
        <v>B1G1</v>
      </c>
      <c r="P21" s="22" t="str">
        <f t="shared" si="4"/>
        <v>BXGY</v>
      </c>
    </row>
    <row r="22" spans="1:16" x14ac:dyDescent="0.35">
      <c r="A22" s="33" t="str">
        <f t="shared" si="1"/>
        <v>2025 SEPT B1G1</v>
      </c>
      <c r="B22" s="40">
        <f t="shared" ref="B22:C22" si="22">B21</f>
        <v>46104</v>
      </c>
      <c r="C22" s="40">
        <f t="shared" si="22"/>
        <v>46113</v>
      </c>
      <c r="D22" s="33">
        <v>3321</v>
      </c>
      <c r="E22" s="33">
        <v>337</v>
      </c>
      <c r="F22" s="33">
        <v>4</v>
      </c>
      <c r="G22" s="23">
        <v>4</v>
      </c>
      <c r="H22" s="23">
        <v>81588</v>
      </c>
      <c r="I22" s="33" t="s">
        <v>39</v>
      </c>
      <c r="J22" s="23">
        <v>59168248</v>
      </c>
      <c r="K22" s="23" t="s">
        <v>3134</v>
      </c>
      <c r="L22" s="23" t="s">
        <v>3142</v>
      </c>
      <c r="M22" s="41">
        <v>99900</v>
      </c>
      <c r="N22" s="22" t="str">
        <f t="shared" si="3"/>
        <v>BXGY</v>
      </c>
      <c r="O22" s="33" t="str">
        <f t="shared" si="3"/>
        <v>B1G1</v>
      </c>
      <c r="P22" s="22" t="str">
        <f t="shared" si="4"/>
        <v>BXGY</v>
      </c>
    </row>
    <row r="23" spans="1:16" x14ac:dyDescent="0.35">
      <c r="A23" s="33" t="str">
        <f t="shared" si="1"/>
        <v>2025 SEPT B1G1</v>
      </c>
      <c r="B23" s="40">
        <f t="shared" ref="B23:C23" si="23">B22</f>
        <v>46104</v>
      </c>
      <c r="C23" s="40">
        <f t="shared" si="23"/>
        <v>46113</v>
      </c>
      <c r="D23" s="33">
        <v>3321</v>
      </c>
      <c r="E23" s="33">
        <v>337</v>
      </c>
      <c r="F23" s="33">
        <v>4</v>
      </c>
      <c r="G23" s="23">
        <v>4</v>
      </c>
      <c r="H23" s="23">
        <v>81588</v>
      </c>
      <c r="I23" s="33" t="s">
        <v>39</v>
      </c>
      <c r="J23" s="23">
        <v>59168257</v>
      </c>
      <c r="K23" s="23" t="s">
        <v>3134</v>
      </c>
      <c r="L23" s="23" t="s">
        <v>3141</v>
      </c>
      <c r="M23" s="41">
        <v>99900</v>
      </c>
      <c r="N23" s="22" t="str">
        <f t="shared" si="3"/>
        <v>BXGY</v>
      </c>
      <c r="O23" s="33" t="str">
        <f t="shared" si="3"/>
        <v>B1G1</v>
      </c>
      <c r="P23" s="22" t="str">
        <f t="shared" si="4"/>
        <v>BXGY</v>
      </c>
    </row>
    <row r="24" spans="1:16" x14ac:dyDescent="0.35">
      <c r="A24" s="33" t="str">
        <f t="shared" si="1"/>
        <v>2025 SEPT B1G1</v>
      </c>
      <c r="B24" s="40">
        <f t="shared" ref="B24:C24" si="24">B23</f>
        <v>46104</v>
      </c>
      <c r="C24" s="40">
        <f t="shared" si="24"/>
        <v>46113</v>
      </c>
      <c r="D24" s="33">
        <v>3321</v>
      </c>
      <c r="E24" s="33">
        <v>337</v>
      </c>
      <c r="F24" s="33">
        <v>4</v>
      </c>
      <c r="G24" s="23">
        <v>4</v>
      </c>
      <c r="H24" s="23">
        <v>81588</v>
      </c>
      <c r="I24" s="33" t="s">
        <v>39</v>
      </c>
      <c r="J24" s="23">
        <v>59168266</v>
      </c>
      <c r="K24" s="23" t="s">
        <v>3134</v>
      </c>
      <c r="L24" s="23" t="s">
        <v>3143</v>
      </c>
      <c r="M24" s="41">
        <v>99900</v>
      </c>
      <c r="N24" s="22" t="str">
        <f t="shared" si="3"/>
        <v>BXGY</v>
      </c>
      <c r="O24" s="33" t="str">
        <f t="shared" si="3"/>
        <v>B1G1</v>
      </c>
      <c r="P24" s="22" t="str">
        <f t="shared" si="4"/>
        <v>BXGY</v>
      </c>
    </row>
    <row r="25" spans="1:16" x14ac:dyDescent="0.35">
      <c r="A25" s="33" t="str">
        <f t="shared" si="1"/>
        <v>2025 SEPT B1G1</v>
      </c>
      <c r="B25" s="40">
        <f t="shared" ref="B25:C25" si="25">B24</f>
        <v>46104</v>
      </c>
      <c r="C25" s="40">
        <f t="shared" si="25"/>
        <v>46113</v>
      </c>
      <c r="D25" s="33">
        <v>3321</v>
      </c>
      <c r="E25" s="33">
        <v>337</v>
      </c>
      <c r="F25" s="33">
        <v>4</v>
      </c>
      <c r="G25" s="23">
        <v>3</v>
      </c>
      <c r="H25" s="23">
        <v>81588</v>
      </c>
      <c r="I25" s="33" t="s">
        <v>39</v>
      </c>
      <c r="J25" s="23">
        <v>59168275</v>
      </c>
      <c r="K25" s="23" t="s">
        <v>3134</v>
      </c>
      <c r="L25" s="23" t="s">
        <v>3140</v>
      </c>
      <c r="M25" s="41">
        <v>99900</v>
      </c>
      <c r="N25" s="22" t="str">
        <f t="shared" si="3"/>
        <v>BXGY</v>
      </c>
      <c r="O25" s="33" t="str">
        <f t="shared" si="3"/>
        <v>B1G1</v>
      </c>
      <c r="P25" s="22" t="str">
        <f t="shared" si="4"/>
        <v>BXGY</v>
      </c>
    </row>
    <row r="26" spans="1:16" x14ac:dyDescent="0.35">
      <c r="A26" s="33" t="str">
        <f t="shared" si="1"/>
        <v>2025 SEPT B1G1</v>
      </c>
      <c r="B26" s="40">
        <f t="shared" ref="B26:C26" si="26">B25</f>
        <v>46104</v>
      </c>
      <c r="C26" s="40">
        <f t="shared" si="26"/>
        <v>46113</v>
      </c>
      <c r="D26" s="33">
        <v>3321</v>
      </c>
      <c r="E26" s="33">
        <v>337</v>
      </c>
      <c r="F26" s="33">
        <v>4</v>
      </c>
      <c r="G26" s="23">
        <v>3</v>
      </c>
      <c r="H26" s="23">
        <v>81588</v>
      </c>
      <c r="I26" s="33" t="s">
        <v>39</v>
      </c>
      <c r="J26" s="23">
        <v>55507594</v>
      </c>
      <c r="K26" s="23" t="s">
        <v>3174</v>
      </c>
      <c r="L26" s="23" t="s">
        <v>3177</v>
      </c>
      <c r="M26" s="41">
        <v>229900</v>
      </c>
      <c r="N26" s="22" t="str">
        <f t="shared" si="3"/>
        <v>BXGY</v>
      </c>
      <c r="O26" s="33" t="str">
        <f t="shared" si="3"/>
        <v>B1G1</v>
      </c>
      <c r="P26" s="22" t="str">
        <f t="shared" si="4"/>
        <v>BXGY</v>
      </c>
    </row>
    <row r="27" spans="1:16" x14ac:dyDescent="0.35">
      <c r="A27" s="33" t="str">
        <f t="shared" si="1"/>
        <v>2025 SEPT B1G1</v>
      </c>
      <c r="B27" s="40">
        <f t="shared" ref="B27:C27" si="27">B26</f>
        <v>46104</v>
      </c>
      <c r="C27" s="40">
        <f t="shared" si="27"/>
        <v>46113</v>
      </c>
      <c r="D27" s="33">
        <v>3321</v>
      </c>
      <c r="E27" s="33">
        <v>337</v>
      </c>
      <c r="F27" s="33">
        <v>4</v>
      </c>
      <c r="G27" s="23">
        <v>3</v>
      </c>
      <c r="H27" s="23">
        <v>81588</v>
      </c>
      <c r="I27" s="33" t="s">
        <v>39</v>
      </c>
      <c r="J27" s="23">
        <v>55507601</v>
      </c>
      <c r="K27" s="23" t="s">
        <v>3174</v>
      </c>
      <c r="L27" s="23" t="s">
        <v>3178</v>
      </c>
      <c r="M27" s="41">
        <v>229900</v>
      </c>
      <c r="N27" s="22" t="str">
        <f t="shared" si="3"/>
        <v>BXGY</v>
      </c>
      <c r="O27" s="33" t="str">
        <f t="shared" si="3"/>
        <v>B1G1</v>
      </c>
      <c r="P27" s="22" t="str">
        <f t="shared" si="4"/>
        <v>BXGY</v>
      </c>
    </row>
    <row r="28" spans="1:16" x14ac:dyDescent="0.35">
      <c r="A28" s="33" t="str">
        <f t="shared" si="1"/>
        <v>2025 SEPT B1G1</v>
      </c>
      <c r="B28" s="40">
        <f t="shared" ref="B28:C28" si="28">B27</f>
        <v>46104</v>
      </c>
      <c r="C28" s="40">
        <f t="shared" si="28"/>
        <v>46113</v>
      </c>
      <c r="D28" s="33">
        <v>3321</v>
      </c>
      <c r="E28" s="33">
        <v>337</v>
      </c>
      <c r="F28" s="33">
        <v>4</v>
      </c>
      <c r="G28" s="23">
        <v>3</v>
      </c>
      <c r="H28" s="23">
        <v>81588</v>
      </c>
      <c r="I28" s="33" t="s">
        <v>39</v>
      </c>
      <c r="J28" s="23">
        <v>55507610</v>
      </c>
      <c r="K28" s="23" t="s">
        <v>3174</v>
      </c>
      <c r="L28" s="23" t="s">
        <v>3176</v>
      </c>
      <c r="M28" s="41">
        <v>229900</v>
      </c>
      <c r="N28" s="22" t="str">
        <f t="shared" si="3"/>
        <v>BXGY</v>
      </c>
      <c r="O28" s="33" t="str">
        <f t="shared" si="3"/>
        <v>B1G1</v>
      </c>
      <c r="P28" s="22" t="str">
        <f t="shared" si="4"/>
        <v>BXGY</v>
      </c>
    </row>
    <row r="29" spans="1:16" x14ac:dyDescent="0.35">
      <c r="A29" s="33" t="str">
        <f t="shared" si="1"/>
        <v>2025 SEPT B1G1</v>
      </c>
      <c r="B29" s="40">
        <f t="shared" ref="B29:C29" si="29">B28</f>
        <v>46104</v>
      </c>
      <c r="C29" s="40">
        <f t="shared" si="29"/>
        <v>46113</v>
      </c>
      <c r="D29" s="33">
        <v>3321</v>
      </c>
      <c r="E29" s="33">
        <v>337</v>
      </c>
      <c r="F29" s="33">
        <v>4</v>
      </c>
      <c r="G29" s="23">
        <v>4</v>
      </c>
      <c r="H29" s="23">
        <v>81588</v>
      </c>
      <c r="I29" s="33" t="s">
        <v>39</v>
      </c>
      <c r="J29" s="23">
        <v>55507629</v>
      </c>
      <c r="K29" s="23" t="s">
        <v>3174</v>
      </c>
      <c r="L29" s="23" t="s">
        <v>3175</v>
      </c>
      <c r="M29" s="41">
        <v>229900</v>
      </c>
      <c r="N29" s="22" t="str">
        <f t="shared" si="3"/>
        <v>BXGY</v>
      </c>
      <c r="O29" s="33" t="str">
        <f t="shared" si="3"/>
        <v>B1G1</v>
      </c>
      <c r="P29" s="22" t="str">
        <f t="shared" si="4"/>
        <v>BXGY</v>
      </c>
    </row>
    <row r="30" spans="1:16" x14ac:dyDescent="0.35">
      <c r="A30" s="33" t="str">
        <f t="shared" si="1"/>
        <v>2025 SEPT B1G1</v>
      </c>
      <c r="B30" s="40">
        <f t="shared" ref="B30:C30" si="30">B29</f>
        <v>46104</v>
      </c>
      <c r="C30" s="40">
        <f t="shared" si="30"/>
        <v>46113</v>
      </c>
      <c r="D30" s="33">
        <v>3321</v>
      </c>
      <c r="E30" s="33">
        <v>337</v>
      </c>
      <c r="F30" s="33">
        <v>4</v>
      </c>
      <c r="G30" s="23">
        <v>4</v>
      </c>
      <c r="H30" s="23">
        <v>81005</v>
      </c>
      <c r="I30" s="33" t="s">
        <v>39</v>
      </c>
      <c r="J30" s="23">
        <v>55301467</v>
      </c>
      <c r="K30" s="23" t="s">
        <v>3150</v>
      </c>
      <c r="L30" s="23" t="s">
        <v>3152</v>
      </c>
      <c r="M30" s="41">
        <v>149900</v>
      </c>
      <c r="N30" s="22" t="str">
        <f t="shared" si="3"/>
        <v>BXGY</v>
      </c>
      <c r="O30" s="33" t="str">
        <f t="shared" si="3"/>
        <v>B1G1</v>
      </c>
      <c r="P30" s="22" t="str">
        <f t="shared" si="4"/>
        <v>BXGY</v>
      </c>
    </row>
    <row r="31" spans="1:16" x14ac:dyDescent="0.35">
      <c r="A31" s="33" t="str">
        <f t="shared" si="1"/>
        <v>2025 SEPT B1G1</v>
      </c>
      <c r="B31" s="40">
        <f t="shared" ref="B31:C31" si="31">B30</f>
        <v>46104</v>
      </c>
      <c r="C31" s="40">
        <f t="shared" si="31"/>
        <v>46113</v>
      </c>
      <c r="D31" s="33">
        <v>3321</v>
      </c>
      <c r="E31" s="33">
        <v>337</v>
      </c>
      <c r="F31" s="33">
        <v>4</v>
      </c>
      <c r="G31" s="23">
        <v>4</v>
      </c>
      <c r="H31" s="23">
        <v>81005</v>
      </c>
      <c r="I31" s="33" t="s">
        <v>39</v>
      </c>
      <c r="J31" s="23">
        <v>55301476</v>
      </c>
      <c r="K31" s="23" t="s">
        <v>3150</v>
      </c>
      <c r="L31" s="23" t="s">
        <v>3154</v>
      </c>
      <c r="M31" s="41">
        <v>149900</v>
      </c>
      <c r="N31" s="22" t="str">
        <f t="shared" si="3"/>
        <v>BXGY</v>
      </c>
      <c r="O31" s="33" t="str">
        <f t="shared" si="3"/>
        <v>B1G1</v>
      </c>
      <c r="P31" s="22" t="str">
        <f t="shared" si="4"/>
        <v>BXGY</v>
      </c>
    </row>
    <row r="32" spans="1:16" x14ac:dyDescent="0.35">
      <c r="A32" s="33" t="str">
        <f t="shared" si="1"/>
        <v>2025 SEPT B1G1</v>
      </c>
      <c r="B32" s="40">
        <f t="shared" ref="B32:C32" si="32">B31</f>
        <v>46104</v>
      </c>
      <c r="C32" s="40">
        <f t="shared" si="32"/>
        <v>46113</v>
      </c>
      <c r="D32" s="33">
        <v>3321</v>
      </c>
      <c r="E32" s="33">
        <v>337</v>
      </c>
      <c r="F32" s="33">
        <v>4</v>
      </c>
      <c r="G32" s="23">
        <v>4</v>
      </c>
      <c r="H32" s="23">
        <v>81005</v>
      </c>
      <c r="I32" s="33" t="s">
        <v>39</v>
      </c>
      <c r="J32" s="23">
        <v>55301485</v>
      </c>
      <c r="K32" s="23" t="s">
        <v>3150</v>
      </c>
      <c r="L32" s="23" t="s">
        <v>3151</v>
      </c>
      <c r="M32" s="41">
        <v>149900</v>
      </c>
      <c r="N32" s="22" t="str">
        <f t="shared" si="3"/>
        <v>BXGY</v>
      </c>
      <c r="O32" s="33" t="str">
        <f t="shared" si="3"/>
        <v>B1G1</v>
      </c>
      <c r="P32" s="22" t="str">
        <f t="shared" si="4"/>
        <v>BXGY</v>
      </c>
    </row>
    <row r="33" spans="1:16" x14ac:dyDescent="0.35">
      <c r="A33" s="33" t="str">
        <f t="shared" si="1"/>
        <v>2025 SEPT B1G1</v>
      </c>
      <c r="B33" s="40">
        <f t="shared" ref="B33:C33" si="33">B32</f>
        <v>46104</v>
      </c>
      <c r="C33" s="40">
        <f t="shared" si="33"/>
        <v>46113</v>
      </c>
      <c r="D33" s="33">
        <v>3321</v>
      </c>
      <c r="E33" s="33">
        <v>337</v>
      </c>
      <c r="F33" s="33">
        <v>4</v>
      </c>
      <c r="G33" s="23">
        <v>5</v>
      </c>
      <c r="H33" s="23">
        <v>81005</v>
      </c>
      <c r="I33" s="33" t="s">
        <v>39</v>
      </c>
      <c r="J33" s="23">
        <v>55301494</v>
      </c>
      <c r="K33" s="23" t="s">
        <v>3150</v>
      </c>
      <c r="L33" s="23" t="s">
        <v>3153</v>
      </c>
      <c r="M33" s="41">
        <v>149900</v>
      </c>
      <c r="N33" s="22" t="str">
        <f t="shared" si="3"/>
        <v>BXGY</v>
      </c>
      <c r="O33" s="33" t="str">
        <f t="shared" si="3"/>
        <v>B1G1</v>
      </c>
      <c r="P33" s="22" t="str">
        <f t="shared" si="4"/>
        <v>BXGY</v>
      </c>
    </row>
    <row r="34" spans="1:16" x14ac:dyDescent="0.35">
      <c r="A34" s="33" t="str">
        <f t="shared" si="1"/>
        <v>2025 SEPT B1G1</v>
      </c>
      <c r="B34" s="40">
        <f t="shared" ref="B34:C34" si="34">B33</f>
        <v>46104</v>
      </c>
      <c r="C34" s="40">
        <f t="shared" si="34"/>
        <v>46113</v>
      </c>
      <c r="D34" s="33">
        <v>3321</v>
      </c>
      <c r="E34" s="33">
        <v>337</v>
      </c>
      <c r="F34" s="33">
        <v>4</v>
      </c>
      <c r="G34" s="23">
        <v>5</v>
      </c>
      <c r="H34" s="23">
        <v>81146</v>
      </c>
      <c r="I34" s="33" t="s">
        <v>39</v>
      </c>
      <c r="J34" s="23">
        <v>55301627</v>
      </c>
      <c r="K34" s="23" t="s">
        <v>3199</v>
      </c>
      <c r="L34" s="23" t="s">
        <v>3203</v>
      </c>
      <c r="M34" s="41">
        <v>149900</v>
      </c>
      <c r="N34" s="22" t="str">
        <f t="shared" si="3"/>
        <v>BXGY</v>
      </c>
      <c r="O34" s="33" t="str">
        <f t="shared" si="3"/>
        <v>B1G1</v>
      </c>
      <c r="P34" s="22" t="str">
        <f t="shared" si="4"/>
        <v>BXGY</v>
      </c>
    </row>
    <row r="35" spans="1:16" x14ac:dyDescent="0.35">
      <c r="A35" s="33" t="str">
        <f t="shared" si="1"/>
        <v>2025 SEPT B1G1</v>
      </c>
      <c r="B35" s="40">
        <f t="shared" ref="B35:C35" si="35">B34</f>
        <v>46104</v>
      </c>
      <c r="C35" s="40">
        <f t="shared" si="35"/>
        <v>46113</v>
      </c>
      <c r="D35" s="33">
        <v>3321</v>
      </c>
      <c r="E35" s="33">
        <v>337</v>
      </c>
      <c r="F35" s="33">
        <v>4</v>
      </c>
      <c r="G35" s="23">
        <v>5</v>
      </c>
      <c r="H35" s="23">
        <v>81146</v>
      </c>
      <c r="I35" s="33" t="s">
        <v>39</v>
      </c>
      <c r="J35" s="23">
        <v>55301636</v>
      </c>
      <c r="K35" s="23" t="s">
        <v>3199</v>
      </c>
      <c r="L35" s="23" t="s">
        <v>3201</v>
      </c>
      <c r="M35" s="41">
        <v>149900</v>
      </c>
      <c r="N35" s="22" t="str">
        <f t="shared" si="3"/>
        <v>BXGY</v>
      </c>
      <c r="O35" s="33" t="str">
        <f t="shared" si="3"/>
        <v>B1G1</v>
      </c>
      <c r="P35" s="22" t="str">
        <f t="shared" si="4"/>
        <v>BXGY</v>
      </c>
    </row>
    <row r="36" spans="1:16" x14ac:dyDescent="0.35">
      <c r="A36" s="33" t="str">
        <f t="shared" si="1"/>
        <v>2025 SEPT B1G1</v>
      </c>
      <c r="B36" s="40">
        <f t="shared" ref="B36:C36" si="36">B35</f>
        <v>46104</v>
      </c>
      <c r="C36" s="40">
        <f t="shared" si="36"/>
        <v>46113</v>
      </c>
      <c r="D36" s="33">
        <v>3321</v>
      </c>
      <c r="E36" s="33">
        <v>337</v>
      </c>
      <c r="F36" s="33">
        <v>4</v>
      </c>
      <c r="G36" s="23">
        <v>5</v>
      </c>
      <c r="H36" s="23">
        <v>81146</v>
      </c>
      <c r="I36" s="33" t="s">
        <v>39</v>
      </c>
      <c r="J36" s="23">
        <v>55301645</v>
      </c>
      <c r="K36" s="23" t="s">
        <v>3199</v>
      </c>
      <c r="L36" s="23" t="s">
        <v>3202</v>
      </c>
      <c r="M36" s="41">
        <v>149900</v>
      </c>
      <c r="N36" s="22" t="str">
        <f t="shared" si="3"/>
        <v>BXGY</v>
      </c>
      <c r="O36" s="33" t="str">
        <f t="shared" si="3"/>
        <v>B1G1</v>
      </c>
      <c r="P36" s="22" t="str">
        <f t="shared" si="4"/>
        <v>BXGY</v>
      </c>
    </row>
    <row r="37" spans="1:16" x14ac:dyDescent="0.35">
      <c r="A37" s="33" t="str">
        <f t="shared" si="1"/>
        <v>2025 SEPT B1G1</v>
      </c>
      <c r="B37" s="40">
        <f t="shared" ref="B37:C37" si="37">B36</f>
        <v>46104</v>
      </c>
      <c r="C37" s="40">
        <f t="shared" si="37"/>
        <v>46113</v>
      </c>
      <c r="D37" s="33">
        <v>3321</v>
      </c>
      <c r="E37" s="33">
        <v>337</v>
      </c>
      <c r="F37" s="33">
        <v>4</v>
      </c>
      <c r="G37" s="23">
        <v>5</v>
      </c>
      <c r="H37" s="23">
        <v>81146</v>
      </c>
      <c r="I37" s="33" t="s">
        <v>39</v>
      </c>
      <c r="J37" s="23">
        <v>55301654</v>
      </c>
      <c r="K37" s="23" t="s">
        <v>3199</v>
      </c>
      <c r="L37" s="23" t="s">
        <v>3200</v>
      </c>
      <c r="M37" s="41">
        <v>149900</v>
      </c>
      <c r="N37" s="22" t="str">
        <f t="shared" si="3"/>
        <v>BXGY</v>
      </c>
      <c r="O37" s="33" t="str">
        <f t="shared" si="3"/>
        <v>B1G1</v>
      </c>
      <c r="P37" s="22" t="str">
        <f t="shared" si="4"/>
        <v>BXGY</v>
      </c>
    </row>
    <row r="38" spans="1:16" x14ac:dyDescent="0.35">
      <c r="A38" s="33" t="str">
        <f t="shared" si="1"/>
        <v>2025 SEPT B1G1</v>
      </c>
      <c r="B38" s="40">
        <f t="shared" ref="B38:C38" si="38">B37</f>
        <v>46104</v>
      </c>
      <c r="C38" s="40">
        <f t="shared" si="38"/>
        <v>46113</v>
      </c>
      <c r="D38" s="33">
        <v>3321</v>
      </c>
      <c r="E38" s="33">
        <v>337</v>
      </c>
      <c r="F38" s="33">
        <v>4</v>
      </c>
      <c r="G38" s="23">
        <v>5</v>
      </c>
      <c r="H38" s="23">
        <v>81005</v>
      </c>
      <c r="I38" s="33" t="s">
        <v>39</v>
      </c>
      <c r="J38" s="23">
        <v>55507870</v>
      </c>
      <c r="K38" s="23" t="s">
        <v>3179</v>
      </c>
      <c r="L38" s="23" t="s">
        <v>3180</v>
      </c>
      <c r="M38" s="41">
        <v>179900</v>
      </c>
      <c r="N38" s="22" t="str">
        <f t="shared" si="3"/>
        <v>BXGY</v>
      </c>
      <c r="O38" s="33" t="str">
        <f t="shared" si="3"/>
        <v>B1G1</v>
      </c>
      <c r="P38" s="22" t="str">
        <f t="shared" si="4"/>
        <v>BXGY</v>
      </c>
    </row>
    <row r="39" spans="1:16" x14ac:dyDescent="0.35">
      <c r="A39" s="33" t="str">
        <f t="shared" si="1"/>
        <v>2025 SEPT B1G1</v>
      </c>
      <c r="B39" s="40">
        <f t="shared" ref="B39:C39" si="39">B38</f>
        <v>46104</v>
      </c>
      <c r="C39" s="40">
        <f t="shared" si="39"/>
        <v>46113</v>
      </c>
      <c r="D39" s="33">
        <v>3321</v>
      </c>
      <c r="E39" s="33">
        <v>337</v>
      </c>
      <c r="F39" s="33">
        <v>4</v>
      </c>
      <c r="G39" s="23">
        <v>5</v>
      </c>
      <c r="H39" s="23">
        <v>81005</v>
      </c>
      <c r="I39" s="33" t="s">
        <v>39</v>
      </c>
      <c r="J39" s="23">
        <v>55507889</v>
      </c>
      <c r="K39" s="23" t="s">
        <v>3179</v>
      </c>
      <c r="L39" s="23" t="s">
        <v>3182</v>
      </c>
      <c r="M39" s="41">
        <v>179900</v>
      </c>
      <c r="N39" s="22" t="str">
        <f t="shared" si="3"/>
        <v>BXGY</v>
      </c>
      <c r="O39" s="33" t="str">
        <f t="shared" si="3"/>
        <v>B1G1</v>
      </c>
      <c r="P39" s="22" t="str">
        <f t="shared" si="4"/>
        <v>BXGY</v>
      </c>
    </row>
    <row r="40" spans="1:16" x14ac:dyDescent="0.35">
      <c r="A40" s="33" t="str">
        <f t="shared" si="1"/>
        <v>2025 SEPT B1G1</v>
      </c>
      <c r="B40" s="40">
        <f t="shared" ref="B40:C40" si="40">B39</f>
        <v>46104</v>
      </c>
      <c r="C40" s="40">
        <f t="shared" si="40"/>
        <v>46113</v>
      </c>
      <c r="D40" s="33">
        <v>3321</v>
      </c>
      <c r="E40" s="33">
        <v>337</v>
      </c>
      <c r="F40" s="33">
        <v>4</v>
      </c>
      <c r="G40" s="23">
        <v>5</v>
      </c>
      <c r="H40" s="23">
        <v>81005</v>
      </c>
      <c r="I40" s="33" t="s">
        <v>39</v>
      </c>
      <c r="J40" s="23">
        <v>55507898</v>
      </c>
      <c r="K40" s="23" t="s">
        <v>3179</v>
      </c>
      <c r="L40" s="23" t="s">
        <v>3183</v>
      </c>
      <c r="M40" s="41">
        <v>179900</v>
      </c>
      <c r="N40" s="22" t="str">
        <f t="shared" si="3"/>
        <v>BXGY</v>
      </c>
      <c r="O40" s="33" t="str">
        <f t="shared" si="3"/>
        <v>B1G1</v>
      </c>
      <c r="P40" s="22" t="str">
        <f t="shared" si="4"/>
        <v>BXGY</v>
      </c>
    </row>
    <row r="41" spans="1:16" x14ac:dyDescent="0.35">
      <c r="A41" s="33" t="str">
        <f t="shared" si="1"/>
        <v>2025 SEPT B1G1</v>
      </c>
      <c r="B41" s="40">
        <f t="shared" ref="B41:C41" si="41">B40</f>
        <v>46104</v>
      </c>
      <c r="C41" s="40">
        <f t="shared" si="41"/>
        <v>46113</v>
      </c>
      <c r="D41" s="33">
        <v>3321</v>
      </c>
      <c r="E41" s="33">
        <v>337</v>
      </c>
      <c r="F41" s="33">
        <v>4</v>
      </c>
      <c r="G41" s="23">
        <v>5</v>
      </c>
      <c r="H41" s="23">
        <v>81005</v>
      </c>
      <c r="I41" s="33" t="s">
        <v>39</v>
      </c>
      <c r="J41" s="23">
        <v>55507905</v>
      </c>
      <c r="K41" s="23" t="s">
        <v>3179</v>
      </c>
      <c r="L41" s="23" t="s">
        <v>3181</v>
      </c>
      <c r="M41" s="41">
        <v>179900</v>
      </c>
      <c r="N41" s="22" t="str">
        <f t="shared" si="3"/>
        <v>BXGY</v>
      </c>
      <c r="O41" s="33" t="str">
        <f t="shared" si="3"/>
        <v>B1G1</v>
      </c>
      <c r="P41" s="22" t="str">
        <f t="shared" si="4"/>
        <v>BXGY</v>
      </c>
    </row>
    <row r="42" spans="1:16" x14ac:dyDescent="0.35">
      <c r="A42" s="33" t="str">
        <f t="shared" si="1"/>
        <v>2025 SEPT B1G1</v>
      </c>
      <c r="B42" s="40">
        <f t="shared" ref="B42:C42" si="42">B41</f>
        <v>46104</v>
      </c>
      <c r="C42" s="40">
        <f t="shared" si="42"/>
        <v>46113</v>
      </c>
      <c r="D42" s="33">
        <v>3321</v>
      </c>
      <c r="E42" s="33">
        <v>337</v>
      </c>
      <c r="F42" s="33">
        <v>4</v>
      </c>
      <c r="G42" s="23">
        <v>5</v>
      </c>
      <c r="H42" s="23">
        <v>81588</v>
      </c>
      <c r="I42" s="33" t="s">
        <v>39</v>
      </c>
      <c r="J42" s="23">
        <v>55301547</v>
      </c>
      <c r="K42" s="23" t="s">
        <v>3184</v>
      </c>
      <c r="L42" s="23" t="s">
        <v>3187</v>
      </c>
      <c r="M42" s="41">
        <v>149900</v>
      </c>
      <c r="N42" s="22" t="str">
        <f t="shared" si="3"/>
        <v>BXGY</v>
      </c>
      <c r="O42" s="33" t="str">
        <f t="shared" si="3"/>
        <v>B1G1</v>
      </c>
      <c r="P42" s="22" t="str">
        <f t="shared" si="4"/>
        <v>BXGY</v>
      </c>
    </row>
    <row r="43" spans="1:16" x14ac:dyDescent="0.35">
      <c r="A43" s="33" t="str">
        <f t="shared" si="1"/>
        <v>2025 SEPT B1G1</v>
      </c>
      <c r="B43" s="40">
        <f t="shared" ref="B43:C43" si="43">B42</f>
        <v>46104</v>
      </c>
      <c r="C43" s="40">
        <f t="shared" si="43"/>
        <v>46113</v>
      </c>
      <c r="D43" s="33">
        <v>3321</v>
      </c>
      <c r="E43" s="33">
        <v>337</v>
      </c>
      <c r="F43" s="33">
        <v>4</v>
      </c>
      <c r="G43" s="23">
        <v>5</v>
      </c>
      <c r="H43" s="23">
        <v>81588</v>
      </c>
      <c r="I43" s="33" t="s">
        <v>39</v>
      </c>
      <c r="J43" s="23">
        <v>55301556</v>
      </c>
      <c r="K43" s="23" t="s">
        <v>3184</v>
      </c>
      <c r="L43" s="23" t="s">
        <v>3186</v>
      </c>
      <c r="M43" s="41">
        <v>149900</v>
      </c>
      <c r="N43" s="22" t="str">
        <f t="shared" si="3"/>
        <v>BXGY</v>
      </c>
      <c r="O43" s="33" t="str">
        <f t="shared" si="3"/>
        <v>B1G1</v>
      </c>
      <c r="P43" s="22" t="str">
        <f t="shared" si="4"/>
        <v>BXGY</v>
      </c>
    </row>
    <row r="44" spans="1:16" x14ac:dyDescent="0.35">
      <c r="A44" s="33" t="str">
        <f t="shared" si="1"/>
        <v>2025 SEPT B1G1</v>
      </c>
      <c r="B44" s="40">
        <f t="shared" ref="B44:C44" si="44">B43</f>
        <v>46104</v>
      </c>
      <c r="C44" s="40">
        <f t="shared" si="44"/>
        <v>46113</v>
      </c>
      <c r="D44" s="33">
        <v>3321</v>
      </c>
      <c r="E44" s="33">
        <v>337</v>
      </c>
      <c r="F44" s="33">
        <v>4</v>
      </c>
      <c r="G44" s="23">
        <v>5</v>
      </c>
      <c r="H44" s="23">
        <v>81588</v>
      </c>
      <c r="I44" s="33" t="s">
        <v>39</v>
      </c>
      <c r="J44" s="23">
        <v>55301565</v>
      </c>
      <c r="K44" s="23" t="s">
        <v>3184</v>
      </c>
      <c r="L44" s="23" t="s">
        <v>3185</v>
      </c>
      <c r="M44" s="41">
        <v>149900</v>
      </c>
      <c r="N44" s="22" t="str">
        <f t="shared" si="3"/>
        <v>BXGY</v>
      </c>
      <c r="O44" s="33" t="str">
        <f t="shared" si="3"/>
        <v>B1G1</v>
      </c>
      <c r="P44" s="22" t="str">
        <f t="shared" si="4"/>
        <v>BXGY</v>
      </c>
    </row>
    <row r="45" spans="1:16" x14ac:dyDescent="0.35">
      <c r="A45" s="33" t="str">
        <f t="shared" si="1"/>
        <v>2025 SEPT B1G1</v>
      </c>
      <c r="B45" s="40">
        <f t="shared" ref="B45:C45" si="45">B44</f>
        <v>46104</v>
      </c>
      <c r="C45" s="40">
        <f t="shared" si="45"/>
        <v>46113</v>
      </c>
      <c r="D45" s="33">
        <v>3321</v>
      </c>
      <c r="E45" s="33">
        <v>337</v>
      </c>
      <c r="F45" s="33">
        <v>4</v>
      </c>
      <c r="G45" s="23">
        <v>5</v>
      </c>
      <c r="H45" s="23">
        <v>81588</v>
      </c>
      <c r="I45" s="33" t="s">
        <v>39</v>
      </c>
      <c r="J45" s="23">
        <v>55301574</v>
      </c>
      <c r="K45" s="23" t="s">
        <v>3184</v>
      </c>
      <c r="L45" s="23" t="s">
        <v>3188</v>
      </c>
      <c r="M45" s="41">
        <v>149900</v>
      </c>
      <c r="N45" s="22" t="str">
        <f t="shared" si="3"/>
        <v>BXGY</v>
      </c>
      <c r="O45" s="33" t="str">
        <f t="shared" si="3"/>
        <v>B1G1</v>
      </c>
      <c r="P45" s="22" t="str">
        <f t="shared" si="4"/>
        <v>BXGY</v>
      </c>
    </row>
    <row r="46" spans="1:16" x14ac:dyDescent="0.35">
      <c r="A46" s="33" t="str">
        <f t="shared" si="1"/>
        <v>2025 SEPT B1G1</v>
      </c>
      <c r="B46" s="40">
        <f t="shared" ref="B46:C46" si="46">B45</f>
        <v>46104</v>
      </c>
      <c r="C46" s="40">
        <f t="shared" si="46"/>
        <v>46113</v>
      </c>
      <c r="D46" s="33">
        <v>3321</v>
      </c>
      <c r="E46" s="33">
        <v>337</v>
      </c>
      <c r="F46" s="33">
        <v>4</v>
      </c>
      <c r="G46" s="23">
        <v>5</v>
      </c>
      <c r="H46" s="23">
        <v>81588</v>
      </c>
      <c r="I46" s="33" t="s">
        <v>39</v>
      </c>
      <c r="J46" s="23">
        <v>61094528</v>
      </c>
      <c r="K46" s="23" t="s">
        <v>3189</v>
      </c>
      <c r="L46" s="23" t="s">
        <v>3192</v>
      </c>
      <c r="M46" s="41">
        <v>179900</v>
      </c>
      <c r="N46" s="22" t="str">
        <f t="shared" si="3"/>
        <v>BXGY</v>
      </c>
      <c r="O46" s="33" t="str">
        <f t="shared" si="3"/>
        <v>B1G1</v>
      </c>
      <c r="P46" s="22" t="str">
        <f t="shared" si="4"/>
        <v>BXGY</v>
      </c>
    </row>
    <row r="47" spans="1:16" x14ac:dyDescent="0.35">
      <c r="A47" s="33" t="str">
        <f t="shared" si="1"/>
        <v>2025 SEPT B1G1</v>
      </c>
      <c r="B47" s="40">
        <f t="shared" ref="B47:C47" si="47">B46</f>
        <v>46104</v>
      </c>
      <c r="C47" s="40">
        <f t="shared" si="47"/>
        <v>46113</v>
      </c>
      <c r="D47" s="33">
        <v>3321</v>
      </c>
      <c r="E47" s="33">
        <v>337</v>
      </c>
      <c r="F47" s="33">
        <v>4</v>
      </c>
      <c r="G47" s="23">
        <v>5</v>
      </c>
      <c r="H47" s="23">
        <v>81588</v>
      </c>
      <c r="I47" s="33" t="s">
        <v>39</v>
      </c>
      <c r="J47" s="23">
        <v>61094537</v>
      </c>
      <c r="K47" s="23" t="s">
        <v>3189</v>
      </c>
      <c r="L47" s="23" t="s">
        <v>3191</v>
      </c>
      <c r="M47" s="41">
        <v>179900</v>
      </c>
      <c r="N47" s="22" t="str">
        <f t="shared" si="3"/>
        <v>BXGY</v>
      </c>
      <c r="O47" s="33" t="str">
        <f t="shared" si="3"/>
        <v>B1G1</v>
      </c>
      <c r="P47" s="22" t="str">
        <f t="shared" si="4"/>
        <v>BXGY</v>
      </c>
    </row>
    <row r="48" spans="1:16" x14ac:dyDescent="0.35">
      <c r="A48" s="33" t="str">
        <f t="shared" si="1"/>
        <v>2025 SEPT B1G1</v>
      </c>
      <c r="B48" s="40">
        <f t="shared" ref="B48:C48" si="48">B47</f>
        <v>46104</v>
      </c>
      <c r="C48" s="40">
        <f t="shared" si="48"/>
        <v>46113</v>
      </c>
      <c r="D48" s="33">
        <v>3321</v>
      </c>
      <c r="E48" s="33">
        <v>337</v>
      </c>
      <c r="F48" s="33">
        <v>4</v>
      </c>
      <c r="G48" s="23">
        <v>5</v>
      </c>
      <c r="H48" s="23">
        <v>81588</v>
      </c>
      <c r="I48" s="33" t="s">
        <v>39</v>
      </c>
      <c r="J48" s="23">
        <v>61094546</v>
      </c>
      <c r="K48" s="23" t="s">
        <v>3189</v>
      </c>
      <c r="L48" s="23" t="s">
        <v>3193</v>
      </c>
      <c r="M48" s="41">
        <v>179900</v>
      </c>
      <c r="N48" s="22" t="str">
        <f t="shared" si="3"/>
        <v>BXGY</v>
      </c>
      <c r="O48" s="33" t="str">
        <f t="shared" si="3"/>
        <v>B1G1</v>
      </c>
      <c r="P48" s="22" t="str">
        <f t="shared" si="4"/>
        <v>BXGY</v>
      </c>
    </row>
    <row r="49" spans="1:16" x14ac:dyDescent="0.35">
      <c r="A49" s="33" t="str">
        <f t="shared" si="1"/>
        <v>2025 SEPT B1G1</v>
      </c>
      <c r="B49" s="40">
        <f t="shared" ref="B49:C49" si="49">B48</f>
        <v>46104</v>
      </c>
      <c r="C49" s="40">
        <f t="shared" si="49"/>
        <v>46113</v>
      </c>
      <c r="D49" s="33">
        <v>3321</v>
      </c>
      <c r="E49" s="33">
        <v>337</v>
      </c>
      <c r="F49" s="33">
        <v>4</v>
      </c>
      <c r="G49" s="23">
        <v>5</v>
      </c>
      <c r="H49" s="23">
        <v>81588</v>
      </c>
      <c r="I49" s="33" t="s">
        <v>39</v>
      </c>
      <c r="J49" s="23">
        <v>61094555</v>
      </c>
      <c r="K49" s="23" t="s">
        <v>3189</v>
      </c>
      <c r="L49" s="23" t="s">
        <v>3190</v>
      </c>
      <c r="M49" s="41">
        <v>179900</v>
      </c>
      <c r="N49" s="22" t="str">
        <f t="shared" si="3"/>
        <v>BXGY</v>
      </c>
      <c r="O49" s="33" t="str">
        <f t="shared" si="3"/>
        <v>B1G1</v>
      </c>
      <c r="P49" s="22" t="str">
        <f t="shared" si="4"/>
        <v>BXGY</v>
      </c>
    </row>
    <row r="50" spans="1:16" x14ac:dyDescent="0.35">
      <c r="A50" s="33" t="str">
        <f t="shared" si="1"/>
        <v>2025 SEPT B1G1</v>
      </c>
      <c r="B50" s="40">
        <f t="shared" ref="B50:C50" si="50">B49</f>
        <v>46104</v>
      </c>
      <c r="C50" s="40">
        <f t="shared" si="50"/>
        <v>46113</v>
      </c>
      <c r="D50" s="33">
        <v>3321</v>
      </c>
      <c r="E50" s="33">
        <v>337</v>
      </c>
      <c r="F50" s="33">
        <v>4</v>
      </c>
      <c r="G50" s="23">
        <v>5</v>
      </c>
      <c r="H50" s="23">
        <v>81588</v>
      </c>
      <c r="I50" s="33" t="s">
        <v>39</v>
      </c>
      <c r="J50" s="23">
        <v>55301583</v>
      </c>
      <c r="K50" s="23" t="s">
        <v>3194</v>
      </c>
      <c r="L50" s="23" t="s">
        <v>3195</v>
      </c>
      <c r="M50" s="41">
        <v>149900</v>
      </c>
      <c r="N50" s="22" t="str">
        <f t="shared" si="3"/>
        <v>BXGY</v>
      </c>
      <c r="O50" s="33" t="str">
        <f t="shared" si="3"/>
        <v>B1G1</v>
      </c>
      <c r="P50" s="22" t="str">
        <f t="shared" si="4"/>
        <v>BXGY</v>
      </c>
    </row>
    <row r="51" spans="1:16" x14ac:dyDescent="0.35">
      <c r="A51" s="33" t="str">
        <f t="shared" si="1"/>
        <v>2025 SEPT B1G1</v>
      </c>
      <c r="B51" s="40">
        <f t="shared" ref="B51:C51" si="51">B50</f>
        <v>46104</v>
      </c>
      <c r="C51" s="40">
        <f t="shared" si="51"/>
        <v>46113</v>
      </c>
      <c r="D51" s="33">
        <v>3321</v>
      </c>
      <c r="E51" s="33">
        <v>337</v>
      </c>
      <c r="F51" s="33">
        <v>4</v>
      </c>
      <c r="G51" s="23">
        <v>5</v>
      </c>
      <c r="H51" s="23">
        <v>81588</v>
      </c>
      <c r="I51" s="33" t="s">
        <v>39</v>
      </c>
      <c r="J51" s="23">
        <v>55301592</v>
      </c>
      <c r="K51" s="23" t="s">
        <v>3194</v>
      </c>
      <c r="L51" s="23" t="s">
        <v>3198</v>
      </c>
      <c r="M51" s="41">
        <v>149900</v>
      </c>
      <c r="N51" s="22" t="str">
        <f t="shared" si="3"/>
        <v>BXGY</v>
      </c>
      <c r="O51" s="33" t="str">
        <f t="shared" si="3"/>
        <v>B1G1</v>
      </c>
      <c r="P51" s="22" t="str">
        <f t="shared" si="4"/>
        <v>BXGY</v>
      </c>
    </row>
    <row r="52" spans="1:16" x14ac:dyDescent="0.35">
      <c r="A52" s="33" t="str">
        <f t="shared" si="1"/>
        <v>2025 SEPT B1G1</v>
      </c>
      <c r="B52" s="40">
        <f t="shared" ref="B52:C52" si="52">B51</f>
        <v>46104</v>
      </c>
      <c r="C52" s="40">
        <f t="shared" si="52"/>
        <v>46113</v>
      </c>
      <c r="D52" s="33">
        <v>3321</v>
      </c>
      <c r="E52" s="33">
        <v>337</v>
      </c>
      <c r="F52" s="33">
        <v>4</v>
      </c>
      <c r="G52" s="23">
        <v>5</v>
      </c>
      <c r="H52" s="23">
        <v>81588</v>
      </c>
      <c r="I52" s="33" t="s">
        <v>39</v>
      </c>
      <c r="J52" s="23">
        <v>55301609</v>
      </c>
      <c r="K52" s="23" t="s">
        <v>3194</v>
      </c>
      <c r="L52" s="23" t="s">
        <v>3197</v>
      </c>
      <c r="M52" s="41">
        <v>149900</v>
      </c>
      <c r="N52" s="22" t="str">
        <f t="shared" si="3"/>
        <v>BXGY</v>
      </c>
      <c r="O52" s="33" t="str">
        <f t="shared" si="3"/>
        <v>B1G1</v>
      </c>
      <c r="P52" s="22" t="str">
        <f t="shared" si="4"/>
        <v>BXGY</v>
      </c>
    </row>
    <row r="53" spans="1:16" x14ac:dyDescent="0.35">
      <c r="A53" s="33" t="str">
        <f t="shared" si="1"/>
        <v>2025 SEPT B1G1</v>
      </c>
      <c r="B53" s="40">
        <f t="shared" ref="B53:C53" si="53">B52</f>
        <v>46104</v>
      </c>
      <c r="C53" s="40">
        <f t="shared" si="53"/>
        <v>46113</v>
      </c>
      <c r="D53" s="33">
        <v>3321</v>
      </c>
      <c r="E53" s="33">
        <v>337</v>
      </c>
      <c r="F53" s="33">
        <v>4</v>
      </c>
      <c r="G53" s="23">
        <v>1</v>
      </c>
      <c r="H53" s="23">
        <v>81588</v>
      </c>
      <c r="I53" s="33" t="s">
        <v>39</v>
      </c>
      <c r="J53" s="23">
        <v>55301618</v>
      </c>
      <c r="K53" s="23" t="s">
        <v>3194</v>
      </c>
      <c r="L53" s="23" t="s">
        <v>3196</v>
      </c>
      <c r="M53" s="41">
        <v>149900</v>
      </c>
      <c r="N53" s="22" t="str">
        <f t="shared" si="3"/>
        <v>BXGY</v>
      </c>
      <c r="O53" s="33" t="str">
        <f t="shared" si="3"/>
        <v>B1G1</v>
      </c>
      <c r="P53" s="22" t="str">
        <f t="shared" si="4"/>
        <v>BXGY</v>
      </c>
    </row>
    <row r="54" spans="1:16" x14ac:dyDescent="0.35">
      <c r="A54" s="33" t="str">
        <f t="shared" si="1"/>
        <v>2025 SEPT B1G1</v>
      </c>
      <c r="B54" s="40">
        <f t="shared" ref="B54:C54" si="54">B53</f>
        <v>46104</v>
      </c>
      <c r="C54" s="40">
        <f t="shared" si="54"/>
        <v>46113</v>
      </c>
      <c r="D54" s="33">
        <v>3321</v>
      </c>
      <c r="E54" s="33">
        <v>337</v>
      </c>
      <c r="F54" s="33">
        <v>4</v>
      </c>
      <c r="G54" s="23">
        <v>1</v>
      </c>
      <c r="H54" s="23">
        <v>81588</v>
      </c>
      <c r="I54" s="33" t="s">
        <v>39</v>
      </c>
      <c r="J54" s="23">
        <v>55301001</v>
      </c>
      <c r="K54" s="23" t="s">
        <v>3135</v>
      </c>
      <c r="L54" s="23" t="s">
        <v>3147</v>
      </c>
      <c r="M54" s="41">
        <v>99900</v>
      </c>
      <c r="N54" s="22" t="str">
        <f t="shared" si="3"/>
        <v>BXGY</v>
      </c>
      <c r="O54" s="33" t="str">
        <f t="shared" si="3"/>
        <v>B1G1</v>
      </c>
      <c r="P54" s="22" t="str">
        <f t="shared" si="4"/>
        <v>BXGY</v>
      </c>
    </row>
    <row r="55" spans="1:16" x14ac:dyDescent="0.35">
      <c r="A55" s="33" t="str">
        <f t="shared" si="1"/>
        <v>2025 SEPT B1G1</v>
      </c>
      <c r="B55" s="40">
        <f t="shared" ref="B55:C55" si="55">B54</f>
        <v>46104</v>
      </c>
      <c r="C55" s="40">
        <f t="shared" si="55"/>
        <v>46113</v>
      </c>
      <c r="D55" s="33">
        <v>3321</v>
      </c>
      <c r="E55" s="33">
        <v>337</v>
      </c>
      <c r="F55" s="33">
        <v>4</v>
      </c>
      <c r="G55" s="23">
        <v>1</v>
      </c>
      <c r="H55" s="23">
        <v>81588</v>
      </c>
      <c r="I55" s="33" t="s">
        <v>39</v>
      </c>
      <c r="J55" s="23">
        <v>55301010</v>
      </c>
      <c r="K55" s="23" t="s">
        <v>3135</v>
      </c>
      <c r="L55" s="23" t="s">
        <v>3144</v>
      </c>
      <c r="M55" s="41">
        <v>99900</v>
      </c>
      <c r="N55" s="22" t="str">
        <f t="shared" si="3"/>
        <v>BXGY</v>
      </c>
      <c r="O55" s="33" t="str">
        <f t="shared" si="3"/>
        <v>B1G1</v>
      </c>
      <c r="P55" s="22" t="str">
        <f t="shared" si="4"/>
        <v>BXGY</v>
      </c>
    </row>
    <row r="56" spans="1:16" x14ac:dyDescent="0.35">
      <c r="A56" s="33" t="str">
        <f t="shared" si="1"/>
        <v>2025 SEPT B1G1</v>
      </c>
      <c r="B56" s="40">
        <f t="shared" ref="B56:C56" si="56">B55</f>
        <v>46104</v>
      </c>
      <c r="C56" s="40">
        <f t="shared" si="56"/>
        <v>46113</v>
      </c>
      <c r="D56" s="33">
        <v>3321</v>
      </c>
      <c r="E56" s="33">
        <v>337</v>
      </c>
      <c r="F56" s="33">
        <v>4</v>
      </c>
      <c r="G56" s="23">
        <v>1</v>
      </c>
      <c r="H56" s="23">
        <v>81588</v>
      </c>
      <c r="I56" s="33" t="s">
        <v>39</v>
      </c>
      <c r="J56" s="23">
        <v>55301029</v>
      </c>
      <c r="K56" s="23" t="s">
        <v>3135</v>
      </c>
      <c r="L56" s="23" t="s">
        <v>3145</v>
      </c>
      <c r="M56" s="41">
        <v>99900</v>
      </c>
      <c r="N56" s="22" t="str">
        <f t="shared" si="3"/>
        <v>BXGY</v>
      </c>
      <c r="O56" s="33" t="str">
        <f t="shared" si="3"/>
        <v>B1G1</v>
      </c>
      <c r="P56" s="22" t="str">
        <f t="shared" si="4"/>
        <v>BXGY</v>
      </c>
    </row>
    <row r="57" spans="1:16" x14ac:dyDescent="0.35">
      <c r="A57" s="33" t="str">
        <f t="shared" si="1"/>
        <v>2025 SEPT B1G1</v>
      </c>
      <c r="B57" s="40">
        <f t="shared" ref="B57:C57" si="57">B56</f>
        <v>46104</v>
      </c>
      <c r="C57" s="40">
        <f t="shared" si="57"/>
        <v>46113</v>
      </c>
      <c r="D57" s="33">
        <v>3321</v>
      </c>
      <c r="E57" s="33">
        <v>337</v>
      </c>
      <c r="F57" s="33">
        <v>4</v>
      </c>
      <c r="G57" s="23">
        <v>1</v>
      </c>
      <c r="H57" s="23">
        <v>81588</v>
      </c>
      <c r="I57" s="33" t="s">
        <v>39</v>
      </c>
      <c r="J57" s="23">
        <v>55301038</v>
      </c>
      <c r="K57" s="23" t="s">
        <v>3135</v>
      </c>
      <c r="L57" s="23" t="s">
        <v>3148</v>
      </c>
      <c r="M57" s="41">
        <v>99900</v>
      </c>
      <c r="N57" s="22" t="str">
        <f t="shared" si="3"/>
        <v>BXGY</v>
      </c>
      <c r="O57" s="33" t="str">
        <f t="shared" si="3"/>
        <v>B1G1</v>
      </c>
      <c r="P57" s="22" t="str">
        <f t="shared" si="4"/>
        <v>BXGY</v>
      </c>
    </row>
    <row r="58" spans="1:16" x14ac:dyDescent="0.35">
      <c r="A58" s="33" t="str">
        <f t="shared" si="1"/>
        <v>2025 SEPT B1G1</v>
      </c>
      <c r="B58" s="40">
        <f t="shared" ref="B58:C58" si="58">B57</f>
        <v>46104</v>
      </c>
      <c r="C58" s="40">
        <f t="shared" si="58"/>
        <v>46113</v>
      </c>
      <c r="D58" s="33">
        <v>3321</v>
      </c>
      <c r="E58" s="33">
        <v>337</v>
      </c>
      <c r="F58" s="33">
        <v>4</v>
      </c>
      <c r="G58" s="23">
        <v>1</v>
      </c>
      <c r="H58" s="23">
        <v>81588</v>
      </c>
      <c r="I58" s="33" t="s">
        <v>39</v>
      </c>
      <c r="J58" s="23">
        <v>55301047</v>
      </c>
      <c r="K58" s="23" t="s">
        <v>3135</v>
      </c>
      <c r="L58" s="23" t="s">
        <v>3149</v>
      </c>
      <c r="M58" s="41">
        <v>99900</v>
      </c>
      <c r="N58" s="22" t="str">
        <f t="shared" si="3"/>
        <v>BXGY</v>
      </c>
      <c r="O58" s="33" t="str">
        <f t="shared" si="3"/>
        <v>B1G1</v>
      </c>
      <c r="P58" s="22" t="str">
        <f t="shared" si="4"/>
        <v>BXGY</v>
      </c>
    </row>
    <row r="59" spans="1:16" x14ac:dyDescent="0.35">
      <c r="A59" s="33" t="str">
        <f t="shared" si="1"/>
        <v>2025 SEPT B1G1</v>
      </c>
      <c r="B59" s="40">
        <f t="shared" ref="B59:C59" si="59">B58</f>
        <v>46104</v>
      </c>
      <c r="C59" s="40">
        <f t="shared" si="59"/>
        <v>46113</v>
      </c>
      <c r="D59" s="33">
        <v>3321</v>
      </c>
      <c r="E59" s="33">
        <v>337</v>
      </c>
      <c r="F59" s="33">
        <v>4</v>
      </c>
      <c r="G59" s="23">
        <v>3</v>
      </c>
      <c r="H59" s="23">
        <v>81588</v>
      </c>
      <c r="I59" s="33" t="s">
        <v>39</v>
      </c>
      <c r="J59" s="23">
        <v>55301056</v>
      </c>
      <c r="K59" s="23" t="s">
        <v>3135</v>
      </c>
      <c r="L59" s="23" t="s">
        <v>3146</v>
      </c>
      <c r="M59" s="41">
        <v>99900</v>
      </c>
      <c r="N59" s="22" t="str">
        <f t="shared" si="3"/>
        <v>BXGY</v>
      </c>
      <c r="O59" s="33" t="str">
        <f t="shared" si="3"/>
        <v>B1G1</v>
      </c>
      <c r="P59" s="22" t="str">
        <f t="shared" si="4"/>
        <v>BXGY</v>
      </c>
    </row>
    <row r="60" spans="1:16" x14ac:dyDescent="0.35">
      <c r="A60" s="33" t="str">
        <f t="shared" si="1"/>
        <v>2025 SEPT B1G1</v>
      </c>
      <c r="B60" s="40">
        <f t="shared" ref="B60:C60" si="60">B59</f>
        <v>46104</v>
      </c>
      <c r="C60" s="40">
        <f t="shared" si="60"/>
        <v>46113</v>
      </c>
      <c r="D60" s="33">
        <v>3321</v>
      </c>
      <c r="E60" s="33">
        <v>337</v>
      </c>
      <c r="F60" s="33">
        <v>4</v>
      </c>
      <c r="G60" s="23">
        <v>3</v>
      </c>
      <c r="H60" s="23">
        <v>81005</v>
      </c>
      <c r="I60" s="33" t="s">
        <v>39</v>
      </c>
      <c r="J60" s="23">
        <v>55301341</v>
      </c>
      <c r="K60" s="23" t="s">
        <v>3162</v>
      </c>
      <c r="L60" s="23" t="s">
        <v>3165</v>
      </c>
      <c r="M60" s="41">
        <v>199900</v>
      </c>
      <c r="N60" s="22" t="str">
        <f t="shared" si="3"/>
        <v>BXGY</v>
      </c>
      <c r="O60" s="33" t="str">
        <f t="shared" si="3"/>
        <v>B1G1</v>
      </c>
      <c r="P60" s="22" t="str">
        <f t="shared" si="4"/>
        <v>BXGY</v>
      </c>
    </row>
    <row r="61" spans="1:16" x14ac:dyDescent="0.35">
      <c r="A61" s="33" t="str">
        <f t="shared" si="1"/>
        <v>2025 SEPT B1G1</v>
      </c>
      <c r="B61" s="40">
        <f t="shared" ref="B61:C61" si="61">B60</f>
        <v>46104</v>
      </c>
      <c r="C61" s="40">
        <f t="shared" si="61"/>
        <v>46113</v>
      </c>
      <c r="D61" s="33">
        <v>3321</v>
      </c>
      <c r="E61" s="33">
        <v>337</v>
      </c>
      <c r="F61" s="33">
        <v>4</v>
      </c>
      <c r="G61" s="23">
        <v>3</v>
      </c>
      <c r="H61" s="23">
        <v>81005</v>
      </c>
      <c r="I61" s="33" t="s">
        <v>39</v>
      </c>
      <c r="J61" s="23">
        <v>55301350</v>
      </c>
      <c r="K61" s="23" t="s">
        <v>3162</v>
      </c>
      <c r="L61" s="23" t="s">
        <v>3167</v>
      </c>
      <c r="M61" s="41">
        <v>199900</v>
      </c>
      <c r="N61" s="22" t="str">
        <f t="shared" si="3"/>
        <v>BXGY</v>
      </c>
      <c r="O61" s="33" t="str">
        <f t="shared" si="3"/>
        <v>B1G1</v>
      </c>
      <c r="P61" s="22" t="str">
        <f t="shared" si="4"/>
        <v>BXGY</v>
      </c>
    </row>
    <row r="62" spans="1:16" x14ac:dyDescent="0.35">
      <c r="A62" s="33" t="str">
        <f t="shared" si="1"/>
        <v>2025 SEPT B1G1</v>
      </c>
      <c r="B62" s="40">
        <f t="shared" ref="B62:C62" si="62">B61</f>
        <v>46104</v>
      </c>
      <c r="C62" s="40">
        <f t="shared" si="62"/>
        <v>46113</v>
      </c>
      <c r="D62" s="33">
        <v>3321</v>
      </c>
      <c r="E62" s="33">
        <v>337</v>
      </c>
      <c r="F62" s="33">
        <v>4</v>
      </c>
      <c r="G62" s="23">
        <v>3</v>
      </c>
      <c r="H62" s="23">
        <v>81005</v>
      </c>
      <c r="I62" s="33" t="s">
        <v>39</v>
      </c>
      <c r="J62" s="23">
        <v>55301369</v>
      </c>
      <c r="K62" s="23" t="s">
        <v>3162</v>
      </c>
      <c r="L62" s="23" t="s">
        <v>3168</v>
      </c>
      <c r="M62" s="41">
        <v>199900</v>
      </c>
      <c r="N62" s="22" t="str">
        <f t="shared" si="3"/>
        <v>BXGY</v>
      </c>
      <c r="O62" s="33" t="str">
        <f t="shared" si="3"/>
        <v>B1G1</v>
      </c>
      <c r="P62" s="22" t="str">
        <f t="shared" si="4"/>
        <v>BXGY</v>
      </c>
    </row>
    <row r="63" spans="1:16" x14ac:dyDescent="0.35">
      <c r="A63" s="33" t="str">
        <f t="shared" si="1"/>
        <v>2025 SEPT B1G1</v>
      </c>
      <c r="B63" s="40">
        <f t="shared" ref="B63:C63" si="63">B62</f>
        <v>46104</v>
      </c>
      <c r="C63" s="40">
        <f t="shared" si="63"/>
        <v>46113</v>
      </c>
      <c r="D63" s="33">
        <v>3321</v>
      </c>
      <c r="E63" s="33">
        <v>337</v>
      </c>
      <c r="F63" s="33">
        <v>4</v>
      </c>
      <c r="G63" s="23">
        <v>3</v>
      </c>
      <c r="H63" s="23">
        <v>81005</v>
      </c>
      <c r="I63" s="33" t="s">
        <v>39</v>
      </c>
      <c r="J63" s="23">
        <v>55301378</v>
      </c>
      <c r="K63" s="23" t="s">
        <v>3162</v>
      </c>
      <c r="L63" s="23" t="s">
        <v>3163</v>
      </c>
      <c r="M63" s="41">
        <v>199900</v>
      </c>
      <c r="N63" s="22" t="str">
        <f t="shared" si="3"/>
        <v>BXGY</v>
      </c>
      <c r="O63" s="33" t="str">
        <f t="shared" si="3"/>
        <v>B1G1</v>
      </c>
      <c r="P63" s="22" t="str">
        <f t="shared" si="4"/>
        <v>BXGY</v>
      </c>
    </row>
    <row r="64" spans="1:16" x14ac:dyDescent="0.35">
      <c r="A64" s="33" t="str">
        <f t="shared" si="1"/>
        <v>2025 SEPT B1G1</v>
      </c>
      <c r="B64" s="40">
        <f t="shared" ref="B64:C64" si="64">B63</f>
        <v>46104</v>
      </c>
      <c r="C64" s="40">
        <f t="shared" si="64"/>
        <v>46113</v>
      </c>
      <c r="D64" s="33">
        <v>3321</v>
      </c>
      <c r="E64" s="33">
        <v>337</v>
      </c>
      <c r="F64" s="33">
        <v>4</v>
      </c>
      <c r="G64" s="23">
        <v>3</v>
      </c>
      <c r="H64" s="23">
        <v>81005</v>
      </c>
      <c r="I64" s="33" t="s">
        <v>39</v>
      </c>
      <c r="J64" s="23">
        <v>55301387</v>
      </c>
      <c r="K64" s="23" t="s">
        <v>3162</v>
      </c>
      <c r="L64" s="23" t="s">
        <v>3164</v>
      </c>
      <c r="M64" s="41">
        <v>199900</v>
      </c>
      <c r="N64" s="22" t="str">
        <f t="shared" si="3"/>
        <v>BXGY</v>
      </c>
      <c r="O64" s="33" t="str">
        <f t="shared" si="3"/>
        <v>B1G1</v>
      </c>
      <c r="P64" s="22" t="str">
        <f t="shared" si="4"/>
        <v>BXGY</v>
      </c>
    </row>
    <row r="65" spans="1:16" x14ac:dyDescent="0.35">
      <c r="A65" s="33" t="str">
        <f t="shared" si="1"/>
        <v>2025 SEPT B1G1</v>
      </c>
      <c r="B65" s="40">
        <f t="shared" ref="B65:C65" si="65">B64</f>
        <v>46104</v>
      </c>
      <c r="C65" s="40">
        <f t="shared" si="65"/>
        <v>46113</v>
      </c>
      <c r="D65" s="33">
        <v>3321</v>
      </c>
      <c r="E65" s="33">
        <v>337</v>
      </c>
      <c r="F65" s="33">
        <v>4</v>
      </c>
      <c r="G65" s="23">
        <v>4</v>
      </c>
      <c r="H65" s="23">
        <v>81005</v>
      </c>
      <c r="I65" s="33" t="s">
        <v>39</v>
      </c>
      <c r="J65" s="23">
        <v>55301396</v>
      </c>
      <c r="K65" s="23" t="s">
        <v>3162</v>
      </c>
      <c r="L65" s="23" t="s">
        <v>3166</v>
      </c>
      <c r="M65" s="41">
        <v>199900</v>
      </c>
      <c r="N65" s="22" t="str">
        <f t="shared" si="3"/>
        <v>BXGY</v>
      </c>
      <c r="O65" s="33" t="str">
        <f t="shared" si="3"/>
        <v>B1G1</v>
      </c>
      <c r="P65" s="22" t="str">
        <f t="shared" si="4"/>
        <v>BXGY</v>
      </c>
    </row>
    <row r="66" spans="1:16" x14ac:dyDescent="0.35">
      <c r="A66" s="33" t="str">
        <f t="shared" si="1"/>
        <v>2025 SEPT B1G1</v>
      </c>
      <c r="B66" s="40">
        <f t="shared" ref="B66:C66" si="66">B65</f>
        <v>46104</v>
      </c>
      <c r="C66" s="40">
        <f t="shared" si="66"/>
        <v>46113</v>
      </c>
      <c r="D66" s="33">
        <v>3321</v>
      </c>
      <c r="E66" s="33">
        <v>337</v>
      </c>
      <c r="F66" s="33">
        <v>4</v>
      </c>
      <c r="G66" s="23">
        <v>4</v>
      </c>
      <c r="H66" s="23">
        <v>81588</v>
      </c>
      <c r="I66" s="33" t="s">
        <v>39</v>
      </c>
      <c r="J66" s="23">
        <v>55507692</v>
      </c>
      <c r="K66" s="23" t="s">
        <v>3155</v>
      </c>
      <c r="L66" s="23" t="s">
        <v>3160</v>
      </c>
      <c r="M66" s="41">
        <v>149900</v>
      </c>
      <c r="N66" s="22" t="str">
        <f t="shared" si="3"/>
        <v>BXGY</v>
      </c>
      <c r="O66" s="33" t="str">
        <f t="shared" si="3"/>
        <v>B1G1</v>
      </c>
      <c r="P66" s="22" t="str">
        <f t="shared" si="4"/>
        <v>BXGY</v>
      </c>
    </row>
    <row r="67" spans="1:16" x14ac:dyDescent="0.35">
      <c r="A67" s="33" t="str">
        <f t="shared" si="1"/>
        <v>2025 SEPT B1G1</v>
      </c>
      <c r="B67" s="40">
        <f t="shared" ref="B67:C67" si="67">B66</f>
        <v>46104</v>
      </c>
      <c r="C67" s="40">
        <f t="shared" si="67"/>
        <v>46113</v>
      </c>
      <c r="D67" s="33">
        <v>3321</v>
      </c>
      <c r="E67" s="33">
        <v>337</v>
      </c>
      <c r="F67" s="33">
        <v>4</v>
      </c>
      <c r="G67" s="23">
        <v>4</v>
      </c>
      <c r="H67" s="23">
        <v>81588</v>
      </c>
      <c r="I67" s="33" t="s">
        <v>39</v>
      </c>
      <c r="J67" s="23">
        <v>55507709</v>
      </c>
      <c r="K67" s="23" t="s">
        <v>3155</v>
      </c>
      <c r="L67" s="23" t="s">
        <v>3156</v>
      </c>
      <c r="M67" s="41">
        <v>149900</v>
      </c>
      <c r="N67" s="22" t="str">
        <f t="shared" si="3"/>
        <v>BXGY</v>
      </c>
      <c r="O67" s="33" t="str">
        <f t="shared" si="3"/>
        <v>B1G1</v>
      </c>
      <c r="P67" s="22" t="str">
        <f t="shared" si="4"/>
        <v>BXGY</v>
      </c>
    </row>
    <row r="68" spans="1:16" x14ac:dyDescent="0.35">
      <c r="A68" s="33" t="str">
        <f t="shared" ref="A68:A71" si="68">A67</f>
        <v>2025 SEPT B1G1</v>
      </c>
      <c r="B68" s="40">
        <f t="shared" ref="B68:C68" si="69">B67</f>
        <v>46104</v>
      </c>
      <c r="C68" s="40">
        <f t="shared" si="69"/>
        <v>46113</v>
      </c>
      <c r="D68" s="33">
        <v>3321</v>
      </c>
      <c r="E68" s="33">
        <v>337</v>
      </c>
      <c r="F68" s="33">
        <v>4</v>
      </c>
      <c r="G68" s="23">
        <v>4</v>
      </c>
      <c r="H68" s="23">
        <v>81588</v>
      </c>
      <c r="I68" s="33" t="s">
        <v>39</v>
      </c>
      <c r="J68" s="23">
        <v>55507718</v>
      </c>
      <c r="K68" s="23" t="s">
        <v>3155</v>
      </c>
      <c r="L68" s="23" t="s">
        <v>3157</v>
      </c>
      <c r="M68" s="41">
        <v>149900</v>
      </c>
      <c r="N68" s="22" t="str">
        <f t="shared" ref="N68:O71" si="70">N67</f>
        <v>BXGY</v>
      </c>
      <c r="O68" s="33" t="str">
        <f t="shared" si="70"/>
        <v>B1G1</v>
      </c>
      <c r="P68" s="22" t="str">
        <f t="shared" ref="P68:P71" si="71">P67</f>
        <v>BXGY</v>
      </c>
    </row>
    <row r="69" spans="1:16" x14ac:dyDescent="0.35">
      <c r="A69" s="33" t="str">
        <f t="shared" si="68"/>
        <v>2025 SEPT B1G1</v>
      </c>
      <c r="B69" s="40">
        <f t="shared" ref="B69:C69" si="72">B68</f>
        <v>46104</v>
      </c>
      <c r="C69" s="40">
        <f t="shared" si="72"/>
        <v>46113</v>
      </c>
      <c r="D69" s="33">
        <v>3321</v>
      </c>
      <c r="E69" s="33">
        <v>337</v>
      </c>
      <c r="F69" s="33">
        <v>4</v>
      </c>
      <c r="G69" s="23">
        <v>4</v>
      </c>
      <c r="H69" s="23">
        <v>81588</v>
      </c>
      <c r="I69" s="33" t="s">
        <v>39</v>
      </c>
      <c r="J69" s="23">
        <v>55507727</v>
      </c>
      <c r="K69" s="23" t="s">
        <v>3155</v>
      </c>
      <c r="L69" s="23" t="s">
        <v>3158</v>
      </c>
      <c r="M69" s="41">
        <v>149900</v>
      </c>
      <c r="N69" s="22" t="str">
        <f t="shared" si="70"/>
        <v>BXGY</v>
      </c>
      <c r="O69" s="33" t="str">
        <f t="shared" si="70"/>
        <v>B1G1</v>
      </c>
      <c r="P69" s="22" t="str">
        <f t="shared" si="71"/>
        <v>BXGY</v>
      </c>
    </row>
    <row r="70" spans="1:16" x14ac:dyDescent="0.35">
      <c r="A70" s="33" t="str">
        <f t="shared" si="68"/>
        <v>2025 SEPT B1G1</v>
      </c>
      <c r="B70" s="40">
        <f t="shared" ref="B70:C70" si="73">B69</f>
        <v>46104</v>
      </c>
      <c r="C70" s="40">
        <f t="shared" si="73"/>
        <v>46113</v>
      </c>
      <c r="D70" s="33">
        <v>3321</v>
      </c>
      <c r="E70" s="33">
        <v>337</v>
      </c>
      <c r="F70" s="33">
        <v>4</v>
      </c>
      <c r="G70" s="23">
        <v>4</v>
      </c>
      <c r="H70" s="23">
        <v>81588</v>
      </c>
      <c r="I70" s="33" t="s">
        <v>39</v>
      </c>
      <c r="J70" s="23">
        <v>55507736</v>
      </c>
      <c r="K70" s="23" t="s">
        <v>3155</v>
      </c>
      <c r="L70" s="23" t="s">
        <v>3161</v>
      </c>
      <c r="M70" s="41">
        <v>149900</v>
      </c>
      <c r="N70" s="22" t="str">
        <f t="shared" si="70"/>
        <v>BXGY</v>
      </c>
      <c r="O70" s="33" t="str">
        <f t="shared" si="70"/>
        <v>B1G1</v>
      </c>
      <c r="P70" s="22" t="str">
        <f t="shared" si="71"/>
        <v>BXGY</v>
      </c>
    </row>
    <row r="71" spans="1:16" x14ac:dyDescent="0.35">
      <c r="A71" s="33" t="str">
        <f t="shared" si="68"/>
        <v>2025 SEPT B1G1</v>
      </c>
      <c r="B71" s="40">
        <f t="shared" ref="B71:C71" si="74">B70</f>
        <v>46104</v>
      </c>
      <c r="C71" s="40">
        <f t="shared" si="74"/>
        <v>46113</v>
      </c>
      <c r="D71" s="33">
        <v>3321</v>
      </c>
      <c r="E71" s="33">
        <v>337</v>
      </c>
      <c r="F71" s="33">
        <v>4</v>
      </c>
      <c r="G71" s="23">
        <v>4</v>
      </c>
      <c r="H71" s="23">
        <v>81588</v>
      </c>
      <c r="I71" s="33" t="s">
        <v>39</v>
      </c>
      <c r="J71" s="23">
        <v>55507745</v>
      </c>
      <c r="K71" s="23" t="s">
        <v>3155</v>
      </c>
      <c r="L71" s="23" t="s">
        <v>3159</v>
      </c>
      <c r="M71" s="41">
        <v>149900</v>
      </c>
      <c r="N71" s="22" t="str">
        <f t="shared" si="70"/>
        <v>BXGY</v>
      </c>
      <c r="O71" s="33" t="str">
        <f t="shared" si="70"/>
        <v>B1G1</v>
      </c>
      <c r="P71" s="22" t="str">
        <f t="shared" si="71"/>
        <v>BXGY</v>
      </c>
    </row>
  </sheetData>
  <autoFilter ref="A1:P1" xr:uid="{A98DA6A5-931F-4C4C-A73C-7E8B7CE9A86D}"/>
  <phoneticPr fontId="8" type="noConversion"/>
  <conditionalFormatting sqref="J1">
    <cfRule type="duplicateValues" dxfId="19" priority="61"/>
    <cfRule type="duplicateValues" dxfId="18" priority="62"/>
    <cfRule type="duplicateValues" dxfId="17" priority="63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BC60E-AE13-44BD-93B6-3A7F8DEBA866}">
  <sheetPr>
    <tabColor rgb="FFFFFF00"/>
  </sheetPr>
  <dimension ref="A1:P208"/>
  <sheetViews>
    <sheetView topLeftCell="C1" zoomScale="66" zoomScaleNormal="115" workbookViewId="0">
      <pane ySplit="1" topLeftCell="A2" activePane="bottomLeft" state="frozen"/>
      <selection activeCell="M23" sqref="M23"/>
      <selection pane="bottomLeft" activeCell="H187" sqref="H187"/>
    </sheetView>
  </sheetViews>
  <sheetFormatPr defaultColWidth="8.6328125" defaultRowHeight="14.5" x14ac:dyDescent="0.35"/>
  <cols>
    <col min="1" max="1" width="24.08984375" style="2" customWidth="1"/>
    <col min="2" max="2" width="16.08984375" style="3" bestFit="1" customWidth="1"/>
    <col min="3" max="3" width="13.36328125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0.90625" style="32" bestFit="1" customWidth="1"/>
    <col min="8" max="8" width="10.6328125" style="32" customWidth="1"/>
    <col min="9" max="9" width="16.54296875" style="2" bestFit="1" customWidth="1"/>
    <col min="10" max="10" width="9.54296875" style="2" bestFit="1" customWidth="1"/>
    <col min="11" max="11" width="13.1796875" style="2" customWidth="1"/>
    <col min="12" max="12" width="46.90625" style="19" customWidth="1"/>
    <col min="13" max="13" width="16.36328125" style="38" customWidth="1"/>
    <col min="14" max="14" width="16.36328125" style="5" customWidth="1"/>
    <col min="15" max="15" width="19.90625" style="4" customWidth="1"/>
    <col min="16" max="16" width="19.90625" style="2" bestFit="1" customWidth="1"/>
    <col min="17" max="16384" width="8.63281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30" t="s">
        <v>3</v>
      </c>
      <c r="H1" s="30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31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14" t="s">
        <v>3341</v>
      </c>
      <c r="B2" s="34">
        <v>46104</v>
      </c>
      <c r="C2" s="34">
        <v>46113</v>
      </c>
      <c r="D2" s="45">
        <v>3321</v>
      </c>
      <c r="E2" s="46">
        <v>337</v>
      </c>
      <c r="F2" s="47">
        <v>4</v>
      </c>
      <c r="G2" s="24">
        <v>4</v>
      </c>
      <c r="H2" s="24">
        <v>81588</v>
      </c>
      <c r="I2" s="33" t="s">
        <v>39</v>
      </c>
      <c r="J2" s="23">
        <v>51607135</v>
      </c>
      <c r="K2" s="23" t="s">
        <v>1839</v>
      </c>
      <c r="L2" s="23" t="s">
        <v>1840</v>
      </c>
      <c r="M2" s="25">
        <v>199900</v>
      </c>
      <c r="N2" s="71">
        <v>0.7</v>
      </c>
      <c r="O2" s="75">
        <f>M2-((70*M2)/100)</f>
        <v>59970</v>
      </c>
      <c r="P2" s="33" t="s">
        <v>16</v>
      </c>
    </row>
    <row r="3" spans="1:16" x14ac:dyDescent="0.35">
      <c r="A3" s="14" t="str">
        <f>A2</f>
        <v>2025 JAN-JUN D70%</v>
      </c>
      <c r="B3" s="34">
        <f>B2</f>
        <v>46104</v>
      </c>
      <c r="C3" s="34">
        <f>C2</f>
        <v>46113</v>
      </c>
      <c r="D3" s="45">
        <v>3321</v>
      </c>
      <c r="E3" s="46">
        <v>337</v>
      </c>
      <c r="F3" s="47">
        <v>4</v>
      </c>
      <c r="G3" s="24">
        <v>4</v>
      </c>
      <c r="H3" s="24">
        <v>81588</v>
      </c>
      <c r="I3" s="33" t="s">
        <v>39</v>
      </c>
      <c r="J3" s="23">
        <v>51607144</v>
      </c>
      <c r="K3" s="23" t="s">
        <v>1839</v>
      </c>
      <c r="L3" s="23" t="s">
        <v>1843</v>
      </c>
      <c r="M3" s="25">
        <v>199900</v>
      </c>
      <c r="N3" s="71">
        <v>0.7</v>
      </c>
      <c r="O3" s="75">
        <f t="shared" ref="O3:O66" si="0">M3-((70*M3)/100)</f>
        <v>59970</v>
      </c>
      <c r="P3" s="35" t="str">
        <f>P2</f>
        <v>PERCENTAGE</v>
      </c>
    </row>
    <row r="4" spans="1:16" x14ac:dyDescent="0.35">
      <c r="A4" s="14" t="str">
        <f t="shared" ref="A4:A67" si="1">A3</f>
        <v>2025 JAN-JUN D70%</v>
      </c>
      <c r="B4" s="34">
        <f t="shared" ref="B4:C5" si="2">B3</f>
        <v>46104</v>
      </c>
      <c r="C4" s="34">
        <f t="shared" si="2"/>
        <v>46113</v>
      </c>
      <c r="D4" s="45">
        <v>3321</v>
      </c>
      <c r="E4" s="46">
        <v>337</v>
      </c>
      <c r="F4" s="47">
        <v>4</v>
      </c>
      <c r="G4" s="24">
        <v>4</v>
      </c>
      <c r="H4" s="24">
        <v>81588</v>
      </c>
      <c r="I4" s="33" t="s">
        <v>39</v>
      </c>
      <c r="J4" s="23">
        <v>51607153</v>
      </c>
      <c r="K4" s="23" t="s">
        <v>1839</v>
      </c>
      <c r="L4" s="23" t="s">
        <v>1841</v>
      </c>
      <c r="M4" s="25">
        <v>199900</v>
      </c>
      <c r="N4" s="71">
        <v>0.7</v>
      </c>
      <c r="O4" s="75">
        <f t="shared" si="0"/>
        <v>59970</v>
      </c>
      <c r="P4" s="35" t="str">
        <f t="shared" ref="P4:P67" si="3">P3</f>
        <v>PERCENTAGE</v>
      </c>
    </row>
    <row r="5" spans="1:16" x14ac:dyDescent="0.35">
      <c r="A5" s="14" t="str">
        <f t="shared" si="1"/>
        <v>2025 JAN-JUN D70%</v>
      </c>
      <c r="B5" s="34">
        <f t="shared" si="2"/>
        <v>46104</v>
      </c>
      <c r="C5" s="34">
        <f t="shared" si="2"/>
        <v>46113</v>
      </c>
      <c r="D5" s="45">
        <v>3321</v>
      </c>
      <c r="E5" s="46">
        <v>337</v>
      </c>
      <c r="F5" s="47">
        <v>4</v>
      </c>
      <c r="G5" s="24">
        <v>4</v>
      </c>
      <c r="H5" s="24">
        <v>81588</v>
      </c>
      <c r="I5" s="33" t="s">
        <v>39</v>
      </c>
      <c r="J5" s="23">
        <v>51607162</v>
      </c>
      <c r="K5" s="23" t="s">
        <v>1839</v>
      </c>
      <c r="L5" s="23" t="s">
        <v>1842</v>
      </c>
      <c r="M5" s="25">
        <v>199900</v>
      </c>
      <c r="N5" s="71">
        <v>0.7</v>
      </c>
      <c r="O5" s="75">
        <f t="shared" si="0"/>
        <v>59970</v>
      </c>
      <c r="P5" s="35" t="str">
        <f t="shared" si="3"/>
        <v>PERCENTAGE</v>
      </c>
    </row>
    <row r="6" spans="1:16" x14ac:dyDescent="0.35">
      <c r="A6" s="14" t="str">
        <f t="shared" si="1"/>
        <v>2025 JAN-JUN D70%</v>
      </c>
      <c r="B6" s="34">
        <f t="shared" ref="B6:B69" si="4">B5</f>
        <v>46104</v>
      </c>
      <c r="C6" s="34">
        <f t="shared" ref="C6:C69" si="5">C5</f>
        <v>46113</v>
      </c>
      <c r="D6" s="45">
        <v>3321</v>
      </c>
      <c r="E6" s="46">
        <v>337</v>
      </c>
      <c r="F6" s="47">
        <v>4</v>
      </c>
      <c r="G6" s="24">
        <v>4</v>
      </c>
      <c r="H6" s="24">
        <v>81588</v>
      </c>
      <c r="I6" s="33" t="s">
        <v>39</v>
      </c>
      <c r="J6" s="23">
        <v>51837191</v>
      </c>
      <c r="K6" s="23" t="s">
        <v>1839</v>
      </c>
      <c r="L6" s="23" t="s">
        <v>1864</v>
      </c>
      <c r="M6" s="25">
        <v>199900</v>
      </c>
      <c r="N6" s="71">
        <v>0.7</v>
      </c>
      <c r="O6" s="75">
        <f t="shared" si="0"/>
        <v>59970</v>
      </c>
      <c r="P6" s="35" t="str">
        <f t="shared" si="3"/>
        <v>PERCENTAGE</v>
      </c>
    </row>
    <row r="7" spans="1:16" x14ac:dyDescent="0.35">
      <c r="A7" s="14" t="str">
        <f t="shared" si="1"/>
        <v>2025 JAN-JUN D70%</v>
      </c>
      <c r="B7" s="34">
        <f t="shared" si="4"/>
        <v>46104</v>
      </c>
      <c r="C7" s="34">
        <f t="shared" si="5"/>
        <v>46113</v>
      </c>
      <c r="D7" s="45">
        <v>3321</v>
      </c>
      <c r="E7" s="46">
        <v>337</v>
      </c>
      <c r="F7" s="47">
        <v>4</v>
      </c>
      <c r="G7" s="24">
        <v>4</v>
      </c>
      <c r="H7" s="24">
        <v>81588</v>
      </c>
      <c r="I7" s="33" t="s">
        <v>39</v>
      </c>
      <c r="J7" s="23">
        <v>51837208</v>
      </c>
      <c r="K7" s="23" t="s">
        <v>1839</v>
      </c>
      <c r="L7" s="23" t="s">
        <v>1865</v>
      </c>
      <c r="M7" s="25">
        <v>199900</v>
      </c>
      <c r="N7" s="71">
        <v>0.7</v>
      </c>
      <c r="O7" s="75">
        <f t="shared" si="0"/>
        <v>59970</v>
      </c>
      <c r="P7" s="35" t="str">
        <f t="shared" si="3"/>
        <v>PERCENTAGE</v>
      </c>
    </row>
    <row r="8" spans="1:16" x14ac:dyDescent="0.35">
      <c r="A8" s="14" t="str">
        <f t="shared" si="1"/>
        <v>2025 JAN-JUN D70%</v>
      </c>
      <c r="B8" s="34">
        <f t="shared" si="4"/>
        <v>46104</v>
      </c>
      <c r="C8" s="34">
        <f t="shared" si="5"/>
        <v>46113</v>
      </c>
      <c r="D8" s="45">
        <v>3321</v>
      </c>
      <c r="E8" s="46">
        <v>337</v>
      </c>
      <c r="F8" s="47">
        <v>4</v>
      </c>
      <c r="G8" s="24">
        <v>5</v>
      </c>
      <c r="H8" s="24">
        <v>190</v>
      </c>
      <c r="I8" s="33" t="s">
        <v>39</v>
      </c>
      <c r="J8" s="23">
        <v>51607019</v>
      </c>
      <c r="K8" s="23" t="s">
        <v>1854</v>
      </c>
      <c r="L8" s="23" t="s">
        <v>1855</v>
      </c>
      <c r="M8" s="25">
        <v>259900</v>
      </c>
      <c r="N8" s="71">
        <v>0.7</v>
      </c>
      <c r="O8" s="75">
        <f t="shared" si="0"/>
        <v>77970</v>
      </c>
      <c r="P8" s="35" t="str">
        <f t="shared" si="3"/>
        <v>PERCENTAGE</v>
      </c>
    </row>
    <row r="9" spans="1:16" x14ac:dyDescent="0.35">
      <c r="A9" s="14" t="str">
        <f t="shared" si="1"/>
        <v>2025 JAN-JUN D70%</v>
      </c>
      <c r="B9" s="34">
        <f t="shared" si="4"/>
        <v>46104</v>
      </c>
      <c r="C9" s="34">
        <f t="shared" si="5"/>
        <v>46113</v>
      </c>
      <c r="D9" s="45">
        <v>3321</v>
      </c>
      <c r="E9" s="46">
        <v>337</v>
      </c>
      <c r="F9" s="47">
        <v>4</v>
      </c>
      <c r="G9" s="24">
        <v>5</v>
      </c>
      <c r="H9" s="24">
        <v>190</v>
      </c>
      <c r="I9" s="33" t="s">
        <v>39</v>
      </c>
      <c r="J9" s="23">
        <v>51607028</v>
      </c>
      <c r="K9" s="23" t="s">
        <v>1854</v>
      </c>
      <c r="L9" s="23" t="s">
        <v>1857</v>
      </c>
      <c r="M9" s="25">
        <v>259900</v>
      </c>
      <c r="N9" s="71">
        <v>0.7</v>
      </c>
      <c r="O9" s="75">
        <f t="shared" si="0"/>
        <v>77970</v>
      </c>
      <c r="P9" s="35" t="str">
        <f t="shared" si="3"/>
        <v>PERCENTAGE</v>
      </c>
    </row>
    <row r="10" spans="1:16" x14ac:dyDescent="0.35">
      <c r="A10" s="14" t="str">
        <f t="shared" si="1"/>
        <v>2025 JAN-JUN D70%</v>
      </c>
      <c r="B10" s="34">
        <f t="shared" si="4"/>
        <v>46104</v>
      </c>
      <c r="C10" s="34">
        <f t="shared" si="5"/>
        <v>46113</v>
      </c>
      <c r="D10" s="45">
        <v>3321</v>
      </c>
      <c r="E10" s="46">
        <v>337</v>
      </c>
      <c r="F10" s="47">
        <v>4</v>
      </c>
      <c r="G10" s="24">
        <v>5</v>
      </c>
      <c r="H10" s="24">
        <v>190</v>
      </c>
      <c r="I10" s="33" t="s">
        <v>39</v>
      </c>
      <c r="J10" s="23">
        <v>51607037</v>
      </c>
      <c r="K10" s="23" t="s">
        <v>1854</v>
      </c>
      <c r="L10" s="23" t="s">
        <v>1856</v>
      </c>
      <c r="M10" s="25">
        <v>259900</v>
      </c>
      <c r="N10" s="71">
        <v>0.7</v>
      </c>
      <c r="O10" s="75">
        <f t="shared" si="0"/>
        <v>77970</v>
      </c>
      <c r="P10" s="35" t="str">
        <f t="shared" si="3"/>
        <v>PERCENTAGE</v>
      </c>
    </row>
    <row r="11" spans="1:16" x14ac:dyDescent="0.35">
      <c r="A11" s="14" t="str">
        <f t="shared" si="1"/>
        <v>2025 JAN-JUN D70%</v>
      </c>
      <c r="B11" s="34">
        <f t="shared" si="4"/>
        <v>46104</v>
      </c>
      <c r="C11" s="34">
        <f t="shared" si="5"/>
        <v>46113</v>
      </c>
      <c r="D11" s="45">
        <v>3321</v>
      </c>
      <c r="E11" s="46">
        <v>337</v>
      </c>
      <c r="F11" s="47">
        <v>4</v>
      </c>
      <c r="G11" s="24">
        <v>5</v>
      </c>
      <c r="H11" s="24">
        <v>190</v>
      </c>
      <c r="I11" s="33" t="s">
        <v>39</v>
      </c>
      <c r="J11" s="23">
        <v>51607046</v>
      </c>
      <c r="K11" s="23" t="s">
        <v>1854</v>
      </c>
      <c r="L11" s="23" t="s">
        <v>1858</v>
      </c>
      <c r="M11" s="25">
        <v>259900</v>
      </c>
      <c r="N11" s="71">
        <v>0.7</v>
      </c>
      <c r="O11" s="75">
        <f t="shared" si="0"/>
        <v>77970</v>
      </c>
      <c r="P11" s="35" t="str">
        <f t="shared" si="3"/>
        <v>PERCENTAGE</v>
      </c>
    </row>
    <row r="12" spans="1:16" x14ac:dyDescent="0.35">
      <c r="A12" s="14" t="str">
        <f t="shared" si="1"/>
        <v>2025 JAN-JUN D70%</v>
      </c>
      <c r="B12" s="34">
        <f t="shared" si="4"/>
        <v>46104</v>
      </c>
      <c r="C12" s="34">
        <f t="shared" si="5"/>
        <v>46113</v>
      </c>
      <c r="D12" s="45">
        <v>3321</v>
      </c>
      <c r="E12" s="46">
        <v>337</v>
      </c>
      <c r="F12" s="47">
        <v>4</v>
      </c>
      <c r="G12" s="24">
        <v>5</v>
      </c>
      <c r="H12" s="24">
        <v>190</v>
      </c>
      <c r="I12" s="33" t="s">
        <v>39</v>
      </c>
      <c r="J12" s="23">
        <v>51607055</v>
      </c>
      <c r="K12" s="23" t="s">
        <v>1844</v>
      </c>
      <c r="L12" s="23" t="s">
        <v>1845</v>
      </c>
      <c r="M12" s="25">
        <v>259900</v>
      </c>
      <c r="N12" s="71">
        <v>0.7</v>
      </c>
      <c r="O12" s="75">
        <f t="shared" si="0"/>
        <v>77970</v>
      </c>
      <c r="P12" s="35" t="str">
        <f t="shared" si="3"/>
        <v>PERCENTAGE</v>
      </c>
    </row>
    <row r="13" spans="1:16" x14ac:dyDescent="0.35">
      <c r="A13" s="14" t="str">
        <f t="shared" si="1"/>
        <v>2025 JAN-JUN D70%</v>
      </c>
      <c r="B13" s="34">
        <f t="shared" si="4"/>
        <v>46104</v>
      </c>
      <c r="C13" s="34">
        <f t="shared" si="5"/>
        <v>46113</v>
      </c>
      <c r="D13" s="45">
        <v>3321</v>
      </c>
      <c r="E13" s="46">
        <v>337</v>
      </c>
      <c r="F13" s="47">
        <v>4</v>
      </c>
      <c r="G13" s="24">
        <v>5</v>
      </c>
      <c r="H13" s="24">
        <v>190</v>
      </c>
      <c r="I13" s="33" t="s">
        <v>39</v>
      </c>
      <c r="J13" s="23">
        <v>51607064</v>
      </c>
      <c r="K13" s="23" t="s">
        <v>1844</v>
      </c>
      <c r="L13" s="23" t="s">
        <v>1848</v>
      </c>
      <c r="M13" s="25">
        <v>259900</v>
      </c>
      <c r="N13" s="71">
        <v>0.7</v>
      </c>
      <c r="O13" s="75">
        <f t="shared" si="0"/>
        <v>77970</v>
      </c>
      <c r="P13" s="35" t="str">
        <f t="shared" si="3"/>
        <v>PERCENTAGE</v>
      </c>
    </row>
    <row r="14" spans="1:16" x14ac:dyDescent="0.35">
      <c r="A14" s="14" t="str">
        <f t="shared" si="1"/>
        <v>2025 JAN-JUN D70%</v>
      </c>
      <c r="B14" s="34">
        <f t="shared" si="4"/>
        <v>46104</v>
      </c>
      <c r="C14" s="34">
        <f t="shared" si="5"/>
        <v>46113</v>
      </c>
      <c r="D14" s="45">
        <v>3321</v>
      </c>
      <c r="E14" s="46">
        <v>337</v>
      </c>
      <c r="F14" s="47">
        <v>4</v>
      </c>
      <c r="G14" s="24">
        <v>5</v>
      </c>
      <c r="H14" s="24">
        <v>190</v>
      </c>
      <c r="I14" s="33" t="s">
        <v>39</v>
      </c>
      <c r="J14" s="23">
        <v>51607073</v>
      </c>
      <c r="K14" s="23" t="s">
        <v>1844</v>
      </c>
      <c r="L14" s="23" t="s">
        <v>1847</v>
      </c>
      <c r="M14" s="25">
        <v>259900</v>
      </c>
      <c r="N14" s="71">
        <v>0.7</v>
      </c>
      <c r="O14" s="75">
        <f t="shared" si="0"/>
        <v>77970</v>
      </c>
      <c r="P14" s="35" t="str">
        <f t="shared" si="3"/>
        <v>PERCENTAGE</v>
      </c>
    </row>
    <row r="15" spans="1:16" x14ac:dyDescent="0.35">
      <c r="A15" s="14" t="str">
        <f t="shared" si="1"/>
        <v>2025 JAN-JUN D70%</v>
      </c>
      <c r="B15" s="34">
        <f t="shared" si="4"/>
        <v>46104</v>
      </c>
      <c r="C15" s="34">
        <f t="shared" si="5"/>
        <v>46113</v>
      </c>
      <c r="D15" s="45">
        <v>3321</v>
      </c>
      <c r="E15" s="46">
        <v>337</v>
      </c>
      <c r="F15" s="47">
        <v>4</v>
      </c>
      <c r="G15" s="24">
        <v>5</v>
      </c>
      <c r="H15" s="24">
        <v>190</v>
      </c>
      <c r="I15" s="33" t="s">
        <v>39</v>
      </c>
      <c r="J15" s="23">
        <v>51607082</v>
      </c>
      <c r="K15" s="23" t="s">
        <v>1844</v>
      </c>
      <c r="L15" s="23" t="s">
        <v>1846</v>
      </c>
      <c r="M15" s="25">
        <v>259900</v>
      </c>
      <c r="N15" s="71">
        <v>0.7</v>
      </c>
      <c r="O15" s="75">
        <f t="shared" si="0"/>
        <v>77970</v>
      </c>
      <c r="P15" s="35" t="str">
        <f t="shared" si="3"/>
        <v>PERCENTAGE</v>
      </c>
    </row>
    <row r="16" spans="1:16" x14ac:dyDescent="0.35">
      <c r="A16" s="14" t="str">
        <f t="shared" si="1"/>
        <v>2025 JAN-JUN D70%</v>
      </c>
      <c r="B16" s="34">
        <f t="shared" si="4"/>
        <v>46104</v>
      </c>
      <c r="C16" s="34">
        <f t="shared" si="5"/>
        <v>46113</v>
      </c>
      <c r="D16" s="45">
        <v>3321</v>
      </c>
      <c r="E16" s="46">
        <v>337</v>
      </c>
      <c r="F16" s="47">
        <v>4</v>
      </c>
      <c r="G16" s="24">
        <v>5</v>
      </c>
      <c r="H16" s="24">
        <v>190</v>
      </c>
      <c r="I16" s="33" t="s">
        <v>39</v>
      </c>
      <c r="J16" s="23">
        <v>51607091</v>
      </c>
      <c r="K16" s="23" t="s">
        <v>1849</v>
      </c>
      <c r="L16" s="23" t="s">
        <v>1852</v>
      </c>
      <c r="M16" s="25">
        <v>259900</v>
      </c>
      <c r="N16" s="71">
        <v>0.7</v>
      </c>
      <c r="O16" s="75">
        <f t="shared" si="0"/>
        <v>77970</v>
      </c>
      <c r="P16" s="35" t="str">
        <f t="shared" si="3"/>
        <v>PERCENTAGE</v>
      </c>
    </row>
    <row r="17" spans="1:16" x14ac:dyDescent="0.35">
      <c r="A17" s="14" t="str">
        <f t="shared" si="1"/>
        <v>2025 JAN-JUN D70%</v>
      </c>
      <c r="B17" s="34">
        <f t="shared" si="4"/>
        <v>46104</v>
      </c>
      <c r="C17" s="34">
        <f t="shared" si="5"/>
        <v>46113</v>
      </c>
      <c r="D17" s="45">
        <v>3321</v>
      </c>
      <c r="E17" s="46">
        <v>337</v>
      </c>
      <c r="F17" s="47">
        <v>4</v>
      </c>
      <c r="G17" s="24">
        <v>5</v>
      </c>
      <c r="H17" s="24">
        <v>190</v>
      </c>
      <c r="I17" s="33" t="s">
        <v>39</v>
      </c>
      <c r="J17" s="23">
        <v>51607108</v>
      </c>
      <c r="K17" s="23" t="s">
        <v>1849</v>
      </c>
      <c r="L17" s="23" t="s">
        <v>1851</v>
      </c>
      <c r="M17" s="25">
        <v>259900</v>
      </c>
      <c r="N17" s="71">
        <v>0.7</v>
      </c>
      <c r="O17" s="75">
        <f t="shared" si="0"/>
        <v>77970</v>
      </c>
      <c r="P17" s="35" t="str">
        <f t="shared" si="3"/>
        <v>PERCENTAGE</v>
      </c>
    </row>
    <row r="18" spans="1:16" x14ac:dyDescent="0.35">
      <c r="A18" s="14" t="str">
        <f t="shared" si="1"/>
        <v>2025 JAN-JUN D70%</v>
      </c>
      <c r="B18" s="34">
        <f t="shared" si="4"/>
        <v>46104</v>
      </c>
      <c r="C18" s="34">
        <f t="shared" si="5"/>
        <v>46113</v>
      </c>
      <c r="D18" s="45">
        <v>3321</v>
      </c>
      <c r="E18" s="46">
        <v>337</v>
      </c>
      <c r="F18" s="47">
        <v>4</v>
      </c>
      <c r="G18" s="24">
        <v>5</v>
      </c>
      <c r="H18" s="24">
        <v>190</v>
      </c>
      <c r="I18" s="33" t="s">
        <v>39</v>
      </c>
      <c r="J18" s="23">
        <v>51607117</v>
      </c>
      <c r="K18" s="23" t="s">
        <v>1849</v>
      </c>
      <c r="L18" s="23" t="s">
        <v>1850</v>
      </c>
      <c r="M18" s="25">
        <v>259900</v>
      </c>
      <c r="N18" s="71">
        <v>0.7</v>
      </c>
      <c r="O18" s="75">
        <f t="shared" si="0"/>
        <v>77970</v>
      </c>
      <c r="P18" s="35" t="str">
        <f t="shared" si="3"/>
        <v>PERCENTAGE</v>
      </c>
    </row>
    <row r="19" spans="1:16" x14ac:dyDescent="0.35">
      <c r="A19" s="14" t="str">
        <f t="shared" si="1"/>
        <v>2025 JAN-JUN D70%</v>
      </c>
      <c r="B19" s="34">
        <f t="shared" si="4"/>
        <v>46104</v>
      </c>
      <c r="C19" s="34">
        <f t="shared" si="5"/>
        <v>46113</v>
      </c>
      <c r="D19" s="45">
        <v>3321</v>
      </c>
      <c r="E19" s="46">
        <v>337</v>
      </c>
      <c r="F19" s="47">
        <v>4</v>
      </c>
      <c r="G19" s="24">
        <v>5</v>
      </c>
      <c r="H19" s="24">
        <v>190</v>
      </c>
      <c r="I19" s="33" t="s">
        <v>39</v>
      </c>
      <c r="J19" s="23">
        <v>51607126</v>
      </c>
      <c r="K19" s="23" t="s">
        <v>1849</v>
      </c>
      <c r="L19" s="23" t="s">
        <v>1853</v>
      </c>
      <c r="M19" s="25">
        <v>259900</v>
      </c>
      <c r="N19" s="71">
        <v>0.7</v>
      </c>
      <c r="O19" s="75">
        <f t="shared" si="0"/>
        <v>77970</v>
      </c>
      <c r="P19" s="35" t="str">
        <f t="shared" si="3"/>
        <v>PERCENTAGE</v>
      </c>
    </row>
    <row r="20" spans="1:16" x14ac:dyDescent="0.35">
      <c r="A20" s="14" t="str">
        <f t="shared" si="1"/>
        <v>2025 JAN-JUN D70%</v>
      </c>
      <c r="B20" s="34">
        <f t="shared" si="4"/>
        <v>46104</v>
      </c>
      <c r="C20" s="34">
        <f t="shared" si="5"/>
        <v>46113</v>
      </c>
      <c r="D20" s="45">
        <v>3321</v>
      </c>
      <c r="E20" s="46">
        <v>337</v>
      </c>
      <c r="F20" s="47">
        <v>4</v>
      </c>
      <c r="G20" s="24">
        <v>1</v>
      </c>
      <c r="H20" s="24">
        <v>81676</v>
      </c>
      <c r="I20" s="33" t="s">
        <v>39</v>
      </c>
      <c r="J20" s="23">
        <v>52132959</v>
      </c>
      <c r="K20" s="23" t="s">
        <v>2071</v>
      </c>
      <c r="L20" s="23" t="s">
        <v>2073</v>
      </c>
      <c r="M20" s="25">
        <v>139900</v>
      </c>
      <c r="N20" s="71">
        <v>0.7</v>
      </c>
      <c r="O20" s="75">
        <f t="shared" si="0"/>
        <v>41970</v>
      </c>
      <c r="P20" s="35" t="str">
        <f t="shared" si="3"/>
        <v>PERCENTAGE</v>
      </c>
    </row>
    <row r="21" spans="1:16" x14ac:dyDescent="0.35">
      <c r="A21" s="14" t="str">
        <f t="shared" si="1"/>
        <v>2025 JAN-JUN D70%</v>
      </c>
      <c r="B21" s="34">
        <f t="shared" si="4"/>
        <v>46104</v>
      </c>
      <c r="C21" s="34">
        <f t="shared" si="5"/>
        <v>46113</v>
      </c>
      <c r="D21" s="45">
        <v>3321</v>
      </c>
      <c r="E21" s="46">
        <v>337</v>
      </c>
      <c r="F21" s="47">
        <v>4</v>
      </c>
      <c r="G21" s="24">
        <v>1</v>
      </c>
      <c r="H21" s="24">
        <v>81676</v>
      </c>
      <c r="I21" s="33" t="s">
        <v>39</v>
      </c>
      <c r="J21" s="23">
        <v>52132968</v>
      </c>
      <c r="K21" s="23" t="s">
        <v>2071</v>
      </c>
      <c r="L21" s="23" t="s">
        <v>2074</v>
      </c>
      <c r="M21" s="25">
        <v>139900</v>
      </c>
      <c r="N21" s="71">
        <v>0.7</v>
      </c>
      <c r="O21" s="75">
        <f t="shared" si="0"/>
        <v>41970</v>
      </c>
      <c r="P21" s="35" t="str">
        <f t="shared" si="3"/>
        <v>PERCENTAGE</v>
      </c>
    </row>
    <row r="22" spans="1:16" x14ac:dyDescent="0.35">
      <c r="A22" s="14" t="str">
        <f t="shared" si="1"/>
        <v>2025 JAN-JUN D70%</v>
      </c>
      <c r="B22" s="34">
        <f t="shared" si="4"/>
        <v>46104</v>
      </c>
      <c r="C22" s="34">
        <f t="shared" si="5"/>
        <v>46113</v>
      </c>
      <c r="D22" s="45">
        <v>3321</v>
      </c>
      <c r="E22" s="46">
        <v>337</v>
      </c>
      <c r="F22" s="47">
        <v>4</v>
      </c>
      <c r="G22" s="24">
        <v>1</v>
      </c>
      <c r="H22" s="24">
        <v>81676</v>
      </c>
      <c r="I22" s="33" t="s">
        <v>39</v>
      </c>
      <c r="J22" s="23">
        <v>52132977</v>
      </c>
      <c r="K22" s="23" t="s">
        <v>2071</v>
      </c>
      <c r="L22" s="23" t="s">
        <v>2072</v>
      </c>
      <c r="M22" s="25">
        <v>139900</v>
      </c>
      <c r="N22" s="71">
        <v>0.7</v>
      </c>
      <c r="O22" s="75">
        <f t="shared" si="0"/>
        <v>41970</v>
      </c>
      <c r="P22" s="35" t="str">
        <f t="shared" si="3"/>
        <v>PERCENTAGE</v>
      </c>
    </row>
    <row r="23" spans="1:16" x14ac:dyDescent="0.35">
      <c r="A23" s="14" t="str">
        <f t="shared" si="1"/>
        <v>2025 JAN-JUN D70%</v>
      </c>
      <c r="B23" s="34">
        <f t="shared" si="4"/>
        <v>46104</v>
      </c>
      <c r="C23" s="34">
        <f t="shared" si="5"/>
        <v>46113</v>
      </c>
      <c r="D23" s="45">
        <v>3321</v>
      </c>
      <c r="E23" s="46">
        <v>337</v>
      </c>
      <c r="F23" s="47">
        <v>4</v>
      </c>
      <c r="G23" s="24">
        <v>1</v>
      </c>
      <c r="H23" s="24">
        <v>81676</v>
      </c>
      <c r="I23" s="33" t="s">
        <v>39</v>
      </c>
      <c r="J23" s="23">
        <v>52132986</v>
      </c>
      <c r="K23" s="23" t="s">
        <v>2071</v>
      </c>
      <c r="L23" s="23" t="s">
        <v>2075</v>
      </c>
      <c r="M23" s="25">
        <v>139900</v>
      </c>
      <c r="N23" s="71">
        <v>0.7</v>
      </c>
      <c r="O23" s="75">
        <f t="shared" si="0"/>
        <v>41970</v>
      </c>
      <c r="P23" s="35" t="str">
        <f t="shared" si="3"/>
        <v>PERCENTAGE</v>
      </c>
    </row>
    <row r="24" spans="1:16" x14ac:dyDescent="0.35">
      <c r="A24" s="14" t="str">
        <f t="shared" si="1"/>
        <v>2025 JAN-JUN D70%</v>
      </c>
      <c r="B24" s="34">
        <f t="shared" si="4"/>
        <v>46104</v>
      </c>
      <c r="C24" s="34">
        <f t="shared" si="5"/>
        <v>46113</v>
      </c>
      <c r="D24" s="45">
        <v>3321</v>
      </c>
      <c r="E24" s="46">
        <v>337</v>
      </c>
      <c r="F24" s="47">
        <v>4</v>
      </c>
      <c r="G24" s="24">
        <v>1</v>
      </c>
      <c r="H24" s="24">
        <v>81676</v>
      </c>
      <c r="I24" s="33" t="s">
        <v>39</v>
      </c>
      <c r="J24" s="23">
        <v>52132995</v>
      </c>
      <c r="K24" s="23" t="s">
        <v>2066</v>
      </c>
      <c r="L24" s="23" t="s">
        <v>2070</v>
      </c>
      <c r="M24" s="25">
        <v>139900</v>
      </c>
      <c r="N24" s="71">
        <v>0.7</v>
      </c>
      <c r="O24" s="75">
        <f t="shared" si="0"/>
        <v>41970</v>
      </c>
      <c r="P24" s="35" t="str">
        <f t="shared" si="3"/>
        <v>PERCENTAGE</v>
      </c>
    </row>
    <row r="25" spans="1:16" x14ac:dyDescent="0.35">
      <c r="A25" s="14" t="str">
        <f t="shared" si="1"/>
        <v>2025 JAN-JUN D70%</v>
      </c>
      <c r="B25" s="34">
        <f t="shared" si="4"/>
        <v>46104</v>
      </c>
      <c r="C25" s="34">
        <f t="shared" si="5"/>
        <v>46113</v>
      </c>
      <c r="D25" s="45">
        <v>3321</v>
      </c>
      <c r="E25" s="46">
        <v>337</v>
      </c>
      <c r="F25" s="47">
        <v>4</v>
      </c>
      <c r="G25" s="24">
        <v>1</v>
      </c>
      <c r="H25" s="24">
        <v>81676</v>
      </c>
      <c r="I25" s="33" t="s">
        <v>39</v>
      </c>
      <c r="J25" s="23">
        <v>52133001</v>
      </c>
      <c r="K25" s="23" t="s">
        <v>2066</v>
      </c>
      <c r="L25" s="23" t="s">
        <v>2069</v>
      </c>
      <c r="M25" s="25">
        <v>139900</v>
      </c>
      <c r="N25" s="71">
        <v>0.7</v>
      </c>
      <c r="O25" s="75">
        <f t="shared" si="0"/>
        <v>41970</v>
      </c>
      <c r="P25" s="35" t="str">
        <f t="shared" si="3"/>
        <v>PERCENTAGE</v>
      </c>
    </row>
    <row r="26" spans="1:16" x14ac:dyDescent="0.35">
      <c r="A26" s="14" t="str">
        <f t="shared" si="1"/>
        <v>2025 JAN-JUN D70%</v>
      </c>
      <c r="B26" s="34">
        <f t="shared" si="4"/>
        <v>46104</v>
      </c>
      <c r="C26" s="34">
        <f t="shared" si="5"/>
        <v>46113</v>
      </c>
      <c r="D26" s="45">
        <v>3321</v>
      </c>
      <c r="E26" s="46">
        <v>337</v>
      </c>
      <c r="F26" s="47">
        <v>4</v>
      </c>
      <c r="G26" s="24">
        <v>1</v>
      </c>
      <c r="H26" s="24">
        <v>81676</v>
      </c>
      <c r="I26" s="33" t="s">
        <v>39</v>
      </c>
      <c r="J26" s="23">
        <v>52133010</v>
      </c>
      <c r="K26" s="23" t="s">
        <v>2066</v>
      </c>
      <c r="L26" s="23" t="s">
        <v>2067</v>
      </c>
      <c r="M26" s="25">
        <v>139900</v>
      </c>
      <c r="N26" s="71">
        <v>0.7</v>
      </c>
      <c r="O26" s="75">
        <f t="shared" si="0"/>
        <v>41970</v>
      </c>
      <c r="P26" s="35" t="str">
        <f t="shared" si="3"/>
        <v>PERCENTAGE</v>
      </c>
    </row>
    <row r="27" spans="1:16" x14ac:dyDescent="0.35">
      <c r="A27" s="14" t="str">
        <f t="shared" si="1"/>
        <v>2025 JAN-JUN D70%</v>
      </c>
      <c r="B27" s="34">
        <f t="shared" si="4"/>
        <v>46104</v>
      </c>
      <c r="C27" s="34">
        <f t="shared" si="5"/>
        <v>46113</v>
      </c>
      <c r="D27" s="45">
        <v>3321</v>
      </c>
      <c r="E27" s="46">
        <v>337</v>
      </c>
      <c r="F27" s="47">
        <v>4</v>
      </c>
      <c r="G27" s="24">
        <v>1</v>
      </c>
      <c r="H27" s="24">
        <v>81676</v>
      </c>
      <c r="I27" s="33" t="s">
        <v>39</v>
      </c>
      <c r="J27" s="23">
        <v>52133029</v>
      </c>
      <c r="K27" s="23" t="s">
        <v>2066</v>
      </c>
      <c r="L27" s="23" t="s">
        <v>2068</v>
      </c>
      <c r="M27" s="25">
        <v>139900</v>
      </c>
      <c r="N27" s="71">
        <v>0.7</v>
      </c>
      <c r="O27" s="75">
        <f t="shared" si="0"/>
        <v>41970</v>
      </c>
      <c r="P27" s="35" t="str">
        <f t="shared" si="3"/>
        <v>PERCENTAGE</v>
      </c>
    </row>
    <row r="28" spans="1:16" x14ac:dyDescent="0.35">
      <c r="A28" s="14" t="str">
        <f t="shared" si="1"/>
        <v>2025 JAN-JUN D70%</v>
      </c>
      <c r="B28" s="34">
        <f t="shared" si="4"/>
        <v>46104</v>
      </c>
      <c r="C28" s="34">
        <f t="shared" si="5"/>
        <v>46113</v>
      </c>
      <c r="D28" s="45">
        <v>3321</v>
      </c>
      <c r="E28" s="46">
        <v>337</v>
      </c>
      <c r="F28" s="47">
        <v>4</v>
      </c>
      <c r="G28" s="24">
        <v>1</v>
      </c>
      <c r="H28" s="24">
        <v>81588</v>
      </c>
      <c r="I28" s="33" t="s">
        <v>39</v>
      </c>
      <c r="J28" s="23">
        <v>51606896</v>
      </c>
      <c r="K28" s="23" t="s">
        <v>1866</v>
      </c>
      <c r="L28" s="23" t="s">
        <v>1868</v>
      </c>
      <c r="M28" s="25">
        <v>149900</v>
      </c>
      <c r="N28" s="71">
        <v>0.7</v>
      </c>
      <c r="O28" s="75">
        <f t="shared" si="0"/>
        <v>44970</v>
      </c>
      <c r="P28" s="35" t="str">
        <f t="shared" si="3"/>
        <v>PERCENTAGE</v>
      </c>
    </row>
    <row r="29" spans="1:16" x14ac:dyDescent="0.35">
      <c r="A29" s="14" t="str">
        <f t="shared" si="1"/>
        <v>2025 JAN-JUN D70%</v>
      </c>
      <c r="B29" s="34">
        <f t="shared" si="4"/>
        <v>46104</v>
      </c>
      <c r="C29" s="34">
        <f t="shared" si="5"/>
        <v>46113</v>
      </c>
      <c r="D29" s="45">
        <v>3321</v>
      </c>
      <c r="E29" s="46">
        <v>337</v>
      </c>
      <c r="F29" s="47">
        <v>4</v>
      </c>
      <c r="G29" s="24">
        <v>1</v>
      </c>
      <c r="H29" s="24">
        <v>81588</v>
      </c>
      <c r="I29" s="33" t="s">
        <v>39</v>
      </c>
      <c r="J29" s="23">
        <v>51606903</v>
      </c>
      <c r="K29" s="23" t="s">
        <v>1866</v>
      </c>
      <c r="L29" s="23" t="s">
        <v>1869</v>
      </c>
      <c r="M29" s="25">
        <v>149900</v>
      </c>
      <c r="N29" s="71">
        <v>0.7</v>
      </c>
      <c r="O29" s="75">
        <f t="shared" si="0"/>
        <v>44970</v>
      </c>
      <c r="P29" s="35" t="str">
        <f t="shared" si="3"/>
        <v>PERCENTAGE</v>
      </c>
    </row>
    <row r="30" spans="1:16" x14ac:dyDescent="0.35">
      <c r="A30" s="14" t="str">
        <f t="shared" si="1"/>
        <v>2025 JAN-JUN D70%</v>
      </c>
      <c r="B30" s="34">
        <f t="shared" si="4"/>
        <v>46104</v>
      </c>
      <c r="C30" s="34">
        <f t="shared" si="5"/>
        <v>46113</v>
      </c>
      <c r="D30" s="45">
        <v>3321</v>
      </c>
      <c r="E30" s="46">
        <v>337</v>
      </c>
      <c r="F30" s="47">
        <v>4</v>
      </c>
      <c r="G30" s="24">
        <v>1</v>
      </c>
      <c r="H30" s="24">
        <v>81588</v>
      </c>
      <c r="I30" s="33" t="s">
        <v>39</v>
      </c>
      <c r="J30" s="23">
        <v>51606912</v>
      </c>
      <c r="K30" s="23" t="s">
        <v>1866</v>
      </c>
      <c r="L30" s="23" t="s">
        <v>1870</v>
      </c>
      <c r="M30" s="25">
        <v>149900</v>
      </c>
      <c r="N30" s="71">
        <v>0.7</v>
      </c>
      <c r="O30" s="75">
        <f t="shared" si="0"/>
        <v>44970</v>
      </c>
      <c r="P30" s="35" t="str">
        <f t="shared" si="3"/>
        <v>PERCENTAGE</v>
      </c>
    </row>
    <row r="31" spans="1:16" x14ac:dyDescent="0.35">
      <c r="A31" s="14" t="str">
        <f t="shared" si="1"/>
        <v>2025 JAN-JUN D70%</v>
      </c>
      <c r="B31" s="34">
        <f t="shared" si="4"/>
        <v>46104</v>
      </c>
      <c r="C31" s="34">
        <f t="shared" si="5"/>
        <v>46113</v>
      </c>
      <c r="D31" s="45">
        <v>3321</v>
      </c>
      <c r="E31" s="46">
        <v>337</v>
      </c>
      <c r="F31" s="47">
        <v>4</v>
      </c>
      <c r="G31" s="24">
        <v>1</v>
      </c>
      <c r="H31" s="24">
        <v>81588</v>
      </c>
      <c r="I31" s="33" t="s">
        <v>39</v>
      </c>
      <c r="J31" s="23">
        <v>51606921</v>
      </c>
      <c r="K31" s="23" t="s">
        <v>1866</v>
      </c>
      <c r="L31" s="23" t="s">
        <v>1867</v>
      </c>
      <c r="M31" s="25">
        <v>149900</v>
      </c>
      <c r="N31" s="71">
        <v>0.7</v>
      </c>
      <c r="O31" s="75">
        <f t="shared" si="0"/>
        <v>44970</v>
      </c>
      <c r="P31" s="35" t="str">
        <f t="shared" si="3"/>
        <v>PERCENTAGE</v>
      </c>
    </row>
    <row r="32" spans="1:16" x14ac:dyDescent="0.35">
      <c r="A32" s="14" t="str">
        <f t="shared" si="1"/>
        <v>2025 JAN-JUN D70%</v>
      </c>
      <c r="B32" s="34">
        <f t="shared" si="4"/>
        <v>46104</v>
      </c>
      <c r="C32" s="34">
        <f t="shared" si="5"/>
        <v>46113</v>
      </c>
      <c r="D32" s="45">
        <v>3321</v>
      </c>
      <c r="E32" s="46">
        <v>337</v>
      </c>
      <c r="F32" s="47">
        <v>4</v>
      </c>
      <c r="G32" s="24">
        <v>1</v>
      </c>
      <c r="H32" s="24">
        <v>81588</v>
      </c>
      <c r="I32" s="33" t="s">
        <v>39</v>
      </c>
      <c r="J32" s="23">
        <v>51606976</v>
      </c>
      <c r="K32" s="23" t="s">
        <v>1876</v>
      </c>
      <c r="L32" s="23" t="s">
        <v>1878</v>
      </c>
      <c r="M32" s="25">
        <v>149900</v>
      </c>
      <c r="N32" s="71">
        <v>0.7</v>
      </c>
      <c r="O32" s="75">
        <f t="shared" si="0"/>
        <v>44970</v>
      </c>
      <c r="P32" s="35" t="str">
        <f t="shared" si="3"/>
        <v>PERCENTAGE</v>
      </c>
    </row>
    <row r="33" spans="1:16" x14ac:dyDescent="0.35">
      <c r="A33" s="14" t="str">
        <f t="shared" si="1"/>
        <v>2025 JAN-JUN D70%</v>
      </c>
      <c r="B33" s="34">
        <f t="shared" si="4"/>
        <v>46104</v>
      </c>
      <c r="C33" s="34">
        <f t="shared" si="5"/>
        <v>46113</v>
      </c>
      <c r="D33" s="45">
        <v>3321</v>
      </c>
      <c r="E33" s="46">
        <v>337</v>
      </c>
      <c r="F33" s="47">
        <v>4</v>
      </c>
      <c r="G33" s="24">
        <v>1</v>
      </c>
      <c r="H33" s="24">
        <v>81588</v>
      </c>
      <c r="I33" s="33" t="s">
        <v>39</v>
      </c>
      <c r="J33" s="23">
        <v>51606985</v>
      </c>
      <c r="K33" s="23" t="s">
        <v>1876</v>
      </c>
      <c r="L33" s="23" t="s">
        <v>1877</v>
      </c>
      <c r="M33" s="25">
        <v>149900</v>
      </c>
      <c r="N33" s="71">
        <v>0.7</v>
      </c>
      <c r="O33" s="75">
        <f t="shared" si="0"/>
        <v>44970</v>
      </c>
      <c r="P33" s="35" t="str">
        <f t="shared" si="3"/>
        <v>PERCENTAGE</v>
      </c>
    </row>
    <row r="34" spans="1:16" x14ac:dyDescent="0.35">
      <c r="A34" s="14" t="str">
        <f t="shared" si="1"/>
        <v>2025 JAN-JUN D70%</v>
      </c>
      <c r="B34" s="34">
        <f t="shared" si="4"/>
        <v>46104</v>
      </c>
      <c r="C34" s="34">
        <f t="shared" si="5"/>
        <v>46113</v>
      </c>
      <c r="D34" s="45">
        <v>3321</v>
      </c>
      <c r="E34" s="46">
        <v>337</v>
      </c>
      <c r="F34" s="47">
        <v>4</v>
      </c>
      <c r="G34" s="24">
        <v>1</v>
      </c>
      <c r="H34" s="24">
        <v>81588</v>
      </c>
      <c r="I34" s="33" t="s">
        <v>39</v>
      </c>
      <c r="J34" s="23">
        <v>51606994</v>
      </c>
      <c r="K34" s="23" t="s">
        <v>1876</v>
      </c>
      <c r="L34" s="23" t="s">
        <v>1879</v>
      </c>
      <c r="M34" s="25">
        <v>149900</v>
      </c>
      <c r="N34" s="71">
        <v>0.7</v>
      </c>
      <c r="O34" s="75">
        <f t="shared" si="0"/>
        <v>44970</v>
      </c>
      <c r="P34" s="35" t="str">
        <f t="shared" si="3"/>
        <v>PERCENTAGE</v>
      </c>
    </row>
    <row r="35" spans="1:16" x14ac:dyDescent="0.35">
      <c r="A35" s="14" t="str">
        <f t="shared" si="1"/>
        <v>2025 JAN-JUN D70%</v>
      </c>
      <c r="B35" s="34">
        <f t="shared" si="4"/>
        <v>46104</v>
      </c>
      <c r="C35" s="34">
        <f t="shared" si="5"/>
        <v>46113</v>
      </c>
      <c r="D35" s="45">
        <v>3321</v>
      </c>
      <c r="E35" s="46">
        <v>337</v>
      </c>
      <c r="F35" s="47">
        <v>4</v>
      </c>
      <c r="G35" s="24">
        <v>1</v>
      </c>
      <c r="H35" s="24">
        <v>81588</v>
      </c>
      <c r="I35" s="33" t="s">
        <v>39</v>
      </c>
      <c r="J35" s="23">
        <v>51607000</v>
      </c>
      <c r="K35" s="23" t="s">
        <v>1876</v>
      </c>
      <c r="L35" s="23" t="s">
        <v>1880</v>
      </c>
      <c r="M35" s="25">
        <v>149900</v>
      </c>
      <c r="N35" s="71">
        <v>0.7</v>
      </c>
      <c r="O35" s="75">
        <f t="shared" si="0"/>
        <v>44970</v>
      </c>
      <c r="P35" s="35" t="str">
        <f t="shared" si="3"/>
        <v>PERCENTAGE</v>
      </c>
    </row>
    <row r="36" spans="1:16" x14ac:dyDescent="0.35">
      <c r="A36" s="14" t="str">
        <f t="shared" si="1"/>
        <v>2025 JAN-JUN D70%</v>
      </c>
      <c r="B36" s="34">
        <f t="shared" si="4"/>
        <v>46104</v>
      </c>
      <c r="C36" s="34">
        <f t="shared" si="5"/>
        <v>46113</v>
      </c>
      <c r="D36" s="45">
        <v>3321</v>
      </c>
      <c r="E36" s="46">
        <v>337</v>
      </c>
      <c r="F36" s="47">
        <v>4</v>
      </c>
      <c r="G36" s="24">
        <v>1</v>
      </c>
      <c r="H36" s="24">
        <v>81588</v>
      </c>
      <c r="I36" s="33" t="s">
        <v>39</v>
      </c>
      <c r="J36" s="23">
        <v>51606930</v>
      </c>
      <c r="K36" s="23" t="s">
        <v>1871</v>
      </c>
      <c r="L36" s="23" t="s">
        <v>1875</v>
      </c>
      <c r="M36" s="25">
        <v>149900</v>
      </c>
      <c r="N36" s="71">
        <v>0.7</v>
      </c>
      <c r="O36" s="75">
        <f t="shared" si="0"/>
        <v>44970</v>
      </c>
      <c r="P36" s="35" t="str">
        <f t="shared" si="3"/>
        <v>PERCENTAGE</v>
      </c>
    </row>
    <row r="37" spans="1:16" x14ac:dyDescent="0.35">
      <c r="A37" s="14" t="str">
        <f t="shared" si="1"/>
        <v>2025 JAN-JUN D70%</v>
      </c>
      <c r="B37" s="34">
        <f t="shared" si="4"/>
        <v>46104</v>
      </c>
      <c r="C37" s="34">
        <f t="shared" si="5"/>
        <v>46113</v>
      </c>
      <c r="D37" s="45">
        <v>3321</v>
      </c>
      <c r="E37" s="46">
        <v>337</v>
      </c>
      <c r="F37" s="47">
        <v>4</v>
      </c>
      <c r="G37" s="24">
        <v>1</v>
      </c>
      <c r="H37" s="24">
        <v>81588</v>
      </c>
      <c r="I37" s="33" t="s">
        <v>39</v>
      </c>
      <c r="J37" s="23">
        <v>51606949</v>
      </c>
      <c r="K37" s="23" t="s">
        <v>1871</v>
      </c>
      <c r="L37" s="23" t="s">
        <v>1874</v>
      </c>
      <c r="M37" s="25">
        <v>149900</v>
      </c>
      <c r="N37" s="71">
        <v>0.7</v>
      </c>
      <c r="O37" s="75">
        <f t="shared" si="0"/>
        <v>44970</v>
      </c>
      <c r="P37" s="35" t="str">
        <f t="shared" si="3"/>
        <v>PERCENTAGE</v>
      </c>
    </row>
    <row r="38" spans="1:16" x14ac:dyDescent="0.35">
      <c r="A38" s="14" t="str">
        <f t="shared" si="1"/>
        <v>2025 JAN-JUN D70%</v>
      </c>
      <c r="B38" s="34">
        <f t="shared" si="4"/>
        <v>46104</v>
      </c>
      <c r="C38" s="34">
        <f t="shared" si="5"/>
        <v>46113</v>
      </c>
      <c r="D38" s="45">
        <v>3321</v>
      </c>
      <c r="E38" s="46">
        <v>337</v>
      </c>
      <c r="F38" s="47">
        <v>4</v>
      </c>
      <c r="G38" s="24">
        <v>1</v>
      </c>
      <c r="H38" s="24">
        <v>81588</v>
      </c>
      <c r="I38" s="33" t="s">
        <v>39</v>
      </c>
      <c r="J38" s="23">
        <v>51606958</v>
      </c>
      <c r="K38" s="23" t="s">
        <v>1871</v>
      </c>
      <c r="L38" s="23" t="s">
        <v>1872</v>
      </c>
      <c r="M38" s="25">
        <v>149900</v>
      </c>
      <c r="N38" s="71">
        <v>0.7</v>
      </c>
      <c r="O38" s="75">
        <f t="shared" si="0"/>
        <v>44970</v>
      </c>
      <c r="P38" s="35" t="str">
        <f t="shared" si="3"/>
        <v>PERCENTAGE</v>
      </c>
    </row>
    <row r="39" spans="1:16" x14ac:dyDescent="0.35">
      <c r="A39" s="14" t="str">
        <f t="shared" si="1"/>
        <v>2025 JAN-JUN D70%</v>
      </c>
      <c r="B39" s="34">
        <f t="shared" si="4"/>
        <v>46104</v>
      </c>
      <c r="C39" s="34">
        <f t="shared" si="5"/>
        <v>46113</v>
      </c>
      <c r="D39" s="45">
        <v>3321</v>
      </c>
      <c r="E39" s="46">
        <v>337</v>
      </c>
      <c r="F39" s="47">
        <v>4</v>
      </c>
      <c r="G39" s="24">
        <v>1</v>
      </c>
      <c r="H39" s="24">
        <v>81588</v>
      </c>
      <c r="I39" s="33" t="s">
        <v>39</v>
      </c>
      <c r="J39" s="23">
        <v>51606967</v>
      </c>
      <c r="K39" s="23" t="s">
        <v>1871</v>
      </c>
      <c r="L39" s="23" t="s">
        <v>1873</v>
      </c>
      <c r="M39" s="25">
        <v>149900</v>
      </c>
      <c r="N39" s="71">
        <v>0.7</v>
      </c>
      <c r="O39" s="75">
        <f t="shared" si="0"/>
        <v>44970</v>
      </c>
      <c r="P39" s="35" t="str">
        <f t="shared" si="3"/>
        <v>PERCENTAGE</v>
      </c>
    </row>
    <row r="40" spans="1:16" x14ac:dyDescent="0.35">
      <c r="A40" s="14" t="str">
        <f t="shared" si="1"/>
        <v>2025 JAN-JUN D70%</v>
      </c>
      <c r="B40" s="34">
        <f t="shared" si="4"/>
        <v>46104</v>
      </c>
      <c r="C40" s="34">
        <f t="shared" si="5"/>
        <v>46113</v>
      </c>
      <c r="D40" s="45">
        <v>3321</v>
      </c>
      <c r="E40" s="46">
        <v>337</v>
      </c>
      <c r="F40" s="47">
        <v>4</v>
      </c>
      <c r="G40" s="24">
        <v>5</v>
      </c>
      <c r="H40" s="24">
        <v>81146</v>
      </c>
      <c r="I40" s="33" t="s">
        <v>39</v>
      </c>
      <c r="J40" s="23">
        <v>51837119</v>
      </c>
      <c r="K40" s="23" t="s">
        <v>1886</v>
      </c>
      <c r="L40" s="23" t="s">
        <v>1890</v>
      </c>
      <c r="M40" s="25">
        <v>299900</v>
      </c>
      <c r="N40" s="71">
        <v>0.7</v>
      </c>
      <c r="O40" s="75">
        <f t="shared" si="0"/>
        <v>89970</v>
      </c>
      <c r="P40" s="35" t="str">
        <f t="shared" si="3"/>
        <v>PERCENTAGE</v>
      </c>
    </row>
    <row r="41" spans="1:16" x14ac:dyDescent="0.35">
      <c r="A41" s="14" t="str">
        <f t="shared" si="1"/>
        <v>2025 JAN-JUN D70%</v>
      </c>
      <c r="B41" s="34">
        <f t="shared" si="4"/>
        <v>46104</v>
      </c>
      <c r="C41" s="34">
        <f t="shared" si="5"/>
        <v>46113</v>
      </c>
      <c r="D41" s="45">
        <v>3321</v>
      </c>
      <c r="E41" s="46">
        <v>337</v>
      </c>
      <c r="F41" s="47">
        <v>4</v>
      </c>
      <c r="G41" s="24">
        <v>5</v>
      </c>
      <c r="H41" s="24">
        <v>81146</v>
      </c>
      <c r="I41" s="33" t="s">
        <v>39</v>
      </c>
      <c r="J41" s="23">
        <v>51837128</v>
      </c>
      <c r="K41" s="23" t="s">
        <v>1886</v>
      </c>
      <c r="L41" s="23" t="s">
        <v>1889</v>
      </c>
      <c r="M41" s="25">
        <v>299900</v>
      </c>
      <c r="N41" s="71">
        <v>0.7</v>
      </c>
      <c r="O41" s="75">
        <f t="shared" si="0"/>
        <v>89970</v>
      </c>
      <c r="P41" s="35" t="str">
        <f t="shared" si="3"/>
        <v>PERCENTAGE</v>
      </c>
    </row>
    <row r="42" spans="1:16" x14ac:dyDescent="0.35">
      <c r="A42" s="14" t="str">
        <f t="shared" si="1"/>
        <v>2025 JAN-JUN D70%</v>
      </c>
      <c r="B42" s="34">
        <f t="shared" si="4"/>
        <v>46104</v>
      </c>
      <c r="C42" s="34">
        <f t="shared" si="5"/>
        <v>46113</v>
      </c>
      <c r="D42" s="45">
        <v>3321</v>
      </c>
      <c r="E42" s="46">
        <v>337</v>
      </c>
      <c r="F42" s="47">
        <v>4</v>
      </c>
      <c r="G42" s="24">
        <v>5</v>
      </c>
      <c r="H42" s="24">
        <v>81146</v>
      </c>
      <c r="I42" s="33" t="s">
        <v>39</v>
      </c>
      <c r="J42" s="23">
        <v>51837137</v>
      </c>
      <c r="K42" s="23" t="s">
        <v>1886</v>
      </c>
      <c r="L42" s="23" t="s">
        <v>1888</v>
      </c>
      <c r="M42" s="25">
        <v>299900</v>
      </c>
      <c r="N42" s="71">
        <v>0.7</v>
      </c>
      <c r="O42" s="75">
        <f t="shared" si="0"/>
        <v>89970</v>
      </c>
      <c r="P42" s="35" t="str">
        <f t="shared" si="3"/>
        <v>PERCENTAGE</v>
      </c>
    </row>
    <row r="43" spans="1:16" x14ac:dyDescent="0.35">
      <c r="A43" s="14" t="str">
        <f t="shared" si="1"/>
        <v>2025 JAN-JUN D70%</v>
      </c>
      <c r="B43" s="34">
        <f t="shared" si="4"/>
        <v>46104</v>
      </c>
      <c r="C43" s="34">
        <f t="shared" si="5"/>
        <v>46113</v>
      </c>
      <c r="D43" s="45">
        <v>3321</v>
      </c>
      <c r="E43" s="46">
        <v>337</v>
      </c>
      <c r="F43" s="47">
        <v>4</v>
      </c>
      <c r="G43" s="24">
        <v>5</v>
      </c>
      <c r="H43" s="24">
        <v>81146</v>
      </c>
      <c r="I43" s="33" t="s">
        <v>39</v>
      </c>
      <c r="J43" s="23">
        <v>51837146</v>
      </c>
      <c r="K43" s="23" t="s">
        <v>1886</v>
      </c>
      <c r="L43" s="23" t="s">
        <v>1887</v>
      </c>
      <c r="M43" s="25">
        <v>299900</v>
      </c>
      <c r="N43" s="71">
        <v>0.7</v>
      </c>
      <c r="O43" s="75">
        <f t="shared" si="0"/>
        <v>89970</v>
      </c>
      <c r="P43" s="35" t="str">
        <f t="shared" si="3"/>
        <v>PERCENTAGE</v>
      </c>
    </row>
    <row r="44" spans="1:16" x14ac:dyDescent="0.35">
      <c r="A44" s="14" t="str">
        <f t="shared" si="1"/>
        <v>2025 JAN-JUN D70%</v>
      </c>
      <c r="B44" s="34">
        <f t="shared" si="4"/>
        <v>46104</v>
      </c>
      <c r="C44" s="34">
        <f t="shared" si="5"/>
        <v>46113</v>
      </c>
      <c r="D44" s="45">
        <v>3321</v>
      </c>
      <c r="E44" s="46">
        <v>337</v>
      </c>
      <c r="F44" s="47">
        <v>4</v>
      </c>
      <c r="G44" s="24">
        <v>5</v>
      </c>
      <c r="H44" s="24">
        <v>81146</v>
      </c>
      <c r="I44" s="33" t="s">
        <v>39</v>
      </c>
      <c r="J44" s="23">
        <v>51607215</v>
      </c>
      <c r="K44" s="23" t="s">
        <v>1881</v>
      </c>
      <c r="L44" s="23" t="s">
        <v>1882</v>
      </c>
      <c r="M44" s="25">
        <v>299900</v>
      </c>
      <c r="N44" s="71">
        <v>0.7</v>
      </c>
      <c r="O44" s="75">
        <f t="shared" si="0"/>
        <v>89970</v>
      </c>
      <c r="P44" s="35" t="str">
        <f t="shared" si="3"/>
        <v>PERCENTAGE</v>
      </c>
    </row>
    <row r="45" spans="1:16" x14ac:dyDescent="0.35">
      <c r="A45" s="14" t="str">
        <f t="shared" si="1"/>
        <v>2025 JAN-JUN D70%</v>
      </c>
      <c r="B45" s="34">
        <f t="shared" si="4"/>
        <v>46104</v>
      </c>
      <c r="C45" s="34">
        <f t="shared" si="5"/>
        <v>46113</v>
      </c>
      <c r="D45" s="45">
        <v>3321</v>
      </c>
      <c r="E45" s="46">
        <v>337</v>
      </c>
      <c r="F45" s="47">
        <v>4</v>
      </c>
      <c r="G45" s="24">
        <v>5</v>
      </c>
      <c r="H45" s="24">
        <v>81146</v>
      </c>
      <c r="I45" s="33" t="s">
        <v>39</v>
      </c>
      <c r="J45" s="23">
        <v>51607224</v>
      </c>
      <c r="K45" s="23" t="s">
        <v>1881</v>
      </c>
      <c r="L45" s="23" t="s">
        <v>1884</v>
      </c>
      <c r="M45" s="25">
        <v>299900</v>
      </c>
      <c r="N45" s="71">
        <v>0.7</v>
      </c>
      <c r="O45" s="75">
        <f t="shared" si="0"/>
        <v>89970</v>
      </c>
      <c r="P45" s="35" t="str">
        <f t="shared" si="3"/>
        <v>PERCENTAGE</v>
      </c>
    </row>
    <row r="46" spans="1:16" x14ac:dyDescent="0.35">
      <c r="A46" s="14" t="str">
        <f t="shared" si="1"/>
        <v>2025 JAN-JUN D70%</v>
      </c>
      <c r="B46" s="34">
        <f t="shared" si="4"/>
        <v>46104</v>
      </c>
      <c r="C46" s="34">
        <f t="shared" si="5"/>
        <v>46113</v>
      </c>
      <c r="D46" s="45">
        <v>3321</v>
      </c>
      <c r="E46" s="46">
        <v>337</v>
      </c>
      <c r="F46" s="47">
        <v>4</v>
      </c>
      <c r="G46" s="24">
        <v>5</v>
      </c>
      <c r="H46" s="24">
        <v>81146</v>
      </c>
      <c r="I46" s="33" t="s">
        <v>39</v>
      </c>
      <c r="J46" s="23">
        <v>51607233</v>
      </c>
      <c r="K46" s="23" t="s">
        <v>1881</v>
      </c>
      <c r="L46" s="23" t="s">
        <v>1885</v>
      </c>
      <c r="M46" s="25">
        <v>299900</v>
      </c>
      <c r="N46" s="71">
        <v>0.7</v>
      </c>
      <c r="O46" s="75">
        <f t="shared" si="0"/>
        <v>89970</v>
      </c>
      <c r="P46" s="35" t="str">
        <f t="shared" si="3"/>
        <v>PERCENTAGE</v>
      </c>
    </row>
    <row r="47" spans="1:16" x14ac:dyDescent="0.35">
      <c r="A47" s="14" t="str">
        <f t="shared" si="1"/>
        <v>2025 JAN-JUN D70%</v>
      </c>
      <c r="B47" s="34">
        <f t="shared" si="4"/>
        <v>46104</v>
      </c>
      <c r="C47" s="34">
        <f t="shared" si="5"/>
        <v>46113</v>
      </c>
      <c r="D47" s="45">
        <v>3321</v>
      </c>
      <c r="E47" s="46">
        <v>337</v>
      </c>
      <c r="F47" s="47">
        <v>4</v>
      </c>
      <c r="G47" s="24">
        <v>5</v>
      </c>
      <c r="H47" s="24">
        <v>81146</v>
      </c>
      <c r="I47" s="33" t="s">
        <v>39</v>
      </c>
      <c r="J47" s="23">
        <v>51607242</v>
      </c>
      <c r="K47" s="23" t="s">
        <v>1881</v>
      </c>
      <c r="L47" s="23" t="s">
        <v>1883</v>
      </c>
      <c r="M47" s="25">
        <v>299900</v>
      </c>
      <c r="N47" s="71">
        <v>0.7</v>
      </c>
      <c r="O47" s="75">
        <f t="shared" si="0"/>
        <v>89970</v>
      </c>
      <c r="P47" s="35" t="str">
        <f t="shared" si="3"/>
        <v>PERCENTAGE</v>
      </c>
    </row>
    <row r="48" spans="1:16" x14ac:dyDescent="0.35">
      <c r="A48" s="14" t="str">
        <f t="shared" si="1"/>
        <v>2025 JAN-JUN D70%</v>
      </c>
      <c r="B48" s="34">
        <f t="shared" si="4"/>
        <v>46104</v>
      </c>
      <c r="C48" s="34">
        <f t="shared" si="5"/>
        <v>46113</v>
      </c>
      <c r="D48" s="45">
        <v>3321</v>
      </c>
      <c r="E48" s="46">
        <v>337</v>
      </c>
      <c r="F48" s="47">
        <v>4</v>
      </c>
      <c r="G48" s="24">
        <v>5</v>
      </c>
      <c r="H48" s="24">
        <v>81146</v>
      </c>
      <c r="I48" s="33" t="s">
        <v>39</v>
      </c>
      <c r="J48" s="23">
        <v>51837155</v>
      </c>
      <c r="K48" s="23" t="s">
        <v>1859</v>
      </c>
      <c r="L48" s="23" t="s">
        <v>1863</v>
      </c>
      <c r="M48" s="25">
        <v>319900</v>
      </c>
      <c r="N48" s="71">
        <v>0.7</v>
      </c>
      <c r="O48" s="75">
        <f t="shared" si="0"/>
        <v>95970</v>
      </c>
      <c r="P48" s="35" t="str">
        <f t="shared" si="3"/>
        <v>PERCENTAGE</v>
      </c>
    </row>
    <row r="49" spans="1:16" x14ac:dyDescent="0.35">
      <c r="A49" s="14" t="str">
        <f t="shared" si="1"/>
        <v>2025 JAN-JUN D70%</v>
      </c>
      <c r="B49" s="34">
        <f t="shared" si="4"/>
        <v>46104</v>
      </c>
      <c r="C49" s="34">
        <f t="shared" si="5"/>
        <v>46113</v>
      </c>
      <c r="D49" s="45">
        <v>3321</v>
      </c>
      <c r="E49" s="46">
        <v>337</v>
      </c>
      <c r="F49" s="47">
        <v>4</v>
      </c>
      <c r="G49" s="24">
        <v>5</v>
      </c>
      <c r="H49" s="24">
        <v>81146</v>
      </c>
      <c r="I49" s="33" t="s">
        <v>39</v>
      </c>
      <c r="J49" s="23">
        <v>51837164</v>
      </c>
      <c r="K49" s="23" t="s">
        <v>1859</v>
      </c>
      <c r="L49" s="23" t="s">
        <v>1862</v>
      </c>
      <c r="M49" s="25">
        <v>319900</v>
      </c>
      <c r="N49" s="71">
        <v>0.7</v>
      </c>
      <c r="O49" s="75">
        <f t="shared" si="0"/>
        <v>95970</v>
      </c>
      <c r="P49" s="35" t="str">
        <f t="shared" si="3"/>
        <v>PERCENTAGE</v>
      </c>
    </row>
    <row r="50" spans="1:16" x14ac:dyDescent="0.35">
      <c r="A50" s="14" t="str">
        <f t="shared" si="1"/>
        <v>2025 JAN-JUN D70%</v>
      </c>
      <c r="B50" s="34">
        <f t="shared" si="4"/>
        <v>46104</v>
      </c>
      <c r="C50" s="34">
        <f t="shared" si="5"/>
        <v>46113</v>
      </c>
      <c r="D50" s="45">
        <v>3321</v>
      </c>
      <c r="E50" s="46">
        <v>337</v>
      </c>
      <c r="F50" s="47">
        <v>4</v>
      </c>
      <c r="G50" s="24">
        <v>5</v>
      </c>
      <c r="H50" s="24">
        <v>81146</v>
      </c>
      <c r="I50" s="33" t="s">
        <v>39</v>
      </c>
      <c r="J50" s="23">
        <v>51837173</v>
      </c>
      <c r="K50" s="23" t="s">
        <v>1859</v>
      </c>
      <c r="L50" s="23" t="s">
        <v>1860</v>
      </c>
      <c r="M50" s="25">
        <v>319900</v>
      </c>
      <c r="N50" s="71">
        <v>0.7</v>
      </c>
      <c r="O50" s="75">
        <f t="shared" si="0"/>
        <v>95970</v>
      </c>
      <c r="P50" s="35" t="str">
        <f t="shared" si="3"/>
        <v>PERCENTAGE</v>
      </c>
    </row>
    <row r="51" spans="1:16" x14ac:dyDescent="0.35">
      <c r="A51" s="14" t="str">
        <f t="shared" si="1"/>
        <v>2025 JAN-JUN D70%</v>
      </c>
      <c r="B51" s="34">
        <f t="shared" si="4"/>
        <v>46104</v>
      </c>
      <c r="C51" s="34">
        <f t="shared" si="5"/>
        <v>46113</v>
      </c>
      <c r="D51" s="45">
        <v>3321</v>
      </c>
      <c r="E51" s="46">
        <v>337</v>
      </c>
      <c r="F51" s="47">
        <v>4</v>
      </c>
      <c r="G51" s="24">
        <v>5</v>
      </c>
      <c r="H51" s="24">
        <v>81146</v>
      </c>
      <c r="I51" s="33" t="s">
        <v>39</v>
      </c>
      <c r="J51" s="23">
        <v>51837182</v>
      </c>
      <c r="K51" s="23" t="s">
        <v>1859</v>
      </c>
      <c r="L51" s="23" t="s">
        <v>1861</v>
      </c>
      <c r="M51" s="25">
        <v>319900</v>
      </c>
      <c r="N51" s="71">
        <v>0.7</v>
      </c>
      <c r="O51" s="75">
        <f t="shared" si="0"/>
        <v>95970</v>
      </c>
      <c r="P51" s="35" t="str">
        <f t="shared" si="3"/>
        <v>PERCENTAGE</v>
      </c>
    </row>
    <row r="52" spans="1:16" x14ac:dyDescent="0.35">
      <c r="A52" s="14" t="str">
        <f t="shared" si="1"/>
        <v>2025 JAN-JUN D70%</v>
      </c>
      <c r="B52" s="34">
        <f t="shared" si="4"/>
        <v>46104</v>
      </c>
      <c r="C52" s="34">
        <f t="shared" si="5"/>
        <v>46113</v>
      </c>
      <c r="D52" s="45">
        <v>3321</v>
      </c>
      <c r="E52" s="46">
        <v>337</v>
      </c>
      <c r="F52" s="47">
        <v>4</v>
      </c>
      <c r="G52" s="24">
        <v>1</v>
      </c>
      <c r="H52" s="24">
        <v>81676</v>
      </c>
      <c r="I52" s="33" t="s">
        <v>39</v>
      </c>
      <c r="J52" s="23">
        <v>52133038</v>
      </c>
      <c r="K52" s="23" t="s">
        <v>2426</v>
      </c>
      <c r="L52" s="23" t="s">
        <v>2432</v>
      </c>
      <c r="M52" s="25">
        <v>139900</v>
      </c>
      <c r="N52" s="71">
        <v>0.7</v>
      </c>
      <c r="O52" s="75">
        <f t="shared" si="0"/>
        <v>41970</v>
      </c>
      <c r="P52" s="35" t="str">
        <f t="shared" si="3"/>
        <v>PERCENTAGE</v>
      </c>
    </row>
    <row r="53" spans="1:16" x14ac:dyDescent="0.35">
      <c r="A53" s="14" t="str">
        <f t="shared" si="1"/>
        <v>2025 JAN-JUN D70%</v>
      </c>
      <c r="B53" s="34">
        <f t="shared" si="4"/>
        <v>46104</v>
      </c>
      <c r="C53" s="34">
        <f t="shared" si="5"/>
        <v>46113</v>
      </c>
      <c r="D53" s="45">
        <v>3321</v>
      </c>
      <c r="E53" s="46">
        <v>337</v>
      </c>
      <c r="F53" s="47">
        <v>4</v>
      </c>
      <c r="G53" s="24">
        <v>1</v>
      </c>
      <c r="H53" s="24">
        <v>81676</v>
      </c>
      <c r="I53" s="33" t="s">
        <v>39</v>
      </c>
      <c r="J53" s="23">
        <v>52133047</v>
      </c>
      <c r="K53" s="23" t="s">
        <v>2426</v>
      </c>
      <c r="L53" s="23" t="s">
        <v>2427</v>
      </c>
      <c r="M53" s="25">
        <v>139900</v>
      </c>
      <c r="N53" s="71">
        <v>0.7</v>
      </c>
      <c r="O53" s="75">
        <f t="shared" si="0"/>
        <v>41970</v>
      </c>
      <c r="P53" s="35" t="str">
        <f t="shared" si="3"/>
        <v>PERCENTAGE</v>
      </c>
    </row>
    <row r="54" spans="1:16" x14ac:dyDescent="0.35">
      <c r="A54" s="14" t="str">
        <f t="shared" si="1"/>
        <v>2025 JAN-JUN D70%</v>
      </c>
      <c r="B54" s="34">
        <f t="shared" si="4"/>
        <v>46104</v>
      </c>
      <c r="C54" s="34">
        <f t="shared" si="5"/>
        <v>46113</v>
      </c>
      <c r="D54" s="45">
        <v>3321</v>
      </c>
      <c r="E54" s="46">
        <v>337</v>
      </c>
      <c r="F54" s="47">
        <v>4</v>
      </c>
      <c r="G54" s="24">
        <v>1</v>
      </c>
      <c r="H54" s="24">
        <v>81676</v>
      </c>
      <c r="I54" s="33" t="s">
        <v>39</v>
      </c>
      <c r="J54" s="23">
        <v>52133056</v>
      </c>
      <c r="K54" s="23" t="s">
        <v>2426</v>
      </c>
      <c r="L54" s="23" t="s">
        <v>2428</v>
      </c>
      <c r="M54" s="25">
        <v>139900</v>
      </c>
      <c r="N54" s="71">
        <v>0.7</v>
      </c>
      <c r="O54" s="75">
        <f t="shared" si="0"/>
        <v>41970</v>
      </c>
      <c r="P54" s="35" t="str">
        <f t="shared" si="3"/>
        <v>PERCENTAGE</v>
      </c>
    </row>
    <row r="55" spans="1:16" x14ac:dyDescent="0.35">
      <c r="A55" s="14" t="str">
        <f t="shared" si="1"/>
        <v>2025 JAN-JUN D70%</v>
      </c>
      <c r="B55" s="34">
        <f t="shared" si="4"/>
        <v>46104</v>
      </c>
      <c r="C55" s="34">
        <f t="shared" si="5"/>
        <v>46113</v>
      </c>
      <c r="D55" s="45">
        <v>3321</v>
      </c>
      <c r="E55" s="46">
        <v>337</v>
      </c>
      <c r="F55" s="47">
        <v>4</v>
      </c>
      <c r="G55" s="24">
        <v>1</v>
      </c>
      <c r="H55" s="24">
        <v>81676</v>
      </c>
      <c r="I55" s="33" t="s">
        <v>39</v>
      </c>
      <c r="J55" s="23">
        <v>52133065</v>
      </c>
      <c r="K55" s="23" t="s">
        <v>2426</v>
      </c>
      <c r="L55" s="23" t="s">
        <v>2431</v>
      </c>
      <c r="M55" s="25">
        <v>139900</v>
      </c>
      <c r="N55" s="71">
        <v>0.7</v>
      </c>
      <c r="O55" s="75">
        <f t="shared" si="0"/>
        <v>41970</v>
      </c>
      <c r="P55" s="35" t="str">
        <f t="shared" si="3"/>
        <v>PERCENTAGE</v>
      </c>
    </row>
    <row r="56" spans="1:16" x14ac:dyDescent="0.35">
      <c r="A56" s="14" t="str">
        <f t="shared" si="1"/>
        <v>2025 JAN-JUN D70%</v>
      </c>
      <c r="B56" s="34">
        <f t="shared" si="4"/>
        <v>46104</v>
      </c>
      <c r="C56" s="34">
        <f t="shared" si="5"/>
        <v>46113</v>
      </c>
      <c r="D56" s="45">
        <v>3321</v>
      </c>
      <c r="E56" s="46">
        <v>337</v>
      </c>
      <c r="F56" s="47">
        <v>4</v>
      </c>
      <c r="G56" s="24">
        <v>1</v>
      </c>
      <c r="H56" s="24">
        <v>81676</v>
      </c>
      <c r="I56" s="33" t="s">
        <v>39</v>
      </c>
      <c r="J56" s="23">
        <v>52133118</v>
      </c>
      <c r="K56" s="23" t="s">
        <v>2429</v>
      </c>
      <c r="L56" s="23" t="s">
        <v>2435</v>
      </c>
      <c r="M56" s="25">
        <v>139900</v>
      </c>
      <c r="N56" s="71">
        <v>0.7</v>
      </c>
      <c r="O56" s="75">
        <f t="shared" si="0"/>
        <v>41970</v>
      </c>
      <c r="P56" s="35" t="str">
        <f t="shared" si="3"/>
        <v>PERCENTAGE</v>
      </c>
    </row>
    <row r="57" spans="1:16" x14ac:dyDescent="0.35">
      <c r="A57" s="14" t="str">
        <f t="shared" si="1"/>
        <v>2025 JAN-JUN D70%</v>
      </c>
      <c r="B57" s="34">
        <f t="shared" si="4"/>
        <v>46104</v>
      </c>
      <c r="C57" s="34">
        <f t="shared" si="5"/>
        <v>46113</v>
      </c>
      <c r="D57" s="45">
        <v>3321</v>
      </c>
      <c r="E57" s="46">
        <v>337</v>
      </c>
      <c r="F57" s="47">
        <v>4</v>
      </c>
      <c r="G57" s="24">
        <v>1</v>
      </c>
      <c r="H57" s="24">
        <v>81676</v>
      </c>
      <c r="I57" s="33" t="s">
        <v>39</v>
      </c>
      <c r="J57" s="23">
        <v>52133127</v>
      </c>
      <c r="K57" s="23" t="s">
        <v>2429</v>
      </c>
      <c r="L57" s="23" t="s">
        <v>2430</v>
      </c>
      <c r="M57" s="25">
        <v>139900</v>
      </c>
      <c r="N57" s="71">
        <v>0.7</v>
      </c>
      <c r="O57" s="75">
        <f t="shared" si="0"/>
        <v>41970</v>
      </c>
      <c r="P57" s="35" t="str">
        <f t="shared" si="3"/>
        <v>PERCENTAGE</v>
      </c>
    </row>
    <row r="58" spans="1:16" x14ac:dyDescent="0.35">
      <c r="A58" s="14" t="str">
        <f t="shared" si="1"/>
        <v>2025 JAN-JUN D70%</v>
      </c>
      <c r="B58" s="34">
        <f t="shared" si="4"/>
        <v>46104</v>
      </c>
      <c r="C58" s="34">
        <f t="shared" si="5"/>
        <v>46113</v>
      </c>
      <c r="D58" s="45">
        <v>3321</v>
      </c>
      <c r="E58" s="46">
        <v>337</v>
      </c>
      <c r="F58" s="47">
        <v>4</v>
      </c>
      <c r="G58" s="24">
        <v>1</v>
      </c>
      <c r="H58" s="24">
        <v>81676</v>
      </c>
      <c r="I58" s="33" t="s">
        <v>39</v>
      </c>
      <c r="J58" s="23">
        <v>52133136</v>
      </c>
      <c r="K58" s="23" t="s">
        <v>2429</v>
      </c>
      <c r="L58" s="23" t="s">
        <v>2433</v>
      </c>
      <c r="M58" s="25">
        <v>139900</v>
      </c>
      <c r="N58" s="71">
        <v>0.7</v>
      </c>
      <c r="O58" s="75">
        <f t="shared" si="0"/>
        <v>41970</v>
      </c>
      <c r="P58" s="35" t="str">
        <f t="shared" si="3"/>
        <v>PERCENTAGE</v>
      </c>
    </row>
    <row r="59" spans="1:16" x14ac:dyDescent="0.35">
      <c r="A59" s="14" t="str">
        <f t="shared" si="1"/>
        <v>2025 JAN-JUN D70%</v>
      </c>
      <c r="B59" s="34">
        <f t="shared" si="4"/>
        <v>46104</v>
      </c>
      <c r="C59" s="34">
        <f t="shared" si="5"/>
        <v>46113</v>
      </c>
      <c r="D59" s="45">
        <v>3321</v>
      </c>
      <c r="E59" s="46">
        <v>337</v>
      </c>
      <c r="F59" s="47">
        <v>4</v>
      </c>
      <c r="G59" s="24">
        <v>1</v>
      </c>
      <c r="H59" s="24">
        <v>81676</v>
      </c>
      <c r="I59" s="33" t="s">
        <v>39</v>
      </c>
      <c r="J59" s="23">
        <v>52133145</v>
      </c>
      <c r="K59" s="23" t="s">
        <v>2429</v>
      </c>
      <c r="L59" s="23" t="s">
        <v>2434</v>
      </c>
      <c r="M59" s="25">
        <v>139900</v>
      </c>
      <c r="N59" s="71">
        <v>0.7</v>
      </c>
      <c r="O59" s="75">
        <f t="shared" si="0"/>
        <v>41970</v>
      </c>
      <c r="P59" s="35" t="str">
        <f t="shared" si="3"/>
        <v>PERCENTAGE</v>
      </c>
    </row>
    <row r="60" spans="1:16" x14ac:dyDescent="0.35">
      <c r="A60" s="14" t="str">
        <f t="shared" si="1"/>
        <v>2025 JAN-JUN D70%</v>
      </c>
      <c r="B60" s="34">
        <f t="shared" si="4"/>
        <v>46104</v>
      </c>
      <c r="C60" s="34">
        <f t="shared" si="5"/>
        <v>46113</v>
      </c>
      <c r="D60" s="45">
        <v>3321</v>
      </c>
      <c r="E60" s="46">
        <v>337</v>
      </c>
      <c r="F60" s="47">
        <v>4</v>
      </c>
      <c r="G60" s="24">
        <v>3</v>
      </c>
      <c r="H60" s="24">
        <v>81588</v>
      </c>
      <c r="I60" s="33" t="s">
        <v>39</v>
      </c>
      <c r="J60" s="23">
        <v>52555403</v>
      </c>
      <c r="K60" s="23" t="s">
        <v>2448</v>
      </c>
      <c r="L60" s="23" t="s">
        <v>2452</v>
      </c>
      <c r="M60" s="25">
        <v>299900</v>
      </c>
      <c r="N60" s="71">
        <v>0.7</v>
      </c>
      <c r="O60" s="75">
        <f t="shared" si="0"/>
        <v>89970</v>
      </c>
      <c r="P60" s="35" t="str">
        <f t="shared" si="3"/>
        <v>PERCENTAGE</v>
      </c>
    </row>
    <row r="61" spans="1:16" x14ac:dyDescent="0.35">
      <c r="A61" s="14" t="str">
        <f t="shared" si="1"/>
        <v>2025 JAN-JUN D70%</v>
      </c>
      <c r="B61" s="34">
        <f t="shared" si="4"/>
        <v>46104</v>
      </c>
      <c r="C61" s="34">
        <f t="shared" si="5"/>
        <v>46113</v>
      </c>
      <c r="D61" s="45">
        <v>3321</v>
      </c>
      <c r="E61" s="46">
        <v>337</v>
      </c>
      <c r="F61" s="47">
        <v>4</v>
      </c>
      <c r="G61" s="24">
        <v>3</v>
      </c>
      <c r="H61" s="24">
        <v>81588</v>
      </c>
      <c r="I61" s="33" t="s">
        <v>39</v>
      </c>
      <c r="J61" s="23">
        <v>52555412</v>
      </c>
      <c r="K61" s="23" t="s">
        <v>2448</v>
      </c>
      <c r="L61" s="23" t="s">
        <v>2449</v>
      </c>
      <c r="M61" s="25">
        <v>299900</v>
      </c>
      <c r="N61" s="71">
        <v>0.7</v>
      </c>
      <c r="O61" s="75">
        <f t="shared" si="0"/>
        <v>89970</v>
      </c>
      <c r="P61" s="35" t="str">
        <f t="shared" si="3"/>
        <v>PERCENTAGE</v>
      </c>
    </row>
    <row r="62" spans="1:16" x14ac:dyDescent="0.35">
      <c r="A62" s="14" t="str">
        <f t="shared" si="1"/>
        <v>2025 JAN-JUN D70%</v>
      </c>
      <c r="B62" s="34">
        <f t="shared" si="4"/>
        <v>46104</v>
      </c>
      <c r="C62" s="34">
        <f t="shared" si="5"/>
        <v>46113</v>
      </c>
      <c r="D62" s="45">
        <v>3321</v>
      </c>
      <c r="E62" s="46">
        <v>337</v>
      </c>
      <c r="F62" s="47">
        <v>4</v>
      </c>
      <c r="G62" s="24">
        <v>3</v>
      </c>
      <c r="H62" s="24">
        <v>81588</v>
      </c>
      <c r="I62" s="33" t="s">
        <v>39</v>
      </c>
      <c r="J62" s="23">
        <v>52555421</v>
      </c>
      <c r="K62" s="23" t="s">
        <v>2448</v>
      </c>
      <c r="L62" s="23" t="s">
        <v>2450</v>
      </c>
      <c r="M62" s="25">
        <v>299900</v>
      </c>
      <c r="N62" s="71">
        <v>0.7</v>
      </c>
      <c r="O62" s="75">
        <f t="shared" si="0"/>
        <v>89970</v>
      </c>
      <c r="P62" s="35" t="str">
        <f t="shared" si="3"/>
        <v>PERCENTAGE</v>
      </c>
    </row>
    <row r="63" spans="1:16" x14ac:dyDescent="0.35">
      <c r="A63" s="14" t="str">
        <f t="shared" si="1"/>
        <v>2025 JAN-JUN D70%</v>
      </c>
      <c r="B63" s="34">
        <f t="shared" si="4"/>
        <v>46104</v>
      </c>
      <c r="C63" s="34">
        <f t="shared" si="5"/>
        <v>46113</v>
      </c>
      <c r="D63" s="45">
        <v>3321</v>
      </c>
      <c r="E63" s="46">
        <v>337</v>
      </c>
      <c r="F63" s="47">
        <v>4</v>
      </c>
      <c r="G63" s="24">
        <v>3</v>
      </c>
      <c r="H63" s="24">
        <v>81588</v>
      </c>
      <c r="I63" s="33" t="s">
        <v>39</v>
      </c>
      <c r="J63" s="23">
        <v>52555430</v>
      </c>
      <c r="K63" s="23" t="s">
        <v>2448</v>
      </c>
      <c r="L63" s="23" t="s">
        <v>2451</v>
      </c>
      <c r="M63" s="25">
        <v>299900</v>
      </c>
      <c r="N63" s="71">
        <v>0.7</v>
      </c>
      <c r="O63" s="75">
        <f t="shared" si="0"/>
        <v>89970</v>
      </c>
      <c r="P63" s="35" t="str">
        <f t="shared" si="3"/>
        <v>PERCENTAGE</v>
      </c>
    </row>
    <row r="64" spans="1:16" x14ac:dyDescent="0.35">
      <c r="A64" s="14" t="str">
        <f t="shared" si="1"/>
        <v>2025 JAN-JUN D70%</v>
      </c>
      <c r="B64" s="34">
        <f t="shared" si="4"/>
        <v>46104</v>
      </c>
      <c r="C64" s="34">
        <f t="shared" si="5"/>
        <v>46113</v>
      </c>
      <c r="D64" s="45">
        <v>3321</v>
      </c>
      <c r="E64" s="46">
        <v>337</v>
      </c>
      <c r="F64" s="47">
        <v>4</v>
      </c>
      <c r="G64" s="24">
        <v>3</v>
      </c>
      <c r="H64" s="24">
        <v>81588</v>
      </c>
      <c r="I64" s="33" t="s">
        <v>39</v>
      </c>
      <c r="J64" s="23">
        <v>51607297</v>
      </c>
      <c r="K64" s="23" t="s">
        <v>2453</v>
      </c>
      <c r="L64" s="23" t="s">
        <v>2456</v>
      </c>
      <c r="M64" s="25">
        <v>279900</v>
      </c>
      <c r="N64" s="71">
        <v>0.7</v>
      </c>
      <c r="O64" s="75">
        <f t="shared" si="0"/>
        <v>83970</v>
      </c>
      <c r="P64" s="35" t="str">
        <f t="shared" si="3"/>
        <v>PERCENTAGE</v>
      </c>
    </row>
    <row r="65" spans="1:16" x14ac:dyDescent="0.35">
      <c r="A65" s="14" t="str">
        <f t="shared" si="1"/>
        <v>2025 JAN-JUN D70%</v>
      </c>
      <c r="B65" s="34">
        <f t="shared" si="4"/>
        <v>46104</v>
      </c>
      <c r="C65" s="34">
        <f t="shared" si="5"/>
        <v>46113</v>
      </c>
      <c r="D65" s="45">
        <v>3321</v>
      </c>
      <c r="E65" s="46">
        <v>337</v>
      </c>
      <c r="F65" s="47">
        <v>4</v>
      </c>
      <c r="G65" s="24">
        <v>3</v>
      </c>
      <c r="H65" s="24">
        <v>81588</v>
      </c>
      <c r="I65" s="33" t="s">
        <v>39</v>
      </c>
      <c r="J65" s="23">
        <v>51607304</v>
      </c>
      <c r="K65" s="23" t="s">
        <v>2453</v>
      </c>
      <c r="L65" s="23" t="s">
        <v>2457</v>
      </c>
      <c r="M65" s="25">
        <v>279900</v>
      </c>
      <c r="N65" s="71">
        <v>0.7</v>
      </c>
      <c r="O65" s="75">
        <f t="shared" si="0"/>
        <v>83970</v>
      </c>
      <c r="P65" s="35" t="str">
        <f t="shared" si="3"/>
        <v>PERCENTAGE</v>
      </c>
    </row>
    <row r="66" spans="1:16" x14ac:dyDescent="0.35">
      <c r="A66" s="14" t="str">
        <f t="shared" si="1"/>
        <v>2025 JAN-JUN D70%</v>
      </c>
      <c r="B66" s="34">
        <f t="shared" si="4"/>
        <v>46104</v>
      </c>
      <c r="C66" s="34">
        <f t="shared" si="5"/>
        <v>46113</v>
      </c>
      <c r="D66" s="45">
        <v>3321</v>
      </c>
      <c r="E66" s="46">
        <v>337</v>
      </c>
      <c r="F66" s="47">
        <v>4</v>
      </c>
      <c r="G66" s="24">
        <v>3</v>
      </c>
      <c r="H66" s="24">
        <v>81588</v>
      </c>
      <c r="I66" s="33" t="s">
        <v>39</v>
      </c>
      <c r="J66" s="23">
        <v>51607313</v>
      </c>
      <c r="K66" s="23" t="s">
        <v>2453</v>
      </c>
      <c r="L66" s="23" t="s">
        <v>2455</v>
      </c>
      <c r="M66" s="25">
        <v>279900</v>
      </c>
      <c r="N66" s="71">
        <v>0.7</v>
      </c>
      <c r="O66" s="75">
        <f t="shared" si="0"/>
        <v>83970</v>
      </c>
      <c r="P66" s="35" t="str">
        <f t="shared" si="3"/>
        <v>PERCENTAGE</v>
      </c>
    </row>
    <row r="67" spans="1:16" x14ac:dyDescent="0.35">
      <c r="A67" s="14" t="str">
        <f t="shared" si="1"/>
        <v>2025 JAN-JUN D70%</v>
      </c>
      <c r="B67" s="34">
        <f t="shared" si="4"/>
        <v>46104</v>
      </c>
      <c r="C67" s="34">
        <f t="shared" si="5"/>
        <v>46113</v>
      </c>
      <c r="D67" s="45">
        <v>3321</v>
      </c>
      <c r="E67" s="46">
        <v>337</v>
      </c>
      <c r="F67" s="47">
        <v>4</v>
      </c>
      <c r="G67" s="24">
        <v>3</v>
      </c>
      <c r="H67" s="24">
        <v>81588</v>
      </c>
      <c r="I67" s="33" t="s">
        <v>39</v>
      </c>
      <c r="J67" s="23">
        <v>51607322</v>
      </c>
      <c r="K67" s="23" t="s">
        <v>2453</v>
      </c>
      <c r="L67" s="23" t="s">
        <v>2454</v>
      </c>
      <c r="M67" s="25">
        <v>279900</v>
      </c>
      <c r="N67" s="71">
        <v>0.7</v>
      </c>
      <c r="O67" s="75">
        <f t="shared" ref="O67:O130" si="6">M67-((70*M67)/100)</f>
        <v>83970</v>
      </c>
      <c r="P67" s="35" t="str">
        <f t="shared" si="3"/>
        <v>PERCENTAGE</v>
      </c>
    </row>
    <row r="68" spans="1:16" x14ac:dyDescent="0.35">
      <c r="A68" s="14" t="str">
        <f t="shared" ref="A68:A131" si="7">A67</f>
        <v>2025 JAN-JUN D70%</v>
      </c>
      <c r="B68" s="34">
        <f t="shared" si="4"/>
        <v>46104</v>
      </c>
      <c r="C68" s="34">
        <f t="shared" si="5"/>
        <v>46113</v>
      </c>
      <c r="D68" s="45">
        <v>3321</v>
      </c>
      <c r="E68" s="46">
        <v>337</v>
      </c>
      <c r="F68" s="47">
        <v>4</v>
      </c>
      <c r="G68" s="24">
        <v>3</v>
      </c>
      <c r="H68" s="24">
        <v>81588</v>
      </c>
      <c r="I68" s="33" t="s">
        <v>39</v>
      </c>
      <c r="J68" s="23">
        <v>51607331</v>
      </c>
      <c r="K68" s="23" t="s">
        <v>2481</v>
      </c>
      <c r="L68" s="23" t="s">
        <v>2485</v>
      </c>
      <c r="M68" s="25">
        <v>279900</v>
      </c>
      <c r="N68" s="71">
        <v>0.7</v>
      </c>
      <c r="O68" s="75">
        <f t="shared" si="6"/>
        <v>83970</v>
      </c>
      <c r="P68" s="35" t="str">
        <f t="shared" ref="P68:P131" si="8">P67</f>
        <v>PERCENTAGE</v>
      </c>
    </row>
    <row r="69" spans="1:16" x14ac:dyDescent="0.35">
      <c r="A69" s="14" t="str">
        <f t="shared" si="7"/>
        <v>2025 JAN-JUN D70%</v>
      </c>
      <c r="B69" s="34">
        <f t="shared" si="4"/>
        <v>46104</v>
      </c>
      <c r="C69" s="34">
        <f t="shared" si="5"/>
        <v>46113</v>
      </c>
      <c r="D69" s="45">
        <v>3321</v>
      </c>
      <c r="E69" s="46">
        <v>337</v>
      </c>
      <c r="F69" s="47">
        <v>4</v>
      </c>
      <c r="G69" s="24">
        <v>3</v>
      </c>
      <c r="H69" s="24">
        <v>81588</v>
      </c>
      <c r="I69" s="33" t="s">
        <v>39</v>
      </c>
      <c r="J69" s="23">
        <v>51607340</v>
      </c>
      <c r="K69" s="23" t="s">
        <v>2481</v>
      </c>
      <c r="L69" s="23" t="s">
        <v>2482</v>
      </c>
      <c r="M69" s="25">
        <v>279900</v>
      </c>
      <c r="N69" s="71">
        <v>0.7</v>
      </c>
      <c r="O69" s="75">
        <f t="shared" si="6"/>
        <v>83970</v>
      </c>
      <c r="P69" s="35" t="str">
        <f t="shared" si="8"/>
        <v>PERCENTAGE</v>
      </c>
    </row>
    <row r="70" spans="1:16" x14ac:dyDescent="0.35">
      <c r="A70" s="14" t="str">
        <f t="shared" si="7"/>
        <v>2025 JAN-JUN D70%</v>
      </c>
      <c r="B70" s="34">
        <f t="shared" ref="B70:B133" si="9">B69</f>
        <v>46104</v>
      </c>
      <c r="C70" s="34">
        <f t="shared" ref="C70:C133" si="10">C69</f>
        <v>46113</v>
      </c>
      <c r="D70" s="45">
        <v>3321</v>
      </c>
      <c r="E70" s="46">
        <v>337</v>
      </c>
      <c r="F70" s="47">
        <v>4</v>
      </c>
      <c r="G70" s="24">
        <v>3</v>
      </c>
      <c r="H70" s="24">
        <v>81588</v>
      </c>
      <c r="I70" s="33" t="s">
        <v>39</v>
      </c>
      <c r="J70" s="23">
        <v>51607359</v>
      </c>
      <c r="K70" s="23" t="s">
        <v>2481</v>
      </c>
      <c r="L70" s="23" t="s">
        <v>2484</v>
      </c>
      <c r="M70" s="25">
        <v>279900</v>
      </c>
      <c r="N70" s="71">
        <v>0.7</v>
      </c>
      <c r="O70" s="75">
        <f t="shared" si="6"/>
        <v>83970</v>
      </c>
      <c r="P70" s="35" t="str">
        <f t="shared" si="8"/>
        <v>PERCENTAGE</v>
      </c>
    </row>
    <row r="71" spans="1:16" x14ac:dyDescent="0.35">
      <c r="A71" s="14" t="str">
        <f t="shared" si="7"/>
        <v>2025 JAN-JUN D70%</v>
      </c>
      <c r="B71" s="34">
        <f t="shared" si="9"/>
        <v>46104</v>
      </c>
      <c r="C71" s="34">
        <f t="shared" si="10"/>
        <v>46113</v>
      </c>
      <c r="D71" s="45">
        <v>3321</v>
      </c>
      <c r="E71" s="46">
        <v>337</v>
      </c>
      <c r="F71" s="47">
        <v>4</v>
      </c>
      <c r="G71" s="24">
        <v>3</v>
      </c>
      <c r="H71" s="24">
        <v>81588</v>
      </c>
      <c r="I71" s="33" t="s">
        <v>39</v>
      </c>
      <c r="J71" s="23">
        <v>51607368</v>
      </c>
      <c r="K71" s="23" t="s">
        <v>2481</v>
      </c>
      <c r="L71" s="23" t="s">
        <v>2483</v>
      </c>
      <c r="M71" s="25">
        <v>279900</v>
      </c>
      <c r="N71" s="71">
        <v>0.7</v>
      </c>
      <c r="O71" s="75">
        <f t="shared" si="6"/>
        <v>83970</v>
      </c>
      <c r="P71" s="35" t="str">
        <f t="shared" si="8"/>
        <v>PERCENTAGE</v>
      </c>
    </row>
    <row r="72" spans="1:16" x14ac:dyDescent="0.35">
      <c r="A72" s="14" t="str">
        <f t="shared" si="7"/>
        <v>2025 JAN-JUN D70%</v>
      </c>
      <c r="B72" s="34">
        <f t="shared" si="9"/>
        <v>46104</v>
      </c>
      <c r="C72" s="34">
        <f t="shared" si="10"/>
        <v>46113</v>
      </c>
      <c r="D72" s="45">
        <v>3321</v>
      </c>
      <c r="E72" s="46">
        <v>337</v>
      </c>
      <c r="F72" s="47">
        <v>4</v>
      </c>
      <c r="G72" s="24">
        <v>4</v>
      </c>
      <c r="H72" s="24">
        <v>81588</v>
      </c>
      <c r="I72" s="33" t="s">
        <v>39</v>
      </c>
      <c r="J72" s="23">
        <v>52555485</v>
      </c>
      <c r="K72" s="23" t="s">
        <v>2458</v>
      </c>
      <c r="L72" s="23" t="s">
        <v>2459</v>
      </c>
      <c r="M72" s="25">
        <v>249900</v>
      </c>
      <c r="N72" s="71">
        <v>0.7</v>
      </c>
      <c r="O72" s="75">
        <f t="shared" si="6"/>
        <v>74970</v>
      </c>
      <c r="P72" s="35" t="str">
        <f t="shared" si="8"/>
        <v>PERCENTAGE</v>
      </c>
    </row>
    <row r="73" spans="1:16" x14ac:dyDescent="0.35">
      <c r="A73" s="14" t="str">
        <f t="shared" si="7"/>
        <v>2025 JAN-JUN D70%</v>
      </c>
      <c r="B73" s="34">
        <f t="shared" si="9"/>
        <v>46104</v>
      </c>
      <c r="C73" s="34">
        <f t="shared" si="10"/>
        <v>46113</v>
      </c>
      <c r="D73" s="45">
        <v>3321</v>
      </c>
      <c r="E73" s="46">
        <v>337</v>
      </c>
      <c r="F73" s="47">
        <v>4</v>
      </c>
      <c r="G73" s="24">
        <v>4</v>
      </c>
      <c r="H73" s="24">
        <v>81588</v>
      </c>
      <c r="I73" s="33" t="s">
        <v>39</v>
      </c>
      <c r="J73" s="23">
        <v>52555494</v>
      </c>
      <c r="K73" s="23" t="s">
        <v>2458</v>
      </c>
      <c r="L73" s="23" t="s">
        <v>2461</v>
      </c>
      <c r="M73" s="25">
        <v>249900</v>
      </c>
      <c r="N73" s="71">
        <v>0.7</v>
      </c>
      <c r="O73" s="75">
        <f t="shared" si="6"/>
        <v>74970</v>
      </c>
      <c r="P73" s="35" t="str">
        <f t="shared" si="8"/>
        <v>PERCENTAGE</v>
      </c>
    </row>
    <row r="74" spans="1:16" x14ac:dyDescent="0.35">
      <c r="A74" s="14" t="str">
        <f t="shared" si="7"/>
        <v>2025 JAN-JUN D70%</v>
      </c>
      <c r="B74" s="34">
        <f t="shared" si="9"/>
        <v>46104</v>
      </c>
      <c r="C74" s="34">
        <f t="shared" si="10"/>
        <v>46113</v>
      </c>
      <c r="D74" s="45">
        <v>3321</v>
      </c>
      <c r="E74" s="46">
        <v>337</v>
      </c>
      <c r="F74" s="47">
        <v>4</v>
      </c>
      <c r="G74" s="24">
        <v>4</v>
      </c>
      <c r="H74" s="24">
        <v>81588</v>
      </c>
      <c r="I74" s="33" t="s">
        <v>39</v>
      </c>
      <c r="J74" s="23">
        <v>52555501</v>
      </c>
      <c r="K74" s="23" t="s">
        <v>2458</v>
      </c>
      <c r="L74" s="23" t="s">
        <v>2460</v>
      </c>
      <c r="M74" s="25">
        <v>249900</v>
      </c>
      <c r="N74" s="71">
        <v>0.7</v>
      </c>
      <c r="O74" s="75">
        <f t="shared" si="6"/>
        <v>74970</v>
      </c>
      <c r="P74" s="35" t="str">
        <f t="shared" si="8"/>
        <v>PERCENTAGE</v>
      </c>
    </row>
    <row r="75" spans="1:16" x14ac:dyDescent="0.35">
      <c r="A75" s="14" t="str">
        <f t="shared" si="7"/>
        <v>2025 JAN-JUN D70%</v>
      </c>
      <c r="B75" s="34">
        <f t="shared" si="9"/>
        <v>46104</v>
      </c>
      <c r="C75" s="34">
        <f t="shared" si="10"/>
        <v>46113</v>
      </c>
      <c r="D75" s="45">
        <v>3321</v>
      </c>
      <c r="E75" s="46">
        <v>337</v>
      </c>
      <c r="F75" s="47">
        <v>4</v>
      </c>
      <c r="G75" s="24">
        <v>4</v>
      </c>
      <c r="H75" s="24">
        <v>81588</v>
      </c>
      <c r="I75" s="33" t="s">
        <v>39</v>
      </c>
      <c r="J75" s="23">
        <v>52555510</v>
      </c>
      <c r="K75" s="23" t="s">
        <v>2458</v>
      </c>
      <c r="L75" s="23" t="s">
        <v>2462</v>
      </c>
      <c r="M75" s="25">
        <v>249900</v>
      </c>
      <c r="N75" s="71">
        <v>0.7</v>
      </c>
      <c r="O75" s="75">
        <f t="shared" si="6"/>
        <v>74970</v>
      </c>
      <c r="P75" s="35" t="str">
        <f t="shared" si="8"/>
        <v>PERCENTAGE</v>
      </c>
    </row>
    <row r="76" spans="1:16" x14ac:dyDescent="0.35">
      <c r="A76" s="14" t="str">
        <f t="shared" si="7"/>
        <v>2025 JAN-JUN D70%</v>
      </c>
      <c r="B76" s="34">
        <f t="shared" si="9"/>
        <v>46104</v>
      </c>
      <c r="C76" s="34">
        <f t="shared" si="10"/>
        <v>46113</v>
      </c>
      <c r="D76" s="45">
        <v>3321</v>
      </c>
      <c r="E76" s="46">
        <v>337</v>
      </c>
      <c r="F76" s="47">
        <v>4</v>
      </c>
      <c r="G76" s="24">
        <v>5</v>
      </c>
      <c r="H76" s="24">
        <v>81005</v>
      </c>
      <c r="I76" s="33" t="s">
        <v>39</v>
      </c>
      <c r="J76" s="23">
        <v>52133403</v>
      </c>
      <c r="K76" s="23" t="s">
        <v>2463</v>
      </c>
      <c r="L76" s="23" t="s">
        <v>2466</v>
      </c>
      <c r="M76" s="25">
        <v>299900</v>
      </c>
      <c r="N76" s="71">
        <v>0.7</v>
      </c>
      <c r="O76" s="75">
        <f t="shared" si="6"/>
        <v>89970</v>
      </c>
      <c r="P76" s="35" t="str">
        <f t="shared" si="8"/>
        <v>PERCENTAGE</v>
      </c>
    </row>
    <row r="77" spans="1:16" x14ac:dyDescent="0.35">
      <c r="A77" s="14" t="str">
        <f t="shared" si="7"/>
        <v>2025 JAN-JUN D70%</v>
      </c>
      <c r="B77" s="34">
        <f t="shared" si="9"/>
        <v>46104</v>
      </c>
      <c r="C77" s="34">
        <f t="shared" si="10"/>
        <v>46113</v>
      </c>
      <c r="D77" s="45">
        <v>3321</v>
      </c>
      <c r="E77" s="46">
        <v>337</v>
      </c>
      <c r="F77" s="47">
        <v>4</v>
      </c>
      <c r="G77" s="24">
        <v>5</v>
      </c>
      <c r="H77" s="24">
        <v>81005</v>
      </c>
      <c r="I77" s="33" t="s">
        <v>39</v>
      </c>
      <c r="J77" s="23">
        <v>52133412</v>
      </c>
      <c r="K77" s="23" t="s">
        <v>2463</v>
      </c>
      <c r="L77" s="23" t="s">
        <v>2465</v>
      </c>
      <c r="M77" s="25">
        <v>299900</v>
      </c>
      <c r="N77" s="71">
        <v>0.7</v>
      </c>
      <c r="O77" s="75">
        <f t="shared" si="6"/>
        <v>89970</v>
      </c>
      <c r="P77" s="35" t="str">
        <f t="shared" si="8"/>
        <v>PERCENTAGE</v>
      </c>
    </row>
    <row r="78" spans="1:16" x14ac:dyDescent="0.35">
      <c r="A78" s="14" t="str">
        <f t="shared" si="7"/>
        <v>2025 JAN-JUN D70%</v>
      </c>
      <c r="B78" s="34">
        <f t="shared" si="9"/>
        <v>46104</v>
      </c>
      <c r="C78" s="34">
        <f t="shared" si="10"/>
        <v>46113</v>
      </c>
      <c r="D78" s="45">
        <v>3321</v>
      </c>
      <c r="E78" s="46">
        <v>337</v>
      </c>
      <c r="F78" s="47">
        <v>4</v>
      </c>
      <c r="G78" s="24">
        <v>5</v>
      </c>
      <c r="H78" s="24">
        <v>81005</v>
      </c>
      <c r="I78" s="33" t="s">
        <v>39</v>
      </c>
      <c r="J78" s="23">
        <v>52133421</v>
      </c>
      <c r="K78" s="23" t="s">
        <v>2463</v>
      </c>
      <c r="L78" s="23" t="s">
        <v>2469</v>
      </c>
      <c r="M78" s="25">
        <v>299900</v>
      </c>
      <c r="N78" s="71">
        <v>0.7</v>
      </c>
      <c r="O78" s="75">
        <f t="shared" si="6"/>
        <v>89970</v>
      </c>
      <c r="P78" s="35" t="str">
        <f t="shared" si="8"/>
        <v>PERCENTAGE</v>
      </c>
    </row>
    <row r="79" spans="1:16" x14ac:dyDescent="0.35">
      <c r="A79" s="14" t="str">
        <f t="shared" si="7"/>
        <v>2025 JAN-JUN D70%</v>
      </c>
      <c r="B79" s="34">
        <f t="shared" si="9"/>
        <v>46104</v>
      </c>
      <c r="C79" s="34">
        <f t="shared" si="10"/>
        <v>46113</v>
      </c>
      <c r="D79" s="45">
        <v>3321</v>
      </c>
      <c r="E79" s="46">
        <v>337</v>
      </c>
      <c r="F79" s="47">
        <v>4</v>
      </c>
      <c r="G79" s="24">
        <v>5</v>
      </c>
      <c r="H79" s="24">
        <v>81005</v>
      </c>
      <c r="I79" s="33" t="s">
        <v>39</v>
      </c>
      <c r="J79" s="23">
        <v>52133430</v>
      </c>
      <c r="K79" s="23" t="s">
        <v>2463</v>
      </c>
      <c r="L79" s="23" t="s">
        <v>2468</v>
      </c>
      <c r="M79" s="25">
        <v>299900</v>
      </c>
      <c r="N79" s="71">
        <v>0.7</v>
      </c>
      <c r="O79" s="75">
        <f t="shared" si="6"/>
        <v>89970</v>
      </c>
      <c r="P79" s="35" t="str">
        <f t="shared" si="8"/>
        <v>PERCENTAGE</v>
      </c>
    </row>
    <row r="80" spans="1:16" x14ac:dyDescent="0.35">
      <c r="A80" s="14" t="str">
        <f t="shared" si="7"/>
        <v>2025 JAN-JUN D70%</v>
      </c>
      <c r="B80" s="34">
        <f t="shared" si="9"/>
        <v>46104</v>
      </c>
      <c r="C80" s="34">
        <f t="shared" si="10"/>
        <v>46113</v>
      </c>
      <c r="D80" s="45">
        <v>3321</v>
      </c>
      <c r="E80" s="46">
        <v>337</v>
      </c>
      <c r="F80" s="47">
        <v>4</v>
      </c>
      <c r="G80" s="24">
        <v>5</v>
      </c>
      <c r="H80" s="24">
        <v>81005</v>
      </c>
      <c r="I80" s="33" t="s">
        <v>39</v>
      </c>
      <c r="J80" s="23">
        <v>52133449</v>
      </c>
      <c r="K80" s="23" t="s">
        <v>2463</v>
      </c>
      <c r="L80" s="23" t="s">
        <v>2464</v>
      </c>
      <c r="M80" s="25">
        <v>299900</v>
      </c>
      <c r="N80" s="71">
        <v>0.7</v>
      </c>
      <c r="O80" s="75">
        <f t="shared" si="6"/>
        <v>89970</v>
      </c>
      <c r="P80" s="35" t="str">
        <f t="shared" si="8"/>
        <v>PERCENTAGE</v>
      </c>
    </row>
    <row r="81" spans="1:16" x14ac:dyDescent="0.35">
      <c r="A81" s="14" t="str">
        <f t="shared" si="7"/>
        <v>2025 JAN-JUN D70%</v>
      </c>
      <c r="B81" s="34">
        <f t="shared" si="9"/>
        <v>46104</v>
      </c>
      <c r="C81" s="34">
        <f t="shared" si="10"/>
        <v>46113</v>
      </c>
      <c r="D81" s="45">
        <v>3321</v>
      </c>
      <c r="E81" s="46">
        <v>337</v>
      </c>
      <c r="F81" s="47">
        <v>4</v>
      </c>
      <c r="G81" s="24">
        <v>5</v>
      </c>
      <c r="H81" s="24">
        <v>81005</v>
      </c>
      <c r="I81" s="33" t="s">
        <v>39</v>
      </c>
      <c r="J81" s="23">
        <v>52133458</v>
      </c>
      <c r="K81" s="23" t="s">
        <v>2463</v>
      </c>
      <c r="L81" s="23" t="s">
        <v>2467</v>
      </c>
      <c r="M81" s="25">
        <v>299900</v>
      </c>
      <c r="N81" s="71">
        <v>0.7</v>
      </c>
      <c r="O81" s="75">
        <f t="shared" si="6"/>
        <v>89970</v>
      </c>
      <c r="P81" s="35" t="str">
        <f t="shared" si="8"/>
        <v>PERCENTAGE</v>
      </c>
    </row>
    <row r="82" spans="1:16" x14ac:dyDescent="0.35">
      <c r="A82" s="14" t="str">
        <f t="shared" si="7"/>
        <v>2025 JAN-JUN D70%</v>
      </c>
      <c r="B82" s="34">
        <f t="shared" si="9"/>
        <v>46104</v>
      </c>
      <c r="C82" s="34">
        <f t="shared" si="10"/>
        <v>46113</v>
      </c>
      <c r="D82" s="45">
        <v>3321</v>
      </c>
      <c r="E82" s="46">
        <v>337</v>
      </c>
      <c r="F82" s="47">
        <v>4</v>
      </c>
      <c r="G82" s="24">
        <v>5</v>
      </c>
      <c r="H82" s="24">
        <v>81005</v>
      </c>
      <c r="I82" s="33" t="s">
        <v>39</v>
      </c>
      <c r="J82" s="23">
        <v>52133467</v>
      </c>
      <c r="K82" s="23" t="s">
        <v>2436</v>
      </c>
      <c r="L82" s="23" t="s">
        <v>2438</v>
      </c>
      <c r="M82" s="25">
        <v>299900</v>
      </c>
      <c r="N82" s="71">
        <v>0.7</v>
      </c>
      <c r="O82" s="75">
        <f t="shared" si="6"/>
        <v>89970</v>
      </c>
      <c r="P82" s="35" t="str">
        <f t="shared" si="8"/>
        <v>PERCENTAGE</v>
      </c>
    </row>
    <row r="83" spans="1:16" x14ac:dyDescent="0.35">
      <c r="A83" s="14" t="str">
        <f t="shared" si="7"/>
        <v>2025 JAN-JUN D70%</v>
      </c>
      <c r="B83" s="34">
        <f t="shared" si="9"/>
        <v>46104</v>
      </c>
      <c r="C83" s="34">
        <f t="shared" si="10"/>
        <v>46113</v>
      </c>
      <c r="D83" s="45">
        <v>3321</v>
      </c>
      <c r="E83" s="46">
        <v>337</v>
      </c>
      <c r="F83" s="47">
        <v>4</v>
      </c>
      <c r="G83" s="24">
        <v>5</v>
      </c>
      <c r="H83" s="24">
        <v>81005</v>
      </c>
      <c r="I83" s="33" t="s">
        <v>39</v>
      </c>
      <c r="J83" s="23">
        <v>52133476</v>
      </c>
      <c r="K83" s="23" t="s">
        <v>2436</v>
      </c>
      <c r="L83" s="23" t="s">
        <v>2437</v>
      </c>
      <c r="M83" s="25">
        <v>299900</v>
      </c>
      <c r="N83" s="71">
        <v>0.7</v>
      </c>
      <c r="O83" s="75">
        <f t="shared" si="6"/>
        <v>89970</v>
      </c>
      <c r="P83" s="35" t="str">
        <f t="shared" si="8"/>
        <v>PERCENTAGE</v>
      </c>
    </row>
    <row r="84" spans="1:16" x14ac:dyDescent="0.35">
      <c r="A84" s="14" t="str">
        <f t="shared" si="7"/>
        <v>2025 JAN-JUN D70%</v>
      </c>
      <c r="B84" s="34">
        <f t="shared" si="9"/>
        <v>46104</v>
      </c>
      <c r="C84" s="34">
        <f t="shared" si="10"/>
        <v>46113</v>
      </c>
      <c r="D84" s="45">
        <v>3321</v>
      </c>
      <c r="E84" s="46">
        <v>337</v>
      </c>
      <c r="F84" s="47">
        <v>4</v>
      </c>
      <c r="G84" s="24">
        <v>5</v>
      </c>
      <c r="H84" s="24">
        <v>81005</v>
      </c>
      <c r="I84" s="33" t="s">
        <v>39</v>
      </c>
      <c r="J84" s="23">
        <v>52133485</v>
      </c>
      <c r="K84" s="23" t="s">
        <v>2436</v>
      </c>
      <c r="L84" s="23" t="s">
        <v>2439</v>
      </c>
      <c r="M84" s="25">
        <v>299900</v>
      </c>
      <c r="N84" s="71">
        <v>0.7</v>
      </c>
      <c r="O84" s="75">
        <f t="shared" si="6"/>
        <v>89970</v>
      </c>
      <c r="P84" s="35" t="str">
        <f t="shared" si="8"/>
        <v>PERCENTAGE</v>
      </c>
    </row>
    <row r="85" spans="1:16" x14ac:dyDescent="0.35">
      <c r="A85" s="14" t="str">
        <f t="shared" si="7"/>
        <v>2025 JAN-JUN D70%</v>
      </c>
      <c r="B85" s="34">
        <f t="shared" si="9"/>
        <v>46104</v>
      </c>
      <c r="C85" s="34">
        <f t="shared" si="10"/>
        <v>46113</v>
      </c>
      <c r="D85" s="45">
        <v>3321</v>
      </c>
      <c r="E85" s="46">
        <v>337</v>
      </c>
      <c r="F85" s="47">
        <v>4</v>
      </c>
      <c r="G85" s="24">
        <v>5</v>
      </c>
      <c r="H85" s="24">
        <v>81005</v>
      </c>
      <c r="I85" s="33" t="s">
        <v>39</v>
      </c>
      <c r="J85" s="23">
        <v>52133494</v>
      </c>
      <c r="K85" s="23" t="s">
        <v>2436</v>
      </c>
      <c r="L85" s="23" t="s">
        <v>2442</v>
      </c>
      <c r="M85" s="25">
        <v>299900</v>
      </c>
      <c r="N85" s="71">
        <v>0.7</v>
      </c>
      <c r="O85" s="75">
        <f t="shared" si="6"/>
        <v>89970</v>
      </c>
      <c r="P85" s="35" t="str">
        <f t="shared" si="8"/>
        <v>PERCENTAGE</v>
      </c>
    </row>
    <row r="86" spans="1:16" x14ac:dyDescent="0.35">
      <c r="A86" s="14" t="str">
        <f t="shared" si="7"/>
        <v>2025 JAN-JUN D70%</v>
      </c>
      <c r="B86" s="34">
        <f t="shared" si="9"/>
        <v>46104</v>
      </c>
      <c r="C86" s="34">
        <f t="shared" si="10"/>
        <v>46113</v>
      </c>
      <c r="D86" s="45">
        <v>3321</v>
      </c>
      <c r="E86" s="46">
        <v>337</v>
      </c>
      <c r="F86" s="47">
        <v>4</v>
      </c>
      <c r="G86" s="24">
        <v>5</v>
      </c>
      <c r="H86" s="24">
        <v>81005</v>
      </c>
      <c r="I86" s="33" t="s">
        <v>39</v>
      </c>
      <c r="J86" s="23">
        <v>52133501</v>
      </c>
      <c r="K86" s="23" t="s">
        <v>2436</v>
      </c>
      <c r="L86" s="23" t="s">
        <v>2440</v>
      </c>
      <c r="M86" s="25">
        <v>299900</v>
      </c>
      <c r="N86" s="71">
        <v>0.7</v>
      </c>
      <c r="O86" s="75">
        <f t="shared" si="6"/>
        <v>89970</v>
      </c>
      <c r="P86" s="35" t="str">
        <f t="shared" si="8"/>
        <v>PERCENTAGE</v>
      </c>
    </row>
    <row r="87" spans="1:16" x14ac:dyDescent="0.35">
      <c r="A87" s="14" t="str">
        <f t="shared" si="7"/>
        <v>2025 JAN-JUN D70%</v>
      </c>
      <c r="B87" s="34">
        <f t="shared" si="9"/>
        <v>46104</v>
      </c>
      <c r="C87" s="34">
        <f t="shared" si="10"/>
        <v>46113</v>
      </c>
      <c r="D87" s="45">
        <v>3321</v>
      </c>
      <c r="E87" s="46">
        <v>337</v>
      </c>
      <c r="F87" s="47">
        <v>4</v>
      </c>
      <c r="G87" s="24">
        <v>5</v>
      </c>
      <c r="H87" s="24">
        <v>81005</v>
      </c>
      <c r="I87" s="33" t="s">
        <v>39</v>
      </c>
      <c r="J87" s="23">
        <v>52133510</v>
      </c>
      <c r="K87" s="23" t="s">
        <v>2436</v>
      </c>
      <c r="L87" s="23" t="s">
        <v>2441</v>
      </c>
      <c r="M87" s="25">
        <v>299900</v>
      </c>
      <c r="N87" s="71">
        <v>0.7</v>
      </c>
      <c r="O87" s="75">
        <f t="shared" si="6"/>
        <v>89970</v>
      </c>
      <c r="P87" s="35" t="str">
        <f t="shared" si="8"/>
        <v>PERCENTAGE</v>
      </c>
    </row>
    <row r="88" spans="1:16" x14ac:dyDescent="0.35">
      <c r="A88" s="14" t="str">
        <f t="shared" si="7"/>
        <v>2025 JAN-JUN D70%</v>
      </c>
      <c r="B88" s="34">
        <f t="shared" si="9"/>
        <v>46104</v>
      </c>
      <c r="C88" s="34">
        <f t="shared" si="10"/>
        <v>46113</v>
      </c>
      <c r="D88" s="45">
        <v>3321</v>
      </c>
      <c r="E88" s="46">
        <v>337</v>
      </c>
      <c r="F88" s="47">
        <v>4</v>
      </c>
      <c r="G88" s="24">
        <v>5</v>
      </c>
      <c r="H88" s="24">
        <v>81574</v>
      </c>
      <c r="I88" s="33" t="s">
        <v>39</v>
      </c>
      <c r="J88" s="23">
        <v>52133350</v>
      </c>
      <c r="K88" s="23" t="s">
        <v>2470</v>
      </c>
      <c r="L88" s="23" t="s">
        <v>2471</v>
      </c>
      <c r="M88" s="25">
        <v>339900</v>
      </c>
      <c r="N88" s="71">
        <v>0.7</v>
      </c>
      <c r="O88" s="75">
        <f t="shared" si="6"/>
        <v>101970</v>
      </c>
      <c r="P88" s="35" t="str">
        <f t="shared" si="8"/>
        <v>PERCENTAGE</v>
      </c>
    </row>
    <row r="89" spans="1:16" x14ac:dyDescent="0.35">
      <c r="A89" s="14" t="str">
        <f t="shared" si="7"/>
        <v>2025 JAN-JUN D70%</v>
      </c>
      <c r="B89" s="34">
        <f t="shared" si="9"/>
        <v>46104</v>
      </c>
      <c r="C89" s="34">
        <f t="shared" si="10"/>
        <v>46113</v>
      </c>
      <c r="D89" s="45">
        <v>3321</v>
      </c>
      <c r="E89" s="46">
        <v>337</v>
      </c>
      <c r="F89" s="47">
        <v>4</v>
      </c>
      <c r="G89" s="24">
        <v>5</v>
      </c>
      <c r="H89" s="24">
        <v>81574</v>
      </c>
      <c r="I89" s="33" t="s">
        <v>39</v>
      </c>
      <c r="J89" s="23">
        <v>52133369</v>
      </c>
      <c r="K89" s="23" t="s">
        <v>2470</v>
      </c>
      <c r="L89" s="23" t="s">
        <v>2472</v>
      </c>
      <c r="M89" s="25">
        <v>339900</v>
      </c>
      <c r="N89" s="71">
        <v>0.7</v>
      </c>
      <c r="O89" s="75">
        <f t="shared" si="6"/>
        <v>101970</v>
      </c>
      <c r="P89" s="35" t="str">
        <f t="shared" si="8"/>
        <v>PERCENTAGE</v>
      </c>
    </row>
    <row r="90" spans="1:16" x14ac:dyDescent="0.35">
      <c r="A90" s="14" t="str">
        <f t="shared" si="7"/>
        <v>2025 JAN-JUN D70%</v>
      </c>
      <c r="B90" s="34">
        <f t="shared" si="9"/>
        <v>46104</v>
      </c>
      <c r="C90" s="34">
        <f t="shared" si="10"/>
        <v>46113</v>
      </c>
      <c r="D90" s="45">
        <v>3321</v>
      </c>
      <c r="E90" s="46">
        <v>337</v>
      </c>
      <c r="F90" s="47">
        <v>4</v>
      </c>
      <c r="G90" s="24">
        <v>5</v>
      </c>
      <c r="H90" s="24">
        <v>81574</v>
      </c>
      <c r="I90" s="33" t="s">
        <v>39</v>
      </c>
      <c r="J90" s="23">
        <v>52133378</v>
      </c>
      <c r="K90" s="23" t="s">
        <v>2470</v>
      </c>
      <c r="L90" s="23" t="s">
        <v>2473</v>
      </c>
      <c r="M90" s="25">
        <v>339900</v>
      </c>
      <c r="N90" s="71">
        <v>0.7</v>
      </c>
      <c r="O90" s="75">
        <f t="shared" si="6"/>
        <v>101970</v>
      </c>
      <c r="P90" s="35" t="str">
        <f t="shared" si="8"/>
        <v>PERCENTAGE</v>
      </c>
    </row>
    <row r="91" spans="1:16" x14ac:dyDescent="0.35">
      <c r="A91" s="14" t="str">
        <f t="shared" si="7"/>
        <v>2025 JAN-JUN D70%</v>
      </c>
      <c r="B91" s="34">
        <f t="shared" si="9"/>
        <v>46104</v>
      </c>
      <c r="C91" s="34">
        <f t="shared" si="10"/>
        <v>46113</v>
      </c>
      <c r="D91" s="45">
        <v>3321</v>
      </c>
      <c r="E91" s="46">
        <v>337</v>
      </c>
      <c r="F91" s="47">
        <v>4</v>
      </c>
      <c r="G91" s="24">
        <v>5</v>
      </c>
      <c r="H91" s="24">
        <v>81574</v>
      </c>
      <c r="I91" s="33" t="s">
        <v>39</v>
      </c>
      <c r="J91" s="23">
        <v>52133387</v>
      </c>
      <c r="K91" s="23" t="s">
        <v>2470</v>
      </c>
      <c r="L91" s="23" t="s">
        <v>2474</v>
      </c>
      <c r="M91" s="25">
        <v>339900</v>
      </c>
      <c r="N91" s="71">
        <v>0.7</v>
      </c>
      <c r="O91" s="75">
        <f t="shared" si="6"/>
        <v>101970</v>
      </c>
      <c r="P91" s="35" t="str">
        <f t="shared" si="8"/>
        <v>PERCENTAGE</v>
      </c>
    </row>
    <row r="92" spans="1:16" x14ac:dyDescent="0.35">
      <c r="A92" s="14" t="str">
        <f t="shared" si="7"/>
        <v>2025 JAN-JUN D70%</v>
      </c>
      <c r="B92" s="34">
        <f t="shared" si="9"/>
        <v>46104</v>
      </c>
      <c r="C92" s="34">
        <f t="shared" si="10"/>
        <v>46113</v>
      </c>
      <c r="D92" s="45">
        <v>3321</v>
      </c>
      <c r="E92" s="46">
        <v>337</v>
      </c>
      <c r="F92" s="47">
        <v>4</v>
      </c>
      <c r="G92" s="24">
        <v>5</v>
      </c>
      <c r="H92" s="24">
        <v>81574</v>
      </c>
      <c r="I92" s="33" t="s">
        <v>39</v>
      </c>
      <c r="J92" s="23">
        <v>52133396</v>
      </c>
      <c r="K92" s="23" t="s">
        <v>2470</v>
      </c>
      <c r="L92" s="23" t="s">
        <v>2475</v>
      </c>
      <c r="M92" s="25">
        <v>339900</v>
      </c>
      <c r="N92" s="71">
        <v>0.7</v>
      </c>
      <c r="O92" s="75">
        <f t="shared" si="6"/>
        <v>101970</v>
      </c>
      <c r="P92" s="35" t="str">
        <f t="shared" si="8"/>
        <v>PERCENTAGE</v>
      </c>
    </row>
    <row r="93" spans="1:16" x14ac:dyDescent="0.35">
      <c r="A93" s="14" t="str">
        <f t="shared" si="7"/>
        <v>2025 JAN-JUN D70%</v>
      </c>
      <c r="B93" s="34">
        <f t="shared" si="9"/>
        <v>46104</v>
      </c>
      <c r="C93" s="34">
        <f t="shared" si="10"/>
        <v>46113</v>
      </c>
      <c r="D93" s="45">
        <v>3321</v>
      </c>
      <c r="E93" s="46">
        <v>337</v>
      </c>
      <c r="F93" s="47">
        <v>4</v>
      </c>
      <c r="G93" s="24">
        <v>3</v>
      </c>
      <c r="H93" s="24">
        <v>81005</v>
      </c>
      <c r="I93" s="33" t="s">
        <v>39</v>
      </c>
      <c r="J93" s="23">
        <v>52133234</v>
      </c>
      <c r="K93" s="23" t="s">
        <v>2443</v>
      </c>
      <c r="L93" s="23" t="s">
        <v>2444</v>
      </c>
      <c r="M93" s="25">
        <v>229900</v>
      </c>
      <c r="N93" s="71">
        <v>0.7</v>
      </c>
      <c r="O93" s="75">
        <f t="shared" si="6"/>
        <v>68970</v>
      </c>
      <c r="P93" s="35" t="str">
        <f t="shared" si="8"/>
        <v>PERCENTAGE</v>
      </c>
    </row>
    <row r="94" spans="1:16" x14ac:dyDescent="0.35">
      <c r="A94" s="14" t="str">
        <f t="shared" si="7"/>
        <v>2025 JAN-JUN D70%</v>
      </c>
      <c r="B94" s="34">
        <f t="shared" si="9"/>
        <v>46104</v>
      </c>
      <c r="C94" s="34">
        <f t="shared" si="10"/>
        <v>46113</v>
      </c>
      <c r="D94" s="45">
        <v>3321</v>
      </c>
      <c r="E94" s="46">
        <v>337</v>
      </c>
      <c r="F94" s="47">
        <v>4</v>
      </c>
      <c r="G94" s="24">
        <v>3</v>
      </c>
      <c r="H94" s="24">
        <v>81005</v>
      </c>
      <c r="I94" s="33" t="s">
        <v>39</v>
      </c>
      <c r="J94" s="23">
        <v>52133243</v>
      </c>
      <c r="K94" s="23" t="s">
        <v>2443</v>
      </c>
      <c r="L94" s="23" t="s">
        <v>2447</v>
      </c>
      <c r="M94" s="25">
        <v>229900</v>
      </c>
      <c r="N94" s="71">
        <v>0.7</v>
      </c>
      <c r="O94" s="75">
        <f t="shared" si="6"/>
        <v>68970</v>
      </c>
      <c r="P94" s="35" t="str">
        <f t="shared" si="8"/>
        <v>PERCENTAGE</v>
      </c>
    </row>
    <row r="95" spans="1:16" x14ac:dyDescent="0.35">
      <c r="A95" s="14" t="str">
        <f t="shared" si="7"/>
        <v>2025 JAN-JUN D70%</v>
      </c>
      <c r="B95" s="34">
        <f t="shared" si="9"/>
        <v>46104</v>
      </c>
      <c r="C95" s="34">
        <f t="shared" si="10"/>
        <v>46113</v>
      </c>
      <c r="D95" s="45">
        <v>3321</v>
      </c>
      <c r="E95" s="46">
        <v>337</v>
      </c>
      <c r="F95" s="47">
        <v>4</v>
      </c>
      <c r="G95" s="24">
        <v>3</v>
      </c>
      <c r="H95" s="24">
        <v>81005</v>
      </c>
      <c r="I95" s="33" t="s">
        <v>39</v>
      </c>
      <c r="J95" s="23">
        <v>52133252</v>
      </c>
      <c r="K95" s="23" t="s">
        <v>2443</v>
      </c>
      <c r="L95" s="23" t="s">
        <v>2445</v>
      </c>
      <c r="M95" s="25">
        <v>229900</v>
      </c>
      <c r="N95" s="71">
        <v>0.7</v>
      </c>
      <c r="O95" s="75">
        <f t="shared" si="6"/>
        <v>68970</v>
      </c>
      <c r="P95" s="35" t="str">
        <f t="shared" si="8"/>
        <v>PERCENTAGE</v>
      </c>
    </row>
    <row r="96" spans="1:16" x14ac:dyDescent="0.35">
      <c r="A96" s="14" t="str">
        <f t="shared" si="7"/>
        <v>2025 JAN-JUN D70%</v>
      </c>
      <c r="B96" s="34">
        <f t="shared" si="9"/>
        <v>46104</v>
      </c>
      <c r="C96" s="34">
        <f t="shared" si="10"/>
        <v>46113</v>
      </c>
      <c r="D96" s="45">
        <v>3321</v>
      </c>
      <c r="E96" s="46">
        <v>337</v>
      </c>
      <c r="F96" s="47">
        <v>4</v>
      </c>
      <c r="G96" s="24">
        <v>3</v>
      </c>
      <c r="H96" s="24">
        <v>81005</v>
      </c>
      <c r="I96" s="33" t="s">
        <v>39</v>
      </c>
      <c r="J96" s="23">
        <v>52133261</v>
      </c>
      <c r="K96" s="23" t="s">
        <v>2443</v>
      </c>
      <c r="L96" s="23" t="s">
        <v>2446</v>
      </c>
      <c r="M96" s="25">
        <v>229900</v>
      </c>
      <c r="N96" s="71">
        <v>0.7</v>
      </c>
      <c r="O96" s="75">
        <f t="shared" si="6"/>
        <v>68970</v>
      </c>
      <c r="P96" s="35" t="str">
        <f t="shared" si="8"/>
        <v>PERCENTAGE</v>
      </c>
    </row>
    <row r="97" spans="1:16" x14ac:dyDescent="0.35">
      <c r="A97" s="14" t="str">
        <f t="shared" si="7"/>
        <v>2025 JAN-JUN D70%</v>
      </c>
      <c r="B97" s="34">
        <f t="shared" si="9"/>
        <v>46104</v>
      </c>
      <c r="C97" s="34">
        <f t="shared" si="10"/>
        <v>46113</v>
      </c>
      <c r="D97" s="45">
        <v>3321</v>
      </c>
      <c r="E97" s="46">
        <v>337</v>
      </c>
      <c r="F97" s="47">
        <v>4</v>
      </c>
      <c r="G97" s="24">
        <v>1</v>
      </c>
      <c r="H97" s="24">
        <v>81676</v>
      </c>
      <c r="I97" s="33" t="s">
        <v>39</v>
      </c>
      <c r="J97" s="23">
        <v>52133190</v>
      </c>
      <c r="K97" s="23" t="s">
        <v>2476</v>
      </c>
      <c r="L97" s="23" t="s">
        <v>2477</v>
      </c>
      <c r="M97" s="25">
        <v>139900</v>
      </c>
      <c r="N97" s="71">
        <v>0.7</v>
      </c>
      <c r="O97" s="75">
        <f t="shared" si="6"/>
        <v>41970</v>
      </c>
      <c r="P97" s="35" t="str">
        <f t="shared" si="8"/>
        <v>PERCENTAGE</v>
      </c>
    </row>
    <row r="98" spans="1:16" x14ac:dyDescent="0.35">
      <c r="A98" s="14" t="str">
        <f t="shared" si="7"/>
        <v>2025 JAN-JUN D70%</v>
      </c>
      <c r="B98" s="34">
        <f t="shared" si="9"/>
        <v>46104</v>
      </c>
      <c r="C98" s="34">
        <f t="shared" si="10"/>
        <v>46113</v>
      </c>
      <c r="D98" s="45">
        <v>3321</v>
      </c>
      <c r="E98" s="46">
        <v>337</v>
      </c>
      <c r="F98" s="47">
        <v>4</v>
      </c>
      <c r="G98" s="24">
        <v>1</v>
      </c>
      <c r="H98" s="24">
        <v>81676</v>
      </c>
      <c r="I98" s="33" t="s">
        <v>39</v>
      </c>
      <c r="J98" s="23">
        <v>52133207</v>
      </c>
      <c r="K98" s="23" t="s">
        <v>2476</v>
      </c>
      <c r="L98" s="23" t="s">
        <v>2480</v>
      </c>
      <c r="M98" s="25">
        <v>139900</v>
      </c>
      <c r="N98" s="71">
        <v>0.7</v>
      </c>
      <c r="O98" s="75">
        <f t="shared" si="6"/>
        <v>41970</v>
      </c>
      <c r="P98" s="35" t="str">
        <f t="shared" si="8"/>
        <v>PERCENTAGE</v>
      </c>
    </row>
    <row r="99" spans="1:16" x14ac:dyDescent="0.35">
      <c r="A99" s="14" t="str">
        <f t="shared" si="7"/>
        <v>2025 JAN-JUN D70%</v>
      </c>
      <c r="B99" s="34">
        <f t="shared" si="9"/>
        <v>46104</v>
      </c>
      <c r="C99" s="34">
        <f t="shared" si="10"/>
        <v>46113</v>
      </c>
      <c r="D99" s="45">
        <v>3321</v>
      </c>
      <c r="E99" s="46">
        <v>337</v>
      </c>
      <c r="F99" s="47">
        <v>4</v>
      </c>
      <c r="G99" s="24">
        <v>1</v>
      </c>
      <c r="H99" s="24">
        <v>81676</v>
      </c>
      <c r="I99" s="33" t="s">
        <v>39</v>
      </c>
      <c r="J99" s="23">
        <v>52133216</v>
      </c>
      <c r="K99" s="23" t="s">
        <v>2476</v>
      </c>
      <c r="L99" s="23" t="s">
        <v>2479</v>
      </c>
      <c r="M99" s="25">
        <v>139900</v>
      </c>
      <c r="N99" s="71">
        <v>0.7</v>
      </c>
      <c r="O99" s="75">
        <f t="shared" si="6"/>
        <v>41970</v>
      </c>
      <c r="P99" s="35" t="str">
        <f t="shared" si="8"/>
        <v>PERCENTAGE</v>
      </c>
    </row>
    <row r="100" spans="1:16" x14ac:dyDescent="0.35">
      <c r="A100" s="14" t="str">
        <f t="shared" si="7"/>
        <v>2025 JAN-JUN D70%</v>
      </c>
      <c r="B100" s="34">
        <f t="shared" si="9"/>
        <v>46104</v>
      </c>
      <c r="C100" s="34">
        <f t="shared" si="10"/>
        <v>46113</v>
      </c>
      <c r="D100" s="45">
        <v>3321</v>
      </c>
      <c r="E100" s="46">
        <v>337</v>
      </c>
      <c r="F100" s="47">
        <v>4</v>
      </c>
      <c r="G100" s="24">
        <v>1</v>
      </c>
      <c r="H100" s="24">
        <v>81676</v>
      </c>
      <c r="I100" s="33" t="s">
        <v>39</v>
      </c>
      <c r="J100" s="23">
        <v>52133225</v>
      </c>
      <c r="K100" s="23" t="s">
        <v>2476</v>
      </c>
      <c r="L100" s="23" t="s">
        <v>2478</v>
      </c>
      <c r="M100" s="25">
        <v>139900</v>
      </c>
      <c r="N100" s="71">
        <v>0.7</v>
      </c>
      <c r="O100" s="75">
        <f t="shared" si="6"/>
        <v>41970</v>
      </c>
      <c r="P100" s="35" t="str">
        <f t="shared" si="8"/>
        <v>PERCENTAGE</v>
      </c>
    </row>
    <row r="101" spans="1:16" x14ac:dyDescent="0.35">
      <c r="A101" s="14" t="str">
        <f t="shared" si="7"/>
        <v>2025 JAN-JUN D70%</v>
      </c>
      <c r="B101" s="34">
        <f t="shared" si="9"/>
        <v>46104</v>
      </c>
      <c r="C101" s="34">
        <f t="shared" si="10"/>
        <v>46113</v>
      </c>
      <c r="D101" s="45">
        <v>3321</v>
      </c>
      <c r="E101" s="46">
        <v>337</v>
      </c>
      <c r="F101" s="47">
        <v>4</v>
      </c>
      <c r="G101" s="24">
        <v>1</v>
      </c>
      <c r="H101" s="24">
        <v>81005</v>
      </c>
      <c r="I101" s="33" t="s">
        <v>39</v>
      </c>
      <c r="J101" s="23">
        <v>52555369</v>
      </c>
      <c r="K101" s="23" t="s">
        <v>2486</v>
      </c>
      <c r="L101" s="23" t="s">
        <v>2487</v>
      </c>
      <c r="M101" s="25">
        <v>189900</v>
      </c>
      <c r="N101" s="71">
        <v>0.7</v>
      </c>
      <c r="O101" s="75">
        <f t="shared" si="6"/>
        <v>56970</v>
      </c>
      <c r="P101" s="35" t="str">
        <f t="shared" si="8"/>
        <v>PERCENTAGE</v>
      </c>
    </row>
    <row r="102" spans="1:16" x14ac:dyDescent="0.35">
      <c r="A102" s="14" t="str">
        <f t="shared" si="7"/>
        <v>2025 JAN-JUN D70%</v>
      </c>
      <c r="B102" s="34">
        <f t="shared" si="9"/>
        <v>46104</v>
      </c>
      <c r="C102" s="34">
        <f t="shared" si="10"/>
        <v>46113</v>
      </c>
      <c r="D102" s="45">
        <v>3321</v>
      </c>
      <c r="E102" s="46">
        <v>337</v>
      </c>
      <c r="F102" s="47">
        <v>4</v>
      </c>
      <c r="G102" s="24">
        <v>1</v>
      </c>
      <c r="H102" s="24">
        <v>81005</v>
      </c>
      <c r="I102" s="33" t="s">
        <v>39</v>
      </c>
      <c r="J102" s="23">
        <v>52555378</v>
      </c>
      <c r="K102" s="23" t="s">
        <v>2486</v>
      </c>
      <c r="L102" s="23" t="s">
        <v>2488</v>
      </c>
      <c r="M102" s="25">
        <v>189900</v>
      </c>
      <c r="N102" s="71">
        <v>0.7</v>
      </c>
      <c r="O102" s="75">
        <f t="shared" si="6"/>
        <v>56970</v>
      </c>
      <c r="P102" s="35" t="str">
        <f t="shared" si="8"/>
        <v>PERCENTAGE</v>
      </c>
    </row>
    <row r="103" spans="1:16" x14ac:dyDescent="0.35">
      <c r="A103" s="14" t="str">
        <f t="shared" si="7"/>
        <v>2025 JAN-JUN D70%</v>
      </c>
      <c r="B103" s="34">
        <f t="shared" si="9"/>
        <v>46104</v>
      </c>
      <c r="C103" s="34">
        <f t="shared" si="10"/>
        <v>46113</v>
      </c>
      <c r="D103" s="45">
        <v>3321</v>
      </c>
      <c r="E103" s="46">
        <v>337</v>
      </c>
      <c r="F103" s="47">
        <v>4</v>
      </c>
      <c r="G103" s="24">
        <v>1</v>
      </c>
      <c r="H103" s="24">
        <v>81005</v>
      </c>
      <c r="I103" s="33" t="s">
        <v>39</v>
      </c>
      <c r="J103" s="23">
        <v>52555387</v>
      </c>
      <c r="K103" s="23" t="s">
        <v>2486</v>
      </c>
      <c r="L103" s="23" t="s">
        <v>2490</v>
      </c>
      <c r="M103" s="25">
        <v>189900</v>
      </c>
      <c r="N103" s="71">
        <v>0.7</v>
      </c>
      <c r="O103" s="75">
        <f t="shared" si="6"/>
        <v>56970</v>
      </c>
      <c r="P103" s="35" t="str">
        <f t="shared" si="8"/>
        <v>PERCENTAGE</v>
      </c>
    </row>
    <row r="104" spans="1:16" x14ac:dyDescent="0.35">
      <c r="A104" s="14" t="str">
        <f t="shared" si="7"/>
        <v>2025 JAN-JUN D70%</v>
      </c>
      <c r="B104" s="34">
        <f t="shared" si="9"/>
        <v>46104</v>
      </c>
      <c r="C104" s="34">
        <f t="shared" si="10"/>
        <v>46113</v>
      </c>
      <c r="D104" s="45">
        <v>3321</v>
      </c>
      <c r="E104" s="46">
        <v>337</v>
      </c>
      <c r="F104" s="47">
        <v>4</v>
      </c>
      <c r="G104" s="24">
        <v>1</v>
      </c>
      <c r="H104" s="24">
        <v>81005</v>
      </c>
      <c r="I104" s="33" t="s">
        <v>39</v>
      </c>
      <c r="J104" s="23">
        <v>52555396</v>
      </c>
      <c r="K104" s="23" t="s">
        <v>2486</v>
      </c>
      <c r="L104" s="23" t="s">
        <v>2489</v>
      </c>
      <c r="M104" s="25">
        <v>189900</v>
      </c>
      <c r="N104" s="71">
        <v>0.7</v>
      </c>
      <c r="O104" s="75">
        <f t="shared" si="6"/>
        <v>56970</v>
      </c>
      <c r="P104" s="35" t="str">
        <f t="shared" si="8"/>
        <v>PERCENTAGE</v>
      </c>
    </row>
    <row r="105" spans="1:16" x14ac:dyDescent="0.35">
      <c r="A105" s="14" t="str">
        <f t="shared" si="7"/>
        <v>2025 JAN-JUN D70%</v>
      </c>
      <c r="B105" s="34">
        <f t="shared" si="9"/>
        <v>46104</v>
      </c>
      <c r="C105" s="34">
        <f t="shared" si="10"/>
        <v>46113</v>
      </c>
      <c r="D105" s="45">
        <v>3321</v>
      </c>
      <c r="E105" s="46">
        <v>337</v>
      </c>
      <c r="F105" s="47">
        <v>4</v>
      </c>
      <c r="G105" s="24">
        <v>3</v>
      </c>
      <c r="H105" s="24">
        <v>81005</v>
      </c>
      <c r="I105" s="33" t="s">
        <v>39</v>
      </c>
      <c r="J105" s="23">
        <v>52555449</v>
      </c>
      <c r="K105" s="23" t="s">
        <v>2710</v>
      </c>
      <c r="L105" s="23" t="s">
        <v>2713</v>
      </c>
      <c r="M105" s="25">
        <v>229900</v>
      </c>
      <c r="N105" s="71">
        <v>0.7</v>
      </c>
      <c r="O105" s="75">
        <f t="shared" si="6"/>
        <v>68970</v>
      </c>
      <c r="P105" s="35" t="str">
        <f t="shared" si="8"/>
        <v>PERCENTAGE</v>
      </c>
    </row>
    <row r="106" spans="1:16" x14ac:dyDescent="0.35">
      <c r="A106" s="14" t="str">
        <f t="shared" si="7"/>
        <v>2025 JAN-JUN D70%</v>
      </c>
      <c r="B106" s="34">
        <f t="shared" si="9"/>
        <v>46104</v>
      </c>
      <c r="C106" s="34">
        <f t="shared" si="10"/>
        <v>46113</v>
      </c>
      <c r="D106" s="45">
        <v>3321</v>
      </c>
      <c r="E106" s="46">
        <v>337</v>
      </c>
      <c r="F106" s="47">
        <v>4</v>
      </c>
      <c r="G106" s="24">
        <v>3</v>
      </c>
      <c r="H106" s="24">
        <v>81005</v>
      </c>
      <c r="I106" s="33" t="s">
        <v>39</v>
      </c>
      <c r="J106" s="23">
        <v>52555458</v>
      </c>
      <c r="K106" s="23" t="s">
        <v>2710</v>
      </c>
      <c r="L106" s="23" t="s">
        <v>2714</v>
      </c>
      <c r="M106" s="25">
        <v>229900</v>
      </c>
      <c r="N106" s="71">
        <v>0.7</v>
      </c>
      <c r="O106" s="75">
        <f t="shared" si="6"/>
        <v>68970</v>
      </c>
      <c r="P106" s="35" t="str">
        <f t="shared" si="8"/>
        <v>PERCENTAGE</v>
      </c>
    </row>
    <row r="107" spans="1:16" x14ac:dyDescent="0.35">
      <c r="A107" s="14" t="str">
        <f t="shared" si="7"/>
        <v>2025 JAN-JUN D70%</v>
      </c>
      <c r="B107" s="34">
        <f t="shared" si="9"/>
        <v>46104</v>
      </c>
      <c r="C107" s="34">
        <f t="shared" si="10"/>
        <v>46113</v>
      </c>
      <c r="D107" s="45">
        <v>3321</v>
      </c>
      <c r="E107" s="46">
        <v>337</v>
      </c>
      <c r="F107" s="47">
        <v>4</v>
      </c>
      <c r="G107" s="24">
        <v>3</v>
      </c>
      <c r="H107" s="24">
        <v>81005</v>
      </c>
      <c r="I107" s="33" t="s">
        <v>39</v>
      </c>
      <c r="J107" s="23">
        <v>52555467</v>
      </c>
      <c r="K107" s="23" t="s">
        <v>2710</v>
      </c>
      <c r="L107" s="23" t="s">
        <v>2711</v>
      </c>
      <c r="M107" s="25">
        <v>229900</v>
      </c>
      <c r="N107" s="71">
        <v>0.7</v>
      </c>
      <c r="O107" s="75">
        <f t="shared" si="6"/>
        <v>68970</v>
      </c>
      <c r="P107" s="35" t="str">
        <f t="shared" si="8"/>
        <v>PERCENTAGE</v>
      </c>
    </row>
    <row r="108" spans="1:16" x14ac:dyDescent="0.35">
      <c r="A108" s="14" t="str">
        <f t="shared" si="7"/>
        <v>2025 JAN-JUN D70%</v>
      </c>
      <c r="B108" s="34">
        <f t="shared" si="9"/>
        <v>46104</v>
      </c>
      <c r="C108" s="34">
        <f t="shared" si="10"/>
        <v>46113</v>
      </c>
      <c r="D108" s="45">
        <v>3321</v>
      </c>
      <c r="E108" s="46">
        <v>337</v>
      </c>
      <c r="F108" s="47">
        <v>4</v>
      </c>
      <c r="G108" s="24">
        <v>3</v>
      </c>
      <c r="H108" s="24">
        <v>81005</v>
      </c>
      <c r="I108" s="33" t="s">
        <v>39</v>
      </c>
      <c r="J108" s="23">
        <v>52555476</v>
      </c>
      <c r="K108" s="23" t="s">
        <v>2710</v>
      </c>
      <c r="L108" s="23" t="s">
        <v>2712</v>
      </c>
      <c r="M108" s="25">
        <v>229900</v>
      </c>
      <c r="N108" s="71">
        <v>0.7</v>
      </c>
      <c r="O108" s="75">
        <f t="shared" si="6"/>
        <v>68970</v>
      </c>
      <c r="P108" s="35" t="str">
        <f t="shared" si="8"/>
        <v>PERCENTAGE</v>
      </c>
    </row>
    <row r="109" spans="1:16" x14ac:dyDescent="0.35">
      <c r="A109" s="14" t="str">
        <f t="shared" si="7"/>
        <v>2025 JAN-JUN D70%</v>
      </c>
      <c r="B109" s="34">
        <f t="shared" si="9"/>
        <v>46104</v>
      </c>
      <c r="C109" s="34">
        <f t="shared" si="10"/>
        <v>46113</v>
      </c>
      <c r="D109" s="45">
        <v>3321</v>
      </c>
      <c r="E109" s="46">
        <v>337</v>
      </c>
      <c r="F109" s="47">
        <v>4</v>
      </c>
      <c r="G109" s="24">
        <v>5</v>
      </c>
      <c r="H109" s="24">
        <v>81506</v>
      </c>
      <c r="I109" s="33" t="s">
        <v>39</v>
      </c>
      <c r="J109" s="23">
        <v>53221244</v>
      </c>
      <c r="K109" s="23" t="s">
        <v>2715</v>
      </c>
      <c r="L109" s="23" t="s">
        <v>2718</v>
      </c>
      <c r="M109" s="25">
        <v>279900</v>
      </c>
      <c r="N109" s="71">
        <v>0.7</v>
      </c>
      <c r="O109" s="75">
        <f t="shared" si="6"/>
        <v>83970</v>
      </c>
      <c r="P109" s="35" t="str">
        <f t="shared" si="8"/>
        <v>PERCENTAGE</v>
      </c>
    </row>
    <row r="110" spans="1:16" x14ac:dyDescent="0.35">
      <c r="A110" s="14" t="str">
        <f t="shared" si="7"/>
        <v>2025 JAN-JUN D70%</v>
      </c>
      <c r="B110" s="34">
        <f t="shared" si="9"/>
        <v>46104</v>
      </c>
      <c r="C110" s="34">
        <f t="shared" si="10"/>
        <v>46113</v>
      </c>
      <c r="D110" s="45">
        <v>3321</v>
      </c>
      <c r="E110" s="46">
        <v>337</v>
      </c>
      <c r="F110" s="47">
        <v>4</v>
      </c>
      <c r="G110" s="24">
        <v>5</v>
      </c>
      <c r="H110" s="24">
        <v>81506</v>
      </c>
      <c r="I110" s="33" t="s">
        <v>39</v>
      </c>
      <c r="J110" s="23">
        <v>53221253</v>
      </c>
      <c r="K110" s="23" t="s">
        <v>2715</v>
      </c>
      <c r="L110" s="23" t="s">
        <v>2717</v>
      </c>
      <c r="M110" s="25">
        <v>279900</v>
      </c>
      <c r="N110" s="71">
        <v>0.7</v>
      </c>
      <c r="O110" s="75">
        <f t="shared" si="6"/>
        <v>83970</v>
      </c>
      <c r="P110" s="35" t="str">
        <f t="shared" si="8"/>
        <v>PERCENTAGE</v>
      </c>
    </row>
    <row r="111" spans="1:16" x14ac:dyDescent="0.35">
      <c r="A111" s="14" t="str">
        <f t="shared" si="7"/>
        <v>2025 JAN-JUN D70%</v>
      </c>
      <c r="B111" s="34">
        <f t="shared" si="9"/>
        <v>46104</v>
      </c>
      <c r="C111" s="34">
        <f t="shared" si="10"/>
        <v>46113</v>
      </c>
      <c r="D111" s="45">
        <v>3321</v>
      </c>
      <c r="E111" s="46">
        <v>337</v>
      </c>
      <c r="F111" s="47">
        <v>4</v>
      </c>
      <c r="G111" s="24">
        <v>5</v>
      </c>
      <c r="H111" s="24">
        <v>81506</v>
      </c>
      <c r="I111" s="33" t="s">
        <v>39</v>
      </c>
      <c r="J111" s="23">
        <v>53221262</v>
      </c>
      <c r="K111" s="23" t="s">
        <v>2715</v>
      </c>
      <c r="L111" s="23" t="s">
        <v>2716</v>
      </c>
      <c r="M111" s="25">
        <v>279900</v>
      </c>
      <c r="N111" s="71">
        <v>0.7</v>
      </c>
      <c r="O111" s="75">
        <f t="shared" si="6"/>
        <v>83970</v>
      </c>
      <c r="P111" s="35" t="str">
        <f t="shared" si="8"/>
        <v>PERCENTAGE</v>
      </c>
    </row>
    <row r="112" spans="1:16" x14ac:dyDescent="0.35">
      <c r="A112" s="14" t="str">
        <f t="shared" si="7"/>
        <v>2025 JAN-JUN D70%</v>
      </c>
      <c r="B112" s="34">
        <f t="shared" si="9"/>
        <v>46104</v>
      </c>
      <c r="C112" s="34">
        <f t="shared" si="10"/>
        <v>46113</v>
      </c>
      <c r="D112" s="45">
        <v>3321</v>
      </c>
      <c r="E112" s="46">
        <v>337</v>
      </c>
      <c r="F112" s="47">
        <v>4</v>
      </c>
      <c r="G112" s="24">
        <v>5</v>
      </c>
      <c r="H112" s="24">
        <v>81506</v>
      </c>
      <c r="I112" s="33" t="s">
        <v>39</v>
      </c>
      <c r="J112" s="23">
        <v>53221271</v>
      </c>
      <c r="K112" s="23" t="s">
        <v>2715</v>
      </c>
      <c r="L112" s="23" t="s">
        <v>2719</v>
      </c>
      <c r="M112" s="25">
        <v>279900</v>
      </c>
      <c r="N112" s="71">
        <v>0.7</v>
      </c>
      <c r="O112" s="75">
        <f t="shared" si="6"/>
        <v>83970</v>
      </c>
      <c r="P112" s="35" t="str">
        <f t="shared" si="8"/>
        <v>PERCENTAGE</v>
      </c>
    </row>
    <row r="113" spans="1:16" x14ac:dyDescent="0.35">
      <c r="A113" s="14" t="str">
        <f t="shared" si="7"/>
        <v>2025 JAN-JUN D70%</v>
      </c>
      <c r="B113" s="34">
        <f t="shared" si="9"/>
        <v>46104</v>
      </c>
      <c r="C113" s="34">
        <f t="shared" si="10"/>
        <v>46113</v>
      </c>
      <c r="D113" s="45">
        <v>3321</v>
      </c>
      <c r="E113" s="46">
        <v>337</v>
      </c>
      <c r="F113" s="47">
        <v>4</v>
      </c>
      <c r="G113" s="24">
        <v>1</v>
      </c>
      <c r="H113" s="24">
        <v>81588</v>
      </c>
      <c r="I113" s="33" t="s">
        <v>39</v>
      </c>
      <c r="J113" s="23">
        <v>53828643</v>
      </c>
      <c r="K113" s="23" t="s">
        <v>2720</v>
      </c>
      <c r="L113" s="23" t="s">
        <v>2729</v>
      </c>
      <c r="M113" s="25">
        <v>149900</v>
      </c>
      <c r="N113" s="71">
        <v>0.7</v>
      </c>
      <c r="O113" s="75">
        <f t="shared" si="6"/>
        <v>44970</v>
      </c>
      <c r="P113" s="35" t="str">
        <f t="shared" si="8"/>
        <v>PERCENTAGE</v>
      </c>
    </row>
    <row r="114" spans="1:16" x14ac:dyDescent="0.35">
      <c r="A114" s="14" t="str">
        <f t="shared" si="7"/>
        <v>2025 JAN-JUN D70%</v>
      </c>
      <c r="B114" s="34">
        <f t="shared" si="9"/>
        <v>46104</v>
      </c>
      <c r="C114" s="34">
        <f t="shared" si="10"/>
        <v>46113</v>
      </c>
      <c r="D114" s="45">
        <v>3321</v>
      </c>
      <c r="E114" s="46">
        <v>337</v>
      </c>
      <c r="F114" s="47">
        <v>4</v>
      </c>
      <c r="G114" s="24">
        <v>1</v>
      </c>
      <c r="H114" s="24">
        <v>81588</v>
      </c>
      <c r="I114" s="33" t="s">
        <v>39</v>
      </c>
      <c r="J114" s="23">
        <v>53828652</v>
      </c>
      <c r="K114" s="23" t="s">
        <v>2720</v>
      </c>
      <c r="L114" s="23" t="s">
        <v>2726</v>
      </c>
      <c r="M114" s="25">
        <v>149900</v>
      </c>
      <c r="N114" s="71">
        <v>0.7</v>
      </c>
      <c r="O114" s="75">
        <f t="shared" si="6"/>
        <v>44970</v>
      </c>
      <c r="P114" s="35" t="str">
        <f t="shared" si="8"/>
        <v>PERCENTAGE</v>
      </c>
    </row>
    <row r="115" spans="1:16" x14ac:dyDescent="0.35">
      <c r="A115" s="14" t="str">
        <f t="shared" si="7"/>
        <v>2025 JAN-JUN D70%</v>
      </c>
      <c r="B115" s="34">
        <f t="shared" si="9"/>
        <v>46104</v>
      </c>
      <c r="C115" s="34">
        <f t="shared" si="10"/>
        <v>46113</v>
      </c>
      <c r="D115" s="45">
        <v>3321</v>
      </c>
      <c r="E115" s="46">
        <v>337</v>
      </c>
      <c r="F115" s="47">
        <v>4</v>
      </c>
      <c r="G115" s="24">
        <v>1</v>
      </c>
      <c r="H115" s="24">
        <v>81588</v>
      </c>
      <c r="I115" s="33" t="s">
        <v>39</v>
      </c>
      <c r="J115" s="23">
        <v>53828661</v>
      </c>
      <c r="K115" s="23" t="s">
        <v>2720</v>
      </c>
      <c r="L115" s="23" t="s">
        <v>2743</v>
      </c>
      <c r="M115" s="25">
        <v>149900</v>
      </c>
      <c r="N115" s="71">
        <v>0.7</v>
      </c>
      <c r="O115" s="75">
        <f t="shared" si="6"/>
        <v>44970</v>
      </c>
      <c r="P115" s="35" t="str">
        <f t="shared" si="8"/>
        <v>PERCENTAGE</v>
      </c>
    </row>
    <row r="116" spans="1:16" x14ac:dyDescent="0.35">
      <c r="A116" s="14" t="str">
        <f t="shared" si="7"/>
        <v>2025 JAN-JUN D70%</v>
      </c>
      <c r="B116" s="34">
        <f t="shared" si="9"/>
        <v>46104</v>
      </c>
      <c r="C116" s="34">
        <f t="shared" si="10"/>
        <v>46113</v>
      </c>
      <c r="D116" s="45">
        <v>3321</v>
      </c>
      <c r="E116" s="46">
        <v>337</v>
      </c>
      <c r="F116" s="47">
        <v>4</v>
      </c>
      <c r="G116" s="24">
        <v>1</v>
      </c>
      <c r="H116" s="24">
        <v>81588</v>
      </c>
      <c r="I116" s="33" t="s">
        <v>39</v>
      </c>
      <c r="J116" s="23">
        <v>53828670</v>
      </c>
      <c r="K116" s="23" t="s">
        <v>2720</v>
      </c>
      <c r="L116" s="23" t="s">
        <v>2721</v>
      </c>
      <c r="M116" s="25">
        <v>149900</v>
      </c>
      <c r="N116" s="71">
        <v>0.7</v>
      </c>
      <c r="O116" s="75">
        <f t="shared" si="6"/>
        <v>44970</v>
      </c>
      <c r="P116" s="35" t="str">
        <f t="shared" si="8"/>
        <v>PERCENTAGE</v>
      </c>
    </row>
    <row r="117" spans="1:16" x14ac:dyDescent="0.35">
      <c r="A117" s="14" t="str">
        <f t="shared" si="7"/>
        <v>2025 JAN-JUN D70%</v>
      </c>
      <c r="B117" s="34">
        <f t="shared" si="9"/>
        <v>46104</v>
      </c>
      <c r="C117" s="34">
        <f t="shared" si="10"/>
        <v>46113</v>
      </c>
      <c r="D117" s="45">
        <v>3321</v>
      </c>
      <c r="E117" s="46">
        <v>337</v>
      </c>
      <c r="F117" s="47">
        <v>4</v>
      </c>
      <c r="G117" s="24">
        <v>1</v>
      </c>
      <c r="H117" s="24">
        <v>81588</v>
      </c>
      <c r="I117" s="33" t="s">
        <v>39</v>
      </c>
      <c r="J117" s="23">
        <v>53828483</v>
      </c>
      <c r="K117" s="23" t="s">
        <v>2731</v>
      </c>
      <c r="L117" s="23" t="s">
        <v>2738</v>
      </c>
      <c r="M117" s="25">
        <v>149900</v>
      </c>
      <c r="N117" s="71">
        <v>0.7</v>
      </c>
      <c r="O117" s="75">
        <f t="shared" si="6"/>
        <v>44970</v>
      </c>
      <c r="P117" s="35" t="str">
        <f t="shared" si="8"/>
        <v>PERCENTAGE</v>
      </c>
    </row>
    <row r="118" spans="1:16" x14ac:dyDescent="0.35">
      <c r="A118" s="14" t="str">
        <f t="shared" si="7"/>
        <v>2025 JAN-JUN D70%</v>
      </c>
      <c r="B118" s="34">
        <f t="shared" si="9"/>
        <v>46104</v>
      </c>
      <c r="C118" s="34">
        <f t="shared" si="10"/>
        <v>46113</v>
      </c>
      <c r="D118" s="45">
        <v>3321</v>
      </c>
      <c r="E118" s="46">
        <v>337</v>
      </c>
      <c r="F118" s="47">
        <v>4</v>
      </c>
      <c r="G118" s="24">
        <v>1</v>
      </c>
      <c r="H118" s="24">
        <v>81588</v>
      </c>
      <c r="I118" s="33" t="s">
        <v>39</v>
      </c>
      <c r="J118" s="23">
        <v>53828492</v>
      </c>
      <c r="K118" s="23" t="s">
        <v>2731</v>
      </c>
      <c r="L118" s="23" t="s">
        <v>2732</v>
      </c>
      <c r="M118" s="25">
        <v>149900</v>
      </c>
      <c r="N118" s="71">
        <v>0.7</v>
      </c>
      <c r="O118" s="75">
        <f t="shared" si="6"/>
        <v>44970</v>
      </c>
      <c r="P118" s="35" t="str">
        <f t="shared" si="8"/>
        <v>PERCENTAGE</v>
      </c>
    </row>
    <row r="119" spans="1:16" x14ac:dyDescent="0.35">
      <c r="A119" s="14" t="str">
        <f t="shared" si="7"/>
        <v>2025 JAN-JUN D70%</v>
      </c>
      <c r="B119" s="34">
        <f t="shared" si="9"/>
        <v>46104</v>
      </c>
      <c r="C119" s="34">
        <f t="shared" si="10"/>
        <v>46113</v>
      </c>
      <c r="D119" s="45">
        <v>3321</v>
      </c>
      <c r="E119" s="46">
        <v>337</v>
      </c>
      <c r="F119" s="47">
        <v>4</v>
      </c>
      <c r="G119" s="24">
        <v>1</v>
      </c>
      <c r="H119" s="24">
        <v>81588</v>
      </c>
      <c r="I119" s="33" t="s">
        <v>39</v>
      </c>
      <c r="J119" s="23">
        <v>53828509</v>
      </c>
      <c r="K119" s="23" t="s">
        <v>2731</v>
      </c>
      <c r="L119" s="23" t="s">
        <v>2733</v>
      </c>
      <c r="M119" s="25">
        <v>149900</v>
      </c>
      <c r="N119" s="71">
        <v>0.7</v>
      </c>
      <c r="O119" s="75">
        <f t="shared" si="6"/>
        <v>44970</v>
      </c>
      <c r="P119" s="35" t="str">
        <f t="shared" si="8"/>
        <v>PERCENTAGE</v>
      </c>
    </row>
    <row r="120" spans="1:16" x14ac:dyDescent="0.35">
      <c r="A120" s="14" t="str">
        <f t="shared" si="7"/>
        <v>2025 JAN-JUN D70%</v>
      </c>
      <c r="B120" s="34">
        <f t="shared" si="9"/>
        <v>46104</v>
      </c>
      <c r="C120" s="34">
        <f t="shared" si="10"/>
        <v>46113</v>
      </c>
      <c r="D120" s="45">
        <v>3321</v>
      </c>
      <c r="E120" s="46">
        <v>337</v>
      </c>
      <c r="F120" s="47">
        <v>4</v>
      </c>
      <c r="G120" s="24">
        <v>1</v>
      </c>
      <c r="H120" s="24">
        <v>81588</v>
      </c>
      <c r="I120" s="33" t="s">
        <v>39</v>
      </c>
      <c r="J120" s="23">
        <v>53828518</v>
      </c>
      <c r="K120" s="23" t="s">
        <v>2731</v>
      </c>
      <c r="L120" s="23" t="s">
        <v>2737</v>
      </c>
      <c r="M120" s="25">
        <v>149900</v>
      </c>
      <c r="N120" s="71">
        <v>0.7</v>
      </c>
      <c r="O120" s="75">
        <f t="shared" si="6"/>
        <v>44970</v>
      </c>
      <c r="P120" s="35" t="str">
        <f t="shared" si="8"/>
        <v>PERCENTAGE</v>
      </c>
    </row>
    <row r="121" spans="1:16" x14ac:dyDescent="0.35">
      <c r="A121" s="14" t="str">
        <f t="shared" si="7"/>
        <v>2025 JAN-JUN D70%</v>
      </c>
      <c r="B121" s="34">
        <f t="shared" si="9"/>
        <v>46104</v>
      </c>
      <c r="C121" s="34">
        <f t="shared" si="10"/>
        <v>46113</v>
      </c>
      <c r="D121" s="45">
        <v>3321</v>
      </c>
      <c r="E121" s="46">
        <v>337</v>
      </c>
      <c r="F121" s="47">
        <v>4</v>
      </c>
      <c r="G121" s="24">
        <v>1</v>
      </c>
      <c r="H121" s="24">
        <v>81588</v>
      </c>
      <c r="I121" s="33" t="s">
        <v>39</v>
      </c>
      <c r="J121" s="23">
        <v>53828563</v>
      </c>
      <c r="K121" s="23" t="s">
        <v>2722</v>
      </c>
      <c r="L121" s="23" t="s">
        <v>2740</v>
      </c>
      <c r="M121" s="25">
        <v>119900</v>
      </c>
      <c r="N121" s="71">
        <v>0.7</v>
      </c>
      <c r="O121" s="75">
        <f t="shared" si="6"/>
        <v>35970</v>
      </c>
      <c r="P121" s="35" t="str">
        <f t="shared" si="8"/>
        <v>PERCENTAGE</v>
      </c>
    </row>
    <row r="122" spans="1:16" x14ac:dyDescent="0.35">
      <c r="A122" s="14" t="str">
        <f t="shared" si="7"/>
        <v>2025 JAN-JUN D70%</v>
      </c>
      <c r="B122" s="34">
        <f t="shared" si="9"/>
        <v>46104</v>
      </c>
      <c r="C122" s="34">
        <f t="shared" si="10"/>
        <v>46113</v>
      </c>
      <c r="D122" s="45">
        <v>3321</v>
      </c>
      <c r="E122" s="46">
        <v>337</v>
      </c>
      <c r="F122" s="47">
        <v>4</v>
      </c>
      <c r="G122" s="24">
        <v>1</v>
      </c>
      <c r="H122" s="24">
        <v>81588</v>
      </c>
      <c r="I122" s="33" t="s">
        <v>39</v>
      </c>
      <c r="J122" s="23">
        <v>53828572</v>
      </c>
      <c r="K122" s="23" t="s">
        <v>2722</v>
      </c>
      <c r="L122" s="23" t="s">
        <v>2739</v>
      </c>
      <c r="M122" s="25">
        <v>119900</v>
      </c>
      <c r="N122" s="71">
        <v>0.7</v>
      </c>
      <c r="O122" s="75">
        <f t="shared" si="6"/>
        <v>35970</v>
      </c>
      <c r="P122" s="35" t="str">
        <f t="shared" si="8"/>
        <v>PERCENTAGE</v>
      </c>
    </row>
    <row r="123" spans="1:16" x14ac:dyDescent="0.35">
      <c r="A123" s="14" t="str">
        <f t="shared" si="7"/>
        <v>2025 JAN-JUN D70%</v>
      </c>
      <c r="B123" s="34">
        <f t="shared" si="9"/>
        <v>46104</v>
      </c>
      <c r="C123" s="34">
        <f t="shared" si="10"/>
        <v>46113</v>
      </c>
      <c r="D123" s="45">
        <v>3321</v>
      </c>
      <c r="E123" s="46">
        <v>337</v>
      </c>
      <c r="F123" s="47">
        <v>4</v>
      </c>
      <c r="G123" s="24">
        <v>1</v>
      </c>
      <c r="H123" s="24">
        <v>81588</v>
      </c>
      <c r="I123" s="33" t="s">
        <v>39</v>
      </c>
      <c r="J123" s="23">
        <v>53828581</v>
      </c>
      <c r="K123" s="23" t="s">
        <v>2722</v>
      </c>
      <c r="L123" s="23" t="s">
        <v>2742</v>
      </c>
      <c r="M123" s="25">
        <v>119900</v>
      </c>
      <c r="N123" s="71">
        <v>0.7</v>
      </c>
      <c r="O123" s="75">
        <f t="shared" si="6"/>
        <v>35970</v>
      </c>
      <c r="P123" s="35" t="str">
        <f t="shared" si="8"/>
        <v>PERCENTAGE</v>
      </c>
    </row>
    <row r="124" spans="1:16" x14ac:dyDescent="0.35">
      <c r="A124" s="14" t="str">
        <f t="shared" si="7"/>
        <v>2025 JAN-JUN D70%</v>
      </c>
      <c r="B124" s="34">
        <f t="shared" si="9"/>
        <v>46104</v>
      </c>
      <c r="C124" s="34">
        <f t="shared" si="10"/>
        <v>46113</v>
      </c>
      <c r="D124" s="45">
        <v>3321</v>
      </c>
      <c r="E124" s="46">
        <v>337</v>
      </c>
      <c r="F124" s="47">
        <v>4</v>
      </c>
      <c r="G124" s="24">
        <v>1</v>
      </c>
      <c r="H124" s="24">
        <v>81588</v>
      </c>
      <c r="I124" s="33" t="s">
        <v>39</v>
      </c>
      <c r="J124" s="23">
        <v>53828590</v>
      </c>
      <c r="K124" s="23" t="s">
        <v>2722</v>
      </c>
      <c r="L124" s="23" t="s">
        <v>2723</v>
      </c>
      <c r="M124" s="25">
        <v>119900</v>
      </c>
      <c r="N124" s="71">
        <v>0.7</v>
      </c>
      <c r="O124" s="75">
        <f t="shared" si="6"/>
        <v>35970</v>
      </c>
      <c r="P124" s="35" t="str">
        <f t="shared" si="8"/>
        <v>PERCENTAGE</v>
      </c>
    </row>
    <row r="125" spans="1:16" x14ac:dyDescent="0.35">
      <c r="A125" s="14" t="str">
        <f t="shared" si="7"/>
        <v>2025 JAN-JUN D70%</v>
      </c>
      <c r="B125" s="34">
        <f t="shared" si="9"/>
        <v>46104</v>
      </c>
      <c r="C125" s="34">
        <f t="shared" si="10"/>
        <v>46113</v>
      </c>
      <c r="D125" s="45">
        <v>3321</v>
      </c>
      <c r="E125" s="46">
        <v>337</v>
      </c>
      <c r="F125" s="47">
        <v>4</v>
      </c>
      <c r="G125" s="24">
        <v>1</v>
      </c>
      <c r="H125" s="24">
        <v>81588</v>
      </c>
      <c r="I125" s="33" t="s">
        <v>39</v>
      </c>
      <c r="J125" s="23">
        <v>53828607</v>
      </c>
      <c r="K125" s="23" t="s">
        <v>2724</v>
      </c>
      <c r="L125" s="23" t="s">
        <v>2725</v>
      </c>
      <c r="M125" s="25">
        <v>149900</v>
      </c>
      <c r="N125" s="71">
        <v>0.7</v>
      </c>
      <c r="O125" s="75">
        <f t="shared" si="6"/>
        <v>44970</v>
      </c>
      <c r="P125" s="35" t="str">
        <f t="shared" si="8"/>
        <v>PERCENTAGE</v>
      </c>
    </row>
    <row r="126" spans="1:16" x14ac:dyDescent="0.35">
      <c r="A126" s="14" t="str">
        <f t="shared" si="7"/>
        <v>2025 JAN-JUN D70%</v>
      </c>
      <c r="B126" s="34">
        <f t="shared" si="9"/>
        <v>46104</v>
      </c>
      <c r="C126" s="34">
        <f t="shared" si="10"/>
        <v>46113</v>
      </c>
      <c r="D126" s="45">
        <v>3321</v>
      </c>
      <c r="E126" s="46">
        <v>337</v>
      </c>
      <c r="F126" s="47">
        <v>4</v>
      </c>
      <c r="G126" s="24">
        <v>1</v>
      </c>
      <c r="H126" s="24">
        <v>81588</v>
      </c>
      <c r="I126" s="33" t="s">
        <v>39</v>
      </c>
      <c r="J126" s="23">
        <v>53828616</v>
      </c>
      <c r="K126" s="23" t="s">
        <v>2724</v>
      </c>
      <c r="L126" s="23" t="s">
        <v>2736</v>
      </c>
      <c r="M126" s="25">
        <v>149900</v>
      </c>
      <c r="N126" s="71">
        <v>0.7</v>
      </c>
      <c r="O126" s="75">
        <f t="shared" si="6"/>
        <v>44970</v>
      </c>
      <c r="P126" s="35" t="str">
        <f t="shared" si="8"/>
        <v>PERCENTAGE</v>
      </c>
    </row>
    <row r="127" spans="1:16" x14ac:dyDescent="0.35">
      <c r="A127" s="14" t="str">
        <f t="shared" si="7"/>
        <v>2025 JAN-JUN D70%</v>
      </c>
      <c r="B127" s="34">
        <f t="shared" si="9"/>
        <v>46104</v>
      </c>
      <c r="C127" s="34">
        <f t="shared" si="10"/>
        <v>46113</v>
      </c>
      <c r="D127" s="45">
        <v>3321</v>
      </c>
      <c r="E127" s="46">
        <v>337</v>
      </c>
      <c r="F127" s="47">
        <v>4</v>
      </c>
      <c r="G127" s="24">
        <v>1</v>
      </c>
      <c r="H127" s="24">
        <v>81588</v>
      </c>
      <c r="I127" s="33" t="s">
        <v>39</v>
      </c>
      <c r="J127" s="23">
        <v>53828625</v>
      </c>
      <c r="K127" s="23" t="s">
        <v>2724</v>
      </c>
      <c r="L127" s="23" t="s">
        <v>2734</v>
      </c>
      <c r="M127" s="25">
        <v>149900</v>
      </c>
      <c r="N127" s="71">
        <v>0.7</v>
      </c>
      <c r="O127" s="75">
        <f t="shared" si="6"/>
        <v>44970</v>
      </c>
      <c r="P127" s="35" t="str">
        <f t="shared" si="8"/>
        <v>PERCENTAGE</v>
      </c>
    </row>
    <row r="128" spans="1:16" x14ac:dyDescent="0.35">
      <c r="A128" s="14" t="str">
        <f t="shared" si="7"/>
        <v>2025 JAN-JUN D70%</v>
      </c>
      <c r="B128" s="34">
        <f t="shared" si="9"/>
        <v>46104</v>
      </c>
      <c r="C128" s="34">
        <f t="shared" si="10"/>
        <v>46113</v>
      </c>
      <c r="D128" s="45">
        <v>3321</v>
      </c>
      <c r="E128" s="46">
        <v>337</v>
      </c>
      <c r="F128" s="47">
        <v>4</v>
      </c>
      <c r="G128" s="24">
        <v>1</v>
      </c>
      <c r="H128" s="24">
        <v>81588</v>
      </c>
      <c r="I128" s="33" t="s">
        <v>39</v>
      </c>
      <c r="J128" s="23">
        <v>53828634</v>
      </c>
      <c r="K128" s="23" t="s">
        <v>2724</v>
      </c>
      <c r="L128" s="23" t="s">
        <v>2730</v>
      </c>
      <c r="M128" s="25">
        <v>149900</v>
      </c>
      <c r="N128" s="71">
        <v>0.7</v>
      </c>
      <c r="O128" s="75">
        <f t="shared" si="6"/>
        <v>44970</v>
      </c>
      <c r="P128" s="35" t="str">
        <f t="shared" si="8"/>
        <v>PERCENTAGE</v>
      </c>
    </row>
    <row r="129" spans="1:16" x14ac:dyDescent="0.35">
      <c r="A129" s="14" t="str">
        <f t="shared" si="7"/>
        <v>2025 JAN-JUN D70%</v>
      </c>
      <c r="B129" s="34">
        <f t="shared" si="9"/>
        <v>46104</v>
      </c>
      <c r="C129" s="34">
        <f t="shared" si="10"/>
        <v>46113</v>
      </c>
      <c r="D129" s="45">
        <v>3321</v>
      </c>
      <c r="E129" s="46">
        <v>337</v>
      </c>
      <c r="F129" s="47">
        <v>4</v>
      </c>
      <c r="G129" s="24">
        <v>1</v>
      </c>
      <c r="H129" s="24">
        <v>81588</v>
      </c>
      <c r="I129" s="33" t="s">
        <v>39</v>
      </c>
      <c r="J129" s="23">
        <v>53828527</v>
      </c>
      <c r="K129" s="23" t="s">
        <v>2727</v>
      </c>
      <c r="L129" s="23" t="s">
        <v>2741</v>
      </c>
      <c r="M129" s="25">
        <v>149900</v>
      </c>
      <c r="N129" s="71">
        <v>0.7</v>
      </c>
      <c r="O129" s="75">
        <f t="shared" si="6"/>
        <v>44970</v>
      </c>
      <c r="P129" s="35" t="str">
        <f t="shared" si="8"/>
        <v>PERCENTAGE</v>
      </c>
    </row>
    <row r="130" spans="1:16" x14ac:dyDescent="0.35">
      <c r="A130" s="14" t="str">
        <f t="shared" si="7"/>
        <v>2025 JAN-JUN D70%</v>
      </c>
      <c r="B130" s="34">
        <f t="shared" si="9"/>
        <v>46104</v>
      </c>
      <c r="C130" s="34">
        <f t="shared" si="10"/>
        <v>46113</v>
      </c>
      <c r="D130" s="45">
        <v>3321</v>
      </c>
      <c r="E130" s="46">
        <v>337</v>
      </c>
      <c r="F130" s="47">
        <v>4</v>
      </c>
      <c r="G130" s="24">
        <v>1</v>
      </c>
      <c r="H130" s="24">
        <v>81588</v>
      </c>
      <c r="I130" s="33" t="s">
        <v>39</v>
      </c>
      <c r="J130" s="23">
        <v>53828536</v>
      </c>
      <c r="K130" s="23" t="s">
        <v>2727</v>
      </c>
      <c r="L130" s="23" t="s">
        <v>2728</v>
      </c>
      <c r="M130" s="25">
        <v>149900</v>
      </c>
      <c r="N130" s="71">
        <v>0.7</v>
      </c>
      <c r="O130" s="75">
        <f t="shared" si="6"/>
        <v>44970</v>
      </c>
      <c r="P130" s="35" t="str">
        <f t="shared" si="8"/>
        <v>PERCENTAGE</v>
      </c>
    </row>
    <row r="131" spans="1:16" x14ac:dyDescent="0.35">
      <c r="A131" s="14" t="str">
        <f t="shared" si="7"/>
        <v>2025 JAN-JUN D70%</v>
      </c>
      <c r="B131" s="34">
        <f t="shared" si="9"/>
        <v>46104</v>
      </c>
      <c r="C131" s="34">
        <f t="shared" si="10"/>
        <v>46113</v>
      </c>
      <c r="D131" s="45">
        <v>3321</v>
      </c>
      <c r="E131" s="46">
        <v>337</v>
      </c>
      <c r="F131" s="47">
        <v>4</v>
      </c>
      <c r="G131" s="24">
        <v>1</v>
      </c>
      <c r="H131" s="24">
        <v>81588</v>
      </c>
      <c r="I131" s="33" t="s">
        <v>39</v>
      </c>
      <c r="J131" s="23">
        <v>53828545</v>
      </c>
      <c r="K131" s="23" t="s">
        <v>2727</v>
      </c>
      <c r="L131" s="23" t="s">
        <v>2735</v>
      </c>
      <c r="M131" s="25">
        <v>149900</v>
      </c>
      <c r="N131" s="71">
        <v>0.7</v>
      </c>
      <c r="O131" s="75">
        <f t="shared" ref="O131:O194" si="11">M131-((70*M131)/100)</f>
        <v>44970</v>
      </c>
      <c r="P131" s="35" t="str">
        <f t="shared" si="8"/>
        <v>PERCENTAGE</v>
      </c>
    </row>
    <row r="132" spans="1:16" x14ac:dyDescent="0.35">
      <c r="A132" s="14" t="str">
        <f t="shared" ref="A132:A195" si="12">A131</f>
        <v>2025 JAN-JUN D70%</v>
      </c>
      <c r="B132" s="34">
        <f t="shared" si="9"/>
        <v>46104</v>
      </c>
      <c r="C132" s="34">
        <f t="shared" si="10"/>
        <v>46113</v>
      </c>
      <c r="D132" s="45">
        <v>3321</v>
      </c>
      <c r="E132" s="46">
        <v>337</v>
      </c>
      <c r="F132" s="47">
        <v>4</v>
      </c>
      <c r="G132" s="24">
        <v>1</v>
      </c>
      <c r="H132" s="24">
        <v>81588</v>
      </c>
      <c r="I132" s="33" t="s">
        <v>39</v>
      </c>
      <c r="J132" s="23">
        <v>53828554</v>
      </c>
      <c r="K132" s="23" t="s">
        <v>2727</v>
      </c>
      <c r="L132" s="23" t="s">
        <v>2744</v>
      </c>
      <c r="M132" s="25">
        <v>149900</v>
      </c>
      <c r="N132" s="71">
        <v>0.7</v>
      </c>
      <c r="O132" s="75">
        <f t="shared" si="11"/>
        <v>44970</v>
      </c>
      <c r="P132" s="35" t="str">
        <f t="shared" ref="P132:P195" si="13">P131</f>
        <v>PERCENTAGE</v>
      </c>
    </row>
    <row r="133" spans="1:16" x14ac:dyDescent="0.35">
      <c r="A133" s="14" t="str">
        <f t="shared" si="12"/>
        <v>2025 JAN-JUN D70%</v>
      </c>
      <c r="B133" s="34">
        <f t="shared" si="9"/>
        <v>46104</v>
      </c>
      <c r="C133" s="34">
        <f t="shared" si="10"/>
        <v>46113</v>
      </c>
      <c r="D133" s="45">
        <v>3321</v>
      </c>
      <c r="E133" s="46">
        <v>337</v>
      </c>
      <c r="F133" s="47">
        <v>4</v>
      </c>
      <c r="G133" s="24">
        <v>3</v>
      </c>
      <c r="H133" s="24">
        <v>81588</v>
      </c>
      <c r="I133" s="33" t="s">
        <v>39</v>
      </c>
      <c r="J133" s="23">
        <v>53828689</v>
      </c>
      <c r="K133" s="23" t="s">
        <v>2810</v>
      </c>
      <c r="L133" s="23" t="s">
        <v>2812</v>
      </c>
      <c r="M133" s="25">
        <v>279900</v>
      </c>
      <c r="N133" s="71">
        <v>0.7</v>
      </c>
      <c r="O133" s="75">
        <f t="shared" si="11"/>
        <v>83970</v>
      </c>
      <c r="P133" s="35" t="str">
        <f t="shared" si="13"/>
        <v>PERCENTAGE</v>
      </c>
    </row>
    <row r="134" spans="1:16" x14ac:dyDescent="0.35">
      <c r="A134" s="14" t="str">
        <f t="shared" si="12"/>
        <v>2025 JAN-JUN D70%</v>
      </c>
      <c r="B134" s="34">
        <f t="shared" ref="B134:B197" si="14">B133</f>
        <v>46104</v>
      </c>
      <c r="C134" s="34">
        <f t="shared" ref="C134:C197" si="15">C133</f>
        <v>46113</v>
      </c>
      <c r="D134" s="45">
        <v>3321</v>
      </c>
      <c r="E134" s="46">
        <v>337</v>
      </c>
      <c r="F134" s="47">
        <v>4</v>
      </c>
      <c r="G134" s="24">
        <v>3</v>
      </c>
      <c r="H134" s="24">
        <v>81588</v>
      </c>
      <c r="I134" s="33" t="s">
        <v>39</v>
      </c>
      <c r="J134" s="23">
        <v>53828698</v>
      </c>
      <c r="K134" s="23" t="s">
        <v>2810</v>
      </c>
      <c r="L134" s="23" t="s">
        <v>2813</v>
      </c>
      <c r="M134" s="25">
        <v>279900</v>
      </c>
      <c r="N134" s="71">
        <v>0.7</v>
      </c>
      <c r="O134" s="75">
        <f t="shared" si="11"/>
        <v>83970</v>
      </c>
      <c r="P134" s="35" t="str">
        <f t="shared" si="13"/>
        <v>PERCENTAGE</v>
      </c>
    </row>
    <row r="135" spans="1:16" x14ac:dyDescent="0.35">
      <c r="A135" s="14" t="str">
        <f t="shared" si="12"/>
        <v>2025 JAN-JUN D70%</v>
      </c>
      <c r="B135" s="34">
        <f t="shared" si="14"/>
        <v>46104</v>
      </c>
      <c r="C135" s="34">
        <f t="shared" si="15"/>
        <v>46113</v>
      </c>
      <c r="D135" s="45">
        <v>3321</v>
      </c>
      <c r="E135" s="46">
        <v>337</v>
      </c>
      <c r="F135" s="47">
        <v>4</v>
      </c>
      <c r="G135" s="24">
        <v>3</v>
      </c>
      <c r="H135" s="24">
        <v>81588</v>
      </c>
      <c r="I135" s="33" t="s">
        <v>39</v>
      </c>
      <c r="J135" s="23">
        <v>53828705</v>
      </c>
      <c r="K135" s="23" t="s">
        <v>2810</v>
      </c>
      <c r="L135" s="23" t="s">
        <v>2811</v>
      </c>
      <c r="M135" s="25">
        <v>279900</v>
      </c>
      <c r="N135" s="71">
        <v>0.7</v>
      </c>
      <c r="O135" s="75">
        <f t="shared" si="11"/>
        <v>83970</v>
      </c>
      <c r="P135" s="35" t="str">
        <f t="shared" si="13"/>
        <v>PERCENTAGE</v>
      </c>
    </row>
    <row r="136" spans="1:16" x14ac:dyDescent="0.35">
      <c r="A136" s="14" t="str">
        <f t="shared" si="12"/>
        <v>2025 JAN-JUN D70%</v>
      </c>
      <c r="B136" s="34">
        <f t="shared" si="14"/>
        <v>46104</v>
      </c>
      <c r="C136" s="34">
        <f t="shared" si="15"/>
        <v>46113</v>
      </c>
      <c r="D136" s="45">
        <v>3321</v>
      </c>
      <c r="E136" s="46">
        <v>337</v>
      </c>
      <c r="F136" s="47">
        <v>4</v>
      </c>
      <c r="G136" s="24">
        <v>3</v>
      </c>
      <c r="H136" s="24">
        <v>81588</v>
      </c>
      <c r="I136" s="33" t="s">
        <v>39</v>
      </c>
      <c r="J136" s="23">
        <v>53828714</v>
      </c>
      <c r="K136" s="23" t="s">
        <v>2810</v>
      </c>
      <c r="L136" s="23" t="s">
        <v>2814</v>
      </c>
      <c r="M136" s="25">
        <v>279900</v>
      </c>
      <c r="N136" s="71">
        <v>0.7</v>
      </c>
      <c r="O136" s="75">
        <f t="shared" si="11"/>
        <v>83970</v>
      </c>
      <c r="P136" s="35" t="str">
        <f t="shared" si="13"/>
        <v>PERCENTAGE</v>
      </c>
    </row>
    <row r="137" spans="1:16" x14ac:dyDescent="0.35">
      <c r="A137" s="14" t="str">
        <f t="shared" si="12"/>
        <v>2025 JAN-JUN D70%</v>
      </c>
      <c r="B137" s="34">
        <f t="shared" si="14"/>
        <v>46104</v>
      </c>
      <c r="C137" s="34">
        <f t="shared" si="15"/>
        <v>46113</v>
      </c>
      <c r="D137" s="45">
        <v>3321</v>
      </c>
      <c r="E137" s="46">
        <v>337</v>
      </c>
      <c r="F137" s="47">
        <v>4</v>
      </c>
      <c r="G137" s="24">
        <v>4</v>
      </c>
      <c r="H137" s="24">
        <v>81588</v>
      </c>
      <c r="I137" s="33" t="s">
        <v>39</v>
      </c>
      <c r="J137" s="23">
        <v>53828723</v>
      </c>
      <c r="K137" s="23" t="s">
        <v>2815</v>
      </c>
      <c r="L137" s="23" t="s">
        <v>2818</v>
      </c>
      <c r="M137" s="25">
        <v>199900</v>
      </c>
      <c r="N137" s="71">
        <v>0.7</v>
      </c>
      <c r="O137" s="75">
        <f t="shared" si="11"/>
        <v>59970</v>
      </c>
      <c r="P137" s="35" t="str">
        <f t="shared" si="13"/>
        <v>PERCENTAGE</v>
      </c>
    </row>
    <row r="138" spans="1:16" x14ac:dyDescent="0.35">
      <c r="A138" s="14" t="str">
        <f t="shared" si="12"/>
        <v>2025 JAN-JUN D70%</v>
      </c>
      <c r="B138" s="34">
        <f t="shared" si="14"/>
        <v>46104</v>
      </c>
      <c r="C138" s="34">
        <f t="shared" si="15"/>
        <v>46113</v>
      </c>
      <c r="D138" s="45">
        <v>3321</v>
      </c>
      <c r="E138" s="46">
        <v>337</v>
      </c>
      <c r="F138" s="47">
        <v>4</v>
      </c>
      <c r="G138" s="24">
        <v>4</v>
      </c>
      <c r="H138" s="24">
        <v>81588</v>
      </c>
      <c r="I138" s="33" t="s">
        <v>39</v>
      </c>
      <c r="J138" s="23">
        <v>53828732</v>
      </c>
      <c r="K138" s="23" t="s">
        <v>2815</v>
      </c>
      <c r="L138" s="23" t="s">
        <v>2817</v>
      </c>
      <c r="M138" s="25">
        <v>199900</v>
      </c>
      <c r="N138" s="71">
        <v>0.7</v>
      </c>
      <c r="O138" s="75">
        <f t="shared" si="11"/>
        <v>59970</v>
      </c>
      <c r="P138" s="35" t="str">
        <f t="shared" si="13"/>
        <v>PERCENTAGE</v>
      </c>
    </row>
    <row r="139" spans="1:16" x14ac:dyDescent="0.35">
      <c r="A139" s="14" t="str">
        <f t="shared" si="12"/>
        <v>2025 JAN-JUN D70%</v>
      </c>
      <c r="B139" s="34">
        <f t="shared" si="14"/>
        <v>46104</v>
      </c>
      <c r="C139" s="34">
        <f t="shared" si="15"/>
        <v>46113</v>
      </c>
      <c r="D139" s="45">
        <v>3321</v>
      </c>
      <c r="E139" s="46">
        <v>337</v>
      </c>
      <c r="F139" s="47">
        <v>4</v>
      </c>
      <c r="G139" s="24">
        <v>4</v>
      </c>
      <c r="H139" s="24">
        <v>81588</v>
      </c>
      <c r="I139" s="33" t="s">
        <v>39</v>
      </c>
      <c r="J139" s="23">
        <v>53828741</v>
      </c>
      <c r="K139" s="23" t="s">
        <v>2815</v>
      </c>
      <c r="L139" s="23" t="s">
        <v>2816</v>
      </c>
      <c r="M139" s="25">
        <v>199900</v>
      </c>
      <c r="N139" s="71">
        <v>0.7</v>
      </c>
      <c r="O139" s="75">
        <f t="shared" si="11"/>
        <v>59970</v>
      </c>
      <c r="P139" s="35" t="str">
        <f t="shared" si="13"/>
        <v>PERCENTAGE</v>
      </c>
    </row>
    <row r="140" spans="1:16" x14ac:dyDescent="0.35">
      <c r="A140" s="14" t="str">
        <f t="shared" si="12"/>
        <v>2025 JAN-JUN D70%</v>
      </c>
      <c r="B140" s="34">
        <f t="shared" si="14"/>
        <v>46104</v>
      </c>
      <c r="C140" s="34">
        <f t="shared" si="15"/>
        <v>46113</v>
      </c>
      <c r="D140" s="45">
        <v>3321</v>
      </c>
      <c r="E140" s="46">
        <v>337</v>
      </c>
      <c r="F140" s="47">
        <v>4</v>
      </c>
      <c r="G140" s="24">
        <v>4</v>
      </c>
      <c r="H140" s="24">
        <v>81588</v>
      </c>
      <c r="I140" s="33" t="s">
        <v>39</v>
      </c>
      <c r="J140" s="23">
        <v>53828750</v>
      </c>
      <c r="K140" s="23" t="s">
        <v>2815</v>
      </c>
      <c r="L140" s="23" t="s">
        <v>2819</v>
      </c>
      <c r="M140" s="25">
        <v>199900</v>
      </c>
      <c r="N140" s="71">
        <v>0.7</v>
      </c>
      <c r="O140" s="75">
        <f t="shared" si="11"/>
        <v>59970</v>
      </c>
      <c r="P140" s="35" t="str">
        <f t="shared" si="13"/>
        <v>PERCENTAGE</v>
      </c>
    </row>
    <row r="141" spans="1:16" x14ac:dyDescent="0.35">
      <c r="A141" s="14" t="str">
        <f t="shared" si="12"/>
        <v>2025 JAN-JUN D70%</v>
      </c>
      <c r="B141" s="34">
        <f t="shared" si="14"/>
        <v>46104</v>
      </c>
      <c r="C141" s="34">
        <f t="shared" si="15"/>
        <v>46113</v>
      </c>
      <c r="D141" s="45">
        <v>3321</v>
      </c>
      <c r="E141" s="46">
        <v>337</v>
      </c>
      <c r="F141" s="47">
        <v>4</v>
      </c>
      <c r="G141" s="24">
        <v>5</v>
      </c>
      <c r="H141" s="24">
        <v>81588</v>
      </c>
      <c r="I141" s="33" t="s">
        <v>39</v>
      </c>
      <c r="J141" s="23">
        <v>53828769</v>
      </c>
      <c r="K141" s="23" t="s">
        <v>2820</v>
      </c>
      <c r="L141" s="23" t="s">
        <v>2821</v>
      </c>
      <c r="M141" s="25">
        <v>259900</v>
      </c>
      <c r="N141" s="71">
        <v>0.7</v>
      </c>
      <c r="O141" s="75">
        <f t="shared" si="11"/>
        <v>77970</v>
      </c>
      <c r="P141" s="35" t="str">
        <f t="shared" si="13"/>
        <v>PERCENTAGE</v>
      </c>
    </row>
    <row r="142" spans="1:16" x14ac:dyDescent="0.35">
      <c r="A142" s="14" t="str">
        <f t="shared" si="12"/>
        <v>2025 JAN-JUN D70%</v>
      </c>
      <c r="B142" s="34">
        <f t="shared" si="14"/>
        <v>46104</v>
      </c>
      <c r="C142" s="34">
        <f t="shared" si="15"/>
        <v>46113</v>
      </c>
      <c r="D142" s="45">
        <v>3321</v>
      </c>
      <c r="E142" s="46">
        <v>337</v>
      </c>
      <c r="F142" s="47">
        <v>4</v>
      </c>
      <c r="G142" s="24">
        <v>5</v>
      </c>
      <c r="H142" s="24">
        <v>81588</v>
      </c>
      <c r="I142" s="33" t="s">
        <v>39</v>
      </c>
      <c r="J142" s="23">
        <v>53828778</v>
      </c>
      <c r="K142" s="23" t="s">
        <v>2820</v>
      </c>
      <c r="L142" s="23" t="s">
        <v>2824</v>
      </c>
      <c r="M142" s="25">
        <v>259900</v>
      </c>
      <c r="N142" s="71">
        <v>0.7</v>
      </c>
      <c r="O142" s="75">
        <f t="shared" si="11"/>
        <v>77970</v>
      </c>
      <c r="P142" s="35" t="str">
        <f t="shared" si="13"/>
        <v>PERCENTAGE</v>
      </c>
    </row>
    <row r="143" spans="1:16" x14ac:dyDescent="0.35">
      <c r="A143" s="14" t="str">
        <f t="shared" si="12"/>
        <v>2025 JAN-JUN D70%</v>
      </c>
      <c r="B143" s="34">
        <f t="shared" si="14"/>
        <v>46104</v>
      </c>
      <c r="C143" s="34">
        <f t="shared" si="15"/>
        <v>46113</v>
      </c>
      <c r="D143" s="45">
        <v>3321</v>
      </c>
      <c r="E143" s="46">
        <v>337</v>
      </c>
      <c r="F143" s="47">
        <v>4</v>
      </c>
      <c r="G143" s="24">
        <v>5</v>
      </c>
      <c r="H143" s="24">
        <v>81588</v>
      </c>
      <c r="I143" s="33" t="s">
        <v>39</v>
      </c>
      <c r="J143" s="23">
        <v>53828787</v>
      </c>
      <c r="K143" s="23" t="s">
        <v>2820</v>
      </c>
      <c r="L143" s="23" t="s">
        <v>2823</v>
      </c>
      <c r="M143" s="25">
        <v>259900</v>
      </c>
      <c r="N143" s="71">
        <v>0.7</v>
      </c>
      <c r="O143" s="75">
        <f t="shared" si="11"/>
        <v>77970</v>
      </c>
      <c r="P143" s="35" t="str">
        <f t="shared" si="13"/>
        <v>PERCENTAGE</v>
      </c>
    </row>
    <row r="144" spans="1:16" x14ac:dyDescent="0.35">
      <c r="A144" s="14" t="str">
        <f t="shared" si="12"/>
        <v>2025 JAN-JUN D70%</v>
      </c>
      <c r="B144" s="34">
        <f t="shared" si="14"/>
        <v>46104</v>
      </c>
      <c r="C144" s="34">
        <f t="shared" si="15"/>
        <v>46113</v>
      </c>
      <c r="D144" s="45">
        <v>3321</v>
      </c>
      <c r="E144" s="46">
        <v>337</v>
      </c>
      <c r="F144" s="47">
        <v>4</v>
      </c>
      <c r="G144" s="24">
        <v>5</v>
      </c>
      <c r="H144" s="24">
        <v>81588</v>
      </c>
      <c r="I144" s="33" t="s">
        <v>39</v>
      </c>
      <c r="J144" s="23">
        <v>53828796</v>
      </c>
      <c r="K144" s="23" t="s">
        <v>2820</v>
      </c>
      <c r="L144" s="23" t="s">
        <v>2822</v>
      </c>
      <c r="M144" s="25">
        <v>259900</v>
      </c>
      <c r="N144" s="71">
        <v>0.7</v>
      </c>
      <c r="O144" s="75">
        <f t="shared" si="11"/>
        <v>77970</v>
      </c>
      <c r="P144" s="35" t="str">
        <f t="shared" si="13"/>
        <v>PERCENTAGE</v>
      </c>
    </row>
    <row r="145" spans="1:16" x14ac:dyDescent="0.35">
      <c r="A145" s="14" t="str">
        <f t="shared" si="12"/>
        <v>2025 JAN-JUN D70%</v>
      </c>
      <c r="B145" s="34">
        <f t="shared" si="14"/>
        <v>46104</v>
      </c>
      <c r="C145" s="34">
        <f t="shared" si="15"/>
        <v>46113</v>
      </c>
      <c r="D145" s="45">
        <v>3321</v>
      </c>
      <c r="E145" s="46">
        <v>337</v>
      </c>
      <c r="F145" s="47">
        <v>4</v>
      </c>
      <c r="G145" s="24">
        <v>1</v>
      </c>
      <c r="H145" s="24">
        <v>4953</v>
      </c>
      <c r="I145" s="33" t="s">
        <v>39</v>
      </c>
      <c r="J145" s="23">
        <v>54390953</v>
      </c>
      <c r="K145" s="23" t="s">
        <v>2838</v>
      </c>
      <c r="L145" s="23" t="s">
        <v>2840</v>
      </c>
      <c r="M145" s="25">
        <v>119900</v>
      </c>
      <c r="N145" s="71">
        <v>0.7</v>
      </c>
      <c r="O145" s="75">
        <f t="shared" si="11"/>
        <v>35970</v>
      </c>
      <c r="P145" s="35" t="str">
        <f t="shared" si="13"/>
        <v>PERCENTAGE</v>
      </c>
    </row>
    <row r="146" spans="1:16" x14ac:dyDescent="0.35">
      <c r="A146" s="14" t="str">
        <f t="shared" si="12"/>
        <v>2025 JAN-JUN D70%</v>
      </c>
      <c r="B146" s="34">
        <f t="shared" si="14"/>
        <v>46104</v>
      </c>
      <c r="C146" s="34">
        <f t="shared" si="15"/>
        <v>46113</v>
      </c>
      <c r="D146" s="45">
        <v>3321</v>
      </c>
      <c r="E146" s="46">
        <v>337</v>
      </c>
      <c r="F146" s="47">
        <v>4</v>
      </c>
      <c r="G146" s="24">
        <v>1</v>
      </c>
      <c r="H146" s="24">
        <v>4953</v>
      </c>
      <c r="I146" s="33" t="s">
        <v>39</v>
      </c>
      <c r="J146" s="23">
        <v>54390962</v>
      </c>
      <c r="K146" s="23" t="s">
        <v>2838</v>
      </c>
      <c r="L146" s="23" t="s">
        <v>2841</v>
      </c>
      <c r="M146" s="25">
        <v>119900</v>
      </c>
      <c r="N146" s="71">
        <v>0.7</v>
      </c>
      <c r="O146" s="75">
        <f t="shared" si="11"/>
        <v>35970</v>
      </c>
      <c r="P146" s="35" t="str">
        <f t="shared" si="13"/>
        <v>PERCENTAGE</v>
      </c>
    </row>
    <row r="147" spans="1:16" x14ac:dyDescent="0.35">
      <c r="A147" s="14" t="str">
        <f t="shared" si="12"/>
        <v>2025 JAN-JUN D70%</v>
      </c>
      <c r="B147" s="34">
        <f t="shared" si="14"/>
        <v>46104</v>
      </c>
      <c r="C147" s="34">
        <f t="shared" si="15"/>
        <v>46113</v>
      </c>
      <c r="D147" s="45">
        <v>3321</v>
      </c>
      <c r="E147" s="46">
        <v>337</v>
      </c>
      <c r="F147" s="47">
        <v>4</v>
      </c>
      <c r="G147" s="24">
        <v>1</v>
      </c>
      <c r="H147" s="24">
        <v>4953</v>
      </c>
      <c r="I147" s="33" t="s">
        <v>39</v>
      </c>
      <c r="J147" s="23">
        <v>54390971</v>
      </c>
      <c r="K147" s="23" t="s">
        <v>2838</v>
      </c>
      <c r="L147" s="23" t="s">
        <v>2847</v>
      </c>
      <c r="M147" s="25">
        <v>119900</v>
      </c>
      <c r="N147" s="71">
        <v>0.7</v>
      </c>
      <c r="O147" s="75">
        <f t="shared" si="11"/>
        <v>35970</v>
      </c>
      <c r="P147" s="35" t="str">
        <f t="shared" si="13"/>
        <v>PERCENTAGE</v>
      </c>
    </row>
    <row r="148" spans="1:16" x14ac:dyDescent="0.35">
      <c r="A148" s="14" t="str">
        <f t="shared" si="12"/>
        <v>2025 JAN-JUN D70%</v>
      </c>
      <c r="B148" s="34">
        <f t="shared" si="14"/>
        <v>46104</v>
      </c>
      <c r="C148" s="34">
        <f t="shared" si="15"/>
        <v>46113</v>
      </c>
      <c r="D148" s="45">
        <v>3321</v>
      </c>
      <c r="E148" s="46">
        <v>337</v>
      </c>
      <c r="F148" s="47">
        <v>4</v>
      </c>
      <c r="G148" s="24">
        <v>1</v>
      </c>
      <c r="H148" s="24">
        <v>4953</v>
      </c>
      <c r="I148" s="33" t="s">
        <v>39</v>
      </c>
      <c r="J148" s="23">
        <v>54390980</v>
      </c>
      <c r="K148" s="23" t="s">
        <v>2838</v>
      </c>
      <c r="L148" s="23" t="s">
        <v>2845</v>
      </c>
      <c r="M148" s="25">
        <v>119900</v>
      </c>
      <c r="N148" s="71">
        <v>0.7</v>
      </c>
      <c r="O148" s="75">
        <f t="shared" si="11"/>
        <v>35970</v>
      </c>
      <c r="P148" s="35" t="str">
        <f t="shared" si="13"/>
        <v>PERCENTAGE</v>
      </c>
    </row>
    <row r="149" spans="1:16" x14ac:dyDescent="0.35">
      <c r="A149" s="14" t="str">
        <f t="shared" si="12"/>
        <v>2025 JAN-JUN D70%</v>
      </c>
      <c r="B149" s="34">
        <f t="shared" si="14"/>
        <v>46104</v>
      </c>
      <c r="C149" s="34">
        <f t="shared" si="15"/>
        <v>46113</v>
      </c>
      <c r="D149" s="45">
        <v>3321</v>
      </c>
      <c r="E149" s="46">
        <v>337</v>
      </c>
      <c r="F149" s="47">
        <v>4</v>
      </c>
      <c r="G149" s="24">
        <v>1</v>
      </c>
      <c r="H149" s="24">
        <v>4953</v>
      </c>
      <c r="I149" s="33" t="s">
        <v>39</v>
      </c>
      <c r="J149" s="23">
        <v>54390999</v>
      </c>
      <c r="K149" s="23" t="s">
        <v>2838</v>
      </c>
      <c r="L149" s="23" t="s">
        <v>2839</v>
      </c>
      <c r="M149" s="25">
        <v>119900</v>
      </c>
      <c r="N149" s="71">
        <v>0.7</v>
      </c>
      <c r="O149" s="75">
        <f t="shared" si="11"/>
        <v>35970</v>
      </c>
      <c r="P149" s="35" t="str">
        <f t="shared" si="13"/>
        <v>PERCENTAGE</v>
      </c>
    </row>
    <row r="150" spans="1:16" x14ac:dyDescent="0.35">
      <c r="A150" s="14" t="str">
        <f t="shared" si="12"/>
        <v>2025 JAN-JUN D70%</v>
      </c>
      <c r="B150" s="34">
        <f t="shared" si="14"/>
        <v>46104</v>
      </c>
      <c r="C150" s="34">
        <f t="shared" si="15"/>
        <v>46113</v>
      </c>
      <c r="D150" s="45">
        <v>3321</v>
      </c>
      <c r="E150" s="46">
        <v>337</v>
      </c>
      <c r="F150" s="47">
        <v>4</v>
      </c>
      <c r="G150" s="24">
        <v>1</v>
      </c>
      <c r="H150" s="24">
        <v>4953</v>
      </c>
      <c r="I150" s="33" t="s">
        <v>39</v>
      </c>
      <c r="J150" s="23">
        <v>54408345</v>
      </c>
      <c r="K150" s="23" t="s">
        <v>2838</v>
      </c>
      <c r="L150" s="23" t="s">
        <v>2843</v>
      </c>
      <c r="M150" s="25">
        <v>119900</v>
      </c>
      <c r="N150" s="71">
        <v>0.7</v>
      </c>
      <c r="O150" s="75">
        <f t="shared" si="11"/>
        <v>35970</v>
      </c>
      <c r="P150" s="35" t="str">
        <f t="shared" si="13"/>
        <v>PERCENTAGE</v>
      </c>
    </row>
    <row r="151" spans="1:16" x14ac:dyDescent="0.35">
      <c r="A151" s="14" t="str">
        <f t="shared" si="12"/>
        <v>2025 JAN-JUN D70%</v>
      </c>
      <c r="B151" s="34">
        <f t="shared" si="14"/>
        <v>46104</v>
      </c>
      <c r="C151" s="34">
        <f t="shared" si="15"/>
        <v>46113</v>
      </c>
      <c r="D151" s="45">
        <v>3321</v>
      </c>
      <c r="E151" s="46">
        <v>337</v>
      </c>
      <c r="F151" s="47">
        <v>4</v>
      </c>
      <c r="G151" s="24">
        <v>1</v>
      </c>
      <c r="H151" s="24">
        <v>4953</v>
      </c>
      <c r="I151" s="33" t="s">
        <v>39</v>
      </c>
      <c r="J151" s="23">
        <v>54391005</v>
      </c>
      <c r="K151" s="23" t="s">
        <v>2835</v>
      </c>
      <c r="L151" s="23" t="s">
        <v>2837</v>
      </c>
      <c r="M151" s="25">
        <v>119900</v>
      </c>
      <c r="N151" s="71">
        <v>0.7</v>
      </c>
      <c r="O151" s="75">
        <f t="shared" si="11"/>
        <v>35970</v>
      </c>
      <c r="P151" s="35" t="str">
        <f t="shared" si="13"/>
        <v>PERCENTAGE</v>
      </c>
    </row>
    <row r="152" spans="1:16" x14ac:dyDescent="0.35">
      <c r="A152" s="14" t="str">
        <f t="shared" si="12"/>
        <v>2025 JAN-JUN D70%</v>
      </c>
      <c r="B152" s="34">
        <f t="shared" si="14"/>
        <v>46104</v>
      </c>
      <c r="C152" s="34">
        <f t="shared" si="15"/>
        <v>46113</v>
      </c>
      <c r="D152" s="45">
        <v>3321</v>
      </c>
      <c r="E152" s="46">
        <v>337</v>
      </c>
      <c r="F152" s="47">
        <v>4</v>
      </c>
      <c r="G152" s="24">
        <v>1</v>
      </c>
      <c r="H152" s="24">
        <v>4953</v>
      </c>
      <c r="I152" s="33" t="s">
        <v>39</v>
      </c>
      <c r="J152" s="23">
        <v>54391014</v>
      </c>
      <c r="K152" s="23" t="s">
        <v>2835</v>
      </c>
      <c r="L152" s="23" t="s">
        <v>2848</v>
      </c>
      <c r="M152" s="25">
        <v>119900</v>
      </c>
      <c r="N152" s="71">
        <v>0.7</v>
      </c>
      <c r="O152" s="75">
        <f t="shared" si="11"/>
        <v>35970</v>
      </c>
      <c r="P152" s="35" t="str">
        <f t="shared" si="13"/>
        <v>PERCENTAGE</v>
      </c>
    </row>
    <row r="153" spans="1:16" x14ac:dyDescent="0.35">
      <c r="A153" s="14" t="str">
        <f t="shared" si="12"/>
        <v>2025 JAN-JUN D70%</v>
      </c>
      <c r="B153" s="34">
        <f t="shared" si="14"/>
        <v>46104</v>
      </c>
      <c r="C153" s="34">
        <f t="shared" si="15"/>
        <v>46113</v>
      </c>
      <c r="D153" s="45">
        <v>3321</v>
      </c>
      <c r="E153" s="46">
        <v>337</v>
      </c>
      <c r="F153" s="47">
        <v>4</v>
      </c>
      <c r="G153" s="24">
        <v>1</v>
      </c>
      <c r="H153" s="24">
        <v>4953</v>
      </c>
      <c r="I153" s="33" t="s">
        <v>39</v>
      </c>
      <c r="J153" s="23">
        <v>54391023</v>
      </c>
      <c r="K153" s="23" t="s">
        <v>2835</v>
      </c>
      <c r="L153" s="23" t="s">
        <v>2844</v>
      </c>
      <c r="M153" s="25">
        <v>119900</v>
      </c>
      <c r="N153" s="71">
        <v>0.7</v>
      </c>
      <c r="O153" s="75">
        <f t="shared" si="11"/>
        <v>35970</v>
      </c>
      <c r="P153" s="35" t="str">
        <f t="shared" si="13"/>
        <v>PERCENTAGE</v>
      </c>
    </row>
    <row r="154" spans="1:16" x14ac:dyDescent="0.35">
      <c r="A154" s="14" t="str">
        <f t="shared" si="12"/>
        <v>2025 JAN-JUN D70%</v>
      </c>
      <c r="B154" s="34">
        <f t="shared" si="14"/>
        <v>46104</v>
      </c>
      <c r="C154" s="34">
        <f t="shared" si="15"/>
        <v>46113</v>
      </c>
      <c r="D154" s="45">
        <v>3321</v>
      </c>
      <c r="E154" s="46">
        <v>337</v>
      </c>
      <c r="F154" s="47">
        <v>4</v>
      </c>
      <c r="G154" s="24">
        <v>1</v>
      </c>
      <c r="H154" s="24">
        <v>4953</v>
      </c>
      <c r="I154" s="33" t="s">
        <v>39</v>
      </c>
      <c r="J154" s="23">
        <v>54391032</v>
      </c>
      <c r="K154" s="23" t="s">
        <v>2835</v>
      </c>
      <c r="L154" s="23" t="s">
        <v>2842</v>
      </c>
      <c r="M154" s="25">
        <v>119900</v>
      </c>
      <c r="N154" s="71">
        <v>0.7</v>
      </c>
      <c r="O154" s="75">
        <f t="shared" si="11"/>
        <v>35970</v>
      </c>
      <c r="P154" s="35" t="str">
        <f t="shared" si="13"/>
        <v>PERCENTAGE</v>
      </c>
    </row>
    <row r="155" spans="1:16" x14ac:dyDescent="0.35">
      <c r="A155" s="14" t="str">
        <f t="shared" si="12"/>
        <v>2025 JAN-JUN D70%</v>
      </c>
      <c r="B155" s="34">
        <f t="shared" si="14"/>
        <v>46104</v>
      </c>
      <c r="C155" s="34">
        <f t="shared" si="15"/>
        <v>46113</v>
      </c>
      <c r="D155" s="45">
        <v>3321</v>
      </c>
      <c r="E155" s="46">
        <v>337</v>
      </c>
      <c r="F155" s="47">
        <v>4</v>
      </c>
      <c r="G155" s="24">
        <v>1</v>
      </c>
      <c r="H155" s="24">
        <v>4953</v>
      </c>
      <c r="I155" s="33" t="s">
        <v>39</v>
      </c>
      <c r="J155" s="23">
        <v>54391041</v>
      </c>
      <c r="K155" s="23" t="s">
        <v>2835</v>
      </c>
      <c r="L155" s="23" t="s">
        <v>2836</v>
      </c>
      <c r="M155" s="25">
        <v>119900</v>
      </c>
      <c r="N155" s="71">
        <v>0.7</v>
      </c>
      <c r="O155" s="75">
        <f t="shared" si="11"/>
        <v>35970</v>
      </c>
      <c r="P155" s="35" t="str">
        <f t="shared" si="13"/>
        <v>PERCENTAGE</v>
      </c>
    </row>
    <row r="156" spans="1:16" x14ac:dyDescent="0.35">
      <c r="A156" s="14" t="str">
        <f t="shared" si="12"/>
        <v>2025 JAN-JUN D70%</v>
      </c>
      <c r="B156" s="34">
        <f t="shared" si="14"/>
        <v>46104</v>
      </c>
      <c r="C156" s="34">
        <f t="shared" si="15"/>
        <v>46113</v>
      </c>
      <c r="D156" s="45">
        <v>3321</v>
      </c>
      <c r="E156" s="46">
        <v>337</v>
      </c>
      <c r="F156" s="47">
        <v>4</v>
      </c>
      <c r="G156" s="24">
        <v>1</v>
      </c>
      <c r="H156" s="24">
        <v>4953</v>
      </c>
      <c r="I156" s="33" t="s">
        <v>39</v>
      </c>
      <c r="J156" s="23">
        <v>54408354</v>
      </c>
      <c r="K156" s="23" t="s">
        <v>2835</v>
      </c>
      <c r="L156" s="23" t="s">
        <v>2846</v>
      </c>
      <c r="M156" s="25">
        <v>119900</v>
      </c>
      <c r="N156" s="71">
        <v>0.7</v>
      </c>
      <c r="O156" s="75">
        <f t="shared" si="11"/>
        <v>35970</v>
      </c>
      <c r="P156" s="35" t="str">
        <f t="shared" si="13"/>
        <v>PERCENTAGE</v>
      </c>
    </row>
    <row r="157" spans="1:16" x14ac:dyDescent="0.35">
      <c r="A157" s="14" t="str">
        <f t="shared" si="12"/>
        <v>2025 JAN-JUN D70%</v>
      </c>
      <c r="B157" s="34">
        <f t="shared" si="14"/>
        <v>46104</v>
      </c>
      <c r="C157" s="34">
        <f t="shared" si="15"/>
        <v>46113</v>
      </c>
      <c r="D157" s="45">
        <v>3321</v>
      </c>
      <c r="E157" s="46">
        <v>337</v>
      </c>
      <c r="F157" s="47">
        <v>4</v>
      </c>
      <c r="G157" s="24">
        <v>1</v>
      </c>
      <c r="H157" s="24">
        <v>190</v>
      </c>
      <c r="I157" s="33" t="s">
        <v>39</v>
      </c>
      <c r="J157" s="23">
        <v>54391050</v>
      </c>
      <c r="K157" s="23" t="s">
        <v>2849</v>
      </c>
      <c r="L157" s="23" t="s">
        <v>2850</v>
      </c>
      <c r="M157" s="25">
        <v>169900</v>
      </c>
      <c r="N157" s="71">
        <v>0.7</v>
      </c>
      <c r="O157" s="75">
        <f t="shared" si="11"/>
        <v>50970</v>
      </c>
      <c r="P157" s="35" t="str">
        <f t="shared" si="13"/>
        <v>PERCENTAGE</v>
      </c>
    </row>
    <row r="158" spans="1:16" x14ac:dyDescent="0.35">
      <c r="A158" s="14" t="str">
        <f t="shared" si="12"/>
        <v>2025 JAN-JUN D70%</v>
      </c>
      <c r="B158" s="34">
        <f t="shared" si="14"/>
        <v>46104</v>
      </c>
      <c r="C158" s="34">
        <f t="shared" si="15"/>
        <v>46113</v>
      </c>
      <c r="D158" s="45">
        <v>3321</v>
      </c>
      <c r="E158" s="46">
        <v>337</v>
      </c>
      <c r="F158" s="47">
        <v>4</v>
      </c>
      <c r="G158" s="24">
        <v>1</v>
      </c>
      <c r="H158" s="24">
        <v>190</v>
      </c>
      <c r="I158" s="33" t="s">
        <v>39</v>
      </c>
      <c r="J158" s="23">
        <v>54391069</v>
      </c>
      <c r="K158" s="23" t="s">
        <v>2849</v>
      </c>
      <c r="L158" s="23" t="s">
        <v>2851</v>
      </c>
      <c r="M158" s="25">
        <v>169900</v>
      </c>
      <c r="N158" s="71">
        <v>0.7</v>
      </c>
      <c r="O158" s="75">
        <f t="shared" si="11"/>
        <v>50970</v>
      </c>
      <c r="P158" s="35" t="str">
        <f t="shared" si="13"/>
        <v>PERCENTAGE</v>
      </c>
    </row>
    <row r="159" spans="1:16" x14ac:dyDescent="0.35">
      <c r="A159" s="14" t="str">
        <f t="shared" si="12"/>
        <v>2025 JAN-JUN D70%</v>
      </c>
      <c r="B159" s="34">
        <f t="shared" si="14"/>
        <v>46104</v>
      </c>
      <c r="C159" s="34">
        <f t="shared" si="15"/>
        <v>46113</v>
      </c>
      <c r="D159" s="45">
        <v>3321</v>
      </c>
      <c r="E159" s="46">
        <v>337</v>
      </c>
      <c r="F159" s="47">
        <v>4</v>
      </c>
      <c r="G159" s="24">
        <v>1</v>
      </c>
      <c r="H159" s="24">
        <v>190</v>
      </c>
      <c r="I159" s="33" t="s">
        <v>39</v>
      </c>
      <c r="J159" s="23">
        <v>54391078</v>
      </c>
      <c r="K159" s="23" t="s">
        <v>2849</v>
      </c>
      <c r="L159" s="23" t="s">
        <v>2853</v>
      </c>
      <c r="M159" s="25">
        <v>169900</v>
      </c>
      <c r="N159" s="71">
        <v>0.7</v>
      </c>
      <c r="O159" s="75">
        <f t="shared" si="11"/>
        <v>50970</v>
      </c>
      <c r="P159" s="35" t="str">
        <f t="shared" si="13"/>
        <v>PERCENTAGE</v>
      </c>
    </row>
    <row r="160" spans="1:16" x14ac:dyDescent="0.35">
      <c r="A160" s="14" t="str">
        <f t="shared" si="12"/>
        <v>2025 JAN-JUN D70%</v>
      </c>
      <c r="B160" s="34">
        <f t="shared" si="14"/>
        <v>46104</v>
      </c>
      <c r="C160" s="34">
        <f t="shared" si="15"/>
        <v>46113</v>
      </c>
      <c r="D160" s="45">
        <v>3321</v>
      </c>
      <c r="E160" s="46">
        <v>337</v>
      </c>
      <c r="F160" s="47">
        <v>4</v>
      </c>
      <c r="G160" s="24">
        <v>1</v>
      </c>
      <c r="H160" s="24">
        <v>190</v>
      </c>
      <c r="I160" s="33" t="s">
        <v>39</v>
      </c>
      <c r="J160" s="23">
        <v>54391087</v>
      </c>
      <c r="K160" s="23" t="s">
        <v>2849</v>
      </c>
      <c r="L160" s="23" t="s">
        <v>2852</v>
      </c>
      <c r="M160" s="25">
        <v>169900</v>
      </c>
      <c r="N160" s="71">
        <v>0.7</v>
      </c>
      <c r="O160" s="75">
        <f t="shared" si="11"/>
        <v>50970</v>
      </c>
      <c r="P160" s="35" t="str">
        <f t="shared" si="13"/>
        <v>PERCENTAGE</v>
      </c>
    </row>
    <row r="161" spans="1:16" x14ac:dyDescent="0.35">
      <c r="A161" s="14" t="str">
        <f t="shared" si="12"/>
        <v>2025 JAN-JUN D70%</v>
      </c>
      <c r="B161" s="34">
        <f t="shared" si="14"/>
        <v>46104</v>
      </c>
      <c r="C161" s="34">
        <f t="shared" si="15"/>
        <v>46113</v>
      </c>
      <c r="D161" s="45">
        <v>3321</v>
      </c>
      <c r="E161" s="46">
        <v>337</v>
      </c>
      <c r="F161" s="47">
        <v>4</v>
      </c>
      <c r="G161" s="24">
        <v>5</v>
      </c>
      <c r="H161" s="24">
        <v>190</v>
      </c>
      <c r="I161" s="33" t="s">
        <v>39</v>
      </c>
      <c r="J161" s="23">
        <v>54391292</v>
      </c>
      <c r="K161" s="23" t="s">
        <v>2825</v>
      </c>
      <c r="L161" s="23" t="s">
        <v>2826</v>
      </c>
      <c r="M161" s="25">
        <v>249900</v>
      </c>
      <c r="N161" s="71">
        <v>0.7</v>
      </c>
      <c r="O161" s="75">
        <f t="shared" si="11"/>
        <v>74970</v>
      </c>
      <c r="P161" s="35" t="str">
        <f t="shared" si="13"/>
        <v>PERCENTAGE</v>
      </c>
    </row>
    <row r="162" spans="1:16" x14ac:dyDescent="0.35">
      <c r="A162" s="14" t="str">
        <f t="shared" si="12"/>
        <v>2025 JAN-JUN D70%</v>
      </c>
      <c r="B162" s="34">
        <f t="shared" si="14"/>
        <v>46104</v>
      </c>
      <c r="C162" s="34">
        <f t="shared" si="15"/>
        <v>46113</v>
      </c>
      <c r="D162" s="45">
        <v>3321</v>
      </c>
      <c r="E162" s="46">
        <v>337</v>
      </c>
      <c r="F162" s="47">
        <v>4</v>
      </c>
      <c r="G162" s="24">
        <v>5</v>
      </c>
      <c r="H162" s="24">
        <v>190</v>
      </c>
      <c r="I162" s="33" t="s">
        <v>39</v>
      </c>
      <c r="J162" s="23">
        <v>54391309</v>
      </c>
      <c r="K162" s="23" t="s">
        <v>2825</v>
      </c>
      <c r="L162" s="23" t="s">
        <v>2830</v>
      </c>
      <c r="M162" s="25">
        <v>249900</v>
      </c>
      <c r="N162" s="71">
        <v>0.7</v>
      </c>
      <c r="O162" s="75">
        <f t="shared" si="11"/>
        <v>74970</v>
      </c>
      <c r="P162" s="35" t="str">
        <f t="shared" si="13"/>
        <v>PERCENTAGE</v>
      </c>
    </row>
    <row r="163" spans="1:16" x14ac:dyDescent="0.35">
      <c r="A163" s="14" t="str">
        <f t="shared" si="12"/>
        <v>2025 JAN-JUN D70%</v>
      </c>
      <c r="B163" s="34">
        <f t="shared" si="14"/>
        <v>46104</v>
      </c>
      <c r="C163" s="34">
        <f t="shared" si="15"/>
        <v>46113</v>
      </c>
      <c r="D163" s="45">
        <v>3321</v>
      </c>
      <c r="E163" s="46">
        <v>337</v>
      </c>
      <c r="F163" s="47">
        <v>4</v>
      </c>
      <c r="G163" s="24">
        <v>5</v>
      </c>
      <c r="H163" s="24">
        <v>190</v>
      </c>
      <c r="I163" s="33" t="s">
        <v>39</v>
      </c>
      <c r="J163" s="23">
        <v>54391318</v>
      </c>
      <c r="K163" s="23" t="s">
        <v>2825</v>
      </c>
      <c r="L163" s="23" t="s">
        <v>2832</v>
      </c>
      <c r="M163" s="25">
        <v>249900</v>
      </c>
      <c r="N163" s="71">
        <v>0.7</v>
      </c>
      <c r="O163" s="75">
        <f t="shared" si="11"/>
        <v>74970</v>
      </c>
      <c r="P163" s="35" t="str">
        <f t="shared" si="13"/>
        <v>PERCENTAGE</v>
      </c>
    </row>
    <row r="164" spans="1:16" x14ac:dyDescent="0.35">
      <c r="A164" s="14" t="str">
        <f t="shared" si="12"/>
        <v>2025 JAN-JUN D70%</v>
      </c>
      <c r="B164" s="34">
        <f t="shared" si="14"/>
        <v>46104</v>
      </c>
      <c r="C164" s="34">
        <f t="shared" si="15"/>
        <v>46113</v>
      </c>
      <c r="D164" s="45">
        <v>3321</v>
      </c>
      <c r="E164" s="46">
        <v>337</v>
      </c>
      <c r="F164" s="47">
        <v>4</v>
      </c>
      <c r="G164" s="24">
        <v>5</v>
      </c>
      <c r="H164" s="24">
        <v>190</v>
      </c>
      <c r="I164" s="33" t="s">
        <v>39</v>
      </c>
      <c r="J164" s="23">
        <v>54391327</v>
      </c>
      <c r="K164" s="23" t="s">
        <v>2825</v>
      </c>
      <c r="L164" s="23" t="s">
        <v>2831</v>
      </c>
      <c r="M164" s="25">
        <v>249900</v>
      </c>
      <c r="N164" s="71">
        <v>0.7</v>
      </c>
      <c r="O164" s="75">
        <f t="shared" si="11"/>
        <v>74970</v>
      </c>
      <c r="P164" s="35" t="str">
        <f t="shared" si="13"/>
        <v>PERCENTAGE</v>
      </c>
    </row>
    <row r="165" spans="1:16" x14ac:dyDescent="0.35">
      <c r="A165" s="14" t="str">
        <f t="shared" si="12"/>
        <v>2025 JAN-JUN D70%</v>
      </c>
      <c r="B165" s="34">
        <f t="shared" si="14"/>
        <v>46104</v>
      </c>
      <c r="C165" s="34">
        <f t="shared" si="15"/>
        <v>46113</v>
      </c>
      <c r="D165" s="45">
        <v>3321</v>
      </c>
      <c r="E165" s="46">
        <v>337</v>
      </c>
      <c r="F165" s="47">
        <v>4</v>
      </c>
      <c r="G165" s="24">
        <v>5</v>
      </c>
      <c r="H165" s="24">
        <v>190</v>
      </c>
      <c r="I165" s="33" t="s">
        <v>39</v>
      </c>
      <c r="J165" s="23">
        <v>54391256</v>
      </c>
      <c r="K165" s="23" t="s">
        <v>2827</v>
      </c>
      <c r="L165" s="23" t="s">
        <v>2828</v>
      </c>
      <c r="M165" s="25">
        <v>279900</v>
      </c>
      <c r="N165" s="71">
        <v>0.7</v>
      </c>
      <c r="O165" s="75">
        <f t="shared" si="11"/>
        <v>83970</v>
      </c>
      <c r="P165" s="35" t="str">
        <f t="shared" si="13"/>
        <v>PERCENTAGE</v>
      </c>
    </row>
    <row r="166" spans="1:16" x14ac:dyDescent="0.35">
      <c r="A166" s="14" t="str">
        <f t="shared" si="12"/>
        <v>2025 JAN-JUN D70%</v>
      </c>
      <c r="B166" s="34">
        <f t="shared" si="14"/>
        <v>46104</v>
      </c>
      <c r="C166" s="34">
        <f t="shared" si="15"/>
        <v>46113</v>
      </c>
      <c r="D166" s="45">
        <v>3321</v>
      </c>
      <c r="E166" s="46">
        <v>337</v>
      </c>
      <c r="F166" s="47">
        <v>4</v>
      </c>
      <c r="G166" s="24">
        <v>5</v>
      </c>
      <c r="H166" s="24">
        <v>190</v>
      </c>
      <c r="I166" s="33" t="s">
        <v>39</v>
      </c>
      <c r="J166" s="23">
        <v>54391265</v>
      </c>
      <c r="K166" s="23" t="s">
        <v>2827</v>
      </c>
      <c r="L166" s="23" t="s">
        <v>2834</v>
      </c>
      <c r="M166" s="25">
        <v>279900</v>
      </c>
      <c r="N166" s="71">
        <v>0.7</v>
      </c>
      <c r="O166" s="75">
        <f t="shared" si="11"/>
        <v>83970</v>
      </c>
      <c r="P166" s="35" t="str">
        <f t="shared" si="13"/>
        <v>PERCENTAGE</v>
      </c>
    </row>
    <row r="167" spans="1:16" x14ac:dyDescent="0.35">
      <c r="A167" s="14" t="str">
        <f t="shared" si="12"/>
        <v>2025 JAN-JUN D70%</v>
      </c>
      <c r="B167" s="34">
        <f t="shared" si="14"/>
        <v>46104</v>
      </c>
      <c r="C167" s="34">
        <f t="shared" si="15"/>
        <v>46113</v>
      </c>
      <c r="D167" s="45">
        <v>3321</v>
      </c>
      <c r="E167" s="46">
        <v>337</v>
      </c>
      <c r="F167" s="47">
        <v>4</v>
      </c>
      <c r="G167" s="24">
        <v>5</v>
      </c>
      <c r="H167" s="24">
        <v>190</v>
      </c>
      <c r="I167" s="33" t="s">
        <v>39</v>
      </c>
      <c r="J167" s="23">
        <v>54391274</v>
      </c>
      <c r="K167" s="23" t="s">
        <v>2827</v>
      </c>
      <c r="L167" s="23" t="s">
        <v>2833</v>
      </c>
      <c r="M167" s="25">
        <v>279900</v>
      </c>
      <c r="N167" s="71">
        <v>0.7</v>
      </c>
      <c r="O167" s="75">
        <f t="shared" si="11"/>
        <v>83970</v>
      </c>
      <c r="P167" s="35" t="str">
        <f t="shared" si="13"/>
        <v>PERCENTAGE</v>
      </c>
    </row>
    <row r="168" spans="1:16" x14ac:dyDescent="0.35">
      <c r="A168" s="14" t="str">
        <f t="shared" si="12"/>
        <v>2025 JAN-JUN D70%</v>
      </c>
      <c r="B168" s="34">
        <f t="shared" si="14"/>
        <v>46104</v>
      </c>
      <c r="C168" s="34">
        <f t="shared" si="15"/>
        <v>46113</v>
      </c>
      <c r="D168" s="45">
        <v>3321</v>
      </c>
      <c r="E168" s="46">
        <v>337</v>
      </c>
      <c r="F168" s="47">
        <v>4</v>
      </c>
      <c r="G168" s="24">
        <v>5</v>
      </c>
      <c r="H168" s="24">
        <v>190</v>
      </c>
      <c r="I168" s="33" t="s">
        <v>39</v>
      </c>
      <c r="J168" s="23">
        <v>54391283</v>
      </c>
      <c r="K168" s="23" t="s">
        <v>2827</v>
      </c>
      <c r="L168" s="23" t="s">
        <v>2829</v>
      </c>
      <c r="M168" s="25">
        <v>279900</v>
      </c>
      <c r="N168" s="71">
        <v>0.7</v>
      </c>
      <c r="O168" s="75">
        <f t="shared" si="11"/>
        <v>83970</v>
      </c>
      <c r="P168" s="35" t="str">
        <f t="shared" si="13"/>
        <v>PERCENTAGE</v>
      </c>
    </row>
    <row r="169" spans="1:16" x14ac:dyDescent="0.35">
      <c r="A169" s="14" t="str">
        <f t="shared" si="12"/>
        <v>2025 JAN-JUN D70%</v>
      </c>
      <c r="B169" s="34">
        <f t="shared" si="14"/>
        <v>46104</v>
      </c>
      <c r="C169" s="34">
        <f t="shared" si="15"/>
        <v>46113</v>
      </c>
      <c r="D169" s="45">
        <v>3321</v>
      </c>
      <c r="E169" s="46">
        <v>337</v>
      </c>
      <c r="F169" s="47">
        <v>4</v>
      </c>
      <c r="G169" s="24">
        <v>1</v>
      </c>
      <c r="H169" s="24">
        <v>81676</v>
      </c>
      <c r="I169" s="33" t="s">
        <v>39</v>
      </c>
      <c r="J169" s="23">
        <v>54462330</v>
      </c>
      <c r="K169" s="23" t="s">
        <v>2854</v>
      </c>
      <c r="L169" s="23" t="s">
        <v>2858</v>
      </c>
      <c r="M169" s="25">
        <v>119900</v>
      </c>
      <c r="N169" s="71">
        <v>0.7</v>
      </c>
      <c r="O169" s="75">
        <f t="shared" si="11"/>
        <v>35970</v>
      </c>
      <c r="P169" s="35" t="str">
        <f t="shared" si="13"/>
        <v>PERCENTAGE</v>
      </c>
    </row>
    <row r="170" spans="1:16" x14ac:dyDescent="0.35">
      <c r="A170" s="14" t="str">
        <f t="shared" si="12"/>
        <v>2025 JAN-JUN D70%</v>
      </c>
      <c r="B170" s="34">
        <f t="shared" si="14"/>
        <v>46104</v>
      </c>
      <c r="C170" s="34">
        <f t="shared" si="15"/>
        <v>46113</v>
      </c>
      <c r="D170" s="45">
        <v>3321</v>
      </c>
      <c r="E170" s="46">
        <v>337</v>
      </c>
      <c r="F170" s="47">
        <v>4</v>
      </c>
      <c r="G170" s="24">
        <v>1</v>
      </c>
      <c r="H170" s="24">
        <v>81676</v>
      </c>
      <c r="I170" s="33" t="s">
        <v>39</v>
      </c>
      <c r="J170" s="23">
        <v>54462349</v>
      </c>
      <c r="K170" s="23" t="s">
        <v>2854</v>
      </c>
      <c r="L170" s="23" t="s">
        <v>2855</v>
      </c>
      <c r="M170" s="25">
        <v>119900</v>
      </c>
      <c r="N170" s="71">
        <v>0.7</v>
      </c>
      <c r="O170" s="75">
        <f t="shared" si="11"/>
        <v>35970</v>
      </c>
      <c r="P170" s="35" t="str">
        <f t="shared" si="13"/>
        <v>PERCENTAGE</v>
      </c>
    </row>
    <row r="171" spans="1:16" x14ac:dyDescent="0.35">
      <c r="A171" s="14" t="str">
        <f t="shared" si="12"/>
        <v>2025 JAN-JUN D70%</v>
      </c>
      <c r="B171" s="34">
        <f t="shared" si="14"/>
        <v>46104</v>
      </c>
      <c r="C171" s="34">
        <f t="shared" si="15"/>
        <v>46113</v>
      </c>
      <c r="D171" s="45">
        <v>3321</v>
      </c>
      <c r="E171" s="46">
        <v>337</v>
      </c>
      <c r="F171" s="47">
        <v>4</v>
      </c>
      <c r="G171" s="24">
        <v>1</v>
      </c>
      <c r="H171" s="24">
        <v>81676</v>
      </c>
      <c r="I171" s="33" t="s">
        <v>39</v>
      </c>
      <c r="J171" s="23">
        <v>54462358</v>
      </c>
      <c r="K171" s="23" t="s">
        <v>2854</v>
      </c>
      <c r="L171" s="23" t="s">
        <v>2857</v>
      </c>
      <c r="M171" s="25">
        <v>119900</v>
      </c>
      <c r="N171" s="71">
        <v>0.7</v>
      </c>
      <c r="O171" s="75">
        <f t="shared" si="11"/>
        <v>35970</v>
      </c>
      <c r="P171" s="35" t="str">
        <f t="shared" si="13"/>
        <v>PERCENTAGE</v>
      </c>
    </row>
    <row r="172" spans="1:16" x14ac:dyDescent="0.35">
      <c r="A172" s="14" t="str">
        <f t="shared" si="12"/>
        <v>2025 JAN-JUN D70%</v>
      </c>
      <c r="B172" s="34">
        <f t="shared" si="14"/>
        <v>46104</v>
      </c>
      <c r="C172" s="34">
        <f t="shared" si="15"/>
        <v>46113</v>
      </c>
      <c r="D172" s="45">
        <v>3321</v>
      </c>
      <c r="E172" s="46">
        <v>337</v>
      </c>
      <c r="F172" s="47">
        <v>4</v>
      </c>
      <c r="G172" s="24">
        <v>1</v>
      </c>
      <c r="H172" s="24">
        <v>81676</v>
      </c>
      <c r="I172" s="33" t="s">
        <v>39</v>
      </c>
      <c r="J172" s="23">
        <v>54462367</v>
      </c>
      <c r="K172" s="23" t="s">
        <v>2854</v>
      </c>
      <c r="L172" s="23" t="s">
        <v>2856</v>
      </c>
      <c r="M172" s="25">
        <v>119900</v>
      </c>
      <c r="N172" s="71">
        <v>0.7</v>
      </c>
      <c r="O172" s="75">
        <f t="shared" si="11"/>
        <v>35970</v>
      </c>
      <c r="P172" s="35" t="str">
        <f t="shared" si="13"/>
        <v>PERCENTAGE</v>
      </c>
    </row>
    <row r="173" spans="1:16" x14ac:dyDescent="0.35">
      <c r="A173" s="14" t="str">
        <f t="shared" si="12"/>
        <v>2025 JAN-JUN D70%</v>
      </c>
      <c r="B173" s="34">
        <f t="shared" si="14"/>
        <v>46104</v>
      </c>
      <c r="C173" s="34">
        <f t="shared" si="15"/>
        <v>46113</v>
      </c>
      <c r="D173" s="45">
        <v>3321</v>
      </c>
      <c r="E173" s="46">
        <v>337</v>
      </c>
      <c r="F173" s="47">
        <v>4</v>
      </c>
      <c r="G173" s="24">
        <v>4</v>
      </c>
      <c r="H173" s="24">
        <v>81005</v>
      </c>
      <c r="I173" s="33" t="s">
        <v>39</v>
      </c>
      <c r="J173" s="23">
        <v>54391210</v>
      </c>
      <c r="K173" s="23" t="s">
        <v>2859</v>
      </c>
      <c r="L173" s="23" t="s">
        <v>2863</v>
      </c>
      <c r="M173" s="25">
        <v>199900</v>
      </c>
      <c r="N173" s="71">
        <v>0.7</v>
      </c>
      <c r="O173" s="75">
        <f t="shared" si="11"/>
        <v>59970</v>
      </c>
      <c r="P173" s="35" t="str">
        <f t="shared" si="13"/>
        <v>PERCENTAGE</v>
      </c>
    </row>
    <row r="174" spans="1:16" x14ac:dyDescent="0.35">
      <c r="A174" s="14" t="str">
        <f t="shared" si="12"/>
        <v>2025 JAN-JUN D70%</v>
      </c>
      <c r="B174" s="34">
        <f t="shared" si="14"/>
        <v>46104</v>
      </c>
      <c r="C174" s="34">
        <f t="shared" si="15"/>
        <v>46113</v>
      </c>
      <c r="D174" s="45">
        <v>3321</v>
      </c>
      <c r="E174" s="46">
        <v>337</v>
      </c>
      <c r="F174" s="47">
        <v>4</v>
      </c>
      <c r="G174" s="24">
        <v>4</v>
      </c>
      <c r="H174" s="24">
        <v>81005</v>
      </c>
      <c r="I174" s="33" t="s">
        <v>39</v>
      </c>
      <c r="J174" s="23">
        <v>54391229</v>
      </c>
      <c r="K174" s="23" t="s">
        <v>2859</v>
      </c>
      <c r="L174" s="23" t="s">
        <v>2860</v>
      </c>
      <c r="M174" s="25">
        <v>199900</v>
      </c>
      <c r="N174" s="71">
        <v>0.7</v>
      </c>
      <c r="O174" s="75">
        <f t="shared" si="11"/>
        <v>59970</v>
      </c>
      <c r="P174" s="35" t="str">
        <f t="shared" si="13"/>
        <v>PERCENTAGE</v>
      </c>
    </row>
    <row r="175" spans="1:16" x14ac:dyDescent="0.35">
      <c r="A175" s="14" t="str">
        <f t="shared" si="12"/>
        <v>2025 JAN-JUN D70%</v>
      </c>
      <c r="B175" s="34">
        <f t="shared" si="14"/>
        <v>46104</v>
      </c>
      <c r="C175" s="34">
        <f t="shared" si="15"/>
        <v>46113</v>
      </c>
      <c r="D175" s="45">
        <v>3321</v>
      </c>
      <c r="E175" s="46">
        <v>337</v>
      </c>
      <c r="F175" s="47">
        <v>4</v>
      </c>
      <c r="G175" s="24">
        <v>4</v>
      </c>
      <c r="H175" s="24">
        <v>81005</v>
      </c>
      <c r="I175" s="33" t="s">
        <v>39</v>
      </c>
      <c r="J175" s="23">
        <v>54391238</v>
      </c>
      <c r="K175" s="23" t="s">
        <v>2859</v>
      </c>
      <c r="L175" s="23" t="s">
        <v>2861</v>
      </c>
      <c r="M175" s="25">
        <v>199900</v>
      </c>
      <c r="N175" s="71">
        <v>0.7</v>
      </c>
      <c r="O175" s="75">
        <f t="shared" si="11"/>
        <v>59970</v>
      </c>
      <c r="P175" s="35" t="str">
        <f t="shared" si="13"/>
        <v>PERCENTAGE</v>
      </c>
    </row>
    <row r="176" spans="1:16" x14ac:dyDescent="0.35">
      <c r="A176" s="14" t="str">
        <f t="shared" si="12"/>
        <v>2025 JAN-JUN D70%</v>
      </c>
      <c r="B176" s="34">
        <f t="shared" si="14"/>
        <v>46104</v>
      </c>
      <c r="C176" s="34">
        <f t="shared" si="15"/>
        <v>46113</v>
      </c>
      <c r="D176" s="45">
        <v>3321</v>
      </c>
      <c r="E176" s="46">
        <v>337</v>
      </c>
      <c r="F176" s="47">
        <v>4</v>
      </c>
      <c r="G176" s="24">
        <v>4</v>
      </c>
      <c r="H176" s="24">
        <v>81005</v>
      </c>
      <c r="I176" s="33" t="s">
        <v>39</v>
      </c>
      <c r="J176" s="23">
        <v>54391247</v>
      </c>
      <c r="K176" s="23" t="s">
        <v>2859</v>
      </c>
      <c r="L176" s="23" t="s">
        <v>2862</v>
      </c>
      <c r="M176" s="25">
        <v>199900</v>
      </c>
      <c r="N176" s="71">
        <v>0.7</v>
      </c>
      <c r="O176" s="75">
        <f t="shared" si="11"/>
        <v>59970</v>
      </c>
      <c r="P176" s="35" t="str">
        <f t="shared" si="13"/>
        <v>PERCENTAGE</v>
      </c>
    </row>
    <row r="177" spans="1:16" x14ac:dyDescent="0.35">
      <c r="A177" s="14" t="str">
        <f t="shared" si="12"/>
        <v>2025 JAN-JUN D70%</v>
      </c>
      <c r="B177" s="34">
        <f t="shared" si="14"/>
        <v>46104</v>
      </c>
      <c r="C177" s="34">
        <f t="shared" si="15"/>
        <v>46113</v>
      </c>
      <c r="D177" s="33">
        <v>3321</v>
      </c>
      <c r="E177" s="14">
        <v>337</v>
      </c>
      <c r="F177" s="14">
        <v>4</v>
      </c>
      <c r="G177" s="24">
        <v>1</v>
      </c>
      <c r="H177" s="24">
        <v>81676</v>
      </c>
      <c r="I177" s="33" t="s">
        <v>39</v>
      </c>
      <c r="J177" s="23">
        <v>54462474</v>
      </c>
      <c r="K177" s="23" t="s">
        <v>2874</v>
      </c>
      <c r="L177" s="23" t="s">
        <v>2887</v>
      </c>
      <c r="M177" s="41">
        <v>149900</v>
      </c>
      <c r="N177" s="71">
        <v>0.7</v>
      </c>
      <c r="O177" s="75">
        <f t="shared" si="11"/>
        <v>44970</v>
      </c>
      <c r="P177" s="35" t="str">
        <f t="shared" si="13"/>
        <v>PERCENTAGE</v>
      </c>
    </row>
    <row r="178" spans="1:16" x14ac:dyDescent="0.35">
      <c r="A178" s="14" t="str">
        <f t="shared" si="12"/>
        <v>2025 JAN-JUN D70%</v>
      </c>
      <c r="B178" s="34">
        <f t="shared" si="14"/>
        <v>46104</v>
      </c>
      <c r="C178" s="34">
        <f t="shared" si="15"/>
        <v>46113</v>
      </c>
      <c r="D178" s="33">
        <v>3321</v>
      </c>
      <c r="E178" s="14">
        <v>337</v>
      </c>
      <c r="F178" s="14">
        <v>4</v>
      </c>
      <c r="G178" s="24">
        <v>1</v>
      </c>
      <c r="H178" s="24">
        <v>81676</v>
      </c>
      <c r="I178" s="33" t="s">
        <v>39</v>
      </c>
      <c r="J178" s="23">
        <v>54462483</v>
      </c>
      <c r="K178" s="23" t="s">
        <v>2874</v>
      </c>
      <c r="L178" s="23" t="s">
        <v>2880</v>
      </c>
      <c r="M178" s="41">
        <v>149900</v>
      </c>
      <c r="N178" s="71">
        <v>0.7</v>
      </c>
      <c r="O178" s="75">
        <f t="shared" si="11"/>
        <v>44970</v>
      </c>
      <c r="P178" s="35" t="str">
        <f t="shared" si="13"/>
        <v>PERCENTAGE</v>
      </c>
    </row>
    <row r="179" spans="1:16" x14ac:dyDescent="0.35">
      <c r="A179" s="14" t="str">
        <f t="shared" si="12"/>
        <v>2025 JAN-JUN D70%</v>
      </c>
      <c r="B179" s="34">
        <f t="shared" si="14"/>
        <v>46104</v>
      </c>
      <c r="C179" s="34">
        <f t="shared" si="15"/>
        <v>46113</v>
      </c>
      <c r="D179" s="33">
        <v>3321</v>
      </c>
      <c r="E179" s="14">
        <v>337</v>
      </c>
      <c r="F179" s="14">
        <v>4</v>
      </c>
      <c r="G179" s="24">
        <v>1</v>
      </c>
      <c r="H179" s="24">
        <v>81676</v>
      </c>
      <c r="I179" s="33" t="s">
        <v>39</v>
      </c>
      <c r="J179" s="23">
        <v>54462492</v>
      </c>
      <c r="K179" s="23" t="s">
        <v>2874</v>
      </c>
      <c r="L179" s="23" t="s">
        <v>2875</v>
      </c>
      <c r="M179" s="41">
        <v>149900</v>
      </c>
      <c r="N179" s="71">
        <v>0.7</v>
      </c>
      <c r="O179" s="75">
        <f t="shared" si="11"/>
        <v>44970</v>
      </c>
      <c r="P179" s="35" t="str">
        <f t="shared" si="13"/>
        <v>PERCENTAGE</v>
      </c>
    </row>
    <row r="180" spans="1:16" x14ac:dyDescent="0.35">
      <c r="A180" s="14" t="str">
        <f t="shared" si="12"/>
        <v>2025 JAN-JUN D70%</v>
      </c>
      <c r="B180" s="34">
        <f t="shared" si="14"/>
        <v>46104</v>
      </c>
      <c r="C180" s="34">
        <f t="shared" si="15"/>
        <v>46113</v>
      </c>
      <c r="D180" s="33">
        <v>3321</v>
      </c>
      <c r="E180" s="14">
        <v>337</v>
      </c>
      <c r="F180" s="14">
        <v>4</v>
      </c>
      <c r="G180" s="24">
        <v>1</v>
      </c>
      <c r="H180" s="24">
        <v>81676</v>
      </c>
      <c r="I180" s="33" t="s">
        <v>39</v>
      </c>
      <c r="J180" s="23">
        <v>54462509</v>
      </c>
      <c r="K180" s="23" t="s">
        <v>2874</v>
      </c>
      <c r="L180" s="23" t="s">
        <v>2882</v>
      </c>
      <c r="M180" s="41">
        <v>149900</v>
      </c>
      <c r="N180" s="71">
        <v>0.7</v>
      </c>
      <c r="O180" s="75">
        <f t="shared" si="11"/>
        <v>44970</v>
      </c>
      <c r="P180" s="35" t="str">
        <f t="shared" si="13"/>
        <v>PERCENTAGE</v>
      </c>
    </row>
    <row r="181" spans="1:16" x14ac:dyDescent="0.35">
      <c r="A181" s="14" t="str">
        <f t="shared" si="12"/>
        <v>2025 JAN-JUN D70%</v>
      </c>
      <c r="B181" s="34">
        <f t="shared" si="14"/>
        <v>46104</v>
      </c>
      <c r="C181" s="34">
        <f t="shared" si="15"/>
        <v>46113</v>
      </c>
      <c r="D181" s="33">
        <v>3321</v>
      </c>
      <c r="E181" s="14">
        <v>337</v>
      </c>
      <c r="F181" s="14">
        <v>4</v>
      </c>
      <c r="G181" s="24">
        <v>1</v>
      </c>
      <c r="H181" s="24">
        <v>81676</v>
      </c>
      <c r="I181" s="33" t="s">
        <v>39</v>
      </c>
      <c r="J181" s="23">
        <v>54462518</v>
      </c>
      <c r="K181" s="23" t="s">
        <v>2874</v>
      </c>
      <c r="L181" s="23" t="s">
        <v>2885</v>
      </c>
      <c r="M181" s="41">
        <v>149900</v>
      </c>
      <c r="N181" s="71">
        <v>0.7</v>
      </c>
      <c r="O181" s="75">
        <f t="shared" si="11"/>
        <v>44970</v>
      </c>
      <c r="P181" s="35" t="str">
        <f t="shared" si="13"/>
        <v>PERCENTAGE</v>
      </c>
    </row>
    <row r="182" spans="1:16" x14ac:dyDescent="0.35">
      <c r="A182" s="14" t="str">
        <f t="shared" si="12"/>
        <v>2025 JAN-JUN D70%</v>
      </c>
      <c r="B182" s="34">
        <f t="shared" si="14"/>
        <v>46104</v>
      </c>
      <c r="C182" s="34">
        <f t="shared" si="15"/>
        <v>46113</v>
      </c>
      <c r="D182" s="33">
        <v>3321</v>
      </c>
      <c r="E182" s="14">
        <v>337</v>
      </c>
      <c r="F182" s="14">
        <v>4</v>
      </c>
      <c r="G182" s="24">
        <v>1</v>
      </c>
      <c r="H182" s="24">
        <v>81676</v>
      </c>
      <c r="I182" s="33" t="s">
        <v>39</v>
      </c>
      <c r="J182" s="23">
        <v>54462527</v>
      </c>
      <c r="K182" s="23" t="s">
        <v>2874</v>
      </c>
      <c r="L182" s="23" t="s">
        <v>2879</v>
      </c>
      <c r="M182" s="41">
        <v>149900</v>
      </c>
      <c r="N182" s="71">
        <v>0.7</v>
      </c>
      <c r="O182" s="75">
        <f t="shared" si="11"/>
        <v>44970</v>
      </c>
      <c r="P182" s="35" t="str">
        <f t="shared" si="13"/>
        <v>PERCENTAGE</v>
      </c>
    </row>
    <row r="183" spans="1:16" x14ac:dyDescent="0.35">
      <c r="A183" s="14" t="str">
        <f t="shared" si="12"/>
        <v>2025 JAN-JUN D70%</v>
      </c>
      <c r="B183" s="34">
        <f t="shared" si="14"/>
        <v>46104</v>
      </c>
      <c r="C183" s="34">
        <f t="shared" si="15"/>
        <v>46113</v>
      </c>
      <c r="D183" s="33">
        <v>3321</v>
      </c>
      <c r="E183" s="14">
        <v>337</v>
      </c>
      <c r="F183" s="14">
        <v>4</v>
      </c>
      <c r="G183" s="24">
        <v>1</v>
      </c>
      <c r="H183" s="24">
        <v>81676</v>
      </c>
      <c r="I183" s="33" t="s">
        <v>39</v>
      </c>
      <c r="J183" s="23">
        <v>54462410</v>
      </c>
      <c r="K183" s="23" t="s">
        <v>2876</v>
      </c>
      <c r="L183" s="23" t="s">
        <v>2881</v>
      </c>
      <c r="M183" s="41">
        <v>149900</v>
      </c>
      <c r="N183" s="71">
        <v>0.7</v>
      </c>
      <c r="O183" s="75">
        <f t="shared" si="11"/>
        <v>44970</v>
      </c>
      <c r="P183" s="35" t="str">
        <f t="shared" si="13"/>
        <v>PERCENTAGE</v>
      </c>
    </row>
    <row r="184" spans="1:16" x14ac:dyDescent="0.35">
      <c r="A184" s="14" t="str">
        <f t="shared" si="12"/>
        <v>2025 JAN-JUN D70%</v>
      </c>
      <c r="B184" s="34">
        <f t="shared" si="14"/>
        <v>46104</v>
      </c>
      <c r="C184" s="34">
        <f t="shared" si="15"/>
        <v>46113</v>
      </c>
      <c r="D184" s="33">
        <v>3321</v>
      </c>
      <c r="E184" s="14">
        <v>337</v>
      </c>
      <c r="F184" s="14">
        <v>4</v>
      </c>
      <c r="G184" s="24">
        <v>1</v>
      </c>
      <c r="H184" s="24">
        <v>81676</v>
      </c>
      <c r="I184" s="33" t="s">
        <v>39</v>
      </c>
      <c r="J184" s="23">
        <v>54462429</v>
      </c>
      <c r="K184" s="23" t="s">
        <v>2876</v>
      </c>
      <c r="L184" s="23" t="s">
        <v>2883</v>
      </c>
      <c r="M184" s="41">
        <v>149900</v>
      </c>
      <c r="N184" s="71">
        <v>0.7</v>
      </c>
      <c r="O184" s="75">
        <f t="shared" si="11"/>
        <v>44970</v>
      </c>
      <c r="P184" s="35" t="str">
        <f t="shared" si="13"/>
        <v>PERCENTAGE</v>
      </c>
    </row>
    <row r="185" spans="1:16" x14ac:dyDescent="0.35">
      <c r="A185" s="14" t="str">
        <f t="shared" si="12"/>
        <v>2025 JAN-JUN D70%</v>
      </c>
      <c r="B185" s="34">
        <f t="shared" si="14"/>
        <v>46104</v>
      </c>
      <c r="C185" s="34">
        <f t="shared" si="15"/>
        <v>46113</v>
      </c>
      <c r="D185" s="33">
        <v>3321</v>
      </c>
      <c r="E185" s="14">
        <v>337</v>
      </c>
      <c r="F185" s="14">
        <v>4</v>
      </c>
      <c r="G185" s="24">
        <v>1</v>
      </c>
      <c r="H185" s="24">
        <v>81676</v>
      </c>
      <c r="I185" s="33" t="s">
        <v>39</v>
      </c>
      <c r="J185" s="23">
        <v>54462438</v>
      </c>
      <c r="K185" s="23" t="s">
        <v>2876</v>
      </c>
      <c r="L185" s="23" t="s">
        <v>2877</v>
      </c>
      <c r="M185" s="41">
        <v>149900</v>
      </c>
      <c r="N185" s="71">
        <v>0.7</v>
      </c>
      <c r="O185" s="75">
        <f t="shared" si="11"/>
        <v>44970</v>
      </c>
      <c r="P185" s="35" t="str">
        <f t="shared" si="13"/>
        <v>PERCENTAGE</v>
      </c>
    </row>
    <row r="186" spans="1:16" x14ac:dyDescent="0.35">
      <c r="A186" s="14" t="str">
        <f t="shared" si="12"/>
        <v>2025 JAN-JUN D70%</v>
      </c>
      <c r="B186" s="34">
        <f t="shared" si="14"/>
        <v>46104</v>
      </c>
      <c r="C186" s="34">
        <f t="shared" si="15"/>
        <v>46113</v>
      </c>
      <c r="D186" s="33">
        <v>3321</v>
      </c>
      <c r="E186" s="14">
        <v>337</v>
      </c>
      <c r="F186" s="14">
        <v>4</v>
      </c>
      <c r="G186" s="24">
        <v>1</v>
      </c>
      <c r="H186" s="24">
        <v>81676</v>
      </c>
      <c r="I186" s="33" t="s">
        <v>39</v>
      </c>
      <c r="J186" s="23">
        <v>54462447</v>
      </c>
      <c r="K186" s="23" t="s">
        <v>2876</v>
      </c>
      <c r="L186" s="23" t="s">
        <v>2884</v>
      </c>
      <c r="M186" s="41">
        <v>149900</v>
      </c>
      <c r="N186" s="71">
        <v>0.7</v>
      </c>
      <c r="O186" s="75">
        <f t="shared" si="11"/>
        <v>44970</v>
      </c>
      <c r="P186" s="35" t="str">
        <f t="shared" si="13"/>
        <v>PERCENTAGE</v>
      </c>
    </row>
    <row r="187" spans="1:16" x14ac:dyDescent="0.35">
      <c r="A187" s="14" t="str">
        <f t="shared" si="12"/>
        <v>2025 JAN-JUN D70%</v>
      </c>
      <c r="B187" s="34">
        <f t="shared" si="14"/>
        <v>46104</v>
      </c>
      <c r="C187" s="34">
        <f t="shared" si="15"/>
        <v>46113</v>
      </c>
      <c r="D187" s="33">
        <v>3321</v>
      </c>
      <c r="E187" s="14">
        <v>337</v>
      </c>
      <c r="F187" s="14">
        <v>4</v>
      </c>
      <c r="G187" s="24">
        <v>1</v>
      </c>
      <c r="H187" s="24">
        <v>81676</v>
      </c>
      <c r="I187" s="33" t="s">
        <v>39</v>
      </c>
      <c r="J187" s="23">
        <v>54462456</v>
      </c>
      <c r="K187" s="23" t="s">
        <v>2876</v>
      </c>
      <c r="L187" s="23" t="s">
        <v>2886</v>
      </c>
      <c r="M187" s="41">
        <v>149900</v>
      </c>
      <c r="N187" s="71">
        <v>0.7</v>
      </c>
      <c r="O187" s="75">
        <f t="shared" si="11"/>
        <v>44970</v>
      </c>
      <c r="P187" s="35" t="str">
        <f t="shared" si="13"/>
        <v>PERCENTAGE</v>
      </c>
    </row>
    <row r="188" spans="1:16" x14ac:dyDescent="0.35">
      <c r="A188" s="14" t="str">
        <f t="shared" si="12"/>
        <v>2025 JAN-JUN D70%</v>
      </c>
      <c r="B188" s="34">
        <f t="shared" si="14"/>
        <v>46104</v>
      </c>
      <c r="C188" s="34">
        <f t="shared" si="15"/>
        <v>46113</v>
      </c>
      <c r="D188" s="33">
        <v>3321</v>
      </c>
      <c r="E188" s="14">
        <v>337</v>
      </c>
      <c r="F188" s="14">
        <v>4</v>
      </c>
      <c r="G188" s="24">
        <v>1</v>
      </c>
      <c r="H188" s="24">
        <v>81676</v>
      </c>
      <c r="I188" s="33" t="s">
        <v>39</v>
      </c>
      <c r="J188" s="23">
        <v>54462465</v>
      </c>
      <c r="K188" s="23" t="s">
        <v>2876</v>
      </c>
      <c r="L188" s="23" t="s">
        <v>2878</v>
      </c>
      <c r="M188" s="41">
        <v>149900</v>
      </c>
      <c r="N188" s="71">
        <v>0.7</v>
      </c>
      <c r="O188" s="75">
        <f t="shared" si="11"/>
        <v>44970</v>
      </c>
      <c r="P188" s="35" t="str">
        <f t="shared" si="13"/>
        <v>PERCENTAGE</v>
      </c>
    </row>
    <row r="189" spans="1:16" x14ac:dyDescent="0.35">
      <c r="A189" s="14" t="str">
        <f t="shared" si="12"/>
        <v>2025 JAN-JUN D70%</v>
      </c>
      <c r="B189" s="34">
        <f t="shared" si="14"/>
        <v>46104</v>
      </c>
      <c r="C189" s="34">
        <f t="shared" si="15"/>
        <v>46113</v>
      </c>
      <c r="D189" s="33">
        <v>3321</v>
      </c>
      <c r="E189" s="14">
        <v>337</v>
      </c>
      <c r="F189" s="14">
        <v>4</v>
      </c>
      <c r="G189" s="24">
        <v>3</v>
      </c>
      <c r="H189" s="24">
        <v>81005</v>
      </c>
      <c r="I189" s="33" t="s">
        <v>39</v>
      </c>
      <c r="J189" s="23">
        <v>54391176</v>
      </c>
      <c r="K189" s="23" t="s">
        <v>2864</v>
      </c>
      <c r="L189" s="23" t="s">
        <v>2868</v>
      </c>
      <c r="M189" s="41">
        <v>229900</v>
      </c>
      <c r="N189" s="71">
        <v>0.7</v>
      </c>
      <c r="O189" s="75">
        <f t="shared" si="11"/>
        <v>68970</v>
      </c>
      <c r="P189" s="35" t="str">
        <f t="shared" si="13"/>
        <v>PERCENTAGE</v>
      </c>
    </row>
    <row r="190" spans="1:16" x14ac:dyDescent="0.35">
      <c r="A190" s="14" t="str">
        <f t="shared" si="12"/>
        <v>2025 JAN-JUN D70%</v>
      </c>
      <c r="B190" s="34">
        <f t="shared" si="14"/>
        <v>46104</v>
      </c>
      <c r="C190" s="34">
        <f t="shared" si="15"/>
        <v>46113</v>
      </c>
      <c r="D190" s="33">
        <v>3321</v>
      </c>
      <c r="E190" s="14">
        <v>337</v>
      </c>
      <c r="F190" s="14">
        <v>4</v>
      </c>
      <c r="G190" s="24">
        <v>3</v>
      </c>
      <c r="H190" s="24">
        <v>81005</v>
      </c>
      <c r="I190" s="33" t="s">
        <v>39</v>
      </c>
      <c r="J190" s="23">
        <v>54391185</v>
      </c>
      <c r="K190" s="23" t="s">
        <v>2864</v>
      </c>
      <c r="L190" s="23" t="s">
        <v>2865</v>
      </c>
      <c r="M190" s="41">
        <v>229900</v>
      </c>
      <c r="N190" s="71">
        <v>0.7</v>
      </c>
      <c r="O190" s="75">
        <f t="shared" si="11"/>
        <v>68970</v>
      </c>
      <c r="P190" s="35" t="str">
        <f t="shared" si="13"/>
        <v>PERCENTAGE</v>
      </c>
    </row>
    <row r="191" spans="1:16" x14ac:dyDescent="0.35">
      <c r="A191" s="14" t="str">
        <f t="shared" si="12"/>
        <v>2025 JAN-JUN D70%</v>
      </c>
      <c r="B191" s="34">
        <f t="shared" si="14"/>
        <v>46104</v>
      </c>
      <c r="C191" s="34">
        <f t="shared" si="15"/>
        <v>46113</v>
      </c>
      <c r="D191" s="33">
        <v>3321</v>
      </c>
      <c r="E191" s="14">
        <v>337</v>
      </c>
      <c r="F191" s="14">
        <v>4</v>
      </c>
      <c r="G191" s="24">
        <v>3</v>
      </c>
      <c r="H191" s="24">
        <v>81005</v>
      </c>
      <c r="I191" s="33" t="s">
        <v>39</v>
      </c>
      <c r="J191" s="23">
        <v>54391194</v>
      </c>
      <c r="K191" s="23" t="s">
        <v>2864</v>
      </c>
      <c r="L191" s="23" t="s">
        <v>2866</v>
      </c>
      <c r="M191" s="41">
        <v>229900</v>
      </c>
      <c r="N191" s="71">
        <v>0.7</v>
      </c>
      <c r="O191" s="75">
        <f t="shared" si="11"/>
        <v>68970</v>
      </c>
      <c r="P191" s="35" t="str">
        <f t="shared" si="13"/>
        <v>PERCENTAGE</v>
      </c>
    </row>
    <row r="192" spans="1:16" x14ac:dyDescent="0.35">
      <c r="A192" s="14" t="str">
        <f t="shared" si="12"/>
        <v>2025 JAN-JUN D70%</v>
      </c>
      <c r="B192" s="34">
        <f t="shared" si="14"/>
        <v>46104</v>
      </c>
      <c r="C192" s="34">
        <f t="shared" si="15"/>
        <v>46113</v>
      </c>
      <c r="D192" s="33">
        <v>3321</v>
      </c>
      <c r="E192" s="14">
        <v>337</v>
      </c>
      <c r="F192" s="14">
        <v>4</v>
      </c>
      <c r="G192" s="24">
        <v>3</v>
      </c>
      <c r="H192" s="24">
        <v>81005</v>
      </c>
      <c r="I192" s="33" t="s">
        <v>39</v>
      </c>
      <c r="J192" s="23">
        <v>54391201</v>
      </c>
      <c r="K192" s="23" t="s">
        <v>2864</v>
      </c>
      <c r="L192" s="23" t="s">
        <v>2867</v>
      </c>
      <c r="M192" s="41">
        <v>229900</v>
      </c>
      <c r="N192" s="71">
        <v>0.7</v>
      </c>
      <c r="O192" s="75">
        <f t="shared" si="11"/>
        <v>68970</v>
      </c>
      <c r="P192" s="35" t="str">
        <f t="shared" si="13"/>
        <v>PERCENTAGE</v>
      </c>
    </row>
    <row r="193" spans="1:16" x14ac:dyDescent="0.35">
      <c r="A193" s="14" t="str">
        <f t="shared" si="12"/>
        <v>2025 JAN-JUN D70%</v>
      </c>
      <c r="B193" s="34">
        <f t="shared" si="14"/>
        <v>46104</v>
      </c>
      <c r="C193" s="34">
        <f t="shared" si="15"/>
        <v>46113</v>
      </c>
      <c r="D193" s="33">
        <v>3321</v>
      </c>
      <c r="E193" s="14">
        <v>337</v>
      </c>
      <c r="F193" s="14">
        <v>4</v>
      </c>
      <c r="G193" s="24">
        <v>5</v>
      </c>
      <c r="H193" s="24">
        <v>81005</v>
      </c>
      <c r="I193" s="33" t="s">
        <v>39</v>
      </c>
      <c r="J193" s="23">
        <v>54391336</v>
      </c>
      <c r="K193" s="23" t="s">
        <v>2869</v>
      </c>
      <c r="L193" s="23" t="s">
        <v>2871</v>
      </c>
      <c r="M193" s="41">
        <v>299900</v>
      </c>
      <c r="N193" s="71">
        <v>0.7</v>
      </c>
      <c r="O193" s="75">
        <f t="shared" si="11"/>
        <v>89970</v>
      </c>
      <c r="P193" s="35" t="str">
        <f t="shared" si="13"/>
        <v>PERCENTAGE</v>
      </c>
    </row>
    <row r="194" spans="1:16" x14ac:dyDescent="0.35">
      <c r="A194" s="14" t="str">
        <f t="shared" si="12"/>
        <v>2025 JAN-JUN D70%</v>
      </c>
      <c r="B194" s="34">
        <f t="shared" si="14"/>
        <v>46104</v>
      </c>
      <c r="C194" s="34">
        <f t="shared" si="15"/>
        <v>46113</v>
      </c>
      <c r="D194" s="33">
        <v>3321</v>
      </c>
      <c r="E194" s="14">
        <v>337</v>
      </c>
      <c r="F194" s="14">
        <v>4</v>
      </c>
      <c r="G194" s="24">
        <v>5</v>
      </c>
      <c r="H194" s="24">
        <v>81005</v>
      </c>
      <c r="I194" s="33" t="s">
        <v>39</v>
      </c>
      <c r="J194" s="23">
        <v>54391345</v>
      </c>
      <c r="K194" s="23" t="s">
        <v>2869</v>
      </c>
      <c r="L194" s="23" t="s">
        <v>2870</v>
      </c>
      <c r="M194" s="41">
        <v>299900</v>
      </c>
      <c r="N194" s="71">
        <v>0.7</v>
      </c>
      <c r="O194" s="75">
        <f t="shared" si="11"/>
        <v>89970</v>
      </c>
      <c r="P194" s="35" t="str">
        <f t="shared" si="13"/>
        <v>PERCENTAGE</v>
      </c>
    </row>
    <row r="195" spans="1:16" x14ac:dyDescent="0.35">
      <c r="A195" s="14" t="str">
        <f t="shared" si="12"/>
        <v>2025 JAN-JUN D70%</v>
      </c>
      <c r="B195" s="34">
        <f t="shared" si="14"/>
        <v>46104</v>
      </c>
      <c r="C195" s="34">
        <f t="shared" si="15"/>
        <v>46113</v>
      </c>
      <c r="D195" s="33">
        <v>3321</v>
      </c>
      <c r="E195" s="14">
        <v>337</v>
      </c>
      <c r="F195" s="14">
        <v>4</v>
      </c>
      <c r="G195" s="24">
        <v>5</v>
      </c>
      <c r="H195" s="24">
        <v>81005</v>
      </c>
      <c r="I195" s="33" t="s">
        <v>39</v>
      </c>
      <c r="J195" s="23">
        <v>54391354</v>
      </c>
      <c r="K195" s="23" t="s">
        <v>2869</v>
      </c>
      <c r="L195" s="23" t="s">
        <v>2872</v>
      </c>
      <c r="M195" s="41">
        <v>299900</v>
      </c>
      <c r="N195" s="71">
        <v>0.7</v>
      </c>
      <c r="O195" s="75">
        <f t="shared" ref="O195:O208" si="16">M195-((70*M195)/100)</f>
        <v>89970</v>
      </c>
      <c r="P195" s="35" t="str">
        <f t="shared" si="13"/>
        <v>PERCENTAGE</v>
      </c>
    </row>
    <row r="196" spans="1:16" x14ac:dyDescent="0.35">
      <c r="A196" s="14" t="str">
        <f t="shared" ref="A196:C208" si="17">A195</f>
        <v>2025 JAN-JUN D70%</v>
      </c>
      <c r="B196" s="34">
        <f t="shared" si="14"/>
        <v>46104</v>
      </c>
      <c r="C196" s="34">
        <f t="shared" si="15"/>
        <v>46113</v>
      </c>
      <c r="D196" s="33">
        <v>3321</v>
      </c>
      <c r="E196" s="14">
        <v>337</v>
      </c>
      <c r="F196" s="14">
        <v>4</v>
      </c>
      <c r="G196" s="24">
        <v>5</v>
      </c>
      <c r="H196" s="24">
        <v>81005</v>
      </c>
      <c r="I196" s="33" t="s">
        <v>39</v>
      </c>
      <c r="J196" s="23">
        <v>54391363</v>
      </c>
      <c r="K196" s="23" t="s">
        <v>2869</v>
      </c>
      <c r="L196" s="23" t="s">
        <v>2873</v>
      </c>
      <c r="M196" s="41">
        <v>299900</v>
      </c>
      <c r="N196" s="71">
        <v>0.7</v>
      </c>
      <c r="O196" s="75">
        <f t="shared" si="16"/>
        <v>89970</v>
      </c>
      <c r="P196" s="35" t="str">
        <f t="shared" ref="P196:P208" si="18">P195</f>
        <v>PERCENTAGE</v>
      </c>
    </row>
    <row r="197" spans="1:16" x14ac:dyDescent="0.35">
      <c r="A197" s="14" t="str">
        <f t="shared" si="17"/>
        <v>2025 JAN-JUN D70%</v>
      </c>
      <c r="B197" s="34">
        <f t="shared" si="14"/>
        <v>46104</v>
      </c>
      <c r="C197" s="34">
        <f t="shared" si="15"/>
        <v>46113</v>
      </c>
      <c r="D197" s="33">
        <v>3321</v>
      </c>
      <c r="E197" s="14">
        <v>337</v>
      </c>
      <c r="F197" s="14">
        <v>4</v>
      </c>
      <c r="G197" s="24">
        <v>1</v>
      </c>
      <c r="H197" s="24">
        <v>81462</v>
      </c>
      <c r="I197" s="33" t="s">
        <v>39</v>
      </c>
      <c r="J197" s="23">
        <v>54391130</v>
      </c>
      <c r="K197" s="23" t="s">
        <v>3109</v>
      </c>
      <c r="L197" s="23" t="s">
        <v>3110</v>
      </c>
      <c r="M197" s="41">
        <v>119900</v>
      </c>
      <c r="N197" s="71">
        <v>0.7</v>
      </c>
      <c r="O197" s="75">
        <f t="shared" si="16"/>
        <v>35970</v>
      </c>
      <c r="P197" s="35" t="str">
        <f t="shared" si="18"/>
        <v>PERCENTAGE</v>
      </c>
    </row>
    <row r="198" spans="1:16" x14ac:dyDescent="0.35">
      <c r="A198" s="14" t="str">
        <f t="shared" si="17"/>
        <v>2025 JAN-JUN D70%</v>
      </c>
      <c r="B198" s="34">
        <f t="shared" si="17"/>
        <v>46104</v>
      </c>
      <c r="C198" s="34">
        <f t="shared" si="17"/>
        <v>46113</v>
      </c>
      <c r="D198" s="33">
        <v>3321</v>
      </c>
      <c r="E198" s="14">
        <v>337</v>
      </c>
      <c r="F198" s="14">
        <v>4</v>
      </c>
      <c r="G198" s="24">
        <v>1</v>
      </c>
      <c r="H198" s="24">
        <v>81462</v>
      </c>
      <c r="I198" s="33" t="s">
        <v>39</v>
      </c>
      <c r="J198" s="23">
        <v>54391149</v>
      </c>
      <c r="K198" s="23" t="s">
        <v>3109</v>
      </c>
      <c r="L198" s="23" t="s">
        <v>3111</v>
      </c>
      <c r="M198" s="41">
        <v>119900</v>
      </c>
      <c r="N198" s="71">
        <v>0.7</v>
      </c>
      <c r="O198" s="75">
        <f t="shared" si="16"/>
        <v>35970</v>
      </c>
      <c r="P198" s="35" t="str">
        <f t="shared" si="18"/>
        <v>PERCENTAGE</v>
      </c>
    </row>
    <row r="199" spans="1:16" x14ac:dyDescent="0.35">
      <c r="A199" s="14" t="str">
        <f t="shared" si="17"/>
        <v>2025 JAN-JUN D70%</v>
      </c>
      <c r="B199" s="34">
        <f t="shared" si="17"/>
        <v>46104</v>
      </c>
      <c r="C199" s="34">
        <f t="shared" si="17"/>
        <v>46113</v>
      </c>
      <c r="D199" s="33">
        <v>3321</v>
      </c>
      <c r="E199" s="14">
        <v>337</v>
      </c>
      <c r="F199" s="14">
        <v>4</v>
      </c>
      <c r="G199" s="24">
        <v>1</v>
      </c>
      <c r="H199" s="24">
        <v>81462</v>
      </c>
      <c r="I199" s="33" t="s">
        <v>39</v>
      </c>
      <c r="J199" s="23">
        <v>54391158</v>
      </c>
      <c r="K199" s="23" t="s">
        <v>3109</v>
      </c>
      <c r="L199" s="23" t="s">
        <v>3112</v>
      </c>
      <c r="M199" s="41">
        <v>119900</v>
      </c>
      <c r="N199" s="71">
        <v>0.7</v>
      </c>
      <c r="O199" s="75">
        <f t="shared" si="16"/>
        <v>35970</v>
      </c>
      <c r="P199" s="35" t="str">
        <f t="shared" si="18"/>
        <v>PERCENTAGE</v>
      </c>
    </row>
    <row r="200" spans="1:16" x14ac:dyDescent="0.35">
      <c r="A200" s="14" t="str">
        <f t="shared" si="17"/>
        <v>2025 JAN-JUN D70%</v>
      </c>
      <c r="B200" s="34">
        <f t="shared" si="17"/>
        <v>46104</v>
      </c>
      <c r="C200" s="34">
        <f t="shared" si="17"/>
        <v>46113</v>
      </c>
      <c r="D200" s="33">
        <v>3321</v>
      </c>
      <c r="E200" s="14">
        <v>337</v>
      </c>
      <c r="F200" s="14">
        <v>4</v>
      </c>
      <c r="G200" s="24">
        <v>1</v>
      </c>
      <c r="H200" s="24">
        <v>81462</v>
      </c>
      <c r="I200" s="33" t="s">
        <v>39</v>
      </c>
      <c r="J200" s="23">
        <v>54391167</v>
      </c>
      <c r="K200" s="23" t="s">
        <v>3109</v>
      </c>
      <c r="L200" s="23" t="s">
        <v>3113</v>
      </c>
      <c r="M200" s="41">
        <v>119900</v>
      </c>
      <c r="N200" s="71">
        <v>0.7</v>
      </c>
      <c r="O200" s="75">
        <f t="shared" si="16"/>
        <v>35970</v>
      </c>
      <c r="P200" s="35" t="str">
        <f t="shared" si="18"/>
        <v>PERCENTAGE</v>
      </c>
    </row>
    <row r="201" spans="1:16" x14ac:dyDescent="0.35">
      <c r="A201" s="14" t="str">
        <f t="shared" si="17"/>
        <v>2025 JAN-JUN D70%</v>
      </c>
      <c r="B201" s="34">
        <f t="shared" si="17"/>
        <v>46104</v>
      </c>
      <c r="C201" s="34">
        <f t="shared" si="17"/>
        <v>46113</v>
      </c>
      <c r="D201" s="33">
        <v>3321</v>
      </c>
      <c r="E201" s="14">
        <v>337</v>
      </c>
      <c r="F201" s="14">
        <v>4</v>
      </c>
      <c r="G201" s="24">
        <v>1</v>
      </c>
      <c r="H201" s="24">
        <v>81462</v>
      </c>
      <c r="I201" s="33" t="s">
        <v>39</v>
      </c>
      <c r="J201" s="23">
        <v>54391096</v>
      </c>
      <c r="K201" s="23" t="s">
        <v>3114</v>
      </c>
      <c r="L201" s="23" t="s">
        <v>3115</v>
      </c>
      <c r="M201" s="41">
        <v>119900</v>
      </c>
      <c r="N201" s="71">
        <v>0.7</v>
      </c>
      <c r="O201" s="75">
        <f t="shared" si="16"/>
        <v>35970</v>
      </c>
      <c r="P201" s="35" t="str">
        <f t="shared" si="18"/>
        <v>PERCENTAGE</v>
      </c>
    </row>
    <row r="202" spans="1:16" x14ac:dyDescent="0.35">
      <c r="A202" s="14" t="str">
        <f t="shared" si="17"/>
        <v>2025 JAN-JUN D70%</v>
      </c>
      <c r="B202" s="34">
        <f t="shared" si="17"/>
        <v>46104</v>
      </c>
      <c r="C202" s="34">
        <f t="shared" si="17"/>
        <v>46113</v>
      </c>
      <c r="D202" s="33">
        <v>3321</v>
      </c>
      <c r="E202" s="14">
        <v>337</v>
      </c>
      <c r="F202" s="14">
        <v>4</v>
      </c>
      <c r="G202" s="24">
        <v>1</v>
      </c>
      <c r="H202" s="24">
        <v>81462</v>
      </c>
      <c r="I202" s="33" t="s">
        <v>39</v>
      </c>
      <c r="J202" s="23">
        <v>54391103</v>
      </c>
      <c r="K202" s="23" t="s">
        <v>3114</v>
      </c>
      <c r="L202" s="23" t="s">
        <v>3116</v>
      </c>
      <c r="M202" s="41">
        <v>119900</v>
      </c>
      <c r="N202" s="71">
        <v>0.7</v>
      </c>
      <c r="O202" s="75">
        <f t="shared" si="16"/>
        <v>35970</v>
      </c>
      <c r="P202" s="35" t="str">
        <f t="shared" si="18"/>
        <v>PERCENTAGE</v>
      </c>
    </row>
    <row r="203" spans="1:16" x14ac:dyDescent="0.35">
      <c r="A203" s="14" t="str">
        <f t="shared" si="17"/>
        <v>2025 JAN-JUN D70%</v>
      </c>
      <c r="B203" s="34">
        <f t="shared" si="17"/>
        <v>46104</v>
      </c>
      <c r="C203" s="34">
        <f t="shared" si="17"/>
        <v>46113</v>
      </c>
      <c r="D203" s="33">
        <v>3321</v>
      </c>
      <c r="E203" s="14">
        <v>337</v>
      </c>
      <c r="F203" s="14">
        <v>4</v>
      </c>
      <c r="G203" s="24">
        <v>1</v>
      </c>
      <c r="H203" s="24">
        <v>81462</v>
      </c>
      <c r="I203" s="33" t="s">
        <v>39</v>
      </c>
      <c r="J203" s="23">
        <v>54391112</v>
      </c>
      <c r="K203" s="23" t="s">
        <v>3114</v>
      </c>
      <c r="L203" s="23" t="s">
        <v>3117</v>
      </c>
      <c r="M203" s="41">
        <v>119900</v>
      </c>
      <c r="N203" s="71">
        <v>0.7</v>
      </c>
      <c r="O203" s="75">
        <f t="shared" si="16"/>
        <v>35970</v>
      </c>
      <c r="P203" s="35" t="str">
        <f t="shared" si="18"/>
        <v>PERCENTAGE</v>
      </c>
    </row>
    <row r="204" spans="1:16" x14ac:dyDescent="0.35">
      <c r="A204" s="14" t="str">
        <f t="shared" si="17"/>
        <v>2025 JAN-JUN D70%</v>
      </c>
      <c r="B204" s="34">
        <f t="shared" si="17"/>
        <v>46104</v>
      </c>
      <c r="C204" s="34">
        <f t="shared" si="17"/>
        <v>46113</v>
      </c>
      <c r="D204" s="33">
        <v>3321</v>
      </c>
      <c r="E204" s="14">
        <v>337</v>
      </c>
      <c r="F204" s="14">
        <v>4</v>
      </c>
      <c r="G204" s="24">
        <v>1</v>
      </c>
      <c r="H204" s="24">
        <v>81462</v>
      </c>
      <c r="I204" s="33" t="s">
        <v>39</v>
      </c>
      <c r="J204" s="23">
        <v>54391121</v>
      </c>
      <c r="K204" s="23" t="s">
        <v>3114</v>
      </c>
      <c r="L204" s="23" t="s">
        <v>3118</v>
      </c>
      <c r="M204" s="41">
        <v>119900</v>
      </c>
      <c r="N204" s="71">
        <v>0.7</v>
      </c>
      <c r="O204" s="75">
        <f t="shared" si="16"/>
        <v>35970</v>
      </c>
      <c r="P204" s="35" t="str">
        <f t="shared" si="18"/>
        <v>PERCENTAGE</v>
      </c>
    </row>
    <row r="205" spans="1:16" x14ac:dyDescent="0.35">
      <c r="A205" s="14" t="str">
        <f t="shared" si="17"/>
        <v>2025 JAN-JUN D70%</v>
      </c>
      <c r="B205" s="34">
        <f t="shared" si="17"/>
        <v>46104</v>
      </c>
      <c r="C205" s="34">
        <f t="shared" si="17"/>
        <v>46113</v>
      </c>
      <c r="D205" s="33">
        <v>3321</v>
      </c>
      <c r="E205" s="14">
        <v>337</v>
      </c>
      <c r="F205" s="14">
        <v>4</v>
      </c>
      <c r="G205" s="24">
        <v>1</v>
      </c>
      <c r="H205" s="24">
        <v>81462</v>
      </c>
      <c r="I205" s="33" t="s">
        <v>39</v>
      </c>
      <c r="J205" s="23">
        <v>54462376</v>
      </c>
      <c r="K205" s="23" t="s">
        <v>3119</v>
      </c>
      <c r="L205" s="23" t="s">
        <v>3120</v>
      </c>
      <c r="M205" s="41">
        <v>119900</v>
      </c>
      <c r="N205" s="71">
        <v>0.7</v>
      </c>
      <c r="O205" s="75">
        <f t="shared" si="16"/>
        <v>35970</v>
      </c>
      <c r="P205" s="35" t="str">
        <f t="shared" si="18"/>
        <v>PERCENTAGE</v>
      </c>
    </row>
    <row r="206" spans="1:16" x14ac:dyDescent="0.35">
      <c r="A206" s="14" t="str">
        <f t="shared" si="17"/>
        <v>2025 JAN-JUN D70%</v>
      </c>
      <c r="B206" s="34">
        <f t="shared" si="17"/>
        <v>46104</v>
      </c>
      <c r="C206" s="34">
        <f t="shared" si="17"/>
        <v>46113</v>
      </c>
      <c r="D206" s="33">
        <v>3321</v>
      </c>
      <c r="E206" s="14">
        <v>337</v>
      </c>
      <c r="F206" s="14">
        <v>4</v>
      </c>
      <c r="G206" s="24">
        <v>1</v>
      </c>
      <c r="H206" s="24">
        <v>81462</v>
      </c>
      <c r="I206" s="33" t="s">
        <v>39</v>
      </c>
      <c r="J206" s="23">
        <v>54462385</v>
      </c>
      <c r="K206" s="23" t="s">
        <v>3119</v>
      </c>
      <c r="L206" s="23" t="s">
        <v>3121</v>
      </c>
      <c r="M206" s="41">
        <v>119900</v>
      </c>
      <c r="N206" s="71">
        <v>0.7</v>
      </c>
      <c r="O206" s="75">
        <f t="shared" si="16"/>
        <v>35970</v>
      </c>
      <c r="P206" s="35" t="str">
        <f t="shared" si="18"/>
        <v>PERCENTAGE</v>
      </c>
    </row>
    <row r="207" spans="1:16" x14ac:dyDescent="0.35">
      <c r="A207" s="14" t="str">
        <f t="shared" si="17"/>
        <v>2025 JAN-JUN D70%</v>
      </c>
      <c r="B207" s="34">
        <f t="shared" si="17"/>
        <v>46104</v>
      </c>
      <c r="C207" s="34">
        <f t="shared" si="17"/>
        <v>46113</v>
      </c>
      <c r="D207" s="33">
        <v>3321</v>
      </c>
      <c r="E207" s="14">
        <v>337</v>
      </c>
      <c r="F207" s="14">
        <v>4</v>
      </c>
      <c r="G207" s="24">
        <v>1</v>
      </c>
      <c r="H207" s="24">
        <v>81462</v>
      </c>
      <c r="I207" s="33" t="s">
        <v>39</v>
      </c>
      <c r="J207" s="23">
        <v>54462394</v>
      </c>
      <c r="K207" s="23" t="s">
        <v>3119</v>
      </c>
      <c r="L207" s="23" t="s">
        <v>3122</v>
      </c>
      <c r="M207" s="41">
        <v>119900</v>
      </c>
      <c r="N207" s="71">
        <v>0.7</v>
      </c>
      <c r="O207" s="75">
        <f t="shared" si="16"/>
        <v>35970</v>
      </c>
      <c r="P207" s="35" t="str">
        <f t="shared" si="18"/>
        <v>PERCENTAGE</v>
      </c>
    </row>
    <row r="208" spans="1:16" x14ac:dyDescent="0.35">
      <c r="A208" s="14" t="str">
        <f t="shared" si="17"/>
        <v>2025 JAN-JUN D70%</v>
      </c>
      <c r="B208" s="34">
        <f t="shared" si="17"/>
        <v>46104</v>
      </c>
      <c r="C208" s="34">
        <f t="shared" si="17"/>
        <v>46113</v>
      </c>
      <c r="D208" s="33">
        <v>3321</v>
      </c>
      <c r="E208" s="14">
        <v>337</v>
      </c>
      <c r="F208" s="14">
        <v>4</v>
      </c>
      <c r="G208" s="24">
        <v>1</v>
      </c>
      <c r="H208" s="24">
        <v>81462</v>
      </c>
      <c r="I208" s="33" t="s">
        <v>39</v>
      </c>
      <c r="J208" s="23">
        <v>54462401</v>
      </c>
      <c r="K208" s="23" t="s">
        <v>3119</v>
      </c>
      <c r="L208" s="23" t="s">
        <v>3123</v>
      </c>
      <c r="M208" s="41">
        <v>119900</v>
      </c>
      <c r="N208" s="71">
        <v>0.7</v>
      </c>
      <c r="O208" s="75">
        <f t="shared" si="16"/>
        <v>35970</v>
      </c>
      <c r="P208" s="35" t="str">
        <f t="shared" si="18"/>
        <v>PERCENTAGE</v>
      </c>
    </row>
  </sheetData>
  <phoneticPr fontId="8" type="noConversion"/>
  <conditionalFormatting sqref="J1:J1048576">
    <cfRule type="duplicateValues" dxfId="16" priority="1"/>
    <cfRule type="duplicateValues" dxfId="15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B650D-964D-44D1-8D04-1AF0AA8C841C}">
  <sheetPr>
    <tabColor rgb="FFFFFF00"/>
  </sheetPr>
  <dimension ref="A1:P512"/>
  <sheetViews>
    <sheetView topLeftCell="D1" zoomScale="72" zoomScaleNormal="100" workbookViewId="0">
      <pane ySplit="1" topLeftCell="A487" activePane="bottomLeft" state="frozen"/>
      <selection activeCell="I231" sqref="I231"/>
      <selection pane="bottomLeft" activeCell="I290" sqref="I290"/>
    </sheetView>
  </sheetViews>
  <sheetFormatPr defaultColWidth="8.7265625" defaultRowHeight="14.5" x14ac:dyDescent="0.35"/>
  <cols>
    <col min="1" max="1" width="24.81640625" style="32" customWidth="1"/>
    <col min="2" max="2" width="16.1796875" style="37" bestFit="1" customWidth="1"/>
    <col min="3" max="3" width="13.26953125" style="37" bestFit="1" customWidth="1"/>
    <col min="4" max="4" width="10" style="32" bestFit="1" customWidth="1"/>
    <col min="5" max="5" width="12.26953125" style="32" bestFit="1" customWidth="1"/>
    <col min="6" max="6" width="13.7265625" style="32" bestFit="1" customWidth="1"/>
    <col min="7" max="7" width="10.81640625" style="32" bestFit="1" customWidth="1"/>
    <col min="8" max="8" width="13.81640625" style="32" bestFit="1" customWidth="1"/>
    <col min="9" max="9" width="16.54296875" style="32" bestFit="1" customWidth="1"/>
    <col min="10" max="10" width="9.54296875" style="32" bestFit="1" customWidth="1"/>
    <col min="11" max="11" width="10.26953125" style="32" customWidth="1"/>
    <col min="12" max="12" width="80.81640625" style="19" customWidth="1"/>
    <col min="13" max="13" width="16.26953125" style="38" customWidth="1"/>
    <col min="14" max="14" width="11" style="5" customWidth="1"/>
    <col min="15" max="15" width="16.1796875" style="38" customWidth="1"/>
    <col min="16" max="16" width="16.1796875" style="32" customWidth="1"/>
    <col min="17" max="16384" width="8.7265625" style="32"/>
  </cols>
  <sheetData>
    <row r="1" spans="1:16" ht="30.75" customHeight="1" x14ac:dyDescent="0.35">
      <c r="A1" s="28" t="s">
        <v>0</v>
      </c>
      <c r="B1" s="29" t="s">
        <v>15</v>
      </c>
      <c r="C1" s="29" t="s">
        <v>11</v>
      </c>
      <c r="D1" s="28" t="s">
        <v>1</v>
      </c>
      <c r="E1" s="28" t="s">
        <v>2</v>
      </c>
      <c r="F1" s="28" t="s">
        <v>12</v>
      </c>
      <c r="G1" s="30" t="s">
        <v>3</v>
      </c>
      <c r="H1" s="30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31" t="s">
        <v>14</v>
      </c>
      <c r="N1" s="13" t="s">
        <v>8</v>
      </c>
      <c r="O1" s="31" t="s">
        <v>9</v>
      </c>
      <c r="P1" s="28" t="s">
        <v>10</v>
      </c>
    </row>
    <row r="2" spans="1:16" x14ac:dyDescent="0.35">
      <c r="A2" s="33" t="s">
        <v>3269</v>
      </c>
      <c r="B2" s="34">
        <v>46104</v>
      </c>
      <c r="C2" s="34">
        <v>46113</v>
      </c>
      <c r="D2" s="33">
        <v>3321</v>
      </c>
      <c r="E2" s="33">
        <v>337</v>
      </c>
      <c r="F2" s="33">
        <v>4</v>
      </c>
      <c r="G2" s="33">
        <v>1</v>
      </c>
      <c r="H2" s="33">
        <v>81421</v>
      </c>
      <c r="I2" s="33" t="s">
        <v>39</v>
      </c>
      <c r="J2" s="33">
        <v>15928526</v>
      </c>
      <c r="K2" s="33" t="s">
        <v>45</v>
      </c>
      <c r="L2" s="39" t="s">
        <v>46</v>
      </c>
      <c r="M2" s="35">
        <v>159900</v>
      </c>
      <c r="N2" s="71">
        <v>0.75</v>
      </c>
      <c r="O2" s="72">
        <f>M2-((75*M2)/100)</f>
        <v>39975</v>
      </c>
      <c r="P2" s="33" t="s">
        <v>16</v>
      </c>
    </row>
    <row r="3" spans="1:16" x14ac:dyDescent="0.35">
      <c r="A3" s="33" t="str">
        <f>A2</f>
        <v>2024 JAN-SEP DISC 75%</v>
      </c>
      <c r="B3" s="34">
        <f>B2</f>
        <v>46104</v>
      </c>
      <c r="C3" s="34">
        <f>C2</f>
        <v>46113</v>
      </c>
      <c r="D3" s="33">
        <v>3321</v>
      </c>
      <c r="E3" s="33">
        <v>337</v>
      </c>
      <c r="F3" s="33">
        <v>4</v>
      </c>
      <c r="G3" s="33">
        <v>1</v>
      </c>
      <c r="H3" s="33">
        <v>81421</v>
      </c>
      <c r="I3" s="33" t="s">
        <v>39</v>
      </c>
      <c r="J3" s="33">
        <v>15928535</v>
      </c>
      <c r="K3" s="33" t="s">
        <v>45</v>
      </c>
      <c r="L3" s="39" t="s">
        <v>47</v>
      </c>
      <c r="M3" s="35">
        <v>159900</v>
      </c>
      <c r="N3" s="36">
        <f>N2</f>
        <v>0.75</v>
      </c>
      <c r="O3" s="72">
        <f t="shared" ref="O3:O66" si="0">M3-((75*M3)/100)</f>
        <v>39975</v>
      </c>
      <c r="P3" s="33" t="s">
        <v>16</v>
      </c>
    </row>
    <row r="4" spans="1:16" x14ac:dyDescent="0.35">
      <c r="A4" s="33" t="str">
        <f t="shared" ref="A4:C67" si="1">A3</f>
        <v>2024 JAN-SEP DISC 75%</v>
      </c>
      <c r="B4" s="34">
        <f t="shared" si="1"/>
        <v>46104</v>
      </c>
      <c r="C4" s="34">
        <f t="shared" si="1"/>
        <v>46113</v>
      </c>
      <c r="D4" s="33">
        <v>3321</v>
      </c>
      <c r="E4" s="33">
        <v>337</v>
      </c>
      <c r="F4" s="33">
        <v>4</v>
      </c>
      <c r="G4" s="33">
        <v>1</v>
      </c>
      <c r="H4" s="33">
        <v>81421</v>
      </c>
      <c r="I4" s="33" t="s">
        <v>39</v>
      </c>
      <c r="J4" s="33">
        <v>15928553</v>
      </c>
      <c r="K4" s="33" t="s">
        <v>45</v>
      </c>
      <c r="L4" s="39" t="s">
        <v>48</v>
      </c>
      <c r="M4" s="35">
        <v>159900</v>
      </c>
      <c r="N4" s="36">
        <f t="shared" ref="N4:N67" si="2">N3</f>
        <v>0.75</v>
      </c>
      <c r="O4" s="72">
        <f t="shared" si="0"/>
        <v>39975</v>
      </c>
      <c r="P4" s="33" t="s">
        <v>16</v>
      </c>
    </row>
    <row r="5" spans="1:16" x14ac:dyDescent="0.35">
      <c r="A5" s="33" t="str">
        <f t="shared" si="1"/>
        <v>2024 JAN-SEP DISC 75%</v>
      </c>
      <c r="B5" s="34">
        <f t="shared" si="1"/>
        <v>46104</v>
      </c>
      <c r="C5" s="34">
        <f t="shared" si="1"/>
        <v>46113</v>
      </c>
      <c r="D5" s="33">
        <v>3321</v>
      </c>
      <c r="E5" s="33">
        <v>337</v>
      </c>
      <c r="F5" s="33">
        <v>4</v>
      </c>
      <c r="G5" s="33">
        <v>1</v>
      </c>
      <c r="H5" s="33">
        <v>81421</v>
      </c>
      <c r="I5" s="33" t="s">
        <v>39</v>
      </c>
      <c r="J5" s="33">
        <v>15928562</v>
      </c>
      <c r="K5" s="33" t="s">
        <v>49</v>
      </c>
      <c r="L5" s="39" t="s">
        <v>50</v>
      </c>
      <c r="M5" s="35">
        <v>149900</v>
      </c>
      <c r="N5" s="36">
        <f t="shared" si="2"/>
        <v>0.75</v>
      </c>
      <c r="O5" s="72">
        <f t="shared" si="0"/>
        <v>37475</v>
      </c>
      <c r="P5" s="33" t="s">
        <v>16</v>
      </c>
    </row>
    <row r="6" spans="1:16" x14ac:dyDescent="0.35">
      <c r="A6" s="33" t="str">
        <f t="shared" si="1"/>
        <v>2024 JAN-SEP DISC 75%</v>
      </c>
      <c r="B6" s="34">
        <f t="shared" si="1"/>
        <v>46104</v>
      </c>
      <c r="C6" s="34">
        <f t="shared" si="1"/>
        <v>46113</v>
      </c>
      <c r="D6" s="33">
        <v>3321</v>
      </c>
      <c r="E6" s="33">
        <v>337</v>
      </c>
      <c r="F6" s="33">
        <v>4</v>
      </c>
      <c r="G6" s="33">
        <v>1</v>
      </c>
      <c r="H6" s="33">
        <v>81421</v>
      </c>
      <c r="I6" s="33" t="s">
        <v>39</v>
      </c>
      <c r="J6" s="33">
        <v>15928571</v>
      </c>
      <c r="K6" s="33" t="s">
        <v>49</v>
      </c>
      <c r="L6" s="39" t="s">
        <v>51</v>
      </c>
      <c r="M6" s="35">
        <v>149900</v>
      </c>
      <c r="N6" s="36">
        <f t="shared" si="2"/>
        <v>0.75</v>
      </c>
      <c r="O6" s="72">
        <f t="shared" si="0"/>
        <v>37475</v>
      </c>
      <c r="P6" s="33" t="s">
        <v>16</v>
      </c>
    </row>
    <row r="7" spans="1:16" x14ac:dyDescent="0.35">
      <c r="A7" s="33" t="str">
        <f t="shared" si="1"/>
        <v>2024 JAN-SEP DISC 75%</v>
      </c>
      <c r="B7" s="34">
        <f t="shared" si="1"/>
        <v>46104</v>
      </c>
      <c r="C7" s="34">
        <f t="shared" si="1"/>
        <v>46113</v>
      </c>
      <c r="D7" s="33">
        <v>3321</v>
      </c>
      <c r="E7" s="33">
        <v>337</v>
      </c>
      <c r="F7" s="33">
        <v>4</v>
      </c>
      <c r="G7" s="33">
        <v>1</v>
      </c>
      <c r="H7" s="33">
        <v>81421</v>
      </c>
      <c r="I7" s="33" t="s">
        <v>39</v>
      </c>
      <c r="J7" s="33">
        <v>15928580</v>
      </c>
      <c r="K7" s="33" t="s">
        <v>49</v>
      </c>
      <c r="L7" s="39" t="s">
        <v>52</v>
      </c>
      <c r="M7" s="35">
        <v>149900</v>
      </c>
      <c r="N7" s="36">
        <f t="shared" si="2"/>
        <v>0.75</v>
      </c>
      <c r="O7" s="72">
        <f t="shared" si="0"/>
        <v>37475</v>
      </c>
      <c r="P7" s="33" t="s">
        <v>16</v>
      </c>
    </row>
    <row r="8" spans="1:16" x14ac:dyDescent="0.35">
      <c r="A8" s="33" t="str">
        <f t="shared" si="1"/>
        <v>2024 JAN-SEP DISC 75%</v>
      </c>
      <c r="B8" s="34">
        <f t="shared" si="1"/>
        <v>46104</v>
      </c>
      <c r="C8" s="34">
        <f t="shared" si="1"/>
        <v>46113</v>
      </c>
      <c r="D8" s="33">
        <v>3321</v>
      </c>
      <c r="E8" s="33">
        <v>337</v>
      </c>
      <c r="F8" s="33">
        <v>4</v>
      </c>
      <c r="G8" s="33">
        <v>1</v>
      </c>
      <c r="H8" s="33">
        <v>81421</v>
      </c>
      <c r="I8" s="33" t="s">
        <v>39</v>
      </c>
      <c r="J8" s="33">
        <v>15928599</v>
      </c>
      <c r="K8" s="33" t="s">
        <v>49</v>
      </c>
      <c r="L8" s="39" t="s">
        <v>53</v>
      </c>
      <c r="M8" s="35">
        <v>149900</v>
      </c>
      <c r="N8" s="36">
        <f t="shared" si="2"/>
        <v>0.75</v>
      </c>
      <c r="O8" s="72">
        <f t="shared" si="0"/>
        <v>37475</v>
      </c>
      <c r="P8" s="33" t="s">
        <v>16</v>
      </c>
    </row>
    <row r="9" spans="1:16" x14ac:dyDescent="0.35">
      <c r="A9" s="33" t="str">
        <f t="shared" si="1"/>
        <v>2024 JAN-SEP DISC 75%</v>
      </c>
      <c r="B9" s="34">
        <f t="shared" si="1"/>
        <v>46104</v>
      </c>
      <c r="C9" s="34">
        <f t="shared" si="1"/>
        <v>46113</v>
      </c>
      <c r="D9" s="33">
        <v>3321</v>
      </c>
      <c r="E9" s="33">
        <v>337</v>
      </c>
      <c r="F9" s="33">
        <v>4</v>
      </c>
      <c r="G9" s="33">
        <v>1</v>
      </c>
      <c r="H9" s="33">
        <v>81421</v>
      </c>
      <c r="I9" s="33" t="s">
        <v>39</v>
      </c>
      <c r="J9" s="33">
        <v>15928606</v>
      </c>
      <c r="K9" s="33" t="s">
        <v>54</v>
      </c>
      <c r="L9" s="39" t="s">
        <v>55</v>
      </c>
      <c r="M9" s="35">
        <v>149900</v>
      </c>
      <c r="N9" s="36">
        <f t="shared" si="2"/>
        <v>0.75</v>
      </c>
      <c r="O9" s="72">
        <f t="shared" si="0"/>
        <v>37475</v>
      </c>
      <c r="P9" s="33" t="s">
        <v>16</v>
      </c>
    </row>
    <row r="10" spans="1:16" x14ac:dyDescent="0.35">
      <c r="A10" s="33" t="str">
        <f t="shared" si="1"/>
        <v>2024 JAN-SEP DISC 75%</v>
      </c>
      <c r="B10" s="34">
        <f t="shared" si="1"/>
        <v>46104</v>
      </c>
      <c r="C10" s="34">
        <f t="shared" si="1"/>
        <v>46113</v>
      </c>
      <c r="D10" s="33">
        <v>3321</v>
      </c>
      <c r="E10" s="33">
        <v>337</v>
      </c>
      <c r="F10" s="33">
        <v>4</v>
      </c>
      <c r="G10" s="33">
        <v>1</v>
      </c>
      <c r="H10" s="33">
        <v>81421</v>
      </c>
      <c r="I10" s="33" t="s">
        <v>39</v>
      </c>
      <c r="J10" s="33">
        <v>15928615</v>
      </c>
      <c r="K10" s="33" t="s">
        <v>54</v>
      </c>
      <c r="L10" s="39" t="s">
        <v>56</v>
      </c>
      <c r="M10" s="35">
        <v>149900</v>
      </c>
      <c r="N10" s="36">
        <f t="shared" si="2"/>
        <v>0.75</v>
      </c>
      <c r="O10" s="72">
        <f t="shared" si="0"/>
        <v>37475</v>
      </c>
      <c r="P10" s="33" t="s">
        <v>16</v>
      </c>
    </row>
    <row r="11" spans="1:16" x14ac:dyDescent="0.35">
      <c r="A11" s="33" t="str">
        <f t="shared" si="1"/>
        <v>2024 JAN-SEP DISC 75%</v>
      </c>
      <c r="B11" s="34">
        <f t="shared" si="1"/>
        <v>46104</v>
      </c>
      <c r="C11" s="34">
        <f t="shared" si="1"/>
        <v>46113</v>
      </c>
      <c r="D11" s="33">
        <v>3321</v>
      </c>
      <c r="E11" s="33">
        <v>337</v>
      </c>
      <c r="F11" s="33">
        <v>4</v>
      </c>
      <c r="G11" s="33">
        <v>1</v>
      </c>
      <c r="H11" s="33">
        <v>81421</v>
      </c>
      <c r="I11" s="33" t="s">
        <v>39</v>
      </c>
      <c r="J11" s="33">
        <v>15928624</v>
      </c>
      <c r="K11" s="33" t="s">
        <v>54</v>
      </c>
      <c r="L11" s="39" t="s">
        <v>57</v>
      </c>
      <c r="M11" s="35">
        <v>149900</v>
      </c>
      <c r="N11" s="36">
        <f t="shared" si="2"/>
        <v>0.75</v>
      </c>
      <c r="O11" s="72">
        <f t="shared" si="0"/>
        <v>37475</v>
      </c>
      <c r="P11" s="33" t="s">
        <v>16</v>
      </c>
    </row>
    <row r="12" spans="1:16" x14ac:dyDescent="0.35">
      <c r="A12" s="33" t="str">
        <f t="shared" si="1"/>
        <v>2024 JAN-SEP DISC 75%</v>
      </c>
      <c r="B12" s="34">
        <f t="shared" si="1"/>
        <v>46104</v>
      </c>
      <c r="C12" s="34">
        <f t="shared" si="1"/>
        <v>46113</v>
      </c>
      <c r="D12" s="33">
        <v>3321</v>
      </c>
      <c r="E12" s="33">
        <v>337</v>
      </c>
      <c r="F12" s="33">
        <v>4</v>
      </c>
      <c r="G12" s="33">
        <v>1</v>
      </c>
      <c r="H12" s="33">
        <v>81421</v>
      </c>
      <c r="I12" s="33" t="s">
        <v>39</v>
      </c>
      <c r="J12" s="33">
        <v>15928633</v>
      </c>
      <c r="K12" s="33" t="s">
        <v>54</v>
      </c>
      <c r="L12" s="39" t="s">
        <v>58</v>
      </c>
      <c r="M12" s="35">
        <v>149900</v>
      </c>
      <c r="N12" s="36">
        <f t="shared" si="2"/>
        <v>0.75</v>
      </c>
      <c r="O12" s="72">
        <f t="shared" si="0"/>
        <v>37475</v>
      </c>
      <c r="P12" s="33" t="s">
        <v>16</v>
      </c>
    </row>
    <row r="13" spans="1:16" x14ac:dyDescent="0.35">
      <c r="A13" s="33" t="str">
        <f t="shared" si="1"/>
        <v>2024 JAN-SEP DISC 75%</v>
      </c>
      <c r="B13" s="34">
        <f t="shared" si="1"/>
        <v>46104</v>
      </c>
      <c r="C13" s="34">
        <f t="shared" si="1"/>
        <v>46113</v>
      </c>
      <c r="D13" s="33">
        <v>3321</v>
      </c>
      <c r="E13" s="33">
        <v>337</v>
      </c>
      <c r="F13" s="33">
        <v>4</v>
      </c>
      <c r="G13" s="33">
        <v>1</v>
      </c>
      <c r="H13" s="33">
        <v>81421</v>
      </c>
      <c r="I13" s="33" t="s">
        <v>39</v>
      </c>
      <c r="J13" s="33">
        <v>16130706</v>
      </c>
      <c r="K13" s="33" t="s">
        <v>59</v>
      </c>
      <c r="L13" s="39" t="s">
        <v>60</v>
      </c>
      <c r="M13" s="35">
        <v>179900</v>
      </c>
      <c r="N13" s="36">
        <f t="shared" si="2"/>
        <v>0.75</v>
      </c>
      <c r="O13" s="72">
        <f t="shared" si="0"/>
        <v>44975</v>
      </c>
      <c r="P13" s="33" t="s">
        <v>16</v>
      </c>
    </row>
    <row r="14" spans="1:16" x14ac:dyDescent="0.35">
      <c r="A14" s="33" t="str">
        <f t="shared" si="1"/>
        <v>2024 JAN-SEP DISC 75%</v>
      </c>
      <c r="B14" s="34">
        <f t="shared" si="1"/>
        <v>46104</v>
      </c>
      <c r="C14" s="34">
        <f t="shared" si="1"/>
        <v>46113</v>
      </c>
      <c r="D14" s="33">
        <v>3321</v>
      </c>
      <c r="E14" s="33">
        <v>337</v>
      </c>
      <c r="F14" s="33">
        <v>4</v>
      </c>
      <c r="G14" s="33">
        <v>1</v>
      </c>
      <c r="H14" s="33">
        <v>81421</v>
      </c>
      <c r="I14" s="33" t="s">
        <v>39</v>
      </c>
      <c r="J14" s="33">
        <v>16130715</v>
      </c>
      <c r="K14" s="33" t="s">
        <v>59</v>
      </c>
      <c r="L14" s="39" t="s">
        <v>61</v>
      </c>
      <c r="M14" s="35">
        <v>179900</v>
      </c>
      <c r="N14" s="36">
        <f t="shared" si="2"/>
        <v>0.75</v>
      </c>
      <c r="O14" s="72">
        <f t="shared" si="0"/>
        <v>44975</v>
      </c>
      <c r="P14" s="33" t="s">
        <v>16</v>
      </c>
    </row>
    <row r="15" spans="1:16" x14ac:dyDescent="0.35">
      <c r="A15" s="33" t="str">
        <f t="shared" si="1"/>
        <v>2024 JAN-SEP DISC 75%</v>
      </c>
      <c r="B15" s="34">
        <f t="shared" si="1"/>
        <v>46104</v>
      </c>
      <c r="C15" s="34">
        <f t="shared" si="1"/>
        <v>46113</v>
      </c>
      <c r="D15" s="33">
        <v>3321</v>
      </c>
      <c r="E15" s="33">
        <v>337</v>
      </c>
      <c r="F15" s="33">
        <v>4</v>
      </c>
      <c r="G15" s="33">
        <v>1</v>
      </c>
      <c r="H15" s="33">
        <v>81421</v>
      </c>
      <c r="I15" s="33" t="s">
        <v>39</v>
      </c>
      <c r="J15" s="33">
        <v>16130724</v>
      </c>
      <c r="K15" s="33" t="s">
        <v>59</v>
      </c>
      <c r="L15" s="39" t="s">
        <v>62</v>
      </c>
      <c r="M15" s="35">
        <v>179900</v>
      </c>
      <c r="N15" s="36">
        <f t="shared" si="2"/>
        <v>0.75</v>
      </c>
      <c r="O15" s="72">
        <f t="shared" si="0"/>
        <v>44975</v>
      </c>
      <c r="P15" s="33" t="s">
        <v>16</v>
      </c>
    </row>
    <row r="16" spans="1:16" x14ac:dyDescent="0.35">
      <c r="A16" s="33" t="str">
        <f t="shared" si="1"/>
        <v>2024 JAN-SEP DISC 75%</v>
      </c>
      <c r="B16" s="34">
        <f t="shared" si="1"/>
        <v>46104</v>
      </c>
      <c r="C16" s="34">
        <f t="shared" si="1"/>
        <v>46113</v>
      </c>
      <c r="D16" s="33">
        <v>3321</v>
      </c>
      <c r="E16" s="33">
        <v>337</v>
      </c>
      <c r="F16" s="33">
        <v>4</v>
      </c>
      <c r="G16" s="33">
        <v>1</v>
      </c>
      <c r="H16" s="33">
        <v>81421</v>
      </c>
      <c r="I16" s="33" t="s">
        <v>39</v>
      </c>
      <c r="J16" s="33">
        <v>16265357</v>
      </c>
      <c r="K16" s="33" t="s">
        <v>63</v>
      </c>
      <c r="L16" s="39" t="s">
        <v>64</v>
      </c>
      <c r="M16" s="35">
        <v>149900</v>
      </c>
      <c r="N16" s="36">
        <f t="shared" si="2"/>
        <v>0.75</v>
      </c>
      <c r="O16" s="72">
        <f t="shared" si="0"/>
        <v>37475</v>
      </c>
      <c r="P16" s="33" t="s">
        <v>16</v>
      </c>
    </row>
    <row r="17" spans="1:16" x14ac:dyDescent="0.35">
      <c r="A17" s="33" t="str">
        <f t="shared" si="1"/>
        <v>2024 JAN-SEP DISC 75%</v>
      </c>
      <c r="B17" s="34">
        <f t="shared" si="1"/>
        <v>46104</v>
      </c>
      <c r="C17" s="34">
        <f t="shared" si="1"/>
        <v>46113</v>
      </c>
      <c r="D17" s="33">
        <v>3321</v>
      </c>
      <c r="E17" s="33">
        <v>337</v>
      </c>
      <c r="F17" s="33">
        <v>4</v>
      </c>
      <c r="G17" s="33">
        <v>1</v>
      </c>
      <c r="H17" s="33">
        <v>81421</v>
      </c>
      <c r="I17" s="33" t="s">
        <v>39</v>
      </c>
      <c r="J17" s="33">
        <v>16265366</v>
      </c>
      <c r="K17" s="33" t="s">
        <v>63</v>
      </c>
      <c r="L17" s="39" t="s">
        <v>65</v>
      </c>
      <c r="M17" s="35">
        <v>149900</v>
      </c>
      <c r="N17" s="36">
        <f t="shared" si="2"/>
        <v>0.75</v>
      </c>
      <c r="O17" s="72">
        <f t="shared" si="0"/>
        <v>37475</v>
      </c>
      <c r="P17" s="33" t="s">
        <v>16</v>
      </c>
    </row>
    <row r="18" spans="1:16" x14ac:dyDescent="0.35">
      <c r="A18" s="33" t="str">
        <f t="shared" si="1"/>
        <v>2024 JAN-SEP DISC 75%</v>
      </c>
      <c r="B18" s="34">
        <f t="shared" si="1"/>
        <v>46104</v>
      </c>
      <c r="C18" s="34">
        <f t="shared" si="1"/>
        <v>46113</v>
      </c>
      <c r="D18" s="33">
        <v>3321</v>
      </c>
      <c r="E18" s="33">
        <v>337</v>
      </c>
      <c r="F18" s="33">
        <v>4</v>
      </c>
      <c r="G18" s="33">
        <v>1</v>
      </c>
      <c r="H18" s="33">
        <v>81421</v>
      </c>
      <c r="I18" s="33" t="s">
        <v>39</v>
      </c>
      <c r="J18" s="33">
        <v>16265375</v>
      </c>
      <c r="K18" s="33" t="s">
        <v>63</v>
      </c>
      <c r="L18" s="39" t="s">
        <v>66</v>
      </c>
      <c r="M18" s="35">
        <v>149900</v>
      </c>
      <c r="N18" s="36">
        <f t="shared" si="2"/>
        <v>0.75</v>
      </c>
      <c r="O18" s="72">
        <f t="shared" si="0"/>
        <v>37475</v>
      </c>
      <c r="P18" s="33" t="s">
        <v>16</v>
      </c>
    </row>
    <row r="19" spans="1:16" x14ac:dyDescent="0.35">
      <c r="A19" s="33" t="str">
        <f t="shared" si="1"/>
        <v>2024 JAN-SEP DISC 75%</v>
      </c>
      <c r="B19" s="34">
        <f t="shared" si="1"/>
        <v>46104</v>
      </c>
      <c r="C19" s="34">
        <f t="shared" si="1"/>
        <v>46113</v>
      </c>
      <c r="D19" s="33">
        <v>3321</v>
      </c>
      <c r="E19" s="33">
        <v>337</v>
      </c>
      <c r="F19" s="33">
        <v>4</v>
      </c>
      <c r="G19" s="33">
        <v>1</v>
      </c>
      <c r="H19" s="33">
        <v>81421</v>
      </c>
      <c r="I19" s="33" t="s">
        <v>39</v>
      </c>
      <c r="J19" s="33">
        <v>16265384</v>
      </c>
      <c r="K19" s="33" t="s">
        <v>63</v>
      </c>
      <c r="L19" s="39" t="s">
        <v>67</v>
      </c>
      <c r="M19" s="35">
        <v>149900</v>
      </c>
      <c r="N19" s="36">
        <f t="shared" si="2"/>
        <v>0.75</v>
      </c>
      <c r="O19" s="72">
        <f t="shared" si="0"/>
        <v>37475</v>
      </c>
      <c r="P19" s="33" t="s">
        <v>16</v>
      </c>
    </row>
    <row r="20" spans="1:16" x14ac:dyDescent="0.35">
      <c r="A20" s="33" t="str">
        <f t="shared" si="1"/>
        <v>2024 JAN-SEP DISC 75%</v>
      </c>
      <c r="B20" s="34">
        <f t="shared" si="1"/>
        <v>46104</v>
      </c>
      <c r="C20" s="34">
        <f t="shared" si="1"/>
        <v>46113</v>
      </c>
      <c r="D20" s="33">
        <v>3321</v>
      </c>
      <c r="E20" s="33">
        <v>337</v>
      </c>
      <c r="F20" s="33">
        <v>4</v>
      </c>
      <c r="G20" s="33">
        <v>1</v>
      </c>
      <c r="H20" s="33">
        <v>81506</v>
      </c>
      <c r="I20" s="33" t="s">
        <v>39</v>
      </c>
      <c r="J20" s="33">
        <v>16572195</v>
      </c>
      <c r="K20" s="33" t="s">
        <v>68</v>
      </c>
      <c r="L20" s="39" t="s">
        <v>69</v>
      </c>
      <c r="M20" s="35">
        <v>159900</v>
      </c>
      <c r="N20" s="36">
        <f t="shared" si="2"/>
        <v>0.75</v>
      </c>
      <c r="O20" s="72">
        <f t="shared" si="0"/>
        <v>39975</v>
      </c>
      <c r="P20" s="33" t="s">
        <v>16</v>
      </c>
    </row>
    <row r="21" spans="1:16" x14ac:dyDescent="0.35">
      <c r="A21" s="33" t="str">
        <f t="shared" si="1"/>
        <v>2024 JAN-SEP DISC 75%</v>
      </c>
      <c r="B21" s="34">
        <f t="shared" si="1"/>
        <v>46104</v>
      </c>
      <c r="C21" s="34">
        <f t="shared" si="1"/>
        <v>46113</v>
      </c>
      <c r="D21" s="33">
        <v>3321</v>
      </c>
      <c r="E21" s="33">
        <v>337</v>
      </c>
      <c r="F21" s="33">
        <v>4</v>
      </c>
      <c r="G21" s="33">
        <v>1</v>
      </c>
      <c r="H21" s="33">
        <v>81506</v>
      </c>
      <c r="I21" s="33" t="s">
        <v>39</v>
      </c>
      <c r="J21" s="33">
        <v>16572202</v>
      </c>
      <c r="K21" s="33" t="s">
        <v>68</v>
      </c>
      <c r="L21" s="39" t="s">
        <v>70</v>
      </c>
      <c r="M21" s="35">
        <v>159900</v>
      </c>
      <c r="N21" s="36">
        <f t="shared" si="2"/>
        <v>0.75</v>
      </c>
      <c r="O21" s="72">
        <f t="shared" si="0"/>
        <v>39975</v>
      </c>
      <c r="P21" s="33" t="s">
        <v>16</v>
      </c>
    </row>
    <row r="22" spans="1:16" x14ac:dyDescent="0.35">
      <c r="A22" s="33" t="str">
        <f t="shared" si="1"/>
        <v>2024 JAN-SEP DISC 75%</v>
      </c>
      <c r="B22" s="34">
        <f t="shared" si="1"/>
        <v>46104</v>
      </c>
      <c r="C22" s="34">
        <f t="shared" si="1"/>
        <v>46113</v>
      </c>
      <c r="D22" s="33">
        <v>3321</v>
      </c>
      <c r="E22" s="33">
        <v>337</v>
      </c>
      <c r="F22" s="33">
        <v>4</v>
      </c>
      <c r="G22" s="33">
        <v>1</v>
      </c>
      <c r="H22" s="33">
        <v>81506</v>
      </c>
      <c r="I22" s="33" t="s">
        <v>39</v>
      </c>
      <c r="J22" s="33">
        <v>16572211</v>
      </c>
      <c r="K22" s="33" t="s">
        <v>68</v>
      </c>
      <c r="L22" s="39" t="s">
        <v>71</v>
      </c>
      <c r="M22" s="35">
        <v>159900</v>
      </c>
      <c r="N22" s="36">
        <f t="shared" si="2"/>
        <v>0.75</v>
      </c>
      <c r="O22" s="72">
        <f t="shared" si="0"/>
        <v>39975</v>
      </c>
      <c r="P22" s="33" t="s">
        <v>16</v>
      </c>
    </row>
    <row r="23" spans="1:16" x14ac:dyDescent="0.35">
      <c r="A23" s="33" t="str">
        <f t="shared" si="1"/>
        <v>2024 JAN-SEP DISC 75%</v>
      </c>
      <c r="B23" s="34">
        <f t="shared" si="1"/>
        <v>46104</v>
      </c>
      <c r="C23" s="34">
        <f t="shared" si="1"/>
        <v>46113</v>
      </c>
      <c r="D23" s="33">
        <v>3321</v>
      </c>
      <c r="E23" s="33">
        <v>337</v>
      </c>
      <c r="F23" s="33">
        <v>4</v>
      </c>
      <c r="G23" s="33">
        <v>1</v>
      </c>
      <c r="H23" s="33">
        <v>81506</v>
      </c>
      <c r="I23" s="33" t="s">
        <v>39</v>
      </c>
      <c r="J23" s="33">
        <v>16572220</v>
      </c>
      <c r="K23" s="33" t="s">
        <v>68</v>
      </c>
      <c r="L23" s="39" t="s">
        <v>72</v>
      </c>
      <c r="M23" s="35">
        <v>159900</v>
      </c>
      <c r="N23" s="36">
        <f t="shared" si="2"/>
        <v>0.75</v>
      </c>
      <c r="O23" s="72">
        <f t="shared" si="0"/>
        <v>39975</v>
      </c>
      <c r="P23" s="33" t="s">
        <v>16</v>
      </c>
    </row>
    <row r="24" spans="1:16" x14ac:dyDescent="0.35">
      <c r="A24" s="33" t="str">
        <f t="shared" si="1"/>
        <v>2024 JAN-SEP DISC 75%</v>
      </c>
      <c r="B24" s="34">
        <f t="shared" si="1"/>
        <v>46104</v>
      </c>
      <c r="C24" s="34">
        <f t="shared" si="1"/>
        <v>46113</v>
      </c>
      <c r="D24" s="33">
        <v>3321</v>
      </c>
      <c r="E24" s="33">
        <v>337</v>
      </c>
      <c r="F24" s="33">
        <v>4</v>
      </c>
      <c r="G24" s="33">
        <v>1</v>
      </c>
      <c r="H24" s="33">
        <v>81676</v>
      </c>
      <c r="I24" s="33" t="s">
        <v>39</v>
      </c>
      <c r="J24" s="33">
        <v>16047520</v>
      </c>
      <c r="K24" s="33" t="s">
        <v>36</v>
      </c>
      <c r="L24" s="39" t="s">
        <v>73</v>
      </c>
      <c r="M24" s="35">
        <v>149900</v>
      </c>
      <c r="N24" s="36">
        <f t="shared" si="2"/>
        <v>0.75</v>
      </c>
      <c r="O24" s="72">
        <f t="shared" si="0"/>
        <v>37475</v>
      </c>
      <c r="P24" s="33" t="s">
        <v>16</v>
      </c>
    </row>
    <row r="25" spans="1:16" x14ac:dyDescent="0.35">
      <c r="A25" s="33" t="str">
        <f t="shared" si="1"/>
        <v>2024 JAN-SEP DISC 75%</v>
      </c>
      <c r="B25" s="34">
        <f t="shared" si="1"/>
        <v>46104</v>
      </c>
      <c r="C25" s="34">
        <f t="shared" si="1"/>
        <v>46113</v>
      </c>
      <c r="D25" s="33">
        <v>3321</v>
      </c>
      <c r="E25" s="33">
        <v>337</v>
      </c>
      <c r="F25" s="33">
        <v>4</v>
      </c>
      <c r="G25" s="33">
        <v>1</v>
      </c>
      <c r="H25" s="33">
        <v>81676</v>
      </c>
      <c r="I25" s="33" t="s">
        <v>39</v>
      </c>
      <c r="J25" s="33">
        <v>16047566</v>
      </c>
      <c r="K25" s="33" t="s">
        <v>37</v>
      </c>
      <c r="L25" s="39" t="s">
        <v>74</v>
      </c>
      <c r="M25" s="35">
        <v>149900</v>
      </c>
      <c r="N25" s="36">
        <f t="shared" si="2"/>
        <v>0.75</v>
      </c>
      <c r="O25" s="72">
        <f t="shared" si="0"/>
        <v>37475</v>
      </c>
      <c r="P25" s="33" t="s">
        <v>16</v>
      </c>
    </row>
    <row r="26" spans="1:16" x14ac:dyDescent="0.35">
      <c r="A26" s="33" t="str">
        <f t="shared" si="1"/>
        <v>2024 JAN-SEP DISC 75%</v>
      </c>
      <c r="B26" s="34">
        <f t="shared" si="1"/>
        <v>46104</v>
      </c>
      <c r="C26" s="34">
        <f t="shared" si="1"/>
        <v>46113</v>
      </c>
      <c r="D26" s="33">
        <v>3321</v>
      </c>
      <c r="E26" s="33">
        <v>337</v>
      </c>
      <c r="F26" s="33">
        <v>4</v>
      </c>
      <c r="G26" s="33">
        <v>1</v>
      </c>
      <c r="H26" s="33">
        <v>81676</v>
      </c>
      <c r="I26" s="33" t="s">
        <v>39</v>
      </c>
      <c r="J26" s="33">
        <v>16047682</v>
      </c>
      <c r="K26" s="33" t="s">
        <v>3223</v>
      </c>
      <c r="L26" s="39" t="s">
        <v>3224</v>
      </c>
      <c r="M26" s="35">
        <v>149900</v>
      </c>
      <c r="N26" s="36">
        <f t="shared" si="2"/>
        <v>0.75</v>
      </c>
      <c r="O26" s="72">
        <f t="shared" si="0"/>
        <v>37475</v>
      </c>
      <c r="P26" s="33" t="s">
        <v>16</v>
      </c>
    </row>
    <row r="27" spans="1:16" x14ac:dyDescent="0.35">
      <c r="A27" s="33" t="str">
        <f t="shared" si="1"/>
        <v>2024 JAN-SEP DISC 75%</v>
      </c>
      <c r="B27" s="34">
        <f t="shared" si="1"/>
        <v>46104</v>
      </c>
      <c r="C27" s="34">
        <f t="shared" si="1"/>
        <v>46113</v>
      </c>
      <c r="D27" s="33">
        <v>3321</v>
      </c>
      <c r="E27" s="33">
        <v>337</v>
      </c>
      <c r="F27" s="33">
        <v>4</v>
      </c>
      <c r="G27" s="33">
        <v>1</v>
      </c>
      <c r="H27" s="33">
        <v>81676</v>
      </c>
      <c r="I27" s="33" t="s">
        <v>39</v>
      </c>
      <c r="J27" s="33">
        <v>16047726</v>
      </c>
      <c r="K27" s="33" t="s">
        <v>38</v>
      </c>
      <c r="L27" s="39" t="s">
        <v>75</v>
      </c>
      <c r="M27" s="35">
        <v>149900</v>
      </c>
      <c r="N27" s="36">
        <f t="shared" si="2"/>
        <v>0.75</v>
      </c>
      <c r="O27" s="72">
        <f t="shared" si="0"/>
        <v>37475</v>
      </c>
      <c r="P27" s="33" t="s">
        <v>16</v>
      </c>
    </row>
    <row r="28" spans="1:16" x14ac:dyDescent="0.35">
      <c r="A28" s="33" t="str">
        <f t="shared" si="1"/>
        <v>2024 JAN-SEP DISC 75%</v>
      </c>
      <c r="B28" s="34">
        <f t="shared" si="1"/>
        <v>46104</v>
      </c>
      <c r="C28" s="34">
        <f t="shared" si="1"/>
        <v>46113</v>
      </c>
      <c r="D28" s="33">
        <v>3321</v>
      </c>
      <c r="E28" s="33">
        <v>337</v>
      </c>
      <c r="F28" s="33">
        <v>4</v>
      </c>
      <c r="G28" s="33">
        <v>1</v>
      </c>
      <c r="H28" s="33">
        <v>81676</v>
      </c>
      <c r="I28" s="33" t="s">
        <v>39</v>
      </c>
      <c r="J28" s="33">
        <v>16130742</v>
      </c>
      <c r="K28" s="33" t="s">
        <v>76</v>
      </c>
      <c r="L28" s="39" t="s">
        <v>77</v>
      </c>
      <c r="M28" s="35">
        <v>149900</v>
      </c>
      <c r="N28" s="36">
        <f t="shared" si="2"/>
        <v>0.75</v>
      </c>
      <c r="O28" s="72">
        <f t="shared" si="0"/>
        <v>37475</v>
      </c>
      <c r="P28" s="33" t="s">
        <v>16</v>
      </c>
    </row>
    <row r="29" spans="1:16" x14ac:dyDescent="0.35">
      <c r="A29" s="33" t="str">
        <f t="shared" si="1"/>
        <v>2024 JAN-SEP DISC 75%</v>
      </c>
      <c r="B29" s="34">
        <f t="shared" si="1"/>
        <v>46104</v>
      </c>
      <c r="C29" s="34">
        <f t="shared" si="1"/>
        <v>46113</v>
      </c>
      <c r="D29" s="33">
        <v>3321</v>
      </c>
      <c r="E29" s="33">
        <v>337</v>
      </c>
      <c r="F29" s="33">
        <v>4</v>
      </c>
      <c r="G29" s="33">
        <v>1</v>
      </c>
      <c r="H29" s="33">
        <v>81676</v>
      </c>
      <c r="I29" s="33" t="s">
        <v>39</v>
      </c>
      <c r="J29" s="33">
        <v>16130751</v>
      </c>
      <c r="K29" s="33" t="s">
        <v>76</v>
      </c>
      <c r="L29" s="39" t="s">
        <v>78</v>
      </c>
      <c r="M29" s="35">
        <v>149900</v>
      </c>
      <c r="N29" s="36">
        <f t="shared" si="2"/>
        <v>0.75</v>
      </c>
      <c r="O29" s="72">
        <f t="shared" si="0"/>
        <v>37475</v>
      </c>
      <c r="P29" s="33" t="s">
        <v>16</v>
      </c>
    </row>
    <row r="30" spans="1:16" x14ac:dyDescent="0.35">
      <c r="A30" s="33" t="str">
        <f t="shared" si="1"/>
        <v>2024 JAN-SEP DISC 75%</v>
      </c>
      <c r="B30" s="34">
        <f t="shared" si="1"/>
        <v>46104</v>
      </c>
      <c r="C30" s="34">
        <f t="shared" si="1"/>
        <v>46113</v>
      </c>
      <c r="D30" s="33">
        <v>3321</v>
      </c>
      <c r="E30" s="33">
        <v>337</v>
      </c>
      <c r="F30" s="33">
        <v>4</v>
      </c>
      <c r="G30" s="33">
        <v>1</v>
      </c>
      <c r="H30" s="33">
        <v>81676</v>
      </c>
      <c r="I30" s="33" t="s">
        <v>39</v>
      </c>
      <c r="J30" s="33">
        <v>16130779</v>
      </c>
      <c r="K30" s="33" t="s">
        <v>76</v>
      </c>
      <c r="L30" s="39" t="s">
        <v>79</v>
      </c>
      <c r="M30" s="35">
        <v>149900</v>
      </c>
      <c r="N30" s="36">
        <f t="shared" si="2"/>
        <v>0.75</v>
      </c>
      <c r="O30" s="72">
        <f t="shared" si="0"/>
        <v>37475</v>
      </c>
      <c r="P30" s="33" t="s">
        <v>16</v>
      </c>
    </row>
    <row r="31" spans="1:16" x14ac:dyDescent="0.35">
      <c r="A31" s="33" t="str">
        <f t="shared" si="1"/>
        <v>2024 JAN-SEP DISC 75%</v>
      </c>
      <c r="B31" s="34">
        <f t="shared" si="1"/>
        <v>46104</v>
      </c>
      <c r="C31" s="34">
        <f t="shared" si="1"/>
        <v>46113</v>
      </c>
      <c r="D31" s="33">
        <v>3321</v>
      </c>
      <c r="E31" s="33">
        <v>337</v>
      </c>
      <c r="F31" s="33">
        <v>4</v>
      </c>
      <c r="G31" s="33">
        <v>1</v>
      </c>
      <c r="H31" s="33">
        <v>81676</v>
      </c>
      <c r="I31" s="33" t="s">
        <v>39</v>
      </c>
      <c r="J31" s="33">
        <v>16130788</v>
      </c>
      <c r="K31" s="33" t="s">
        <v>80</v>
      </c>
      <c r="L31" s="39" t="s">
        <v>81</v>
      </c>
      <c r="M31" s="35">
        <v>149900</v>
      </c>
      <c r="N31" s="36">
        <f t="shared" si="2"/>
        <v>0.75</v>
      </c>
      <c r="O31" s="72">
        <f t="shared" si="0"/>
        <v>37475</v>
      </c>
      <c r="P31" s="33" t="s">
        <v>16</v>
      </c>
    </row>
    <row r="32" spans="1:16" x14ac:dyDescent="0.35">
      <c r="A32" s="33" t="str">
        <f t="shared" si="1"/>
        <v>2024 JAN-SEP DISC 75%</v>
      </c>
      <c r="B32" s="34">
        <f t="shared" si="1"/>
        <v>46104</v>
      </c>
      <c r="C32" s="34">
        <f t="shared" si="1"/>
        <v>46113</v>
      </c>
      <c r="D32" s="33">
        <v>3321</v>
      </c>
      <c r="E32" s="33">
        <v>337</v>
      </c>
      <c r="F32" s="33">
        <v>4</v>
      </c>
      <c r="G32" s="33">
        <v>1</v>
      </c>
      <c r="H32" s="33">
        <v>81676</v>
      </c>
      <c r="I32" s="33" t="s">
        <v>39</v>
      </c>
      <c r="J32" s="33">
        <v>16130797</v>
      </c>
      <c r="K32" s="33" t="s">
        <v>80</v>
      </c>
      <c r="L32" s="39" t="s">
        <v>82</v>
      </c>
      <c r="M32" s="35">
        <v>149900</v>
      </c>
      <c r="N32" s="36">
        <f t="shared" si="2"/>
        <v>0.75</v>
      </c>
      <c r="O32" s="72">
        <f t="shared" si="0"/>
        <v>37475</v>
      </c>
      <c r="P32" s="33" t="s">
        <v>16</v>
      </c>
    </row>
    <row r="33" spans="1:16" x14ac:dyDescent="0.35">
      <c r="A33" s="33" t="str">
        <f t="shared" si="1"/>
        <v>2024 JAN-SEP DISC 75%</v>
      </c>
      <c r="B33" s="34">
        <f t="shared" si="1"/>
        <v>46104</v>
      </c>
      <c r="C33" s="34">
        <f t="shared" si="1"/>
        <v>46113</v>
      </c>
      <c r="D33" s="33">
        <v>3321</v>
      </c>
      <c r="E33" s="33">
        <v>337</v>
      </c>
      <c r="F33" s="33">
        <v>4</v>
      </c>
      <c r="G33" s="33">
        <v>1</v>
      </c>
      <c r="H33" s="33">
        <v>81676</v>
      </c>
      <c r="I33" s="33" t="s">
        <v>39</v>
      </c>
      <c r="J33" s="33">
        <v>16130813</v>
      </c>
      <c r="K33" s="33" t="s">
        <v>80</v>
      </c>
      <c r="L33" s="39" t="s">
        <v>83</v>
      </c>
      <c r="M33" s="35">
        <v>149900</v>
      </c>
      <c r="N33" s="36">
        <f t="shared" si="2"/>
        <v>0.75</v>
      </c>
      <c r="O33" s="72">
        <f t="shared" si="0"/>
        <v>37475</v>
      </c>
      <c r="P33" s="33" t="s">
        <v>16</v>
      </c>
    </row>
    <row r="34" spans="1:16" x14ac:dyDescent="0.35">
      <c r="A34" s="33" t="str">
        <f t="shared" si="1"/>
        <v>2024 JAN-SEP DISC 75%</v>
      </c>
      <c r="B34" s="34">
        <f t="shared" si="1"/>
        <v>46104</v>
      </c>
      <c r="C34" s="34">
        <f t="shared" si="1"/>
        <v>46113</v>
      </c>
      <c r="D34" s="33">
        <v>3321</v>
      </c>
      <c r="E34" s="33">
        <v>337</v>
      </c>
      <c r="F34" s="33">
        <v>4</v>
      </c>
      <c r="G34" s="33">
        <v>1</v>
      </c>
      <c r="H34" s="33">
        <v>81800</v>
      </c>
      <c r="I34" s="33" t="s">
        <v>39</v>
      </c>
      <c r="J34" s="33">
        <v>16022547</v>
      </c>
      <c r="K34" s="33" t="s">
        <v>84</v>
      </c>
      <c r="L34" s="39" t="s">
        <v>85</v>
      </c>
      <c r="M34" s="35">
        <v>169900</v>
      </c>
      <c r="N34" s="36">
        <f t="shared" si="2"/>
        <v>0.75</v>
      </c>
      <c r="O34" s="72">
        <f t="shared" si="0"/>
        <v>42475</v>
      </c>
      <c r="P34" s="33" t="s">
        <v>16</v>
      </c>
    </row>
    <row r="35" spans="1:16" x14ac:dyDescent="0.35">
      <c r="A35" s="33" t="str">
        <f t="shared" si="1"/>
        <v>2024 JAN-SEP DISC 75%</v>
      </c>
      <c r="B35" s="34">
        <f t="shared" si="1"/>
        <v>46104</v>
      </c>
      <c r="C35" s="34">
        <f t="shared" si="1"/>
        <v>46113</v>
      </c>
      <c r="D35" s="33">
        <v>3321</v>
      </c>
      <c r="E35" s="33">
        <v>337</v>
      </c>
      <c r="F35" s="33">
        <v>4</v>
      </c>
      <c r="G35" s="33">
        <v>1</v>
      </c>
      <c r="H35" s="33">
        <v>81800</v>
      </c>
      <c r="I35" s="33" t="s">
        <v>39</v>
      </c>
      <c r="J35" s="33">
        <v>16022556</v>
      </c>
      <c r="K35" s="33" t="s">
        <v>84</v>
      </c>
      <c r="L35" s="39" t="s">
        <v>86</v>
      </c>
      <c r="M35" s="35">
        <v>169900</v>
      </c>
      <c r="N35" s="36">
        <f t="shared" si="2"/>
        <v>0.75</v>
      </c>
      <c r="O35" s="72">
        <f t="shared" si="0"/>
        <v>42475</v>
      </c>
      <c r="P35" s="33" t="s">
        <v>16</v>
      </c>
    </row>
    <row r="36" spans="1:16" x14ac:dyDescent="0.35">
      <c r="A36" s="33" t="str">
        <f t="shared" si="1"/>
        <v>2024 JAN-SEP DISC 75%</v>
      </c>
      <c r="B36" s="34">
        <f t="shared" si="1"/>
        <v>46104</v>
      </c>
      <c r="C36" s="34">
        <f t="shared" si="1"/>
        <v>46113</v>
      </c>
      <c r="D36" s="33">
        <v>3321</v>
      </c>
      <c r="E36" s="33">
        <v>337</v>
      </c>
      <c r="F36" s="33">
        <v>4</v>
      </c>
      <c r="G36" s="33">
        <v>1</v>
      </c>
      <c r="H36" s="33">
        <v>81800</v>
      </c>
      <c r="I36" s="33" t="s">
        <v>39</v>
      </c>
      <c r="J36" s="33">
        <v>16022565</v>
      </c>
      <c r="K36" s="33" t="s">
        <v>84</v>
      </c>
      <c r="L36" s="39" t="s">
        <v>87</v>
      </c>
      <c r="M36" s="35">
        <v>169900</v>
      </c>
      <c r="N36" s="36">
        <f t="shared" si="2"/>
        <v>0.75</v>
      </c>
      <c r="O36" s="72">
        <f t="shared" si="0"/>
        <v>42475</v>
      </c>
      <c r="P36" s="33" t="s">
        <v>16</v>
      </c>
    </row>
    <row r="37" spans="1:16" x14ac:dyDescent="0.35">
      <c r="A37" s="33" t="str">
        <f t="shared" si="1"/>
        <v>2024 JAN-SEP DISC 75%</v>
      </c>
      <c r="B37" s="34">
        <f t="shared" si="1"/>
        <v>46104</v>
      </c>
      <c r="C37" s="34">
        <f t="shared" si="1"/>
        <v>46113</v>
      </c>
      <c r="D37" s="33">
        <v>3321</v>
      </c>
      <c r="E37" s="33">
        <v>337</v>
      </c>
      <c r="F37" s="33">
        <v>4</v>
      </c>
      <c r="G37" s="33">
        <v>1</v>
      </c>
      <c r="H37" s="33">
        <v>81800</v>
      </c>
      <c r="I37" s="33" t="s">
        <v>39</v>
      </c>
      <c r="J37" s="33">
        <v>16022574</v>
      </c>
      <c r="K37" s="33" t="s">
        <v>84</v>
      </c>
      <c r="L37" s="39" t="s">
        <v>88</v>
      </c>
      <c r="M37" s="35">
        <v>169900</v>
      </c>
      <c r="N37" s="36">
        <f t="shared" si="2"/>
        <v>0.75</v>
      </c>
      <c r="O37" s="72">
        <f t="shared" si="0"/>
        <v>42475</v>
      </c>
      <c r="P37" s="33" t="s">
        <v>16</v>
      </c>
    </row>
    <row r="38" spans="1:16" x14ac:dyDescent="0.35">
      <c r="A38" s="33" t="str">
        <f t="shared" si="1"/>
        <v>2024 JAN-SEP DISC 75%</v>
      </c>
      <c r="B38" s="34">
        <f t="shared" si="1"/>
        <v>46104</v>
      </c>
      <c r="C38" s="34">
        <f t="shared" si="1"/>
        <v>46113</v>
      </c>
      <c r="D38" s="33">
        <v>3321</v>
      </c>
      <c r="E38" s="33">
        <v>337</v>
      </c>
      <c r="F38" s="33">
        <v>4</v>
      </c>
      <c r="G38" s="33">
        <v>1</v>
      </c>
      <c r="H38" s="33">
        <v>81800</v>
      </c>
      <c r="I38" s="33" t="s">
        <v>39</v>
      </c>
      <c r="J38" s="33">
        <v>16022583</v>
      </c>
      <c r="K38" s="33" t="s">
        <v>89</v>
      </c>
      <c r="L38" s="39" t="s">
        <v>90</v>
      </c>
      <c r="M38" s="35">
        <v>169900</v>
      </c>
      <c r="N38" s="36">
        <f t="shared" si="2"/>
        <v>0.75</v>
      </c>
      <c r="O38" s="72">
        <f t="shared" si="0"/>
        <v>42475</v>
      </c>
      <c r="P38" s="33" t="s">
        <v>16</v>
      </c>
    </row>
    <row r="39" spans="1:16" x14ac:dyDescent="0.35">
      <c r="A39" s="33" t="str">
        <f t="shared" si="1"/>
        <v>2024 JAN-SEP DISC 75%</v>
      </c>
      <c r="B39" s="34">
        <f t="shared" si="1"/>
        <v>46104</v>
      </c>
      <c r="C39" s="34">
        <f t="shared" si="1"/>
        <v>46113</v>
      </c>
      <c r="D39" s="33">
        <v>3321</v>
      </c>
      <c r="E39" s="33">
        <v>337</v>
      </c>
      <c r="F39" s="33">
        <v>4</v>
      </c>
      <c r="G39" s="33">
        <v>1</v>
      </c>
      <c r="H39" s="33">
        <v>81800</v>
      </c>
      <c r="I39" s="33" t="s">
        <v>39</v>
      </c>
      <c r="J39" s="33">
        <v>16022592</v>
      </c>
      <c r="K39" s="33" t="s">
        <v>89</v>
      </c>
      <c r="L39" s="39" t="s">
        <v>91</v>
      </c>
      <c r="M39" s="35">
        <v>169900</v>
      </c>
      <c r="N39" s="36">
        <f t="shared" si="2"/>
        <v>0.75</v>
      </c>
      <c r="O39" s="72">
        <f t="shared" si="0"/>
        <v>42475</v>
      </c>
      <c r="P39" s="33" t="s">
        <v>16</v>
      </c>
    </row>
    <row r="40" spans="1:16" x14ac:dyDescent="0.35">
      <c r="A40" s="33" t="str">
        <f t="shared" si="1"/>
        <v>2024 JAN-SEP DISC 75%</v>
      </c>
      <c r="B40" s="34">
        <f t="shared" si="1"/>
        <v>46104</v>
      </c>
      <c r="C40" s="34">
        <f t="shared" si="1"/>
        <v>46113</v>
      </c>
      <c r="D40" s="33">
        <v>3321</v>
      </c>
      <c r="E40" s="33">
        <v>337</v>
      </c>
      <c r="F40" s="33">
        <v>4</v>
      </c>
      <c r="G40" s="33">
        <v>1</v>
      </c>
      <c r="H40" s="33">
        <v>81800</v>
      </c>
      <c r="I40" s="33" t="s">
        <v>39</v>
      </c>
      <c r="J40" s="33">
        <v>16022609</v>
      </c>
      <c r="K40" s="33" t="s">
        <v>89</v>
      </c>
      <c r="L40" s="39" t="s">
        <v>92</v>
      </c>
      <c r="M40" s="35">
        <v>169900</v>
      </c>
      <c r="N40" s="36">
        <f t="shared" si="2"/>
        <v>0.75</v>
      </c>
      <c r="O40" s="72">
        <f t="shared" si="0"/>
        <v>42475</v>
      </c>
      <c r="P40" s="33" t="s">
        <v>16</v>
      </c>
    </row>
    <row r="41" spans="1:16" x14ac:dyDescent="0.35">
      <c r="A41" s="33" t="str">
        <f t="shared" si="1"/>
        <v>2024 JAN-SEP DISC 75%</v>
      </c>
      <c r="B41" s="34">
        <f t="shared" si="1"/>
        <v>46104</v>
      </c>
      <c r="C41" s="34">
        <f t="shared" si="1"/>
        <v>46113</v>
      </c>
      <c r="D41" s="33">
        <v>3321</v>
      </c>
      <c r="E41" s="33">
        <v>337</v>
      </c>
      <c r="F41" s="33">
        <v>4</v>
      </c>
      <c r="G41" s="33">
        <v>1</v>
      </c>
      <c r="H41" s="33">
        <v>81800</v>
      </c>
      <c r="I41" s="33" t="s">
        <v>39</v>
      </c>
      <c r="J41" s="33">
        <v>16022618</v>
      </c>
      <c r="K41" s="33" t="s">
        <v>89</v>
      </c>
      <c r="L41" s="39" t="s">
        <v>93</v>
      </c>
      <c r="M41" s="35">
        <v>169900</v>
      </c>
      <c r="N41" s="36">
        <f t="shared" si="2"/>
        <v>0.75</v>
      </c>
      <c r="O41" s="72">
        <f t="shared" si="0"/>
        <v>42475</v>
      </c>
      <c r="P41" s="33" t="s">
        <v>16</v>
      </c>
    </row>
    <row r="42" spans="1:16" x14ac:dyDescent="0.35">
      <c r="A42" s="33" t="str">
        <f t="shared" si="1"/>
        <v>2024 JAN-SEP DISC 75%</v>
      </c>
      <c r="B42" s="34">
        <f t="shared" si="1"/>
        <v>46104</v>
      </c>
      <c r="C42" s="34">
        <f t="shared" si="1"/>
        <v>46113</v>
      </c>
      <c r="D42" s="33">
        <v>3321</v>
      </c>
      <c r="E42" s="33">
        <v>337</v>
      </c>
      <c r="F42" s="33">
        <v>4</v>
      </c>
      <c r="G42" s="33">
        <v>1</v>
      </c>
      <c r="H42" s="33">
        <v>81800</v>
      </c>
      <c r="I42" s="33" t="s">
        <v>39</v>
      </c>
      <c r="J42" s="33">
        <v>16022627</v>
      </c>
      <c r="K42" s="33" t="s">
        <v>94</v>
      </c>
      <c r="L42" s="39" t="s">
        <v>95</v>
      </c>
      <c r="M42" s="35">
        <v>169900</v>
      </c>
      <c r="N42" s="36">
        <f t="shared" si="2"/>
        <v>0.75</v>
      </c>
      <c r="O42" s="72">
        <f t="shared" si="0"/>
        <v>42475</v>
      </c>
      <c r="P42" s="33" t="s">
        <v>16</v>
      </c>
    </row>
    <row r="43" spans="1:16" x14ac:dyDescent="0.35">
      <c r="A43" s="33" t="str">
        <f t="shared" si="1"/>
        <v>2024 JAN-SEP DISC 75%</v>
      </c>
      <c r="B43" s="34">
        <f t="shared" si="1"/>
        <v>46104</v>
      </c>
      <c r="C43" s="34">
        <f t="shared" si="1"/>
        <v>46113</v>
      </c>
      <c r="D43" s="33">
        <v>3321</v>
      </c>
      <c r="E43" s="33">
        <v>337</v>
      </c>
      <c r="F43" s="33">
        <v>4</v>
      </c>
      <c r="G43" s="33">
        <v>1</v>
      </c>
      <c r="H43" s="33">
        <v>81800</v>
      </c>
      <c r="I43" s="33" t="s">
        <v>39</v>
      </c>
      <c r="J43" s="33">
        <v>16022636</v>
      </c>
      <c r="K43" s="33" t="s">
        <v>94</v>
      </c>
      <c r="L43" s="39" t="s">
        <v>96</v>
      </c>
      <c r="M43" s="35">
        <v>169900</v>
      </c>
      <c r="N43" s="36">
        <f t="shared" si="2"/>
        <v>0.75</v>
      </c>
      <c r="O43" s="72">
        <f t="shared" si="0"/>
        <v>42475</v>
      </c>
      <c r="P43" s="33" t="s">
        <v>16</v>
      </c>
    </row>
    <row r="44" spans="1:16" x14ac:dyDescent="0.35">
      <c r="A44" s="33" t="str">
        <f t="shared" si="1"/>
        <v>2024 JAN-SEP DISC 75%</v>
      </c>
      <c r="B44" s="34">
        <f t="shared" si="1"/>
        <v>46104</v>
      </c>
      <c r="C44" s="34">
        <f t="shared" si="1"/>
        <v>46113</v>
      </c>
      <c r="D44" s="33">
        <v>3321</v>
      </c>
      <c r="E44" s="33">
        <v>337</v>
      </c>
      <c r="F44" s="33">
        <v>4</v>
      </c>
      <c r="G44" s="33">
        <v>1</v>
      </c>
      <c r="H44" s="33">
        <v>81800</v>
      </c>
      <c r="I44" s="33" t="s">
        <v>39</v>
      </c>
      <c r="J44" s="33">
        <v>16022645</v>
      </c>
      <c r="K44" s="33" t="s">
        <v>94</v>
      </c>
      <c r="L44" s="39" t="s">
        <v>97</v>
      </c>
      <c r="M44" s="35">
        <v>169900</v>
      </c>
      <c r="N44" s="36">
        <f t="shared" si="2"/>
        <v>0.75</v>
      </c>
      <c r="O44" s="72">
        <f t="shared" si="0"/>
        <v>42475</v>
      </c>
      <c r="P44" s="33" t="s">
        <v>16</v>
      </c>
    </row>
    <row r="45" spans="1:16" x14ac:dyDescent="0.35">
      <c r="A45" s="33" t="str">
        <f t="shared" si="1"/>
        <v>2024 JAN-SEP DISC 75%</v>
      </c>
      <c r="B45" s="34">
        <f t="shared" si="1"/>
        <v>46104</v>
      </c>
      <c r="C45" s="34">
        <f t="shared" si="1"/>
        <v>46113</v>
      </c>
      <c r="D45" s="33">
        <v>3321</v>
      </c>
      <c r="E45" s="33">
        <v>337</v>
      </c>
      <c r="F45" s="33">
        <v>4</v>
      </c>
      <c r="G45" s="33">
        <v>1</v>
      </c>
      <c r="H45" s="33">
        <v>81800</v>
      </c>
      <c r="I45" s="33" t="s">
        <v>39</v>
      </c>
      <c r="J45" s="33">
        <v>16022654</v>
      </c>
      <c r="K45" s="33" t="s">
        <v>94</v>
      </c>
      <c r="L45" s="39" t="s">
        <v>98</v>
      </c>
      <c r="M45" s="35">
        <v>169900</v>
      </c>
      <c r="N45" s="36">
        <f t="shared" si="2"/>
        <v>0.75</v>
      </c>
      <c r="O45" s="72">
        <f t="shared" si="0"/>
        <v>42475</v>
      </c>
      <c r="P45" s="33" t="s">
        <v>16</v>
      </c>
    </row>
    <row r="46" spans="1:16" x14ac:dyDescent="0.35">
      <c r="A46" s="33" t="str">
        <f t="shared" si="1"/>
        <v>2024 JAN-SEP DISC 75%</v>
      </c>
      <c r="B46" s="34">
        <f t="shared" si="1"/>
        <v>46104</v>
      </c>
      <c r="C46" s="34">
        <f t="shared" si="1"/>
        <v>46113</v>
      </c>
      <c r="D46" s="33">
        <v>3321</v>
      </c>
      <c r="E46" s="33">
        <v>337</v>
      </c>
      <c r="F46" s="33">
        <v>4</v>
      </c>
      <c r="G46" s="33">
        <v>1</v>
      </c>
      <c r="H46" s="33">
        <v>81800</v>
      </c>
      <c r="I46" s="33" t="s">
        <v>39</v>
      </c>
      <c r="J46" s="33">
        <v>16022707</v>
      </c>
      <c r="K46" s="33" t="s">
        <v>99</v>
      </c>
      <c r="L46" s="39" t="s">
        <v>100</v>
      </c>
      <c r="M46" s="35">
        <v>159900</v>
      </c>
      <c r="N46" s="36">
        <f t="shared" si="2"/>
        <v>0.75</v>
      </c>
      <c r="O46" s="72">
        <f t="shared" si="0"/>
        <v>39975</v>
      </c>
      <c r="P46" s="33" t="s">
        <v>16</v>
      </c>
    </row>
    <row r="47" spans="1:16" x14ac:dyDescent="0.35">
      <c r="A47" s="33" t="str">
        <f t="shared" si="1"/>
        <v>2024 JAN-SEP DISC 75%</v>
      </c>
      <c r="B47" s="34">
        <f t="shared" si="1"/>
        <v>46104</v>
      </c>
      <c r="C47" s="34">
        <f t="shared" si="1"/>
        <v>46113</v>
      </c>
      <c r="D47" s="33">
        <v>3321</v>
      </c>
      <c r="E47" s="33">
        <v>337</v>
      </c>
      <c r="F47" s="33">
        <v>4</v>
      </c>
      <c r="G47" s="33">
        <v>1</v>
      </c>
      <c r="H47" s="33">
        <v>81800</v>
      </c>
      <c r="I47" s="33" t="s">
        <v>39</v>
      </c>
      <c r="J47" s="33">
        <v>16022716</v>
      </c>
      <c r="K47" s="33" t="s">
        <v>99</v>
      </c>
      <c r="L47" s="39" t="s">
        <v>101</v>
      </c>
      <c r="M47" s="35">
        <v>159900</v>
      </c>
      <c r="N47" s="36">
        <f t="shared" si="2"/>
        <v>0.75</v>
      </c>
      <c r="O47" s="72">
        <f t="shared" si="0"/>
        <v>39975</v>
      </c>
      <c r="P47" s="33" t="s">
        <v>16</v>
      </c>
    </row>
    <row r="48" spans="1:16" x14ac:dyDescent="0.35">
      <c r="A48" s="33" t="str">
        <f t="shared" si="1"/>
        <v>2024 JAN-SEP DISC 75%</v>
      </c>
      <c r="B48" s="34">
        <f t="shared" si="1"/>
        <v>46104</v>
      </c>
      <c r="C48" s="34">
        <f t="shared" si="1"/>
        <v>46113</v>
      </c>
      <c r="D48" s="33">
        <v>3321</v>
      </c>
      <c r="E48" s="33">
        <v>337</v>
      </c>
      <c r="F48" s="33">
        <v>4</v>
      </c>
      <c r="G48" s="33">
        <v>1</v>
      </c>
      <c r="H48" s="33">
        <v>81800</v>
      </c>
      <c r="I48" s="33" t="s">
        <v>39</v>
      </c>
      <c r="J48" s="33">
        <v>16022725</v>
      </c>
      <c r="K48" s="33" t="s">
        <v>99</v>
      </c>
      <c r="L48" s="39" t="s">
        <v>102</v>
      </c>
      <c r="M48" s="35">
        <v>159900</v>
      </c>
      <c r="N48" s="36">
        <f t="shared" si="2"/>
        <v>0.75</v>
      </c>
      <c r="O48" s="72">
        <f t="shared" si="0"/>
        <v>39975</v>
      </c>
      <c r="P48" s="33" t="s">
        <v>16</v>
      </c>
    </row>
    <row r="49" spans="1:16" x14ac:dyDescent="0.35">
      <c r="A49" s="33" t="str">
        <f t="shared" si="1"/>
        <v>2024 JAN-SEP DISC 75%</v>
      </c>
      <c r="B49" s="34">
        <f t="shared" si="1"/>
        <v>46104</v>
      </c>
      <c r="C49" s="34">
        <f t="shared" si="1"/>
        <v>46113</v>
      </c>
      <c r="D49" s="33">
        <v>3321</v>
      </c>
      <c r="E49" s="33">
        <v>337</v>
      </c>
      <c r="F49" s="33">
        <v>4</v>
      </c>
      <c r="G49" s="33">
        <v>1</v>
      </c>
      <c r="H49" s="33">
        <v>81800</v>
      </c>
      <c r="I49" s="33" t="s">
        <v>39</v>
      </c>
      <c r="J49" s="33">
        <v>16022734</v>
      </c>
      <c r="K49" s="33" t="s">
        <v>99</v>
      </c>
      <c r="L49" s="39" t="s">
        <v>103</v>
      </c>
      <c r="M49" s="35">
        <v>159900</v>
      </c>
      <c r="N49" s="36">
        <f t="shared" si="2"/>
        <v>0.75</v>
      </c>
      <c r="O49" s="72">
        <f t="shared" si="0"/>
        <v>39975</v>
      </c>
      <c r="P49" s="33" t="s">
        <v>16</v>
      </c>
    </row>
    <row r="50" spans="1:16" x14ac:dyDescent="0.35">
      <c r="A50" s="33" t="str">
        <f t="shared" si="1"/>
        <v>2024 JAN-SEP DISC 75%</v>
      </c>
      <c r="B50" s="34">
        <f t="shared" si="1"/>
        <v>46104</v>
      </c>
      <c r="C50" s="34">
        <f t="shared" si="1"/>
        <v>46113</v>
      </c>
      <c r="D50" s="33">
        <v>3321</v>
      </c>
      <c r="E50" s="33">
        <v>337</v>
      </c>
      <c r="F50" s="33">
        <v>4</v>
      </c>
      <c r="G50" s="33">
        <v>1</v>
      </c>
      <c r="H50" s="33">
        <v>81800</v>
      </c>
      <c r="I50" s="33" t="s">
        <v>39</v>
      </c>
      <c r="J50" s="33">
        <v>16265437</v>
      </c>
      <c r="K50" s="33" t="s">
        <v>104</v>
      </c>
      <c r="L50" s="39" t="s">
        <v>105</v>
      </c>
      <c r="M50" s="35">
        <v>189900</v>
      </c>
      <c r="N50" s="36">
        <f t="shared" si="2"/>
        <v>0.75</v>
      </c>
      <c r="O50" s="72">
        <f t="shared" si="0"/>
        <v>47475</v>
      </c>
      <c r="P50" s="33" t="s">
        <v>16</v>
      </c>
    </row>
    <row r="51" spans="1:16" x14ac:dyDescent="0.35">
      <c r="A51" s="33" t="str">
        <f t="shared" si="1"/>
        <v>2024 JAN-SEP DISC 75%</v>
      </c>
      <c r="B51" s="34">
        <f t="shared" si="1"/>
        <v>46104</v>
      </c>
      <c r="C51" s="34">
        <f t="shared" si="1"/>
        <v>46113</v>
      </c>
      <c r="D51" s="33">
        <v>3321</v>
      </c>
      <c r="E51" s="33">
        <v>337</v>
      </c>
      <c r="F51" s="33">
        <v>4</v>
      </c>
      <c r="G51" s="33">
        <v>1</v>
      </c>
      <c r="H51" s="33">
        <v>81800</v>
      </c>
      <c r="I51" s="33" t="s">
        <v>39</v>
      </c>
      <c r="J51" s="33">
        <v>16265455</v>
      </c>
      <c r="K51" s="33" t="s">
        <v>104</v>
      </c>
      <c r="L51" s="39" t="s">
        <v>106</v>
      </c>
      <c r="M51" s="35">
        <v>189900</v>
      </c>
      <c r="N51" s="36">
        <f t="shared" si="2"/>
        <v>0.75</v>
      </c>
      <c r="O51" s="72">
        <f t="shared" si="0"/>
        <v>47475</v>
      </c>
      <c r="P51" s="33" t="s">
        <v>16</v>
      </c>
    </row>
    <row r="52" spans="1:16" x14ac:dyDescent="0.35">
      <c r="A52" s="33" t="str">
        <f t="shared" si="1"/>
        <v>2024 JAN-SEP DISC 75%</v>
      </c>
      <c r="B52" s="34">
        <f t="shared" si="1"/>
        <v>46104</v>
      </c>
      <c r="C52" s="34">
        <f t="shared" si="1"/>
        <v>46113</v>
      </c>
      <c r="D52" s="33">
        <v>3321</v>
      </c>
      <c r="E52" s="33">
        <v>337</v>
      </c>
      <c r="F52" s="33">
        <v>4</v>
      </c>
      <c r="G52" s="33">
        <v>1</v>
      </c>
      <c r="H52" s="33">
        <v>81800</v>
      </c>
      <c r="I52" s="33" t="s">
        <v>39</v>
      </c>
      <c r="J52" s="33">
        <v>16265464</v>
      </c>
      <c r="K52" s="33" t="s">
        <v>104</v>
      </c>
      <c r="L52" s="39" t="s">
        <v>107</v>
      </c>
      <c r="M52" s="35">
        <v>189900</v>
      </c>
      <c r="N52" s="36">
        <f t="shared" si="2"/>
        <v>0.75</v>
      </c>
      <c r="O52" s="72">
        <f t="shared" si="0"/>
        <v>47475</v>
      </c>
      <c r="P52" s="33" t="s">
        <v>16</v>
      </c>
    </row>
    <row r="53" spans="1:16" x14ac:dyDescent="0.35">
      <c r="A53" s="33" t="str">
        <f t="shared" si="1"/>
        <v>2024 JAN-SEP DISC 75%</v>
      </c>
      <c r="B53" s="34">
        <f t="shared" si="1"/>
        <v>46104</v>
      </c>
      <c r="C53" s="34">
        <f t="shared" si="1"/>
        <v>46113</v>
      </c>
      <c r="D53" s="33">
        <v>3321</v>
      </c>
      <c r="E53" s="33">
        <v>337</v>
      </c>
      <c r="F53" s="33">
        <v>4</v>
      </c>
      <c r="G53" s="33">
        <v>1</v>
      </c>
      <c r="H53" s="33">
        <v>81800</v>
      </c>
      <c r="I53" s="33" t="s">
        <v>39</v>
      </c>
      <c r="J53" s="33">
        <v>16265473</v>
      </c>
      <c r="K53" s="33" t="s">
        <v>104</v>
      </c>
      <c r="L53" s="39" t="s">
        <v>108</v>
      </c>
      <c r="M53" s="35">
        <v>189900</v>
      </c>
      <c r="N53" s="36">
        <f t="shared" si="2"/>
        <v>0.75</v>
      </c>
      <c r="O53" s="72">
        <f t="shared" si="0"/>
        <v>47475</v>
      </c>
      <c r="P53" s="33" t="s">
        <v>16</v>
      </c>
    </row>
    <row r="54" spans="1:16" x14ac:dyDescent="0.35">
      <c r="A54" s="33" t="str">
        <f t="shared" si="1"/>
        <v>2024 JAN-SEP DISC 75%</v>
      </c>
      <c r="B54" s="34">
        <f t="shared" si="1"/>
        <v>46104</v>
      </c>
      <c r="C54" s="34">
        <f t="shared" si="1"/>
        <v>46113</v>
      </c>
      <c r="D54" s="33">
        <v>3321</v>
      </c>
      <c r="E54" s="33">
        <v>337</v>
      </c>
      <c r="F54" s="33">
        <v>4</v>
      </c>
      <c r="G54" s="33">
        <v>3</v>
      </c>
      <c r="H54" s="33">
        <v>81421</v>
      </c>
      <c r="I54" s="33" t="s">
        <v>39</v>
      </c>
      <c r="J54" s="33">
        <v>16130868</v>
      </c>
      <c r="K54" s="33" t="s">
        <v>109</v>
      </c>
      <c r="L54" s="39" t="s">
        <v>110</v>
      </c>
      <c r="M54" s="35">
        <v>259900</v>
      </c>
      <c r="N54" s="36">
        <f t="shared" si="2"/>
        <v>0.75</v>
      </c>
      <c r="O54" s="72">
        <f t="shared" si="0"/>
        <v>64975</v>
      </c>
      <c r="P54" s="33" t="s">
        <v>16</v>
      </c>
    </row>
    <row r="55" spans="1:16" x14ac:dyDescent="0.35">
      <c r="A55" s="33" t="str">
        <f t="shared" si="1"/>
        <v>2024 JAN-SEP DISC 75%</v>
      </c>
      <c r="B55" s="34">
        <f t="shared" si="1"/>
        <v>46104</v>
      </c>
      <c r="C55" s="34">
        <f t="shared" si="1"/>
        <v>46113</v>
      </c>
      <c r="D55" s="33">
        <v>3321</v>
      </c>
      <c r="E55" s="33">
        <v>337</v>
      </c>
      <c r="F55" s="33">
        <v>4</v>
      </c>
      <c r="G55" s="33">
        <v>3</v>
      </c>
      <c r="H55" s="33">
        <v>81421</v>
      </c>
      <c r="I55" s="33" t="s">
        <v>39</v>
      </c>
      <c r="J55" s="33">
        <v>16130877</v>
      </c>
      <c r="K55" s="33" t="s">
        <v>109</v>
      </c>
      <c r="L55" s="39" t="s">
        <v>111</v>
      </c>
      <c r="M55" s="35">
        <v>259900</v>
      </c>
      <c r="N55" s="36">
        <f t="shared" si="2"/>
        <v>0.75</v>
      </c>
      <c r="O55" s="72">
        <f t="shared" si="0"/>
        <v>64975</v>
      </c>
      <c r="P55" s="33" t="s">
        <v>16</v>
      </c>
    </row>
    <row r="56" spans="1:16" x14ac:dyDescent="0.35">
      <c r="A56" s="33" t="str">
        <f t="shared" si="1"/>
        <v>2024 JAN-SEP DISC 75%</v>
      </c>
      <c r="B56" s="34">
        <f t="shared" si="1"/>
        <v>46104</v>
      </c>
      <c r="C56" s="34">
        <f t="shared" si="1"/>
        <v>46113</v>
      </c>
      <c r="D56" s="33">
        <v>3321</v>
      </c>
      <c r="E56" s="33">
        <v>337</v>
      </c>
      <c r="F56" s="33">
        <v>4</v>
      </c>
      <c r="G56" s="33">
        <v>3</v>
      </c>
      <c r="H56" s="33">
        <v>81421</v>
      </c>
      <c r="I56" s="33" t="s">
        <v>39</v>
      </c>
      <c r="J56" s="33">
        <v>16130886</v>
      </c>
      <c r="K56" s="33" t="s">
        <v>109</v>
      </c>
      <c r="L56" s="39" t="s">
        <v>112</v>
      </c>
      <c r="M56" s="35">
        <v>259900</v>
      </c>
      <c r="N56" s="36">
        <f t="shared" si="2"/>
        <v>0.75</v>
      </c>
      <c r="O56" s="72">
        <f t="shared" si="0"/>
        <v>64975</v>
      </c>
      <c r="P56" s="33" t="s">
        <v>16</v>
      </c>
    </row>
    <row r="57" spans="1:16" x14ac:dyDescent="0.35">
      <c r="A57" s="33" t="str">
        <f t="shared" si="1"/>
        <v>2024 JAN-SEP DISC 75%</v>
      </c>
      <c r="B57" s="34">
        <f t="shared" si="1"/>
        <v>46104</v>
      </c>
      <c r="C57" s="34">
        <f t="shared" si="1"/>
        <v>46113</v>
      </c>
      <c r="D57" s="33">
        <v>3321</v>
      </c>
      <c r="E57" s="33">
        <v>337</v>
      </c>
      <c r="F57" s="33">
        <v>4</v>
      </c>
      <c r="G57" s="33">
        <v>3</v>
      </c>
      <c r="H57" s="33">
        <v>81421</v>
      </c>
      <c r="I57" s="33" t="s">
        <v>39</v>
      </c>
      <c r="J57" s="33">
        <v>16130902</v>
      </c>
      <c r="K57" s="33" t="s">
        <v>113</v>
      </c>
      <c r="L57" s="39" t="s">
        <v>114</v>
      </c>
      <c r="M57" s="35">
        <v>219900</v>
      </c>
      <c r="N57" s="36">
        <f t="shared" si="2"/>
        <v>0.75</v>
      </c>
      <c r="O57" s="72">
        <f t="shared" si="0"/>
        <v>54975</v>
      </c>
      <c r="P57" s="33" t="s">
        <v>16</v>
      </c>
    </row>
    <row r="58" spans="1:16" x14ac:dyDescent="0.35">
      <c r="A58" s="33" t="str">
        <f t="shared" si="1"/>
        <v>2024 JAN-SEP DISC 75%</v>
      </c>
      <c r="B58" s="34">
        <f t="shared" si="1"/>
        <v>46104</v>
      </c>
      <c r="C58" s="34">
        <f t="shared" si="1"/>
        <v>46113</v>
      </c>
      <c r="D58" s="33">
        <v>3321</v>
      </c>
      <c r="E58" s="33">
        <v>337</v>
      </c>
      <c r="F58" s="33">
        <v>4</v>
      </c>
      <c r="G58" s="33">
        <v>3</v>
      </c>
      <c r="H58" s="33">
        <v>81421</v>
      </c>
      <c r="I58" s="33" t="s">
        <v>39</v>
      </c>
      <c r="J58" s="33">
        <v>16130911</v>
      </c>
      <c r="K58" s="33" t="s">
        <v>113</v>
      </c>
      <c r="L58" s="39" t="s">
        <v>115</v>
      </c>
      <c r="M58" s="35">
        <v>219900</v>
      </c>
      <c r="N58" s="36">
        <f t="shared" si="2"/>
        <v>0.75</v>
      </c>
      <c r="O58" s="72">
        <f t="shared" si="0"/>
        <v>54975</v>
      </c>
      <c r="P58" s="33" t="s">
        <v>16</v>
      </c>
    </row>
    <row r="59" spans="1:16" x14ac:dyDescent="0.35">
      <c r="A59" s="33" t="str">
        <f t="shared" si="1"/>
        <v>2024 JAN-SEP DISC 75%</v>
      </c>
      <c r="B59" s="34">
        <f t="shared" si="1"/>
        <v>46104</v>
      </c>
      <c r="C59" s="34">
        <f t="shared" si="1"/>
        <v>46113</v>
      </c>
      <c r="D59" s="33">
        <v>3321</v>
      </c>
      <c r="E59" s="33">
        <v>337</v>
      </c>
      <c r="F59" s="33">
        <v>4</v>
      </c>
      <c r="G59" s="33">
        <v>3</v>
      </c>
      <c r="H59" s="33">
        <v>81421</v>
      </c>
      <c r="I59" s="33" t="s">
        <v>39</v>
      </c>
      <c r="J59" s="33">
        <v>16130920</v>
      </c>
      <c r="K59" s="33" t="s">
        <v>113</v>
      </c>
      <c r="L59" s="39" t="s">
        <v>116</v>
      </c>
      <c r="M59" s="35">
        <v>219900</v>
      </c>
      <c r="N59" s="36">
        <f t="shared" si="2"/>
        <v>0.75</v>
      </c>
      <c r="O59" s="72">
        <f t="shared" si="0"/>
        <v>54975</v>
      </c>
      <c r="P59" s="33" t="s">
        <v>16</v>
      </c>
    </row>
    <row r="60" spans="1:16" x14ac:dyDescent="0.35">
      <c r="A60" s="33" t="str">
        <f t="shared" si="1"/>
        <v>2024 JAN-SEP DISC 75%</v>
      </c>
      <c r="B60" s="34">
        <f t="shared" si="1"/>
        <v>46104</v>
      </c>
      <c r="C60" s="34">
        <f t="shared" si="1"/>
        <v>46113</v>
      </c>
      <c r="D60" s="33">
        <v>3321</v>
      </c>
      <c r="E60" s="33">
        <v>337</v>
      </c>
      <c r="F60" s="33">
        <v>4</v>
      </c>
      <c r="G60" s="33">
        <v>3</v>
      </c>
      <c r="H60" s="33">
        <v>81800</v>
      </c>
      <c r="I60" s="33" t="s">
        <v>39</v>
      </c>
      <c r="J60" s="33">
        <v>16572239</v>
      </c>
      <c r="K60" s="33" t="s">
        <v>117</v>
      </c>
      <c r="L60" s="39" t="s">
        <v>118</v>
      </c>
      <c r="M60" s="35">
        <v>239900</v>
      </c>
      <c r="N60" s="36">
        <f t="shared" si="2"/>
        <v>0.75</v>
      </c>
      <c r="O60" s="72">
        <f t="shared" si="0"/>
        <v>59975</v>
      </c>
      <c r="P60" s="33" t="s">
        <v>16</v>
      </c>
    </row>
    <row r="61" spans="1:16" x14ac:dyDescent="0.35">
      <c r="A61" s="33" t="str">
        <f t="shared" si="1"/>
        <v>2024 JAN-SEP DISC 75%</v>
      </c>
      <c r="B61" s="34">
        <f t="shared" si="1"/>
        <v>46104</v>
      </c>
      <c r="C61" s="34">
        <f t="shared" si="1"/>
        <v>46113</v>
      </c>
      <c r="D61" s="33">
        <v>3321</v>
      </c>
      <c r="E61" s="33">
        <v>337</v>
      </c>
      <c r="F61" s="33">
        <v>4</v>
      </c>
      <c r="G61" s="33">
        <v>3</v>
      </c>
      <c r="H61" s="33">
        <v>81800</v>
      </c>
      <c r="I61" s="33" t="s">
        <v>39</v>
      </c>
      <c r="J61" s="33">
        <v>16572248</v>
      </c>
      <c r="K61" s="33" t="s">
        <v>117</v>
      </c>
      <c r="L61" s="39" t="s">
        <v>119</v>
      </c>
      <c r="M61" s="35">
        <v>239900</v>
      </c>
      <c r="N61" s="36">
        <f t="shared" si="2"/>
        <v>0.75</v>
      </c>
      <c r="O61" s="72">
        <f t="shared" si="0"/>
        <v>59975</v>
      </c>
      <c r="P61" s="33" t="s">
        <v>16</v>
      </c>
    </row>
    <row r="62" spans="1:16" x14ac:dyDescent="0.35">
      <c r="A62" s="33" t="str">
        <f t="shared" si="1"/>
        <v>2024 JAN-SEP DISC 75%</v>
      </c>
      <c r="B62" s="34">
        <f t="shared" si="1"/>
        <v>46104</v>
      </c>
      <c r="C62" s="34">
        <f t="shared" si="1"/>
        <v>46113</v>
      </c>
      <c r="D62" s="33">
        <v>3321</v>
      </c>
      <c r="E62" s="33">
        <v>337</v>
      </c>
      <c r="F62" s="33">
        <v>4</v>
      </c>
      <c r="G62" s="33">
        <v>3</v>
      </c>
      <c r="H62" s="33">
        <v>81800</v>
      </c>
      <c r="I62" s="33" t="s">
        <v>39</v>
      </c>
      <c r="J62" s="33">
        <v>16572257</v>
      </c>
      <c r="K62" s="33" t="s">
        <v>117</v>
      </c>
      <c r="L62" s="39" t="s">
        <v>120</v>
      </c>
      <c r="M62" s="35">
        <v>239900</v>
      </c>
      <c r="N62" s="36">
        <f t="shared" si="2"/>
        <v>0.75</v>
      </c>
      <c r="O62" s="72">
        <f t="shared" si="0"/>
        <v>59975</v>
      </c>
      <c r="P62" s="33" t="s">
        <v>16</v>
      </c>
    </row>
    <row r="63" spans="1:16" x14ac:dyDescent="0.35">
      <c r="A63" s="33" t="str">
        <f t="shared" si="1"/>
        <v>2024 JAN-SEP DISC 75%</v>
      </c>
      <c r="B63" s="34">
        <f t="shared" si="1"/>
        <v>46104</v>
      </c>
      <c r="C63" s="34">
        <f t="shared" si="1"/>
        <v>46113</v>
      </c>
      <c r="D63" s="33">
        <v>3321</v>
      </c>
      <c r="E63" s="33">
        <v>337</v>
      </c>
      <c r="F63" s="33">
        <v>4</v>
      </c>
      <c r="G63" s="33">
        <v>3</v>
      </c>
      <c r="H63" s="33">
        <v>81800</v>
      </c>
      <c r="I63" s="33" t="s">
        <v>39</v>
      </c>
      <c r="J63" s="33">
        <v>16572266</v>
      </c>
      <c r="K63" s="33" t="s">
        <v>117</v>
      </c>
      <c r="L63" s="39" t="s">
        <v>121</v>
      </c>
      <c r="M63" s="35">
        <v>239900</v>
      </c>
      <c r="N63" s="36">
        <f t="shared" si="2"/>
        <v>0.75</v>
      </c>
      <c r="O63" s="72">
        <f t="shared" si="0"/>
        <v>59975</v>
      </c>
      <c r="P63" s="33" t="s">
        <v>16</v>
      </c>
    </row>
    <row r="64" spans="1:16" x14ac:dyDescent="0.35">
      <c r="A64" s="33" t="str">
        <f t="shared" si="1"/>
        <v>2024 JAN-SEP DISC 75%</v>
      </c>
      <c r="B64" s="34">
        <f t="shared" si="1"/>
        <v>46104</v>
      </c>
      <c r="C64" s="34">
        <f t="shared" si="1"/>
        <v>46113</v>
      </c>
      <c r="D64" s="33">
        <v>3321</v>
      </c>
      <c r="E64" s="33">
        <v>337</v>
      </c>
      <c r="F64" s="33">
        <v>4</v>
      </c>
      <c r="G64" s="33">
        <v>4</v>
      </c>
      <c r="H64" s="33">
        <v>81421</v>
      </c>
      <c r="I64" s="33" t="s">
        <v>39</v>
      </c>
      <c r="J64" s="33">
        <v>16130948</v>
      </c>
      <c r="K64" s="33" t="s">
        <v>122</v>
      </c>
      <c r="L64" s="39" t="s">
        <v>123</v>
      </c>
      <c r="M64" s="35">
        <v>179900</v>
      </c>
      <c r="N64" s="36">
        <f t="shared" si="2"/>
        <v>0.75</v>
      </c>
      <c r="O64" s="72">
        <f t="shared" si="0"/>
        <v>44975</v>
      </c>
      <c r="P64" s="33" t="s">
        <v>16</v>
      </c>
    </row>
    <row r="65" spans="1:16" x14ac:dyDescent="0.35">
      <c r="A65" s="33" t="str">
        <f t="shared" si="1"/>
        <v>2024 JAN-SEP DISC 75%</v>
      </c>
      <c r="B65" s="34">
        <f t="shared" si="1"/>
        <v>46104</v>
      </c>
      <c r="C65" s="34">
        <f t="shared" si="1"/>
        <v>46113</v>
      </c>
      <c r="D65" s="33">
        <v>3321</v>
      </c>
      <c r="E65" s="33">
        <v>337</v>
      </c>
      <c r="F65" s="33">
        <v>4</v>
      </c>
      <c r="G65" s="33">
        <v>4</v>
      </c>
      <c r="H65" s="33">
        <v>81421</v>
      </c>
      <c r="I65" s="33" t="s">
        <v>39</v>
      </c>
      <c r="J65" s="33">
        <v>16130957</v>
      </c>
      <c r="K65" s="33" t="s">
        <v>122</v>
      </c>
      <c r="L65" s="39" t="s">
        <v>124</v>
      </c>
      <c r="M65" s="35">
        <v>179900</v>
      </c>
      <c r="N65" s="36">
        <f t="shared" si="2"/>
        <v>0.75</v>
      </c>
      <c r="O65" s="72">
        <f t="shared" si="0"/>
        <v>44975</v>
      </c>
      <c r="P65" s="33" t="s">
        <v>16</v>
      </c>
    </row>
    <row r="66" spans="1:16" x14ac:dyDescent="0.35">
      <c r="A66" s="33" t="str">
        <f t="shared" si="1"/>
        <v>2024 JAN-SEP DISC 75%</v>
      </c>
      <c r="B66" s="34">
        <f t="shared" si="1"/>
        <v>46104</v>
      </c>
      <c r="C66" s="34">
        <f t="shared" si="1"/>
        <v>46113</v>
      </c>
      <c r="D66" s="33">
        <v>3321</v>
      </c>
      <c r="E66" s="33">
        <v>337</v>
      </c>
      <c r="F66" s="33">
        <v>4</v>
      </c>
      <c r="G66" s="33">
        <v>4</v>
      </c>
      <c r="H66" s="33">
        <v>81421</v>
      </c>
      <c r="I66" s="33" t="s">
        <v>39</v>
      </c>
      <c r="J66" s="33">
        <v>16130966</v>
      </c>
      <c r="K66" s="33" t="s">
        <v>122</v>
      </c>
      <c r="L66" s="39" t="s">
        <v>125</v>
      </c>
      <c r="M66" s="35">
        <v>179900</v>
      </c>
      <c r="N66" s="36">
        <f t="shared" si="2"/>
        <v>0.75</v>
      </c>
      <c r="O66" s="72">
        <f t="shared" si="0"/>
        <v>44975</v>
      </c>
      <c r="P66" s="33" t="s">
        <v>16</v>
      </c>
    </row>
    <row r="67" spans="1:16" x14ac:dyDescent="0.35">
      <c r="A67" s="33" t="str">
        <f t="shared" si="1"/>
        <v>2024 JAN-SEP DISC 75%</v>
      </c>
      <c r="B67" s="34">
        <f t="shared" si="1"/>
        <v>46104</v>
      </c>
      <c r="C67" s="34">
        <f t="shared" si="1"/>
        <v>46113</v>
      </c>
      <c r="D67" s="33">
        <v>3321</v>
      </c>
      <c r="E67" s="33">
        <v>337</v>
      </c>
      <c r="F67" s="33">
        <v>4</v>
      </c>
      <c r="G67" s="33">
        <v>4</v>
      </c>
      <c r="H67" s="33">
        <v>81421</v>
      </c>
      <c r="I67" s="33" t="s">
        <v>39</v>
      </c>
      <c r="J67" s="33">
        <v>16130984</v>
      </c>
      <c r="K67" s="33" t="s">
        <v>126</v>
      </c>
      <c r="L67" s="39" t="s">
        <v>127</v>
      </c>
      <c r="M67" s="35">
        <v>219900</v>
      </c>
      <c r="N67" s="36">
        <f t="shared" si="2"/>
        <v>0.75</v>
      </c>
      <c r="O67" s="72">
        <f t="shared" ref="O67:O130" si="3">M67-((75*M67)/100)</f>
        <v>54975</v>
      </c>
      <c r="P67" s="33" t="s">
        <v>16</v>
      </c>
    </row>
    <row r="68" spans="1:16" x14ac:dyDescent="0.35">
      <c r="A68" s="33" t="str">
        <f t="shared" ref="A68:C131" si="4">A67</f>
        <v>2024 JAN-SEP DISC 75%</v>
      </c>
      <c r="B68" s="34">
        <f t="shared" si="4"/>
        <v>46104</v>
      </c>
      <c r="C68" s="34">
        <f t="shared" si="4"/>
        <v>46113</v>
      </c>
      <c r="D68" s="33">
        <v>3321</v>
      </c>
      <c r="E68" s="33">
        <v>337</v>
      </c>
      <c r="F68" s="33">
        <v>4</v>
      </c>
      <c r="G68" s="33">
        <v>4</v>
      </c>
      <c r="H68" s="33">
        <v>81421</v>
      </c>
      <c r="I68" s="33" t="s">
        <v>39</v>
      </c>
      <c r="J68" s="33">
        <v>16130993</v>
      </c>
      <c r="K68" s="33" t="s">
        <v>126</v>
      </c>
      <c r="L68" s="39" t="s">
        <v>128</v>
      </c>
      <c r="M68" s="35">
        <v>219900</v>
      </c>
      <c r="N68" s="36">
        <f t="shared" ref="N68:N131" si="5">N67</f>
        <v>0.75</v>
      </c>
      <c r="O68" s="72">
        <f t="shared" si="3"/>
        <v>54975</v>
      </c>
      <c r="P68" s="33" t="s">
        <v>16</v>
      </c>
    </row>
    <row r="69" spans="1:16" x14ac:dyDescent="0.35">
      <c r="A69" s="33" t="str">
        <f t="shared" si="4"/>
        <v>2024 JAN-SEP DISC 75%</v>
      </c>
      <c r="B69" s="34">
        <f t="shared" si="4"/>
        <v>46104</v>
      </c>
      <c r="C69" s="34">
        <f t="shared" si="4"/>
        <v>46113</v>
      </c>
      <c r="D69" s="33">
        <v>3321</v>
      </c>
      <c r="E69" s="33">
        <v>337</v>
      </c>
      <c r="F69" s="33">
        <v>4</v>
      </c>
      <c r="G69" s="33">
        <v>4</v>
      </c>
      <c r="H69" s="33">
        <v>81421</v>
      </c>
      <c r="I69" s="33" t="s">
        <v>39</v>
      </c>
      <c r="J69" s="33">
        <v>16131009</v>
      </c>
      <c r="K69" s="33" t="s">
        <v>126</v>
      </c>
      <c r="L69" s="39" t="s">
        <v>129</v>
      </c>
      <c r="M69" s="35">
        <v>219900</v>
      </c>
      <c r="N69" s="36">
        <f t="shared" si="5"/>
        <v>0.75</v>
      </c>
      <c r="O69" s="72">
        <f t="shared" si="3"/>
        <v>54975</v>
      </c>
      <c r="P69" s="33" t="s">
        <v>16</v>
      </c>
    </row>
    <row r="70" spans="1:16" x14ac:dyDescent="0.35">
      <c r="A70" s="33" t="str">
        <f t="shared" si="4"/>
        <v>2024 JAN-SEP DISC 75%</v>
      </c>
      <c r="B70" s="34">
        <f t="shared" si="4"/>
        <v>46104</v>
      </c>
      <c r="C70" s="34">
        <f t="shared" si="4"/>
        <v>46113</v>
      </c>
      <c r="D70" s="33">
        <v>3321</v>
      </c>
      <c r="E70" s="33">
        <v>337</v>
      </c>
      <c r="F70" s="33">
        <v>4</v>
      </c>
      <c r="G70" s="33">
        <v>4</v>
      </c>
      <c r="H70" s="33">
        <v>81574</v>
      </c>
      <c r="I70" s="33" t="s">
        <v>39</v>
      </c>
      <c r="J70" s="33">
        <v>16131063</v>
      </c>
      <c r="K70" s="33" t="s">
        <v>130</v>
      </c>
      <c r="L70" s="39" t="s">
        <v>131</v>
      </c>
      <c r="M70" s="35">
        <v>259900</v>
      </c>
      <c r="N70" s="36">
        <f t="shared" si="5"/>
        <v>0.75</v>
      </c>
      <c r="O70" s="72">
        <f t="shared" si="3"/>
        <v>64975</v>
      </c>
      <c r="P70" s="33" t="s">
        <v>16</v>
      </c>
    </row>
    <row r="71" spans="1:16" x14ac:dyDescent="0.35">
      <c r="A71" s="33" t="str">
        <f t="shared" si="4"/>
        <v>2024 JAN-SEP DISC 75%</v>
      </c>
      <c r="B71" s="34">
        <f t="shared" si="4"/>
        <v>46104</v>
      </c>
      <c r="C71" s="34">
        <f t="shared" si="4"/>
        <v>46113</v>
      </c>
      <c r="D71" s="33">
        <v>3321</v>
      </c>
      <c r="E71" s="33">
        <v>337</v>
      </c>
      <c r="F71" s="33">
        <v>4</v>
      </c>
      <c r="G71" s="33">
        <v>4</v>
      </c>
      <c r="H71" s="33">
        <v>81574</v>
      </c>
      <c r="I71" s="33" t="s">
        <v>39</v>
      </c>
      <c r="J71" s="33">
        <v>16131072</v>
      </c>
      <c r="K71" s="33" t="s">
        <v>130</v>
      </c>
      <c r="L71" s="39" t="s">
        <v>132</v>
      </c>
      <c r="M71" s="35">
        <v>259900</v>
      </c>
      <c r="N71" s="36">
        <f t="shared" si="5"/>
        <v>0.75</v>
      </c>
      <c r="O71" s="72">
        <f t="shared" si="3"/>
        <v>64975</v>
      </c>
      <c r="P71" s="33" t="s">
        <v>16</v>
      </c>
    </row>
    <row r="72" spans="1:16" x14ac:dyDescent="0.35">
      <c r="A72" s="33" t="str">
        <f t="shared" si="4"/>
        <v>2024 JAN-SEP DISC 75%</v>
      </c>
      <c r="B72" s="34">
        <f t="shared" si="4"/>
        <v>46104</v>
      </c>
      <c r="C72" s="34">
        <f t="shared" si="4"/>
        <v>46113</v>
      </c>
      <c r="D72" s="33">
        <v>3321</v>
      </c>
      <c r="E72" s="33">
        <v>337</v>
      </c>
      <c r="F72" s="33">
        <v>4</v>
      </c>
      <c r="G72" s="33">
        <v>4</v>
      </c>
      <c r="H72" s="33">
        <v>81574</v>
      </c>
      <c r="I72" s="33" t="s">
        <v>39</v>
      </c>
      <c r="J72" s="33">
        <v>16131090</v>
      </c>
      <c r="K72" s="33" t="s">
        <v>130</v>
      </c>
      <c r="L72" s="39" t="s">
        <v>133</v>
      </c>
      <c r="M72" s="35">
        <v>259900</v>
      </c>
      <c r="N72" s="36">
        <f t="shared" si="5"/>
        <v>0.75</v>
      </c>
      <c r="O72" s="72">
        <f t="shared" si="3"/>
        <v>64975</v>
      </c>
      <c r="P72" s="33" t="s">
        <v>16</v>
      </c>
    </row>
    <row r="73" spans="1:16" x14ac:dyDescent="0.35">
      <c r="A73" s="33" t="str">
        <f t="shared" si="4"/>
        <v>2024 JAN-SEP DISC 75%</v>
      </c>
      <c r="B73" s="34">
        <f t="shared" si="4"/>
        <v>46104</v>
      </c>
      <c r="C73" s="34">
        <f t="shared" si="4"/>
        <v>46113</v>
      </c>
      <c r="D73" s="33">
        <v>3321</v>
      </c>
      <c r="E73" s="33">
        <v>337</v>
      </c>
      <c r="F73" s="33">
        <v>4</v>
      </c>
      <c r="G73" s="33">
        <v>5</v>
      </c>
      <c r="H73" s="33">
        <v>81421</v>
      </c>
      <c r="I73" s="33" t="s">
        <v>39</v>
      </c>
      <c r="J73" s="33">
        <v>16131027</v>
      </c>
      <c r="K73" s="33" t="s">
        <v>134</v>
      </c>
      <c r="L73" s="39" t="s">
        <v>135</v>
      </c>
      <c r="M73" s="35">
        <v>249900</v>
      </c>
      <c r="N73" s="36">
        <f t="shared" si="5"/>
        <v>0.75</v>
      </c>
      <c r="O73" s="72">
        <f t="shared" si="3"/>
        <v>62475</v>
      </c>
      <c r="P73" s="33" t="s">
        <v>16</v>
      </c>
    </row>
    <row r="74" spans="1:16" x14ac:dyDescent="0.35">
      <c r="A74" s="33" t="str">
        <f t="shared" si="4"/>
        <v>2024 JAN-SEP DISC 75%</v>
      </c>
      <c r="B74" s="34">
        <f t="shared" si="4"/>
        <v>46104</v>
      </c>
      <c r="C74" s="34">
        <f t="shared" si="4"/>
        <v>46113</v>
      </c>
      <c r="D74" s="33">
        <v>3321</v>
      </c>
      <c r="E74" s="33">
        <v>337</v>
      </c>
      <c r="F74" s="33">
        <v>4</v>
      </c>
      <c r="G74" s="33">
        <v>5</v>
      </c>
      <c r="H74" s="33">
        <v>81421</v>
      </c>
      <c r="I74" s="33" t="s">
        <v>39</v>
      </c>
      <c r="J74" s="33">
        <v>16131036</v>
      </c>
      <c r="K74" s="33" t="s">
        <v>134</v>
      </c>
      <c r="L74" s="39" t="s">
        <v>136</v>
      </c>
      <c r="M74" s="35">
        <v>249900</v>
      </c>
      <c r="N74" s="36">
        <f t="shared" si="5"/>
        <v>0.75</v>
      </c>
      <c r="O74" s="72">
        <f t="shared" si="3"/>
        <v>62475</v>
      </c>
      <c r="P74" s="33" t="s">
        <v>16</v>
      </c>
    </row>
    <row r="75" spans="1:16" x14ac:dyDescent="0.35">
      <c r="A75" s="33" t="str">
        <f t="shared" si="4"/>
        <v>2024 JAN-SEP DISC 75%</v>
      </c>
      <c r="B75" s="34">
        <f t="shared" si="4"/>
        <v>46104</v>
      </c>
      <c r="C75" s="34">
        <f t="shared" si="4"/>
        <v>46113</v>
      </c>
      <c r="D75" s="33">
        <v>3321</v>
      </c>
      <c r="E75" s="33">
        <v>337</v>
      </c>
      <c r="F75" s="33">
        <v>4</v>
      </c>
      <c r="G75" s="33">
        <v>5</v>
      </c>
      <c r="H75" s="33">
        <v>81421</v>
      </c>
      <c r="I75" s="33" t="s">
        <v>39</v>
      </c>
      <c r="J75" s="33">
        <v>16131045</v>
      </c>
      <c r="K75" s="33" t="s">
        <v>134</v>
      </c>
      <c r="L75" s="39" t="s">
        <v>137</v>
      </c>
      <c r="M75" s="35">
        <v>249900</v>
      </c>
      <c r="N75" s="36">
        <f t="shared" si="5"/>
        <v>0.75</v>
      </c>
      <c r="O75" s="72">
        <f t="shared" si="3"/>
        <v>62475</v>
      </c>
      <c r="P75" s="33" t="s">
        <v>16</v>
      </c>
    </row>
    <row r="76" spans="1:16" x14ac:dyDescent="0.35">
      <c r="A76" s="33" t="str">
        <f t="shared" si="4"/>
        <v>2024 JAN-SEP DISC 75%</v>
      </c>
      <c r="B76" s="34">
        <f t="shared" si="4"/>
        <v>46104</v>
      </c>
      <c r="C76" s="34">
        <f t="shared" si="4"/>
        <v>46113</v>
      </c>
      <c r="D76" s="33">
        <v>3321</v>
      </c>
      <c r="E76" s="33">
        <v>337</v>
      </c>
      <c r="F76" s="33">
        <v>4</v>
      </c>
      <c r="G76" s="33">
        <v>5</v>
      </c>
      <c r="H76" s="33">
        <v>81421</v>
      </c>
      <c r="I76" s="33" t="s">
        <v>39</v>
      </c>
      <c r="J76" s="33">
        <v>16131107</v>
      </c>
      <c r="K76" s="33" t="s">
        <v>138</v>
      </c>
      <c r="L76" s="39" t="s">
        <v>139</v>
      </c>
      <c r="M76" s="35">
        <v>239900</v>
      </c>
      <c r="N76" s="36">
        <f t="shared" si="5"/>
        <v>0.75</v>
      </c>
      <c r="O76" s="72">
        <f t="shared" si="3"/>
        <v>59975</v>
      </c>
      <c r="P76" s="33" t="s">
        <v>16</v>
      </c>
    </row>
    <row r="77" spans="1:16" x14ac:dyDescent="0.35">
      <c r="A77" s="33" t="str">
        <f t="shared" si="4"/>
        <v>2024 JAN-SEP DISC 75%</v>
      </c>
      <c r="B77" s="34">
        <f t="shared" si="4"/>
        <v>46104</v>
      </c>
      <c r="C77" s="34">
        <f t="shared" si="4"/>
        <v>46113</v>
      </c>
      <c r="D77" s="33">
        <v>3321</v>
      </c>
      <c r="E77" s="33">
        <v>337</v>
      </c>
      <c r="F77" s="33">
        <v>4</v>
      </c>
      <c r="G77" s="33">
        <v>5</v>
      </c>
      <c r="H77" s="33">
        <v>81421</v>
      </c>
      <c r="I77" s="33" t="s">
        <v>39</v>
      </c>
      <c r="J77" s="33">
        <v>16131116</v>
      </c>
      <c r="K77" s="33" t="s">
        <v>138</v>
      </c>
      <c r="L77" s="39" t="s">
        <v>140</v>
      </c>
      <c r="M77" s="35">
        <v>239900</v>
      </c>
      <c r="N77" s="36">
        <f t="shared" si="5"/>
        <v>0.75</v>
      </c>
      <c r="O77" s="72">
        <f t="shared" si="3"/>
        <v>59975</v>
      </c>
      <c r="P77" s="33" t="s">
        <v>16</v>
      </c>
    </row>
    <row r="78" spans="1:16" x14ac:dyDescent="0.35">
      <c r="A78" s="33" t="str">
        <f t="shared" si="4"/>
        <v>2024 JAN-SEP DISC 75%</v>
      </c>
      <c r="B78" s="34">
        <f t="shared" si="4"/>
        <v>46104</v>
      </c>
      <c r="C78" s="34">
        <f t="shared" si="4"/>
        <v>46113</v>
      </c>
      <c r="D78" s="33">
        <v>3321</v>
      </c>
      <c r="E78" s="33">
        <v>337</v>
      </c>
      <c r="F78" s="33">
        <v>4</v>
      </c>
      <c r="G78" s="33">
        <v>5</v>
      </c>
      <c r="H78" s="33">
        <v>81421</v>
      </c>
      <c r="I78" s="33" t="s">
        <v>39</v>
      </c>
      <c r="J78" s="33">
        <v>16131125</v>
      </c>
      <c r="K78" s="33" t="s">
        <v>138</v>
      </c>
      <c r="L78" s="39" t="s">
        <v>141</v>
      </c>
      <c r="M78" s="35">
        <v>239900</v>
      </c>
      <c r="N78" s="36">
        <f t="shared" si="5"/>
        <v>0.75</v>
      </c>
      <c r="O78" s="72">
        <f t="shared" si="3"/>
        <v>59975</v>
      </c>
      <c r="P78" s="33" t="s">
        <v>16</v>
      </c>
    </row>
    <row r="79" spans="1:16" x14ac:dyDescent="0.35">
      <c r="A79" s="33" t="str">
        <f t="shared" si="4"/>
        <v>2024 JAN-SEP DISC 75%</v>
      </c>
      <c r="B79" s="34">
        <f t="shared" si="4"/>
        <v>46104</v>
      </c>
      <c r="C79" s="34">
        <f t="shared" si="4"/>
        <v>46113</v>
      </c>
      <c r="D79" s="33">
        <v>3321</v>
      </c>
      <c r="E79" s="33">
        <v>337</v>
      </c>
      <c r="F79" s="33">
        <v>4</v>
      </c>
      <c r="G79" s="33">
        <v>5</v>
      </c>
      <c r="H79" s="33">
        <v>81506</v>
      </c>
      <c r="I79" s="33" t="s">
        <v>39</v>
      </c>
      <c r="J79" s="33">
        <v>16265482</v>
      </c>
      <c r="K79" s="33" t="s">
        <v>142</v>
      </c>
      <c r="L79" s="39" t="s">
        <v>143</v>
      </c>
      <c r="M79" s="35">
        <v>239900</v>
      </c>
      <c r="N79" s="36">
        <f t="shared" si="5"/>
        <v>0.75</v>
      </c>
      <c r="O79" s="72">
        <f t="shared" si="3"/>
        <v>59975</v>
      </c>
      <c r="P79" s="33" t="s">
        <v>16</v>
      </c>
    </row>
    <row r="80" spans="1:16" x14ac:dyDescent="0.35">
      <c r="A80" s="33" t="str">
        <f t="shared" si="4"/>
        <v>2024 JAN-SEP DISC 75%</v>
      </c>
      <c r="B80" s="34">
        <f t="shared" si="4"/>
        <v>46104</v>
      </c>
      <c r="C80" s="34">
        <f t="shared" si="4"/>
        <v>46113</v>
      </c>
      <c r="D80" s="33">
        <v>3321</v>
      </c>
      <c r="E80" s="33">
        <v>337</v>
      </c>
      <c r="F80" s="33">
        <v>4</v>
      </c>
      <c r="G80" s="33">
        <v>5</v>
      </c>
      <c r="H80" s="33">
        <v>81506</v>
      </c>
      <c r="I80" s="33" t="s">
        <v>39</v>
      </c>
      <c r="J80" s="33">
        <v>16265491</v>
      </c>
      <c r="K80" s="33" t="s">
        <v>142</v>
      </c>
      <c r="L80" s="39" t="s">
        <v>144</v>
      </c>
      <c r="M80" s="35">
        <v>239900</v>
      </c>
      <c r="N80" s="36">
        <f t="shared" si="5"/>
        <v>0.75</v>
      </c>
      <c r="O80" s="72">
        <f t="shared" si="3"/>
        <v>59975</v>
      </c>
      <c r="P80" s="33" t="s">
        <v>16</v>
      </c>
    </row>
    <row r="81" spans="1:16" x14ac:dyDescent="0.35">
      <c r="A81" s="33" t="str">
        <f t="shared" si="4"/>
        <v>2024 JAN-SEP DISC 75%</v>
      </c>
      <c r="B81" s="34">
        <f t="shared" si="4"/>
        <v>46104</v>
      </c>
      <c r="C81" s="34">
        <f t="shared" si="4"/>
        <v>46113</v>
      </c>
      <c r="D81" s="33">
        <v>3321</v>
      </c>
      <c r="E81" s="33">
        <v>337</v>
      </c>
      <c r="F81" s="33">
        <v>4</v>
      </c>
      <c r="G81" s="33">
        <v>5</v>
      </c>
      <c r="H81" s="33">
        <v>81506</v>
      </c>
      <c r="I81" s="33" t="s">
        <v>39</v>
      </c>
      <c r="J81" s="33">
        <v>16265508</v>
      </c>
      <c r="K81" s="33" t="s">
        <v>142</v>
      </c>
      <c r="L81" s="39" t="s">
        <v>145</v>
      </c>
      <c r="M81" s="35">
        <v>239900</v>
      </c>
      <c r="N81" s="36">
        <f t="shared" si="5"/>
        <v>0.75</v>
      </c>
      <c r="O81" s="72">
        <f t="shared" si="3"/>
        <v>59975</v>
      </c>
      <c r="P81" s="33" t="s">
        <v>16</v>
      </c>
    </row>
    <row r="82" spans="1:16" x14ac:dyDescent="0.35">
      <c r="A82" s="33" t="str">
        <f t="shared" si="4"/>
        <v>2024 JAN-SEP DISC 75%</v>
      </c>
      <c r="B82" s="34">
        <f t="shared" si="4"/>
        <v>46104</v>
      </c>
      <c r="C82" s="34">
        <f t="shared" si="4"/>
        <v>46113</v>
      </c>
      <c r="D82" s="33">
        <v>3321</v>
      </c>
      <c r="E82" s="33">
        <v>337</v>
      </c>
      <c r="F82" s="33">
        <v>4</v>
      </c>
      <c r="G82" s="33">
        <v>5</v>
      </c>
      <c r="H82" s="33">
        <v>81506</v>
      </c>
      <c r="I82" s="33" t="s">
        <v>39</v>
      </c>
      <c r="J82" s="33">
        <v>16265517</v>
      </c>
      <c r="K82" s="33" t="s">
        <v>142</v>
      </c>
      <c r="L82" s="39" t="s">
        <v>146</v>
      </c>
      <c r="M82" s="35">
        <v>239900</v>
      </c>
      <c r="N82" s="36">
        <f t="shared" si="5"/>
        <v>0.75</v>
      </c>
      <c r="O82" s="72">
        <f t="shared" si="3"/>
        <v>59975</v>
      </c>
      <c r="P82" s="33" t="s">
        <v>16</v>
      </c>
    </row>
    <row r="83" spans="1:16" x14ac:dyDescent="0.35">
      <c r="A83" s="33" t="str">
        <f t="shared" si="4"/>
        <v>2024 JAN-SEP DISC 75%</v>
      </c>
      <c r="B83" s="34">
        <f t="shared" si="4"/>
        <v>46104</v>
      </c>
      <c r="C83" s="34">
        <f t="shared" si="4"/>
        <v>46113</v>
      </c>
      <c r="D83" s="33">
        <v>3321</v>
      </c>
      <c r="E83" s="33">
        <v>337</v>
      </c>
      <c r="F83" s="33">
        <v>4</v>
      </c>
      <c r="G83" s="33">
        <v>5</v>
      </c>
      <c r="H83" s="33">
        <v>81506</v>
      </c>
      <c r="I83" s="33" t="s">
        <v>39</v>
      </c>
      <c r="J83" s="33">
        <v>16265526</v>
      </c>
      <c r="K83" s="33" t="s">
        <v>147</v>
      </c>
      <c r="L83" s="39" t="s">
        <v>148</v>
      </c>
      <c r="M83" s="35">
        <v>249900</v>
      </c>
      <c r="N83" s="36">
        <f t="shared" si="5"/>
        <v>0.75</v>
      </c>
      <c r="O83" s="72">
        <f t="shared" si="3"/>
        <v>62475</v>
      </c>
      <c r="P83" s="33" t="s">
        <v>16</v>
      </c>
    </row>
    <row r="84" spans="1:16" x14ac:dyDescent="0.35">
      <c r="A84" s="33" t="str">
        <f t="shared" si="4"/>
        <v>2024 JAN-SEP DISC 75%</v>
      </c>
      <c r="B84" s="34">
        <f t="shared" si="4"/>
        <v>46104</v>
      </c>
      <c r="C84" s="34">
        <f t="shared" si="4"/>
        <v>46113</v>
      </c>
      <c r="D84" s="33">
        <v>3321</v>
      </c>
      <c r="E84" s="33">
        <v>337</v>
      </c>
      <c r="F84" s="33">
        <v>4</v>
      </c>
      <c r="G84" s="33">
        <v>5</v>
      </c>
      <c r="H84" s="33">
        <v>81506</v>
      </c>
      <c r="I84" s="33" t="s">
        <v>39</v>
      </c>
      <c r="J84" s="33">
        <v>16265535</v>
      </c>
      <c r="K84" s="33" t="s">
        <v>147</v>
      </c>
      <c r="L84" s="39" t="s">
        <v>149</v>
      </c>
      <c r="M84" s="35">
        <v>249900</v>
      </c>
      <c r="N84" s="36">
        <f t="shared" si="5"/>
        <v>0.75</v>
      </c>
      <c r="O84" s="72">
        <f t="shared" si="3"/>
        <v>62475</v>
      </c>
      <c r="P84" s="33" t="s">
        <v>16</v>
      </c>
    </row>
    <row r="85" spans="1:16" x14ac:dyDescent="0.35">
      <c r="A85" s="33" t="str">
        <f t="shared" si="4"/>
        <v>2024 JAN-SEP DISC 75%</v>
      </c>
      <c r="B85" s="34">
        <f t="shared" si="4"/>
        <v>46104</v>
      </c>
      <c r="C85" s="34">
        <f t="shared" si="4"/>
        <v>46113</v>
      </c>
      <c r="D85" s="33">
        <v>3321</v>
      </c>
      <c r="E85" s="33">
        <v>337</v>
      </c>
      <c r="F85" s="33">
        <v>4</v>
      </c>
      <c r="G85" s="33">
        <v>5</v>
      </c>
      <c r="H85" s="33">
        <v>81506</v>
      </c>
      <c r="I85" s="33" t="s">
        <v>39</v>
      </c>
      <c r="J85" s="33">
        <v>16265544</v>
      </c>
      <c r="K85" s="33" t="s">
        <v>147</v>
      </c>
      <c r="L85" s="39" t="s">
        <v>150</v>
      </c>
      <c r="M85" s="35">
        <v>249900</v>
      </c>
      <c r="N85" s="36">
        <f t="shared" si="5"/>
        <v>0.75</v>
      </c>
      <c r="O85" s="72">
        <f t="shared" si="3"/>
        <v>62475</v>
      </c>
      <c r="P85" s="33" t="s">
        <v>16</v>
      </c>
    </row>
    <row r="86" spans="1:16" x14ac:dyDescent="0.35">
      <c r="A86" s="33" t="str">
        <f t="shared" si="4"/>
        <v>2024 JAN-SEP DISC 75%</v>
      </c>
      <c r="B86" s="34">
        <f t="shared" si="4"/>
        <v>46104</v>
      </c>
      <c r="C86" s="34">
        <f t="shared" si="4"/>
        <v>46113</v>
      </c>
      <c r="D86" s="33">
        <v>3321</v>
      </c>
      <c r="E86" s="33">
        <v>337</v>
      </c>
      <c r="F86" s="33">
        <v>4</v>
      </c>
      <c r="G86" s="33">
        <v>5</v>
      </c>
      <c r="H86" s="33">
        <v>81506</v>
      </c>
      <c r="I86" s="33" t="s">
        <v>39</v>
      </c>
      <c r="J86" s="33">
        <v>16265553</v>
      </c>
      <c r="K86" s="33" t="s">
        <v>147</v>
      </c>
      <c r="L86" s="39" t="s">
        <v>151</v>
      </c>
      <c r="M86" s="35">
        <v>249900</v>
      </c>
      <c r="N86" s="36">
        <f t="shared" si="5"/>
        <v>0.75</v>
      </c>
      <c r="O86" s="72">
        <f t="shared" si="3"/>
        <v>62475</v>
      </c>
      <c r="P86" s="33" t="s">
        <v>16</v>
      </c>
    </row>
    <row r="87" spans="1:16" x14ac:dyDescent="0.35">
      <c r="A87" s="33" t="str">
        <f t="shared" si="4"/>
        <v>2024 JAN-SEP DISC 75%</v>
      </c>
      <c r="B87" s="34">
        <f t="shared" si="4"/>
        <v>46104</v>
      </c>
      <c r="C87" s="34">
        <f t="shared" si="4"/>
        <v>46113</v>
      </c>
      <c r="D87" s="33">
        <v>3321</v>
      </c>
      <c r="E87" s="33">
        <v>337</v>
      </c>
      <c r="F87" s="33">
        <v>4</v>
      </c>
      <c r="G87" s="33">
        <v>5</v>
      </c>
      <c r="H87" s="33">
        <v>81506</v>
      </c>
      <c r="I87" s="33" t="s">
        <v>39</v>
      </c>
      <c r="J87" s="33">
        <v>16265562</v>
      </c>
      <c r="K87" s="33" t="s">
        <v>152</v>
      </c>
      <c r="L87" s="39" t="s">
        <v>153</v>
      </c>
      <c r="M87" s="35">
        <v>289900</v>
      </c>
      <c r="N87" s="36">
        <f t="shared" si="5"/>
        <v>0.75</v>
      </c>
      <c r="O87" s="72">
        <f t="shared" si="3"/>
        <v>72475</v>
      </c>
      <c r="P87" s="33" t="s">
        <v>16</v>
      </c>
    </row>
    <row r="88" spans="1:16" x14ac:dyDescent="0.35">
      <c r="A88" s="33" t="str">
        <f t="shared" si="4"/>
        <v>2024 JAN-SEP DISC 75%</v>
      </c>
      <c r="B88" s="34">
        <f t="shared" si="4"/>
        <v>46104</v>
      </c>
      <c r="C88" s="34">
        <f t="shared" si="4"/>
        <v>46113</v>
      </c>
      <c r="D88" s="33">
        <v>3321</v>
      </c>
      <c r="E88" s="33">
        <v>337</v>
      </c>
      <c r="F88" s="33">
        <v>4</v>
      </c>
      <c r="G88" s="33">
        <v>5</v>
      </c>
      <c r="H88" s="33">
        <v>81506</v>
      </c>
      <c r="I88" s="33" t="s">
        <v>39</v>
      </c>
      <c r="J88" s="33">
        <v>16265571</v>
      </c>
      <c r="K88" s="33" t="s">
        <v>152</v>
      </c>
      <c r="L88" s="39" t="s">
        <v>154</v>
      </c>
      <c r="M88" s="35">
        <v>289900</v>
      </c>
      <c r="N88" s="36">
        <f t="shared" si="5"/>
        <v>0.75</v>
      </c>
      <c r="O88" s="72">
        <f t="shared" si="3"/>
        <v>72475</v>
      </c>
      <c r="P88" s="33" t="s">
        <v>16</v>
      </c>
    </row>
    <row r="89" spans="1:16" x14ac:dyDescent="0.35">
      <c r="A89" s="33" t="str">
        <f t="shared" si="4"/>
        <v>2024 JAN-SEP DISC 75%</v>
      </c>
      <c r="B89" s="34">
        <f t="shared" si="4"/>
        <v>46104</v>
      </c>
      <c r="C89" s="34">
        <f t="shared" si="4"/>
        <v>46113</v>
      </c>
      <c r="D89" s="33">
        <v>3321</v>
      </c>
      <c r="E89" s="33">
        <v>337</v>
      </c>
      <c r="F89" s="33">
        <v>4</v>
      </c>
      <c r="G89" s="33">
        <v>5</v>
      </c>
      <c r="H89" s="33">
        <v>81506</v>
      </c>
      <c r="I89" s="33" t="s">
        <v>39</v>
      </c>
      <c r="J89" s="33">
        <v>16265580</v>
      </c>
      <c r="K89" s="33" t="s">
        <v>152</v>
      </c>
      <c r="L89" s="39" t="s">
        <v>155</v>
      </c>
      <c r="M89" s="35">
        <v>289900</v>
      </c>
      <c r="N89" s="36">
        <f t="shared" si="5"/>
        <v>0.75</v>
      </c>
      <c r="O89" s="72">
        <f t="shared" si="3"/>
        <v>72475</v>
      </c>
      <c r="P89" s="33" t="s">
        <v>16</v>
      </c>
    </row>
    <row r="90" spans="1:16" x14ac:dyDescent="0.35">
      <c r="A90" s="33" t="str">
        <f t="shared" si="4"/>
        <v>2024 JAN-SEP DISC 75%</v>
      </c>
      <c r="B90" s="34">
        <f t="shared" si="4"/>
        <v>46104</v>
      </c>
      <c r="C90" s="34">
        <f t="shared" si="4"/>
        <v>46113</v>
      </c>
      <c r="D90" s="33">
        <v>3321</v>
      </c>
      <c r="E90" s="33">
        <v>337</v>
      </c>
      <c r="F90" s="33">
        <v>4</v>
      </c>
      <c r="G90" s="33">
        <v>5</v>
      </c>
      <c r="H90" s="33">
        <v>81506</v>
      </c>
      <c r="I90" s="33" t="s">
        <v>39</v>
      </c>
      <c r="J90" s="33">
        <v>16265599</v>
      </c>
      <c r="K90" s="33" t="s">
        <v>152</v>
      </c>
      <c r="L90" s="39" t="s">
        <v>156</v>
      </c>
      <c r="M90" s="35">
        <v>289900</v>
      </c>
      <c r="N90" s="36">
        <f t="shared" si="5"/>
        <v>0.75</v>
      </c>
      <c r="O90" s="72">
        <f t="shared" si="3"/>
        <v>72475</v>
      </c>
      <c r="P90" s="33" t="s">
        <v>16</v>
      </c>
    </row>
    <row r="91" spans="1:16" x14ac:dyDescent="0.35">
      <c r="A91" s="33" t="str">
        <f t="shared" si="4"/>
        <v>2024 JAN-SEP DISC 75%</v>
      </c>
      <c r="B91" s="34">
        <f t="shared" si="4"/>
        <v>46104</v>
      </c>
      <c r="C91" s="34">
        <f t="shared" si="4"/>
        <v>46113</v>
      </c>
      <c r="D91" s="33">
        <v>3321</v>
      </c>
      <c r="E91" s="33">
        <v>337</v>
      </c>
      <c r="F91" s="33">
        <v>4</v>
      </c>
      <c r="G91" s="33">
        <v>1</v>
      </c>
      <c r="H91" s="33">
        <v>81419</v>
      </c>
      <c r="I91" s="33" t="s">
        <v>39</v>
      </c>
      <c r="J91" s="33">
        <v>16572113</v>
      </c>
      <c r="K91" s="33" t="s">
        <v>412</v>
      </c>
      <c r="L91" s="39" t="s">
        <v>413</v>
      </c>
      <c r="M91" s="35">
        <v>179900</v>
      </c>
      <c r="N91" s="36">
        <f t="shared" si="5"/>
        <v>0.75</v>
      </c>
      <c r="O91" s="72">
        <f t="shared" si="3"/>
        <v>44975</v>
      </c>
      <c r="P91" s="33" t="s">
        <v>16</v>
      </c>
    </row>
    <row r="92" spans="1:16" x14ac:dyDescent="0.35">
      <c r="A92" s="33" t="str">
        <f t="shared" si="4"/>
        <v>2024 JAN-SEP DISC 75%</v>
      </c>
      <c r="B92" s="34">
        <f t="shared" si="4"/>
        <v>46104</v>
      </c>
      <c r="C92" s="34">
        <f t="shared" si="4"/>
        <v>46113</v>
      </c>
      <c r="D92" s="33">
        <v>3321</v>
      </c>
      <c r="E92" s="33">
        <v>337</v>
      </c>
      <c r="F92" s="33">
        <v>4</v>
      </c>
      <c r="G92" s="33">
        <v>1</v>
      </c>
      <c r="H92" s="33">
        <v>81419</v>
      </c>
      <c r="I92" s="33" t="s">
        <v>39</v>
      </c>
      <c r="J92" s="33">
        <v>16572122</v>
      </c>
      <c r="K92" s="33" t="s">
        <v>412</v>
      </c>
      <c r="L92" s="39" t="s">
        <v>414</v>
      </c>
      <c r="M92" s="35">
        <v>179900</v>
      </c>
      <c r="N92" s="36">
        <f t="shared" si="5"/>
        <v>0.75</v>
      </c>
      <c r="O92" s="72">
        <f t="shared" si="3"/>
        <v>44975</v>
      </c>
      <c r="P92" s="33" t="s">
        <v>16</v>
      </c>
    </row>
    <row r="93" spans="1:16" x14ac:dyDescent="0.35">
      <c r="A93" s="33" t="str">
        <f t="shared" si="4"/>
        <v>2024 JAN-SEP DISC 75%</v>
      </c>
      <c r="B93" s="34">
        <f t="shared" si="4"/>
        <v>46104</v>
      </c>
      <c r="C93" s="34">
        <f t="shared" si="4"/>
        <v>46113</v>
      </c>
      <c r="D93" s="33">
        <v>3321</v>
      </c>
      <c r="E93" s="33">
        <v>337</v>
      </c>
      <c r="F93" s="33">
        <v>4</v>
      </c>
      <c r="G93" s="33">
        <v>1</v>
      </c>
      <c r="H93" s="33">
        <v>81419</v>
      </c>
      <c r="I93" s="33" t="s">
        <v>39</v>
      </c>
      <c r="J93" s="33">
        <v>16572131</v>
      </c>
      <c r="K93" s="33" t="s">
        <v>412</v>
      </c>
      <c r="L93" s="39" t="s">
        <v>415</v>
      </c>
      <c r="M93" s="35">
        <v>179900</v>
      </c>
      <c r="N93" s="36">
        <f t="shared" si="5"/>
        <v>0.75</v>
      </c>
      <c r="O93" s="72">
        <f t="shared" si="3"/>
        <v>44975</v>
      </c>
      <c r="P93" s="33" t="s">
        <v>16</v>
      </c>
    </row>
    <row r="94" spans="1:16" x14ac:dyDescent="0.35">
      <c r="A94" s="33" t="str">
        <f t="shared" si="4"/>
        <v>2024 JAN-SEP DISC 75%</v>
      </c>
      <c r="B94" s="34">
        <f t="shared" si="4"/>
        <v>46104</v>
      </c>
      <c r="C94" s="34">
        <f t="shared" si="4"/>
        <v>46113</v>
      </c>
      <c r="D94" s="33">
        <v>3321</v>
      </c>
      <c r="E94" s="33">
        <v>337</v>
      </c>
      <c r="F94" s="33">
        <v>4</v>
      </c>
      <c r="G94" s="33">
        <v>1</v>
      </c>
      <c r="H94" s="33">
        <v>81419</v>
      </c>
      <c r="I94" s="33" t="s">
        <v>39</v>
      </c>
      <c r="J94" s="33">
        <v>16572140</v>
      </c>
      <c r="K94" s="33" t="s">
        <v>412</v>
      </c>
      <c r="L94" s="39" t="s">
        <v>416</v>
      </c>
      <c r="M94" s="35">
        <v>179900</v>
      </c>
      <c r="N94" s="36">
        <f t="shared" si="5"/>
        <v>0.75</v>
      </c>
      <c r="O94" s="72">
        <f t="shared" si="3"/>
        <v>44975</v>
      </c>
      <c r="P94" s="33" t="s">
        <v>16</v>
      </c>
    </row>
    <row r="95" spans="1:16" x14ac:dyDescent="0.35">
      <c r="A95" s="33" t="str">
        <f t="shared" si="4"/>
        <v>2024 JAN-SEP DISC 75%</v>
      </c>
      <c r="B95" s="34">
        <f t="shared" si="4"/>
        <v>46104</v>
      </c>
      <c r="C95" s="34">
        <f t="shared" si="4"/>
        <v>46113</v>
      </c>
      <c r="D95" s="33">
        <v>3321</v>
      </c>
      <c r="E95" s="33">
        <v>337</v>
      </c>
      <c r="F95" s="33">
        <v>4</v>
      </c>
      <c r="G95" s="33">
        <v>1</v>
      </c>
      <c r="H95" s="33">
        <v>81419</v>
      </c>
      <c r="I95" s="33" t="s">
        <v>39</v>
      </c>
      <c r="J95" s="33">
        <v>16572159</v>
      </c>
      <c r="K95" s="33" t="s">
        <v>417</v>
      </c>
      <c r="L95" s="39" t="s">
        <v>418</v>
      </c>
      <c r="M95" s="35">
        <v>179900</v>
      </c>
      <c r="N95" s="36">
        <f t="shared" si="5"/>
        <v>0.75</v>
      </c>
      <c r="O95" s="72">
        <f t="shared" si="3"/>
        <v>44975</v>
      </c>
      <c r="P95" s="33" t="s">
        <v>16</v>
      </c>
    </row>
    <row r="96" spans="1:16" x14ac:dyDescent="0.35">
      <c r="A96" s="33" t="str">
        <f t="shared" si="4"/>
        <v>2024 JAN-SEP DISC 75%</v>
      </c>
      <c r="B96" s="34">
        <f t="shared" si="4"/>
        <v>46104</v>
      </c>
      <c r="C96" s="34">
        <f t="shared" si="4"/>
        <v>46113</v>
      </c>
      <c r="D96" s="33">
        <v>3321</v>
      </c>
      <c r="E96" s="33">
        <v>337</v>
      </c>
      <c r="F96" s="33">
        <v>4</v>
      </c>
      <c r="G96" s="33">
        <v>1</v>
      </c>
      <c r="H96" s="33">
        <v>81419</v>
      </c>
      <c r="I96" s="33" t="s">
        <v>39</v>
      </c>
      <c r="J96" s="33">
        <v>16572168</v>
      </c>
      <c r="K96" s="33" t="s">
        <v>417</v>
      </c>
      <c r="L96" s="39" t="s">
        <v>419</v>
      </c>
      <c r="M96" s="35">
        <v>179900</v>
      </c>
      <c r="N96" s="36">
        <f t="shared" si="5"/>
        <v>0.75</v>
      </c>
      <c r="O96" s="72">
        <f t="shared" si="3"/>
        <v>44975</v>
      </c>
      <c r="P96" s="33" t="s">
        <v>16</v>
      </c>
    </row>
    <row r="97" spans="1:16" x14ac:dyDescent="0.35">
      <c r="A97" s="33" t="str">
        <f t="shared" si="4"/>
        <v>2024 JAN-SEP DISC 75%</v>
      </c>
      <c r="B97" s="34">
        <f t="shared" si="4"/>
        <v>46104</v>
      </c>
      <c r="C97" s="34">
        <f t="shared" si="4"/>
        <v>46113</v>
      </c>
      <c r="D97" s="33">
        <v>3321</v>
      </c>
      <c r="E97" s="33">
        <v>337</v>
      </c>
      <c r="F97" s="33">
        <v>4</v>
      </c>
      <c r="G97" s="33">
        <v>1</v>
      </c>
      <c r="H97" s="33">
        <v>81419</v>
      </c>
      <c r="I97" s="33" t="s">
        <v>39</v>
      </c>
      <c r="J97" s="33">
        <v>16572177</v>
      </c>
      <c r="K97" s="33" t="s">
        <v>417</v>
      </c>
      <c r="L97" s="39" t="s">
        <v>420</v>
      </c>
      <c r="M97" s="35">
        <v>179900</v>
      </c>
      <c r="N97" s="36">
        <f t="shared" si="5"/>
        <v>0.75</v>
      </c>
      <c r="O97" s="72">
        <f t="shared" si="3"/>
        <v>44975</v>
      </c>
      <c r="P97" s="33" t="s">
        <v>16</v>
      </c>
    </row>
    <row r="98" spans="1:16" x14ac:dyDescent="0.35">
      <c r="A98" s="33" t="str">
        <f t="shared" si="4"/>
        <v>2024 JAN-SEP DISC 75%</v>
      </c>
      <c r="B98" s="34">
        <f t="shared" si="4"/>
        <v>46104</v>
      </c>
      <c r="C98" s="34">
        <f t="shared" si="4"/>
        <v>46113</v>
      </c>
      <c r="D98" s="33">
        <v>3321</v>
      </c>
      <c r="E98" s="33">
        <v>337</v>
      </c>
      <c r="F98" s="33">
        <v>4</v>
      </c>
      <c r="G98" s="33">
        <v>1</v>
      </c>
      <c r="H98" s="33">
        <v>81419</v>
      </c>
      <c r="I98" s="33" t="s">
        <v>39</v>
      </c>
      <c r="J98" s="33">
        <v>16572186</v>
      </c>
      <c r="K98" s="33" t="s">
        <v>417</v>
      </c>
      <c r="L98" s="39" t="s">
        <v>421</v>
      </c>
      <c r="M98" s="35">
        <v>179900</v>
      </c>
      <c r="N98" s="36">
        <f t="shared" si="5"/>
        <v>0.75</v>
      </c>
      <c r="O98" s="72">
        <f t="shared" si="3"/>
        <v>44975</v>
      </c>
      <c r="P98" s="33" t="s">
        <v>16</v>
      </c>
    </row>
    <row r="99" spans="1:16" x14ac:dyDescent="0.35">
      <c r="A99" s="33" t="str">
        <f t="shared" si="4"/>
        <v>2024 JAN-SEP DISC 75%</v>
      </c>
      <c r="B99" s="34">
        <f t="shared" si="4"/>
        <v>46104</v>
      </c>
      <c r="C99" s="34">
        <f t="shared" si="4"/>
        <v>46113</v>
      </c>
      <c r="D99" s="33">
        <v>3321</v>
      </c>
      <c r="E99" s="33">
        <v>337</v>
      </c>
      <c r="F99" s="33">
        <v>4</v>
      </c>
      <c r="G99" s="33">
        <v>1</v>
      </c>
      <c r="H99" s="33">
        <v>81419</v>
      </c>
      <c r="I99" s="33" t="s">
        <v>39</v>
      </c>
      <c r="J99" s="33">
        <v>16609173</v>
      </c>
      <c r="K99" s="33" t="s">
        <v>422</v>
      </c>
      <c r="L99" s="39" t="s">
        <v>423</v>
      </c>
      <c r="M99" s="35">
        <v>179900</v>
      </c>
      <c r="N99" s="36">
        <f t="shared" si="5"/>
        <v>0.75</v>
      </c>
      <c r="O99" s="72">
        <f t="shared" si="3"/>
        <v>44975</v>
      </c>
      <c r="P99" s="33" t="s">
        <v>16</v>
      </c>
    </row>
    <row r="100" spans="1:16" x14ac:dyDescent="0.35">
      <c r="A100" s="33" t="str">
        <f t="shared" si="4"/>
        <v>2024 JAN-SEP DISC 75%</v>
      </c>
      <c r="B100" s="34">
        <f t="shared" si="4"/>
        <v>46104</v>
      </c>
      <c r="C100" s="34">
        <f t="shared" si="4"/>
        <v>46113</v>
      </c>
      <c r="D100" s="33">
        <v>3321</v>
      </c>
      <c r="E100" s="33">
        <v>337</v>
      </c>
      <c r="F100" s="33">
        <v>4</v>
      </c>
      <c r="G100" s="33">
        <v>1</v>
      </c>
      <c r="H100" s="33">
        <v>81419</v>
      </c>
      <c r="I100" s="33" t="s">
        <v>39</v>
      </c>
      <c r="J100" s="33">
        <v>16609191</v>
      </c>
      <c r="K100" s="33" t="s">
        <v>422</v>
      </c>
      <c r="L100" s="39" t="s">
        <v>424</v>
      </c>
      <c r="M100" s="35">
        <v>179900</v>
      </c>
      <c r="N100" s="36">
        <f t="shared" si="5"/>
        <v>0.75</v>
      </c>
      <c r="O100" s="72">
        <f t="shared" si="3"/>
        <v>44975</v>
      </c>
      <c r="P100" s="33" t="s">
        <v>16</v>
      </c>
    </row>
    <row r="101" spans="1:16" x14ac:dyDescent="0.35">
      <c r="A101" s="33" t="str">
        <f t="shared" si="4"/>
        <v>2024 JAN-SEP DISC 75%</v>
      </c>
      <c r="B101" s="34">
        <f t="shared" si="4"/>
        <v>46104</v>
      </c>
      <c r="C101" s="34">
        <f t="shared" si="4"/>
        <v>46113</v>
      </c>
      <c r="D101" s="33">
        <v>3321</v>
      </c>
      <c r="E101" s="33">
        <v>337</v>
      </c>
      <c r="F101" s="33">
        <v>4</v>
      </c>
      <c r="G101" s="33">
        <v>1</v>
      </c>
      <c r="H101" s="33">
        <v>81419</v>
      </c>
      <c r="I101" s="33" t="s">
        <v>39</v>
      </c>
      <c r="J101" s="33">
        <v>16609208</v>
      </c>
      <c r="K101" s="33" t="s">
        <v>422</v>
      </c>
      <c r="L101" s="39" t="s">
        <v>425</v>
      </c>
      <c r="M101" s="35">
        <v>179900</v>
      </c>
      <c r="N101" s="36">
        <f t="shared" si="5"/>
        <v>0.75</v>
      </c>
      <c r="O101" s="72">
        <f t="shared" si="3"/>
        <v>44975</v>
      </c>
      <c r="P101" s="33" t="s">
        <v>16</v>
      </c>
    </row>
    <row r="102" spans="1:16" x14ac:dyDescent="0.35">
      <c r="A102" s="33" t="str">
        <f t="shared" si="4"/>
        <v>2024 JAN-SEP DISC 75%</v>
      </c>
      <c r="B102" s="34">
        <f t="shared" si="4"/>
        <v>46104</v>
      </c>
      <c r="C102" s="34">
        <f t="shared" si="4"/>
        <v>46113</v>
      </c>
      <c r="D102" s="33">
        <v>3321</v>
      </c>
      <c r="E102" s="33">
        <v>337</v>
      </c>
      <c r="F102" s="33">
        <v>4</v>
      </c>
      <c r="G102" s="33">
        <v>1</v>
      </c>
      <c r="H102" s="33">
        <v>81419</v>
      </c>
      <c r="I102" s="33" t="s">
        <v>39</v>
      </c>
      <c r="J102" s="33">
        <v>16609217</v>
      </c>
      <c r="K102" s="33" t="s">
        <v>422</v>
      </c>
      <c r="L102" s="39" t="s">
        <v>426</v>
      </c>
      <c r="M102" s="35">
        <v>179900</v>
      </c>
      <c r="N102" s="36">
        <f t="shared" si="5"/>
        <v>0.75</v>
      </c>
      <c r="O102" s="72">
        <f t="shared" si="3"/>
        <v>44975</v>
      </c>
      <c r="P102" s="33" t="s">
        <v>16</v>
      </c>
    </row>
    <row r="103" spans="1:16" x14ac:dyDescent="0.35">
      <c r="A103" s="33" t="str">
        <f t="shared" si="4"/>
        <v>2024 JAN-SEP DISC 75%</v>
      </c>
      <c r="B103" s="34">
        <f t="shared" si="4"/>
        <v>46104</v>
      </c>
      <c r="C103" s="34">
        <f t="shared" si="4"/>
        <v>46113</v>
      </c>
      <c r="D103" s="33">
        <v>3321</v>
      </c>
      <c r="E103" s="33">
        <v>337</v>
      </c>
      <c r="F103" s="33">
        <v>4</v>
      </c>
      <c r="G103" s="33">
        <v>1</v>
      </c>
      <c r="H103" s="33">
        <v>81419</v>
      </c>
      <c r="I103" s="33" t="s">
        <v>39</v>
      </c>
      <c r="J103" s="33">
        <v>16609226</v>
      </c>
      <c r="K103" s="33" t="s">
        <v>427</v>
      </c>
      <c r="L103" s="39" t="s">
        <v>428</v>
      </c>
      <c r="M103" s="35">
        <v>179900</v>
      </c>
      <c r="N103" s="36">
        <f t="shared" si="5"/>
        <v>0.75</v>
      </c>
      <c r="O103" s="72">
        <f t="shared" si="3"/>
        <v>44975</v>
      </c>
      <c r="P103" s="33" t="s">
        <v>16</v>
      </c>
    </row>
    <row r="104" spans="1:16" x14ac:dyDescent="0.35">
      <c r="A104" s="33" t="str">
        <f t="shared" si="4"/>
        <v>2024 JAN-SEP DISC 75%</v>
      </c>
      <c r="B104" s="34">
        <f t="shared" si="4"/>
        <v>46104</v>
      </c>
      <c r="C104" s="34">
        <f t="shared" si="4"/>
        <v>46113</v>
      </c>
      <c r="D104" s="33">
        <v>3321</v>
      </c>
      <c r="E104" s="33">
        <v>337</v>
      </c>
      <c r="F104" s="33">
        <v>4</v>
      </c>
      <c r="G104" s="33">
        <v>1</v>
      </c>
      <c r="H104" s="33">
        <v>81419</v>
      </c>
      <c r="I104" s="33" t="s">
        <v>39</v>
      </c>
      <c r="J104" s="33">
        <v>16609235</v>
      </c>
      <c r="K104" s="33" t="s">
        <v>427</v>
      </c>
      <c r="L104" s="39" t="s">
        <v>429</v>
      </c>
      <c r="M104" s="35">
        <v>179900</v>
      </c>
      <c r="N104" s="36">
        <f t="shared" si="5"/>
        <v>0.75</v>
      </c>
      <c r="O104" s="72">
        <f t="shared" si="3"/>
        <v>44975</v>
      </c>
      <c r="P104" s="33" t="s">
        <v>16</v>
      </c>
    </row>
    <row r="105" spans="1:16" x14ac:dyDescent="0.35">
      <c r="A105" s="33" t="str">
        <f t="shared" si="4"/>
        <v>2024 JAN-SEP DISC 75%</v>
      </c>
      <c r="B105" s="34">
        <f t="shared" si="4"/>
        <v>46104</v>
      </c>
      <c r="C105" s="34">
        <f t="shared" si="4"/>
        <v>46113</v>
      </c>
      <c r="D105" s="33">
        <v>3321</v>
      </c>
      <c r="E105" s="33">
        <v>337</v>
      </c>
      <c r="F105" s="33">
        <v>4</v>
      </c>
      <c r="G105" s="33">
        <v>1</v>
      </c>
      <c r="H105" s="33">
        <v>81419</v>
      </c>
      <c r="I105" s="33" t="s">
        <v>39</v>
      </c>
      <c r="J105" s="33">
        <v>16609244</v>
      </c>
      <c r="K105" s="33" t="s">
        <v>427</v>
      </c>
      <c r="L105" s="39" t="s">
        <v>430</v>
      </c>
      <c r="M105" s="35">
        <v>179900</v>
      </c>
      <c r="N105" s="36">
        <f t="shared" si="5"/>
        <v>0.75</v>
      </c>
      <c r="O105" s="72">
        <f t="shared" si="3"/>
        <v>44975</v>
      </c>
      <c r="P105" s="33" t="s">
        <v>16</v>
      </c>
    </row>
    <row r="106" spans="1:16" x14ac:dyDescent="0.35">
      <c r="A106" s="33" t="str">
        <f t="shared" si="4"/>
        <v>2024 JAN-SEP DISC 75%</v>
      </c>
      <c r="B106" s="34">
        <f t="shared" si="4"/>
        <v>46104</v>
      </c>
      <c r="C106" s="34">
        <f t="shared" si="4"/>
        <v>46113</v>
      </c>
      <c r="D106" s="33">
        <v>3321</v>
      </c>
      <c r="E106" s="33">
        <v>337</v>
      </c>
      <c r="F106" s="33">
        <v>4</v>
      </c>
      <c r="G106" s="33">
        <v>1</v>
      </c>
      <c r="H106" s="33">
        <v>81419</v>
      </c>
      <c r="I106" s="33" t="s">
        <v>39</v>
      </c>
      <c r="J106" s="33">
        <v>16609253</v>
      </c>
      <c r="K106" s="33" t="s">
        <v>427</v>
      </c>
      <c r="L106" s="39" t="s">
        <v>431</v>
      </c>
      <c r="M106" s="35">
        <v>179900</v>
      </c>
      <c r="N106" s="36">
        <f t="shared" si="5"/>
        <v>0.75</v>
      </c>
      <c r="O106" s="72">
        <f t="shared" si="3"/>
        <v>44975</v>
      </c>
      <c r="P106" s="33" t="s">
        <v>16</v>
      </c>
    </row>
    <row r="107" spans="1:16" x14ac:dyDescent="0.35">
      <c r="A107" s="33" t="str">
        <f t="shared" si="4"/>
        <v>2024 JAN-SEP DISC 75%</v>
      </c>
      <c r="B107" s="34">
        <f t="shared" si="4"/>
        <v>46104</v>
      </c>
      <c r="C107" s="34">
        <f t="shared" si="4"/>
        <v>46113</v>
      </c>
      <c r="D107" s="33">
        <v>3321</v>
      </c>
      <c r="E107" s="33">
        <v>337</v>
      </c>
      <c r="F107" s="33">
        <v>4</v>
      </c>
      <c r="G107" s="33">
        <v>1</v>
      </c>
      <c r="H107" s="33">
        <v>81421</v>
      </c>
      <c r="I107" s="33" t="s">
        <v>39</v>
      </c>
      <c r="J107" s="33">
        <v>15928544</v>
      </c>
      <c r="K107" s="33" t="s">
        <v>45</v>
      </c>
      <c r="L107" s="39" t="s">
        <v>432</v>
      </c>
      <c r="M107" s="35">
        <v>159900</v>
      </c>
      <c r="N107" s="36">
        <f t="shared" si="5"/>
        <v>0.75</v>
      </c>
      <c r="O107" s="72">
        <f t="shared" si="3"/>
        <v>39975</v>
      </c>
      <c r="P107" s="33" t="s">
        <v>16</v>
      </c>
    </row>
    <row r="108" spans="1:16" x14ac:dyDescent="0.35">
      <c r="A108" s="33" t="str">
        <f t="shared" si="4"/>
        <v>2024 JAN-SEP DISC 75%</v>
      </c>
      <c r="B108" s="34">
        <f t="shared" si="4"/>
        <v>46104</v>
      </c>
      <c r="C108" s="34">
        <f t="shared" si="4"/>
        <v>46113</v>
      </c>
      <c r="D108" s="33">
        <v>3321</v>
      </c>
      <c r="E108" s="33">
        <v>337</v>
      </c>
      <c r="F108" s="33">
        <v>4</v>
      </c>
      <c r="G108" s="33">
        <v>1</v>
      </c>
      <c r="H108" s="33">
        <v>81421</v>
      </c>
      <c r="I108" s="33" t="s">
        <v>39</v>
      </c>
      <c r="J108" s="33">
        <v>16130733</v>
      </c>
      <c r="K108" s="33" t="s">
        <v>59</v>
      </c>
      <c r="L108" s="39" t="s">
        <v>433</v>
      </c>
      <c r="M108" s="35">
        <v>179900</v>
      </c>
      <c r="N108" s="36">
        <f t="shared" si="5"/>
        <v>0.75</v>
      </c>
      <c r="O108" s="72">
        <f t="shared" si="3"/>
        <v>44975</v>
      </c>
      <c r="P108" s="33" t="s">
        <v>16</v>
      </c>
    </row>
    <row r="109" spans="1:16" x14ac:dyDescent="0.35">
      <c r="A109" s="33" t="str">
        <f t="shared" si="4"/>
        <v>2024 JAN-SEP DISC 75%</v>
      </c>
      <c r="B109" s="34">
        <f t="shared" si="4"/>
        <v>46104</v>
      </c>
      <c r="C109" s="34">
        <f t="shared" si="4"/>
        <v>46113</v>
      </c>
      <c r="D109" s="33">
        <v>3321</v>
      </c>
      <c r="E109" s="33">
        <v>337</v>
      </c>
      <c r="F109" s="33">
        <v>4</v>
      </c>
      <c r="G109" s="33">
        <v>1</v>
      </c>
      <c r="H109" s="33">
        <v>81676</v>
      </c>
      <c r="I109" s="33" t="s">
        <v>39</v>
      </c>
      <c r="J109" s="33">
        <v>16130804</v>
      </c>
      <c r="K109" s="33" t="s">
        <v>80</v>
      </c>
      <c r="L109" s="39" t="s">
        <v>434</v>
      </c>
      <c r="M109" s="35">
        <v>149900</v>
      </c>
      <c r="N109" s="36">
        <f t="shared" si="5"/>
        <v>0.75</v>
      </c>
      <c r="O109" s="72">
        <f t="shared" si="3"/>
        <v>37475</v>
      </c>
      <c r="P109" s="33" t="s">
        <v>16</v>
      </c>
    </row>
    <row r="110" spans="1:16" x14ac:dyDescent="0.35">
      <c r="A110" s="33" t="str">
        <f t="shared" si="4"/>
        <v>2024 JAN-SEP DISC 75%</v>
      </c>
      <c r="B110" s="34">
        <f t="shared" si="4"/>
        <v>46104</v>
      </c>
      <c r="C110" s="34">
        <f t="shared" si="4"/>
        <v>46113</v>
      </c>
      <c r="D110" s="33">
        <v>3321</v>
      </c>
      <c r="E110" s="33">
        <v>337</v>
      </c>
      <c r="F110" s="33">
        <v>4</v>
      </c>
      <c r="G110" s="33">
        <v>1</v>
      </c>
      <c r="H110" s="33">
        <v>81676</v>
      </c>
      <c r="I110" s="33" t="s">
        <v>39</v>
      </c>
      <c r="J110" s="33">
        <v>16130822</v>
      </c>
      <c r="K110" s="33" t="s">
        <v>435</v>
      </c>
      <c r="L110" s="39" t="s">
        <v>436</v>
      </c>
      <c r="M110" s="35">
        <v>149900</v>
      </c>
      <c r="N110" s="36">
        <f t="shared" si="5"/>
        <v>0.75</v>
      </c>
      <c r="O110" s="72">
        <f t="shared" si="3"/>
        <v>37475</v>
      </c>
      <c r="P110" s="33" t="s">
        <v>16</v>
      </c>
    </row>
    <row r="111" spans="1:16" x14ac:dyDescent="0.35">
      <c r="A111" s="33" t="str">
        <f t="shared" si="4"/>
        <v>2024 JAN-SEP DISC 75%</v>
      </c>
      <c r="B111" s="34">
        <f t="shared" si="4"/>
        <v>46104</v>
      </c>
      <c r="C111" s="34">
        <f t="shared" si="4"/>
        <v>46113</v>
      </c>
      <c r="D111" s="33">
        <v>3321</v>
      </c>
      <c r="E111" s="33">
        <v>337</v>
      </c>
      <c r="F111" s="33">
        <v>4</v>
      </c>
      <c r="G111" s="33">
        <v>1</v>
      </c>
      <c r="H111" s="33">
        <v>81676</v>
      </c>
      <c r="I111" s="33" t="s">
        <v>39</v>
      </c>
      <c r="J111" s="33">
        <v>16130831</v>
      </c>
      <c r="K111" s="33" t="s">
        <v>435</v>
      </c>
      <c r="L111" s="39" t="s">
        <v>437</v>
      </c>
      <c r="M111" s="35">
        <v>149900</v>
      </c>
      <c r="N111" s="36">
        <f t="shared" si="5"/>
        <v>0.75</v>
      </c>
      <c r="O111" s="72">
        <f t="shared" si="3"/>
        <v>37475</v>
      </c>
      <c r="P111" s="33" t="s">
        <v>16</v>
      </c>
    </row>
    <row r="112" spans="1:16" x14ac:dyDescent="0.35">
      <c r="A112" s="33" t="str">
        <f t="shared" si="4"/>
        <v>2024 JAN-SEP DISC 75%</v>
      </c>
      <c r="B112" s="34">
        <f t="shared" si="4"/>
        <v>46104</v>
      </c>
      <c r="C112" s="34">
        <f t="shared" si="4"/>
        <v>46113</v>
      </c>
      <c r="D112" s="33">
        <v>3321</v>
      </c>
      <c r="E112" s="33">
        <v>337</v>
      </c>
      <c r="F112" s="33">
        <v>4</v>
      </c>
      <c r="G112" s="33">
        <v>1</v>
      </c>
      <c r="H112" s="33">
        <v>81676</v>
      </c>
      <c r="I112" s="33" t="s">
        <v>39</v>
      </c>
      <c r="J112" s="33">
        <v>16130840</v>
      </c>
      <c r="K112" s="33" t="s">
        <v>435</v>
      </c>
      <c r="L112" s="39" t="s">
        <v>438</v>
      </c>
      <c r="M112" s="35">
        <v>149900</v>
      </c>
      <c r="N112" s="36">
        <f t="shared" si="5"/>
        <v>0.75</v>
      </c>
      <c r="O112" s="72">
        <f t="shared" si="3"/>
        <v>37475</v>
      </c>
      <c r="P112" s="33" t="s">
        <v>16</v>
      </c>
    </row>
    <row r="113" spans="1:16" x14ac:dyDescent="0.35">
      <c r="A113" s="33" t="str">
        <f t="shared" si="4"/>
        <v>2024 JAN-SEP DISC 75%</v>
      </c>
      <c r="B113" s="34">
        <f t="shared" si="4"/>
        <v>46104</v>
      </c>
      <c r="C113" s="34">
        <f t="shared" si="4"/>
        <v>46113</v>
      </c>
      <c r="D113" s="33">
        <v>3321</v>
      </c>
      <c r="E113" s="33">
        <v>337</v>
      </c>
      <c r="F113" s="33">
        <v>4</v>
      </c>
      <c r="G113" s="33">
        <v>1</v>
      </c>
      <c r="H113" s="33">
        <v>81676</v>
      </c>
      <c r="I113" s="33" t="s">
        <v>39</v>
      </c>
      <c r="J113" s="33">
        <v>16130859</v>
      </c>
      <c r="K113" s="33" t="s">
        <v>435</v>
      </c>
      <c r="L113" s="39" t="s">
        <v>439</v>
      </c>
      <c r="M113" s="35">
        <v>149900</v>
      </c>
      <c r="N113" s="36">
        <f t="shared" si="5"/>
        <v>0.75</v>
      </c>
      <c r="O113" s="72">
        <f t="shared" si="3"/>
        <v>37475</v>
      </c>
      <c r="P113" s="33" t="s">
        <v>16</v>
      </c>
    </row>
    <row r="114" spans="1:16" x14ac:dyDescent="0.35">
      <c r="A114" s="33" t="str">
        <f t="shared" si="4"/>
        <v>2024 JAN-SEP DISC 75%</v>
      </c>
      <c r="B114" s="34">
        <f t="shared" si="4"/>
        <v>46104</v>
      </c>
      <c r="C114" s="34">
        <f t="shared" si="4"/>
        <v>46113</v>
      </c>
      <c r="D114" s="33">
        <v>3321</v>
      </c>
      <c r="E114" s="33">
        <v>337</v>
      </c>
      <c r="F114" s="33">
        <v>4</v>
      </c>
      <c r="G114" s="33">
        <v>3</v>
      </c>
      <c r="H114" s="33">
        <v>81419</v>
      </c>
      <c r="I114" s="33" t="s">
        <v>39</v>
      </c>
      <c r="J114" s="33">
        <v>16572319</v>
      </c>
      <c r="K114" s="33" t="s">
        <v>440</v>
      </c>
      <c r="L114" s="39" t="s">
        <v>441</v>
      </c>
      <c r="M114" s="35">
        <v>279900</v>
      </c>
      <c r="N114" s="36">
        <f t="shared" si="5"/>
        <v>0.75</v>
      </c>
      <c r="O114" s="72">
        <f t="shared" si="3"/>
        <v>69975</v>
      </c>
      <c r="P114" s="33" t="s">
        <v>16</v>
      </c>
    </row>
    <row r="115" spans="1:16" x14ac:dyDescent="0.35">
      <c r="A115" s="33" t="str">
        <f t="shared" si="4"/>
        <v>2024 JAN-SEP DISC 75%</v>
      </c>
      <c r="B115" s="34">
        <f t="shared" si="4"/>
        <v>46104</v>
      </c>
      <c r="C115" s="34">
        <f t="shared" si="4"/>
        <v>46113</v>
      </c>
      <c r="D115" s="33">
        <v>3321</v>
      </c>
      <c r="E115" s="33">
        <v>337</v>
      </c>
      <c r="F115" s="33">
        <v>4</v>
      </c>
      <c r="G115" s="33">
        <v>3</v>
      </c>
      <c r="H115" s="33">
        <v>81419</v>
      </c>
      <c r="I115" s="33" t="s">
        <v>39</v>
      </c>
      <c r="J115" s="33">
        <v>16572328</v>
      </c>
      <c r="K115" s="33" t="s">
        <v>440</v>
      </c>
      <c r="L115" s="39" t="s">
        <v>442</v>
      </c>
      <c r="M115" s="35">
        <v>279900</v>
      </c>
      <c r="N115" s="36">
        <f t="shared" si="5"/>
        <v>0.75</v>
      </c>
      <c r="O115" s="72">
        <f t="shared" si="3"/>
        <v>69975</v>
      </c>
      <c r="P115" s="33" t="s">
        <v>16</v>
      </c>
    </row>
    <row r="116" spans="1:16" x14ac:dyDescent="0.35">
      <c r="A116" s="33" t="str">
        <f t="shared" si="4"/>
        <v>2024 JAN-SEP DISC 75%</v>
      </c>
      <c r="B116" s="34">
        <f t="shared" si="4"/>
        <v>46104</v>
      </c>
      <c r="C116" s="34">
        <f t="shared" si="4"/>
        <v>46113</v>
      </c>
      <c r="D116" s="33">
        <v>3321</v>
      </c>
      <c r="E116" s="33">
        <v>337</v>
      </c>
      <c r="F116" s="33">
        <v>4</v>
      </c>
      <c r="G116" s="33">
        <v>3</v>
      </c>
      <c r="H116" s="33">
        <v>81419</v>
      </c>
      <c r="I116" s="33" t="s">
        <v>39</v>
      </c>
      <c r="J116" s="33">
        <v>16572337</v>
      </c>
      <c r="K116" s="33" t="s">
        <v>440</v>
      </c>
      <c r="L116" s="39" t="s">
        <v>443</v>
      </c>
      <c r="M116" s="35">
        <v>279900</v>
      </c>
      <c r="N116" s="36">
        <f t="shared" si="5"/>
        <v>0.75</v>
      </c>
      <c r="O116" s="72">
        <f t="shared" si="3"/>
        <v>69975</v>
      </c>
      <c r="P116" s="33" t="s">
        <v>16</v>
      </c>
    </row>
    <row r="117" spans="1:16" x14ac:dyDescent="0.35">
      <c r="A117" s="33" t="str">
        <f t="shared" si="4"/>
        <v>2024 JAN-SEP DISC 75%</v>
      </c>
      <c r="B117" s="34">
        <f t="shared" si="4"/>
        <v>46104</v>
      </c>
      <c r="C117" s="34">
        <f t="shared" si="4"/>
        <v>46113</v>
      </c>
      <c r="D117" s="33">
        <v>3321</v>
      </c>
      <c r="E117" s="33">
        <v>337</v>
      </c>
      <c r="F117" s="33">
        <v>4</v>
      </c>
      <c r="G117" s="33">
        <v>3</v>
      </c>
      <c r="H117" s="33">
        <v>81419</v>
      </c>
      <c r="I117" s="33" t="s">
        <v>39</v>
      </c>
      <c r="J117" s="33">
        <v>16572346</v>
      </c>
      <c r="K117" s="33" t="s">
        <v>440</v>
      </c>
      <c r="L117" s="39" t="s">
        <v>444</v>
      </c>
      <c r="M117" s="35">
        <v>279900</v>
      </c>
      <c r="N117" s="36">
        <f t="shared" si="5"/>
        <v>0.75</v>
      </c>
      <c r="O117" s="72">
        <f t="shared" si="3"/>
        <v>69975</v>
      </c>
      <c r="P117" s="33" t="s">
        <v>16</v>
      </c>
    </row>
    <row r="118" spans="1:16" x14ac:dyDescent="0.35">
      <c r="A118" s="33" t="str">
        <f t="shared" si="4"/>
        <v>2024 JAN-SEP DISC 75%</v>
      </c>
      <c r="B118" s="34">
        <f t="shared" si="4"/>
        <v>46104</v>
      </c>
      <c r="C118" s="34">
        <f t="shared" si="4"/>
        <v>46113</v>
      </c>
      <c r="D118" s="33">
        <v>3321</v>
      </c>
      <c r="E118" s="33">
        <v>337</v>
      </c>
      <c r="F118" s="33">
        <v>4</v>
      </c>
      <c r="G118" s="33">
        <v>3</v>
      </c>
      <c r="H118" s="33">
        <v>81421</v>
      </c>
      <c r="I118" s="33" t="s">
        <v>39</v>
      </c>
      <c r="J118" s="33">
        <v>16130895</v>
      </c>
      <c r="K118" s="33" t="s">
        <v>109</v>
      </c>
      <c r="L118" s="39" t="s">
        <v>445</v>
      </c>
      <c r="M118" s="35">
        <v>259900</v>
      </c>
      <c r="N118" s="36">
        <f t="shared" si="5"/>
        <v>0.75</v>
      </c>
      <c r="O118" s="72">
        <f t="shared" si="3"/>
        <v>64975</v>
      </c>
      <c r="P118" s="33" t="s">
        <v>16</v>
      </c>
    </row>
    <row r="119" spans="1:16" x14ac:dyDescent="0.35">
      <c r="A119" s="33" t="str">
        <f t="shared" si="4"/>
        <v>2024 JAN-SEP DISC 75%</v>
      </c>
      <c r="B119" s="34">
        <f t="shared" si="4"/>
        <v>46104</v>
      </c>
      <c r="C119" s="34">
        <f t="shared" si="4"/>
        <v>46113</v>
      </c>
      <c r="D119" s="33">
        <v>3321</v>
      </c>
      <c r="E119" s="33">
        <v>337</v>
      </c>
      <c r="F119" s="33">
        <v>4</v>
      </c>
      <c r="G119" s="33">
        <v>3</v>
      </c>
      <c r="H119" s="33">
        <v>81421</v>
      </c>
      <c r="I119" s="33" t="s">
        <v>39</v>
      </c>
      <c r="J119" s="33">
        <v>16130939</v>
      </c>
      <c r="K119" s="33" t="s">
        <v>113</v>
      </c>
      <c r="L119" s="39" t="s">
        <v>446</v>
      </c>
      <c r="M119" s="35">
        <v>219900</v>
      </c>
      <c r="N119" s="36">
        <f t="shared" si="5"/>
        <v>0.75</v>
      </c>
      <c r="O119" s="72">
        <f t="shared" si="3"/>
        <v>54975</v>
      </c>
      <c r="P119" s="33" t="s">
        <v>16</v>
      </c>
    </row>
    <row r="120" spans="1:16" x14ac:dyDescent="0.35">
      <c r="A120" s="33" t="str">
        <f t="shared" si="4"/>
        <v>2024 JAN-SEP DISC 75%</v>
      </c>
      <c r="B120" s="34">
        <f t="shared" si="4"/>
        <v>46104</v>
      </c>
      <c r="C120" s="34">
        <f t="shared" si="4"/>
        <v>46113</v>
      </c>
      <c r="D120" s="33">
        <v>3321</v>
      </c>
      <c r="E120" s="33">
        <v>337</v>
      </c>
      <c r="F120" s="33">
        <v>4</v>
      </c>
      <c r="G120" s="33">
        <v>4</v>
      </c>
      <c r="H120" s="33">
        <v>81419</v>
      </c>
      <c r="I120" s="33" t="s">
        <v>39</v>
      </c>
      <c r="J120" s="33">
        <v>16724173</v>
      </c>
      <c r="K120" s="33" t="s">
        <v>447</v>
      </c>
      <c r="L120" s="39" t="s">
        <v>448</v>
      </c>
      <c r="M120" s="35">
        <v>229900</v>
      </c>
      <c r="N120" s="36">
        <f t="shared" si="5"/>
        <v>0.75</v>
      </c>
      <c r="O120" s="72">
        <f t="shared" si="3"/>
        <v>57475</v>
      </c>
      <c r="P120" s="33" t="s">
        <v>16</v>
      </c>
    </row>
    <row r="121" spans="1:16" x14ac:dyDescent="0.35">
      <c r="A121" s="33" t="str">
        <f t="shared" si="4"/>
        <v>2024 JAN-SEP DISC 75%</v>
      </c>
      <c r="B121" s="34">
        <f t="shared" si="4"/>
        <v>46104</v>
      </c>
      <c r="C121" s="34">
        <f t="shared" si="4"/>
        <v>46113</v>
      </c>
      <c r="D121" s="33">
        <v>3321</v>
      </c>
      <c r="E121" s="33">
        <v>337</v>
      </c>
      <c r="F121" s="33">
        <v>4</v>
      </c>
      <c r="G121" s="33">
        <v>4</v>
      </c>
      <c r="H121" s="33">
        <v>81419</v>
      </c>
      <c r="I121" s="33" t="s">
        <v>39</v>
      </c>
      <c r="J121" s="33">
        <v>16724182</v>
      </c>
      <c r="K121" s="33" t="s">
        <v>447</v>
      </c>
      <c r="L121" s="39" t="s">
        <v>449</v>
      </c>
      <c r="M121" s="35">
        <v>229900</v>
      </c>
      <c r="N121" s="36">
        <f t="shared" si="5"/>
        <v>0.75</v>
      </c>
      <c r="O121" s="72">
        <f t="shared" si="3"/>
        <v>57475</v>
      </c>
      <c r="P121" s="33" t="s">
        <v>16</v>
      </c>
    </row>
    <row r="122" spans="1:16" x14ac:dyDescent="0.35">
      <c r="A122" s="33" t="str">
        <f t="shared" si="4"/>
        <v>2024 JAN-SEP DISC 75%</v>
      </c>
      <c r="B122" s="34">
        <f t="shared" si="4"/>
        <v>46104</v>
      </c>
      <c r="C122" s="34">
        <f t="shared" si="4"/>
        <v>46113</v>
      </c>
      <c r="D122" s="33">
        <v>3321</v>
      </c>
      <c r="E122" s="33">
        <v>337</v>
      </c>
      <c r="F122" s="33">
        <v>4</v>
      </c>
      <c r="G122" s="33">
        <v>4</v>
      </c>
      <c r="H122" s="33">
        <v>81419</v>
      </c>
      <c r="I122" s="33" t="s">
        <v>39</v>
      </c>
      <c r="J122" s="33">
        <v>16724191</v>
      </c>
      <c r="K122" s="33" t="s">
        <v>447</v>
      </c>
      <c r="L122" s="39" t="s">
        <v>450</v>
      </c>
      <c r="M122" s="35">
        <v>229900</v>
      </c>
      <c r="N122" s="36">
        <f t="shared" si="5"/>
        <v>0.75</v>
      </c>
      <c r="O122" s="72">
        <f t="shared" si="3"/>
        <v>57475</v>
      </c>
      <c r="P122" s="33" t="s">
        <v>16</v>
      </c>
    </row>
    <row r="123" spans="1:16" x14ac:dyDescent="0.35">
      <c r="A123" s="33" t="str">
        <f t="shared" si="4"/>
        <v>2024 JAN-SEP DISC 75%</v>
      </c>
      <c r="B123" s="34">
        <f t="shared" si="4"/>
        <v>46104</v>
      </c>
      <c r="C123" s="34">
        <f t="shared" si="4"/>
        <v>46113</v>
      </c>
      <c r="D123" s="33">
        <v>3321</v>
      </c>
      <c r="E123" s="33">
        <v>337</v>
      </c>
      <c r="F123" s="33">
        <v>4</v>
      </c>
      <c r="G123" s="33">
        <v>4</v>
      </c>
      <c r="H123" s="33">
        <v>81419</v>
      </c>
      <c r="I123" s="33" t="s">
        <v>39</v>
      </c>
      <c r="J123" s="33">
        <v>16724208</v>
      </c>
      <c r="K123" s="33" t="s">
        <v>447</v>
      </c>
      <c r="L123" s="39" t="s">
        <v>451</v>
      </c>
      <c r="M123" s="35">
        <v>229900</v>
      </c>
      <c r="N123" s="36">
        <f t="shared" si="5"/>
        <v>0.75</v>
      </c>
      <c r="O123" s="72">
        <f t="shared" si="3"/>
        <v>57475</v>
      </c>
      <c r="P123" s="33" t="s">
        <v>16</v>
      </c>
    </row>
    <row r="124" spans="1:16" x14ac:dyDescent="0.35">
      <c r="A124" s="33" t="str">
        <f t="shared" si="4"/>
        <v>2024 JAN-SEP DISC 75%</v>
      </c>
      <c r="B124" s="34">
        <f t="shared" si="4"/>
        <v>46104</v>
      </c>
      <c r="C124" s="34">
        <f t="shared" si="4"/>
        <v>46113</v>
      </c>
      <c r="D124" s="33">
        <v>3321</v>
      </c>
      <c r="E124" s="33">
        <v>337</v>
      </c>
      <c r="F124" s="33">
        <v>4</v>
      </c>
      <c r="G124" s="33">
        <v>4</v>
      </c>
      <c r="H124" s="33">
        <v>81421</v>
      </c>
      <c r="I124" s="33" t="s">
        <v>39</v>
      </c>
      <c r="J124" s="33">
        <v>16130975</v>
      </c>
      <c r="K124" s="33" t="s">
        <v>122</v>
      </c>
      <c r="L124" s="39" t="s">
        <v>452</v>
      </c>
      <c r="M124" s="35">
        <v>179900</v>
      </c>
      <c r="N124" s="36">
        <f t="shared" si="5"/>
        <v>0.75</v>
      </c>
      <c r="O124" s="72">
        <f t="shared" si="3"/>
        <v>44975</v>
      </c>
      <c r="P124" s="33" t="s">
        <v>16</v>
      </c>
    </row>
    <row r="125" spans="1:16" x14ac:dyDescent="0.35">
      <c r="A125" s="33" t="str">
        <f t="shared" si="4"/>
        <v>2024 JAN-SEP DISC 75%</v>
      </c>
      <c r="B125" s="34">
        <f t="shared" si="4"/>
        <v>46104</v>
      </c>
      <c r="C125" s="34">
        <f t="shared" si="4"/>
        <v>46113</v>
      </c>
      <c r="D125" s="33">
        <v>3321</v>
      </c>
      <c r="E125" s="33">
        <v>337</v>
      </c>
      <c r="F125" s="33">
        <v>4</v>
      </c>
      <c r="G125" s="33">
        <v>4</v>
      </c>
      <c r="H125" s="33">
        <v>81421</v>
      </c>
      <c r="I125" s="33" t="s">
        <v>39</v>
      </c>
      <c r="J125" s="33">
        <v>16131018</v>
      </c>
      <c r="K125" s="33" t="s">
        <v>126</v>
      </c>
      <c r="L125" s="39" t="s">
        <v>453</v>
      </c>
      <c r="M125" s="35">
        <v>219900</v>
      </c>
      <c r="N125" s="36">
        <f t="shared" si="5"/>
        <v>0.75</v>
      </c>
      <c r="O125" s="72">
        <f t="shared" si="3"/>
        <v>54975</v>
      </c>
      <c r="P125" s="33" t="s">
        <v>16</v>
      </c>
    </row>
    <row r="126" spans="1:16" x14ac:dyDescent="0.35">
      <c r="A126" s="33" t="str">
        <f t="shared" si="4"/>
        <v>2024 JAN-SEP DISC 75%</v>
      </c>
      <c r="B126" s="34">
        <f t="shared" si="4"/>
        <v>46104</v>
      </c>
      <c r="C126" s="34">
        <f t="shared" si="4"/>
        <v>46113</v>
      </c>
      <c r="D126" s="33">
        <v>3321</v>
      </c>
      <c r="E126" s="33">
        <v>337</v>
      </c>
      <c r="F126" s="33">
        <v>4</v>
      </c>
      <c r="G126" s="33">
        <v>4</v>
      </c>
      <c r="H126" s="33">
        <v>81800</v>
      </c>
      <c r="I126" s="33" t="s">
        <v>39</v>
      </c>
      <c r="J126" s="33">
        <v>16572355</v>
      </c>
      <c r="K126" s="33" t="s">
        <v>454</v>
      </c>
      <c r="L126" s="39" t="s">
        <v>455</v>
      </c>
      <c r="M126" s="35">
        <v>249900</v>
      </c>
      <c r="N126" s="36">
        <f t="shared" si="5"/>
        <v>0.75</v>
      </c>
      <c r="O126" s="72">
        <f t="shared" si="3"/>
        <v>62475</v>
      </c>
      <c r="P126" s="33" t="s">
        <v>16</v>
      </c>
    </row>
    <row r="127" spans="1:16" x14ac:dyDescent="0.35">
      <c r="A127" s="33" t="str">
        <f t="shared" si="4"/>
        <v>2024 JAN-SEP DISC 75%</v>
      </c>
      <c r="B127" s="34">
        <f t="shared" si="4"/>
        <v>46104</v>
      </c>
      <c r="C127" s="34">
        <f t="shared" si="4"/>
        <v>46113</v>
      </c>
      <c r="D127" s="33">
        <v>3321</v>
      </c>
      <c r="E127" s="33">
        <v>337</v>
      </c>
      <c r="F127" s="33">
        <v>4</v>
      </c>
      <c r="G127" s="33">
        <v>4</v>
      </c>
      <c r="H127" s="33">
        <v>81800</v>
      </c>
      <c r="I127" s="33" t="s">
        <v>39</v>
      </c>
      <c r="J127" s="33">
        <v>16572364</v>
      </c>
      <c r="K127" s="33" t="s">
        <v>454</v>
      </c>
      <c r="L127" s="39" t="s">
        <v>456</v>
      </c>
      <c r="M127" s="35">
        <v>249900</v>
      </c>
      <c r="N127" s="36">
        <f t="shared" si="5"/>
        <v>0.75</v>
      </c>
      <c r="O127" s="72">
        <f t="shared" si="3"/>
        <v>62475</v>
      </c>
      <c r="P127" s="33" t="s">
        <v>16</v>
      </c>
    </row>
    <row r="128" spans="1:16" x14ac:dyDescent="0.35">
      <c r="A128" s="33" t="str">
        <f t="shared" si="4"/>
        <v>2024 JAN-SEP DISC 75%</v>
      </c>
      <c r="B128" s="34">
        <f t="shared" si="4"/>
        <v>46104</v>
      </c>
      <c r="C128" s="34">
        <f t="shared" si="4"/>
        <v>46113</v>
      </c>
      <c r="D128" s="33">
        <v>3321</v>
      </c>
      <c r="E128" s="33">
        <v>337</v>
      </c>
      <c r="F128" s="33">
        <v>4</v>
      </c>
      <c r="G128" s="33">
        <v>4</v>
      </c>
      <c r="H128" s="33">
        <v>81800</v>
      </c>
      <c r="I128" s="33" t="s">
        <v>39</v>
      </c>
      <c r="J128" s="33">
        <v>16572373</v>
      </c>
      <c r="K128" s="33" t="s">
        <v>454</v>
      </c>
      <c r="L128" s="39" t="s">
        <v>457</v>
      </c>
      <c r="M128" s="35">
        <v>249900</v>
      </c>
      <c r="N128" s="36">
        <f t="shared" si="5"/>
        <v>0.75</v>
      </c>
      <c r="O128" s="72">
        <f t="shared" si="3"/>
        <v>62475</v>
      </c>
      <c r="P128" s="33" t="s">
        <v>16</v>
      </c>
    </row>
    <row r="129" spans="1:16" x14ac:dyDescent="0.35">
      <c r="A129" s="33" t="str">
        <f t="shared" si="4"/>
        <v>2024 JAN-SEP DISC 75%</v>
      </c>
      <c r="B129" s="34">
        <f t="shared" si="4"/>
        <v>46104</v>
      </c>
      <c r="C129" s="34">
        <f t="shared" si="4"/>
        <v>46113</v>
      </c>
      <c r="D129" s="33">
        <v>3321</v>
      </c>
      <c r="E129" s="33">
        <v>337</v>
      </c>
      <c r="F129" s="33">
        <v>4</v>
      </c>
      <c r="G129" s="33">
        <v>4</v>
      </c>
      <c r="H129" s="33">
        <v>81800</v>
      </c>
      <c r="I129" s="33" t="s">
        <v>39</v>
      </c>
      <c r="J129" s="33">
        <v>16572382</v>
      </c>
      <c r="K129" s="33" t="s">
        <v>454</v>
      </c>
      <c r="L129" s="39" t="s">
        <v>458</v>
      </c>
      <c r="M129" s="35">
        <v>249900</v>
      </c>
      <c r="N129" s="36">
        <f t="shared" si="5"/>
        <v>0.75</v>
      </c>
      <c r="O129" s="72">
        <f t="shared" si="3"/>
        <v>62475</v>
      </c>
      <c r="P129" s="33" t="s">
        <v>16</v>
      </c>
    </row>
    <row r="130" spans="1:16" x14ac:dyDescent="0.35">
      <c r="A130" s="33" t="str">
        <f t="shared" si="4"/>
        <v>2024 JAN-SEP DISC 75%</v>
      </c>
      <c r="B130" s="34">
        <f t="shared" si="4"/>
        <v>46104</v>
      </c>
      <c r="C130" s="34">
        <f t="shared" si="4"/>
        <v>46113</v>
      </c>
      <c r="D130" s="33">
        <v>3321</v>
      </c>
      <c r="E130" s="33">
        <v>337</v>
      </c>
      <c r="F130" s="33">
        <v>4</v>
      </c>
      <c r="G130" s="33">
        <v>4</v>
      </c>
      <c r="H130" s="33">
        <v>81574</v>
      </c>
      <c r="I130" s="33" t="s">
        <v>39</v>
      </c>
      <c r="J130" s="33">
        <v>16131081</v>
      </c>
      <c r="K130" s="33" t="s">
        <v>130</v>
      </c>
      <c r="L130" s="39" t="s">
        <v>459</v>
      </c>
      <c r="M130" s="35">
        <v>259900</v>
      </c>
      <c r="N130" s="36">
        <f t="shared" si="5"/>
        <v>0.75</v>
      </c>
      <c r="O130" s="72">
        <f t="shared" si="3"/>
        <v>64975</v>
      </c>
      <c r="P130" s="33" t="s">
        <v>16</v>
      </c>
    </row>
    <row r="131" spans="1:16" x14ac:dyDescent="0.35">
      <c r="A131" s="33" t="str">
        <f t="shared" si="4"/>
        <v>2024 JAN-SEP DISC 75%</v>
      </c>
      <c r="B131" s="34">
        <f t="shared" si="4"/>
        <v>46104</v>
      </c>
      <c r="C131" s="34">
        <f t="shared" si="4"/>
        <v>46113</v>
      </c>
      <c r="D131" s="33">
        <v>3321</v>
      </c>
      <c r="E131" s="33">
        <v>337</v>
      </c>
      <c r="F131" s="33">
        <v>4</v>
      </c>
      <c r="G131" s="33">
        <v>5</v>
      </c>
      <c r="H131" s="33">
        <v>81419</v>
      </c>
      <c r="I131" s="33" t="s">
        <v>39</v>
      </c>
      <c r="J131" s="33">
        <v>16572435</v>
      </c>
      <c r="K131" s="33" t="s">
        <v>460</v>
      </c>
      <c r="L131" s="39" t="s">
        <v>461</v>
      </c>
      <c r="M131" s="35">
        <v>269900</v>
      </c>
      <c r="N131" s="36">
        <f t="shared" si="5"/>
        <v>0.75</v>
      </c>
      <c r="O131" s="72">
        <f t="shared" ref="O131:O194" si="6">M131-((75*M131)/100)</f>
        <v>67475</v>
      </c>
      <c r="P131" s="33" t="s">
        <v>16</v>
      </c>
    </row>
    <row r="132" spans="1:16" x14ac:dyDescent="0.35">
      <c r="A132" s="33" t="str">
        <f t="shared" ref="A132:C195" si="7">A131</f>
        <v>2024 JAN-SEP DISC 75%</v>
      </c>
      <c r="B132" s="34">
        <f t="shared" si="7"/>
        <v>46104</v>
      </c>
      <c r="C132" s="34">
        <f t="shared" si="7"/>
        <v>46113</v>
      </c>
      <c r="D132" s="33">
        <v>3321</v>
      </c>
      <c r="E132" s="33">
        <v>337</v>
      </c>
      <c r="F132" s="33">
        <v>4</v>
      </c>
      <c r="G132" s="33">
        <v>5</v>
      </c>
      <c r="H132" s="33">
        <v>81419</v>
      </c>
      <c r="I132" s="33" t="s">
        <v>39</v>
      </c>
      <c r="J132" s="33">
        <v>16572444</v>
      </c>
      <c r="K132" s="33" t="s">
        <v>460</v>
      </c>
      <c r="L132" s="39" t="s">
        <v>462</v>
      </c>
      <c r="M132" s="35">
        <v>269900</v>
      </c>
      <c r="N132" s="36">
        <f t="shared" ref="N132:N195" si="8">N131</f>
        <v>0.75</v>
      </c>
      <c r="O132" s="72">
        <f t="shared" si="6"/>
        <v>67475</v>
      </c>
      <c r="P132" s="33" t="s">
        <v>16</v>
      </c>
    </row>
    <row r="133" spans="1:16" x14ac:dyDescent="0.35">
      <c r="A133" s="33" t="str">
        <f t="shared" si="7"/>
        <v>2024 JAN-SEP DISC 75%</v>
      </c>
      <c r="B133" s="34">
        <f t="shared" si="7"/>
        <v>46104</v>
      </c>
      <c r="C133" s="34">
        <f t="shared" si="7"/>
        <v>46113</v>
      </c>
      <c r="D133" s="33">
        <v>3321</v>
      </c>
      <c r="E133" s="33">
        <v>337</v>
      </c>
      <c r="F133" s="33">
        <v>4</v>
      </c>
      <c r="G133" s="33">
        <v>5</v>
      </c>
      <c r="H133" s="33">
        <v>81419</v>
      </c>
      <c r="I133" s="33" t="s">
        <v>39</v>
      </c>
      <c r="J133" s="33">
        <v>16572453</v>
      </c>
      <c r="K133" s="33" t="s">
        <v>460</v>
      </c>
      <c r="L133" s="39" t="s">
        <v>463</v>
      </c>
      <c r="M133" s="35">
        <v>269900</v>
      </c>
      <c r="N133" s="36">
        <f t="shared" si="8"/>
        <v>0.75</v>
      </c>
      <c r="O133" s="72">
        <f t="shared" si="6"/>
        <v>67475</v>
      </c>
      <c r="P133" s="33" t="s">
        <v>16</v>
      </c>
    </row>
    <row r="134" spans="1:16" x14ac:dyDescent="0.35">
      <c r="A134" s="33" t="str">
        <f t="shared" si="7"/>
        <v>2024 JAN-SEP DISC 75%</v>
      </c>
      <c r="B134" s="34">
        <f t="shared" si="7"/>
        <v>46104</v>
      </c>
      <c r="C134" s="34">
        <f t="shared" si="7"/>
        <v>46113</v>
      </c>
      <c r="D134" s="33">
        <v>3321</v>
      </c>
      <c r="E134" s="33">
        <v>337</v>
      </c>
      <c r="F134" s="33">
        <v>4</v>
      </c>
      <c r="G134" s="33">
        <v>5</v>
      </c>
      <c r="H134" s="33">
        <v>81419</v>
      </c>
      <c r="I134" s="33" t="s">
        <v>39</v>
      </c>
      <c r="J134" s="33">
        <v>16572462</v>
      </c>
      <c r="K134" s="33" t="s">
        <v>460</v>
      </c>
      <c r="L134" s="39" t="s">
        <v>464</v>
      </c>
      <c r="M134" s="35">
        <v>269900</v>
      </c>
      <c r="N134" s="36">
        <f t="shared" si="8"/>
        <v>0.75</v>
      </c>
      <c r="O134" s="72">
        <f t="shared" si="6"/>
        <v>67475</v>
      </c>
      <c r="P134" s="33" t="s">
        <v>16</v>
      </c>
    </row>
    <row r="135" spans="1:16" x14ac:dyDescent="0.35">
      <c r="A135" s="33" t="str">
        <f t="shared" si="7"/>
        <v>2024 JAN-SEP DISC 75%</v>
      </c>
      <c r="B135" s="34">
        <f t="shared" si="7"/>
        <v>46104</v>
      </c>
      <c r="C135" s="34">
        <f t="shared" si="7"/>
        <v>46113</v>
      </c>
      <c r="D135" s="33">
        <v>3321</v>
      </c>
      <c r="E135" s="33">
        <v>337</v>
      </c>
      <c r="F135" s="33">
        <v>4</v>
      </c>
      <c r="G135" s="33">
        <v>5</v>
      </c>
      <c r="H135" s="33">
        <v>81419</v>
      </c>
      <c r="I135" s="33" t="s">
        <v>39</v>
      </c>
      <c r="J135" s="33">
        <v>16572471</v>
      </c>
      <c r="K135" s="33" t="s">
        <v>465</v>
      </c>
      <c r="L135" s="39" t="s">
        <v>466</v>
      </c>
      <c r="M135" s="35">
        <v>249900</v>
      </c>
      <c r="N135" s="36">
        <f t="shared" si="8"/>
        <v>0.75</v>
      </c>
      <c r="O135" s="72">
        <f t="shared" si="6"/>
        <v>62475</v>
      </c>
      <c r="P135" s="33" t="s">
        <v>16</v>
      </c>
    </row>
    <row r="136" spans="1:16" x14ac:dyDescent="0.35">
      <c r="A136" s="33" t="str">
        <f t="shared" si="7"/>
        <v>2024 JAN-SEP DISC 75%</v>
      </c>
      <c r="B136" s="34">
        <f t="shared" si="7"/>
        <v>46104</v>
      </c>
      <c r="C136" s="34">
        <f t="shared" si="7"/>
        <v>46113</v>
      </c>
      <c r="D136" s="33">
        <v>3321</v>
      </c>
      <c r="E136" s="33">
        <v>337</v>
      </c>
      <c r="F136" s="33">
        <v>4</v>
      </c>
      <c r="G136" s="33">
        <v>5</v>
      </c>
      <c r="H136" s="33">
        <v>81419</v>
      </c>
      <c r="I136" s="33" t="s">
        <v>39</v>
      </c>
      <c r="J136" s="33">
        <v>16572480</v>
      </c>
      <c r="K136" s="33" t="s">
        <v>465</v>
      </c>
      <c r="L136" s="39" t="s">
        <v>467</v>
      </c>
      <c r="M136" s="35">
        <v>249900</v>
      </c>
      <c r="N136" s="36">
        <f t="shared" si="8"/>
        <v>0.75</v>
      </c>
      <c r="O136" s="72">
        <f t="shared" si="6"/>
        <v>62475</v>
      </c>
      <c r="P136" s="33" t="s">
        <v>16</v>
      </c>
    </row>
    <row r="137" spans="1:16" x14ac:dyDescent="0.35">
      <c r="A137" s="33" t="str">
        <f t="shared" si="7"/>
        <v>2024 JAN-SEP DISC 75%</v>
      </c>
      <c r="B137" s="34">
        <f t="shared" si="7"/>
        <v>46104</v>
      </c>
      <c r="C137" s="34">
        <f t="shared" si="7"/>
        <v>46113</v>
      </c>
      <c r="D137" s="33">
        <v>3321</v>
      </c>
      <c r="E137" s="33">
        <v>337</v>
      </c>
      <c r="F137" s="33">
        <v>4</v>
      </c>
      <c r="G137" s="33">
        <v>5</v>
      </c>
      <c r="H137" s="33">
        <v>81419</v>
      </c>
      <c r="I137" s="33" t="s">
        <v>39</v>
      </c>
      <c r="J137" s="33">
        <v>16572499</v>
      </c>
      <c r="K137" s="33" t="s">
        <v>465</v>
      </c>
      <c r="L137" s="39" t="s">
        <v>468</v>
      </c>
      <c r="M137" s="35">
        <v>249900</v>
      </c>
      <c r="N137" s="36">
        <f t="shared" si="8"/>
        <v>0.75</v>
      </c>
      <c r="O137" s="72">
        <f t="shared" si="6"/>
        <v>62475</v>
      </c>
      <c r="P137" s="33" t="s">
        <v>16</v>
      </c>
    </row>
    <row r="138" spans="1:16" x14ac:dyDescent="0.35">
      <c r="A138" s="33" t="str">
        <f t="shared" si="7"/>
        <v>2024 JAN-SEP DISC 75%</v>
      </c>
      <c r="B138" s="34">
        <f t="shared" si="7"/>
        <v>46104</v>
      </c>
      <c r="C138" s="34">
        <f t="shared" si="7"/>
        <v>46113</v>
      </c>
      <c r="D138" s="33">
        <v>3321</v>
      </c>
      <c r="E138" s="33">
        <v>337</v>
      </c>
      <c r="F138" s="33">
        <v>4</v>
      </c>
      <c r="G138" s="33">
        <v>5</v>
      </c>
      <c r="H138" s="33">
        <v>81419</v>
      </c>
      <c r="I138" s="33" t="s">
        <v>39</v>
      </c>
      <c r="J138" s="33">
        <v>16572506</v>
      </c>
      <c r="K138" s="33" t="s">
        <v>465</v>
      </c>
      <c r="L138" s="39" t="s">
        <v>469</v>
      </c>
      <c r="M138" s="35">
        <v>249900</v>
      </c>
      <c r="N138" s="36">
        <f t="shared" si="8"/>
        <v>0.75</v>
      </c>
      <c r="O138" s="72">
        <f t="shared" si="6"/>
        <v>62475</v>
      </c>
      <c r="P138" s="33" t="s">
        <v>16</v>
      </c>
    </row>
    <row r="139" spans="1:16" x14ac:dyDescent="0.35">
      <c r="A139" s="33" t="str">
        <f t="shared" si="7"/>
        <v>2024 JAN-SEP DISC 75%</v>
      </c>
      <c r="B139" s="34">
        <f t="shared" si="7"/>
        <v>46104</v>
      </c>
      <c r="C139" s="34">
        <f t="shared" si="7"/>
        <v>46113</v>
      </c>
      <c r="D139" s="33">
        <v>3321</v>
      </c>
      <c r="E139" s="33">
        <v>337</v>
      </c>
      <c r="F139" s="33">
        <v>4</v>
      </c>
      <c r="G139" s="33">
        <v>5</v>
      </c>
      <c r="H139" s="33">
        <v>81419</v>
      </c>
      <c r="I139" s="33" t="s">
        <v>39</v>
      </c>
      <c r="J139" s="33">
        <v>16572515</v>
      </c>
      <c r="K139" s="33" t="s">
        <v>470</v>
      </c>
      <c r="L139" s="39" t="s">
        <v>471</v>
      </c>
      <c r="M139" s="35">
        <v>259900</v>
      </c>
      <c r="N139" s="36">
        <f t="shared" si="8"/>
        <v>0.75</v>
      </c>
      <c r="O139" s="72">
        <f t="shared" si="6"/>
        <v>64975</v>
      </c>
      <c r="P139" s="33" t="s">
        <v>16</v>
      </c>
    </row>
    <row r="140" spans="1:16" x14ac:dyDescent="0.35">
      <c r="A140" s="33" t="str">
        <f t="shared" si="7"/>
        <v>2024 JAN-SEP DISC 75%</v>
      </c>
      <c r="B140" s="34">
        <f t="shared" si="7"/>
        <v>46104</v>
      </c>
      <c r="C140" s="34">
        <f t="shared" si="7"/>
        <v>46113</v>
      </c>
      <c r="D140" s="33">
        <v>3321</v>
      </c>
      <c r="E140" s="33">
        <v>337</v>
      </c>
      <c r="F140" s="33">
        <v>4</v>
      </c>
      <c r="G140" s="33">
        <v>5</v>
      </c>
      <c r="H140" s="33">
        <v>81419</v>
      </c>
      <c r="I140" s="33" t="s">
        <v>39</v>
      </c>
      <c r="J140" s="33">
        <v>16572524</v>
      </c>
      <c r="K140" s="33" t="s">
        <v>470</v>
      </c>
      <c r="L140" s="39" t="s">
        <v>472</v>
      </c>
      <c r="M140" s="35">
        <v>259900</v>
      </c>
      <c r="N140" s="36">
        <f t="shared" si="8"/>
        <v>0.75</v>
      </c>
      <c r="O140" s="72">
        <f t="shared" si="6"/>
        <v>64975</v>
      </c>
      <c r="P140" s="33" t="s">
        <v>16</v>
      </c>
    </row>
    <row r="141" spans="1:16" x14ac:dyDescent="0.35">
      <c r="A141" s="33" t="str">
        <f t="shared" si="7"/>
        <v>2024 JAN-SEP DISC 75%</v>
      </c>
      <c r="B141" s="34">
        <f t="shared" si="7"/>
        <v>46104</v>
      </c>
      <c r="C141" s="34">
        <f t="shared" si="7"/>
        <v>46113</v>
      </c>
      <c r="D141" s="33">
        <v>3321</v>
      </c>
      <c r="E141" s="33">
        <v>337</v>
      </c>
      <c r="F141" s="33">
        <v>4</v>
      </c>
      <c r="G141" s="33">
        <v>5</v>
      </c>
      <c r="H141" s="33">
        <v>81419</v>
      </c>
      <c r="I141" s="33" t="s">
        <v>39</v>
      </c>
      <c r="J141" s="33">
        <v>16572533</v>
      </c>
      <c r="K141" s="33" t="s">
        <v>470</v>
      </c>
      <c r="L141" s="39" t="s">
        <v>473</v>
      </c>
      <c r="M141" s="35">
        <v>259900</v>
      </c>
      <c r="N141" s="36">
        <f t="shared" si="8"/>
        <v>0.75</v>
      </c>
      <c r="O141" s="72">
        <f t="shared" si="6"/>
        <v>64975</v>
      </c>
      <c r="P141" s="33" t="s">
        <v>16</v>
      </c>
    </row>
    <row r="142" spans="1:16" x14ac:dyDescent="0.35">
      <c r="A142" s="33" t="str">
        <f t="shared" si="7"/>
        <v>2024 JAN-SEP DISC 75%</v>
      </c>
      <c r="B142" s="34">
        <f t="shared" si="7"/>
        <v>46104</v>
      </c>
      <c r="C142" s="34">
        <f t="shared" si="7"/>
        <v>46113</v>
      </c>
      <c r="D142" s="33">
        <v>3321</v>
      </c>
      <c r="E142" s="33">
        <v>337</v>
      </c>
      <c r="F142" s="33">
        <v>4</v>
      </c>
      <c r="G142" s="33">
        <v>5</v>
      </c>
      <c r="H142" s="33">
        <v>81419</v>
      </c>
      <c r="I142" s="33" t="s">
        <v>39</v>
      </c>
      <c r="J142" s="33">
        <v>16572542</v>
      </c>
      <c r="K142" s="33" t="s">
        <v>470</v>
      </c>
      <c r="L142" s="39" t="s">
        <v>474</v>
      </c>
      <c r="M142" s="35">
        <v>259900</v>
      </c>
      <c r="N142" s="36">
        <f t="shared" si="8"/>
        <v>0.75</v>
      </c>
      <c r="O142" s="72">
        <f t="shared" si="6"/>
        <v>64975</v>
      </c>
      <c r="P142" s="33" t="s">
        <v>16</v>
      </c>
    </row>
    <row r="143" spans="1:16" x14ac:dyDescent="0.35">
      <c r="A143" s="33" t="str">
        <f t="shared" si="7"/>
        <v>2024 JAN-SEP DISC 75%</v>
      </c>
      <c r="B143" s="34">
        <f t="shared" si="7"/>
        <v>46104</v>
      </c>
      <c r="C143" s="34">
        <f t="shared" si="7"/>
        <v>46113</v>
      </c>
      <c r="D143" s="33">
        <v>3321</v>
      </c>
      <c r="E143" s="33">
        <v>337</v>
      </c>
      <c r="F143" s="33">
        <v>4</v>
      </c>
      <c r="G143" s="33">
        <v>5</v>
      </c>
      <c r="H143" s="33">
        <v>81421</v>
      </c>
      <c r="I143" s="33" t="s">
        <v>39</v>
      </c>
      <c r="J143" s="33">
        <v>16131054</v>
      </c>
      <c r="K143" s="33" t="s">
        <v>134</v>
      </c>
      <c r="L143" s="39" t="s">
        <v>475</v>
      </c>
      <c r="M143" s="35">
        <v>249900</v>
      </c>
      <c r="N143" s="36">
        <f t="shared" si="8"/>
        <v>0.75</v>
      </c>
      <c r="O143" s="72">
        <f t="shared" si="6"/>
        <v>62475</v>
      </c>
      <c r="P143" s="33" t="s">
        <v>16</v>
      </c>
    </row>
    <row r="144" spans="1:16" x14ac:dyDescent="0.35">
      <c r="A144" s="33" t="str">
        <f t="shared" si="7"/>
        <v>2024 JAN-SEP DISC 75%</v>
      </c>
      <c r="B144" s="34">
        <f t="shared" si="7"/>
        <v>46104</v>
      </c>
      <c r="C144" s="34">
        <f t="shared" si="7"/>
        <v>46113</v>
      </c>
      <c r="D144" s="33">
        <v>3321</v>
      </c>
      <c r="E144" s="33">
        <v>337</v>
      </c>
      <c r="F144" s="33">
        <v>4</v>
      </c>
      <c r="G144" s="33">
        <v>5</v>
      </c>
      <c r="H144" s="33">
        <v>81421</v>
      </c>
      <c r="I144" s="33" t="s">
        <v>39</v>
      </c>
      <c r="J144" s="33">
        <v>16131134</v>
      </c>
      <c r="K144" s="33" t="s">
        <v>138</v>
      </c>
      <c r="L144" s="39" t="s">
        <v>476</v>
      </c>
      <c r="M144" s="35">
        <v>239900</v>
      </c>
      <c r="N144" s="36">
        <f t="shared" si="8"/>
        <v>0.75</v>
      </c>
      <c r="O144" s="72">
        <f t="shared" si="6"/>
        <v>59975</v>
      </c>
      <c r="P144" s="33" t="s">
        <v>16</v>
      </c>
    </row>
    <row r="145" spans="1:16" x14ac:dyDescent="0.35">
      <c r="A145" s="33" t="str">
        <f t="shared" si="7"/>
        <v>2024 JAN-SEP DISC 75%</v>
      </c>
      <c r="B145" s="34">
        <f t="shared" si="7"/>
        <v>46104</v>
      </c>
      <c r="C145" s="34">
        <f t="shared" si="7"/>
        <v>46113</v>
      </c>
      <c r="D145" s="33">
        <v>3321</v>
      </c>
      <c r="E145" s="33">
        <v>337</v>
      </c>
      <c r="F145" s="33">
        <v>4</v>
      </c>
      <c r="G145" s="33">
        <v>5</v>
      </c>
      <c r="H145" s="33">
        <v>81800</v>
      </c>
      <c r="I145" s="33" t="s">
        <v>39</v>
      </c>
      <c r="J145" s="33">
        <v>16572391</v>
      </c>
      <c r="K145" s="33" t="s">
        <v>477</v>
      </c>
      <c r="L145" s="39" t="s">
        <v>478</v>
      </c>
      <c r="M145" s="35">
        <v>279900</v>
      </c>
      <c r="N145" s="36">
        <f t="shared" si="8"/>
        <v>0.75</v>
      </c>
      <c r="O145" s="72">
        <f t="shared" si="6"/>
        <v>69975</v>
      </c>
      <c r="P145" s="33" t="s">
        <v>16</v>
      </c>
    </row>
    <row r="146" spans="1:16" x14ac:dyDescent="0.35">
      <c r="A146" s="33" t="str">
        <f t="shared" si="7"/>
        <v>2024 JAN-SEP DISC 75%</v>
      </c>
      <c r="B146" s="34">
        <f t="shared" si="7"/>
        <v>46104</v>
      </c>
      <c r="C146" s="34">
        <f t="shared" si="7"/>
        <v>46113</v>
      </c>
      <c r="D146" s="33">
        <v>3321</v>
      </c>
      <c r="E146" s="33">
        <v>337</v>
      </c>
      <c r="F146" s="33">
        <v>4</v>
      </c>
      <c r="G146" s="33">
        <v>5</v>
      </c>
      <c r="H146" s="33">
        <v>81800</v>
      </c>
      <c r="I146" s="33" t="s">
        <v>39</v>
      </c>
      <c r="J146" s="33">
        <v>16572408</v>
      </c>
      <c r="K146" s="33" t="s">
        <v>477</v>
      </c>
      <c r="L146" s="39" t="s">
        <v>479</v>
      </c>
      <c r="M146" s="35">
        <v>279900</v>
      </c>
      <c r="N146" s="36">
        <f t="shared" si="8"/>
        <v>0.75</v>
      </c>
      <c r="O146" s="72">
        <f t="shared" si="6"/>
        <v>69975</v>
      </c>
      <c r="P146" s="33" t="s">
        <v>16</v>
      </c>
    </row>
    <row r="147" spans="1:16" x14ac:dyDescent="0.35">
      <c r="A147" s="33" t="str">
        <f t="shared" si="7"/>
        <v>2024 JAN-SEP DISC 75%</v>
      </c>
      <c r="B147" s="34">
        <f t="shared" si="7"/>
        <v>46104</v>
      </c>
      <c r="C147" s="34">
        <f t="shared" si="7"/>
        <v>46113</v>
      </c>
      <c r="D147" s="33">
        <v>3321</v>
      </c>
      <c r="E147" s="33">
        <v>337</v>
      </c>
      <c r="F147" s="33">
        <v>4</v>
      </c>
      <c r="G147" s="33">
        <v>5</v>
      </c>
      <c r="H147" s="33">
        <v>81800</v>
      </c>
      <c r="I147" s="33" t="s">
        <v>39</v>
      </c>
      <c r="J147" s="33">
        <v>16572417</v>
      </c>
      <c r="K147" s="33" t="s">
        <v>477</v>
      </c>
      <c r="L147" s="39" t="s">
        <v>480</v>
      </c>
      <c r="M147" s="35">
        <v>279900</v>
      </c>
      <c r="N147" s="36">
        <f t="shared" si="8"/>
        <v>0.75</v>
      </c>
      <c r="O147" s="72">
        <f t="shared" si="6"/>
        <v>69975</v>
      </c>
      <c r="P147" s="33" t="s">
        <v>16</v>
      </c>
    </row>
    <row r="148" spans="1:16" x14ac:dyDescent="0.35">
      <c r="A148" s="33" t="str">
        <f t="shared" si="7"/>
        <v>2024 JAN-SEP DISC 75%</v>
      </c>
      <c r="B148" s="34">
        <f t="shared" si="7"/>
        <v>46104</v>
      </c>
      <c r="C148" s="34">
        <f t="shared" si="7"/>
        <v>46113</v>
      </c>
      <c r="D148" s="33">
        <v>3321</v>
      </c>
      <c r="E148" s="33">
        <v>337</v>
      </c>
      <c r="F148" s="33">
        <v>4</v>
      </c>
      <c r="G148" s="33">
        <v>5</v>
      </c>
      <c r="H148" s="33">
        <v>81800</v>
      </c>
      <c r="I148" s="33" t="s">
        <v>39</v>
      </c>
      <c r="J148" s="33">
        <v>16572426</v>
      </c>
      <c r="K148" s="33" t="s">
        <v>477</v>
      </c>
      <c r="L148" s="39" t="s">
        <v>481</v>
      </c>
      <c r="M148" s="35">
        <v>279900</v>
      </c>
      <c r="N148" s="36">
        <f t="shared" si="8"/>
        <v>0.75</v>
      </c>
      <c r="O148" s="72">
        <f t="shared" si="6"/>
        <v>69975</v>
      </c>
      <c r="P148" s="33" t="s">
        <v>16</v>
      </c>
    </row>
    <row r="149" spans="1:16" x14ac:dyDescent="0.35">
      <c r="A149" s="33" t="str">
        <f t="shared" si="7"/>
        <v>2024 JAN-SEP DISC 75%</v>
      </c>
      <c r="B149" s="34">
        <f t="shared" si="7"/>
        <v>46104</v>
      </c>
      <c r="C149" s="34">
        <f t="shared" si="7"/>
        <v>46113</v>
      </c>
      <c r="D149" s="33">
        <v>3321</v>
      </c>
      <c r="E149" s="33">
        <v>337</v>
      </c>
      <c r="F149" s="33">
        <v>4</v>
      </c>
      <c r="G149" s="33">
        <v>1</v>
      </c>
      <c r="H149" s="33">
        <v>81419</v>
      </c>
      <c r="I149" s="33" t="s">
        <v>39</v>
      </c>
      <c r="J149" s="33">
        <v>14608516</v>
      </c>
      <c r="K149" s="33" t="s">
        <v>529</v>
      </c>
      <c r="L149" s="39" t="s">
        <v>530</v>
      </c>
      <c r="M149" s="35">
        <v>179900</v>
      </c>
      <c r="N149" s="36">
        <f t="shared" si="8"/>
        <v>0.75</v>
      </c>
      <c r="O149" s="72">
        <f t="shared" si="6"/>
        <v>44975</v>
      </c>
      <c r="P149" s="33" t="s">
        <v>16</v>
      </c>
    </row>
    <row r="150" spans="1:16" x14ac:dyDescent="0.35">
      <c r="A150" s="33" t="str">
        <f t="shared" si="7"/>
        <v>2024 JAN-SEP DISC 75%</v>
      </c>
      <c r="B150" s="34">
        <f t="shared" si="7"/>
        <v>46104</v>
      </c>
      <c r="C150" s="34">
        <f t="shared" si="7"/>
        <v>46113</v>
      </c>
      <c r="D150" s="33">
        <v>3321</v>
      </c>
      <c r="E150" s="33">
        <v>337</v>
      </c>
      <c r="F150" s="33">
        <v>4</v>
      </c>
      <c r="G150" s="33">
        <v>1</v>
      </c>
      <c r="H150" s="33">
        <v>81419</v>
      </c>
      <c r="I150" s="33" t="s">
        <v>39</v>
      </c>
      <c r="J150" s="33">
        <v>14608525</v>
      </c>
      <c r="K150" s="33" t="s">
        <v>529</v>
      </c>
      <c r="L150" s="39" t="s">
        <v>531</v>
      </c>
      <c r="M150" s="35">
        <v>179900</v>
      </c>
      <c r="N150" s="36">
        <f t="shared" si="8"/>
        <v>0.75</v>
      </c>
      <c r="O150" s="72">
        <f t="shared" si="6"/>
        <v>44975</v>
      </c>
      <c r="P150" s="33" t="s">
        <v>16</v>
      </c>
    </row>
    <row r="151" spans="1:16" x14ac:dyDescent="0.35">
      <c r="A151" s="33" t="str">
        <f t="shared" si="7"/>
        <v>2024 JAN-SEP DISC 75%</v>
      </c>
      <c r="B151" s="34">
        <f t="shared" si="7"/>
        <v>46104</v>
      </c>
      <c r="C151" s="34">
        <f t="shared" si="7"/>
        <v>46113</v>
      </c>
      <c r="D151" s="33">
        <v>3321</v>
      </c>
      <c r="E151" s="33">
        <v>337</v>
      </c>
      <c r="F151" s="33">
        <v>4</v>
      </c>
      <c r="G151" s="33">
        <v>1</v>
      </c>
      <c r="H151" s="33">
        <v>81419</v>
      </c>
      <c r="I151" s="33" t="s">
        <v>39</v>
      </c>
      <c r="J151" s="33">
        <v>14608534</v>
      </c>
      <c r="K151" s="33" t="s">
        <v>529</v>
      </c>
      <c r="L151" s="39" t="s">
        <v>532</v>
      </c>
      <c r="M151" s="35">
        <v>179900</v>
      </c>
      <c r="N151" s="36">
        <f t="shared" si="8"/>
        <v>0.75</v>
      </c>
      <c r="O151" s="72">
        <f t="shared" si="6"/>
        <v>44975</v>
      </c>
      <c r="P151" s="33" t="s">
        <v>16</v>
      </c>
    </row>
    <row r="152" spans="1:16" x14ac:dyDescent="0.35">
      <c r="A152" s="33" t="str">
        <f t="shared" si="7"/>
        <v>2024 JAN-SEP DISC 75%</v>
      </c>
      <c r="B152" s="34">
        <f t="shared" si="7"/>
        <v>46104</v>
      </c>
      <c r="C152" s="34">
        <f t="shared" si="7"/>
        <v>46113</v>
      </c>
      <c r="D152" s="33">
        <v>3321</v>
      </c>
      <c r="E152" s="33">
        <v>337</v>
      </c>
      <c r="F152" s="33">
        <v>4</v>
      </c>
      <c r="G152" s="33">
        <v>1</v>
      </c>
      <c r="H152" s="33">
        <v>81419</v>
      </c>
      <c r="I152" s="33" t="s">
        <v>39</v>
      </c>
      <c r="J152" s="33">
        <v>14608543</v>
      </c>
      <c r="K152" s="33" t="s">
        <v>529</v>
      </c>
      <c r="L152" s="39" t="s">
        <v>533</v>
      </c>
      <c r="M152" s="35">
        <v>179900</v>
      </c>
      <c r="N152" s="36">
        <f t="shared" si="8"/>
        <v>0.75</v>
      </c>
      <c r="O152" s="72">
        <f t="shared" si="6"/>
        <v>44975</v>
      </c>
      <c r="P152" s="33" t="s">
        <v>16</v>
      </c>
    </row>
    <row r="153" spans="1:16" x14ac:dyDescent="0.35">
      <c r="A153" s="33" t="str">
        <f t="shared" si="7"/>
        <v>2024 JAN-SEP DISC 75%</v>
      </c>
      <c r="B153" s="34">
        <f t="shared" si="7"/>
        <v>46104</v>
      </c>
      <c r="C153" s="34">
        <f t="shared" si="7"/>
        <v>46113</v>
      </c>
      <c r="D153" s="33">
        <v>3321</v>
      </c>
      <c r="E153" s="33">
        <v>337</v>
      </c>
      <c r="F153" s="33">
        <v>4</v>
      </c>
      <c r="G153" s="33">
        <v>1</v>
      </c>
      <c r="H153" s="33">
        <v>81421</v>
      </c>
      <c r="I153" s="33" t="s">
        <v>39</v>
      </c>
      <c r="J153" s="33">
        <v>14608472</v>
      </c>
      <c r="K153" s="33" t="s">
        <v>534</v>
      </c>
      <c r="L153" s="39" t="s">
        <v>535</v>
      </c>
      <c r="M153" s="35">
        <v>159900</v>
      </c>
      <c r="N153" s="36">
        <f t="shared" si="8"/>
        <v>0.75</v>
      </c>
      <c r="O153" s="72">
        <f t="shared" si="6"/>
        <v>39975</v>
      </c>
      <c r="P153" s="33" t="s">
        <v>16</v>
      </c>
    </row>
    <row r="154" spans="1:16" x14ac:dyDescent="0.35">
      <c r="A154" s="33" t="str">
        <f t="shared" si="7"/>
        <v>2024 JAN-SEP DISC 75%</v>
      </c>
      <c r="B154" s="34">
        <f t="shared" si="7"/>
        <v>46104</v>
      </c>
      <c r="C154" s="34">
        <f t="shared" si="7"/>
        <v>46113</v>
      </c>
      <c r="D154" s="33">
        <v>3321</v>
      </c>
      <c r="E154" s="33">
        <v>337</v>
      </c>
      <c r="F154" s="33">
        <v>4</v>
      </c>
      <c r="G154" s="33">
        <v>1</v>
      </c>
      <c r="H154" s="33">
        <v>81421</v>
      </c>
      <c r="I154" s="33" t="s">
        <v>39</v>
      </c>
      <c r="J154" s="33">
        <v>14608481</v>
      </c>
      <c r="K154" s="33" t="s">
        <v>534</v>
      </c>
      <c r="L154" s="39" t="s">
        <v>536</v>
      </c>
      <c r="M154" s="35">
        <v>159900</v>
      </c>
      <c r="N154" s="36">
        <f t="shared" si="8"/>
        <v>0.75</v>
      </c>
      <c r="O154" s="72">
        <f t="shared" si="6"/>
        <v>39975</v>
      </c>
      <c r="P154" s="33" t="s">
        <v>16</v>
      </c>
    </row>
    <row r="155" spans="1:16" x14ac:dyDescent="0.35">
      <c r="A155" s="33" t="str">
        <f t="shared" si="7"/>
        <v>2024 JAN-SEP DISC 75%</v>
      </c>
      <c r="B155" s="34">
        <f t="shared" si="7"/>
        <v>46104</v>
      </c>
      <c r="C155" s="34">
        <f t="shared" si="7"/>
        <v>46113</v>
      </c>
      <c r="D155" s="33">
        <v>3321</v>
      </c>
      <c r="E155" s="33">
        <v>337</v>
      </c>
      <c r="F155" s="33">
        <v>4</v>
      </c>
      <c r="G155" s="33">
        <v>1</v>
      </c>
      <c r="H155" s="33">
        <v>81421</v>
      </c>
      <c r="I155" s="33" t="s">
        <v>39</v>
      </c>
      <c r="J155" s="33">
        <v>14608490</v>
      </c>
      <c r="K155" s="33" t="s">
        <v>534</v>
      </c>
      <c r="L155" s="39" t="s">
        <v>537</v>
      </c>
      <c r="M155" s="35">
        <v>159900</v>
      </c>
      <c r="N155" s="36">
        <f t="shared" si="8"/>
        <v>0.75</v>
      </c>
      <c r="O155" s="72">
        <f t="shared" si="6"/>
        <v>39975</v>
      </c>
      <c r="P155" s="33" t="s">
        <v>16</v>
      </c>
    </row>
    <row r="156" spans="1:16" x14ac:dyDescent="0.35">
      <c r="A156" s="33" t="str">
        <f t="shared" si="7"/>
        <v>2024 JAN-SEP DISC 75%</v>
      </c>
      <c r="B156" s="34">
        <f t="shared" si="7"/>
        <v>46104</v>
      </c>
      <c r="C156" s="34">
        <f t="shared" si="7"/>
        <v>46113</v>
      </c>
      <c r="D156" s="33">
        <v>3321</v>
      </c>
      <c r="E156" s="33">
        <v>337</v>
      </c>
      <c r="F156" s="33">
        <v>4</v>
      </c>
      <c r="G156" s="33">
        <v>1</v>
      </c>
      <c r="H156" s="33">
        <v>81421</v>
      </c>
      <c r="I156" s="33" t="s">
        <v>39</v>
      </c>
      <c r="J156" s="33">
        <v>14608507</v>
      </c>
      <c r="K156" s="33" t="s">
        <v>534</v>
      </c>
      <c r="L156" s="39" t="s">
        <v>538</v>
      </c>
      <c r="M156" s="35">
        <v>159900</v>
      </c>
      <c r="N156" s="36">
        <f t="shared" si="8"/>
        <v>0.75</v>
      </c>
      <c r="O156" s="72">
        <f t="shared" si="6"/>
        <v>39975</v>
      </c>
      <c r="P156" s="33" t="s">
        <v>16</v>
      </c>
    </row>
    <row r="157" spans="1:16" x14ac:dyDescent="0.35">
      <c r="A157" s="33" t="str">
        <f t="shared" si="7"/>
        <v>2024 JAN-SEP DISC 75%</v>
      </c>
      <c r="B157" s="34">
        <f t="shared" si="7"/>
        <v>46104</v>
      </c>
      <c r="C157" s="34">
        <f t="shared" si="7"/>
        <v>46113</v>
      </c>
      <c r="D157" s="33">
        <v>3321</v>
      </c>
      <c r="E157" s="33">
        <v>337</v>
      </c>
      <c r="F157" s="33">
        <v>4</v>
      </c>
      <c r="G157" s="33">
        <v>1</v>
      </c>
      <c r="H157" s="33">
        <v>81506</v>
      </c>
      <c r="I157" s="33" t="s">
        <v>39</v>
      </c>
      <c r="J157" s="33">
        <v>17324059</v>
      </c>
      <c r="K157" s="33" t="s">
        <v>539</v>
      </c>
      <c r="L157" s="39" t="s">
        <v>540</v>
      </c>
      <c r="M157" s="35">
        <v>159900</v>
      </c>
      <c r="N157" s="36">
        <f t="shared" si="8"/>
        <v>0.75</v>
      </c>
      <c r="O157" s="72">
        <f t="shared" si="6"/>
        <v>39975</v>
      </c>
      <c r="P157" s="33" t="s">
        <v>16</v>
      </c>
    </row>
    <row r="158" spans="1:16" x14ac:dyDescent="0.35">
      <c r="A158" s="33" t="str">
        <f t="shared" si="7"/>
        <v>2024 JAN-SEP DISC 75%</v>
      </c>
      <c r="B158" s="34">
        <f t="shared" si="7"/>
        <v>46104</v>
      </c>
      <c r="C158" s="34">
        <f t="shared" si="7"/>
        <v>46113</v>
      </c>
      <c r="D158" s="33">
        <v>3321</v>
      </c>
      <c r="E158" s="33">
        <v>337</v>
      </c>
      <c r="F158" s="33">
        <v>4</v>
      </c>
      <c r="G158" s="33">
        <v>1</v>
      </c>
      <c r="H158" s="33">
        <v>81506</v>
      </c>
      <c r="I158" s="33" t="s">
        <v>39</v>
      </c>
      <c r="J158" s="33">
        <v>17324068</v>
      </c>
      <c r="K158" s="33" t="s">
        <v>539</v>
      </c>
      <c r="L158" s="39" t="s">
        <v>541</v>
      </c>
      <c r="M158" s="35">
        <v>159900</v>
      </c>
      <c r="N158" s="36">
        <f t="shared" si="8"/>
        <v>0.75</v>
      </c>
      <c r="O158" s="72">
        <f t="shared" si="6"/>
        <v>39975</v>
      </c>
      <c r="P158" s="33" t="s">
        <v>16</v>
      </c>
    </row>
    <row r="159" spans="1:16" x14ac:dyDescent="0.35">
      <c r="A159" s="33" t="str">
        <f t="shared" si="7"/>
        <v>2024 JAN-SEP DISC 75%</v>
      </c>
      <c r="B159" s="34">
        <f t="shared" si="7"/>
        <v>46104</v>
      </c>
      <c r="C159" s="34">
        <f t="shared" si="7"/>
        <v>46113</v>
      </c>
      <c r="D159" s="33">
        <v>3321</v>
      </c>
      <c r="E159" s="33">
        <v>337</v>
      </c>
      <c r="F159" s="33">
        <v>4</v>
      </c>
      <c r="G159" s="33">
        <v>1</v>
      </c>
      <c r="H159" s="33">
        <v>81506</v>
      </c>
      <c r="I159" s="33" t="s">
        <v>39</v>
      </c>
      <c r="J159" s="33">
        <v>17324086</v>
      </c>
      <c r="K159" s="33" t="s">
        <v>539</v>
      </c>
      <c r="L159" s="39" t="s">
        <v>542</v>
      </c>
      <c r="M159" s="35">
        <v>159900</v>
      </c>
      <c r="N159" s="36">
        <f t="shared" si="8"/>
        <v>0.75</v>
      </c>
      <c r="O159" s="72">
        <f t="shared" si="6"/>
        <v>39975</v>
      </c>
      <c r="P159" s="33" t="s">
        <v>16</v>
      </c>
    </row>
    <row r="160" spans="1:16" x14ac:dyDescent="0.35">
      <c r="A160" s="33" t="str">
        <f t="shared" si="7"/>
        <v>2024 JAN-SEP DISC 75%</v>
      </c>
      <c r="B160" s="34">
        <f t="shared" si="7"/>
        <v>46104</v>
      </c>
      <c r="C160" s="34">
        <f t="shared" si="7"/>
        <v>46113</v>
      </c>
      <c r="D160" s="33">
        <v>3321</v>
      </c>
      <c r="E160" s="33">
        <v>337</v>
      </c>
      <c r="F160" s="33">
        <v>4</v>
      </c>
      <c r="G160" s="33">
        <v>1</v>
      </c>
      <c r="H160" s="33">
        <v>81506</v>
      </c>
      <c r="I160" s="33" t="s">
        <v>39</v>
      </c>
      <c r="J160" s="33">
        <v>17324095</v>
      </c>
      <c r="K160" s="33" t="s">
        <v>543</v>
      </c>
      <c r="L160" s="39" t="s">
        <v>544</v>
      </c>
      <c r="M160" s="35">
        <v>159900</v>
      </c>
      <c r="N160" s="36">
        <f t="shared" si="8"/>
        <v>0.75</v>
      </c>
      <c r="O160" s="72">
        <f t="shared" si="6"/>
        <v>39975</v>
      </c>
      <c r="P160" s="33" t="s">
        <v>16</v>
      </c>
    </row>
    <row r="161" spans="1:16" x14ac:dyDescent="0.35">
      <c r="A161" s="33" t="str">
        <f t="shared" si="7"/>
        <v>2024 JAN-SEP DISC 75%</v>
      </c>
      <c r="B161" s="34">
        <f t="shared" si="7"/>
        <v>46104</v>
      </c>
      <c r="C161" s="34">
        <f t="shared" si="7"/>
        <v>46113</v>
      </c>
      <c r="D161" s="33">
        <v>3321</v>
      </c>
      <c r="E161" s="33">
        <v>337</v>
      </c>
      <c r="F161" s="33">
        <v>4</v>
      </c>
      <c r="G161" s="33">
        <v>1</v>
      </c>
      <c r="H161" s="33">
        <v>81506</v>
      </c>
      <c r="I161" s="33" t="s">
        <v>39</v>
      </c>
      <c r="J161" s="33">
        <v>17324102</v>
      </c>
      <c r="K161" s="33" t="s">
        <v>543</v>
      </c>
      <c r="L161" s="39" t="s">
        <v>545</v>
      </c>
      <c r="M161" s="35">
        <v>159900</v>
      </c>
      <c r="N161" s="36">
        <f t="shared" si="8"/>
        <v>0.75</v>
      </c>
      <c r="O161" s="72">
        <f t="shared" si="6"/>
        <v>39975</v>
      </c>
      <c r="P161" s="33" t="s">
        <v>16</v>
      </c>
    </row>
    <row r="162" spans="1:16" x14ac:dyDescent="0.35">
      <c r="A162" s="33" t="str">
        <f t="shared" si="7"/>
        <v>2024 JAN-SEP DISC 75%</v>
      </c>
      <c r="B162" s="34">
        <f t="shared" si="7"/>
        <v>46104</v>
      </c>
      <c r="C162" s="34">
        <f t="shared" si="7"/>
        <v>46113</v>
      </c>
      <c r="D162" s="33">
        <v>3321</v>
      </c>
      <c r="E162" s="33">
        <v>337</v>
      </c>
      <c r="F162" s="33">
        <v>4</v>
      </c>
      <c r="G162" s="33">
        <v>1</v>
      </c>
      <c r="H162" s="33">
        <v>81506</v>
      </c>
      <c r="I162" s="33" t="s">
        <v>39</v>
      </c>
      <c r="J162" s="33">
        <v>17324120</v>
      </c>
      <c r="K162" s="33" t="s">
        <v>543</v>
      </c>
      <c r="L162" s="39" t="s">
        <v>546</v>
      </c>
      <c r="M162" s="35">
        <v>159900</v>
      </c>
      <c r="N162" s="36">
        <f t="shared" si="8"/>
        <v>0.75</v>
      </c>
      <c r="O162" s="72">
        <f t="shared" si="6"/>
        <v>39975</v>
      </c>
      <c r="P162" s="33" t="s">
        <v>16</v>
      </c>
    </row>
    <row r="163" spans="1:16" x14ac:dyDescent="0.35">
      <c r="A163" s="33" t="str">
        <f t="shared" si="7"/>
        <v>2024 JAN-SEP DISC 75%</v>
      </c>
      <c r="B163" s="34">
        <f t="shared" si="7"/>
        <v>46104</v>
      </c>
      <c r="C163" s="34">
        <f t="shared" si="7"/>
        <v>46113</v>
      </c>
      <c r="D163" s="33">
        <v>3321</v>
      </c>
      <c r="E163" s="33">
        <v>337</v>
      </c>
      <c r="F163" s="33">
        <v>4</v>
      </c>
      <c r="G163" s="33">
        <v>1</v>
      </c>
      <c r="H163" s="33">
        <v>81506</v>
      </c>
      <c r="I163" s="33" t="s">
        <v>39</v>
      </c>
      <c r="J163" s="33">
        <v>17324139</v>
      </c>
      <c r="K163" s="33" t="s">
        <v>547</v>
      </c>
      <c r="L163" s="39" t="s">
        <v>548</v>
      </c>
      <c r="M163" s="35">
        <v>159900</v>
      </c>
      <c r="N163" s="36">
        <f t="shared" si="8"/>
        <v>0.75</v>
      </c>
      <c r="O163" s="72">
        <f t="shared" si="6"/>
        <v>39975</v>
      </c>
      <c r="P163" s="33" t="s">
        <v>16</v>
      </c>
    </row>
    <row r="164" spans="1:16" x14ac:dyDescent="0.35">
      <c r="A164" s="33" t="str">
        <f t="shared" si="7"/>
        <v>2024 JAN-SEP DISC 75%</v>
      </c>
      <c r="B164" s="34">
        <f t="shared" si="7"/>
        <v>46104</v>
      </c>
      <c r="C164" s="34">
        <f t="shared" si="7"/>
        <v>46113</v>
      </c>
      <c r="D164" s="33">
        <v>3321</v>
      </c>
      <c r="E164" s="33">
        <v>337</v>
      </c>
      <c r="F164" s="33">
        <v>4</v>
      </c>
      <c r="G164" s="33">
        <v>1</v>
      </c>
      <c r="H164" s="33">
        <v>81506</v>
      </c>
      <c r="I164" s="33" t="s">
        <v>39</v>
      </c>
      <c r="J164" s="33">
        <v>17324148</v>
      </c>
      <c r="K164" s="33" t="s">
        <v>547</v>
      </c>
      <c r="L164" s="39" t="s">
        <v>549</v>
      </c>
      <c r="M164" s="35">
        <v>159900</v>
      </c>
      <c r="N164" s="36">
        <f t="shared" si="8"/>
        <v>0.75</v>
      </c>
      <c r="O164" s="72">
        <f t="shared" si="6"/>
        <v>39975</v>
      </c>
      <c r="P164" s="33" t="s">
        <v>16</v>
      </c>
    </row>
    <row r="165" spans="1:16" x14ac:dyDescent="0.35">
      <c r="A165" s="33" t="str">
        <f t="shared" si="7"/>
        <v>2024 JAN-SEP DISC 75%</v>
      </c>
      <c r="B165" s="34">
        <f t="shared" si="7"/>
        <v>46104</v>
      </c>
      <c r="C165" s="34">
        <f t="shared" si="7"/>
        <v>46113</v>
      </c>
      <c r="D165" s="33">
        <v>3321</v>
      </c>
      <c r="E165" s="33">
        <v>337</v>
      </c>
      <c r="F165" s="33">
        <v>4</v>
      </c>
      <c r="G165" s="33">
        <v>1</v>
      </c>
      <c r="H165" s="33">
        <v>81506</v>
      </c>
      <c r="I165" s="33" t="s">
        <v>39</v>
      </c>
      <c r="J165" s="33">
        <v>17324157</v>
      </c>
      <c r="K165" s="33" t="s">
        <v>547</v>
      </c>
      <c r="L165" s="39" t="s">
        <v>550</v>
      </c>
      <c r="M165" s="35">
        <v>159900</v>
      </c>
      <c r="N165" s="36">
        <f t="shared" si="8"/>
        <v>0.75</v>
      </c>
      <c r="O165" s="72">
        <f t="shared" si="6"/>
        <v>39975</v>
      </c>
      <c r="P165" s="33" t="s">
        <v>16</v>
      </c>
    </row>
    <row r="166" spans="1:16" x14ac:dyDescent="0.35">
      <c r="A166" s="33" t="str">
        <f t="shared" si="7"/>
        <v>2024 JAN-SEP DISC 75%</v>
      </c>
      <c r="B166" s="34">
        <f t="shared" si="7"/>
        <v>46104</v>
      </c>
      <c r="C166" s="34">
        <f t="shared" si="7"/>
        <v>46113</v>
      </c>
      <c r="D166" s="33">
        <v>3321</v>
      </c>
      <c r="E166" s="33">
        <v>337</v>
      </c>
      <c r="F166" s="33">
        <v>4</v>
      </c>
      <c r="G166" s="33">
        <v>1</v>
      </c>
      <c r="H166" s="33">
        <v>81506</v>
      </c>
      <c r="I166" s="33" t="s">
        <v>39</v>
      </c>
      <c r="J166" s="33">
        <v>17324166</v>
      </c>
      <c r="K166" s="33" t="s">
        <v>547</v>
      </c>
      <c r="L166" s="39" t="s">
        <v>551</v>
      </c>
      <c r="M166" s="35">
        <v>159900</v>
      </c>
      <c r="N166" s="36">
        <f t="shared" si="8"/>
        <v>0.75</v>
      </c>
      <c r="O166" s="72">
        <f t="shared" si="6"/>
        <v>39975</v>
      </c>
      <c r="P166" s="33" t="s">
        <v>16</v>
      </c>
    </row>
    <row r="167" spans="1:16" x14ac:dyDescent="0.35">
      <c r="A167" s="33" t="str">
        <f t="shared" si="7"/>
        <v>2024 JAN-SEP DISC 75%</v>
      </c>
      <c r="B167" s="34">
        <f t="shared" si="7"/>
        <v>46104</v>
      </c>
      <c r="C167" s="34">
        <f t="shared" si="7"/>
        <v>46113</v>
      </c>
      <c r="D167" s="33">
        <v>3321</v>
      </c>
      <c r="E167" s="33">
        <v>337</v>
      </c>
      <c r="F167" s="33">
        <v>4</v>
      </c>
      <c r="G167" s="33">
        <v>1</v>
      </c>
      <c r="H167" s="33">
        <v>81462</v>
      </c>
      <c r="I167" s="33" t="s">
        <v>39</v>
      </c>
      <c r="J167" s="33">
        <v>17324013</v>
      </c>
      <c r="K167" s="33" t="s">
        <v>552</v>
      </c>
      <c r="L167" s="39" t="s">
        <v>553</v>
      </c>
      <c r="M167" s="35">
        <v>149900</v>
      </c>
      <c r="N167" s="36">
        <f t="shared" si="8"/>
        <v>0.75</v>
      </c>
      <c r="O167" s="72">
        <f t="shared" si="6"/>
        <v>37475</v>
      </c>
      <c r="P167" s="33" t="s">
        <v>16</v>
      </c>
    </row>
    <row r="168" spans="1:16" x14ac:dyDescent="0.35">
      <c r="A168" s="33" t="str">
        <f t="shared" si="7"/>
        <v>2024 JAN-SEP DISC 75%</v>
      </c>
      <c r="B168" s="34">
        <f t="shared" si="7"/>
        <v>46104</v>
      </c>
      <c r="C168" s="34">
        <f t="shared" si="7"/>
        <v>46113</v>
      </c>
      <c r="D168" s="33">
        <v>3321</v>
      </c>
      <c r="E168" s="33">
        <v>337</v>
      </c>
      <c r="F168" s="33">
        <v>4</v>
      </c>
      <c r="G168" s="33">
        <v>1</v>
      </c>
      <c r="H168" s="33">
        <v>81462</v>
      </c>
      <c r="I168" s="33" t="s">
        <v>39</v>
      </c>
      <c r="J168" s="33">
        <v>17324022</v>
      </c>
      <c r="K168" s="33" t="s">
        <v>552</v>
      </c>
      <c r="L168" s="39" t="s">
        <v>554</v>
      </c>
      <c r="M168" s="35">
        <v>149900</v>
      </c>
      <c r="N168" s="36">
        <f t="shared" si="8"/>
        <v>0.75</v>
      </c>
      <c r="O168" s="72">
        <f t="shared" si="6"/>
        <v>37475</v>
      </c>
      <c r="P168" s="33" t="s">
        <v>16</v>
      </c>
    </row>
    <row r="169" spans="1:16" x14ac:dyDescent="0.35">
      <c r="A169" s="33" t="str">
        <f t="shared" si="7"/>
        <v>2024 JAN-SEP DISC 75%</v>
      </c>
      <c r="B169" s="34">
        <f t="shared" si="7"/>
        <v>46104</v>
      </c>
      <c r="C169" s="34">
        <f t="shared" si="7"/>
        <v>46113</v>
      </c>
      <c r="D169" s="33">
        <v>3321</v>
      </c>
      <c r="E169" s="33">
        <v>337</v>
      </c>
      <c r="F169" s="33">
        <v>4</v>
      </c>
      <c r="G169" s="33">
        <v>1</v>
      </c>
      <c r="H169" s="33">
        <v>81462</v>
      </c>
      <c r="I169" s="33" t="s">
        <v>39</v>
      </c>
      <c r="J169" s="33">
        <v>17324031</v>
      </c>
      <c r="K169" s="33" t="s">
        <v>552</v>
      </c>
      <c r="L169" s="39" t="s">
        <v>555</v>
      </c>
      <c r="M169" s="35">
        <v>149900</v>
      </c>
      <c r="N169" s="36">
        <f t="shared" si="8"/>
        <v>0.75</v>
      </c>
      <c r="O169" s="72">
        <f t="shared" si="6"/>
        <v>37475</v>
      </c>
      <c r="P169" s="33" t="s">
        <v>16</v>
      </c>
    </row>
    <row r="170" spans="1:16" x14ac:dyDescent="0.35">
      <c r="A170" s="33" t="str">
        <f t="shared" si="7"/>
        <v>2024 JAN-SEP DISC 75%</v>
      </c>
      <c r="B170" s="34">
        <f t="shared" si="7"/>
        <v>46104</v>
      </c>
      <c r="C170" s="34">
        <f t="shared" si="7"/>
        <v>46113</v>
      </c>
      <c r="D170" s="33">
        <v>3321</v>
      </c>
      <c r="E170" s="33">
        <v>337</v>
      </c>
      <c r="F170" s="33">
        <v>4</v>
      </c>
      <c r="G170" s="33">
        <v>1</v>
      </c>
      <c r="H170" s="33">
        <v>81462</v>
      </c>
      <c r="I170" s="33" t="s">
        <v>39</v>
      </c>
      <c r="J170" s="33">
        <v>17324040</v>
      </c>
      <c r="K170" s="33" t="s">
        <v>552</v>
      </c>
      <c r="L170" s="39" t="s">
        <v>556</v>
      </c>
      <c r="M170" s="35">
        <v>149900</v>
      </c>
      <c r="N170" s="36">
        <f t="shared" si="8"/>
        <v>0.75</v>
      </c>
      <c r="O170" s="72">
        <f t="shared" si="6"/>
        <v>37475</v>
      </c>
      <c r="P170" s="33" t="s">
        <v>16</v>
      </c>
    </row>
    <row r="171" spans="1:16" x14ac:dyDescent="0.35">
      <c r="A171" s="33" t="str">
        <f t="shared" si="7"/>
        <v>2024 JAN-SEP DISC 75%</v>
      </c>
      <c r="B171" s="34">
        <f t="shared" si="7"/>
        <v>46104</v>
      </c>
      <c r="C171" s="34">
        <f t="shared" si="7"/>
        <v>46113</v>
      </c>
      <c r="D171" s="33">
        <v>3321</v>
      </c>
      <c r="E171" s="33">
        <v>337</v>
      </c>
      <c r="F171" s="33">
        <v>4</v>
      </c>
      <c r="G171" s="33">
        <v>1</v>
      </c>
      <c r="H171" s="33">
        <v>81800</v>
      </c>
      <c r="I171" s="33" t="s">
        <v>39</v>
      </c>
      <c r="J171" s="33">
        <v>17454203</v>
      </c>
      <c r="K171" s="33" t="s">
        <v>557</v>
      </c>
      <c r="L171" s="39" t="s">
        <v>558</v>
      </c>
      <c r="M171" s="35">
        <v>169900</v>
      </c>
      <c r="N171" s="36">
        <f t="shared" si="8"/>
        <v>0.75</v>
      </c>
      <c r="O171" s="72">
        <f t="shared" si="6"/>
        <v>42475</v>
      </c>
      <c r="P171" s="33" t="s">
        <v>16</v>
      </c>
    </row>
    <row r="172" spans="1:16" x14ac:dyDescent="0.35">
      <c r="A172" s="33" t="str">
        <f t="shared" si="7"/>
        <v>2024 JAN-SEP DISC 75%</v>
      </c>
      <c r="B172" s="34">
        <f t="shared" si="7"/>
        <v>46104</v>
      </c>
      <c r="C172" s="34">
        <f t="shared" si="7"/>
        <v>46113</v>
      </c>
      <c r="D172" s="33">
        <v>3321</v>
      </c>
      <c r="E172" s="33">
        <v>337</v>
      </c>
      <c r="F172" s="33">
        <v>4</v>
      </c>
      <c r="G172" s="33">
        <v>1</v>
      </c>
      <c r="H172" s="33">
        <v>81800</v>
      </c>
      <c r="I172" s="33" t="s">
        <v>39</v>
      </c>
      <c r="J172" s="33">
        <v>17454212</v>
      </c>
      <c r="K172" s="33" t="s">
        <v>557</v>
      </c>
      <c r="L172" s="39" t="s">
        <v>559</v>
      </c>
      <c r="M172" s="35">
        <v>169900</v>
      </c>
      <c r="N172" s="36">
        <f t="shared" si="8"/>
        <v>0.75</v>
      </c>
      <c r="O172" s="72">
        <f t="shared" si="6"/>
        <v>42475</v>
      </c>
      <c r="P172" s="33" t="s">
        <v>16</v>
      </c>
    </row>
    <row r="173" spans="1:16" x14ac:dyDescent="0.35">
      <c r="A173" s="33" t="str">
        <f t="shared" si="7"/>
        <v>2024 JAN-SEP DISC 75%</v>
      </c>
      <c r="B173" s="34">
        <f t="shared" si="7"/>
        <v>46104</v>
      </c>
      <c r="C173" s="34">
        <f t="shared" si="7"/>
        <v>46113</v>
      </c>
      <c r="D173" s="33">
        <v>3321</v>
      </c>
      <c r="E173" s="33">
        <v>337</v>
      </c>
      <c r="F173" s="33">
        <v>4</v>
      </c>
      <c r="G173" s="33">
        <v>1</v>
      </c>
      <c r="H173" s="33">
        <v>81800</v>
      </c>
      <c r="I173" s="33" t="s">
        <v>39</v>
      </c>
      <c r="J173" s="33">
        <v>17454230</v>
      </c>
      <c r="K173" s="33" t="s">
        <v>557</v>
      </c>
      <c r="L173" s="39" t="s">
        <v>560</v>
      </c>
      <c r="M173" s="35">
        <v>169900</v>
      </c>
      <c r="N173" s="36">
        <f t="shared" si="8"/>
        <v>0.75</v>
      </c>
      <c r="O173" s="72">
        <f t="shared" si="6"/>
        <v>42475</v>
      </c>
      <c r="P173" s="33" t="s">
        <v>16</v>
      </c>
    </row>
    <row r="174" spans="1:16" x14ac:dyDescent="0.35">
      <c r="A174" s="33" t="str">
        <f t="shared" si="7"/>
        <v>2024 JAN-SEP DISC 75%</v>
      </c>
      <c r="B174" s="34">
        <f t="shared" si="7"/>
        <v>46104</v>
      </c>
      <c r="C174" s="34">
        <f t="shared" si="7"/>
        <v>46113</v>
      </c>
      <c r="D174" s="33">
        <v>3321</v>
      </c>
      <c r="E174" s="33">
        <v>337</v>
      </c>
      <c r="F174" s="33">
        <v>4</v>
      </c>
      <c r="G174" s="33">
        <v>4</v>
      </c>
      <c r="H174" s="33">
        <v>81419</v>
      </c>
      <c r="I174" s="33" t="s">
        <v>39</v>
      </c>
      <c r="J174" s="33">
        <v>14608598</v>
      </c>
      <c r="K174" s="33" t="s">
        <v>561</v>
      </c>
      <c r="L174" s="39" t="s">
        <v>562</v>
      </c>
      <c r="M174" s="35">
        <v>249900</v>
      </c>
      <c r="N174" s="36">
        <f t="shared" si="8"/>
        <v>0.75</v>
      </c>
      <c r="O174" s="72">
        <f t="shared" si="6"/>
        <v>62475</v>
      </c>
      <c r="P174" s="33" t="s">
        <v>16</v>
      </c>
    </row>
    <row r="175" spans="1:16" x14ac:dyDescent="0.35">
      <c r="A175" s="33" t="str">
        <f t="shared" si="7"/>
        <v>2024 JAN-SEP DISC 75%</v>
      </c>
      <c r="B175" s="34">
        <f t="shared" si="7"/>
        <v>46104</v>
      </c>
      <c r="C175" s="34">
        <f t="shared" si="7"/>
        <v>46113</v>
      </c>
      <c r="D175" s="33">
        <v>3321</v>
      </c>
      <c r="E175" s="33">
        <v>337</v>
      </c>
      <c r="F175" s="33">
        <v>4</v>
      </c>
      <c r="G175" s="33">
        <v>4</v>
      </c>
      <c r="H175" s="33">
        <v>81419</v>
      </c>
      <c r="I175" s="33" t="s">
        <v>39</v>
      </c>
      <c r="J175" s="33">
        <v>14608605</v>
      </c>
      <c r="K175" s="33" t="s">
        <v>561</v>
      </c>
      <c r="L175" s="39" t="s">
        <v>563</v>
      </c>
      <c r="M175" s="35">
        <v>249900</v>
      </c>
      <c r="N175" s="36">
        <f t="shared" si="8"/>
        <v>0.75</v>
      </c>
      <c r="O175" s="72">
        <f t="shared" si="6"/>
        <v>62475</v>
      </c>
      <c r="P175" s="33" t="s">
        <v>16</v>
      </c>
    </row>
    <row r="176" spans="1:16" x14ac:dyDescent="0.35">
      <c r="A176" s="33" t="str">
        <f t="shared" si="7"/>
        <v>2024 JAN-SEP DISC 75%</v>
      </c>
      <c r="B176" s="34">
        <f t="shared" si="7"/>
        <v>46104</v>
      </c>
      <c r="C176" s="34">
        <f t="shared" si="7"/>
        <v>46113</v>
      </c>
      <c r="D176" s="33">
        <v>3321</v>
      </c>
      <c r="E176" s="33">
        <v>337</v>
      </c>
      <c r="F176" s="33">
        <v>4</v>
      </c>
      <c r="G176" s="33">
        <v>4</v>
      </c>
      <c r="H176" s="33">
        <v>81419</v>
      </c>
      <c r="I176" s="33" t="s">
        <v>39</v>
      </c>
      <c r="J176" s="33">
        <v>14608614</v>
      </c>
      <c r="K176" s="33" t="s">
        <v>561</v>
      </c>
      <c r="L176" s="39" t="s">
        <v>564</v>
      </c>
      <c r="M176" s="35">
        <v>249900</v>
      </c>
      <c r="N176" s="36">
        <f t="shared" si="8"/>
        <v>0.75</v>
      </c>
      <c r="O176" s="72">
        <f t="shared" si="6"/>
        <v>62475</v>
      </c>
      <c r="P176" s="33" t="s">
        <v>16</v>
      </c>
    </row>
    <row r="177" spans="1:16" x14ac:dyDescent="0.35">
      <c r="A177" s="33" t="str">
        <f t="shared" si="7"/>
        <v>2024 JAN-SEP DISC 75%</v>
      </c>
      <c r="B177" s="34">
        <f t="shared" si="7"/>
        <v>46104</v>
      </c>
      <c r="C177" s="34">
        <f t="shared" si="7"/>
        <v>46113</v>
      </c>
      <c r="D177" s="33">
        <v>3321</v>
      </c>
      <c r="E177" s="33">
        <v>337</v>
      </c>
      <c r="F177" s="33">
        <v>4</v>
      </c>
      <c r="G177" s="33">
        <v>4</v>
      </c>
      <c r="H177" s="33">
        <v>81419</v>
      </c>
      <c r="I177" s="33" t="s">
        <v>39</v>
      </c>
      <c r="J177" s="33">
        <v>14608623</v>
      </c>
      <c r="K177" s="33" t="s">
        <v>561</v>
      </c>
      <c r="L177" s="39" t="s">
        <v>565</v>
      </c>
      <c r="M177" s="35">
        <v>249900</v>
      </c>
      <c r="N177" s="36">
        <f t="shared" si="8"/>
        <v>0.75</v>
      </c>
      <c r="O177" s="72">
        <f t="shared" si="6"/>
        <v>62475</v>
      </c>
      <c r="P177" s="33" t="s">
        <v>16</v>
      </c>
    </row>
    <row r="178" spans="1:16" x14ac:dyDescent="0.35">
      <c r="A178" s="33" t="str">
        <f t="shared" si="7"/>
        <v>2024 JAN-SEP DISC 75%</v>
      </c>
      <c r="B178" s="34">
        <f t="shared" si="7"/>
        <v>46104</v>
      </c>
      <c r="C178" s="34">
        <f t="shared" si="7"/>
        <v>46113</v>
      </c>
      <c r="D178" s="33">
        <v>3321</v>
      </c>
      <c r="E178" s="33">
        <v>337</v>
      </c>
      <c r="F178" s="33">
        <v>4</v>
      </c>
      <c r="G178" s="33">
        <v>1</v>
      </c>
      <c r="H178" s="33">
        <v>81800</v>
      </c>
      <c r="I178" s="33" t="s">
        <v>39</v>
      </c>
      <c r="J178" s="33">
        <v>18419722</v>
      </c>
      <c r="K178" s="33" t="s">
        <v>827</v>
      </c>
      <c r="L178" s="39" t="s">
        <v>828</v>
      </c>
      <c r="M178" s="35">
        <v>169900</v>
      </c>
      <c r="N178" s="36">
        <f t="shared" si="8"/>
        <v>0.75</v>
      </c>
      <c r="O178" s="72">
        <f t="shared" si="6"/>
        <v>42475</v>
      </c>
      <c r="P178" s="33" t="s">
        <v>16</v>
      </c>
    </row>
    <row r="179" spans="1:16" x14ac:dyDescent="0.35">
      <c r="A179" s="33" t="str">
        <f t="shared" si="7"/>
        <v>2024 JAN-SEP DISC 75%</v>
      </c>
      <c r="B179" s="34">
        <f t="shared" si="7"/>
        <v>46104</v>
      </c>
      <c r="C179" s="34">
        <f t="shared" si="7"/>
        <v>46113</v>
      </c>
      <c r="D179" s="33">
        <v>3321</v>
      </c>
      <c r="E179" s="33">
        <v>337</v>
      </c>
      <c r="F179" s="33">
        <v>4</v>
      </c>
      <c r="G179" s="33">
        <v>1</v>
      </c>
      <c r="H179" s="33">
        <v>81800</v>
      </c>
      <c r="I179" s="33" t="s">
        <v>39</v>
      </c>
      <c r="J179" s="33">
        <v>18419731</v>
      </c>
      <c r="K179" s="33" t="s">
        <v>827</v>
      </c>
      <c r="L179" s="39" t="s">
        <v>829</v>
      </c>
      <c r="M179" s="35">
        <v>169900</v>
      </c>
      <c r="N179" s="36">
        <f t="shared" si="8"/>
        <v>0.75</v>
      </c>
      <c r="O179" s="72">
        <f t="shared" si="6"/>
        <v>42475</v>
      </c>
      <c r="P179" s="33" t="s">
        <v>16</v>
      </c>
    </row>
    <row r="180" spans="1:16" x14ac:dyDescent="0.35">
      <c r="A180" s="33" t="str">
        <f t="shared" si="7"/>
        <v>2024 JAN-SEP DISC 75%</v>
      </c>
      <c r="B180" s="34">
        <f t="shared" si="7"/>
        <v>46104</v>
      </c>
      <c r="C180" s="34">
        <f t="shared" si="7"/>
        <v>46113</v>
      </c>
      <c r="D180" s="33">
        <v>3321</v>
      </c>
      <c r="E180" s="33">
        <v>337</v>
      </c>
      <c r="F180" s="33">
        <v>4</v>
      </c>
      <c r="G180" s="33">
        <v>1</v>
      </c>
      <c r="H180" s="33">
        <v>81800</v>
      </c>
      <c r="I180" s="33" t="s">
        <v>39</v>
      </c>
      <c r="J180" s="33">
        <v>18419740</v>
      </c>
      <c r="K180" s="33" t="s">
        <v>827</v>
      </c>
      <c r="L180" s="39" t="s">
        <v>830</v>
      </c>
      <c r="M180" s="35">
        <v>169900</v>
      </c>
      <c r="N180" s="36">
        <f t="shared" si="8"/>
        <v>0.75</v>
      </c>
      <c r="O180" s="72">
        <f t="shared" si="6"/>
        <v>42475</v>
      </c>
      <c r="P180" s="33" t="s">
        <v>16</v>
      </c>
    </row>
    <row r="181" spans="1:16" x14ac:dyDescent="0.35">
      <c r="A181" s="33" t="str">
        <f t="shared" si="7"/>
        <v>2024 JAN-SEP DISC 75%</v>
      </c>
      <c r="B181" s="34">
        <f t="shared" si="7"/>
        <v>46104</v>
      </c>
      <c r="C181" s="34">
        <f t="shared" si="7"/>
        <v>46113</v>
      </c>
      <c r="D181" s="33">
        <v>3321</v>
      </c>
      <c r="E181" s="33">
        <v>337</v>
      </c>
      <c r="F181" s="33">
        <v>4</v>
      </c>
      <c r="G181" s="33">
        <v>1</v>
      </c>
      <c r="H181" s="33">
        <v>81800</v>
      </c>
      <c r="I181" s="33" t="s">
        <v>39</v>
      </c>
      <c r="J181" s="33">
        <v>18419759</v>
      </c>
      <c r="K181" s="33" t="s">
        <v>827</v>
      </c>
      <c r="L181" s="39" t="s">
        <v>831</v>
      </c>
      <c r="M181" s="35">
        <v>169900</v>
      </c>
      <c r="N181" s="36">
        <f t="shared" si="8"/>
        <v>0.75</v>
      </c>
      <c r="O181" s="72">
        <f t="shared" si="6"/>
        <v>42475</v>
      </c>
      <c r="P181" s="33" t="s">
        <v>16</v>
      </c>
    </row>
    <row r="182" spans="1:16" x14ac:dyDescent="0.35">
      <c r="A182" s="33" t="str">
        <f t="shared" si="7"/>
        <v>2024 JAN-SEP DISC 75%</v>
      </c>
      <c r="B182" s="34">
        <f t="shared" si="7"/>
        <v>46104</v>
      </c>
      <c r="C182" s="34">
        <f t="shared" si="7"/>
        <v>46113</v>
      </c>
      <c r="D182" s="33">
        <v>3321</v>
      </c>
      <c r="E182" s="33">
        <v>337</v>
      </c>
      <c r="F182" s="33">
        <v>4</v>
      </c>
      <c r="G182" s="33">
        <v>3</v>
      </c>
      <c r="H182" s="33">
        <v>81421</v>
      </c>
      <c r="I182" s="33" t="s">
        <v>39</v>
      </c>
      <c r="J182" s="33">
        <v>17454329</v>
      </c>
      <c r="K182" s="33" t="s">
        <v>832</v>
      </c>
      <c r="L182" s="39" t="s">
        <v>833</v>
      </c>
      <c r="M182" s="35">
        <v>269900</v>
      </c>
      <c r="N182" s="36">
        <f t="shared" si="8"/>
        <v>0.75</v>
      </c>
      <c r="O182" s="72">
        <f t="shared" si="6"/>
        <v>67475</v>
      </c>
      <c r="P182" s="33" t="s">
        <v>16</v>
      </c>
    </row>
    <row r="183" spans="1:16" x14ac:dyDescent="0.35">
      <c r="A183" s="33" t="str">
        <f t="shared" si="7"/>
        <v>2024 JAN-SEP DISC 75%</v>
      </c>
      <c r="B183" s="34">
        <f t="shared" si="7"/>
        <v>46104</v>
      </c>
      <c r="C183" s="34">
        <f t="shared" si="7"/>
        <v>46113</v>
      </c>
      <c r="D183" s="33">
        <v>3321</v>
      </c>
      <c r="E183" s="33">
        <v>337</v>
      </c>
      <c r="F183" s="33">
        <v>4</v>
      </c>
      <c r="G183" s="33">
        <v>3</v>
      </c>
      <c r="H183" s="33">
        <v>81421</v>
      </c>
      <c r="I183" s="33" t="s">
        <v>39</v>
      </c>
      <c r="J183" s="33">
        <v>17454338</v>
      </c>
      <c r="K183" s="33" t="s">
        <v>832</v>
      </c>
      <c r="L183" s="39" t="s">
        <v>834</v>
      </c>
      <c r="M183" s="35">
        <v>269900</v>
      </c>
      <c r="N183" s="36">
        <f t="shared" si="8"/>
        <v>0.75</v>
      </c>
      <c r="O183" s="72">
        <f t="shared" si="6"/>
        <v>67475</v>
      </c>
      <c r="P183" s="33" t="s">
        <v>16</v>
      </c>
    </row>
    <row r="184" spans="1:16" x14ac:dyDescent="0.35">
      <c r="A184" s="33" t="str">
        <f t="shared" si="7"/>
        <v>2024 JAN-SEP DISC 75%</v>
      </c>
      <c r="B184" s="34">
        <f t="shared" si="7"/>
        <v>46104</v>
      </c>
      <c r="C184" s="34">
        <f t="shared" si="7"/>
        <v>46113</v>
      </c>
      <c r="D184" s="33">
        <v>3321</v>
      </c>
      <c r="E184" s="33">
        <v>337</v>
      </c>
      <c r="F184" s="33">
        <v>4</v>
      </c>
      <c r="G184" s="33">
        <v>3</v>
      </c>
      <c r="H184" s="33">
        <v>81421</v>
      </c>
      <c r="I184" s="33" t="s">
        <v>39</v>
      </c>
      <c r="J184" s="33">
        <v>17454347</v>
      </c>
      <c r="K184" s="33" t="s">
        <v>832</v>
      </c>
      <c r="L184" s="39" t="s">
        <v>835</v>
      </c>
      <c r="M184" s="35">
        <v>269900</v>
      </c>
      <c r="N184" s="36">
        <f t="shared" si="8"/>
        <v>0.75</v>
      </c>
      <c r="O184" s="72">
        <f t="shared" si="6"/>
        <v>67475</v>
      </c>
      <c r="P184" s="33" t="s">
        <v>16</v>
      </c>
    </row>
    <row r="185" spans="1:16" x14ac:dyDescent="0.35">
      <c r="A185" s="33" t="str">
        <f t="shared" si="7"/>
        <v>2024 JAN-SEP DISC 75%</v>
      </c>
      <c r="B185" s="34">
        <f t="shared" si="7"/>
        <v>46104</v>
      </c>
      <c r="C185" s="34">
        <f t="shared" si="7"/>
        <v>46113</v>
      </c>
      <c r="D185" s="33">
        <v>3321</v>
      </c>
      <c r="E185" s="33">
        <v>337</v>
      </c>
      <c r="F185" s="33">
        <v>4</v>
      </c>
      <c r="G185" s="33">
        <v>3</v>
      </c>
      <c r="H185" s="33">
        <v>81421</v>
      </c>
      <c r="I185" s="33" t="s">
        <v>39</v>
      </c>
      <c r="J185" s="33">
        <v>17454356</v>
      </c>
      <c r="K185" s="33" t="s">
        <v>832</v>
      </c>
      <c r="L185" s="39" t="s">
        <v>836</v>
      </c>
      <c r="M185" s="35">
        <v>269900</v>
      </c>
      <c r="N185" s="36">
        <f t="shared" si="8"/>
        <v>0.75</v>
      </c>
      <c r="O185" s="72">
        <f t="shared" si="6"/>
        <v>67475</v>
      </c>
      <c r="P185" s="33" t="s">
        <v>16</v>
      </c>
    </row>
    <row r="186" spans="1:16" x14ac:dyDescent="0.35">
      <c r="A186" s="33" t="str">
        <f t="shared" si="7"/>
        <v>2024 JAN-SEP DISC 75%</v>
      </c>
      <c r="B186" s="34">
        <f t="shared" si="7"/>
        <v>46104</v>
      </c>
      <c r="C186" s="34">
        <f t="shared" si="7"/>
        <v>46113</v>
      </c>
      <c r="D186" s="33">
        <v>3321</v>
      </c>
      <c r="E186" s="33">
        <v>337</v>
      </c>
      <c r="F186" s="33">
        <v>4</v>
      </c>
      <c r="G186" s="33">
        <v>3</v>
      </c>
      <c r="H186" s="33">
        <v>81800</v>
      </c>
      <c r="I186" s="33" t="s">
        <v>39</v>
      </c>
      <c r="J186" s="33">
        <v>16572275</v>
      </c>
      <c r="K186" s="33" t="s">
        <v>837</v>
      </c>
      <c r="L186" s="39" t="s">
        <v>838</v>
      </c>
      <c r="M186" s="35">
        <v>239900</v>
      </c>
      <c r="N186" s="36">
        <f t="shared" si="8"/>
        <v>0.75</v>
      </c>
      <c r="O186" s="72">
        <f t="shared" si="6"/>
        <v>59975</v>
      </c>
      <c r="P186" s="33" t="s">
        <v>16</v>
      </c>
    </row>
    <row r="187" spans="1:16" x14ac:dyDescent="0.35">
      <c r="A187" s="33" t="str">
        <f t="shared" si="7"/>
        <v>2024 JAN-SEP DISC 75%</v>
      </c>
      <c r="B187" s="34">
        <f t="shared" si="7"/>
        <v>46104</v>
      </c>
      <c r="C187" s="34">
        <f t="shared" si="7"/>
        <v>46113</v>
      </c>
      <c r="D187" s="33">
        <v>3321</v>
      </c>
      <c r="E187" s="33">
        <v>337</v>
      </c>
      <c r="F187" s="33">
        <v>4</v>
      </c>
      <c r="G187" s="33">
        <v>3</v>
      </c>
      <c r="H187" s="33">
        <v>81800</v>
      </c>
      <c r="I187" s="33" t="s">
        <v>39</v>
      </c>
      <c r="J187" s="33">
        <v>16572284</v>
      </c>
      <c r="K187" s="33" t="s">
        <v>837</v>
      </c>
      <c r="L187" s="39" t="s">
        <v>839</v>
      </c>
      <c r="M187" s="35">
        <v>239900</v>
      </c>
      <c r="N187" s="36">
        <f t="shared" si="8"/>
        <v>0.75</v>
      </c>
      <c r="O187" s="72">
        <f t="shared" si="6"/>
        <v>59975</v>
      </c>
      <c r="P187" s="33" t="s">
        <v>16</v>
      </c>
    </row>
    <row r="188" spans="1:16" x14ac:dyDescent="0.35">
      <c r="A188" s="33" t="str">
        <f t="shared" si="7"/>
        <v>2024 JAN-SEP DISC 75%</v>
      </c>
      <c r="B188" s="34">
        <f t="shared" si="7"/>
        <v>46104</v>
      </c>
      <c r="C188" s="34">
        <f t="shared" si="7"/>
        <v>46113</v>
      </c>
      <c r="D188" s="33">
        <v>3321</v>
      </c>
      <c r="E188" s="33">
        <v>337</v>
      </c>
      <c r="F188" s="33">
        <v>4</v>
      </c>
      <c r="G188" s="33">
        <v>3</v>
      </c>
      <c r="H188" s="33">
        <v>81800</v>
      </c>
      <c r="I188" s="33" t="s">
        <v>39</v>
      </c>
      <c r="J188" s="33">
        <v>16572293</v>
      </c>
      <c r="K188" s="33" t="s">
        <v>837</v>
      </c>
      <c r="L188" s="39" t="s">
        <v>840</v>
      </c>
      <c r="M188" s="35">
        <v>239900</v>
      </c>
      <c r="N188" s="36">
        <f t="shared" si="8"/>
        <v>0.75</v>
      </c>
      <c r="O188" s="72">
        <f t="shared" si="6"/>
        <v>59975</v>
      </c>
      <c r="P188" s="33" t="s">
        <v>16</v>
      </c>
    </row>
    <row r="189" spans="1:16" x14ac:dyDescent="0.35">
      <c r="A189" s="33" t="str">
        <f t="shared" si="7"/>
        <v>2024 JAN-SEP DISC 75%</v>
      </c>
      <c r="B189" s="34">
        <f t="shared" si="7"/>
        <v>46104</v>
      </c>
      <c r="C189" s="34">
        <f t="shared" si="7"/>
        <v>46113</v>
      </c>
      <c r="D189" s="33">
        <v>3321</v>
      </c>
      <c r="E189" s="33">
        <v>337</v>
      </c>
      <c r="F189" s="33">
        <v>4</v>
      </c>
      <c r="G189" s="33">
        <v>3</v>
      </c>
      <c r="H189" s="33">
        <v>81800</v>
      </c>
      <c r="I189" s="33" t="s">
        <v>39</v>
      </c>
      <c r="J189" s="33">
        <v>16572300</v>
      </c>
      <c r="K189" s="33" t="s">
        <v>837</v>
      </c>
      <c r="L189" s="39" t="s">
        <v>841</v>
      </c>
      <c r="M189" s="35">
        <v>239900</v>
      </c>
      <c r="N189" s="36">
        <f t="shared" si="8"/>
        <v>0.75</v>
      </c>
      <c r="O189" s="72">
        <f t="shared" si="6"/>
        <v>59975</v>
      </c>
      <c r="P189" s="33" t="s">
        <v>16</v>
      </c>
    </row>
    <row r="190" spans="1:16" x14ac:dyDescent="0.35">
      <c r="A190" s="33" t="str">
        <f t="shared" si="7"/>
        <v>2024 JAN-SEP DISC 75%</v>
      </c>
      <c r="B190" s="34">
        <f t="shared" si="7"/>
        <v>46104</v>
      </c>
      <c r="C190" s="34">
        <f t="shared" si="7"/>
        <v>46113</v>
      </c>
      <c r="D190" s="33">
        <v>3321</v>
      </c>
      <c r="E190" s="33">
        <v>337</v>
      </c>
      <c r="F190" s="33">
        <v>4</v>
      </c>
      <c r="G190" s="33">
        <v>3</v>
      </c>
      <c r="H190" s="33">
        <v>81800</v>
      </c>
      <c r="I190" s="33" t="s">
        <v>39</v>
      </c>
      <c r="J190" s="33">
        <v>18718739</v>
      </c>
      <c r="K190" s="33" t="s">
        <v>842</v>
      </c>
      <c r="L190" s="39" t="s">
        <v>843</v>
      </c>
      <c r="M190" s="35">
        <v>239900</v>
      </c>
      <c r="N190" s="36">
        <f t="shared" si="8"/>
        <v>0.75</v>
      </c>
      <c r="O190" s="72">
        <f t="shared" si="6"/>
        <v>59975</v>
      </c>
      <c r="P190" s="33" t="s">
        <v>16</v>
      </c>
    </row>
    <row r="191" spans="1:16" x14ac:dyDescent="0.35">
      <c r="A191" s="33" t="str">
        <f t="shared" si="7"/>
        <v>2024 JAN-SEP DISC 75%</v>
      </c>
      <c r="B191" s="34">
        <f t="shared" si="7"/>
        <v>46104</v>
      </c>
      <c r="C191" s="34">
        <f t="shared" si="7"/>
        <v>46113</v>
      </c>
      <c r="D191" s="33">
        <v>3321</v>
      </c>
      <c r="E191" s="33">
        <v>337</v>
      </c>
      <c r="F191" s="33">
        <v>4</v>
      </c>
      <c r="G191" s="33">
        <v>3</v>
      </c>
      <c r="H191" s="33">
        <v>81800</v>
      </c>
      <c r="I191" s="33" t="s">
        <v>39</v>
      </c>
      <c r="J191" s="33">
        <v>18718748</v>
      </c>
      <c r="K191" s="33" t="s">
        <v>842</v>
      </c>
      <c r="L191" s="39" t="s">
        <v>844</v>
      </c>
      <c r="M191" s="35">
        <v>239900</v>
      </c>
      <c r="N191" s="36">
        <f t="shared" si="8"/>
        <v>0.75</v>
      </c>
      <c r="O191" s="72">
        <f t="shared" si="6"/>
        <v>59975</v>
      </c>
      <c r="P191" s="33" t="s">
        <v>16</v>
      </c>
    </row>
    <row r="192" spans="1:16" x14ac:dyDescent="0.35">
      <c r="A192" s="33" t="str">
        <f t="shared" si="7"/>
        <v>2024 JAN-SEP DISC 75%</v>
      </c>
      <c r="B192" s="34">
        <f t="shared" si="7"/>
        <v>46104</v>
      </c>
      <c r="C192" s="34">
        <f t="shared" si="7"/>
        <v>46113</v>
      </c>
      <c r="D192" s="33">
        <v>3321</v>
      </c>
      <c r="E192" s="33">
        <v>337</v>
      </c>
      <c r="F192" s="33">
        <v>4</v>
      </c>
      <c r="G192" s="33">
        <v>3</v>
      </c>
      <c r="H192" s="33">
        <v>81800</v>
      </c>
      <c r="I192" s="33" t="s">
        <v>39</v>
      </c>
      <c r="J192" s="33">
        <v>18718757</v>
      </c>
      <c r="K192" s="33" t="s">
        <v>842</v>
      </c>
      <c r="L192" s="39" t="s">
        <v>845</v>
      </c>
      <c r="M192" s="35">
        <v>239900</v>
      </c>
      <c r="N192" s="36">
        <f t="shared" si="8"/>
        <v>0.75</v>
      </c>
      <c r="O192" s="72">
        <f t="shared" si="6"/>
        <v>59975</v>
      </c>
      <c r="P192" s="33" t="s">
        <v>16</v>
      </c>
    </row>
    <row r="193" spans="1:16" x14ac:dyDescent="0.35">
      <c r="A193" s="33" t="str">
        <f t="shared" si="7"/>
        <v>2024 JAN-SEP DISC 75%</v>
      </c>
      <c r="B193" s="34">
        <f t="shared" si="7"/>
        <v>46104</v>
      </c>
      <c r="C193" s="34">
        <f t="shared" si="7"/>
        <v>46113</v>
      </c>
      <c r="D193" s="33">
        <v>3321</v>
      </c>
      <c r="E193" s="33">
        <v>337</v>
      </c>
      <c r="F193" s="33">
        <v>4</v>
      </c>
      <c r="G193" s="33">
        <v>3</v>
      </c>
      <c r="H193" s="33">
        <v>81800</v>
      </c>
      <c r="I193" s="33" t="s">
        <v>39</v>
      </c>
      <c r="J193" s="33">
        <v>18718766</v>
      </c>
      <c r="K193" s="33" t="s">
        <v>842</v>
      </c>
      <c r="L193" s="39" t="s">
        <v>846</v>
      </c>
      <c r="M193" s="35">
        <v>239900</v>
      </c>
      <c r="N193" s="36">
        <f t="shared" si="8"/>
        <v>0.75</v>
      </c>
      <c r="O193" s="72">
        <f t="shared" si="6"/>
        <v>59975</v>
      </c>
      <c r="P193" s="33" t="s">
        <v>16</v>
      </c>
    </row>
    <row r="194" spans="1:16" x14ac:dyDescent="0.35">
      <c r="A194" s="33" t="str">
        <f t="shared" si="7"/>
        <v>2024 JAN-SEP DISC 75%</v>
      </c>
      <c r="B194" s="34">
        <f t="shared" si="7"/>
        <v>46104</v>
      </c>
      <c r="C194" s="34">
        <f t="shared" si="7"/>
        <v>46113</v>
      </c>
      <c r="D194" s="33">
        <v>3321</v>
      </c>
      <c r="E194" s="33">
        <v>337</v>
      </c>
      <c r="F194" s="33">
        <v>4</v>
      </c>
      <c r="G194" s="33">
        <v>4</v>
      </c>
      <c r="H194" s="33">
        <v>81421</v>
      </c>
      <c r="I194" s="33" t="s">
        <v>39</v>
      </c>
      <c r="J194" s="33">
        <v>17454365</v>
      </c>
      <c r="K194" s="33" t="s">
        <v>847</v>
      </c>
      <c r="L194" s="39" t="s">
        <v>848</v>
      </c>
      <c r="M194" s="35">
        <v>219900</v>
      </c>
      <c r="N194" s="36">
        <f t="shared" si="8"/>
        <v>0.75</v>
      </c>
      <c r="O194" s="72">
        <f t="shared" si="6"/>
        <v>54975</v>
      </c>
      <c r="P194" s="33" t="s">
        <v>16</v>
      </c>
    </row>
    <row r="195" spans="1:16" x14ac:dyDescent="0.35">
      <c r="A195" s="33" t="str">
        <f t="shared" si="7"/>
        <v>2024 JAN-SEP DISC 75%</v>
      </c>
      <c r="B195" s="34">
        <f t="shared" si="7"/>
        <v>46104</v>
      </c>
      <c r="C195" s="34">
        <f t="shared" si="7"/>
        <v>46113</v>
      </c>
      <c r="D195" s="33">
        <v>3321</v>
      </c>
      <c r="E195" s="33">
        <v>337</v>
      </c>
      <c r="F195" s="33">
        <v>4</v>
      </c>
      <c r="G195" s="33">
        <v>4</v>
      </c>
      <c r="H195" s="33">
        <v>81421</v>
      </c>
      <c r="I195" s="33" t="s">
        <v>39</v>
      </c>
      <c r="J195" s="33">
        <v>17454374</v>
      </c>
      <c r="K195" s="33" t="s">
        <v>847</v>
      </c>
      <c r="L195" s="39" t="s">
        <v>849</v>
      </c>
      <c r="M195" s="35">
        <v>219900</v>
      </c>
      <c r="N195" s="36">
        <f t="shared" si="8"/>
        <v>0.75</v>
      </c>
      <c r="O195" s="72">
        <f t="shared" ref="O195:O258" si="9">M195-((75*M195)/100)</f>
        <v>54975</v>
      </c>
      <c r="P195" s="33" t="s">
        <v>16</v>
      </c>
    </row>
    <row r="196" spans="1:16" x14ac:dyDescent="0.35">
      <c r="A196" s="33" t="str">
        <f t="shared" ref="A196:C230" si="10">A195</f>
        <v>2024 JAN-SEP DISC 75%</v>
      </c>
      <c r="B196" s="34">
        <f t="shared" si="10"/>
        <v>46104</v>
      </c>
      <c r="C196" s="34">
        <f t="shared" si="10"/>
        <v>46113</v>
      </c>
      <c r="D196" s="33">
        <v>3321</v>
      </c>
      <c r="E196" s="33">
        <v>337</v>
      </c>
      <c r="F196" s="33">
        <v>4</v>
      </c>
      <c r="G196" s="33">
        <v>4</v>
      </c>
      <c r="H196" s="33">
        <v>81421</v>
      </c>
      <c r="I196" s="33" t="s">
        <v>39</v>
      </c>
      <c r="J196" s="33">
        <v>17454383</v>
      </c>
      <c r="K196" s="33" t="s">
        <v>847</v>
      </c>
      <c r="L196" s="39" t="s">
        <v>850</v>
      </c>
      <c r="M196" s="35">
        <v>219900</v>
      </c>
      <c r="N196" s="36">
        <f t="shared" ref="N196:N259" si="11">N195</f>
        <v>0.75</v>
      </c>
      <c r="O196" s="72">
        <f t="shared" si="9"/>
        <v>54975</v>
      </c>
      <c r="P196" s="33" t="s">
        <v>16</v>
      </c>
    </row>
    <row r="197" spans="1:16" x14ac:dyDescent="0.35">
      <c r="A197" s="33" t="str">
        <f t="shared" si="10"/>
        <v>2024 JAN-SEP DISC 75%</v>
      </c>
      <c r="B197" s="34">
        <f t="shared" si="10"/>
        <v>46104</v>
      </c>
      <c r="C197" s="34">
        <f t="shared" si="10"/>
        <v>46113</v>
      </c>
      <c r="D197" s="33">
        <v>3321</v>
      </c>
      <c r="E197" s="33">
        <v>337</v>
      </c>
      <c r="F197" s="33">
        <v>4</v>
      </c>
      <c r="G197" s="33">
        <v>4</v>
      </c>
      <c r="H197" s="33">
        <v>81421</v>
      </c>
      <c r="I197" s="33" t="s">
        <v>39</v>
      </c>
      <c r="J197" s="33">
        <v>17454392</v>
      </c>
      <c r="K197" s="33" t="s">
        <v>847</v>
      </c>
      <c r="L197" s="39" t="s">
        <v>851</v>
      </c>
      <c r="M197" s="35">
        <v>219900</v>
      </c>
      <c r="N197" s="36">
        <f t="shared" si="11"/>
        <v>0.75</v>
      </c>
      <c r="O197" s="72">
        <f t="shared" si="9"/>
        <v>54975</v>
      </c>
      <c r="P197" s="33" t="s">
        <v>16</v>
      </c>
    </row>
    <row r="198" spans="1:16" x14ac:dyDescent="0.35">
      <c r="A198" s="33" t="str">
        <f t="shared" si="10"/>
        <v>2024 JAN-SEP DISC 75%</v>
      </c>
      <c r="B198" s="34">
        <f t="shared" si="10"/>
        <v>46104</v>
      </c>
      <c r="C198" s="34">
        <f t="shared" si="10"/>
        <v>46113</v>
      </c>
      <c r="D198" s="33">
        <v>3321</v>
      </c>
      <c r="E198" s="33">
        <v>337</v>
      </c>
      <c r="F198" s="33">
        <v>4</v>
      </c>
      <c r="G198" s="33">
        <v>1</v>
      </c>
      <c r="H198" s="33">
        <v>81146</v>
      </c>
      <c r="I198" s="33" t="s">
        <v>39</v>
      </c>
      <c r="J198" s="33">
        <v>18419768</v>
      </c>
      <c r="K198" s="33" t="s">
        <v>728</v>
      </c>
      <c r="L198" s="39" t="s">
        <v>729</v>
      </c>
      <c r="M198" s="35">
        <v>149900</v>
      </c>
      <c r="N198" s="36">
        <f t="shared" si="11"/>
        <v>0.75</v>
      </c>
      <c r="O198" s="72">
        <f t="shared" si="9"/>
        <v>37475</v>
      </c>
      <c r="P198" s="33" t="s">
        <v>16</v>
      </c>
    </row>
    <row r="199" spans="1:16" x14ac:dyDescent="0.35">
      <c r="A199" s="33" t="str">
        <f t="shared" si="10"/>
        <v>2024 JAN-SEP DISC 75%</v>
      </c>
      <c r="B199" s="34">
        <f t="shared" si="10"/>
        <v>46104</v>
      </c>
      <c r="C199" s="34">
        <f t="shared" si="10"/>
        <v>46113</v>
      </c>
      <c r="D199" s="33">
        <v>3321</v>
      </c>
      <c r="E199" s="33">
        <v>337</v>
      </c>
      <c r="F199" s="33">
        <v>4</v>
      </c>
      <c r="G199" s="33">
        <v>1</v>
      </c>
      <c r="H199" s="33">
        <v>81146</v>
      </c>
      <c r="I199" s="33" t="s">
        <v>39</v>
      </c>
      <c r="J199" s="33">
        <v>18419777</v>
      </c>
      <c r="K199" s="33" t="s">
        <v>728</v>
      </c>
      <c r="L199" s="39" t="s">
        <v>730</v>
      </c>
      <c r="M199" s="35">
        <v>149900</v>
      </c>
      <c r="N199" s="36">
        <f t="shared" si="11"/>
        <v>0.75</v>
      </c>
      <c r="O199" s="72">
        <f t="shared" si="9"/>
        <v>37475</v>
      </c>
      <c r="P199" s="33" t="s">
        <v>16</v>
      </c>
    </row>
    <row r="200" spans="1:16" x14ac:dyDescent="0.35">
      <c r="A200" s="33" t="str">
        <f t="shared" si="10"/>
        <v>2024 JAN-SEP DISC 75%</v>
      </c>
      <c r="B200" s="34">
        <f t="shared" si="10"/>
        <v>46104</v>
      </c>
      <c r="C200" s="34">
        <f t="shared" si="10"/>
        <v>46113</v>
      </c>
      <c r="D200" s="33">
        <v>3321</v>
      </c>
      <c r="E200" s="33">
        <v>337</v>
      </c>
      <c r="F200" s="33">
        <v>4</v>
      </c>
      <c r="G200" s="33">
        <v>1</v>
      </c>
      <c r="H200" s="33">
        <v>81146</v>
      </c>
      <c r="I200" s="33" t="s">
        <v>39</v>
      </c>
      <c r="J200" s="33">
        <v>18419786</v>
      </c>
      <c r="K200" s="33" t="s">
        <v>728</v>
      </c>
      <c r="L200" s="39" t="s">
        <v>731</v>
      </c>
      <c r="M200" s="35">
        <v>149900</v>
      </c>
      <c r="N200" s="36">
        <f t="shared" si="11"/>
        <v>0.75</v>
      </c>
      <c r="O200" s="72">
        <f t="shared" si="9"/>
        <v>37475</v>
      </c>
      <c r="P200" s="33" t="s">
        <v>16</v>
      </c>
    </row>
    <row r="201" spans="1:16" x14ac:dyDescent="0.35">
      <c r="A201" s="33" t="str">
        <f t="shared" si="10"/>
        <v>2024 JAN-SEP DISC 75%</v>
      </c>
      <c r="B201" s="34">
        <f t="shared" si="10"/>
        <v>46104</v>
      </c>
      <c r="C201" s="34">
        <f t="shared" si="10"/>
        <v>46113</v>
      </c>
      <c r="D201" s="33">
        <v>3321</v>
      </c>
      <c r="E201" s="33">
        <v>337</v>
      </c>
      <c r="F201" s="33">
        <v>4</v>
      </c>
      <c r="G201" s="33">
        <v>1</v>
      </c>
      <c r="H201" s="33">
        <v>81146</v>
      </c>
      <c r="I201" s="33" t="s">
        <v>39</v>
      </c>
      <c r="J201" s="33">
        <v>18419795</v>
      </c>
      <c r="K201" s="33" t="s">
        <v>728</v>
      </c>
      <c r="L201" s="39" t="s">
        <v>732</v>
      </c>
      <c r="M201" s="35">
        <v>149900</v>
      </c>
      <c r="N201" s="36">
        <f t="shared" si="11"/>
        <v>0.75</v>
      </c>
      <c r="O201" s="72">
        <f t="shared" si="9"/>
        <v>37475</v>
      </c>
      <c r="P201" s="33" t="s">
        <v>16</v>
      </c>
    </row>
    <row r="202" spans="1:16" x14ac:dyDescent="0.35">
      <c r="A202" s="33" t="str">
        <f t="shared" si="10"/>
        <v>2024 JAN-SEP DISC 75%</v>
      </c>
      <c r="B202" s="34">
        <f t="shared" si="10"/>
        <v>46104</v>
      </c>
      <c r="C202" s="34">
        <f t="shared" si="10"/>
        <v>46113</v>
      </c>
      <c r="D202" s="33">
        <v>3321</v>
      </c>
      <c r="E202" s="33">
        <v>337</v>
      </c>
      <c r="F202" s="33">
        <v>4</v>
      </c>
      <c r="G202" s="33">
        <v>1</v>
      </c>
      <c r="H202" s="33">
        <v>81146</v>
      </c>
      <c r="I202" s="33" t="s">
        <v>39</v>
      </c>
      <c r="J202" s="33">
        <v>18419802</v>
      </c>
      <c r="K202" s="33" t="s">
        <v>733</v>
      </c>
      <c r="L202" s="39" t="s">
        <v>734</v>
      </c>
      <c r="M202" s="35">
        <v>149900</v>
      </c>
      <c r="N202" s="36">
        <f t="shared" si="11"/>
        <v>0.75</v>
      </c>
      <c r="O202" s="72">
        <f t="shared" si="9"/>
        <v>37475</v>
      </c>
      <c r="P202" s="33" t="s">
        <v>16</v>
      </c>
    </row>
    <row r="203" spans="1:16" x14ac:dyDescent="0.35">
      <c r="A203" s="33" t="str">
        <f t="shared" si="10"/>
        <v>2024 JAN-SEP DISC 75%</v>
      </c>
      <c r="B203" s="34">
        <f t="shared" si="10"/>
        <v>46104</v>
      </c>
      <c r="C203" s="34">
        <f t="shared" si="10"/>
        <v>46113</v>
      </c>
      <c r="D203" s="33">
        <v>3321</v>
      </c>
      <c r="E203" s="33">
        <v>337</v>
      </c>
      <c r="F203" s="33">
        <v>4</v>
      </c>
      <c r="G203" s="33">
        <v>1</v>
      </c>
      <c r="H203" s="33">
        <v>81146</v>
      </c>
      <c r="I203" s="33" t="s">
        <v>39</v>
      </c>
      <c r="J203" s="33">
        <v>18419811</v>
      </c>
      <c r="K203" s="33" t="s">
        <v>733</v>
      </c>
      <c r="L203" s="39" t="s">
        <v>735</v>
      </c>
      <c r="M203" s="35">
        <v>149900</v>
      </c>
      <c r="N203" s="36">
        <f t="shared" si="11"/>
        <v>0.75</v>
      </c>
      <c r="O203" s="72">
        <f t="shared" si="9"/>
        <v>37475</v>
      </c>
      <c r="P203" s="33" t="s">
        <v>16</v>
      </c>
    </row>
    <row r="204" spans="1:16" x14ac:dyDescent="0.35">
      <c r="A204" s="33" t="str">
        <f t="shared" si="10"/>
        <v>2024 JAN-SEP DISC 75%</v>
      </c>
      <c r="B204" s="34">
        <f t="shared" si="10"/>
        <v>46104</v>
      </c>
      <c r="C204" s="34">
        <f t="shared" si="10"/>
        <v>46113</v>
      </c>
      <c r="D204" s="33">
        <v>3321</v>
      </c>
      <c r="E204" s="33">
        <v>337</v>
      </c>
      <c r="F204" s="33">
        <v>4</v>
      </c>
      <c r="G204" s="33">
        <v>1</v>
      </c>
      <c r="H204" s="33">
        <v>81146</v>
      </c>
      <c r="I204" s="33" t="s">
        <v>39</v>
      </c>
      <c r="J204" s="33">
        <v>18419820</v>
      </c>
      <c r="K204" s="33" t="s">
        <v>733</v>
      </c>
      <c r="L204" s="39" t="s">
        <v>736</v>
      </c>
      <c r="M204" s="35">
        <v>149900</v>
      </c>
      <c r="N204" s="36">
        <f t="shared" si="11"/>
        <v>0.75</v>
      </c>
      <c r="O204" s="72">
        <f t="shared" si="9"/>
        <v>37475</v>
      </c>
      <c r="P204" s="33" t="s">
        <v>16</v>
      </c>
    </row>
    <row r="205" spans="1:16" x14ac:dyDescent="0.35">
      <c r="A205" s="33" t="str">
        <f t="shared" si="10"/>
        <v>2024 JAN-SEP DISC 75%</v>
      </c>
      <c r="B205" s="34">
        <f t="shared" si="10"/>
        <v>46104</v>
      </c>
      <c r="C205" s="34">
        <f t="shared" si="10"/>
        <v>46113</v>
      </c>
      <c r="D205" s="33">
        <v>3321</v>
      </c>
      <c r="E205" s="33">
        <v>337</v>
      </c>
      <c r="F205" s="33">
        <v>4</v>
      </c>
      <c r="G205" s="33">
        <v>1</v>
      </c>
      <c r="H205" s="33">
        <v>81146</v>
      </c>
      <c r="I205" s="33" t="s">
        <v>39</v>
      </c>
      <c r="J205" s="33">
        <v>18419839</v>
      </c>
      <c r="K205" s="33" t="s">
        <v>733</v>
      </c>
      <c r="L205" s="39" t="s">
        <v>737</v>
      </c>
      <c r="M205" s="35">
        <v>149900</v>
      </c>
      <c r="N205" s="36">
        <f t="shared" si="11"/>
        <v>0.75</v>
      </c>
      <c r="O205" s="72">
        <f t="shared" si="9"/>
        <v>37475</v>
      </c>
      <c r="P205" s="33" t="s">
        <v>16</v>
      </c>
    </row>
    <row r="206" spans="1:16" x14ac:dyDescent="0.35">
      <c r="A206" s="33" t="str">
        <f t="shared" si="10"/>
        <v>2024 JAN-SEP DISC 75%</v>
      </c>
      <c r="B206" s="34">
        <f t="shared" si="10"/>
        <v>46104</v>
      </c>
      <c r="C206" s="34">
        <f t="shared" si="10"/>
        <v>46113</v>
      </c>
      <c r="D206" s="33">
        <v>3321</v>
      </c>
      <c r="E206" s="33">
        <v>337</v>
      </c>
      <c r="F206" s="33">
        <v>4</v>
      </c>
      <c r="G206" s="33">
        <v>1</v>
      </c>
      <c r="H206" s="33">
        <v>81421</v>
      </c>
      <c r="I206" s="33" t="s">
        <v>39</v>
      </c>
      <c r="J206" s="33">
        <v>17454285</v>
      </c>
      <c r="K206" s="33" t="s">
        <v>738</v>
      </c>
      <c r="L206" s="39" t="s">
        <v>739</v>
      </c>
      <c r="M206" s="35">
        <v>179900</v>
      </c>
      <c r="N206" s="36">
        <f t="shared" si="11"/>
        <v>0.75</v>
      </c>
      <c r="O206" s="72">
        <f t="shared" si="9"/>
        <v>44975</v>
      </c>
      <c r="P206" s="33" t="s">
        <v>16</v>
      </c>
    </row>
    <row r="207" spans="1:16" x14ac:dyDescent="0.35">
      <c r="A207" s="33" t="str">
        <f t="shared" si="10"/>
        <v>2024 JAN-SEP DISC 75%</v>
      </c>
      <c r="B207" s="34">
        <f t="shared" si="10"/>
        <v>46104</v>
      </c>
      <c r="C207" s="34">
        <f t="shared" si="10"/>
        <v>46113</v>
      </c>
      <c r="D207" s="33">
        <v>3321</v>
      </c>
      <c r="E207" s="33">
        <v>337</v>
      </c>
      <c r="F207" s="33">
        <v>4</v>
      </c>
      <c r="G207" s="33">
        <v>1</v>
      </c>
      <c r="H207" s="33">
        <v>81421</v>
      </c>
      <c r="I207" s="33" t="s">
        <v>39</v>
      </c>
      <c r="J207" s="33">
        <v>17454294</v>
      </c>
      <c r="K207" s="33" t="s">
        <v>738</v>
      </c>
      <c r="L207" s="39" t="s">
        <v>740</v>
      </c>
      <c r="M207" s="35">
        <v>179900</v>
      </c>
      <c r="N207" s="36">
        <f t="shared" si="11"/>
        <v>0.75</v>
      </c>
      <c r="O207" s="72">
        <f t="shared" si="9"/>
        <v>44975</v>
      </c>
      <c r="P207" s="33" t="s">
        <v>16</v>
      </c>
    </row>
    <row r="208" spans="1:16" x14ac:dyDescent="0.35">
      <c r="A208" s="33" t="str">
        <f t="shared" si="10"/>
        <v>2024 JAN-SEP DISC 75%</v>
      </c>
      <c r="B208" s="34">
        <f t="shared" si="10"/>
        <v>46104</v>
      </c>
      <c r="C208" s="34">
        <f t="shared" si="10"/>
        <v>46113</v>
      </c>
      <c r="D208" s="33">
        <v>3321</v>
      </c>
      <c r="E208" s="33">
        <v>337</v>
      </c>
      <c r="F208" s="33">
        <v>4</v>
      </c>
      <c r="G208" s="33">
        <v>1</v>
      </c>
      <c r="H208" s="33">
        <v>81421</v>
      </c>
      <c r="I208" s="33" t="s">
        <v>39</v>
      </c>
      <c r="J208" s="33">
        <v>17454301</v>
      </c>
      <c r="K208" s="33" t="s">
        <v>738</v>
      </c>
      <c r="L208" s="39" t="s">
        <v>741</v>
      </c>
      <c r="M208" s="35">
        <v>179900</v>
      </c>
      <c r="N208" s="36">
        <f t="shared" si="11"/>
        <v>0.75</v>
      </c>
      <c r="O208" s="72">
        <f t="shared" si="9"/>
        <v>44975</v>
      </c>
      <c r="P208" s="33" t="s">
        <v>16</v>
      </c>
    </row>
    <row r="209" spans="1:16" x14ac:dyDescent="0.35">
      <c r="A209" s="33" t="str">
        <f t="shared" si="10"/>
        <v>2024 JAN-SEP DISC 75%</v>
      </c>
      <c r="B209" s="34">
        <f t="shared" si="10"/>
        <v>46104</v>
      </c>
      <c r="C209" s="34">
        <f t="shared" si="10"/>
        <v>46113</v>
      </c>
      <c r="D209" s="33">
        <v>3321</v>
      </c>
      <c r="E209" s="33">
        <v>337</v>
      </c>
      <c r="F209" s="33">
        <v>4</v>
      </c>
      <c r="G209" s="33">
        <v>1</v>
      </c>
      <c r="H209" s="33">
        <v>81421</v>
      </c>
      <c r="I209" s="33" t="s">
        <v>39</v>
      </c>
      <c r="J209" s="33">
        <v>17454310</v>
      </c>
      <c r="K209" s="33" t="s">
        <v>738</v>
      </c>
      <c r="L209" s="39" t="s">
        <v>742</v>
      </c>
      <c r="M209" s="35">
        <v>179900</v>
      </c>
      <c r="N209" s="36">
        <f t="shared" si="11"/>
        <v>0.75</v>
      </c>
      <c r="O209" s="72">
        <f t="shared" si="9"/>
        <v>44975</v>
      </c>
      <c r="P209" s="33" t="s">
        <v>16</v>
      </c>
    </row>
    <row r="210" spans="1:16" x14ac:dyDescent="0.35">
      <c r="A210" s="33" t="str">
        <f t="shared" si="10"/>
        <v>2024 JAN-SEP DISC 75%</v>
      </c>
      <c r="B210" s="34">
        <f t="shared" si="10"/>
        <v>46104</v>
      </c>
      <c r="C210" s="34">
        <f t="shared" si="10"/>
        <v>46113</v>
      </c>
      <c r="D210" s="33">
        <v>3321</v>
      </c>
      <c r="E210" s="33">
        <v>337</v>
      </c>
      <c r="F210" s="33">
        <v>4</v>
      </c>
      <c r="G210" s="33">
        <v>1</v>
      </c>
      <c r="H210" s="33">
        <v>81048</v>
      </c>
      <c r="I210" s="33" t="s">
        <v>39</v>
      </c>
      <c r="J210" s="33">
        <v>18718775</v>
      </c>
      <c r="K210" s="33" t="s">
        <v>743</v>
      </c>
      <c r="L210" s="39" t="s">
        <v>744</v>
      </c>
      <c r="M210" s="35">
        <v>139900</v>
      </c>
      <c r="N210" s="36">
        <f t="shared" si="11"/>
        <v>0.75</v>
      </c>
      <c r="O210" s="72">
        <f t="shared" si="9"/>
        <v>34975</v>
      </c>
      <c r="P210" s="33" t="s">
        <v>16</v>
      </c>
    </row>
    <row r="211" spans="1:16" x14ac:dyDescent="0.35">
      <c r="A211" s="33" t="str">
        <f t="shared" si="10"/>
        <v>2024 JAN-SEP DISC 75%</v>
      </c>
      <c r="B211" s="34">
        <f t="shared" si="10"/>
        <v>46104</v>
      </c>
      <c r="C211" s="34">
        <f t="shared" si="10"/>
        <v>46113</v>
      </c>
      <c r="D211" s="33">
        <v>3321</v>
      </c>
      <c r="E211" s="33">
        <v>337</v>
      </c>
      <c r="F211" s="33">
        <v>4</v>
      </c>
      <c r="G211" s="33">
        <v>1</v>
      </c>
      <c r="H211" s="33">
        <v>81048</v>
      </c>
      <c r="I211" s="33" t="s">
        <v>39</v>
      </c>
      <c r="J211" s="33">
        <v>18718784</v>
      </c>
      <c r="K211" s="33" t="s">
        <v>743</v>
      </c>
      <c r="L211" s="39" t="s">
        <v>745</v>
      </c>
      <c r="M211" s="35">
        <v>139900</v>
      </c>
      <c r="N211" s="36">
        <f t="shared" si="11"/>
        <v>0.75</v>
      </c>
      <c r="O211" s="72">
        <f t="shared" si="9"/>
        <v>34975</v>
      </c>
      <c r="P211" s="33" t="s">
        <v>16</v>
      </c>
    </row>
    <row r="212" spans="1:16" x14ac:dyDescent="0.35">
      <c r="A212" s="33" t="str">
        <f t="shared" si="10"/>
        <v>2024 JAN-SEP DISC 75%</v>
      </c>
      <c r="B212" s="34">
        <f t="shared" si="10"/>
        <v>46104</v>
      </c>
      <c r="C212" s="34">
        <f t="shared" si="10"/>
        <v>46113</v>
      </c>
      <c r="D212" s="33">
        <v>3321</v>
      </c>
      <c r="E212" s="33">
        <v>337</v>
      </c>
      <c r="F212" s="33">
        <v>4</v>
      </c>
      <c r="G212" s="33">
        <v>1</v>
      </c>
      <c r="H212" s="33">
        <v>81048</v>
      </c>
      <c r="I212" s="33" t="s">
        <v>39</v>
      </c>
      <c r="J212" s="33">
        <v>18718793</v>
      </c>
      <c r="K212" s="33" t="s">
        <v>743</v>
      </c>
      <c r="L212" s="39" t="s">
        <v>746</v>
      </c>
      <c r="M212" s="35">
        <v>139900</v>
      </c>
      <c r="N212" s="36">
        <f t="shared" si="11"/>
        <v>0.75</v>
      </c>
      <c r="O212" s="72">
        <f t="shared" si="9"/>
        <v>34975</v>
      </c>
      <c r="P212" s="33" t="s">
        <v>16</v>
      </c>
    </row>
    <row r="213" spans="1:16" x14ac:dyDescent="0.35">
      <c r="A213" s="33" t="str">
        <f t="shared" si="10"/>
        <v>2024 JAN-SEP DISC 75%</v>
      </c>
      <c r="B213" s="34">
        <f t="shared" si="10"/>
        <v>46104</v>
      </c>
      <c r="C213" s="34">
        <f t="shared" si="10"/>
        <v>46113</v>
      </c>
      <c r="D213" s="33">
        <v>3321</v>
      </c>
      <c r="E213" s="33">
        <v>337</v>
      </c>
      <c r="F213" s="33">
        <v>4</v>
      </c>
      <c r="G213" s="33">
        <v>1</v>
      </c>
      <c r="H213" s="33">
        <v>81048</v>
      </c>
      <c r="I213" s="33" t="s">
        <v>39</v>
      </c>
      <c r="J213" s="33">
        <v>18718800</v>
      </c>
      <c r="K213" s="33" t="s">
        <v>743</v>
      </c>
      <c r="L213" s="39" t="s">
        <v>747</v>
      </c>
      <c r="M213" s="35">
        <v>139900</v>
      </c>
      <c r="N213" s="36">
        <f t="shared" si="11"/>
        <v>0.75</v>
      </c>
      <c r="O213" s="72">
        <f t="shared" si="9"/>
        <v>34975</v>
      </c>
      <c r="P213" s="33" t="s">
        <v>16</v>
      </c>
    </row>
    <row r="214" spans="1:16" x14ac:dyDescent="0.35">
      <c r="A214" s="33" t="str">
        <f t="shared" si="10"/>
        <v>2024 JAN-SEP DISC 75%</v>
      </c>
      <c r="B214" s="34">
        <f t="shared" si="10"/>
        <v>46104</v>
      </c>
      <c r="C214" s="34">
        <f t="shared" si="10"/>
        <v>46113</v>
      </c>
      <c r="D214" s="33">
        <v>3321</v>
      </c>
      <c r="E214" s="33">
        <v>337</v>
      </c>
      <c r="F214" s="33">
        <v>4</v>
      </c>
      <c r="G214" s="33">
        <v>1</v>
      </c>
      <c r="H214" s="33">
        <v>81048</v>
      </c>
      <c r="I214" s="33" t="s">
        <v>39</v>
      </c>
      <c r="J214" s="33">
        <v>18718819</v>
      </c>
      <c r="K214" s="33" t="s">
        <v>748</v>
      </c>
      <c r="L214" s="39" t="s">
        <v>749</v>
      </c>
      <c r="M214" s="35">
        <v>149900</v>
      </c>
      <c r="N214" s="36">
        <f t="shared" si="11"/>
        <v>0.75</v>
      </c>
      <c r="O214" s="72">
        <f t="shared" si="9"/>
        <v>37475</v>
      </c>
      <c r="P214" s="33" t="s">
        <v>16</v>
      </c>
    </row>
    <row r="215" spans="1:16" x14ac:dyDescent="0.35">
      <c r="A215" s="33" t="str">
        <f t="shared" si="10"/>
        <v>2024 JAN-SEP DISC 75%</v>
      </c>
      <c r="B215" s="34">
        <f t="shared" si="10"/>
        <v>46104</v>
      </c>
      <c r="C215" s="34">
        <f t="shared" si="10"/>
        <v>46113</v>
      </c>
      <c r="D215" s="33">
        <v>3321</v>
      </c>
      <c r="E215" s="33">
        <v>337</v>
      </c>
      <c r="F215" s="33">
        <v>4</v>
      </c>
      <c r="G215" s="33">
        <v>1</v>
      </c>
      <c r="H215" s="33">
        <v>81048</v>
      </c>
      <c r="I215" s="33" t="s">
        <v>39</v>
      </c>
      <c r="J215" s="33">
        <v>18718837</v>
      </c>
      <c r="K215" s="33" t="s">
        <v>748</v>
      </c>
      <c r="L215" s="39" t="s">
        <v>750</v>
      </c>
      <c r="M215" s="35">
        <v>149900</v>
      </c>
      <c r="N215" s="36">
        <f t="shared" si="11"/>
        <v>0.75</v>
      </c>
      <c r="O215" s="72">
        <f t="shared" si="9"/>
        <v>37475</v>
      </c>
      <c r="P215" s="33" t="s">
        <v>16</v>
      </c>
    </row>
    <row r="216" spans="1:16" x14ac:dyDescent="0.35">
      <c r="A216" s="33" t="str">
        <f t="shared" si="10"/>
        <v>2024 JAN-SEP DISC 75%</v>
      </c>
      <c r="B216" s="34">
        <f t="shared" si="10"/>
        <v>46104</v>
      </c>
      <c r="C216" s="34">
        <f t="shared" si="10"/>
        <v>46113</v>
      </c>
      <c r="D216" s="33">
        <v>3321</v>
      </c>
      <c r="E216" s="33">
        <v>337</v>
      </c>
      <c r="F216" s="33">
        <v>4</v>
      </c>
      <c r="G216" s="33">
        <v>1</v>
      </c>
      <c r="H216" s="33">
        <v>81048</v>
      </c>
      <c r="I216" s="33" t="s">
        <v>39</v>
      </c>
      <c r="J216" s="33">
        <v>18718846</v>
      </c>
      <c r="K216" s="33" t="s">
        <v>748</v>
      </c>
      <c r="L216" s="39" t="s">
        <v>751</v>
      </c>
      <c r="M216" s="35">
        <v>149900</v>
      </c>
      <c r="N216" s="36">
        <f t="shared" si="11"/>
        <v>0.75</v>
      </c>
      <c r="O216" s="72">
        <f t="shared" si="9"/>
        <v>37475</v>
      </c>
      <c r="P216" s="33" t="s">
        <v>16</v>
      </c>
    </row>
    <row r="217" spans="1:16" x14ac:dyDescent="0.35">
      <c r="A217" s="33" t="str">
        <f t="shared" si="10"/>
        <v>2024 JAN-SEP DISC 75%</v>
      </c>
      <c r="B217" s="34">
        <f t="shared" si="10"/>
        <v>46104</v>
      </c>
      <c r="C217" s="34">
        <f t="shared" si="10"/>
        <v>46113</v>
      </c>
      <c r="D217" s="33">
        <v>3321</v>
      </c>
      <c r="E217" s="33">
        <v>337</v>
      </c>
      <c r="F217" s="33">
        <v>4</v>
      </c>
      <c r="G217" s="33">
        <v>1</v>
      </c>
      <c r="H217" s="33">
        <v>81048</v>
      </c>
      <c r="I217" s="33" t="s">
        <v>39</v>
      </c>
      <c r="J217" s="33">
        <v>18718855</v>
      </c>
      <c r="K217" s="33" t="s">
        <v>748</v>
      </c>
      <c r="L217" s="39" t="s">
        <v>752</v>
      </c>
      <c r="M217" s="35">
        <v>149900</v>
      </c>
      <c r="N217" s="36">
        <f t="shared" si="11"/>
        <v>0.75</v>
      </c>
      <c r="O217" s="72">
        <f t="shared" si="9"/>
        <v>37475</v>
      </c>
      <c r="P217" s="33" t="s">
        <v>16</v>
      </c>
    </row>
    <row r="218" spans="1:16" x14ac:dyDescent="0.35">
      <c r="A218" s="33" t="str">
        <f t="shared" si="10"/>
        <v>2024 JAN-SEP DISC 75%</v>
      </c>
      <c r="B218" s="34">
        <f t="shared" si="10"/>
        <v>46104</v>
      </c>
      <c r="C218" s="34">
        <f t="shared" si="10"/>
        <v>46113</v>
      </c>
      <c r="D218" s="33">
        <v>3321</v>
      </c>
      <c r="E218" s="33">
        <v>337</v>
      </c>
      <c r="F218" s="33">
        <v>4</v>
      </c>
      <c r="G218" s="33">
        <v>1</v>
      </c>
      <c r="H218" s="33">
        <v>81048</v>
      </c>
      <c r="I218" s="33" t="s">
        <v>39</v>
      </c>
      <c r="J218" s="33">
        <v>18718873</v>
      </c>
      <c r="K218" s="33" t="s">
        <v>753</v>
      </c>
      <c r="L218" s="39" t="s">
        <v>754</v>
      </c>
      <c r="M218" s="35">
        <v>149900</v>
      </c>
      <c r="N218" s="36">
        <f t="shared" si="11"/>
        <v>0.75</v>
      </c>
      <c r="O218" s="72">
        <f t="shared" si="9"/>
        <v>37475</v>
      </c>
      <c r="P218" s="33" t="s">
        <v>16</v>
      </c>
    </row>
    <row r="219" spans="1:16" x14ac:dyDescent="0.35">
      <c r="A219" s="33" t="str">
        <f t="shared" si="10"/>
        <v>2024 JAN-SEP DISC 75%</v>
      </c>
      <c r="B219" s="34">
        <f t="shared" si="10"/>
        <v>46104</v>
      </c>
      <c r="C219" s="34">
        <f t="shared" si="10"/>
        <v>46113</v>
      </c>
      <c r="D219" s="33">
        <v>3321</v>
      </c>
      <c r="E219" s="33">
        <v>337</v>
      </c>
      <c r="F219" s="33">
        <v>4</v>
      </c>
      <c r="G219" s="33">
        <v>1</v>
      </c>
      <c r="H219" s="33">
        <v>81048</v>
      </c>
      <c r="I219" s="33" t="s">
        <v>39</v>
      </c>
      <c r="J219" s="33">
        <v>18718882</v>
      </c>
      <c r="K219" s="33" t="s">
        <v>753</v>
      </c>
      <c r="L219" s="39" t="s">
        <v>755</v>
      </c>
      <c r="M219" s="35">
        <v>149900</v>
      </c>
      <c r="N219" s="36">
        <f t="shared" si="11"/>
        <v>0.75</v>
      </c>
      <c r="O219" s="72">
        <f t="shared" si="9"/>
        <v>37475</v>
      </c>
      <c r="P219" s="33" t="s">
        <v>16</v>
      </c>
    </row>
    <row r="220" spans="1:16" x14ac:dyDescent="0.35">
      <c r="A220" s="33" t="str">
        <f t="shared" si="10"/>
        <v>2024 JAN-SEP DISC 75%</v>
      </c>
      <c r="B220" s="34">
        <f t="shared" si="10"/>
        <v>46104</v>
      </c>
      <c r="C220" s="34">
        <f t="shared" si="10"/>
        <v>46113</v>
      </c>
      <c r="D220" s="33">
        <v>3321</v>
      </c>
      <c r="E220" s="33">
        <v>337</v>
      </c>
      <c r="F220" s="33">
        <v>4</v>
      </c>
      <c r="G220" s="33">
        <v>1</v>
      </c>
      <c r="H220" s="33">
        <v>81048</v>
      </c>
      <c r="I220" s="33" t="s">
        <v>39</v>
      </c>
      <c r="J220" s="33">
        <v>18718891</v>
      </c>
      <c r="K220" s="33" t="s">
        <v>753</v>
      </c>
      <c r="L220" s="39" t="s">
        <v>756</v>
      </c>
      <c r="M220" s="35">
        <v>149900</v>
      </c>
      <c r="N220" s="36">
        <f t="shared" si="11"/>
        <v>0.75</v>
      </c>
      <c r="O220" s="72">
        <f t="shared" si="9"/>
        <v>37475</v>
      </c>
      <c r="P220" s="33" t="s">
        <v>16</v>
      </c>
    </row>
    <row r="221" spans="1:16" x14ac:dyDescent="0.35">
      <c r="A221" s="33" t="str">
        <f t="shared" si="10"/>
        <v>2024 JAN-SEP DISC 75%</v>
      </c>
      <c r="B221" s="34">
        <f t="shared" si="10"/>
        <v>46104</v>
      </c>
      <c r="C221" s="34">
        <f t="shared" si="10"/>
        <v>46113</v>
      </c>
      <c r="D221" s="33">
        <v>3321</v>
      </c>
      <c r="E221" s="33">
        <v>337</v>
      </c>
      <c r="F221" s="33">
        <v>4</v>
      </c>
      <c r="G221" s="33">
        <v>1</v>
      </c>
      <c r="H221" s="33">
        <v>81048</v>
      </c>
      <c r="I221" s="33" t="s">
        <v>39</v>
      </c>
      <c r="J221" s="33">
        <v>18718908</v>
      </c>
      <c r="K221" s="33" t="s">
        <v>753</v>
      </c>
      <c r="L221" s="39" t="s">
        <v>757</v>
      </c>
      <c r="M221" s="35">
        <v>149900</v>
      </c>
      <c r="N221" s="36">
        <f t="shared" si="11"/>
        <v>0.75</v>
      </c>
      <c r="O221" s="72">
        <f t="shared" si="9"/>
        <v>37475</v>
      </c>
      <c r="P221" s="33" t="s">
        <v>16</v>
      </c>
    </row>
    <row r="222" spans="1:16" x14ac:dyDescent="0.35">
      <c r="A222" s="33" t="str">
        <f t="shared" si="10"/>
        <v>2024 JAN-SEP DISC 75%</v>
      </c>
      <c r="B222" s="34">
        <f t="shared" si="10"/>
        <v>46104</v>
      </c>
      <c r="C222" s="34">
        <f t="shared" si="10"/>
        <v>46113</v>
      </c>
      <c r="D222" s="33">
        <v>3321</v>
      </c>
      <c r="E222" s="33">
        <v>337</v>
      </c>
      <c r="F222" s="33">
        <v>4</v>
      </c>
      <c r="G222" s="33">
        <v>1</v>
      </c>
      <c r="H222" s="33">
        <v>81048</v>
      </c>
      <c r="I222" s="33" t="s">
        <v>39</v>
      </c>
      <c r="J222" s="33">
        <v>18718917</v>
      </c>
      <c r="K222" s="33" t="s">
        <v>758</v>
      </c>
      <c r="L222" s="39" t="s">
        <v>759</v>
      </c>
      <c r="M222" s="35">
        <v>139900</v>
      </c>
      <c r="N222" s="36">
        <f t="shared" si="11"/>
        <v>0.75</v>
      </c>
      <c r="O222" s="72">
        <f t="shared" si="9"/>
        <v>34975</v>
      </c>
      <c r="P222" s="33" t="s">
        <v>16</v>
      </c>
    </row>
    <row r="223" spans="1:16" x14ac:dyDescent="0.35">
      <c r="A223" s="33" t="str">
        <f t="shared" si="10"/>
        <v>2024 JAN-SEP DISC 75%</v>
      </c>
      <c r="B223" s="34">
        <f t="shared" si="10"/>
        <v>46104</v>
      </c>
      <c r="C223" s="34">
        <f t="shared" si="10"/>
        <v>46113</v>
      </c>
      <c r="D223" s="33">
        <v>3321</v>
      </c>
      <c r="E223" s="33">
        <v>337</v>
      </c>
      <c r="F223" s="33">
        <v>4</v>
      </c>
      <c r="G223" s="33">
        <v>1</v>
      </c>
      <c r="H223" s="33">
        <v>81048</v>
      </c>
      <c r="I223" s="33" t="s">
        <v>39</v>
      </c>
      <c r="J223" s="33">
        <v>18718971</v>
      </c>
      <c r="K223" s="33" t="s">
        <v>758</v>
      </c>
      <c r="L223" s="39" t="s">
        <v>760</v>
      </c>
      <c r="M223" s="35">
        <v>139900</v>
      </c>
      <c r="N223" s="36">
        <f t="shared" si="11"/>
        <v>0.75</v>
      </c>
      <c r="O223" s="72">
        <f t="shared" si="9"/>
        <v>34975</v>
      </c>
      <c r="P223" s="33" t="s">
        <v>16</v>
      </c>
    </row>
    <row r="224" spans="1:16" x14ac:dyDescent="0.35">
      <c r="A224" s="33" t="str">
        <f t="shared" si="10"/>
        <v>2024 JAN-SEP DISC 75%</v>
      </c>
      <c r="B224" s="34">
        <f t="shared" si="10"/>
        <v>46104</v>
      </c>
      <c r="C224" s="34">
        <f t="shared" si="10"/>
        <v>46113</v>
      </c>
      <c r="D224" s="33">
        <v>3321</v>
      </c>
      <c r="E224" s="33">
        <v>337</v>
      </c>
      <c r="F224" s="33">
        <v>4</v>
      </c>
      <c r="G224" s="33">
        <v>1</v>
      </c>
      <c r="H224" s="33">
        <v>81048</v>
      </c>
      <c r="I224" s="33" t="s">
        <v>39</v>
      </c>
      <c r="J224" s="33">
        <v>18719005</v>
      </c>
      <c r="K224" s="33" t="s">
        <v>758</v>
      </c>
      <c r="L224" s="39" t="s">
        <v>761</v>
      </c>
      <c r="M224" s="35">
        <v>139900</v>
      </c>
      <c r="N224" s="36">
        <f t="shared" si="11"/>
        <v>0.75</v>
      </c>
      <c r="O224" s="72">
        <f t="shared" si="9"/>
        <v>34975</v>
      </c>
      <c r="P224" s="33" t="s">
        <v>16</v>
      </c>
    </row>
    <row r="225" spans="1:16" x14ac:dyDescent="0.35">
      <c r="A225" s="33" t="str">
        <f t="shared" si="10"/>
        <v>2024 JAN-SEP DISC 75%</v>
      </c>
      <c r="B225" s="34">
        <f t="shared" si="10"/>
        <v>46104</v>
      </c>
      <c r="C225" s="34">
        <f t="shared" si="10"/>
        <v>46113</v>
      </c>
      <c r="D225" s="33">
        <v>3321</v>
      </c>
      <c r="E225" s="33">
        <v>337</v>
      </c>
      <c r="F225" s="33">
        <v>4</v>
      </c>
      <c r="G225" s="33">
        <v>1</v>
      </c>
      <c r="H225" s="33">
        <v>81048</v>
      </c>
      <c r="I225" s="33" t="s">
        <v>39</v>
      </c>
      <c r="J225" s="33">
        <v>18719014</v>
      </c>
      <c r="K225" s="33" t="s">
        <v>758</v>
      </c>
      <c r="L225" s="39" t="s">
        <v>762</v>
      </c>
      <c r="M225" s="35">
        <v>139900</v>
      </c>
      <c r="N225" s="36">
        <f t="shared" si="11"/>
        <v>0.75</v>
      </c>
      <c r="O225" s="72">
        <f t="shared" si="9"/>
        <v>34975</v>
      </c>
      <c r="P225" s="33" t="s">
        <v>16</v>
      </c>
    </row>
    <row r="226" spans="1:16" x14ac:dyDescent="0.35">
      <c r="A226" s="33" t="str">
        <f t="shared" si="10"/>
        <v>2024 JAN-SEP DISC 75%</v>
      </c>
      <c r="B226" s="34">
        <f t="shared" si="10"/>
        <v>46104</v>
      </c>
      <c r="C226" s="34">
        <f t="shared" si="10"/>
        <v>46113</v>
      </c>
      <c r="D226" s="33">
        <v>3321</v>
      </c>
      <c r="E226" s="33">
        <v>337</v>
      </c>
      <c r="F226" s="33">
        <v>4</v>
      </c>
      <c r="G226" s="33">
        <v>1</v>
      </c>
      <c r="H226" s="33">
        <v>81676</v>
      </c>
      <c r="I226" s="33" t="s">
        <v>39</v>
      </c>
      <c r="J226" s="33">
        <v>16130760</v>
      </c>
      <c r="K226" s="33" t="s">
        <v>76</v>
      </c>
      <c r="L226" s="39" t="s">
        <v>800</v>
      </c>
      <c r="M226" s="35">
        <v>149900</v>
      </c>
      <c r="N226" s="36">
        <f t="shared" si="11"/>
        <v>0.75</v>
      </c>
      <c r="O226" s="72">
        <f t="shared" si="9"/>
        <v>37475</v>
      </c>
      <c r="P226" s="33" t="s">
        <v>16</v>
      </c>
    </row>
    <row r="227" spans="1:16" x14ac:dyDescent="0.35">
      <c r="A227" s="33" t="str">
        <f t="shared" si="10"/>
        <v>2024 JAN-SEP DISC 75%</v>
      </c>
      <c r="B227" s="34">
        <f t="shared" si="10"/>
        <v>46104</v>
      </c>
      <c r="C227" s="34">
        <f t="shared" si="10"/>
        <v>46113</v>
      </c>
      <c r="D227" s="33">
        <v>3321</v>
      </c>
      <c r="E227" s="33">
        <v>337</v>
      </c>
      <c r="F227" s="33">
        <v>4</v>
      </c>
      <c r="G227" s="33">
        <v>1</v>
      </c>
      <c r="H227" s="33">
        <v>81800</v>
      </c>
      <c r="I227" s="33" t="s">
        <v>39</v>
      </c>
      <c r="J227" s="33">
        <v>17454249</v>
      </c>
      <c r="K227" s="33" t="s">
        <v>817</v>
      </c>
      <c r="L227" s="39" t="s">
        <v>818</v>
      </c>
      <c r="M227" s="35">
        <v>169900</v>
      </c>
      <c r="N227" s="36">
        <f t="shared" si="11"/>
        <v>0.75</v>
      </c>
      <c r="O227" s="72">
        <f t="shared" si="9"/>
        <v>42475</v>
      </c>
      <c r="P227" s="33" t="s">
        <v>16</v>
      </c>
    </row>
    <row r="228" spans="1:16" x14ac:dyDescent="0.35">
      <c r="A228" s="33" t="str">
        <f t="shared" si="10"/>
        <v>2024 JAN-SEP DISC 75%</v>
      </c>
      <c r="B228" s="34">
        <f t="shared" si="10"/>
        <v>46104</v>
      </c>
      <c r="C228" s="34">
        <f t="shared" si="10"/>
        <v>46113</v>
      </c>
      <c r="D228" s="33">
        <v>3321</v>
      </c>
      <c r="E228" s="33">
        <v>337</v>
      </c>
      <c r="F228" s="33">
        <v>4</v>
      </c>
      <c r="G228" s="33">
        <v>1</v>
      </c>
      <c r="H228" s="33">
        <v>81800</v>
      </c>
      <c r="I228" s="33" t="s">
        <v>39</v>
      </c>
      <c r="J228" s="33">
        <v>17454258</v>
      </c>
      <c r="K228" s="33" t="s">
        <v>817</v>
      </c>
      <c r="L228" s="39" t="s">
        <v>819</v>
      </c>
      <c r="M228" s="35">
        <v>169900</v>
      </c>
      <c r="N228" s="36">
        <f t="shared" si="11"/>
        <v>0.75</v>
      </c>
      <c r="O228" s="72">
        <f t="shared" si="9"/>
        <v>42475</v>
      </c>
      <c r="P228" s="33" t="s">
        <v>16</v>
      </c>
    </row>
    <row r="229" spans="1:16" x14ac:dyDescent="0.35">
      <c r="A229" s="33" t="str">
        <f t="shared" si="10"/>
        <v>2024 JAN-SEP DISC 75%</v>
      </c>
      <c r="B229" s="34">
        <f t="shared" si="10"/>
        <v>46104</v>
      </c>
      <c r="C229" s="34">
        <f t="shared" si="10"/>
        <v>46113</v>
      </c>
      <c r="D229" s="33">
        <v>3321</v>
      </c>
      <c r="E229" s="33">
        <v>337</v>
      </c>
      <c r="F229" s="33">
        <v>4</v>
      </c>
      <c r="G229" s="33">
        <v>1</v>
      </c>
      <c r="H229" s="33">
        <v>81800</v>
      </c>
      <c r="I229" s="33" t="s">
        <v>39</v>
      </c>
      <c r="J229" s="33">
        <v>17454267</v>
      </c>
      <c r="K229" s="33" t="s">
        <v>817</v>
      </c>
      <c r="L229" s="39" t="s">
        <v>820</v>
      </c>
      <c r="M229" s="35">
        <v>169900</v>
      </c>
      <c r="N229" s="36">
        <f t="shared" si="11"/>
        <v>0.75</v>
      </c>
      <c r="O229" s="72">
        <f t="shared" si="9"/>
        <v>42475</v>
      </c>
      <c r="P229" s="33" t="s">
        <v>16</v>
      </c>
    </row>
    <row r="230" spans="1:16" x14ac:dyDescent="0.35">
      <c r="A230" s="33" t="str">
        <f t="shared" si="10"/>
        <v>2024 JAN-SEP DISC 75%</v>
      </c>
      <c r="B230" s="34">
        <f t="shared" si="10"/>
        <v>46104</v>
      </c>
      <c r="C230" s="34">
        <f t="shared" si="10"/>
        <v>46113</v>
      </c>
      <c r="D230" s="33">
        <v>3321</v>
      </c>
      <c r="E230" s="33">
        <v>337</v>
      </c>
      <c r="F230" s="33">
        <v>4</v>
      </c>
      <c r="G230" s="33">
        <v>1</v>
      </c>
      <c r="H230" s="33">
        <v>81800</v>
      </c>
      <c r="I230" s="33" t="s">
        <v>39</v>
      </c>
      <c r="J230" s="33">
        <v>17454276</v>
      </c>
      <c r="K230" s="33" t="s">
        <v>817</v>
      </c>
      <c r="L230" s="39" t="s">
        <v>821</v>
      </c>
      <c r="M230" s="35">
        <v>169900</v>
      </c>
      <c r="N230" s="36">
        <f t="shared" si="11"/>
        <v>0.75</v>
      </c>
      <c r="O230" s="72">
        <f t="shared" si="9"/>
        <v>42475</v>
      </c>
      <c r="P230" s="33" t="s">
        <v>16</v>
      </c>
    </row>
    <row r="231" spans="1:16" x14ac:dyDescent="0.35">
      <c r="A231" s="33" t="str">
        <f t="shared" ref="A231:C269" si="12">A230</f>
        <v>2024 JAN-SEP DISC 75%</v>
      </c>
      <c r="B231" s="34">
        <f t="shared" si="12"/>
        <v>46104</v>
      </c>
      <c r="C231" s="34">
        <f t="shared" si="12"/>
        <v>46113</v>
      </c>
      <c r="D231" s="33">
        <v>3321</v>
      </c>
      <c r="E231" s="33">
        <v>337</v>
      </c>
      <c r="F231" s="33">
        <v>4</v>
      </c>
      <c r="G231" s="33">
        <v>1</v>
      </c>
      <c r="H231" s="33">
        <v>81506</v>
      </c>
      <c r="I231" s="33" t="s">
        <v>39</v>
      </c>
      <c r="J231" s="33">
        <v>17324077</v>
      </c>
      <c r="K231" s="33" t="s">
        <v>539</v>
      </c>
      <c r="L231" s="39" t="s">
        <v>798</v>
      </c>
      <c r="M231" s="35">
        <v>159900</v>
      </c>
      <c r="N231" s="36">
        <f t="shared" si="11"/>
        <v>0.75</v>
      </c>
      <c r="O231" s="72">
        <f t="shared" si="9"/>
        <v>39975</v>
      </c>
      <c r="P231" s="33" t="s">
        <v>16</v>
      </c>
    </row>
    <row r="232" spans="1:16" x14ac:dyDescent="0.35">
      <c r="A232" s="33" t="str">
        <f t="shared" si="12"/>
        <v>2024 JAN-SEP DISC 75%</v>
      </c>
      <c r="B232" s="34">
        <f t="shared" si="12"/>
        <v>46104</v>
      </c>
      <c r="C232" s="34">
        <f t="shared" si="12"/>
        <v>46113</v>
      </c>
      <c r="D232" s="33">
        <v>3321</v>
      </c>
      <c r="E232" s="33">
        <v>337</v>
      </c>
      <c r="F232" s="33">
        <v>4</v>
      </c>
      <c r="G232" s="33">
        <v>1</v>
      </c>
      <c r="H232" s="33">
        <v>81506</v>
      </c>
      <c r="I232" s="33" t="s">
        <v>39</v>
      </c>
      <c r="J232" s="33">
        <v>17324111</v>
      </c>
      <c r="K232" s="33" t="s">
        <v>543</v>
      </c>
      <c r="L232" s="39" t="s">
        <v>799</v>
      </c>
      <c r="M232" s="35">
        <v>159900</v>
      </c>
      <c r="N232" s="36">
        <f t="shared" si="11"/>
        <v>0.75</v>
      </c>
      <c r="O232" s="72">
        <f t="shared" si="9"/>
        <v>39975</v>
      </c>
      <c r="P232" s="33" t="s">
        <v>16</v>
      </c>
    </row>
    <row r="233" spans="1:16" x14ac:dyDescent="0.35">
      <c r="A233" s="33" t="str">
        <f t="shared" si="12"/>
        <v>2024 JAN-SEP DISC 75%</v>
      </c>
      <c r="B233" s="34">
        <f t="shared" si="12"/>
        <v>46104</v>
      </c>
      <c r="C233" s="34">
        <f t="shared" si="12"/>
        <v>46113</v>
      </c>
      <c r="D233" s="33">
        <v>3321</v>
      </c>
      <c r="E233" s="33">
        <v>337</v>
      </c>
      <c r="F233" s="33">
        <v>4</v>
      </c>
      <c r="G233" s="33">
        <v>1</v>
      </c>
      <c r="H233" s="33">
        <v>81800</v>
      </c>
      <c r="I233" s="33" t="s">
        <v>39</v>
      </c>
      <c r="J233" s="33">
        <v>17454221</v>
      </c>
      <c r="K233" s="33" t="s">
        <v>557</v>
      </c>
      <c r="L233" s="39" t="s">
        <v>816</v>
      </c>
      <c r="M233" s="35">
        <v>169900</v>
      </c>
      <c r="N233" s="36">
        <f t="shared" si="11"/>
        <v>0.75</v>
      </c>
      <c r="O233" s="72">
        <f t="shared" si="9"/>
        <v>42475</v>
      </c>
      <c r="P233" s="33" t="s">
        <v>16</v>
      </c>
    </row>
    <row r="234" spans="1:16" x14ac:dyDescent="0.35">
      <c r="A234" s="33" t="str">
        <f t="shared" si="12"/>
        <v>2024 JAN-SEP DISC 75%</v>
      </c>
      <c r="B234" s="34">
        <f t="shared" si="12"/>
        <v>46104</v>
      </c>
      <c r="C234" s="34">
        <f t="shared" si="12"/>
        <v>46113</v>
      </c>
      <c r="D234" s="33">
        <v>3321</v>
      </c>
      <c r="E234" s="33">
        <v>337</v>
      </c>
      <c r="F234" s="33">
        <v>4</v>
      </c>
      <c r="G234" s="33">
        <v>1</v>
      </c>
      <c r="H234" s="33">
        <v>81800</v>
      </c>
      <c r="I234" s="33" t="s">
        <v>39</v>
      </c>
      <c r="J234" s="33">
        <v>18419688</v>
      </c>
      <c r="K234" s="33" t="s">
        <v>822</v>
      </c>
      <c r="L234" s="39" t="s">
        <v>823</v>
      </c>
      <c r="M234" s="35">
        <v>169900</v>
      </c>
      <c r="N234" s="36">
        <f t="shared" si="11"/>
        <v>0.75</v>
      </c>
      <c r="O234" s="72">
        <f t="shared" si="9"/>
        <v>42475</v>
      </c>
      <c r="P234" s="33" t="s">
        <v>16</v>
      </c>
    </row>
    <row r="235" spans="1:16" x14ac:dyDescent="0.35">
      <c r="A235" s="33" t="str">
        <f t="shared" si="12"/>
        <v>2024 JAN-SEP DISC 75%</v>
      </c>
      <c r="B235" s="34">
        <f t="shared" si="12"/>
        <v>46104</v>
      </c>
      <c r="C235" s="34">
        <f t="shared" si="12"/>
        <v>46113</v>
      </c>
      <c r="D235" s="33">
        <v>3321</v>
      </c>
      <c r="E235" s="33">
        <v>337</v>
      </c>
      <c r="F235" s="33">
        <v>4</v>
      </c>
      <c r="G235" s="33">
        <v>1</v>
      </c>
      <c r="H235" s="33">
        <v>81800</v>
      </c>
      <c r="I235" s="33" t="s">
        <v>39</v>
      </c>
      <c r="J235" s="33">
        <v>18419697</v>
      </c>
      <c r="K235" s="33" t="s">
        <v>822</v>
      </c>
      <c r="L235" s="39" t="s">
        <v>824</v>
      </c>
      <c r="M235" s="35">
        <v>169900</v>
      </c>
      <c r="N235" s="36">
        <f t="shared" si="11"/>
        <v>0.75</v>
      </c>
      <c r="O235" s="72">
        <f t="shared" si="9"/>
        <v>42475</v>
      </c>
      <c r="P235" s="33" t="s">
        <v>16</v>
      </c>
    </row>
    <row r="236" spans="1:16" x14ac:dyDescent="0.35">
      <c r="A236" s="33" t="str">
        <f t="shared" si="12"/>
        <v>2024 JAN-SEP DISC 75%</v>
      </c>
      <c r="B236" s="34">
        <f t="shared" si="12"/>
        <v>46104</v>
      </c>
      <c r="C236" s="34">
        <f t="shared" si="12"/>
        <v>46113</v>
      </c>
      <c r="D236" s="33">
        <v>3321</v>
      </c>
      <c r="E236" s="33">
        <v>337</v>
      </c>
      <c r="F236" s="33">
        <v>4</v>
      </c>
      <c r="G236" s="33">
        <v>1</v>
      </c>
      <c r="H236" s="33">
        <v>81800</v>
      </c>
      <c r="I236" s="33" t="s">
        <v>39</v>
      </c>
      <c r="J236" s="33">
        <v>18419704</v>
      </c>
      <c r="K236" s="33" t="s">
        <v>822</v>
      </c>
      <c r="L236" s="39" t="s">
        <v>825</v>
      </c>
      <c r="M236" s="35">
        <v>169900</v>
      </c>
      <c r="N236" s="36">
        <f t="shared" si="11"/>
        <v>0.75</v>
      </c>
      <c r="O236" s="72">
        <f t="shared" si="9"/>
        <v>42475</v>
      </c>
      <c r="P236" s="33" t="s">
        <v>16</v>
      </c>
    </row>
    <row r="237" spans="1:16" x14ac:dyDescent="0.35">
      <c r="A237" s="33" t="str">
        <f t="shared" si="12"/>
        <v>2024 JAN-SEP DISC 75%</v>
      </c>
      <c r="B237" s="34">
        <f t="shared" si="12"/>
        <v>46104</v>
      </c>
      <c r="C237" s="34">
        <f t="shared" si="12"/>
        <v>46113</v>
      </c>
      <c r="D237" s="33">
        <v>3321</v>
      </c>
      <c r="E237" s="33">
        <v>337</v>
      </c>
      <c r="F237" s="33">
        <v>4</v>
      </c>
      <c r="G237" s="33">
        <v>1</v>
      </c>
      <c r="H237" s="33">
        <v>81800</v>
      </c>
      <c r="I237" s="33" t="s">
        <v>39</v>
      </c>
      <c r="J237" s="33">
        <v>18419713</v>
      </c>
      <c r="K237" s="33" t="s">
        <v>822</v>
      </c>
      <c r="L237" s="39" t="s">
        <v>826</v>
      </c>
      <c r="M237" s="35">
        <v>169900</v>
      </c>
      <c r="N237" s="36">
        <f t="shared" si="11"/>
        <v>0.75</v>
      </c>
      <c r="O237" s="72">
        <f t="shared" si="9"/>
        <v>42475</v>
      </c>
      <c r="P237" s="33" t="s">
        <v>16</v>
      </c>
    </row>
    <row r="238" spans="1:16" x14ac:dyDescent="0.35">
      <c r="A238" s="33" t="str">
        <f t="shared" si="12"/>
        <v>2024 JAN-SEP DISC 75%</v>
      </c>
      <c r="B238" s="34">
        <f t="shared" si="12"/>
        <v>46104</v>
      </c>
      <c r="C238" s="34">
        <f t="shared" si="12"/>
        <v>46113</v>
      </c>
      <c r="D238" s="33">
        <v>3321</v>
      </c>
      <c r="E238" s="33">
        <v>337</v>
      </c>
      <c r="F238" s="33">
        <v>4</v>
      </c>
      <c r="G238" s="33">
        <v>5</v>
      </c>
      <c r="H238" s="33">
        <v>81506</v>
      </c>
      <c r="I238" s="33" t="s">
        <v>39</v>
      </c>
      <c r="J238" s="33">
        <v>18769078</v>
      </c>
      <c r="K238" s="33" t="s">
        <v>852</v>
      </c>
      <c r="L238" s="39" t="s">
        <v>853</v>
      </c>
      <c r="M238" s="35">
        <v>289900</v>
      </c>
      <c r="N238" s="36">
        <f t="shared" si="11"/>
        <v>0.75</v>
      </c>
      <c r="O238" s="72">
        <f t="shared" si="9"/>
        <v>72475</v>
      </c>
      <c r="P238" s="33" t="s">
        <v>16</v>
      </c>
    </row>
    <row r="239" spans="1:16" x14ac:dyDescent="0.35">
      <c r="A239" s="33" t="str">
        <f t="shared" si="12"/>
        <v>2024 JAN-SEP DISC 75%</v>
      </c>
      <c r="B239" s="34">
        <f t="shared" si="12"/>
        <v>46104</v>
      </c>
      <c r="C239" s="34">
        <f t="shared" si="12"/>
        <v>46113</v>
      </c>
      <c r="D239" s="33">
        <v>3321</v>
      </c>
      <c r="E239" s="33">
        <v>337</v>
      </c>
      <c r="F239" s="33">
        <v>4</v>
      </c>
      <c r="G239" s="33">
        <v>5</v>
      </c>
      <c r="H239" s="33">
        <v>81506</v>
      </c>
      <c r="I239" s="33" t="s">
        <v>39</v>
      </c>
      <c r="J239" s="33">
        <v>18769087</v>
      </c>
      <c r="K239" s="33" t="s">
        <v>852</v>
      </c>
      <c r="L239" s="39" t="s">
        <v>854</v>
      </c>
      <c r="M239" s="35">
        <v>289900</v>
      </c>
      <c r="N239" s="36">
        <f t="shared" si="11"/>
        <v>0.75</v>
      </c>
      <c r="O239" s="72">
        <f t="shared" si="9"/>
        <v>72475</v>
      </c>
      <c r="P239" s="33" t="s">
        <v>16</v>
      </c>
    </row>
    <row r="240" spans="1:16" x14ac:dyDescent="0.35">
      <c r="A240" s="33" t="str">
        <f t="shared" si="12"/>
        <v>2024 JAN-SEP DISC 75%</v>
      </c>
      <c r="B240" s="34">
        <f t="shared" si="12"/>
        <v>46104</v>
      </c>
      <c r="C240" s="34">
        <f t="shared" si="12"/>
        <v>46113</v>
      </c>
      <c r="D240" s="33">
        <v>3321</v>
      </c>
      <c r="E240" s="33">
        <v>337</v>
      </c>
      <c r="F240" s="33">
        <v>4</v>
      </c>
      <c r="G240" s="33">
        <v>5</v>
      </c>
      <c r="H240" s="33">
        <v>81506</v>
      </c>
      <c r="I240" s="33" t="s">
        <v>39</v>
      </c>
      <c r="J240" s="33">
        <v>18769096</v>
      </c>
      <c r="K240" s="33" t="s">
        <v>852</v>
      </c>
      <c r="L240" s="39" t="s">
        <v>855</v>
      </c>
      <c r="M240" s="35">
        <v>289900</v>
      </c>
      <c r="N240" s="36">
        <f t="shared" si="11"/>
        <v>0.75</v>
      </c>
      <c r="O240" s="72">
        <f t="shared" si="9"/>
        <v>72475</v>
      </c>
      <c r="P240" s="33" t="s">
        <v>16</v>
      </c>
    </row>
    <row r="241" spans="1:16" x14ac:dyDescent="0.35">
      <c r="A241" s="33" t="str">
        <f t="shared" si="12"/>
        <v>2024 JAN-SEP DISC 75%</v>
      </c>
      <c r="B241" s="34">
        <f t="shared" si="12"/>
        <v>46104</v>
      </c>
      <c r="C241" s="34">
        <f t="shared" si="12"/>
        <v>46113</v>
      </c>
      <c r="D241" s="33">
        <v>3321</v>
      </c>
      <c r="E241" s="33">
        <v>337</v>
      </c>
      <c r="F241" s="33">
        <v>4</v>
      </c>
      <c r="G241" s="33">
        <v>5</v>
      </c>
      <c r="H241" s="33">
        <v>81506</v>
      </c>
      <c r="I241" s="33" t="s">
        <v>39</v>
      </c>
      <c r="J241" s="33">
        <v>18769103</v>
      </c>
      <c r="K241" s="33" t="s">
        <v>852</v>
      </c>
      <c r="L241" s="39" t="s">
        <v>856</v>
      </c>
      <c r="M241" s="35">
        <v>289900</v>
      </c>
      <c r="N241" s="36">
        <f t="shared" si="11"/>
        <v>0.75</v>
      </c>
      <c r="O241" s="72">
        <f t="shared" si="9"/>
        <v>72475</v>
      </c>
      <c r="P241" s="33" t="s">
        <v>16</v>
      </c>
    </row>
    <row r="242" spans="1:16" x14ac:dyDescent="0.35">
      <c r="A242" s="33" t="str">
        <f t="shared" si="12"/>
        <v>2024 JAN-SEP DISC 75%</v>
      </c>
      <c r="B242" s="34">
        <f t="shared" si="12"/>
        <v>46104</v>
      </c>
      <c r="C242" s="34">
        <f t="shared" si="12"/>
        <v>46113</v>
      </c>
      <c r="D242" s="33">
        <v>3321</v>
      </c>
      <c r="E242" s="33">
        <v>337</v>
      </c>
      <c r="F242" s="33">
        <v>4</v>
      </c>
      <c r="G242" s="33">
        <v>1</v>
      </c>
      <c r="H242" s="33">
        <v>81048</v>
      </c>
      <c r="I242" s="33" t="s">
        <v>39</v>
      </c>
      <c r="J242" s="33">
        <v>18768702</v>
      </c>
      <c r="K242" s="33" t="s">
        <v>763</v>
      </c>
      <c r="L242" s="39" t="s">
        <v>764</v>
      </c>
      <c r="M242" s="35">
        <v>139900</v>
      </c>
      <c r="N242" s="36">
        <f t="shared" si="11"/>
        <v>0.75</v>
      </c>
      <c r="O242" s="72">
        <f t="shared" si="9"/>
        <v>34975</v>
      </c>
      <c r="P242" s="33" t="s">
        <v>16</v>
      </c>
    </row>
    <row r="243" spans="1:16" x14ac:dyDescent="0.35">
      <c r="A243" s="33" t="str">
        <f t="shared" si="12"/>
        <v>2024 JAN-SEP DISC 75%</v>
      </c>
      <c r="B243" s="34">
        <f t="shared" si="12"/>
        <v>46104</v>
      </c>
      <c r="C243" s="34">
        <f t="shared" si="12"/>
        <v>46113</v>
      </c>
      <c r="D243" s="33">
        <v>3321</v>
      </c>
      <c r="E243" s="33">
        <v>337</v>
      </c>
      <c r="F243" s="33">
        <v>4</v>
      </c>
      <c r="G243" s="33">
        <v>1</v>
      </c>
      <c r="H243" s="33">
        <v>81048</v>
      </c>
      <c r="I243" s="33" t="s">
        <v>39</v>
      </c>
      <c r="J243" s="33">
        <v>18768711</v>
      </c>
      <c r="K243" s="33" t="s">
        <v>763</v>
      </c>
      <c r="L243" s="39" t="s">
        <v>765</v>
      </c>
      <c r="M243" s="35">
        <v>139900</v>
      </c>
      <c r="N243" s="36">
        <f t="shared" si="11"/>
        <v>0.75</v>
      </c>
      <c r="O243" s="72">
        <f t="shared" si="9"/>
        <v>34975</v>
      </c>
      <c r="P243" s="33" t="s">
        <v>16</v>
      </c>
    </row>
    <row r="244" spans="1:16" x14ac:dyDescent="0.35">
      <c r="A244" s="33" t="str">
        <f t="shared" si="12"/>
        <v>2024 JAN-SEP DISC 75%</v>
      </c>
      <c r="B244" s="34">
        <f t="shared" si="12"/>
        <v>46104</v>
      </c>
      <c r="C244" s="34">
        <f t="shared" si="12"/>
        <v>46113</v>
      </c>
      <c r="D244" s="33">
        <v>3321</v>
      </c>
      <c r="E244" s="33">
        <v>337</v>
      </c>
      <c r="F244" s="33">
        <v>4</v>
      </c>
      <c r="G244" s="33">
        <v>1</v>
      </c>
      <c r="H244" s="33">
        <v>81048</v>
      </c>
      <c r="I244" s="33" t="s">
        <v>39</v>
      </c>
      <c r="J244" s="33">
        <v>18768720</v>
      </c>
      <c r="K244" s="33" t="s">
        <v>763</v>
      </c>
      <c r="L244" s="39" t="s">
        <v>766</v>
      </c>
      <c r="M244" s="35">
        <v>139900</v>
      </c>
      <c r="N244" s="36">
        <f t="shared" si="11"/>
        <v>0.75</v>
      </c>
      <c r="O244" s="72">
        <f t="shared" si="9"/>
        <v>34975</v>
      </c>
      <c r="P244" s="33" t="s">
        <v>16</v>
      </c>
    </row>
    <row r="245" spans="1:16" x14ac:dyDescent="0.35">
      <c r="A245" s="33" t="str">
        <f>A244</f>
        <v>2024 JAN-SEP DISC 75%</v>
      </c>
      <c r="B245" s="34">
        <f>B244</f>
        <v>46104</v>
      </c>
      <c r="C245" s="34">
        <f>C244</f>
        <v>46113</v>
      </c>
      <c r="D245" s="33">
        <v>3321</v>
      </c>
      <c r="E245" s="33">
        <v>337</v>
      </c>
      <c r="F245" s="33">
        <v>4</v>
      </c>
      <c r="G245" s="33">
        <v>1</v>
      </c>
      <c r="H245" s="33">
        <v>81048</v>
      </c>
      <c r="I245" s="33" t="s">
        <v>39</v>
      </c>
      <c r="J245" s="33">
        <v>18768739</v>
      </c>
      <c r="K245" s="33" t="s">
        <v>763</v>
      </c>
      <c r="L245" s="39" t="s">
        <v>767</v>
      </c>
      <c r="M245" s="35">
        <v>139900</v>
      </c>
      <c r="N245" s="36">
        <f>N244</f>
        <v>0.75</v>
      </c>
      <c r="O245" s="72">
        <f t="shared" si="9"/>
        <v>34975</v>
      </c>
      <c r="P245" s="33" t="s">
        <v>16</v>
      </c>
    </row>
    <row r="246" spans="1:16" x14ac:dyDescent="0.35">
      <c r="A246" s="33" t="str">
        <f t="shared" si="12"/>
        <v>2024 JAN-SEP DISC 75%</v>
      </c>
      <c r="B246" s="34">
        <f t="shared" si="12"/>
        <v>46104</v>
      </c>
      <c r="C246" s="34">
        <f t="shared" si="12"/>
        <v>46113</v>
      </c>
      <c r="D246" s="33">
        <v>3321</v>
      </c>
      <c r="E246" s="33">
        <v>337</v>
      </c>
      <c r="F246" s="33">
        <v>4</v>
      </c>
      <c r="G246" s="33">
        <v>1</v>
      </c>
      <c r="H246" s="33">
        <v>81048</v>
      </c>
      <c r="I246" s="33" t="s">
        <v>39</v>
      </c>
      <c r="J246" s="33">
        <v>18768748</v>
      </c>
      <c r="K246" s="33" t="s">
        <v>768</v>
      </c>
      <c r="L246" s="39" t="s">
        <v>769</v>
      </c>
      <c r="M246" s="35">
        <v>139900</v>
      </c>
      <c r="N246" s="36">
        <f t="shared" si="11"/>
        <v>0.75</v>
      </c>
      <c r="O246" s="72">
        <f t="shared" si="9"/>
        <v>34975</v>
      </c>
      <c r="P246" s="33" t="s">
        <v>16</v>
      </c>
    </row>
    <row r="247" spans="1:16" x14ac:dyDescent="0.35">
      <c r="A247" s="33" t="str">
        <f t="shared" si="12"/>
        <v>2024 JAN-SEP DISC 75%</v>
      </c>
      <c r="B247" s="34">
        <f t="shared" si="12"/>
        <v>46104</v>
      </c>
      <c r="C247" s="34">
        <f t="shared" si="12"/>
        <v>46113</v>
      </c>
      <c r="D247" s="33">
        <v>3321</v>
      </c>
      <c r="E247" s="33">
        <v>337</v>
      </c>
      <c r="F247" s="33">
        <v>4</v>
      </c>
      <c r="G247" s="33">
        <v>1</v>
      </c>
      <c r="H247" s="33">
        <v>81048</v>
      </c>
      <c r="I247" s="33" t="s">
        <v>39</v>
      </c>
      <c r="J247" s="33">
        <v>18768757</v>
      </c>
      <c r="K247" s="33" t="s">
        <v>768</v>
      </c>
      <c r="L247" s="39" t="s">
        <v>770</v>
      </c>
      <c r="M247" s="35">
        <v>139900</v>
      </c>
      <c r="N247" s="36">
        <f t="shared" si="11"/>
        <v>0.75</v>
      </c>
      <c r="O247" s="72">
        <f t="shared" si="9"/>
        <v>34975</v>
      </c>
      <c r="P247" s="33" t="s">
        <v>16</v>
      </c>
    </row>
    <row r="248" spans="1:16" x14ac:dyDescent="0.35">
      <c r="A248" s="33" t="str">
        <f t="shared" si="12"/>
        <v>2024 JAN-SEP DISC 75%</v>
      </c>
      <c r="B248" s="34">
        <f t="shared" si="12"/>
        <v>46104</v>
      </c>
      <c r="C248" s="34">
        <f t="shared" si="12"/>
        <v>46113</v>
      </c>
      <c r="D248" s="33">
        <v>3321</v>
      </c>
      <c r="E248" s="33">
        <v>337</v>
      </c>
      <c r="F248" s="33">
        <v>4</v>
      </c>
      <c r="G248" s="33">
        <v>1</v>
      </c>
      <c r="H248" s="33">
        <v>81048</v>
      </c>
      <c r="I248" s="33" t="s">
        <v>39</v>
      </c>
      <c r="J248" s="33">
        <v>18768828</v>
      </c>
      <c r="K248" s="33" t="s">
        <v>768</v>
      </c>
      <c r="L248" s="39" t="s">
        <v>771</v>
      </c>
      <c r="M248" s="35">
        <v>139900</v>
      </c>
      <c r="N248" s="36">
        <f t="shared" si="11"/>
        <v>0.75</v>
      </c>
      <c r="O248" s="72">
        <f t="shared" si="9"/>
        <v>34975</v>
      </c>
      <c r="P248" s="33" t="s">
        <v>16</v>
      </c>
    </row>
    <row r="249" spans="1:16" x14ac:dyDescent="0.35">
      <c r="A249" s="33" t="str">
        <f t="shared" si="12"/>
        <v>2024 JAN-SEP DISC 75%</v>
      </c>
      <c r="B249" s="34">
        <f t="shared" si="12"/>
        <v>46104</v>
      </c>
      <c r="C249" s="34">
        <f t="shared" si="12"/>
        <v>46113</v>
      </c>
      <c r="D249" s="33">
        <v>3321</v>
      </c>
      <c r="E249" s="33">
        <v>337</v>
      </c>
      <c r="F249" s="33">
        <v>4</v>
      </c>
      <c r="G249" s="33">
        <v>1</v>
      </c>
      <c r="H249" s="33">
        <v>81048</v>
      </c>
      <c r="I249" s="33" t="s">
        <v>39</v>
      </c>
      <c r="J249" s="33">
        <v>18768864</v>
      </c>
      <c r="K249" s="33" t="s">
        <v>768</v>
      </c>
      <c r="L249" s="39" t="s">
        <v>772</v>
      </c>
      <c r="M249" s="35">
        <v>139900</v>
      </c>
      <c r="N249" s="36">
        <f t="shared" si="11"/>
        <v>0.75</v>
      </c>
      <c r="O249" s="72">
        <f t="shared" si="9"/>
        <v>34975</v>
      </c>
      <c r="P249" s="33" t="s">
        <v>16</v>
      </c>
    </row>
    <row r="250" spans="1:16" x14ac:dyDescent="0.35">
      <c r="A250" s="33" t="str">
        <f t="shared" si="12"/>
        <v>2024 JAN-SEP DISC 75%</v>
      </c>
      <c r="B250" s="34">
        <f t="shared" si="12"/>
        <v>46104</v>
      </c>
      <c r="C250" s="34">
        <f t="shared" si="12"/>
        <v>46113</v>
      </c>
      <c r="D250" s="33">
        <v>3321</v>
      </c>
      <c r="E250" s="33">
        <v>337</v>
      </c>
      <c r="F250" s="33">
        <v>4</v>
      </c>
      <c r="G250" s="33">
        <v>1</v>
      </c>
      <c r="H250" s="33">
        <v>81048</v>
      </c>
      <c r="I250" s="33" t="s">
        <v>39</v>
      </c>
      <c r="J250" s="33">
        <v>18768873</v>
      </c>
      <c r="K250" s="33" t="s">
        <v>773</v>
      </c>
      <c r="L250" s="39" t="s">
        <v>774</v>
      </c>
      <c r="M250" s="35">
        <v>139900</v>
      </c>
      <c r="N250" s="36">
        <f t="shared" si="11"/>
        <v>0.75</v>
      </c>
      <c r="O250" s="72">
        <f t="shared" si="9"/>
        <v>34975</v>
      </c>
      <c r="P250" s="33" t="s">
        <v>16</v>
      </c>
    </row>
    <row r="251" spans="1:16" x14ac:dyDescent="0.35">
      <c r="A251" s="33" t="str">
        <f t="shared" si="12"/>
        <v>2024 JAN-SEP DISC 75%</v>
      </c>
      <c r="B251" s="34">
        <f t="shared" si="12"/>
        <v>46104</v>
      </c>
      <c r="C251" s="34">
        <f t="shared" si="12"/>
        <v>46113</v>
      </c>
      <c r="D251" s="33">
        <v>3321</v>
      </c>
      <c r="E251" s="33">
        <v>337</v>
      </c>
      <c r="F251" s="33">
        <v>4</v>
      </c>
      <c r="G251" s="33">
        <v>1</v>
      </c>
      <c r="H251" s="33">
        <v>81048</v>
      </c>
      <c r="I251" s="33" t="s">
        <v>39</v>
      </c>
      <c r="J251" s="33">
        <v>18768882</v>
      </c>
      <c r="K251" s="33" t="s">
        <v>773</v>
      </c>
      <c r="L251" s="39" t="s">
        <v>775</v>
      </c>
      <c r="M251" s="35">
        <v>139900</v>
      </c>
      <c r="N251" s="36">
        <f t="shared" si="11"/>
        <v>0.75</v>
      </c>
      <c r="O251" s="72">
        <f t="shared" si="9"/>
        <v>34975</v>
      </c>
      <c r="P251" s="33" t="s">
        <v>16</v>
      </c>
    </row>
    <row r="252" spans="1:16" x14ac:dyDescent="0.35">
      <c r="A252" s="33" t="str">
        <f t="shared" si="12"/>
        <v>2024 JAN-SEP DISC 75%</v>
      </c>
      <c r="B252" s="34">
        <f t="shared" si="12"/>
        <v>46104</v>
      </c>
      <c r="C252" s="34">
        <f t="shared" si="12"/>
        <v>46113</v>
      </c>
      <c r="D252" s="33">
        <v>3321</v>
      </c>
      <c r="E252" s="33">
        <v>337</v>
      </c>
      <c r="F252" s="33">
        <v>4</v>
      </c>
      <c r="G252" s="33">
        <v>1</v>
      </c>
      <c r="H252" s="33">
        <v>81048</v>
      </c>
      <c r="I252" s="33" t="s">
        <v>39</v>
      </c>
      <c r="J252" s="33">
        <v>18768891</v>
      </c>
      <c r="K252" s="33" t="s">
        <v>773</v>
      </c>
      <c r="L252" s="39" t="s">
        <v>776</v>
      </c>
      <c r="M252" s="35">
        <v>139900</v>
      </c>
      <c r="N252" s="36">
        <f t="shared" si="11"/>
        <v>0.75</v>
      </c>
      <c r="O252" s="72">
        <f t="shared" si="9"/>
        <v>34975</v>
      </c>
      <c r="P252" s="33" t="s">
        <v>16</v>
      </c>
    </row>
    <row r="253" spans="1:16" x14ac:dyDescent="0.35">
      <c r="A253" s="33" t="str">
        <f t="shared" si="12"/>
        <v>2024 JAN-SEP DISC 75%</v>
      </c>
      <c r="B253" s="34">
        <f t="shared" si="12"/>
        <v>46104</v>
      </c>
      <c r="C253" s="34">
        <f t="shared" si="12"/>
        <v>46113</v>
      </c>
      <c r="D253" s="33">
        <v>3321</v>
      </c>
      <c r="E253" s="33">
        <v>337</v>
      </c>
      <c r="F253" s="33">
        <v>4</v>
      </c>
      <c r="G253" s="33">
        <v>1</v>
      </c>
      <c r="H253" s="33">
        <v>81048</v>
      </c>
      <c r="I253" s="33" t="s">
        <v>39</v>
      </c>
      <c r="J253" s="33">
        <v>18768908</v>
      </c>
      <c r="K253" s="33" t="s">
        <v>773</v>
      </c>
      <c r="L253" s="39" t="s">
        <v>777</v>
      </c>
      <c r="M253" s="35">
        <v>139900</v>
      </c>
      <c r="N253" s="36">
        <f t="shared" si="11"/>
        <v>0.75</v>
      </c>
      <c r="O253" s="72">
        <f t="shared" si="9"/>
        <v>34975</v>
      </c>
      <c r="P253" s="33" t="s">
        <v>16</v>
      </c>
    </row>
    <row r="254" spans="1:16" x14ac:dyDescent="0.35">
      <c r="A254" s="33" t="str">
        <f t="shared" si="12"/>
        <v>2024 JAN-SEP DISC 75%</v>
      </c>
      <c r="B254" s="34">
        <f t="shared" si="12"/>
        <v>46104</v>
      </c>
      <c r="C254" s="34">
        <f t="shared" si="12"/>
        <v>46113</v>
      </c>
      <c r="D254" s="33">
        <v>3321</v>
      </c>
      <c r="E254" s="33">
        <v>337</v>
      </c>
      <c r="F254" s="33">
        <v>4</v>
      </c>
      <c r="G254" s="33">
        <v>1</v>
      </c>
      <c r="H254" s="33">
        <v>81048</v>
      </c>
      <c r="I254" s="33" t="s">
        <v>39</v>
      </c>
      <c r="J254" s="33">
        <v>18768917</v>
      </c>
      <c r="K254" s="33" t="s">
        <v>778</v>
      </c>
      <c r="L254" s="39" t="s">
        <v>779</v>
      </c>
      <c r="M254" s="35">
        <v>149900</v>
      </c>
      <c r="N254" s="36">
        <f t="shared" si="11"/>
        <v>0.75</v>
      </c>
      <c r="O254" s="72">
        <f t="shared" si="9"/>
        <v>37475</v>
      </c>
      <c r="P254" s="33" t="s">
        <v>16</v>
      </c>
    </row>
    <row r="255" spans="1:16" x14ac:dyDescent="0.35">
      <c r="A255" s="33" t="str">
        <f t="shared" si="12"/>
        <v>2024 JAN-SEP DISC 75%</v>
      </c>
      <c r="B255" s="34">
        <f t="shared" si="12"/>
        <v>46104</v>
      </c>
      <c r="C255" s="34">
        <f t="shared" si="12"/>
        <v>46113</v>
      </c>
      <c r="D255" s="33">
        <v>3321</v>
      </c>
      <c r="E255" s="33">
        <v>337</v>
      </c>
      <c r="F255" s="33">
        <v>4</v>
      </c>
      <c r="G255" s="33">
        <v>1</v>
      </c>
      <c r="H255" s="33">
        <v>81048</v>
      </c>
      <c r="I255" s="33" t="s">
        <v>39</v>
      </c>
      <c r="J255" s="33">
        <v>18768926</v>
      </c>
      <c r="K255" s="33" t="s">
        <v>778</v>
      </c>
      <c r="L255" s="39" t="s">
        <v>780</v>
      </c>
      <c r="M255" s="35">
        <v>149900</v>
      </c>
      <c r="N255" s="36">
        <f t="shared" si="11"/>
        <v>0.75</v>
      </c>
      <c r="O255" s="72">
        <f t="shared" si="9"/>
        <v>37475</v>
      </c>
      <c r="P255" s="33" t="s">
        <v>16</v>
      </c>
    </row>
    <row r="256" spans="1:16" x14ac:dyDescent="0.35">
      <c r="A256" s="33" t="str">
        <f t="shared" si="12"/>
        <v>2024 JAN-SEP DISC 75%</v>
      </c>
      <c r="B256" s="34">
        <f t="shared" si="12"/>
        <v>46104</v>
      </c>
      <c r="C256" s="34">
        <f t="shared" si="12"/>
        <v>46113</v>
      </c>
      <c r="D256" s="33">
        <v>3321</v>
      </c>
      <c r="E256" s="33">
        <v>337</v>
      </c>
      <c r="F256" s="33">
        <v>4</v>
      </c>
      <c r="G256" s="33">
        <v>1</v>
      </c>
      <c r="H256" s="33">
        <v>81048</v>
      </c>
      <c r="I256" s="33" t="s">
        <v>39</v>
      </c>
      <c r="J256" s="33">
        <v>18768935</v>
      </c>
      <c r="K256" s="33" t="s">
        <v>778</v>
      </c>
      <c r="L256" s="39" t="s">
        <v>781</v>
      </c>
      <c r="M256" s="35">
        <v>149900</v>
      </c>
      <c r="N256" s="36">
        <f t="shared" si="11"/>
        <v>0.75</v>
      </c>
      <c r="O256" s="72">
        <f t="shared" si="9"/>
        <v>37475</v>
      </c>
      <c r="P256" s="33" t="s">
        <v>16</v>
      </c>
    </row>
    <row r="257" spans="1:16" x14ac:dyDescent="0.35">
      <c r="A257" s="33" t="str">
        <f t="shared" si="12"/>
        <v>2024 JAN-SEP DISC 75%</v>
      </c>
      <c r="B257" s="34">
        <f t="shared" si="12"/>
        <v>46104</v>
      </c>
      <c r="C257" s="34">
        <f t="shared" si="12"/>
        <v>46113</v>
      </c>
      <c r="D257" s="33">
        <v>3321</v>
      </c>
      <c r="E257" s="33">
        <v>337</v>
      </c>
      <c r="F257" s="33">
        <v>4</v>
      </c>
      <c r="G257" s="33">
        <v>1</v>
      </c>
      <c r="H257" s="33">
        <v>81048</v>
      </c>
      <c r="I257" s="33" t="s">
        <v>39</v>
      </c>
      <c r="J257" s="33">
        <v>18768944</v>
      </c>
      <c r="K257" s="33" t="s">
        <v>778</v>
      </c>
      <c r="L257" s="39" t="s">
        <v>782</v>
      </c>
      <c r="M257" s="35">
        <v>149900</v>
      </c>
      <c r="N257" s="36">
        <f t="shared" si="11"/>
        <v>0.75</v>
      </c>
      <c r="O257" s="72">
        <f t="shared" si="9"/>
        <v>37475</v>
      </c>
      <c r="P257" s="33" t="s">
        <v>16</v>
      </c>
    </row>
    <row r="258" spans="1:16" x14ac:dyDescent="0.35">
      <c r="A258" s="33" t="str">
        <f t="shared" si="12"/>
        <v>2024 JAN-SEP DISC 75%</v>
      </c>
      <c r="B258" s="34">
        <f t="shared" si="12"/>
        <v>46104</v>
      </c>
      <c r="C258" s="34">
        <f t="shared" si="12"/>
        <v>46113</v>
      </c>
      <c r="D258" s="33">
        <v>3321</v>
      </c>
      <c r="E258" s="33">
        <v>337</v>
      </c>
      <c r="F258" s="33">
        <v>4</v>
      </c>
      <c r="G258" s="33">
        <v>1</v>
      </c>
      <c r="H258" s="33">
        <v>81048</v>
      </c>
      <c r="I258" s="33" t="s">
        <v>39</v>
      </c>
      <c r="J258" s="33">
        <v>18768953</v>
      </c>
      <c r="K258" s="33" t="s">
        <v>783</v>
      </c>
      <c r="L258" s="39" t="s">
        <v>784</v>
      </c>
      <c r="M258" s="35">
        <v>139900</v>
      </c>
      <c r="N258" s="36">
        <f t="shared" si="11"/>
        <v>0.75</v>
      </c>
      <c r="O258" s="72">
        <f t="shared" si="9"/>
        <v>34975</v>
      </c>
      <c r="P258" s="33" t="s">
        <v>16</v>
      </c>
    </row>
    <row r="259" spans="1:16" x14ac:dyDescent="0.35">
      <c r="A259" s="33" t="str">
        <f t="shared" si="12"/>
        <v>2024 JAN-SEP DISC 75%</v>
      </c>
      <c r="B259" s="34">
        <f t="shared" si="12"/>
        <v>46104</v>
      </c>
      <c r="C259" s="34">
        <f t="shared" si="12"/>
        <v>46113</v>
      </c>
      <c r="D259" s="33">
        <v>3321</v>
      </c>
      <c r="E259" s="33">
        <v>337</v>
      </c>
      <c r="F259" s="33">
        <v>4</v>
      </c>
      <c r="G259" s="33">
        <v>1</v>
      </c>
      <c r="H259" s="33">
        <v>81048</v>
      </c>
      <c r="I259" s="33" t="s">
        <v>39</v>
      </c>
      <c r="J259" s="33">
        <v>18768962</v>
      </c>
      <c r="K259" s="33" t="s">
        <v>783</v>
      </c>
      <c r="L259" s="39" t="s">
        <v>785</v>
      </c>
      <c r="M259" s="35">
        <v>139900</v>
      </c>
      <c r="N259" s="36">
        <f t="shared" si="11"/>
        <v>0.75</v>
      </c>
      <c r="O259" s="72">
        <f t="shared" ref="O259:O322" si="13">M259-((75*M259)/100)</f>
        <v>34975</v>
      </c>
      <c r="P259" s="33" t="s">
        <v>16</v>
      </c>
    </row>
    <row r="260" spans="1:16" x14ac:dyDescent="0.35">
      <c r="A260" s="33" t="str">
        <f t="shared" si="12"/>
        <v>2024 JAN-SEP DISC 75%</v>
      </c>
      <c r="B260" s="34">
        <f t="shared" si="12"/>
        <v>46104</v>
      </c>
      <c r="C260" s="34">
        <f t="shared" si="12"/>
        <v>46113</v>
      </c>
      <c r="D260" s="33">
        <v>3321</v>
      </c>
      <c r="E260" s="33">
        <v>337</v>
      </c>
      <c r="F260" s="33">
        <v>4</v>
      </c>
      <c r="G260" s="33">
        <v>1</v>
      </c>
      <c r="H260" s="33">
        <v>81048</v>
      </c>
      <c r="I260" s="33" t="s">
        <v>39</v>
      </c>
      <c r="J260" s="33">
        <v>18768971</v>
      </c>
      <c r="K260" s="33" t="s">
        <v>783</v>
      </c>
      <c r="L260" s="39" t="s">
        <v>786</v>
      </c>
      <c r="M260" s="35">
        <v>139900</v>
      </c>
      <c r="N260" s="36">
        <f t="shared" ref="N260:N269" si="14">N259</f>
        <v>0.75</v>
      </c>
      <c r="O260" s="72">
        <f t="shared" si="13"/>
        <v>34975</v>
      </c>
      <c r="P260" s="33" t="s">
        <v>16</v>
      </c>
    </row>
    <row r="261" spans="1:16" x14ac:dyDescent="0.35">
      <c r="A261" s="33" t="str">
        <f t="shared" si="12"/>
        <v>2024 JAN-SEP DISC 75%</v>
      </c>
      <c r="B261" s="34">
        <f t="shared" si="12"/>
        <v>46104</v>
      </c>
      <c r="C261" s="34">
        <f t="shared" si="12"/>
        <v>46113</v>
      </c>
      <c r="D261" s="33">
        <v>3321</v>
      </c>
      <c r="E261" s="33">
        <v>337</v>
      </c>
      <c r="F261" s="33">
        <v>4</v>
      </c>
      <c r="G261" s="33">
        <v>1</v>
      </c>
      <c r="H261" s="33">
        <v>81048</v>
      </c>
      <c r="I261" s="33" t="s">
        <v>39</v>
      </c>
      <c r="J261" s="33">
        <v>18768980</v>
      </c>
      <c r="K261" s="33" t="s">
        <v>783</v>
      </c>
      <c r="L261" s="39" t="s">
        <v>787</v>
      </c>
      <c r="M261" s="35">
        <v>139900</v>
      </c>
      <c r="N261" s="36">
        <f t="shared" si="14"/>
        <v>0.75</v>
      </c>
      <c r="O261" s="72">
        <f t="shared" si="13"/>
        <v>34975</v>
      </c>
      <c r="P261" s="33" t="s">
        <v>16</v>
      </c>
    </row>
    <row r="262" spans="1:16" x14ac:dyDescent="0.35">
      <c r="A262" s="33" t="str">
        <f t="shared" si="12"/>
        <v>2024 JAN-SEP DISC 75%</v>
      </c>
      <c r="B262" s="34">
        <f t="shared" si="12"/>
        <v>46104</v>
      </c>
      <c r="C262" s="34">
        <f t="shared" si="12"/>
        <v>46113</v>
      </c>
      <c r="D262" s="33">
        <v>3321</v>
      </c>
      <c r="E262" s="33">
        <v>337</v>
      </c>
      <c r="F262" s="33">
        <v>4</v>
      </c>
      <c r="G262" s="33">
        <v>1</v>
      </c>
      <c r="H262" s="33">
        <v>81048</v>
      </c>
      <c r="I262" s="33" t="s">
        <v>39</v>
      </c>
      <c r="J262" s="33">
        <v>18768999</v>
      </c>
      <c r="K262" s="33" t="s">
        <v>788</v>
      </c>
      <c r="L262" s="39" t="s">
        <v>789</v>
      </c>
      <c r="M262" s="35">
        <v>139900</v>
      </c>
      <c r="N262" s="36">
        <f t="shared" si="14"/>
        <v>0.75</v>
      </c>
      <c r="O262" s="72">
        <f t="shared" si="13"/>
        <v>34975</v>
      </c>
      <c r="P262" s="33" t="s">
        <v>16</v>
      </c>
    </row>
    <row r="263" spans="1:16" x14ac:dyDescent="0.35">
      <c r="A263" s="33" t="str">
        <f t="shared" si="12"/>
        <v>2024 JAN-SEP DISC 75%</v>
      </c>
      <c r="B263" s="34">
        <f t="shared" si="12"/>
        <v>46104</v>
      </c>
      <c r="C263" s="34">
        <f t="shared" si="12"/>
        <v>46113</v>
      </c>
      <c r="D263" s="33">
        <v>3321</v>
      </c>
      <c r="E263" s="33">
        <v>337</v>
      </c>
      <c r="F263" s="33">
        <v>4</v>
      </c>
      <c r="G263" s="33">
        <v>1</v>
      </c>
      <c r="H263" s="33">
        <v>81048</v>
      </c>
      <c r="I263" s="33" t="s">
        <v>39</v>
      </c>
      <c r="J263" s="33">
        <v>18769005</v>
      </c>
      <c r="K263" s="33" t="s">
        <v>788</v>
      </c>
      <c r="L263" s="39" t="s">
        <v>790</v>
      </c>
      <c r="M263" s="35">
        <v>139900</v>
      </c>
      <c r="N263" s="36">
        <f t="shared" si="14"/>
        <v>0.75</v>
      </c>
      <c r="O263" s="72">
        <f t="shared" si="13"/>
        <v>34975</v>
      </c>
      <c r="P263" s="33" t="s">
        <v>16</v>
      </c>
    </row>
    <row r="264" spans="1:16" x14ac:dyDescent="0.35">
      <c r="A264" s="33" t="str">
        <f t="shared" si="12"/>
        <v>2024 JAN-SEP DISC 75%</v>
      </c>
      <c r="B264" s="34">
        <f t="shared" si="12"/>
        <v>46104</v>
      </c>
      <c r="C264" s="34">
        <f t="shared" si="12"/>
        <v>46113</v>
      </c>
      <c r="D264" s="33">
        <v>3321</v>
      </c>
      <c r="E264" s="33">
        <v>337</v>
      </c>
      <c r="F264" s="33">
        <v>4</v>
      </c>
      <c r="G264" s="33">
        <v>1</v>
      </c>
      <c r="H264" s="33">
        <v>81048</v>
      </c>
      <c r="I264" s="33" t="s">
        <v>39</v>
      </c>
      <c r="J264" s="33">
        <v>18769014</v>
      </c>
      <c r="K264" s="33" t="s">
        <v>788</v>
      </c>
      <c r="L264" s="39" t="s">
        <v>791</v>
      </c>
      <c r="M264" s="35">
        <v>139900</v>
      </c>
      <c r="N264" s="36">
        <f t="shared" si="14"/>
        <v>0.75</v>
      </c>
      <c r="O264" s="72">
        <f t="shared" si="13"/>
        <v>34975</v>
      </c>
      <c r="P264" s="33" t="s">
        <v>16</v>
      </c>
    </row>
    <row r="265" spans="1:16" x14ac:dyDescent="0.35">
      <c r="A265" s="33" t="str">
        <f t="shared" si="12"/>
        <v>2024 JAN-SEP DISC 75%</v>
      </c>
      <c r="B265" s="34">
        <f t="shared" si="12"/>
        <v>46104</v>
      </c>
      <c r="C265" s="34">
        <f t="shared" si="12"/>
        <v>46113</v>
      </c>
      <c r="D265" s="33">
        <v>3321</v>
      </c>
      <c r="E265" s="33">
        <v>337</v>
      </c>
      <c r="F265" s="33">
        <v>4</v>
      </c>
      <c r="G265" s="33">
        <v>1</v>
      </c>
      <c r="H265" s="33">
        <v>81048</v>
      </c>
      <c r="I265" s="33" t="s">
        <v>39</v>
      </c>
      <c r="J265" s="33">
        <v>18769023</v>
      </c>
      <c r="K265" s="33" t="s">
        <v>788</v>
      </c>
      <c r="L265" s="39" t="s">
        <v>792</v>
      </c>
      <c r="M265" s="35">
        <v>139900</v>
      </c>
      <c r="N265" s="36">
        <f t="shared" si="14"/>
        <v>0.75</v>
      </c>
      <c r="O265" s="72">
        <f t="shared" si="13"/>
        <v>34975</v>
      </c>
      <c r="P265" s="33" t="s">
        <v>16</v>
      </c>
    </row>
    <row r="266" spans="1:16" x14ac:dyDescent="0.35">
      <c r="A266" s="33" t="str">
        <f t="shared" si="12"/>
        <v>2024 JAN-SEP DISC 75%</v>
      </c>
      <c r="B266" s="34">
        <f t="shared" si="12"/>
        <v>46104</v>
      </c>
      <c r="C266" s="34">
        <f t="shared" si="12"/>
        <v>46113</v>
      </c>
      <c r="D266" s="33">
        <v>3321</v>
      </c>
      <c r="E266" s="33">
        <v>337</v>
      </c>
      <c r="F266" s="33">
        <v>4</v>
      </c>
      <c r="G266" s="33">
        <v>1</v>
      </c>
      <c r="H266" s="33">
        <v>81048</v>
      </c>
      <c r="I266" s="33" t="s">
        <v>39</v>
      </c>
      <c r="J266" s="33">
        <v>18769032</v>
      </c>
      <c r="K266" s="33" t="s">
        <v>793</v>
      </c>
      <c r="L266" s="39" t="s">
        <v>794</v>
      </c>
      <c r="M266" s="35">
        <v>149900</v>
      </c>
      <c r="N266" s="36">
        <f t="shared" si="14"/>
        <v>0.75</v>
      </c>
      <c r="O266" s="72">
        <f t="shared" si="13"/>
        <v>37475</v>
      </c>
      <c r="P266" s="33" t="s">
        <v>16</v>
      </c>
    </row>
    <row r="267" spans="1:16" x14ac:dyDescent="0.35">
      <c r="A267" s="33" t="str">
        <f t="shared" si="12"/>
        <v>2024 JAN-SEP DISC 75%</v>
      </c>
      <c r="B267" s="34">
        <f t="shared" si="12"/>
        <v>46104</v>
      </c>
      <c r="C267" s="34">
        <f t="shared" si="12"/>
        <v>46113</v>
      </c>
      <c r="D267" s="33">
        <v>3321</v>
      </c>
      <c r="E267" s="33">
        <v>337</v>
      </c>
      <c r="F267" s="33">
        <v>4</v>
      </c>
      <c r="G267" s="33">
        <v>1</v>
      </c>
      <c r="H267" s="33">
        <v>81048</v>
      </c>
      <c r="I267" s="33" t="s">
        <v>39</v>
      </c>
      <c r="J267" s="33">
        <v>18769041</v>
      </c>
      <c r="K267" s="33" t="s">
        <v>793</v>
      </c>
      <c r="L267" s="39" t="s">
        <v>795</v>
      </c>
      <c r="M267" s="35">
        <v>149900</v>
      </c>
      <c r="N267" s="36">
        <f t="shared" si="14"/>
        <v>0.75</v>
      </c>
      <c r="O267" s="72">
        <f t="shared" si="13"/>
        <v>37475</v>
      </c>
      <c r="P267" s="33" t="s">
        <v>16</v>
      </c>
    </row>
    <row r="268" spans="1:16" x14ac:dyDescent="0.35">
      <c r="A268" s="33" t="str">
        <f t="shared" si="12"/>
        <v>2024 JAN-SEP DISC 75%</v>
      </c>
      <c r="B268" s="34">
        <f t="shared" si="12"/>
        <v>46104</v>
      </c>
      <c r="C268" s="34">
        <f t="shared" si="12"/>
        <v>46113</v>
      </c>
      <c r="D268" s="33">
        <v>3321</v>
      </c>
      <c r="E268" s="33">
        <v>337</v>
      </c>
      <c r="F268" s="33">
        <v>4</v>
      </c>
      <c r="G268" s="33">
        <v>1</v>
      </c>
      <c r="H268" s="33">
        <v>81048</v>
      </c>
      <c r="I268" s="33" t="s">
        <v>39</v>
      </c>
      <c r="J268" s="33">
        <v>18769050</v>
      </c>
      <c r="K268" s="33" t="s">
        <v>793</v>
      </c>
      <c r="L268" s="39" t="s">
        <v>796</v>
      </c>
      <c r="M268" s="35">
        <v>149900</v>
      </c>
      <c r="N268" s="36">
        <f t="shared" si="14"/>
        <v>0.75</v>
      </c>
      <c r="O268" s="72">
        <f t="shared" si="13"/>
        <v>37475</v>
      </c>
      <c r="P268" s="33" t="s">
        <v>16</v>
      </c>
    </row>
    <row r="269" spans="1:16" x14ac:dyDescent="0.35">
      <c r="A269" s="33" t="str">
        <f t="shared" si="12"/>
        <v>2024 JAN-SEP DISC 75%</v>
      </c>
      <c r="B269" s="34">
        <f t="shared" si="12"/>
        <v>46104</v>
      </c>
      <c r="C269" s="34">
        <f t="shared" si="12"/>
        <v>46113</v>
      </c>
      <c r="D269" s="33">
        <v>3321</v>
      </c>
      <c r="E269" s="33">
        <v>337</v>
      </c>
      <c r="F269" s="33">
        <v>4</v>
      </c>
      <c r="G269" s="33">
        <v>1</v>
      </c>
      <c r="H269" s="33">
        <v>81048</v>
      </c>
      <c r="I269" s="33" t="s">
        <v>39</v>
      </c>
      <c r="J269" s="33">
        <v>18769069</v>
      </c>
      <c r="K269" s="33" t="s">
        <v>793</v>
      </c>
      <c r="L269" s="39" t="s">
        <v>797</v>
      </c>
      <c r="M269" s="35">
        <v>149900</v>
      </c>
      <c r="N269" s="36">
        <f t="shared" si="14"/>
        <v>0.75</v>
      </c>
      <c r="O269" s="72">
        <f t="shared" si="13"/>
        <v>37475</v>
      </c>
      <c r="P269" s="33" t="s">
        <v>16</v>
      </c>
    </row>
    <row r="270" spans="1:16" x14ac:dyDescent="0.35">
      <c r="A270" s="33" t="str">
        <f t="shared" ref="A270:C270" si="15">A269</f>
        <v>2024 JAN-SEP DISC 75%</v>
      </c>
      <c r="B270" s="34">
        <f t="shared" si="15"/>
        <v>46104</v>
      </c>
      <c r="C270" s="34">
        <f t="shared" si="15"/>
        <v>46113</v>
      </c>
      <c r="D270" s="33">
        <v>3321</v>
      </c>
      <c r="E270" s="33">
        <v>337</v>
      </c>
      <c r="F270" s="33">
        <v>4</v>
      </c>
      <c r="G270" s="33">
        <v>1</v>
      </c>
      <c r="H270" s="33">
        <v>81676</v>
      </c>
      <c r="I270" s="33" t="s">
        <v>39</v>
      </c>
      <c r="J270" s="33">
        <v>20597875</v>
      </c>
      <c r="K270" s="33" t="s">
        <v>801</v>
      </c>
      <c r="L270" s="39" t="s">
        <v>802</v>
      </c>
      <c r="M270" s="35">
        <v>129900</v>
      </c>
      <c r="N270" s="71">
        <v>0.75</v>
      </c>
      <c r="O270" s="72">
        <f t="shared" si="13"/>
        <v>32475</v>
      </c>
      <c r="P270" s="33" t="s">
        <v>16</v>
      </c>
    </row>
    <row r="271" spans="1:16" x14ac:dyDescent="0.35">
      <c r="A271" s="33" t="str">
        <f t="shared" ref="A271:C271" si="16">A270</f>
        <v>2024 JAN-SEP DISC 75%</v>
      </c>
      <c r="B271" s="34">
        <f t="shared" si="16"/>
        <v>46104</v>
      </c>
      <c r="C271" s="34">
        <f t="shared" si="16"/>
        <v>46113</v>
      </c>
      <c r="D271" s="33">
        <v>3321</v>
      </c>
      <c r="E271" s="33">
        <v>337</v>
      </c>
      <c r="F271" s="33">
        <v>4</v>
      </c>
      <c r="G271" s="33">
        <v>1</v>
      </c>
      <c r="H271" s="33">
        <v>81676</v>
      </c>
      <c r="I271" s="33" t="s">
        <v>39</v>
      </c>
      <c r="J271" s="33">
        <v>20597893</v>
      </c>
      <c r="K271" s="33" t="s">
        <v>801</v>
      </c>
      <c r="L271" s="39" t="s">
        <v>803</v>
      </c>
      <c r="M271" s="35">
        <v>129900</v>
      </c>
      <c r="N271" s="71">
        <f t="shared" ref="N271:N334" si="17">N270</f>
        <v>0.75</v>
      </c>
      <c r="O271" s="72">
        <f t="shared" si="13"/>
        <v>32475</v>
      </c>
      <c r="P271" s="35" t="str">
        <f t="shared" ref="P271:P334" si="18">P270</f>
        <v>PERCENTAGE</v>
      </c>
    </row>
    <row r="272" spans="1:16" x14ac:dyDescent="0.35">
      <c r="A272" s="33" t="str">
        <f t="shared" ref="A272:C272" si="19">A271</f>
        <v>2024 JAN-SEP DISC 75%</v>
      </c>
      <c r="B272" s="34">
        <f t="shared" si="19"/>
        <v>46104</v>
      </c>
      <c r="C272" s="34">
        <f t="shared" si="19"/>
        <v>46113</v>
      </c>
      <c r="D272" s="33">
        <v>3321</v>
      </c>
      <c r="E272" s="33">
        <v>337</v>
      </c>
      <c r="F272" s="33">
        <v>4</v>
      </c>
      <c r="G272" s="33">
        <v>1</v>
      </c>
      <c r="H272" s="33">
        <v>81676</v>
      </c>
      <c r="I272" s="33" t="s">
        <v>39</v>
      </c>
      <c r="J272" s="33">
        <v>20597900</v>
      </c>
      <c r="K272" s="33" t="s">
        <v>801</v>
      </c>
      <c r="L272" s="39" t="s">
        <v>804</v>
      </c>
      <c r="M272" s="35">
        <v>129900</v>
      </c>
      <c r="N272" s="71">
        <f t="shared" si="17"/>
        <v>0.75</v>
      </c>
      <c r="O272" s="72">
        <f t="shared" si="13"/>
        <v>32475</v>
      </c>
      <c r="P272" s="35" t="str">
        <f t="shared" si="18"/>
        <v>PERCENTAGE</v>
      </c>
    </row>
    <row r="273" spans="1:16" x14ac:dyDescent="0.35">
      <c r="A273" s="33" t="str">
        <f t="shared" ref="A273:C273" si="20">A272</f>
        <v>2024 JAN-SEP DISC 75%</v>
      </c>
      <c r="B273" s="34">
        <f t="shared" si="20"/>
        <v>46104</v>
      </c>
      <c r="C273" s="34">
        <f t="shared" si="20"/>
        <v>46113</v>
      </c>
      <c r="D273" s="33">
        <v>3321</v>
      </c>
      <c r="E273" s="33">
        <v>337</v>
      </c>
      <c r="F273" s="33">
        <v>4</v>
      </c>
      <c r="G273" s="33">
        <v>1</v>
      </c>
      <c r="H273" s="33">
        <v>81676</v>
      </c>
      <c r="I273" s="33" t="s">
        <v>39</v>
      </c>
      <c r="J273" s="33">
        <v>20597937</v>
      </c>
      <c r="K273" s="33" t="s">
        <v>801</v>
      </c>
      <c r="L273" s="39" t="s">
        <v>805</v>
      </c>
      <c r="M273" s="35">
        <v>129900</v>
      </c>
      <c r="N273" s="71">
        <f t="shared" si="17"/>
        <v>0.75</v>
      </c>
      <c r="O273" s="72">
        <f t="shared" si="13"/>
        <v>32475</v>
      </c>
      <c r="P273" s="35" t="str">
        <f t="shared" si="18"/>
        <v>PERCENTAGE</v>
      </c>
    </row>
    <row r="274" spans="1:16" x14ac:dyDescent="0.35">
      <c r="A274" s="33" t="str">
        <f t="shared" ref="A274:C274" si="21">A273</f>
        <v>2024 JAN-SEP DISC 75%</v>
      </c>
      <c r="B274" s="34">
        <f t="shared" si="21"/>
        <v>46104</v>
      </c>
      <c r="C274" s="34">
        <f t="shared" si="21"/>
        <v>46113</v>
      </c>
      <c r="D274" s="33">
        <v>3321</v>
      </c>
      <c r="E274" s="33">
        <v>337</v>
      </c>
      <c r="F274" s="33">
        <v>4</v>
      </c>
      <c r="G274" s="33">
        <v>1</v>
      </c>
      <c r="H274" s="33">
        <v>81676</v>
      </c>
      <c r="I274" s="33" t="s">
        <v>39</v>
      </c>
      <c r="J274" s="33">
        <v>20597955</v>
      </c>
      <c r="K274" s="33" t="s">
        <v>806</v>
      </c>
      <c r="L274" s="39" t="s">
        <v>807</v>
      </c>
      <c r="M274" s="35">
        <v>139900</v>
      </c>
      <c r="N274" s="71">
        <f t="shared" si="17"/>
        <v>0.75</v>
      </c>
      <c r="O274" s="72">
        <f t="shared" si="13"/>
        <v>34975</v>
      </c>
      <c r="P274" s="35" t="str">
        <f t="shared" si="18"/>
        <v>PERCENTAGE</v>
      </c>
    </row>
    <row r="275" spans="1:16" x14ac:dyDescent="0.35">
      <c r="A275" s="33" t="str">
        <f t="shared" ref="A275:C275" si="22">A274</f>
        <v>2024 JAN-SEP DISC 75%</v>
      </c>
      <c r="B275" s="34">
        <f t="shared" si="22"/>
        <v>46104</v>
      </c>
      <c r="C275" s="34">
        <f t="shared" si="22"/>
        <v>46113</v>
      </c>
      <c r="D275" s="33">
        <v>3321</v>
      </c>
      <c r="E275" s="33">
        <v>337</v>
      </c>
      <c r="F275" s="33">
        <v>4</v>
      </c>
      <c r="G275" s="33">
        <v>1</v>
      </c>
      <c r="H275" s="33">
        <v>81676</v>
      </c>
      <c r="I275" s="33" t="s">
        <v>39</v>
      </c>
      <c r="J275" s="33">
        <v>20597973</v>
      </c>
      <c r="K275" s="33" t="s">
        <v>806</v>
      </c>
      <c r="L275" s="39" t="s">
        <v>808</v>
      </c>
      <c r="M275" s="35">
        <v>139900</v>
      </c>
      <c r="N275" s="71">
        <f t="shared" si="17"/>
        <v>0.75</v>
      </c>
      <c r="O275" s="72">
        <f t="shared" si="13"/>
        <v>34975</v>
      </c>
      <c r="P275" s="35" t="str">
        <f t="shared" si="18"/>
        <v>PERCENTAGE</v>
      </c>
    </row>
    <row r="276" spans="1:16" x14ac:dyDescent="0.35">
      <c r="A276" s="33" t="str">
        <f t="shared" ref="A276:C276" si="23">A275</f>
        <v>2024 JAN-SEP DISC 75%</v>
      </c>
      <c r="B276" s="34">
        <f t="shared" si="23"/>
        <v>46104</v>
      </c>
      <c r="C276" s="34">
        <f t="shared" si="23"/>
        <v>46113</v>
      </c>
      <c r="D276" s="33">
        <v>3321</v>
      </c>
      <c r="E276" s="33">
        <v>337</v>
      </c>
      <c r="F276" s="33">
        <v>4</v>
      </c>
      <c r="G276" s="33">
        <v>1</v>
      </c>
      <c r="H276" s="33">
        <v>81676</v>
      </c>
      <c r="I276" s="33" t="s">
        <v>39</v>
      </c>
      <c r="J276" s="33">
        <v>20598007</v>
      </c>
      <c r="K276" s="33" t="s">
        <v>806</v>
      </c>
      <c r="L276" s="39" t="s">
        <v>809</v>
      </c>
      <c r="M276" s="35">
        <v>139900</v>
      </c>
      <c r="N276" s="71">
        <f t="shared" si="17"/>
        <v>0.75</v>
      </c>
      <c r="O276" s="72">
        <f t="shared" si="13"/>
        <v>34975</v>
      </c>
      <c r="P276" s="35" t="str">
        <f t="shared" si="18"/>
        <v>PERCENTAGE</v>
      </c>
    </row>
    <row r="277" spans="1:16" x14ac:dyDescent="0.35">
      <c r="A277" s="33" t="str">
        <f t="shared" ref="A277:C277" si="24">A276</f>
        <v>2024 JAN-SEP DISC 75%</v>
      </c>
      <c r="B277" s="34">
        <f t="shared" si="24"/>
        <v>46104</v>
      </c>
      <c r="C277" s="34">
        <f t="shared" si="24"/>
        <v>46113</v>
      </c>
      <c r="D277" s="33">
        <v>3321</v>
      </c>
      <c r="E277" s="33">
        <v>337</v>
      </c>
      <c r="F277" s="33">
        <v>4</v>
      </c>
      <c r="G277" s="33">
        <v>1</v>
      </c>
      <c r="H277" s="33">
        <v>81676</v>
      </c>
      <c r="I277" s="33" t="s">
        <v>39</v>
      </c>
      <c r="J277" s="33">
        <v>20598016</v>
      </c>
      <c r="K277" s="33" t="s">
        <v>806</v>
      </c>
      <c r="L277" s="39" t="s">
        <v>810</v>
      </c>
      <c r="M277" s="35">
        <v>139900</v>
      </c>
      <c r="N277" s="71">
        <f t="shared" si="17"/>
        <v>0.75</v>
      </c>
      <c r="O277" s="72">
        <f t="shared" si="13"/>
        <v>34975</v>
      </c>
      <c r="P277" s="35" t="str">
        <f t="shared" si="18"/>
        <v>PERCENTAGE</v>
      </c>
    </row>
    <row r="278" spans="1:16" x14ac:dyDescent="0.35">
      <c r="A278" s="33" t="str">
        <f t="shared" ref="A278:C278" si="25">A277</f>
        <v>2024 JAN-SEP DISC 75%</v>
      </c>
      <c r="B278" s="34">
        <f t="shared" si="25"/>
        <v>46104</v>
      </c>
      <c r="C278" s="34">
        <f t="shared" si="25"/>
        <v>46113</v>
      </c>
      <c r="D278" s="33">
        <v>3321</v>
      </c>
      <c r="E278" s="33">
        <v>337</v>
      </c>
      <c r="F278" s="33">
        <v>4</v>
      </c>
      <c r="G278" s="33">
        <v>1</v>
      </c>
      <c r="H278" s="33">
        <v>81676</v>
      </c>
      <c r="I278" s="33" t="s">
        <v>39</v>
      </c>
      <c r="J278" s="33">
        <v>21324854</v>
      </c>
      <c r="K278" s="33" t="s">
        <v>811</v>
      </c>
      <c r="L278" s="39" t="s">
        <v>812</v>
      </c>
      <c r="M278" s="35">
        <v>129900</v>
      </c>
      <c r="N278" s="71">
        <f t="shared" si="17"/>
        <v>0.75</v>
      </c>
      <c r="O278" s="72">
        <f t="shared" si="13"/>
        <v>32475</v>
      </c>
      <c r="P278" s="35" t="str">
        <f t="shared" si="18"/>
        <v>PERCENTAGE</v>
      </c>
    </row>
    <row r="279" spans="1:16" x14ac:dyDescent="0.35">
      <c r="A279" s="33" t="str">
        <f t="shared" ref="A279:C279" si="26">A278</f>
        <v>2024 JAN-SEP DISC 75%</v>
      </c>
      <c r="B279" s="34">
        <f t="shared" si="26"/>
        <v>46104</v>
      </c>
      <c r="C279" s="34">
        <f t="shared" si="26"/>
        <v>46113</v>
      </c>
      <c r="D279" s="33">
        <v>3321</v>
      </c>
      <c r="E279" s="33">
        <v>337</v>
      </c>
      <c r="F279" s="33">
        <v>4</v>
      </c>
      <c r="G279" s="33">
        <v>1</v>
      </c>
      <c r="H279" s="33">
        <v>81676</v>
      </c>
      <c r="I279" s="33" t="s">
        <v>39</v>
      </c>
      <c r="J279" s="33">
        <v>21324989</v>
      </c>
      <c r="K279" s="33" t="s">
        <v>811</v>
      </c>
      <c r="L279" s="39" t="s">
        <v>813</v>
      </c>
      <c r="M279" s="35">
        <v>129900</v>
      </c>
      <c r="N279" s="71">
        <f t="shared" si="17"/>
        <v>0.75</v>
      </c>
      <c r="O279" s="72">
        <f t="shared" si="13"/>
        <v>32475</v>
      </c>
      <c r="P279" s="35" t="str">
        <f t="shared" si="18"/>
        <v>PERCENTAGE</v>
      </c>
    </row>
    <row r="280" spans="1:16" x14ac:dyDescent="0.35">
      <c r="A280" s="33" t="str">
        <f t="shared" ref="A280:C280" si="27">A279</f>
        <v>2024 JAN-SEP DISC 75%</v>
      </c>
      <c r="B280" s="34">
        <f t="shared" si="27"/>
        <v>46104</v>
      </c>
      <c r="C280" s="34">
        <f t="shared" si="27"/>
        <v>46113</v>
      </c>
      <c r="D280" s="33">
        <v>3321</v>
      </c>
      <c r="E280" s="33">
        <v>337</v>
      </c>
      <c r="F280" s="33">
        <v>4</v>
      </c>
      <c r="G280" s="33">
        <v>1</v>
      </c>
      <c r="H280" s="33">
        <v>81676</v>
      </c>
      <c r="I280" s="33" t="s">
        <v>39</v>
      </c>
      <c r="J280" s="33">
        <v>21324998</v>
      </c>
      <c r="K280" s="33" t="s">
        <v>811</v>
      </c>
      <c r="L280" s="39" t="s">
        <v>814</v>
      </c>
      <c r="M280" s="35">
        <v>129900</v>
      </c>
      <c r="N280" s="71">
        <f t="shared" si="17"/>
        <v>0.75</v>
      </c>
      <c r="O280" s="72">
        <f t="shared" si="13"/>
        <v>32475</v>
      </c>
      <c r="P280" s="35" t="str">
        <f t="shared" si="18"/>
        <v>PERCENTAGE</v>
      </c>
    </row>
    <row r="281" spans="1:16" x14ac:dyDescent="0.35">
      <c r="A281" s="33" t="str">
        <f t="shared" ref="A281:C281" si="28">A280</f>
        <v>2024 JAN-SEP DISC 75%</v>
      </c>
      <c r="B281" s="34">
        <f t="shared" si="28"/>
        <v>46104</v>
      </c>
      <c r="C281" s="34">
        <f t="shared" si="28"/>
        <v>46113</v>
      </c>
      <c r="D281" s="33">
        <v>3321</v>
      </c>
      <c r="E281" s="33">
        <v>337</v>
      </c>
      <c r="F281" s="33">
        <v>4</v>
      </c>
      <c r="G281" s="33">
        <v>1</v>
      </c>
      <c r="H281" s="33">
        <v>81676</v>
      </c>
      <c r="I281" s="33" t="s">
        <v>39</v>
      </c>
      <c r="J281" s="33">
        <v>21325004</v>
      </c>
      <c r="K281" s="33" t="s">
        <v>811</v>
      </c>
      <c r="L281" s="39" t="s">
        <v>815</v>
      </c>
      <c r="M281" s="35">
        <v>129900</v>
      </c>
      <c r="N281" s="71">
        <f t="shared" si="17"/>
        <v>0.75</v>
      </c>
      <c r="O281" s="72">
        <f t="shared" si="13"/>
        <v>32475</v>
      </c>
      <c r="P281" s="35" t="str">
        <f t="shared" si="18"/>
        <v>PERCENTAGE</v>
      </c>
    </row>
    <row r="282" spans="1:16" x14ac:dyDescent="0.35">
      <c r="A282" s="33" t="str">
        <f t="shared" ref="A282:C282" si="29">A281</f>
        <v>2024 JAN-SEP DISC 75%</v>
      </c>
      <c r="B282" s="34">
        <f t="shared" si="29"/>
        <v>46104</v>
      </c>
      <c r="C282" s="34">
        <f t="shared" si="29"/>
        <v>46113</v>
      </c>
      <c r="D282" s="33">
        <v>3321</v>
      </c>
      <c r="E282" s="33">
        <v>337</v>
      </c>
      <c r="F282" s="33">
        <v>4</v>
      </c>
      <c r="G282" s="33">
        <v>1</v>
      </c>
      <c r="H282" s="33">
        <v>81421</v>
      </c>
      <c r="I282" s="33" t="s">
        <v>39</v>
      </c>
      <c r="J282" s="33">
        <v>20597615</v>
      </c>
      <c r="K282" s="33" t="s">
        <v>1130</v>
      </c>
      <c r="L282" s="39" t="s">
        <v>1114</v>
      </c>
      <c r="M282" s="35">
        <v>179900</v>
      </c>
      <c r="N282" s="71">
        <f t="shared" si="17"/>
        <v>0.75</v>
      </c>
      <c r="O282" s="72">
        <f t="shared" si="13"/>
        <v>44975</v>
      </c>
      <c r="P282" s="35" t="str">
        <f t="shared" si="18"/>
        <v>PERCENTAGE</v>
      </c>
    </row>
    <row r="283" spans="1:16" x14ac:dyDescent="0.35">
      <c r="A283" s="33" t="str">
        <f t="shared" ref="A283:C283" si="30">A282</f>
        <v>2024 JAN-SEP DISC 75%</v>
      </c>
      <c r="B283" s="34">
        <f t="shared" si="30"/>
        <v>46104</v>
      </c>
      <c r="C283" s="34">
        <f t="shared" si="30"/>
        <v>46113</v>
      </c>
      <c r="D283" s="33">
        <v>3321</v>
      </c>
      <c r="E283" s="33">
        <v>337</v>
      </c>
      <c r="F283" s="33">
        <v>4</v>
      </c>
      <c r="G283" s="33">
        <v>1</v>
      </c>
      <c r="H283" s="33">
        <v>81421</v>
      </c>
      <c r="I283" s="33" t="s">
        <v>39</v>
      </c>
      <c r="J283" s="33">
        <v>20597624</v>
      </c>
      <c r="K283" s="33" t="s">
        <v>1130</v>
      </c>
      <c r="L283" s="39" t="s">
        <v>1115</v>
      </c>
      <c r="M283" s="35">
        <v>179900</v>
      </c>
      <c r="N283" s="71">
        <f t="shared" si="17"/>
        <v>0.75</v>
      </c>
      <c r="O283" s="72">
        <f t="shared" si="13"/>
        <v>44975</v>
      </c>
      <c r="P283" s="35" t="str">
        <f t="shared" si="18"/>
        <v>PERCENTAGE</v>
      </c>
    </row>
    <row r="284" spans="1:16" x14ac:dyDescent="0.35">
      <c r="A284" s="33" t="str">
        <f t="shared" ref="A284:C284" si="31">A283</f>
        <v>2024 JAN-SEP DISC 75%</v>
      </c>
      <c r="B284" s="34">
        <f t="shared" si="31"/>
        <v>46104</v>
      </c>
      <c r="C284" s="34">
        <f t="shared" si="31"/>
        <v>46113</v>
      </c>
      <c r="D284" s="33">
        <v>3321</v>
      </c>
      <c r="E284" s="33">
        <v>337</v>
      </c>
      <c r="F284" s="33">
        <v>4</v>
      </c>
      <c r="G284" s="33">
        <v>1</v>
      </c>
      <c r="H284" s="33">
        <v>81421</v>
      </c>
      <c r="I284" s="33" t="s">
        <v>39</v>
      </c>
      <c r="J284" s="33">
        <v>20597633</v>
      </c>
      <c r="K284" s="33" t="s">
        <v>1130</v>
      </c>
      <c r="L284" s="39" t="s">
        <v>1116</v>
      </c>
      <c r="M284" s="35">
        <v>179900</v>
      </c>
      <c r="N284" s="71">
        <f t="shared" si="17"/>
        <v>0.75</v>
      </c>
      <c r="O284" s="72">
        <f t="shared" si="13"/>
        <v>44975</v>
      </c>
      <c r="P284" s="35" t="str">
        <f t="shared" si="18"/>
        <v>PERCENTAGE</v>
      </c>
    </row>
    <row r="285" spans="1:16" x14ac:dyDescent="0.35">
      <c r="A285" s="33" t="str">
        <f t="shared" ref="A285:C285" si="32">A284</f>
        <v>2024 JAN-SEP DISC 75%</v>
      </c>
      <c r="B285" s="34">
        <f t="shared" si="32"/>
        <v>46104</v>
      </c>
      <c r="C285" s="34">
        <f t="shared" si="32"/>
        <v>46113</v>
      </c>
      <c r="D285" s="33">
        <v>3321</v>
      </c>
      <c r="E285" s="33">
        <v>337</v>
      </c>
      <c r="F285" s="33">
        <v>4</v>
      </c>
      <c r="G285" s="33">
        <v>1</v>
      </c>
      <c r="H285" s="33">
        <v>81421</v>
      </c>
      <c r="I285" s="33" t="s">
        <v>39</v>
      </c>
      <c r="J285" s="33">
        <v>20597740</v>
      </c>
      <c r="K285" s="33" t="s">
        <v>1130</v>
      </c>
      <c r="L285" s="39" t="s">
        <v>1117</v>
      </c>
      <c r="M285" s="35">
        <v>179900</v>
      </c>
      <c r="N285" s="71">
        <f t="shared" si="17"/>
        <v>0.75</v>
      </c>
      <c r="O285" s="72">
        <f t="shared" si="13"/>
        <v>44975</v>
      </c>
      <c r="P285" s="35" t="str">
        <f t="shared" si="18"/>
        <v>PERCENTAGE</v>
      </c>
    </row>
    <row r="286" spans="1:16" x14ac:dyDescent="0.35">
      <c r="A286" s="33" t="str">
        <f t="shared" ref="A286:C286" si="33">A285</f>
        <v>2024 JAN-SEP DISC 75%</v>
      </c>
      <c r="B286" s="34">
        <f t="shared" si="33"/>
        <v>46104</v>
      </c>
      <c r="C286" s="34">
        <f t="shared" si="33"/>
        <v>46113</v>
      </c>
      <c r="D286" s="33">
        <v>3321</v>
      </c>
      <c r="E286" s="33">
        <v>337</v>
      </c>
      <c r="F286" s="33">
        <v>4</v>
      </c>
      <c r="G286" s="33">
        <v>1</v>
      </c>
      <c r="H286" s="33">
        <v>81676</v>
      </c>
      <c r="I286" s="33" t="s">
        <v>39</v>
      </c>
      <c r="J286" s="33">
        <v>22754021</v>
      </c>
      <c r="K286" s="33" t="s">
        <v>1131</v>
      </c>
      <c r="L286" s="39" t="s">
        <v>1118</v>
      </c>
      <c r="M286" s="35">
        <v>129900</v>
      </c>
      <c r="N286" s="71">
        <f t="shared" si="17"/>
        <v>0.75</v>
      </c>
      <c r="O286" s="72">
        <f t="shared" si="13"/>
        <v>32475</v>
      </c>
      <c r="P286" s="35" t="str">
        <f t="shared" si="18"/>
        <v>PERCENTAGE</v>
      </c>
    </row>
    <row r="287" spans="1:16" x14ac:dyDescent="0.35">
      <c r="A287" s="33" t="str">
        <f t="shared" ref="A287:C287" si="34">A286</f>
        <v>2024 JAN-SEP DISC 75%</v>
      </c>
      <c r="B287" s="34">
        <f t="shared" si="34"/>
        <v>46104</v>
      </c>
      <c r="C287" s="34">
        <f t="shared" si="34"/>
        <v>46113</v>
      </c>
      <c r="D287" s="33">
        <v>3321</v>
      </c>
      <c r="E287" s="33">
        <v>337</v>
      </c>
      <c r="F287" s="33">
        <v>4</v>
      </c>
      <c r="G287" s="33">
        <v>1</v>
      </c>
      <c r="H287" s="33">
        <v>81676</v>
      </c>
      <c r="I287" s="33" t="s">
        <v>39</v>
      </c>
      <c r="J287" s="33">
        <v>22754030</v>
      </c>
      <c r="K287" s="33" t="s">
        <v>1131</v>
      </c>
      <c r="L287" s="39" t="s">
        <v>1119</v>
      </c>
      <c r="M287" s="35">
        <v>129900</v>
      </c>
      <c r="N287" s="71">
        <f t="shared" si="17"/>
        <v>0.75</v>
      </c>
      <c r="O287" s="72">
        <f t="shared" si="13"/>
        <v>32475</v>
      </c>
      <c r="P287" s="35" t="str">
        <f t="shared" si="18"/>
        <v>PERCENTAGE</v>
      </c>
    </row>
    <row r="288" spans="1:16" x14ac:dyDescent="0.35">
      <c r="A288" s="33" t="str">
        <f t="shared" ref="A288:C288" si="35">A287</f>
        <v>2024 JAN-SEP DISC 75%</v>
      </c>
      <c r="B288" s="34">
        <f t="shared" si="35"/>
        <v>46104</v>
      </c>
      <c r="C288" s="34">
        <f t="shared" si="35"/>
        <v>46113</v>
      </c>
      <c r="D288" s="33">
        <v>3321</v>
      </c>
      <c r="E288" s="33">
        <v>337</v>
      </c>
      <c r="F288" s="33">
        <v>4</v>
      </c>
      <c r="G288" s="33">
        <v>1</v>
      </c>
      <c r="H288" s="33">
        <v>81676</v>
      </c>
      <c r="I288" s="33" t="s">
        <v>39</v>
      </c>
      <c r="J288" s="33">
        <v>22754049</v>
      </c>
      <c r="K288" s="33" t="s">
        <v>1131</v>
      </c>
      <c r="L288" s="39" t="s">
        <v>1120</v>
      </c>
      <c r="M288" s="35">
        <v>129900</v>
      </c>
      <c r="N288" s="71">
        <f t="shared" si="17"/>
        <v>0.75</v>
      </c>
      <c r="O288" s="72">
        <f t="shared" si="13"/>
        <v>32475</v>
      </c>
      <c r="P288" s="35" t="str">
        <f t="shared" si="18"/>
        <v>PERCENTAGE</v>
      </c>
    </row>
    <row r="289" spans="1:16" x14ac:dyDescent="0.35">
      <c r="A289" s="33" t="str">
        <f t="shared" ref="A289:C289" si="36">A288</f>
        <v>2024 JAN-SEP DISC 75%</v>
      </c>
      <c r="B289" s="34">
        <f t="shared" si="36"/>
        <v>46104</v>
      </c>
      <c r="C289" s="34">
        <f t="shared" si="36"/>
        <v>46113</v>
      </c>
      <c r="D289" s="33">
        <v>3321</v>
      </c>
      <c r="E289" s="33">
        <v>337</v>
      </c>
      <c r="F289" s="33">
        <v>4</v>
      </c>
      <c r="G289" s="33">
        <v>1</v>
      </c>
      <c r="H289" s="33">
        <v>81676</v>
      </c>
      <c r="I289" s="33" t="s">
        <v>39</v>
      </c>
      <c r="J289" s="33">
        <v>22754058</v>
      </c>
      <c r="K289" s="33" t="s">
        <v>1131</v>
      </c>
      <c r="L289" s="39" t="s">
        <v>1121</v>
      </c>
      <c r="M289" s="35">
        <v>129900</v>
      </c>
      <c r="N289" s="71">
        <f t="shared" si="17"/>
        <v>0.75</v>
      </c>
      <c r="O289" s="72">
        <f t="shared" si="13"/>
        <v>32475</v>
      </c>
      <c r="P289" s="35" t="str">
        <f t="shared" si="18"/>
        <v>PERCENTAGE</v>
      </c>
    </row>
    <row r="290" spans="1:16" x14ac:dyDescent="0.35">
      <c r="A290" s="33" t="str">
        <f t="shared" ref="A290:C290" si="37">A289</f>
        <v>2024 JAN-SEP DISC 75%</v>
      </c>
      <c r="B290" s="34">
        <f t="shared" si="37"/>
        <v>46104</v>
      </c>
      <c r="C290" s="34">
        <f t="shared" si="37"/>
        <v>46113</v>
      </c>
      <c r="D290" s="33">
        <v>3321</v>
      </c>
      <c r="E290" s="33">
        <v>337</v>
      </c>
      <c r="F290" s="33">
        <v>4</v>
      </c>
      <c r="G290" s="33">
        <v>1</v>
      </c>
      <c r="H290" s="33">
        <v>81676</v>
      </c>
      <c r="I290" s="33" t="s">
        <v>39</v>
      </c>
      <c r="J290" s="33">
        <v>22754067</v>
      </c>
      <c r="K290" s="33" t="s">
        <v>1132</v>
      </c>
      <c r="L290" s="39" t="s">
        <v>1122</v>
      </c>
      <c r="M290" s="35">
        <v>129900</v>
      </c>
      <c r="N290" s="71">
        <f t="shared" si="17"/>
        <v>0.75</v>
      </c>
      <c r="O290" s="72">
        <f t="shared" si="13"/>
        <v>32475</v>
      </c>
      <c r="P290" s="35" t="str">
        <f t="shared" si="18"/>
        <v>PERCENTAGE</v>
      </c>
    </row>
    <row r="291" spans="1:16" x14ac:dyDescent="0.35">
      <c r="A291" s="33" t="str">
        <f t="shared" ref="A291:C291" si="38">A290</f>
        <v>2024 JAN-SEP DISC 75%</v>
      </c>
      <c r="B291" s="34">
        <f t="shared" si="38"/>
        <v>46104</v>
      </c>
      <c r="C291" s="34">
        <f t="shared" si="38"/>
        <v>46113</v>
      </c>
      <c r="D291" s="33">
        <v>3321</v>
      </c>
      <c r="E291" s="33">
        <v>337</v>
      </c>
      <c r="F291" s="33">
        <v>4</v>
      </c>
      <c r="G291" s="33">
        <v>1</v>
      </c>
      <c r="H291" s="33">
        <v>81676</v>
      </c>
      <c r="I291" s="33" t="s">
        <v>39</v>
      </c>
      <c r="J291" s="33">
        <v>22754076</v>
      </c>
      <c r="K291" s="33" t="s">
        <v>1132</v>
      </c>
      <c r="L291" s="39" t="s">
        <v>1123</v>
      </c>
      <c r="M291" s="35">
        <v>129900</v>
      </c>
      <c r="N291" s="71">
        <f t="shared" si="17"/>
        <v>0.75</v>
      </c>
      <c r="O291" s="72">
        <f t="shared" si="13"/>
        <v>32475</v>
      </c>
      <c r="P291" s="35" t="str">
        <f t="shared" si="18"/>
        <v>PERCENTAGE</v>
      </c>
    </row>
    <row r="292" spans="1:16" x14ac:dyDescent="0.35">
      <c r="A292" s="33" t="str">
        <f t="shared" ref="A292:C292" si="39">A291</f>
        <v>2024 JAN-SEP DISC 75%</v>
      </c>
      <c r="B292" s="34">
        <f t="shared" si="39"/>
        <v>46104</v>
      </c>
      <c r="C292" s="34">
        <f t="shared" si="39"/>
        <v>46113</v>
      </c>
      <c r="D292" s="33">
        <v>3321</v>
      </c>
      <c r="E292" s="33">
        <v>337</v>
      </c>
      <c r="F292" s="33">
        <v>4</v>
      </c>
      <c r="G292" s="33">
        <v>1</v>
      </c>
      <c r="H292" s="33">
        <v>81676</v>
      </c>
      <c r="I292" s="33" t="s">
        <v>39</v>
      </c>
      <c r="J292" s="33">
        <v>22754405</v>
      </c>
      <c r="K292" s="33" t="s">
        <v>1132</v>
      </c>
      <c r="L292" s="39" t="s">
        <v>1124</v>
      </c>
      <c r="M292" s="35">
        <v>129900</v>
      </c>
      <c r="N292" s="71">
        <f t="shared" si="17"/>
        <v>0.75</v>
      </c>
      <c r="O292" s="72">
        <f t="shared" si="13"/>
        <v>32475</v>
      </c>
      <c r="P292" s="35" t="str">
        <f t="shared" si="18"/>
        <v>PERCENTAGE</v>
      </c>
    </row>
    <row r="293" spans="1:16" x14ac:dyDescent="0.35">
      <c r="A293" s="33" t="str">
        <f t="shared" ref="A293:C293" si="40">A292</f>
        <v>2024 JAN-SEP DISC 75%</v>
      </c>
      <c r="B293" s="34">
        <f t="shared" si="40"/>
        <v>46104</v>
      </c>
      <c r="C293" s="34">
        <f t="shared" si="40"/>
        <v>46113</v>
      </c>
      <c r="D293" s="33">
        <v>3321</v>
      </c>
      <c r="E293" s="33">
        <v>337</v>
      </c>
      <c r="F293" s="33">
        <v>4</v>
      </c>
      <c r="G293" s="33">
        <v>1</v>
      </c>
      <c r="H293" s="33">
        <v>81676</v>
      </c>
      <c r="I293" s="33" t="s">
        <v>39</v>
      </c>
      <c r="J293" s="33">
        <v>22754414</v>
      </c>
      <c r="K293" s="33" t="s">
        <v>1132</v>
      </c>
      <c r="L293" s="39" t="s">
        <v>1125</v>
      </c>
      <c r="M293" s="35">
        <v>129900</v>
      </c>
      <c r="N293" s="71">
        <f t="shared" si="17"/>
        <v>0.75</v>
      </c>
      <c r="O293" s="72">
        <f t="shared" si="13"/>
        <v>32475</v>
      </c>
      <c r="P293" s="35" t="str">
        <f t="shared" si="18"/>
        <v>PERCENTAGE</v>
      </c>
    </row>
    <row r="294" spans="1:16" x14ac:dyDescent="0.35">
      <c r="A294" s="33" t="str">
        <f t="shared" ref="A294:C294" si="41">A293</f>
        <v>2024 JAN-SEP DISC 75%</v>
      </c>
      <c r="B294" s="34">
        <f t="shared" si="41"/>
        <v>46104</v>
      </c>
      <c r="C294" s="34">
        <f t="shared" si="41"/>
        <v>46113</v>
      </c>
      <c r="D294" s="33">
        <v>3321</v>
      </c>
      <c r="E294" s="33">
        <v>337</v>
      </c>
      <c r="F294" s="33">
        <v>4</v>
      </c>
      <c r="G294" s="33">
        <v>5</v>
      </c>
      <c r="H294" s="33">
        <v>81421</v>
      </c>
      <c r="I294" s="33" t="s">
        <v>39</v>
      </c>
      <c r="J294" s="33">
        <v>20597571</v>
      </c>
      <c r="K294" s="33" t="s">
        <v>1133</v>
      </c>
      <c r="L294" s="39" t="s">
        <v>1126</v>
      </c>
      <c r="M294" s="35">
        <v>259900</v>
      </c>
      <c r="N294" s="71">
        <f t="shared" si="17"/>
        <v>0.75</v>
      </c>
      <c r="O294" s="72">
        <f t="shared" si="13"/>
        <v>64975</v>
      </c>
      <c r="P294" s="35" t="str">
        <f t="shared" si="18"/>
        <v>PERCENTAGE</v>
      </c>
    </row>
    <row r="295" spans="1:16" x14ac:dyDescent="0.35">
      <c r="A295" s="33" t="str">
        <f t="shared" ref="A295:C295" si="42">A294</f>
        <v>2024 JAN-SEP DISC 75%</v>
      </c>
      <c r="B295" s="34">
        <f t="shared" si="42"/>
        <v>46104</v>
      </c>
      <c r="C295" s="34">
        <f t="shared" si="42"/>
        <v>46113</v>
      </c>
      <c r="D295" s="33">
        <v>3321</v>
      </c>
      <c r="E295" s="33">
        <v>337</v>
      </c>
      <c r="F295" s="33">
        <v>4</v>
      </c>
      <c r="G295" s="33">
        <v>5</v>
      </c>
      <c r="H295" s="33">
        <v>81421</v>
      </c>
      <c r="I295" s="33" t="s">
        <v>39</v>
      </c>
      <c r="J295" s="33">
        <v>20597580</v>
      </c>
      <c r="K295" s="33" t="s">
        <v>1133</v>
      </c>
      <c r="L295" s="39" t="s">
        <v>1127</v>
      </c>
      <c r="M295" s="35">
        <v>259900</v>
      </c>
      <c r="N295" s="71">
        <f t="shared" si="17"/>
        <v>0.75</v>
      </c>
      <c r="O295" s="72">
        <f t="shared" si="13"/>
        <v>64975</v>
      </c>
      <c r="P295" s="35" t="str">
        <f t="shared" si="18"/>
        <v>PERCENTAGE</v>
      </c>
    </row>
    <row r="296" spans="1:16" x14ac:dyDescent="0.35">
      <c r="A296" s="33" t="str">
        <f t="shared" ref="A296:C296" si="43">A295</f>
        <v>2024 JAN-SEP DISC 75%</v>
      </c>
      <c r="B296" s="34">
        <f t="shared" si="43"/>
        <v>46104</v>
      </c>
      <c r="C296" s="34">
        <f t="shared" si="43"/>
        <v>46113</v>
      </c>
      <c r="D296" s="33">
        <v>3321</v>
      </c>
      <c r="E296" s="33">
        <v>337</v>
      </c>
      <c r="F296" s="33">
        <v>4</v>
      </c>
      <c r="G296" s="33">
        <v>5</v>
      </c>
      <c r="H296" s="33">
        <v>81421</v>
      </c>
      <c r="I296" s="33" t="s">
        <v>39</v>
      </c>
      <c r="J296" s="33">
        <v>20597599</v>
      </c>
      <c r="K296" s="33" t="s">
        <v>1133</v>
      </c>
      <c r="L296" s="39" t="s">
        <v>1128</v>
      </c>
      <c r="M296" s="35">
        <v>259900</v>
      </c>
      <c r="N296" s="71">
        <f t="shared" si="17"/>
        <v>0.75</v>
      </c>
      <c r="O296" s="72">
        <f t="shared" si="13"/>
        <v>64975</v>
      </c>
      <c r="P296" s="35" t="str">
        <f t="shared" si="18"/>
        <v>PERCENTAGE</v>
      </c>
    </row>
    <row r="297" spans="1:16" x14ac:dyDescent="0.35">
      <c r="A297" s="33" t="str">
        <f t="shared" ref="A297:C297" si="44">A296</f>
        <v>2024 JAN-SEP DISC 75%</v>
      </c>
      <c r="B297" s="34">
        <f t="shared" si="44"/>
        <v>46104</v>
      </c>
      <c r="C297" s="34">
        <f t="shared" si="44"/>
        <v>46113</v>
      </c>
      <c r="D297" s="33">
        <v>3321</v>
      </c>
      <c r="E297" s="33">
        <v>337</v>
      </c>
      <c r="F297" s="33">
        <v>4</v>
      </c>
      <c r="G297" s="33">
        <v>5</v>
      </c>
      <c r="H297" s="33">
        <v>81421</v>
      </c>
      <c r="I297" s="33" t="s">
        <v>39</v>
      </c>
      <c r="J297" s="33">
        <v>20597606</v>
      </c>
      <c r="K297" s="33" t="s">
        <v>1133</v>
      </c>
      <c r="L297" s="39" t="s">
        <v>1129</v>
      </c>
      <c r="M297" s="35">
        <v>259900</v>
      </c>
      <c r="N297" s="71">
        <f t="shared" si="17"/>
        <v>0.75</v>
      </c>
      <c r="O297" s="72">
        <f t="shared" si="13"/>
        <v>64975</v>
      </c>
      <c r="P297" s="35" t="str">
        <f t="shared" si="18"/>
        <v>PERCENTAGE</v>
      </c>
    </row>
    <row r="298" spans="1:16" x14ac:dyDescent="0.35">
      <c r="A298" s="33" t="str">
        <f t="shared" ref="A298:C298" si="45">A297</f>
        <v>2024 JAN-SEP DISC 75%</v>
      </c>
      <c r="B298" s="34">
        <f t="shared" si="45"/>
        <v>46104</v>
      </c>
      <c r="C298" s="34">
        <f t="shared" si="45"/>
        <v>46113</v>
      </c>
      <c r="D298" s="33">
        <v>3321</v>
      </c>
      <c r="E298" s="33">
        <v>337</v>
      </c>
      <c r="F298" s="33">
        <v>4</v>
      </c>
      <c r="G298" s="33">
        <v>5</v>
      </c>
      <c r="H298" s="33">
        <v>81005</v>
      </c>
      <c r="I298" s="33" t="s">
        <v>39</v>
      </c>
      <c r="J298" s="33">
        <v>22754423</v>
      </c>
      <c r="K298" s="33" t="s">
        <v>1153</v>
      </c>
      <c r="L298" s="39" t="s">
        <v>1154</v>
      </c>
      <c r="M298" s="35">
        <v>279900</v>
      </c>
      <c r="N298" s="71">
        <f t="shared" si="17"/>
        <v>0.75</v>
      </c>
      <c r="O298" s="72">
        <f t="shared" si="13"/>
        <v>69975</v>
      </c>
      <c r="P298" s="35" t="str">
        <f t="shared" si="18"/>
        <v>PERCENTAGE</v>
      </c>
    </row>
    <row r="299" spans="1:16" x14ac:dyDescent="0.35">
      <c r="A299" s="33" t="str">
        <f t="shared" ref="A299:C299" si="46">A298</f>
        <v>2024 JAN-SEP DISC 75%</v>
      </c>
      <c r="B299" s="34">
        <f t="shared" si="46"/>
        <v>46104</v>
      </c>
      <c r="C299" s="34">
        <f t="shared" si="46"/>
        <v>46113</v>
      </c>
      <c r="D299" s="33">
        <v>3321</v>
      </c>
      <c r="E299" s="33">
        <v>337</v>
      </c>
      <c r="F299" s="33">
        <v>4</v>
      </c>
      <c r="G299" s="33">
        <v>5</v>
      </c>
      <c r="H299" s="33">
        <v>81005</v>
      </c>
      <c r="I299" s="33" t="s">
        <v>39</v>
      </c>
      <c r="J299" s="33">
        <v>22754432</v>
      </c>
      <c r="K299" s="33" t="s">
        <v>1153</v>
      </c>
      <c r="L299" s="39" t="s">
        <v>1155</v>
      </c>
      <c r="M299" s="35">
        <v>279900</v>
      </c>
      <c r="N299" s="71">
        <f t="shared" si="17"/>
        <v>0.75</v>
      </c>
      <c r="O299" s="72">
        <f t="shared" si="13"/>
        <v>69975</v>
      </c>
      <c r="P299" s="35" t="str">
        <f t="shared" si="18"/>
        <v>PERCENTAGE</v>
      </c>
    </row>
    <row r="300" spans="1:16" x14ac:dyDescent="0.35">
      <c r="A300" s="33" t="str">
        <f t="shared" ref="A300:C300" si="47">A299</f>
        <v>2024 JAN-SEP DISC 75%</v>
      </c>
      <c r="B300" s="34">
        <f t="shared" si="47"/>
        <v>46104</v>
      </c>
      <c r="C300" s="34">
        <f t="shared" si="47"/>
        <v>46113</v>
      </c>
      <c r="D300" s="33">
        <v>3321</v>
      </c>
      <c r="E300" s="33">
        <v>337</v>
      </c>
      <c r="F300" s="33">
        <v>4</v>
      </c>
      <c r="G300" s="33">
        <v>5</v>
      </c>
      <c r="H300" s="33">
        <v>81005</v>
      </c>
      <c r="I300" s="33" t="s">
        <v>39</v>
      </c>
      <c r="J300" s="33">
        <v>22754441</v>
      </c>
      <c r="K300" s="33" t="s">
        <v>1153</v>
      </c>
      <c r="L300" s="39" t="s">
        <v>1156</v>
      </c>
      <c r="M300" s="35">
        <v>279900</v>
      </c>
      <c r="N300" s="71">
        <f t="shared" si="17"/>
        <v>0.75</v>
      </c>
      <c r="O300" s="72">
        <f t="shared" si="13"/>
        <v>69975</v>
      </c>
      <c r="P300" s="35" t="str">
        <f t="shared" si="18"/>
        <v>PERCENTAGE</v>
      </c>
    </row>
    <row r="301" spans="1:16" x14ac:dyDescent="0.35">
      <c r="A301" s="33" t="str">
        <f t="shared" ref="A301:C301" si="48">A300</f>
        <v>2024 JAN-SEP DISC 75%</v>
      </c>
      <c r="B301" s="34">
        <f t="shared" si="48"/>
        <v>46104</v>
      </c>
      <c r="C301" s="34">
        <f t="shared" si="48"/>
        <v>46113</v>
      </c>
      <c r="D301" s="33">
        <v>3321</v>
      </c>
      <c r="E301" s="33">
        <v>337</v>
      </c>
      <c r="F301" s="33">
        <v>4</v>
      </c>
      <c r="G301" s="33">
        <v>5</v>
      </c>
      <c r="H301" s="33">
        <v>81005</v>
      </c>
      <c r="I301" s="33" t="s">
        <v>39</v>
      </c>
      <c r="J301" s="33">
        <v>22754450</v>
      </c>
      <c r="K301" s="33" t="s">
        <v>1153</v>
      </c>
      <c r="L301" s="39" t="s">
        <v>1157</v>
      </c>
      <c r="M301" s="35">
        <v>279900</v>
      </c>
      <c r="N301" s="71">
        <f t="shared" si="17"/>
        <v>0.75</v>
      </c>
      <c r="O301" s="72">
        <f t="shared" si="13"/>
        <v>69975</v>
      </c>
      <c r="P301" s="35" t="str">
        <f t="shared" si="18"/>
        <v>PERCENTAGE</v>
      </c>
    </row>
    <row r="302" spans="1:16" x14ac:dyDescent="0.35">
      <c r="A302" s="33" t="str">
        <f t="shared" ref="A302:C302" si="49">A301</f>
        <v>2024 JAN-SEP DISC 75%</v>
      </c>
      <c r="B302" s="34">
        <f t="shared" si="49"/>
        <v>46104</v>
      </c>
      <c r="C302" s="34">
        <f t="shared" si="49"/>
        <v>46113</v>
      </c>
      <c r="D302" s="33">
        <v>3321</v>
      </c>
      <c r="E302" s="33">
        <v>337</v>
      </c>
      <c r="F302" s="33">
        <v>4</v>
      </c>
      <c r="G302" s="33">
        <v>5</v>
      </c>
      <c r="H302" s="33">
        <v>81005</v>
      </c>
      <c r="I302" s="33" t="s">
        <v>39</v>
      </c>
      <c r="J302" s="33">
        <v>22754469</v>
      </c>
      <c r="K302" s="33" t="s">
        <v>1153</v>
      </c>
      <c r="L302" s="39" t="s">
        <v>1158</v>
      </c>
      <c r="M302" s="35">
        <v>279900</v>
      </c>
      <c r="N302" s="71">
        <f t="shared" si="17"/>
        <v>0.75</v>
      </c>
      <c r="O302" s="72">
        <f t="shared" si="13"/>
        <v>69975</v>
      </c>
      <c r="P302" s="35" t="str">
        <f t="shared" si="18"/>
        <v>PERCENTAGE</v>
      </c>
    </row>
    <row r="303" spans="1:16" x14ac:dyDescent="0.35">
      <c r="A303" s="33" t="str">
        <f t="shared" ref="A303:C303" si="50">A302</f>
        <v>2024 JAN-SEP DISC 75%</v>
      </c>
      <c r="B303" s="34">
        <f t="shared" si="50"/>
        <v>46104</v>
      </c>
      <c r="C303" s="34">
        <f t="shared" si="50"/>
        <v>46113</v>
      </c>
      <c r="D303" s="33">
        <v>3321</v>
      </c>
      <c r="E303" s="33">
        <v>337</v>
      </c>
      <c r="F303" s="33">
        <v>4</v>
      </c>
      <c r="G303" s="33">
        <v>1</v>
      </c>
      <c r="H303" s="33">
        <v>81048</v>
      </c>
      <c r="I303" s="33" t="s">
        <v>39</v>
      </c>
      <c r="J303" s="33">
        <v>24391795</v>
      </c>
      <c r="K303" s="33" t="s">
        <v>1184</v>
      </c>
      <c r="L303" s="39" t="s">
        <v>1185</v>
      </c>
      <c r="M303" s="35">
        <v>159900</v>
      </c>
      <c r="N303" s="71">
        <f t="shared" si="17"/>
        <v>0.75</v>
      </c>
      <c r="O303" s="72">
        <f t="shared" si="13"/>
        <v>39975</v>
      </c>
      <c r="P303" s="35" t="str">
        <f t="shared" si="18"/>
        <v>PERCENTAGE</v>
      </c>
    </row>
    <row r="304" spans="1:16" x14ac:dyDescent="0.35">
      <c r="A304" s="33" t="str">
        <f t="shared" ref="A304:C304" si="51">A303</f>
        <v>2024 JAN-SEP DISC 75%</v>
      </c>
      <c r="B304" s="34">
        <f t="shared" si="51"/>
        <v>46104</v>
      </c>
      <c r="C304" s="34">
        <f t="shared" si="51"/>
        <v>46113</v>
      </c>
      <c r="D304" s="33">
        <v>3321</v>
      </c>
      <c r="E304" s="33">
        <v>337</v>
      </c>
      <c r="F304" s="33">
        <v>4</v>
      </c>
      <c r="G304" s="33">
        <v>1</v>
      </c>
      <c r="H304" s="33">
        <v>81048</v>
      </c>
      <c r="I304" s="33" t="s">
        <v>39</v>
      </c>
      <c r="J304" s="33">
        <v>24391802</v>
      </c>
      <c r="K304" s="33" t="s">
        <v>1184</v>
      </c>
      <c r="L304" s="39" t="s">
        <v>1186</v>
      </c>
      <c r="M304" s="35">
        <v>159900</v>
      </c>
      <c r="N304" s="71">
        <f t="shared" si="17"/>
        <v>0.75</v>
      </c>
      <c r="O304" s="72">
        <f t="shared" si="13"/>
        <v>39975</v>
      </c>
      <c r="P304" s="35" t="str">
        <f t="shared" si="18"/>
        <v>PERCENTAGE</v>
      </c>
    </row>
    <row r="305" spans="1:16" x14ac:dyDescent="0.35">
      <c r="A305" s="33" t="str">
        <f t="shared" ref="A305:C305" si="52">A304</f>
        <v>2024 JAN-SEP DISC 75%</v>
      </c>
      <c r="B305" s="34">
        <f t="shared" si="52"/>
        <v>46104</v>
      </c>
      <c r="C305" s="34">
        <f t="shared" si="52"/>
        <v>46113</v>
      </c>
      <c r="D305" s="33">
        <v>3321</v>
      </c>
      <c r="E305" s="33">
        <v>337</v>
      </c>
      <c r="F305" s="33">
        <v>4</v>
      </c>
      <c r="G305" s="33">
        <v>1</v>
      </c>
      <c r="H305" s="33">
        <v>81048</v>
      </c>
      <c r="I305" s="33" t="s">
        <v>39</v>
      </c>
      <c r="J305" s="33">
        <v>24391811</v>
      </c>
      <c r="K305" s="33" t="s">
        <v>1184</v>
      </c>
      <c r="L305" s="39" t="s">
        <v>1187</v>
      </c>
      <c r="M305" s="35">
        <v>159900</v>
      </c>
      <c r="N305" s="71">
        <f t="shared" si="17"/>
        <v>0.75</v>
      </c>
      <c r="O305" s="72">
        <f t="shared" si="13"/>
        <v>39975</v>
      </c>
      <c r="P305" s="35" t="str">
        <f t="shared" si="18"/>
        <v>PERCENTAGE</v>
      </c>
    </row>
    <row r="306" spans="1:16" x14ac:dyDescent="0.35">
      <c r="A306" s="33" t="str">
        <f t="shared" ref="A306:C306" si="53">A305</f>
        <v>2024 JAN-SEP DISC 75%</v>
      </c>
      <c r="B306" s="34">
        <f t="shared" si="53"/>
        <v>46104</v>
      </c>
      <c r="C306" s="34">
        <f t="shared" si="53"/>
        <v>46113</v>
      </c>
      <c r="D306" s="33">
        <v>3321</v>
      </c>
      <c r="E306" s="33">
        <v>337</v>
      </c>
      <c r="F306" s="33">
        <v>4</v>
      </c>
      <c r="G306" s="33">
        <v>1</v>
      </c>
      <c r="H306" s="33">
        <v>81048</v>
      </c>
      <c r="I306" s="33" t="s">
        <v>39</v>
      </c>
      <c r="J306" s="33">
        <v>24391820</v>
      </c>
      <c r="K306" s="33" t="s">
        <v>1184</v>
      </c>
      <c r="L306" s="39" t="s">
        <v>1188</v>
      </c>
      <c r="M306" s="35">
        <v>159900</v>
      </c>
      <c r="N306" s="71">
        <f t="shared" si="17"/>
        <v>0.75</v>
      </c>
      <c r="O306" s="72">
        <f t="shared" si="13"/>
        <v>39975</v>
      </c>
      <c r="P306" s="35" t="str">
        <f t="shared" si="18"/>
        <v>PERCENTAGE</v>
      </c>
    </row>
    <row r="307" spans="1:16" x14ac:dyDescent="0.35">
      <c r="A307" s="33" t="str">
        <f t="shared" ref="A307:C307" si="54">A306</f>
        <v>2024 JAN-SEP DISC 75%</v>
      </c>
      <c r="B307" s="34">
        <f t="shared" si="54"/>
        <v>46104</v>
      </c>
      <c r="C307" s="34">
        <f t="shared" si="54"/>
        <v>46113</v>
      </c>
      <c r="D307" s="33">
        <v>3321</v>
      </c>
      <c r="E307" s="33">
        <v>337</v>
      </c>
      <c r="F307" s="33">
        <v>4</v>
      </c>
      <c r="G307" s="33">
        <v>1</v>
      </c>
      <c r="H307" s="33">
        <v>81048</v>
      </c>
      <c r="I307" s="33" t="s">
        <v>39</v>
      </c>
      <c r="J307" s="33">
        <v>24390232</v>
      </c>
      <c r="K307" s="33" t="s">
        <v>1189</v>
      </c>
      <c r="L307" s="39" t="s">
        <v>1190</v>
      </c>
      <c r="M307" s="35">
        <v>149900</v>
      </c>
      <c r="N307" s="71">
        <f t="shared" si="17"/>
        <v>0.75</v>
      </c>
      <c r="O307" s="72">
        <f t="shared" si="13"/>
        <v>37475</v>
      </c>
      <c r="P307" s="35" t="str">
        <f t="shared" si="18"/>
        <v>PERCENTAGE</v>
      </c>
    </row>
    <row r="308" spans="1:16" x14ac:dyDescent="0.35">
      <c r="A308" s="33" t="str">
        <f t="shared" ref="A308:C308" si="55">A307</f>
        <v>2024 JAN-SEP DISC 75%</v>
      </c>
      <c r="B308" s="34">
        <f t="shared" si="55"/>
        <v>46104</v>
      </c>
      <c r="C308" s="34">
        <f t="shared" si="55"/>
        <v>46113</v>
      </c>
      <c r="D308" s="33">
        <v>3321</v>
      </c>
      <c r="E308" s="33">
        <v>337</v>
      </c>
      <c r="F308" s="33">
        <v>4</v>
      </c>
      <c r="G308" s="33">
        <v>1</v>
      </c>
      <c r="H308" s="33">
        <v>81048</v>
      </c>
      <c r="I308" s="33" t="s">
        <v>39</v>
      </c>
      <c r="J308" s="33">
        <v>24390241</v>
      </c>
      <c r="K308" s="33" t="s">
        <v>1189</v>
      </c>
      <c r="L308" s="39" t="s">
        <v>1191</v>
      </c>
      <c r="M308" s="35">
        <v>149900</v>
      </c>
      <c r="N308" s="71">
        <f t="shared" si="17"/>
        <v>0.75</v>
      </c>
      <c r="O308" s="72">
        <f t="shared" si="13"/>
        <v>37475</v>
      </c>
      <c r="P308" s="35" t="str">
        <f t="shared" si="18"/>
        <v>PERCENTAGE</v>
      </c>
    </row>
    <row r="309" spans="1:16" x14ac:dyDescent="0.35">
      <c r="A309" s="33" t="str">
        <f t="shared" ref="A309:C309" si="56">A308</f>
        <v>2024 JAN-SEP DISC 75%</v>
      </c>
      <c r="B309" s="34">
        <f t="shared" si="56"/>
        <v>46104</v>
      </c>
      <c r="C309" s="34">
        <f t="shared" si="56"/>
        <v>46113</v>
      </c>
      <c r="D309" s="33">
        <v>3321</v>
      </c>
      <c r="E309" s="33">
        <v>337</v>
      </c>
      <c r="F309" s="33">
        <v>4</v>
      </c>
      <c r="G309" s="33">
        <v>1</v>
      </c>
      <c r="H309" s="33">
        <v>81048</v>
      </c>
      <c r="I309" s="33" t="s">
        <v>39</v>
      </c>
      <c r="J309" s="33">
        <v>24390250</v>
      </c>
      <c r="K309" s="33" t="s">
        <v>1189</v>
      </c>
      <c r="L309" s="39" t="s">
        <v>1192</v>
      </c>
      <c r="M309" s="35">
        <v>149900</v>
      </c>
      <c r="N309" s="71">
        <f t="shared" si="17"/>
        <v>0.75</v>
      </c>
      <c r="O309" s="72">
        <f t="shared" si="13"/>
        <v>37475</v>
      </c>
      <c r="P309" s="35" t="str">
        <f t="shared" si="18"/>
        <v>PERCENTAGE</v>
      </c>
    </row>
    <row r="310" spans="1:16" x14ac:dyDescent="0.35">
      <c r="A310" s="33" t="str">
        <f t="shared" ref="A310:C310" si="57">A309</f>
        <v>2024 JAN-SEP DISC 75%</v>
      </c>
      <c r="B310" s="34">
        <f t="shared" si="57"/>
        <v>46104</v>
      </c>
      <c r="C310" s="34">
        <f t="shared" si="57"/>
        <v>46113</v>
      </c>
      <c r="D310" s="33">
        <v>3321</v>
      </c>
      <c r="E310" s="33">
        <v>337</v>
      </c>
      <c r="F310" s="33">
        <v>4</v>
      </c>
      <c r="G310" s="33">
        <v>1</v>
      </c>
      <c r="H310" s="33">
        <v>81048</v>
      </c>
      <c r="I310" s="33" t="s">
        <v>39</v>
      </c>
      <c r="J310" s="33">
        <v>24390269</v>
      </c>
      <c r="K310" s="33" t="s">
        <v>1189</v>
      </c>
      <c r="L310" s="39" t="s">
        <v>1193</v>
      </c>
      <c r="M310" s="35">
        <v>149900</v>
      </c>
      <c r="N310" s="71">
        <f t="shared" si="17"/>
        <v>0.75</v>
      </c>
      <c r="O310" s="72">
        <f t="shared" si="13"/>
        <v>37475</v>
      </c>
      <c r="P310" s="35" t="str">
        <f t="shared" si="18"/>
        <v>PERCENTAGE</v>
      </c>
    </row>
    <row r="311" spans="1:16" x14ac:dyDescent="0.35">
      <c r="A311" s="33" t="str">
        <f t="shared" ref="A311:C311" si="58">A310</f>
        <v>2024 JAN-SEP DISC 75%</v>
      </c>
      <c r="B311" s="34">
        <f t="shared" si="58"/>
        <v>46104</v>
      </c>
      <c r="C311" s="34">
        <f t="shared" si="58"/>
        <v>46113</v>
      </c>
      <c r="D311" s="33">
        <v>3321</v>
      </c>
      <c r="E311" s="33">
        <v>337</v>
      </c>
      <c r="F311" s="33">
        <v>4</v>
      </c>
      <c r="G311" s="33">
        <v>1</v>
      </c>
      <c r="H311" s="33">
        <v>81048</v>
      </c>
      <c r="I311" s="33" t="s">
        <v>39</v>
      </c>
      <c r="J311" s="33">
        <v>24391759</v>
      </c>
      <c r="K311" s="33" t="s">
        <v>1194</v>
      </c>
      <c r="L311" s="39" t="s">
        <v>1195</v>
      </c>
      <c r="M311" s="35">
        <v>159900</v>
      </c>
      <c r="N311" s="71">
        <f t="shared" si="17"/>
        <v>0.75</v>
      </c>
      <c r="O311" s="72">
        <f t="shared" si="13"/>
        <v>39975</v>
      </c>
      <c r="P311" s="35" t="str">
        <f t="shared" si="18"/>
        <v>PERCENTAGE</v>
      </c>
    </row>
    <row r="312" spans="1:16" x14ac:dyDescent="0.35">
      <c r="A312" s="33" t="str">
        <f t="shared" ref="A312:C312" si="59">A311</f>
        <v>2024 JAN-SEP DISC 75%</v>
      </c>
      <c r="B312" s="34">
        <f t="shared" si="59"/>
        <v>46104</v>
      </c>
      <c r="C312" s="34">
        <f t="shared" si="59"/>
        <v>46113</v>
      </c>
      <c r="D312" s="33">
        <v>3321</v>
      </c>
      <c r="E312" s="33">
        <v>337</v>
      </c>
      <c r="F312" s="33">
        <v>4</v>
      </c>
      <c r="G312" s="33">
        <v>1</v>
      </c>
      <c r="H312" s="33">
        <v>81048</v>
      </c>
      <c r="I312" s="33" t="s">
        <v>39</v>
      </c>
      <c r="J312" s="33">
        <v>24391768</v>
      </c>
      <c r="K312" s="33" t="s">
        <v>1194</v>
      </c>
      <c r="L312" s="39" t="s">
        <v>1196</v>
      </c>
      <c r="M312" s="35">
        <v>159900</v>
      </c>
      <c r="N312" s="71">
        <f t="shared" si="17"/>
        <v>0.75</v>
      </c>
      <c r="O312" s="72">
        <f t="shared" si="13"/>
        <v>39975</v>
      </c>
      <c r="P312" s="35" t="str">
        <f t="shared" si="18"/>
        <v>PERCENTAGE</v>
      </c>
    </row>
    <row r="313" spans="1:16" x14ac:dyDescent="0.35">
      <c r="A313" s="33" t="str">
        <f t="shared" ref="A313:C313" si="60">A312</f>
        <v>2024 JAN-SEP DISC 75%</v>
      </c>
      <c r="B313" s="34">
        <f t="shared" si="60"/>
        <v>46104</v>
      </c>
      <c r="C313" s="34">
        <f t="shared" si="60"/>
        <v>46113</v>
      </c>
      <c r="D313" s="33">
        <v>3321</v>
      </c>
      <c r="E313" s="33">
        <v>337</v>
      </c>
      <c r="F313" s="33">
        <v>4</v>
      </c>
      <c r="G313" s="33">
        <v>1</v>
      </c>
      <c r="H313" s="33">
        <v>81048</v>
      </c>
      <c r="I313" s="33" t="s">
        <v>39</v>
      </c>
      <c r="J313" s="33">
        <v>24391777</v>
      </c>
      <c r="K313" s="33" t="s">
        <v>1194</v>
      </c>
      <c r="L313" s="39" t="s">
        <v>1197</v>
      </c>
      <c r="M313" s="35">
        <v>159900</v>
      </c>
      <c r="N313" s="71">
        <f t="shared" si="17"/>
        <v>0.75</v>
      </c>
      <c r="O313" s="72">
        <f t="shared" si="13"/>
        <v>39975</v>
      </c>
      <c r="P313" s="35" t="str">
        <f t="shared" si="18"/>
        <v>PERCENTAGE</v>
      </c>
    </row>
    <row r="314" spans="1:16" x14ac:dyDescent="0.35">
      <c r="A314" s="33" t="str">
        <f t="shared" ref="A314:C314" si="61">A313</f>
        <v>2024 JAN-SEP DISC 75%</v>
      </c>
      <c r="B314" s="34">
        <f t="shared" si="61"/>
        <v>46104</v>
      </c>
      <c r="C314" s="34">
        <f t="shared" si="61"/>
        <v>46113</v>
      </c>
      <c r="D314" s="33">
        <v>3321</v>
      </c>
      <c r="E314" s="33">
        <v>337</v>
      </c>
      <c r="F314" s="33">
        <v>4</v>
      </c>
      <c r="G314" s="33">
        <v>1</v>
      </c>
      <c r="H314" s="33">
        <v>81048</v>
      </c>
      <c r="I314" s="33" t="s">
        <v>39</v>
      </c>
      <c r="J314" s="33">
        <v>24391786</v>
      </c>
      <c r="K314" s="33" t="s">
        <v>1194</v>
      </c>
      <c r="L314" s="39" t="s">
        <v>1198</v>
      </c>
      <c r="M314" s="35">
        <v>159900</v>
      </c>
      <c r="N314" s="71">
        <f t="shared" si="17"/>
        <v>0.75</v>
      </c>
      <c r="O314" s="72">
        <f t="shared" si="13"/>
        <v>39975</v>
      </c>
      <c r="P314" s="35" t="str">
        <f t="shared" si="18"/>
        <v>PERCENTAGE</v>
      </c>
    </row>
    <row r="315" spans="1:16" x14ac:dyDescent="0.35">
      <c r="A315" s="33" t="str">
        <f t="shared" ref="A315:C315" si="62">A314</f>
        <v>2024 JAN-SEP DISC 75%</v>
      </c>
      <c r="B315" s="34">
        <f t="shared" si="62"/>
        <v>46104</v>
      </c>
      <c r="C315" s="34">
        <f t="shared" si="62"/>
        <v>46113</v>
      </c>
      <c r="D315" s="33">
        <v>3321</v>
      </c>
      <c r="E315" s="33">
        <v>337</v>
      </c>
      <c r="F315" s="33">
        <v>4</v>
      </c>
      <c r="G315" s="33">
        <v>1</v>
      </c>
      <c r="H315" s="33">
        <v>81048</v>
      </c>
      <c r="I315" s="33" t="s">
        <v>39</v>
      </c>
      <c r="J315" s="33">
        <v>24391731</v>
      </c>
      <c r="K315" s="33" t="s">
        <v>1199</v>
      </c>
      <c r="L315" s="39" t="s">
        <v>1200</v>
      </c>
      <c r="M315" s="35">
        <v>159900</v>
      </c>
      <c r="N315" s="71">
        <f t="shared" si="17"/>
        <v>0.75</v>
      </c>
      <c r="O315" s="72">
        <f t="shared" si="13"/>
        <v>39975</v>
      </c>
      <c r="P315" s="35" t="str">
        <f t="shared" si="18"/>
        <v>PERCENTAGE</v>
      </c>
    </row>
    <row r="316" spans="1:16" x14ac:dyDescent="0.35">
      <c r="A316" s="33" t="str">
        <f t="shared" ref="A316:C316" si="63">A315</f>
        <v>2024 JAN-SEP DISC 75%</v>
      </c>
      <c r="B316" s="34">
        <f t="shared" si="63"/>
        <v>46104</v>
      </c>
      <c r="C316" s="34">
        <f t="shared" si="63"/>
        <v>46113</v>
      </c>
      <c r="D316" s="33">
        <v>3321</v>
      </c>
      <c r="E316" s="33">
        <v>337</v>
      </c>
      <c r="F316" s="33">
        <v>4</v>
      </c>
      <c r="G316" s="33">
        <v>1</v>
      </c>
      <c r="H316" s="33">
        <v>81048</v>
      </c>
      <c r="I316" s="33" t="s">
        <v>39</v>
      </c>
      <c r="J316" s="33">
        <v>24391713</v>
      </c>
      <c r="K316" s="33" t="s">
        <v>1199</v>
      </c>
      <c r="L316" s="39" t="s">
        <v>1201</v>
      </c>
      <c r="M316" s="35">
        <v>159900</v>
      </c>
      <c r="N316" s="71">
        <f t="shared" si="17"/>
        <v>0.75</v>
      </c>
      <c r="O316" s="72">
        <f t="shared" si="13"/>
        <v>39975</v>
      </c>
      <c r="P316" s="35" t="str">
        <f t="shared" si="18"/>
        <v>PERCENTAGE</v>
      </c>
    </row>
    <row r="317" spans="1:16" x14ac:dyDescent="0.35">
      <c r="A317" s="33" t="str">
        <f t="shared" ref="A317:C317" si="64">A316</f>
        <v>2024 JAN-SEP DISC 75%</v>
      </c>
      <c r="B317" s="34">
        <f t="shared" si="64"/>
        <v>46104</v>
      </c>
      <c r="C317" s="34">
        <f t="shared" si="64"/>
        <v>46113</v>
      </c>
      <c r="D317" s="33">
        <v>3321</v>
      </c>
      <c r="E317" s="33">
        <v>337</v>
      </c>
      <c r="F317" s="33">
        <v>4</v>
      </c>
      <c r="G317" s="33">
        <v>1</v>
      </c>
      <c r="H317" s="33">
        <v>81048</v>
      </c>
      <c r="I317" s="33" t="s">
        <v>39</v>
      </c>
      <c r="J317" s="33">
        <v>24391722</v>
      </c>
      <c r="K317" s="33" t="s">
        <v>1199</v>
      </c>
      <c r="L317" s="39" t="s">
        <v>3222</v>
      </c>
      <c r="M317" s="35">
        <v>159900</v>
      </c>
      <c r="N317" s="71">
        <f t="shared" si="17"/>
        <v>0.75</v>
      </c>
      <c r="O317" s="72">
        <f t="shared" si="13"/>
        <v>39975</v>
      </c>
      <c r="P317" s="35" t="str">
        <f t="shared" si="18"/>
        <v>PERCENTAGE</v>
      </c>
    </row>
    <row r="318" spans="1:16" x14ac:dyDescent="0.35">
      <c r="A318" s="33" t="str">
        <f t="shared" ref="A318:C318" si="65">A317</f>
        <v>2024 JAN-SEP DISC 75%</v>
      </c>
      <c r="B318" s="34">
        <f t="shared" si="65"/>
        <v>46104</v>
      </c>
      <c r="C318" s="34">
        <f t="shared" si="65"/>
        <v>46113</v>
      </c>
      <c r="D318" s="33">
        <v>3321</v>
      </c>
      <c r="E318" s="33">
        <v>337</v>
      </c>
      <c r="F318" s="33">
        <v>4</v>
      </c>
      <c r="G318" s="33">
        <v>1</v>
      </c>
      <c r="H318" s="33">
        <v>81048</v>
      </c>
      <c r="I318" s="33" t="s">
        <v>39</v>
      </c>
      <c r="J318" s="33">
        <v>24391740</v>
      </c>
      <c r="K318" s="33" t="s">
        <v>1199</v>
      </c>
      <c r="L318" s="39" t="s">
        <v>1202</v>
      </c>
      <c r="M318" s="35">
        <v>159900</v>
      </c>
      <c r="N318" s="71">
        <f t="shared" si="17"/>
        <v>0.75</v>
      </c>
      <c r="O318" s="72">
        <f t="shared" si="13"/>
        <v>39975</v>
      </c>
      <c r="P318" s="35" t="str">
        <f t="shared" si="18"/>
        <v>PERCENTAGE</v>
      </c>
    </row>
    <row r="319" spans="1:16" x14ac:dyDescent="0.35">
      <c r="A319" s="33" t="str">
        <f t="shared" ref="A319:C319" si="66">A318</f>
        <v>2024 JAN-SEP DISC 75%</v>
      </c>
      <c r="B319" s="34">
        <f t="shared" si="66"/>
        <v>46104</v>
      </c>
      <c r="C319" s="34">
        <f t="shared" si="66"/>
        <v>46113</v>
      </c>
      <c r="D319" s="33">
        <v>3321</v>
      </c>
      <c r="E319" s="33">
        <v>337</v>
      </c>
      <c r="F319" s="33">
        <v>4</v>
      </c>
      <c r="G319" s="33">
        <v>1</v>
      </c>
      <c r="H319" s="33">
        <v>81676</v>
      </c>
      <c r="I319" s="33" t="s">
        <v>39</v>
      </c>
      <c r="J319" s="33">
        <v>24391839</v>
      </c>
      <c r="K319" s="33" t="s">
        <v>1203</v>
      </c>
      <c r="L319" s="39" t="s">
        <v>1204</v>
      </c>
      <c r="M319" s="35">
        <v>129900</v>
      </c>
      <c r="N319" s="71">
        <f t="shared" si="17"/>
        <v>0.75</v>
      </c>
      <c r="O319" s="72">
        <f t="shared" si="13"/>
        <v>32475</v>
      </c>
      <c r="P319" s="35" t="str">
        <f t="shared" si="18"/>
        <v>PERCENTAGE</v>
      </c>
    </row>
    <row r="320" spans="1:16" x14ac:dyDescent="0.35">
      <c r="A320" s="33" t="str">
        <f t="shared" ref="A320:C320" si="67">A319</f>
        <v>2024 JAN-SEP DISC 75%</v>
      </c>
      <c r="B320" s="34">
        <f t="shared" si="67"/>
        <v>46104</v>
      </c>
      <c r="C320" s="34">
        <f t="shared" si="67"/>
        <v>46113</v>
      </c>
      <c r="D320" s="33">
        <v>3321</v>
      </c>
      <c r="E320" s="33">
        <v>337</v>
      </c>
      <c r="F320" s="33">
        <v>4</v>
      </c>
      <c r="G320" s="33">
        <v>1</v>
      </c>
      <c r="H320" s="33">
        <v>81676</v>
      </c>
      <c r="I320" s="33" t="s">
        <v>39</v>
      </c>
      <c r="J320" s="33">
        <v>24391848</v>
      </c>
      <c r="K320" s="33" t="s">
        <v>1203</v>
      </c>
      <c r="L320" s="39" t="s">
        <v>1205</v>
      </c>
      <c r="M320" s="35">
        <v>129900</v>
      </c>
      <c r="N320" s="71">
        <f t="shared" si="17"/>
        <v>0.75</v>
      </c>
      <c r="O320" s="72">
        <f t="shared" si="13"/>
        <v>32475</v>
      </c>
      <c r="P320" s="35" t="str">
        <f t="shared" si="18"/>
        <v>PERCENTAGE</v>
      </c>
    </row>
    <row r="321" spans="1:16" x14ac:dyDescent="0.35">
      <c r="A321" s="33" t="str">
        <f t="shared" ref="A321:C321" si="68">A320</f>
        <v>2024 JAN-SEP DISC 75%</v>
      </c>
      <c r="B321" s="34">
        <f t="shared" si="68"/>
        <v>46104</v>
      </c>
      <c r="C321" s="34">
        <f t="shared" si="68"/>
        <v>46113</v>
      </c>
      <c r="D321" s="33">
        <v>3321</v>
      </c>
      <c r="E321" s="33">
        <v>337</v>
      </c>
      <c r="F321" s="33">
        <v>4</v>
      </c>
      <c r="G321" s="33">
        <v>1</v>
      </c>
      <c r="H321" s="33">
        <v>81676</v>
      </c>
      <c r="I321" s="33" t="s">
        <v>39</v>
      </c>
      <c r="J321" s="33">
        <v>24391857</v>
      </c>
      <c r="K321" s="33" t="s">
        <v>1203</v>
      </c>
      <c r="L321" s="39" t="s">
        <v>1206</v>
      </c>
      <c r="M321" s="35">
        <v>129900</v>
      </c>
      <c r="N321" s="71">
        <f t="shared" si="17"/>
        <v>0.75</v>
      </c>
      <c r="O321" s="72">
        <f t="shared" si="13"/>
        <v>32475</v>
      </c>
      <c r="P321" s="35" t="str">
        <f t="shared" si="18"/>
        <v>PERCENTAGE</v>
      </c>
    </row>
    <row r="322" spans="1:16" x14ac:dyDescent="0.35">
      <c r="A322" s="33" t="str">
        <f t="shared" ref="A322:C322" si="69">A321</f>
        <v>2024 JAN-SEP DISC 75%</v>
      </c>
      <c r="B322" s="34">
        <f t="shared" si="69"/>
        <v>46104</v>
      </c>
      <c r="C322" s="34">
        <f t="shared" si="69"/>
        <v>46113</v>
      </c>
      <c r="D322" s="33">
        <v>3321</v>
      </c>
      <c r="E322" s="33">
        <v>337</v>
      </c>
      <c r="F322" s="33">
        <v>4</v>
      </c>
      <c r="G322" s="33">
        <v>1</v>
      </c>
      <c r="H322" s="33">
        <v>81676</v>
      </c>
      <c r="I322" s="33" t="s">
        <v>39</v>
      </c>
      <c r="J322" s="33">
        <v>24391866</v>
      </c>
      <c r="K322" s="33" t="s">
        <v>1203</v>
      </c>
      <c r="L322" s="39" t="s">
        <v>1207</v>
      </c>
      <c r="M322" s="35">
        <v>129900</v>
      </c>
      <c r="N322" s="71">
        <f t="shared" si="17"/>
        <v>0.75</v>
      </c>
      <c r="O322" s="72">
        <f t="shared" si="13"/>
        <v>32475</v>
      </c>
      <c r="P322" s="35" t="str">
        <f t="shared" si="18"/>
        <v>PERCENTAGE</v>
      </c>
    </row>
    <row r="323" spans="1:16" x14ac:dyDescent="0.35">
      <c r="A323" s="33" t="str">
        <f t="shared" ref="A323:C323" si="70">A322</f>
        <v>2024 JAN-SEP DISC 75%</v>
      </c>
      <c r="B323" s="34">
        <f t="shared" si="70"/>
        <v>46104</v>
      </c>
      <c r="C323" s="34">
        <f t="shared" si="70"/>
        <v>46113</v>
      </c>
      <c r="D323" s="33">
        <v>3321</v>
      </c>
      <c r="E323" s="33">
        <v>337</v>
      </c>
      <c r="F323" s="33">
        <v>4</v>
      </c>
      <c r="G323" s="33">
        <v>1</v>
      </c>
      <c r="H323" s="33">
        <v>81676</v>
      </c>
      <c r="I323" s="33" t="s">
        <v>39</v>
      </c>
      <c r="J323" s="33">
        <v>24390894</v>
      </c>
      <c r="K323" s="33" t="s">
        <v>1208</v>
      </c>
      <c r="L323" s="39" t="s">
        <v>1209</v>
      </c>
      <c r="M323" s="35">
        <v>119900</v>
      </c>
      <c r="N323" s="71">
        <f t="shared" si="17"/>
        <v>0.75</v>
      </c>
      <c r="O323" s="72">
        <f t="shared" ref="O323:O386" si="71">M323-((75*M323)/100)</f>
        <v>29975</v>
      </c>
      <c r="P323" s="35" t="str">
        <f t="shared" si="18"/>
        <v>PERCENTAGE</v>
      </c>
    </row>
    <row r="324" spans="1:16" x14ac:dyDescent="0.35">
      <c r="A324" s="33" t="str">
        <f t="shared" ref="A324:C324" si="72">A323</f>
        <v>2024 JAN-SEP DISC 75%</v>
      </c>
      <c r="B324" s="34">
        <f t="shared" si="72"/>
        <v>46104</v>
      </c>
      <c r="C324" s="34">
        <f t="shared" si="72"/>
        <v>46113</v>
      </c>
      <c r="D324" s="33">
        <v>3321</v>
      </c>
      <c r="E324" s="33">
        <v>337</v>
      </c>
      <c r="F324" s="33">
        <v>4</v>
      </c>
      <c r="G324" s="33">
        <v>1</v>
      </c>
      <c r="H324" s="33">
        <v>81676</v>
      </c>
      <c r="I324" s="33" t="s">
        <v>39</v>
      </c>
      <c r="J324" s="33">
        <v>24390901</v>
      </c>
      <c r="K324" s="33" t="s">
        <v>1208</v>
      </c>
      <c r="L324" s="39" t="s">
        <v>1210</v>
      </c>
      <c r="M324" s="35">
        <v>119900</v>
      </c>
      <c r="N324" s="71">
        <f t="shared" si="17"/>
        <v>0.75</v>
      </c>
      <c r="O324" s="72">
        <f t="shared" si="71"/>
        <v>29975</v>
      </c>
      <c r="P324" s="35" t="str">
        <f t="shared" si="18"/>
        <v>PERCENTAGE</v>
      </c>
    </row>
    <row r="325" spans="1:16" x14ac:dyDescent="0.35">
      <c r="A325" s="33" t="str">
        <f t="shared" ref="A325:C325" si="73">A324</f>
        <v>2024 JAN-SEP DISC 75%</v>
      </c>
      <c r="B325" s="34">
        <f t="shared" si="73"/>
        <v>46104</v>
      </c>
      <c r="C325" s="34">
        <f t="shared" si="73"/>
        <v>46113</v>
      </c>
      <c r="D325" s="33">
        <v>3321</v>
      </c>
      <c r="E325" s="33">
        <v>337</v>
      </c>
      <c r="F325" s="33">
        <v>4</v>
      </c>
      <c r="G325" s="33">
        <v>1</v>
      </c>
      <c r="H325" s="33">
        <v>81676</v>
      </c>
      <c r="I325" s="33" t="s">
        <v>39</v>
      </c>
      <c r="J325" s="33">
        <v>24390910</v>
      </c>
      <c r="K325" s="33" t="s">
        <v>1208</v>
      </c>
      <c r="L325" s="39" t="s">
        <v>1211</v>
      </c>
      <c r="M325" s="35">
        <v>119900</v>
      </c>
      <c r="N325" s="71">
        <f t="shared" si="17"/>
        <v>0.75</v>
      </c>
      <c r="O325" s="72">
        <f t="shared" si="71"/>
        <v>29975</v>
      </c>
      <c r="P325" s="35" t="str">
        <f t="shared" si="18"/>
        <v>PERCENTAGE</v>
      </c>
    </row>
    <row r="326" spans="1:16" x14ac:dyDescent="0.35">
      <c r="A326" s="33" t="str">
        <f t="shared" ref="A326:C326" si="74">A325</f>
        <v>2024 JAN-SEP DISC 75%</v>
      </c>
      <c r="B326" s="34">
        <f t="shared" si="74"/>
        <v>46104</v>
      </c>
      <c r="C326" s="34">
        <f t="shared" si="74"/>
        <v>46113</v>
      </c>
      <c r="D326" s="33">
        <v>3321</v>
      </c>
      <c r="E326" s="33">
        <v>337</v>
      </c>
      <c r="F326" s="33">
        <v>4</v>
      </c>
      <c r="G326" s="33">
        <v>1</v>
      </c>
      <c r="H326" s="33">
        <v>81676</v>
      </c>
      <c r="I326" s="33" t="s">
        <v>39</v>
      </c>
      <c r="J326" s="33">
        <v>24390974</v>
      </c>
      <c r="K326" s="33" t="s">
        <v>1208</v>
      </c>
      <c r="L326" s="39" t="s">
        <v>1212</v>
      </c>
      <c r="M326" s="35">
        <v>119900</v>
      </c>
      <c r="N326" s="71">
        <f t="shared" si="17"/>
        <v>0.75</v>
      </c>
      <c r="O326" s="72">
        <f t="shared" si="71"/>
        <v>29975</v>
      </c>
      <c r="P326" s="35" t="str">
        <f t="shared" si="18"/>
        <v>PERCENTAGE</v>
      </c>
    </row>
    <row r="327" spans="1:16" x14ac:dyDescent="0.35">
      <c r="A327" s="33" t="str">
        <f t="shared" ref="A327:C327" si="75">A326</f>
        <v>2024 JAN-SEP DISC 75%</v>
      </c>
      <c r="B327" s="34">
        <f t="shared" si="75"/>
        <v>46104</v>
      </c>
      <c r="C327" s="34">
        <f t="shared" si="75"/>
        <v>46113</v>
      </c>
      <c r="D327" s="33">
        <v>3321</v>
      </c>
      <c r="E327" s="33">
        <v>337</v>
      </c>
      <c r="F327" s="33">
        <v>4</v>
      </c>
      <c r="G327" s="33">
        <v>1</v>
      </c>
      <c r="H327" s="33">
        <v>81676</v>
      </c>
      <c r="I327" s="33" t="s">
        <v>39</v>
      </c>
      <c r="J327" s="33">
        <v>24391679</v>
      </c>
      <c r="K327" s="33" t="s">
        <v>1213</v>
      </c>
      <c r="L327" s="39" t="s">
        <v>1214</v>
      </c>
      <c r="M327" s="35">
        <v>119900</v>
      </c>
      <c r="N327" s="71">
        <f t="shared" si="17"/>
        <v>0.75</v>
      </c>
      <c r="O327" s="72">
        <f t="shared" si="71"/>
        <v>29975</v>
      </c>
      <c r="P327" s="35" t="str">
        <f t="shared" si="18"/>
        <v>PERCENTAGE</v>
      </c>
    </row>
    <row r="328" spans="1:16" x14ac:dyDescent="0.35">
      <c r="A328" s="33" t="str">
        <f t="shared" ref="A328:C328" si="76">A327</f>
        <v>2024 JAN-SEP DISC 75%</v>
      </c>
      <c r="B328" s="34">
        <f t="shared" si="76"/>
        <v>46104</v>
      </c>
      <c r="C328" s="34">
        <f t="shared" si="76"/>
        <v>46113</v>
      </c>
      <c r="D328" s="33">
        <v>3321</v>
      </c>
      <c r="E328" s="33">
        <v>337</v>
      </c>
      <c r="F328" s="33">
        <v>4</v>
      </c>
      <c r="G328" s="33">
        <v>1</v>
      </c>
      <c r="H328" s="33">
        <v>81676</v>
      </c>
      <c r="I328" s="33" t="s">
        <v>39</v>
      </c>
      <c r="J328" s="33">
        <v>24391688</v>
      </c>
      <c r="K328" s="33" t="s">
        <v>1213</v>
      </c>
      <c r="L328" s="39" t="s">
        <v>1215</v>
      </c>
      <c r="M328" s="35">
        <v>119900</v>
      </c>
      <c r="N328" s="71">
        <f t="shared" si="17"/>
        <v>0.75</v>
      </c>
      <c r="O328" s="72">
        <f t="shared" si="71"/>
        <v>29975</v>
      </c>
      <c r="P328" s="35" t="str">
        <f t="shared" si="18"/>
        <v>PERCENTAGE</v>
      </c>
    </row>
    <row r="329" spans="1:16" x14ac:dyDescent="0.35">
      <c r="A329" s="33" t="str">
        <f t="shared" ref="A329:C329" si="77">A328</f>
        <v>2024 JAN-SEP DISC 75%</v>
      </c>
      <c r="B329" s="34">
        <f t="shared" si="77"/>
        <v>46104</v>
      </c>
      <c r="C329" s="34">
        <f t="shared" si="77"/>
        <v>46113</v>
      </c>
      <c r="D329" s="33">
        <v>3321</v>
      </c>
      <c r="E329" s="33">
        <v>337</v>
      </c>
      <c r="F329" s="33">
        <v>4</v>
      </c>
      <c r="G329" s="33">
        <v>1</v>
      </c>
      <c r="H329" s="33">
        <v>81676</v>
      </c>
      <c r="I329" s="33" t="s">
        <v>39</v>
      </c>
      <c r="J329" s="33">
        <v>24391697</v>
      </c>
      <c r="K329" s="33" t="s">
        <v>1213</v>
      </c>
      <c r="L329" s="39" t="s">
        <v>1216</v>
      </c>
      <c r="M329" s="35">
        <v>119900</v>
      </c>
      <c r="N329" s="71">
        <f t="shared" si="17"/>
        <v>0.75</v>
      </c>
      <c r="O329" s="72">
        <f t="shared" si="71"/>
        <v>29975</v>
      </c>
      <c r="P329" s="35" t="str">
        <f t="shared" si="18"/>
        <v>PERCENTAGE</v>
      </c>
    </row>
    <row r="330" spans="1:16" x14ac:dyDescent="0.35">
      <c r="A330" s="33" t="str">
        <f t="shared" ref="A330:C330" si="78">A329</f>
        <v>2024 JAN-SEP DISC 75%</v>
      </c>
      <c r="B330" s="34">
        <f t="shared" si="78"/>
        <v>46104</v>
      </c>
      <c r="C330" s="34">
        <f t="shared" si="78"/>
        <v>46113</v>
      </c>
      <c r="D330" s="33">
        <v>3321</v>
      </c>
      <c r="E330" s="33">
        <v>337</v>
      </c>
      <c r="F330" s="33">
        <v>4</v>
      </c>
      <c r="G330" s="33">
        <v>1</v>
      </c>
      <c r="H330" s="33">
        <v>81676</v>
      </c>
      <c r="I330" s="33" t="s">
        <v>39</v>
      </c>
      <c r="J330" s="33">
        <v>24391704</v>
      </c>
      <c r="K330" s="33" t="s">
        <v>1213</v>
      </c>
      <c r="L330" s="39" t="s">
        <v>1217</v>
      </c>
      <c r="M330" s="35">
        <v>119900</v>
      </c>
      <c r="N330" s="71">
        <f t="shared" si="17"/>
        <v>0.75</v>
      </c>
      <c r="O330" s="72">
        <f t="shared" si="71"/>
        <v>29975</v>
      </c>
      <c r="P330" s="35" t="str">
        <f t="shared" si="18"/>
        <v>PERCENTAGE</v>
      </c>
    </row>
    <row r="331" spans="1:16" x14ac:dyDescent="0.35">
      <c r="A331" s="33" t="str">
        <f t="shared" ref="A331:C331" si="79">A330</f>
        <v>2024 JAN-SEP DISC 75%</v>
      </c>
      <c r="B331" s="34">
        <f t="shared" si="79"/>
        <v>46104</v>
      </c>
      <c r="C331" s="34">
        <f t="shared" si="79"/>
        <v>46113</v>
      </c>
      <c r="D331" s="33">
        <v>3321</v>
      </c>
      <c r="E331" s="33">
        <v>337</v>
      </c>
      <c r="F331" s="33">
        <v>4</v>
      </c>
      <c r="G331" s="33">
        <v>5</v>
      </c>
      <c r="H331" s="33">
        <v>81698</v>
      </c>
      <c r="I331" s="33" t="s">
        <v>39</v>
      </c>
      <c r="J331" s="33">
        <v>23115415</v>
      </c>
      <c r="K331" s="33" t="s">
        <v>1218</v>
      </c>
      <c r="L331" s="39" t="s">
        <v>1219</v>
      </c>
      <c r="M331" s="35">
        <v>289900</v>
      </c>
      <c r="N331" s="71">
        <f t="shared" si="17"/>
        <v>0.75</v>
      </c>
      <c r="O331" s="72">
        <f t="shared" si="71"/>
        <v>72475</v>
      </c>
      <c r="P331" s="35" t="str">
        <f t="shared" si="18"/>
        <v>PERCENTAGE</v>
      </c>
    </row>
    <row r="332" spans="1:16" x14ac:dyDescent="0.35">
      <c r="A332" s="33" t="str">
        <f t="shared" ref="A332:C332" si="80">A331</f>
        <v>2024 JAN-SEP DISC 75%</v>
      </c>
      <c r="B332" s="34">
        <f t="shared" si="80"/>
        <v>46104</v>
      </c>
      <c r="C332" s="34">
        <f t="shared" si="80"/>
        <v>46113</v>
      </c>
      <c r="D332" s="33">
        <v>3321</v>
      </c>
      <c r="E332" s="33">
        <v>337</v>
      </c>
      <c r="F332" s="33">
        <v>4</v>
      </c>
      <c r="G332" s="33">
        <v>5</v>
      </c>
      <c r="H332" s="33">
        <v>81698</v>
      </c>
      <c r="I332" s="33" t="s">
        <v>39</v>
      </c>
      <c r="J332" s="33">
        <v>23115424</v>
      </c>
      <c r="K332" s="33" t="s">
        <v>1218</v>
      </c>
      <c r="L332" s="39" t="s">
        <v>1220</v>
      </c>
      <c r="M332" s="35">
        <v>289900</v>
      </c>
      <c r="N332" s="71">
        <f t="shared" si="17"/>
        <v>0.75</v>
      </c>
      <c r="O332" s="72">
        <f t="shared" si="71"/>
        <v>72475</v>
      </c>
      <c r="P332" s="35" t="str">
        <f t="shared" si="18"/>
        <v>PERCENTAGE</v>
      </c>
    </row>
    <row r="333" spans="1:16" x14ac:dyDescent="0.35">
      <c r="A333" s="33" t="str">
        <f t="shared" ref="A333:C333" si="81">A332</f>
        <v>2024 JAN-SEP DISC 75%</v>
      </c>
      <c r="B333" s="34">
        <f t="shared" si="81"/>
        <v>46104</v>
      </c>
      <c r="C333" s="34">
        <f t="shared" si="81"/>
        <v>46113</v>
      </c>
      <c r="D333" s="33">
        <v>3321</v>
      </c>
      <c r="E333" s="33">
        <v>337</v>
      </c>
      <c r="F333" s="33">
        <v>4</v>
      </c>
      <c r="G333" s="33">
        <v>5</v>
      </c>
      <c r="H333" s="33">
        <v>81698</v>
      </c>
      <c r="I333" s="33" t="s">
        <v>39</v>
      </c>
      <c r="J333" s="33">
        <v>23115862</v>
      </c>
      <c r="K333" s="33" t="s">
        <v>1218</v>
      </c>
      <c r="L333" s="39" t="s">
        <v>1221</v>
      </c>
      <c r="M333" s="35">
        <v>289900</v>
      </c>
      <c r="N333" s="71">
        <f t="shared" si="17"/>
        <v>0.75</v>
      </c>
      <c r="O333" s="72">
        <f t="shared" si="71"/>
        <v>72475</v>
      </c>
      <c r="P333" s="35" t="str">
        <f t="shared" si="18"/>
        <v>PERCENTAGE</v>
      </c>
    </row>
    <row r="334" spans="1:16" x14ac:dyDescent="0.35">
      <c r="A334" s="33" t="str">
        <f t="shared" ref="A334:C334" si="82">A333</f>
        <v>2024 JAN-SEP DISC 75%</v>
      </c>
      <c r="B334" s="34">
        <f t="shared" si="82"/>
        <v>46104</v>
      </c>
      <c r="C334" s="34">
        <f t="shared" si="82"/>
        <v>46113</v>
      </c>
      <c r="D334" s="33">
        <v>3321</v>
      </c>
      <c r="E334" s="33">
        <v>337</v>
      </c>
      <c r="F334" s="33">
        <v>4</v>
      </c>
      <c r="G334" s="33">
        <v>5</v>
      </c>
      <c r="H334" s="33">
        <v>81698</v>
      </c>
      <c r="I334" s="33" t="s">
        <v>39</v>
      </c>
      <c r="J334" s="33">
        <v>23115871</v>
      </c>
      <c r="K334" s="33" t="s">
        <v>1218</v>
      </c>
      <c r="L334" s="39" t="s">
        <v>1222</v>
      </c>
      <c r="M334" s="35">
        <v>289900</v>
      </c>
      <c r="N334" s="71">
        <f t="shared" si="17"/>
        <v>0.75</v>
      </c>
      <c r="O334" s="72">
        <f t="shared" si="71"/>
        <v>72475</v>
      </c>
      <c r="P334" s="35" t="str">
        <f t="shared" si="18"/>
        <v>PERCENTAGE</v>
      </c>
    </row>
    <row r="335" spans="1:16" x14ac:dyDescent="0.35">
      <c r="A335" s="33" t="str">
        <f t="shared" ref="A335:C335" si="83">A334</f>
        <v>2024 JAN-SEP DISC 75%</v>
      </c>
      <c r="B335" s="34">
        <f t="shared" si="83"/>
        <v>46104</v>
      </c>
      <c r="C335" s="34">
        <f t="shared" si="83"/>
        <v>46113</v>
      </c>
      <c r="D335" s="33">
        <v>3321</v>
      </c>
      <c r="E335" s="33">
        <v>337</v>
      </c>
      <c r="F335" s="33">
        <v>4</v>
      </c>
      <c r="G335" s="33">
        <v>5</v>
      </c>
      <c r="H335" s="33">
        <v>81005</v>
      </c>
      <c r="I335" s="33" t="s">
        <v>39</v>
      </c>
      <c r="J335" s="33">
        <v>23118476</v>
      </c>
      <c r="K335" s="33" t="s">
        <v>1223</v>
      </c>
      <c r="L335" s="39" t="s">
        <v>1224</v>
      </c>
      <c r="M335" s="35">
        <v>279900</v>
      </c>
      <c r="N335" s="71">
        <f t="shared" ref="N335:N398" si="84">N334</f>
        <v>0.75</v>
      </c>
      <c r="O335" s="72">
        <f t="shared" si="71"/>
        <v>69975</v>
      </c>
      <c r="P335" s="35" t="str">
        <f t="shared" ref="P335:P398" si="85">P334</f>
        <v>PERCENTAGE</v>
      </c>
    </row>
    <row r="336" spans="1:16" x14ac:dyDescent="0.35">
      <c r="A336" s="33" t="str">
        <f t="shared" ref="A336:C336" si="86">A335</f>
        <v>2024 JAN-SEP DISC 75%</v>
      </c>
      <c r="B336" s="34">
        <f t="shared" si="86"/>
        <v>46104</v>
      </c>
      <c r="C336" s="34">
        <f t="shared" si="86"/>
        <v>46113</v>
      </c>
      <c r="D336" s="33">
        <v>3321</v>
      </c>
      <c r="E336" s="33">
        <v>337</v>
      </c>
      <c r="F336" s="33">
        <v>4</v>
      </c>
      <c r="G336" s="33">
        <v>5</v>
      </c>
      <c r="H336" s="33">
        <v>81005</v>
      </c>
      <c r="I336" s="33" t="s">
        <v>39</v>
      </c>
      <c r="J336" s="33">
        <v>23118485</v>
      </c>
      <c r="K336" s="33" t="s">
        <v>1223</v>
      </c>
      <c r="L336" s="39" t="s">
        <v>1225</v>
      </c>
      <c r="M336" s="35">
        <v>279900</v>
      </c>
      <c r="N336" s="71">
        <f t="shared" si="84"/>
        <v>0.75</v>
      </c>
      <c r="O336" s="72">
        <f t="shared" si="71"/>
        <v>69975</v>
      </c>
      <c r="P336" s="35" t="str">
        <f t="shared" si="85"/>
        <v>PERCENTAGE</v>
      </c>
    </row>
    <row r="337" spans="1:16" x14ac:dyDescent="0.35">
      <c r="A337" s="33" t="str">
        <f t="shared" ref="A337:C337" si="87">A336</f>
        <v>2024 JAN-SEP DISC 75%</v>
      </c>
      <c r="B337" s="34">
        <f t="shared" si="87"/>
        <v>46104</v>
      </c>
      <c r="C337" s="34">
        <f t="shared" si="87"/>
        <v>46113</v>
      </c>
      <c r="D337" s="33">
        <v>3321</v>
      </c>
      <c r="E337" s="33">
        <v>337</v>
      </c>
      <c r="F337" s="33">
        <v>4</v>
      </c>
      <c r="G337" s="33">
        <v>5</v>
      </c>
      <c r="H337" s="33">
        <v>81005</v>
      </c>
      <c r="I337" s="33" t="s">
        <v>39</v>
      </c>
      <c r="J337" s="33">
        <v>23119386</v>
      </c>
      <c r="K337" s="33" t="s">
        <v>1223</v>
      </c>
      <c r="L337" s="39" t="s">
        <v>1226</v>
      </c>
      <c r="M337" s="35">
        <v>279900</v>
      </c>
      <c r="N337" s="71">
        <f t="shared" si="84"/>
        <v>0.75</v>
      </c>
      <c r="O337" s="72">
        <f t="shared" si="71"/>
        <v>69975</v>
      </c>
      <c r="P337" s="35" t="str">
        <f t="shared" si="85"/>
        <v>PERCENTAGE</v>
      </c>
    </row>
    <row r="338" spans="1:16" x14ac:dyDescent="0.35">
      <c r="A338" s="33" t="str">
        <f t="shared" ref="A338:C338" si="88">A337</f>
        <v>2024 JAN-SEP DISC 75%</v>
      </c>
      <c r="B338" s="34">
        <f t="shared" si="88"/>
        <v>46104</v>
      </c>
      <c r="C338" s="34">
        <f t="shared" si="88"/>
        <v>46113</v>
      </c>
      <c r="D338" s="33">
        <v>3321</v>
      </c>
      <c r="E338" s="33">
        <v>337</v>
      </c>
      <c r="F338" s="33">
        <v>4</v>
      </c>
      <c r="G338" s="33">
        <v>5</v>
      </c>
      <c r="H338" s="33">
        <v>81005</v>
      </c>
      <c r="I338" s="33" t="s">
        <v>39</v>
      </c>
      <c r="J338" s="33">
        <v>23119395</v>
      </c>
      <c r="K338" s="33" t="s">
        <v>1223</v>
      </c>
      <c r="L338" s="39" t="s">
        <v>1227</v>
      </c>
      <c r="M338" s="35">
        <v>279900</v>
      </c>
      <c r="N338" s="71">
        <f t="shared" si="84"/>
        <v>0.75</v>
      </c>
      <c r="O338" s="72">
        <f t="shared" si="71"/>
        <v>69975</v>
      </c>
      <c r="P338" s="35" t="str">
        <f t="shared" si="85"/>
        <v>PERCENTAGE</v>
      </c>
    </row>
    <row r="339" spans="1:16" x14ac:dyDescent="0.35">
      <c r="A339" s="33" t="str">
        <f t="shared" ref="A339:C339" si="89">A338</f>
        <v>2024 JAN-SEP DISC 75%</v>
      </c>
      <c r="B339" s="34">
        <f t="shared" si="89"/>
        <v>46104</v>
      </c>
      <c r="C339" s="34">
        <f t="shared" si="89"/>
        <v>46113</v>
      </c>
      <c r="D339" s="33">
        <v>3321</v>
      </c>
      <c r="E339" s="33">
        <v>337</v>
      </c>
      <c r="F339" s="33">
        <v>4</v>
      </c>
      <c r="G339" s="33">
        <v>5</v>
      </c>
      <c r="H339" s="33">
        <v>81005</v>
      </c>
      <c r="I339" s="33" t="s">
        <v>39</v>
      </c>
      <c r="J339" s="33">
        <v>23119402</v>
      </c>
      <c r="K339" s="33" t="s">
        <v>1223</v>
      </c>
      <c r="L339" s="39" t="s">
        <v>1228</v>
      </c>
      <c r="M339" s="35">
        <v>279900</v>
      </c>
      <c r="N339" s="71">
        <f t="shared" si="84"/>
        <v>0.75</v>
      </c>
      <c r="O339" s="72">
        <f t="shared" si="71"/>
        <v>69975</v>
      </c>
      <c r="P339" s="35" t="str">
        <f t="shared" si="85"/>
        <v>PERCENTAGE</v>
      </c>
    </row>
    <row r="340" spans="1:16" x14ac:dyDescent="0.35">
      <c r="A340" s="33" t="str">
        <f t="shared" ref="A340:C340" si="90">A339</f>
        <v>2024 JAN-SEP DISC 75%</v>
      </c>
      <c r="B340" s="34">
        <f t="shared" si="90"/>
        <v>46104</v>
      </c>
      <c r="C340" s="34">
        <f t="shared" si="90"/>
        <v>46113</v>
      </c>
      <c r="D340" s="33">
        <v>3321</v>
      </c>
      <c r="E340" s="33">
        <v>337</v>
      </c>
      <c r="F340" s="33">
        <v>4</v>
      </c>
      <c r="G340" s="33">
        <v>1</v>
      </c>
      <c r="H340" s="33">
        <v>81676</v>
      </c>
      <c r="I340" s="33" t="s">
        <v>39</v>
      </c>
      <c r="J340" s="33">
        <v>24390983</v>
      </c>
      <c r="K340" s="33" t="s">
        <v>1269</v>
      </c>
      <c r="L340" s="39" t="s">
        <v>1270</v>
      </c>
      <c r="M340" s="35">
        <v>119900</v>
      </c>
      <c r="N340" s="71">
        <f t="shared" si="84"/>
        <v>0.75</v>
      </c>
      <c r="O340" s="72">
        <f t="shared" si="71"/>
        <v>29975</v>
      </c>
      <c r="P340" s="35" t="str">
        <f t="shared" si="85"/>
        <v>PERCENTAGE</v>
      </c>
    </row>
    <row r="341" spans="1:16" x14ac:dyDescent="0.35">
      <c r="A341" s="33" t="str">
        <f t="shared" ref="A341:C341" si="91">A340</f>
        <v>2024 JAN-SEP DISC 75%</v>
      </c>
      <c r="B341" s="34">
        <f t="shared" si="91"/>
        <v>46104</v>
      </c>
      <c r="C341" s="34">
        <f t="shared" si="91"/>
        <v>46113</v>
      </c>
      <c r="D341" s="33">
        <v>3321</v>
      </c>
      <c r="E341" s="33">
        <v>337</v>
      </c>
      <c r="F341" s="33">
        <v>4</v>
      </c>
      <c r="G341" s="33">
        <v>1</v>
      </c>
      <c r="H341" s="33">
        <v>81676</v>
      </c>
      <c r="I341" s="33" t="s">
        <v>39</v>
      </c>
      <c r="J341" s="33">
        <v>24390992</v>
      </c>
      <c r="K341" s="33" t="s">
        <v>1269</v>
      </c>
      <c r="L341" s="39" t="s">
        <v>1271</v>
      </c>
      <c r="M341" s="35">
        <v>119900</v>
      </c>
      <c r="N341" s="71">
        <f t="shared" si="84"/>
        <v>0.75</v>
      </c>
      <c r="O341" s="72">
        <f t="shared" si="71"/>
        <v>29975</v>
      </c>
      <c r="P341" s="35" t="str">
        <f t="shared" si="85"/>
        <v>PERCENTAGE</v>
      </c>
    </row>
    <row r="342" spans="1:16" x14ac:dyDescent="0.35">
      <c r="A342" s="33" t="str">
        <f t="shared" ref="A342:C342" si="92">A341</f>
        <v>2024 JAN-SEP DISC 75%</v>
      </c>
      <c r="B342" s="34">
        <f t="shared" si="92"/>
        <v>46104</v>
      </c>
      <c r="C342" s="34">
        <f t="shared" si="92"/>
        <v>46113</v>
      </c>
      <c r="D342" s="33">
        <v>3321</v>
      </c>
      <c r="E342" s="33">
        <v>337</v>
      </c>
      <c r="F342" s="33">
        <v>4</v>
      </c>
      <c r="G342" s="33">
        <v>1</v>
      </c>
      <c r="H342" s="33">
        <v>81676</v>
      </c>
      <c r="I342" s="33" t="s">
        <v>39</v>
      </c>
      <c r="J342" s="33">
        <v>24391008</v>
      </c>
      <c r="K342" s="33" t="s">
        <v>1269</v>
      </c>
      <c r="L342" s="39" t="s">
        <v>1272</v>
      </c>
      <c r="M342" s="35">
        <v>119900</v>
      </c>
      <c r="N342" s="71">
        <f t="shared" si="84"/>
        <v>0.75</v>
      </c>
      <c r="O342" s="72">
        <f t="shared" si="71"/>
        <v>29975</v>
      </c>
      <c r="P342" s="35" t="str">
        <f t="shared" si="85"/>
        <v>PERCENTAGE</v>
      </c>
    </row>
    <row r="343" spans="1:16" x14ac:dyDescent="0.35">
      <c r="A343" s="33" t="str">
        <f t="shared" ref="A343:C343" si="93">A342</f>
        <v>2024 JAN-SEP DISC 75%</v>
      </c>
      <c r="B343" s="34">
        <f t="shared" si="93"/>
        <v>46104</v>
      </c>
      <c r="C343" s="34">
        <f t="shared" si="93"/>
        <v>46113</v>
      </c>
      <c r="D343" s="33">
        <v>3321</v>
      </c>
      <c r="E343" s="33">
        <v>337</v>
      </c>
      <c r="F343" s="33">
        <v>4</v>
      </c>
      <c r="G343" s="33">
        <v>1</v>
      </c>
      <c r="H343" s="33">
        <v>81676</v>
      </c>
      <c r="I343" s="33" t="s">
        <v>39</v>
      </c>
      <c r="J343" s="33">
        <v>24391017</v>
      </c>
      <c r="K343" s="33" t="s">
        <v>1269</v>
      </c>
      <c r="L343" s="39" t="s">
        <v>1273</v>
      </c>
      <c r="M343" s="35">
        <v>119900</v>
      </c>
      <c r="N343" s="71">
        <f t="shared" si="84"/>
        <v>0.75</v>
      </c>
      <c r="O343" s="72">
        <f t="shared" si="71"/>
        <v>29975</v>
      </c>
      <c r="P343" s="35" t="str">
        <f t="shared" si="85"/>
        <v>PERCENTAGE</v>
      </c>
    </row>
    <row r="344" spans="1:16" x14ac:dyDescent="0.35">
      <c r="A344" s="33" t="str">
        <f t="shared" ref="A344:C344" si="94">A343</f>
        <v>2024 JAN-SEP DISC 75%</v>
      </c>
      <c r="B344" s="34">
        <f t="shared" si="94"/>
        <v>46104</v>
      </c>
      <c r="C344" s="34">
        <f t="shared" si="94"/>
        <v>46113</v>
      </c>
      <c r="D344" s="33">
        <v>3321</v>
      </c>
      <c r="E344" s="33">
        <v>337</v>
      </c>
      <c r="F344" s="33">
        <v>4</v>
      </c>
      <c r="G344" s="33">
        <v>5</v>
      </c>
      <c r="H344" s="33">
        <v>81005</v>
      </c>
      <c r="I344" s="33" t="s">
        <v>39</v>
      </c>
      <c r="J344" s="33">
        <v>23119411</v>
      </c>
      <c r="K344" s="33" t="s">
        <v>1274</v>
      </c>
      <c r="L344" s="39" t="s">
        <v>1275</v>
      </c>
      <c r="M344" s="35">
        <v>279900</v>
      </c>
      <c r="N344" s="71">
        <f t="shared" si="84"/>
        <v>0.75</v>
      </c>
      <c r="O344" s="72">
        <f t="shared" si="71"/>
        <v>69975</v>
      </c>
      <c r="P344" s="35" t="str">
        <f t="shared" si="85"/>
        <v>PERCENTAGE</v>
      </c>
    </row>
    <row r="345" spans="1:16" x14ac:dyDescent="0.35">
      <c r="A345" s="33" t="str">
        <f t="shared" ref="A345:C345" si="95">A344</f>
        <v>2024 JAN-SEP DISC 75%</v>
      </c>
      <c r="B345" s="34">
        <f t="shared" si="95"/>
        <v>46104</v>
      </c>
      <c r="C345" s="34">
        <f t="shared" si="95"/>
        <v>46113</v>
      </c>
      <c r="D345" s="33">
        <v>3321</v>
      </c>
      <c r="E345" s="33">
        <v>337</v>
      </c>
      <c r="F345" s="33">
        <v>4</v>
      </c>
      <c r="G345" s="33">
        <v>5</v>
      </c>
      <c r="H345" s="33">
        <v>81005</v>
      </c>
      <c r="I345" s="33" t="s">
        <v>39</v>
      </c>
      <c r="J345" s="33">
        <v>23119993</v>
      </c>
      <c r="K345" s="33" t="s">
        <v>1274</v>
      </c>
      <c r="L345" s="39" t="s">
        <v>1276</v>
      </c>
      <c r="M345" s="35">
        <v>279900</v>
      </c>
      <c r="N345" s="71">
        <f t="shared" si="84"/>
        <v>0.75</v>
      </c>
      <c r="O345" s="72">
        <f t="shared" si="71"/>
        <v>69975</v>
      </c>
      <c r="P345" s="35" t="str">
        <f t="shared" si="85"/>
        <v>PERCENTAGE</v>
      </c>
    </row>
    <row r="346" spans="1:16" x14ac:dyDescent="0.35">
      <c r="A346" s="33" t="str">
        <f t="shared" ref="A346:C346" si="96">A345</f>
        <v>2024 JAN-SEP DISC 75%</v>
      </c>
      <c r="B346" s="34">
        <f t="shared" si="96"/>
        <v>46104</v>
      </c>
      <c r="C346" s="34">
        <f t="shared" si="96"/>
        <v>46113</v>
      </c>
      <c r="D346" s="33">
        <v>3321</v>
      </c>
      <c r="E346" s="33">
        <v>337</v>
      </c>
      <c r="F346" s="33">
        <v>4</v>
      </c>
      <c r="G346" s="33">
        <v>5</v>
      </c>
      <c r="H346" s="33">
        <v>81005</v>
      </c>
      <c r="I346" s="33" t="s">
        <v>39</v>
      </c>
      <c r="J346" s="33">
        <v>23120007</v>
      </c>
      <c r="K346" s="33" t="s">
        <v>1274</v>
      </c>
      <c r="L346" s="39" t="s">
        <v>1277</v>
      </c>
      <c r="M346" s="35">
        <v>279900</v>
      </c>
      <c r="N346" s="71">
        <f t="shared" si="84"/>
        <v>0.75</v>
      </c>
      <c r="O346" s="72">
        <f t="shared" si="71"/>
        <v>69975</v>
      </c>
      <c r="P346" s="35" t="str">
        <f t="shared" si="85"/>
        <v>PERCENTAGE</v>
      </c>
    </row>
    <row r="347" spans="1:16" x14ac:dyDescent="0.35">
      <c r="A347" s="33" t="str">
        <f t="shared" ref="A347:C347" si="97">A346</f>
        <v>2024 JAN-SEP DISC 75%</v>
      </c>
      <c r="B347" s="34">
        <f t="shared" si="97"/>
        <v>46104</v>
      </c>
      <c r="C347" s="34">
        <f t="shared" si="97"/>
        <v>46113</v>
      </c>
      <c r="D347" s="33">
        <v>3321</v>
      </c>
      <c r="E347" s="33">
        <v>337</v>
      </c>
      <c r="F347" s="33">
        <v>4</v>
      </c>
      <c r="G347" s="33">
        <v>5</v>
      </c>
      <c r="H347" s="33">
        <v>81005</v>
      </c>
      <c r="I347" s="33" t="s">
        <v>39</v>
      </c>
      <c r="J347" s="33">
        <v>23120016</v>
      </c>
      <c r="K347" s="33" t="s">
        <v>1274</v>
      </c>
      <c r="L347" s="39" t="s">
        <v>1278</v>
      </c>
      <c r="M347" s="35">
        <v>279900</v>
      </c>
      <c r="N347" s="71">
        <f t="shared" si="84"/>
        <v>0.75</v>
      </c>
      <c r="O347" s="72">
        <f t="shared" si="71"/>
        <v>69975</v>
      </c>
      <c r="P347" s="35" t="str">
        <f t="shared" si="85"/>
        <v>PERCENTAGE</v>
      </c>
    </row>
    <row r="348" spans="1:16" x14ac:dyDescent="0.35">
      <c r="A348" s="33" t="str">
        <f t="shared" ref="A348:C348" si="98">A347</f>
        <v>2024 JAN-SEP DISC 75%</v>
      </c>
      <c r="B348" s="34">
        <f t="shared" si="98"/>
        <v>46104</v>
      </c>
      <c r="C348" s="34">
        <f t="shared" si="98"/>
        <v>46113</v>
      </c>
      <c r="D348" s="33">
        <v>3321</v>
      </c>
      <c r="E348" s="33">
        <v>337</v>
      </c>
      <c r="F348" s="33">
        <v>4</v>
      </c>
      <c r="G348" s="33">
        <v>5</v>
      </c>
      <c r="H348" s="33">
        <v>81005</v>
      </c>
      <c r="I348" s="33" t="s">
        <v>39</v>
      </c>
      <c r="J348" s="33">
        <v>23120025</v>
      </c>
      <c r="K348" s="33" t="s">
        <v>1274</v>
      </c>
      <c r="L348" s="39" t="s">
        <v>1279</v>
      </c>
      <c r="M348" s="35">
        <v>279900</v>
      </c>
      <c r="N348" s="71">
        <f t="shared" si="84"/>
        <v>0.75</v>
      </c>
      <c r="O348" s="72">
        <f t="shared" si="71"/>
        <v>69975</v>
      </c>
      <c r="P348" s="35" t="str">
        <f t="shared" si="85"/>
        <v>PERCENTAGE</v>
      </c>
    </row>
    <row r="349" spans="1:16" x14ac:dyDescent="0.35">
      <c r="A349" s="33" t="str">
        <f t="shared" ref="A349:C349" si="99">A348</f>
        <v>2024 JAN-SEP DISC 75%</v>
      </c>
      <c r="B349" s="34">
        <f t="shared" si="99"/>
        <v>46104</v>
      </c>
      <c r="C349" s="34">
        <f t="shared" si="99"/>
        <v>46113</v>
      </c>
      <c r="D349" s="33">
        <v>3321</v>
      </c>
      <c r="E349" s="33">
        <v>337</v>
      </c>
      <c r="F349" s="33">
        <v>4</v>
      </c>
      <c r="G349" s="33">
        <v>1</v>
      </c>
      <c r="H349" s="33">
        <v>81676</v>
      </c>
      <c r="I349" s="33" t="s">
        <v>39</v>
      </c>
      <c r="J349" s="33">
        <v>24391320</v>
      </c>
      <c r="K349" s="33" t="s">
        <v>1280</v>
      </c>
      <c r="L349" s="39" t="s">
        <v>1281</v>
      </c>
      <c r="M349" s="35">
        <v>119900</v>
      </c>
      <c r="N349" s="71">
        <f t="shared" si="84"/>
        <v>0.75</v>
      </c>
      <c r="O349" s="72">
        <f t="shared" si="71"/>
        <v>29975</v>
      </c>
      <c r="P349" s="35" t="str">
        <f t="shared" si="85"/>
        <v>PERCENTAGE</v>
      </c>
    </row>
    <row r="350" spans="1:16" x14ac:dyDescent="0.35">
      <c r="A350" s="33" t="str">
        <f t="shared" ref="A350:C350" si="100">A349</f>
        <v>2024 JAN-SEP DISC 75%</v>
      </c>
      <c r="B350" s="34">
        <f t="shared" si="100"/>
        <v>46104</v>
      </c>
      <c r="C350" s="34">
        <f t="shared" si="100"/>
        <v>46113</v>
      </c>
      <c r="D350" s="33">
        <v>3321</v>
      </c>
      <c r="E350" s="33">
        <v>337</v>
      </c>
      <c r="F350" s="33">
        <v>4</v>
      </c>
      <c r="G350" s="33">
        <v>1</v>
      </c>
      <c r="H350" s="33">
        <v>81676</v>
      </c>
      <c r="I350" s="33" t="s">
        <v>39</v>
      </c>
      <c r="J350" s="33">
        <v>24391642</v>
      </c>
      <c r="K350" s="33" t="s">
        <v>1280</v>
      </c>
      <c r="L350" s="39" t="s">
        <v>1282</v>
      </c>
      <c r="M350" s="35">
        <v>119900</v>
      </c>
      <c r="N350" s="71">
        <f t="shared" si="84"/>
        <v>0.75</v>
      </c>
      <c r="O350" s="72">
        <f t="shared" si="71"/>
        <v>29975</v>
      </c>
      <c r="P350" s="35" t="str">
        <f t="shared" si="85"/>
        <v>PERCENTAGE</v>
      </c>
    </row>
    <row r="351" spans="1:16" x14ac:dyDescent="0.35">
      <c r="A351" s="33" t="str">
        <f t="shared" ref="A351:C351" si="101">A350</f>
        <v>2024 JAN-SEP DISC 75%</v>
      </c>
      <c r="B351" s="34">
        <f t="shared" si="101"/>
        <v>46104</v>
      </c>
      <c r="C351" s="34">
        <f t="shared" si="101"/>
        <v>46113</v>
      </c>
      <c r="D351" s="33">
        <v>3321</v>
      </c>
      <c r="E351" s="33">
        <v>337</v>
      </c>
      <c r="F351" s="33">
        <v>4</v>
      </c>
      <c r="G351" s="33">
        <v>1</v>
      </c>
      <c r="H351" s="33">
        <v>81676</v>
      </c>
      <c r="I351" s="33" t="s">
        <v>39</v>
      </c>
      <c r="J351" s="33">
        <v>24391651</v>
      </c>
      <c r="K351" s="33" t="s">
        <v>1280</v>
      </c>
      <c r="L351" s="39" t="s">
        <v>1283</v>
      </c>
      <c r="M351" s="35">
        <v>119900</v>
      </c>
      <c r="N351" s="71">
        <f t="shared" si="84"/>
        <v>0.75</v>
      </c>
      <c r="O351" s="72">
        <f t="shared" si="71"/>
        <v>29975</v>
      </c>
      <c r="P351" s="35" t="str">
        <f t="shared" si="85"/>
        <v>PERCENTAGE</v>
      </c>
    </row>
    <row r="352" spans="1:16" x14ac:dyDescent="0.35">
      <c r="A352" s="33" t="str">
        <f t="shared" ref="A352:C352" si="102">A351</f>
        <v>2024 JAN-SEP DISC 75%</v>
      </c>
      <c r="B352" s="34">
        <f t="shared" si="102"/>
        <v>46104</v>
      </c>
      <c r="C352" s="34">
        <f t="shared" si="102"/>
        <v>46113</v>
      </c>
      <c r="D352" s="33">
        <v>3321</v>
      </c>
      <c r="E352" s="33">
        <v>337</v>
      </c>
      <c r="F352" s="33">
        <v>4</v>
      </c>
      <c r="G352" s="33">
        <v>1</v>
      </c>
      <c r="H352" s="33">
        <v>81676</v>
      </c>
      <c r="I352" s="33" t="s">
        <v>39</v>
      </c>
      <c r="J352" s="33">
        <v>24391660</v>
      </c>
      <c r="K352" s="33" t="s">
        <v>1280</v>
      </c>
      <c r="L352" s="39" t="s">
        <v>1284</v>
      </c>
      <c r="M352" s="35">
        <v>119900</v>
      </c>
      <c r="N352" s="71">
        <f t="shared" si="84"/>
        <v>0.75</v>
      </c>
      <c r="O352" s="72">
        <f t="shared" si="71"/>
        <v>29975</v>
      </c>
      <c r="P352" s="35" t="str">
        <f t="shared" si="85"/>
        <v>PERCENTAGE</v>
      </c>
    </row>
    <row r="353" spans="1:16" x14ac:dyDescent="0.35">
      <c r="A353" s="33" t="str">
        <f t="shared" ref="A353:C353" si="103">A352</f>
        <v>2024 JAN-SEP DISC 75%</v>
      </c>
      <c r="B353" s="34">
        <f t="shared" si="103"/>
        <v>46104</v>
      </c>
      <c r="C353" s="34">
        <f t="shared" si="103"/>
        <v>46113</v>
      </c>
      <c r="D353" s="33">
        <v>3321</v>
      </c>
      <c r="E353" s="33">
        <v>337</v>
      </c>
      <c r="F353" s="33">
        <v>4</v>
      </c>
      <c r="G353" s="33">
        <v>1</v>
      </c>
      <c r="H353" s="33">
        <v>81676</v>
      </c>
      <c r="I353" s="33" t="s">
        <v>39</v>
      </c>
      <c r="J353" s="33">
        <v>24391875</v>
      </c>
      <c r="K353" s="33" t="s">
        <v>1285</v>
      </c>
      <c r="L353" s="39" t="s">
        <v>1286</v>
      </c>
      <c r="M353" s="35">
        <v>129900</v>
      </c>
      <c r="N353" s="71">
        <f t="shared" si="84"/>
        <v>0.75</v>
      </c>
      <c r="O353" s="72">
        <f t="shared" si="71"/>
        <v>32475</v>
      </c>
      <c r="P353" s="35" t="str">
        <f t="shared" si="85"/>
        <v>PERCENTAGE</v>
      </c>
    </row>
    <row r="354" spans="1:16" x14ac:dyDescent="0.35">
      <c r="A354" s="33" t="str">
        <f t="shared" ref="A354:C354" si="104">A353</f>
        <v>2024 JAN-SEP DISC 75%</v>
      </c>
      <c r="B354" s="34">
        <f t="shared" si="104"/>
        <v>46104</v>
      </c>
      <c r="C354" s="34">
        <f t="shared" si="104"/>
        <v>46113</v>
      </c>
      <c r="D354" s="33">
        <v>3321</v>
      </c>
      <c r="E354" s="33">
        <v>337</v>
      </c>
      <c r="F354" s="33">
        <v>4</v>
      </c>
      <c r="G354" s="33">
        <v>1</v>
      </c>
      <c r="H354" s="33">
        <v>81676</v>
      </c>
      <c r="I354" s="33" t="s">
        <v>39</v>
      </c>
      <c r="J354" s="33">
        <v>24392534</v>
      </c>
      <c r="K354" s="33" t="s">
        <v>1285</v>
      </c>
      <c r="L354" s="39" t="s">
        <v>1287</v>
      </c>
      <c r="M354" s="35">
        <v>129900</v>
      </c>
      <c r="N354" s="71">
        <f t="shared" si="84"/>
        <v>0.75</v>
      </c>
      <c r="O354" s="72">
        <f t="shared" si="71"/>
        <v>32475</v>
      </c>
      <c r="P354" s="35" t="str">
        <f t="shared" si="85"/>
        <v>PERCENTAGE</v>
      </c>
    </row>
    <row r="355" spans="1:16" x14ac:dyDescent="0.35">
      <c r="A355" s="33" t="str">
        <f t="shared" ref="A355:C355" si="105">A354</f>
        <v>2024 JAN-SEP DISC 75%</v>
      </c>
      <c r="B355" s="34">
        <f t="shared" si="105"/>
        <v>46104</v>
      </c>
      <c r="C355" s="34">
        <f t="shared" si="105"/>
        <v>46113</v>
      </c>
      <c r="D355" s="33">
        <v>3321</v>
      </c>
      <c r="E355" s="33">
        <v>337</v>
      </c>
      <c r="F355" s="33">
        <v>4</v>
      </c>
      <c r="G355" s="33">
        <v>1</v>
      </c>
      <c r="H355" s="33">
        <v>81676</v>
      </c>
      <c r="I355" s="33" t="s">
        <v>39</v>
      </c>
      <c r="J355" s="33">
        <v>24392552</v>
      </c>
      <c r="K355" s="33" t="s">
        <v>1285</v>
      </c>
      <c r="L355" s="39" t="s">
        <v>1288</v>
      </c>
      <c r="M355" s="35">
        <v>129900</v>
      </c>
      <c r="N355" s="71">
        <f t="shared" si="84"/>
        <v>0.75</v>
      </c>
      <c r="O355" s="72">
        <f t="shared" si="71"/>
        <v>32475</v>
      </c>
      <c r="P355" s="35" t="str">
        <f t="shared" si="85"/>
        <v>PERCENTAGE</v>
      </c>
    </row>
    <row r="356" spans="1:16" x14ac:dyDescent="0.35">
      <c r="A356" s="33" t="str">
        <f t="shared" ref="A356:C356" si="106">A355</f>
        <v>2024 JAN-SEP DISC 75%</v>
      </c>
      <c r="B356" s="34">
        <f t="shared" si="106"/>
        <v>46104</v>
      </c>
      <c r="C356" s="34">
        <f t="shared" si="106"/>
        <v>46113</v>
      </c>
      <c r="D356" s="33">
        <v>3321</v>
      </c>
      <c r="E356" s="33">
        <v>337</v>
      </c>
      <c r="F356" s="33">
        <v>4</v>
      </c>
      <c r="G356" s="33">
        <v>1</v>
      </c>
      <c r="H356" s="33">
        <v>81676</v>
      </c>
      <c r="I356" s="33" t="s">
        <v>39</v>
      </c>
      <c r="J356" s="33">
        <v>24392543</v>
      </c>
      <c r="K356" s="33" t="s">
        <v>1285</v>
      </c>
      <c r="L356" s="39" t="s">
        <v>1289</v>
      </c>
      <c r="M356" s="35">
        <v>129900</v>
      </c>
      <c r="N356" s="71">
        <f t="shared" si="84"/>
        <v>0.75</v>
      </c>
      <c r="O356" s="72">
        <f t="shared" si="71"/>
        <v>32475</v>
      </c>
      <c r="P356" s="35" t="str">
        <f t="shared" si="85"/>
        <v>PERCENTAGE</v>
      </c>
    </row>
    <row r="357" spans="1:16" x14ac:dyDescent="0.35">
      <c r="A357" s="33" t="str">
        <f t="shared" ref="A357:C357" si="107">A356</f>
        <v>2024 JAN-SEP DISC 75%</v>
      </c>
      <c r="B357" s="34">
        <f t="shared" si="107"/>
        <v>46104</v>
      </c>
      <c r="C357" s="34">
        <f t="shared" si="107"/>
        <v>46113</v>
      </c>
      <c r="D357" s="33">
        <v>3321</v>
      </c>
      <c r="E357" s="33">
        <v>337</v>
      </c>
      <c r="F357" s="33">
        <v>4</v>
      </c>
      <c r="G357" s="33">
        <v>1</v>
      </c>
      <c r="H357" s="33">
        <v>81421</v>
      </c>
      <c r="I357" s="33" t="s">
        <v>39</v>
      </c>
      <c r="J357" s="33">
        <v>23114970</v>
      </c>
      <c r="K357" s="33" t="s">
        <v>1290</v>
      </c>
      <c r="L357" s="39" t="s">
        <v>1291</v>
      </c>
      <c r="M357" s="35">
        <v>179900</v>
      </c>
      <c r="N357" s="71">
        <f t="shared" si="84"/>
        <v>0.75</v>
      </c>
      <c r="O357" s="72">
        <f t="shared" si="71"/>
        <v>44975</v>
      </c>
      <c r="P357" s="35" t="str">
        <f t="shared" si="85"/>
        <v>PERCENTAGE</v>
      </c>
    </row>
    <row r="358" spans="1:16" x14ac:dyDescent="0.35">
      <c r="A358" s="33" t="str">
        <f t="shared" ref="A358:C358" si="108">A357</f>
        <v>2024 JAN-SEP DISC 75%</v>
      </c>
      <c r="B358" s="34">
        <f t="shared" si="108"/>
        <v>46104</v>
      </c>
      <c r="C358" s="34">
        <f t="shared" si="108"/>
        <v>46113</v>
      </c>
      <c r="D358" s="33">
        <v>3321</v>
      </c>
      <c r="E358" s="33">
        <v>337</v>
      </c>
      <c r="F358" s="33">
        <v>4</v>
      </c>
      <c r="G358" s="33">
        <v>1</v>
      </c>
      <c r="H358" s="33">
        <v>81421</v>
      </c>
      <c r="I358" s="33" t="s">
        <v>39</v>
      </c>
      <c r="J358" s="33">
        <v>23114989</v>
      </c>
      <c r="K358" s="33" t="s">
        <v>1290</v>
      </c>
      <c r="L358" s="39" t="s">
        <v>1292</v>
      </c>
      <c r="M358" s="35">
        <v>179900</v>
      </c>
      <c r="N358" s="71">
        <f t="shared" si="84"/>
        <v>0.75</v>
      </c>
      <c r="O358" s="72">
        <f t="shared" si="71"/>
        <v>44975</v>
      </c>
      <c r="P358" s="35" t="str">
        <f t="shared" si="85"/>
        <v>PERCENTAGE</v>
      </c>
    </row>
    <row r="359" spans="1:16" x14ac:dyDescent="0.35">
      <c r="A359" s="33" t="str">
        <f t="shared" ref="A359:C359" si="109">A358</f>
        <v>2024 JAN-SEP DISC 75%</v>
      </c>
      <c r="B359" s="34">
        <f t="shared" si="109"/>
        <v>46104</v>
      </c>
      <c r="C359" s="34">
        <f t="shared" si="109"/>
        <v>46113</v>
      </c>
      <c r="D359" s="33">
        <v>3321</v>
      </c>
      <c r="E359" s="33">
        <v>337</v>
      </c>
      <c r="F359" s="33">
        <v>4</v>
      </c>
      <c r="G359" s="33">
        <v>1</v>
      </c>
      <c r="H359" s="33">
        <v>81421</v>
      </c>
      <c r="I359" s="33" t="s">
        <v>39</v>
      </c>
      <c r="J359" s="33">
        <v>23114998</v>
      </c>
      <c r="K359" s="33" t="s">
        <v>1290</v>
      </c>
      <c r="L359" s="39" t="s">
        <v>1293</v>
      </c>
      <c r="M359" s="35">
        <v>179900</v>
      </c>
      <c r="N359" s="71">
        <f t="shared" si="84"/>
        <v>0.75</v>
      </c>
      <c r="O359" s="72">
        <f t="shared" si="71"/>
        <v>44975</v>
      </c>
      <c r="P359" s="35" t="str">
        <f t="shared" si="85"/>
        <v>PERCENTAGE</v>
      </c>
    </row>
    <row r="360" spans="1:16" x14ac:dyDescent="0.35">
      <c r="A360" s="33" t="str">
        <f t="shared" ref="A360:C360" si="110">A359</f>
        <v>2024 JAN-SEP DISC 75%</v>
      </c>
      <c r="B360" s="34">
        <f t="shared" si="110"/>
        <v>46104</v>
      </c>
      <c r="C360" s="34">
        <f t="shared" si="110"/>
        <v>46113</v>
      </c>
      <c r="D360" s="33">
        <v>3321</v>
      </c>
      <c r="E360" s="33">
        <v>337</v>
      </c>
      <c r="F360" s="33">
        <v>4</v>
      </c>
      <c r="G360" s="33">
        <v>1</v>
      </c>
      <c r="H360" s="33">
        <v>81421</v>
      </c>
      <c r="I360" s="33" t="s">
        <v>39</v>
      </c>
      <c r="J360" s="33">
        <v>23115004</v>
      </c>
      <c r="K360" s="33" t="s">
        <v>1290</v>
      </c>
      <c r="L360" s="39" t="s">
        <v>1294</v>
      </c>
      <c r="M360" s="35">
        <v>179900</v>
      </c>
      <c r="N360" s="71">
        <f t="shared" si="84"/>
        <v>0.75</v>
      </c>
      <c r="O360" s="72">
        <f t="shared" si="71"/>
        <v>44975</v>
      </c>
      <c r="P360" s="35" t="str">
        <f t="shared" si="85"/>
        <v>PERCENTAGE</v>
      </c>
    </row>
    <row r="361" spans="1:16" x14ac:dyDescent="0.35">
      <c r="A361" s="33" t="str">
        <f t="shared" ref="A361:C361" si="111">A360</f>
        <v>2024 JAN-SEP DISC 75%</v>
      </c>
      <c r="B361" s="34">
        <f t="shared" si="111"/>
        <v>46104</v>
      </c>
      <c r="C361" s="34">
        <f t="shared" si="111"/>
        <v>46113</v>
      </c>
      <c r="D361" s="33">
        <v>3321</v>
      </c>
      <c r="E361" s="33">
        <v>337</v>
      </c>
      <c r="F361" s="33">
        <v>4</v>
      </c>
      <c r="G361" s="33">
        <v>1</v>
      </c>
      <c r="H361" s="33">
        <v>81421</v>
      </c>
      <c r="I361" s="33" t="s">
        <v>39</v>
      </c>
      <c r="J361" s="33">
        <v>23114612</v>
      </c>
      <c r="K361" s="33" t="s">
        <v>1295</v>
      </c>
      <c r="L361" s="39" t="s">
        <v>1296</v>
      </c>
      <c r="M361" s="35">
        <v>179900</v>
      </c>
      <c r="N361" s="71">
        <f t="shared" si="84"/>
        <v>0.75</v>
      </c>
      <c r="O361" s="72">
        <f t="shared" si="71"/>
        <v>44975</v>
      </c>
      <c r="P361" s="35" t="str">
        <f t="shared" si="85"/>
        <v>PERCENTAGE</v>
      </c>
    </row>
    <row r="362" spans="1:16" x14ac:dyDescent="0.35">
      <c r="A362" s="33" t="str">
        <f t="shared" ref="A362:C362" si="112">A361</f>
        <v>2024 JAN-SEP DISC 75%</v>
      </c>
      <c r="B362" s="34">
        <f t="shared" si="112"/>
        <v>46104</v>
      </c>
      <c r="C362" s="34">
        <f t="shared" si="112"/>
        <v>46113</v>
      </c>
      <c r="D362" s="33">
        <v>3321</v>
      </c>
      <c r="E362" s="33">
        <v>337</v>
      </c>
      <c r="F362" s="33">
        <v>4</v>
      </c>
      <c r="G362" s="33">
        <v>1</v>
      </c>
      <c r="H362" s="33">
        <v>81421</v>
      </c>
      <c r="I362" s="33" t="s">
        <v>39</v>
      </c>
      <c r="J362" s="33">
        <v>23114765</v>
      </c>
      <c r="K362" s="33" t="s">
        <v>1295</v>
      </c>
      <c r="L362" s="39" t="s">
        <v>1297</v>
      </c>
      <c r="M362" s="35">
        <v>179900</v>
      </c>
      <c r="N362" s="71">
        <f t="shared" si="84"/>
        <v>0.75</v>
      </c>
      <c r="O362" s="72">
        <f t="shared" si="71"/>
        <v>44975</v>
      </c>
      <c r="P362" s="35" t="str">
        <f t="shared" si="85"/>
        <v>PERCENTAGE</v>
      </c>
    </row>
    <row r="363" spans="1:16" x14ac:dyDescent="0.35">
      <c r="A363" s="33" t="str">
        <f t="shared" ref="A363:C363" si="113">A362</f>
        <v>2024 JAN-SEP DISC 75%</v>
      </c>
      <c r="B363" s="34">
        <f t="shared" si="113"/>
        <v>46104</v>
      </c>
      <c r="C363" s="34">
        <f t="shared" si="113"/>
        <v>46113</v>
      </c>
      <c r="D363" s="33">
        <v>3321</v>
      </c>
      <c r="E363" s="33">
        <v>337</v>
      </c>
      <c r="F363" s="33">
        <v>4</v>
      </c>
      <c r="G363" s="33">
        <v>1</v>
      </c>
      <c r="H363" s="33">
        <v>81421</v>
      </c>
      <c r="I363" s="33" t="s">
        <v>39</v>
      </c>
      <c r="J363" s="33">
        <v>23114818</v>
      </c>
      <c r="K363" s="33" t="s">
        <v>1295</v>
      </c>
      <c r="L363" s="39" t="s">
        <v>1298</v>
      </c>
      <c r="M363" s="35">
        <v>179900</v>
      </c>
      <c r="N363" s="71">
        <f t="shared" si="84"/>
        <v>0.75</v>
      </c>
      <c r="O363" s="72">
        <f t="shared" si="71"/>
        <v>44975</v>
      </c>
      <c r="P363" s="35" t="str">
        <f t="shared" si="85"/>
        <v>PERCENTAGE</v>
      </c>
    </row>
    <row r="364" spans="1:16" x14ac:dyDescent="0.35">
      <c r="A364" s="33" t="str">
        <f t="shared" ref="A364:C364" si="114">A363</f>
        <v>2024 JAN-SEP DISC 75%</v>
      </c>
      <c r="B364" s="34">
        <f t="shared" si="114"/>
        <v>46104</v>
      </c>
      <c r="C364" s="34">
        <f t="shared" si="114"/>
        <v>46113</v>
      </c>
      <c r="D364" s="33">
        <v>3321</v>
      </c>
      <c r="E364" s="33">
        <v>337</v>
      </c>
      <c r="F364" s="33">
        <v>4</v>
      </c>
      <c r="G364" s="33">
        <v>1</v>
      </c>
      <c r="H364" s="33">
        <v>81421</v>
      </c>
      <c r="I364" s="33" t="s">
        <v>39</v>
      </c>
      <c r="J364" s="33">
        <v>23114925</v>
      </c>
      <c r="K364" s="33" t="s">
        <v>1295</v>
      </c>
      <c r="L364" s="39" t="s">
        <v>1299</v>
      </c>
      <c r="M364" s="35">
        <v>179900</v>
      </c>
      <c r="N364" s="71">
        <f t="shared" si="84"/>
        <v>0.75</v>
      </c>
      <c r="O364" s="72">
        <f t="shared" si="71"/>
        <v>44975</v>
      </c>
      <c r="P364" s="35" t="str">
        <f t="shared" si="85"/>
        <v>PERCENTAGE</v>
      </c>
    </row>
    <row r="365" spans="1:16" x14ac:dyDescent="0.35">
      <c r="A365" s="33" t="str">
        <f t="shared" ref="A365:C365" si="115">A364</f>
        <v>2024 JAN-SEP DISC 75%</v>
      </c>
      <c r="B365" s="34">
        <f t="shared" si="115"/>
        <v>46104</v>
      </c>
      <c r="C365" s="34">
        <f t="shared" si="115"/>
        <v>46113</v>
      </c>
      <c r="D365" s="33">
        <v>3321</v>
      </c>
      <c r="E365" s="33">
        <v>337</v>
      </c>
      <c r="F365" s="33">
        <v>4</v>
      </c>
      <c r="G365" s="33">
        <v>3</v>
      </c>
      <c r="H365" s="33">
        <v>81421</v>
      </c>
      <c r="I365" s="33" t="s">
        <v>39</v>
      </c>
      <c r="J365" s="33">
        <v>23115013</v>
      </c>
      <c r="K365" s="33" t="s">
        <v>1300</v>
      </c>
      <c r="L365" s="39" t="s">
        <v>1301</v>
      </c>
      <c r="M365" s="35">
        <v>289900</v>
      </c>
      <c r="N365" s="71">
        <f t="shared" si="84"/>
        <v>0.75</v>
      </c>
      <c r="O365" s="72">
        <f t="shared" si="71"/>
        <v>72475</v>
      </c>
      <c r="P365" s="35" t="str">
        <f t="shared" si="85"/>
        <v>PERCENTAGE</v>
      </c>
    </row>
    <row r="366" spans="1:16" x14ac:dyDescent="0.35">
      <c r="A366" s="33" t="str">
        <f t="shared" ref="A366:C366" si="116">A365</f>
        <v>2024 JAN-SEP DISC 75%</v>
      </c>
      <c r="B366" s="34">
        <f t="shared" si="116"/>
        <v>46104</v>
      </c>
      <c r="C366" s="34">
        <f t="shared" si="116"/>
        <v>46113</v>
      </c>
      <c r="D366" s="33">
        <v>3321</v>
      </c>
      <c r="E366" s="33">
        <v>337</v>
      </c>
      <c r="F366" s="33">
        <v>4</v>
      </c>
      <c r="G366" s="33">
        <v>3</v>
      </c>
      <c r="H366" s="33">
        <v>81421</v>
      </c>
      <c r="I366" s="33" t="s">
        <v>39</v>
      </c>
      <c r="J366" s="33">
        <v>23115068</v>
      </c>
      <c r="K366" s="33" t="s">
        <v>1300</v>
      </c>
      <c r="L366" s="39" t="s">
        <v>1302</v>
      </c>
      <c r="M366" s="35">
        <v>289900</v>
      </c>
      <c r="N366" s="71">
        <f t="shared" si="84"/>
        <v>0.75</v>
      </c>
      <c r="O366" s="72">
        <f t="shared" si="71"/>
        <v>72475</v>
      </c>
      <c r="P366" s="35" t="str">
        <f t="shared" si="85"/>
        <v>PERCENTAGE</v>
      </c>
    </row>
    <row r="367" spans="1:16" x14ac:dyDescent="0.35">
      <c r="A367" s="33" t="str">
        <f t="shared" ref="A367:C367" si="117">A366</f>
        <v>2024 JAN-SEP DISC 75%</v>
      </c>
      <c r="B367" s="34">
        <f t="shared" si="117"/>
        <v>46104</v>
      </c>
      <c r="C367" s="34">
        <f t="shared" si="117"/>
        <v>46113</v>
      </c>
      <c r="D367" s="33">
        <v>3321</v>
      </c>
      <c r="E367" s="33">
        <v>337</v>
      </c>
      <c r="F367" s="33">
        <v>4</v>
      </c>
      <c r="G367" s="33">
        <v>3</v>
      </c>
      <c r="H367" s="33">
        <v>81421</v>
      </c>
      <c r="I367" s="33" t="s">
        <v>39</v>
      </c>
      <c r="J367" s="33">
        <v>25022842</v>
      </c>
      <c r="K367" s="33" t="s">
        <v>1300</v>
      </c>
      <c r="L367" s="39" t="s">
        <v>1303</v>
      </c>
      <c r="M367" s="35">
        <v>289900</v>
      </c>
      <c r="N367" s="71">
        <f t="shared" si="84"/>
        <v>0.75</v>
      </c>
      <c r="O367" s="72">
        <f t="shared" si="71"/>
        <v>72475</v>
      </c>
      <c r="P367" s="35" t="str">
        <f t="shared" si="85"/>
        <v>PERCENTAGE</v>
      </c>
    </row>
    <row r="368" spans="1:16" x14ac:dyDescent="0.35">
      <c r="A368" s="33" t="str">
        <f t="shared" ref="A368:C368" si="118">A367</f>
        <v>2024 JAN-SEP DISC 75%</v>
      </c>
      <c r="B368" s="34">
        <f t="shared" si="118"/>
        <v>46104</v>
      </c>
      <c r="C368" s="34">
        <f t="shared" si="118"/>
        <v>46113</v>
      </c>
      <c r="D368" s="33">
        <v>3321</v>
      </c>
      <c r="E368" s="33">
        <v>337</v>
      </c>
      <c r="F368" s="33">
        <v>4</v>
      </c>
      <c r="G368" s="33">
        <v>3</v>
      </c>
      <c r="H368" s="33">
        <v>81421</v>
      </c>
      <c r="I368" s="33" t="s">
        <v>39</v>
      </c>
      <c r="J368" s="33">
        <v>25022851</v>
      </c>
      <c r="K368" s="33" t="s">
        <v>1300</v>
      </c>
      <c r="L368" s="39" t="s">
        <v>1304</v>
      </c>
      <c r="M368" s="35">
        <v>289900</v>
      </c>
      <c r="N368" s="71">
        <f t="shared" si="84"/>
        <v>0.75</v>
      </c>
      <c r="O368" s="72">
        <f t="shared" si="71"/>
        <v>72475</v>
      </c>
      <c r="P368" s="35" t="str">
        <f t="shared" si="85"/>
        <v>PERCENTAGE</v>
      </c>
    </row>
    <row r="369" spans="1:16" x14ac:dyDescent="0.35">
      <c r="A369" s="33" t="str">
        <f t="shared" ref="A369:C369" si="119">A368</f>
        <v>2024 JAN-SEP DISC 75%</v>
      </c>
      <c r="B369" s="34">
        <f t="shared" si="119"/>
        <v>46104</v>
      </c>
      <c r="C369" s="34">
        <f t="shared" si="119"/>
        <v>46113</v>
      </c>
      <c r="D369" s="33">
        <v>3321</v>
      </c>
      <c r="E369" s="33">
        <v>337</v>
      </c>
      <c r="F369" s="33">
        <v>4</v>
      </c>
      <c r="G369" s="33">
        <v>4</v>
      </c>
      <c r="H369" s="33">
        <v>81421</v>
      </c>
      <c r="I369" s="33" t="s">
        <v>39</v>
      </c>
      <c r="J369" s="33">
        <v>23115148</v>
      </c>
      <c r="K369" s="33" t="s">
        <v>1305</v>
      </c>
      <c r="L369" s="39" t="s">
        <v>1306</v>
      </c>
      <c r="M369" s="35">
        <v>229900</v>
      </c>
      <c r="N369" s="71">
        <f t="shared" si="84"/>
        <v>0.75</v>
      </c>
      <c r="O369" s="72">
        <f t="shared" si="71"/>
        <v>57475</v>
      </c>
      <c r="P369" s="35" t="str">
        <f t="shared" si="85"/>
        <v>PERCENTAGE</v>
      </c>
    </row>
    <row r="370" spans="1:16" x14ac:dyDescent="0.35">
      <c r="A370" s="33" t="str">
        <f t="shared" ref="A370:C370" si="120">A369</f>
        <v>2024 JAN-SEP DISC 75%</v>
      </c>
      <c r="B370" s="34">
        <f t="shared" si="120"/>
        <v>46104</v>
      </c>
      <c r="C370" s="34">
        <f t="shared" si="120"/>
        <v>46113</v>
      </c>
      <c r="D370" s="33">
        <v>3321</v>
      </c>
      <c r="E370" s="33">
        <v>337</v>
      </c>
      <c r="F370" s="33">
        <v>4</v>
      </c>
      <c r="G370" s="33">
        <v>4</v>
      </c>
      <c r="H370" s="33">
        <v>81421</v>
      </c>
      <c r="I370" s="33" t="s">
        <v>39</v>
      </c>
      <c r="J370" s="33">
        <v>23115166</v>
      </c>
      <c r="K370" s="33" t="s">
        <v>1305</v>
      </c>
      <c r="L370" s="39" t="s">
        <v>1307</v>
      </c>
      <c r="M370" s="35">
        <v>229900</v>
      </c>
      <c r="N370" s="71">
        <f t="shared" si="84"/>
        <v>0.75</v>
      </c>
      <c r="O370" s="72">
        <f t="shared" si="71"/>
        <v>57475</v>
      </c>
      <c r="P370" s="35" t="str">
        <f t="shared" si="85"/>
        <v>PERCENTAGE</v>
      </c>
    </row>
    <row r="371" spans="1:16" x14ac:dyDescent="0.35">
      <c r="A371" s="33" t="str">
        <f t="shared" ref="A371:C371" si="121">A370</f>
        <v>2024 JAN-SEP DISC 75%</v>
      </c>
      <c r="B371" s="34">
        <f t="shared" si="121"/>
        <v>46104</v>
      </c>
      <c r="C371" s="34">
        <f t="shared" si="121"/>
        <v>46113</v>
      </c>
      <c r="D371" s="33">
        <v>3321</v>
      </c>
      <c r="E371" s="33">
        <v>337</v>
      </c>
      <c r="F371" s="33">
        <v>4</v>
      </c>
      <c r="G371" s="33">
        <v>4</v>
      </c>
      <c r="H371" s="33">
        <v>81421</v>
      </c>
      <c r="I371" s="33" t="s">
        <v>39</v>
      </c>
      <c r="J371" s="33">
        <v>25022888</v>
      </c>
      <c r="K371" s="33" t="s">
        <v>1305</v>
      </c>
      <c r="L371" s="39" t="s">
        <v>1308</v>
      </c>
      <c r="M371" s="35">
        <v>229900</v>
      </c>
      <c r="N371" s="71">
        <f t="shared" si="84"/>
        <v>0.75</v>
      </c>
      <c r="O371" s="72">
        <f t="shared" si="71"/>
        <v>57475</v>
      </c>
      <c r="P371" s="35" t="str">
        <f t="shared" si="85"/>
        <v>PERCENTAGE</v>
      </c>
    </row>
    <row r="372" spans="1:16" x14ac:dyDescent="0.35">
      <c r="A372" s="33" t="str">
        <f t="shared" ref="A372:C372" si="122">A371</f>
        <v>2024 JAN-SEP DISC 75%</v>
      </c>
      <c r="B372" s="34">
        <f t="shared" si="122"/>
        <v>46104</v>
      </c>
      <c r="C372" s="34">
        <f t="shared" si="122"/>
        <v>46113</v>
      </c>
      <c r="D372" s="33">
        <v>3321</v>
      </c>
      <c r="E372" s="33">
        <v>337</v>
      </c>
      <c r="F372" s="33">
        <v>4</v>
      </c>
      <c r="G372" s="33">
        <v>4</v>
      </c>
      <c r="H372" s="33">
        <v>81421</v>
      </c>
      <c r="I372" s="33" t="s">
        <v>39</v>
      </c>
      <c r="J372" s="33">
        <v>25022897</v>
      </c>
      <c r="K372" s="33" t="s">
        <v>1305</v>
      </c>
      <c r="L372" s="39" t="s">
        <v>1309</v>
      </c>
      <c r="M372" s="35">
        <v>229900</v>
      </c>
      <c r="N372" s="71">
        <f t="shared" si="84"/>
        <v>0.75</v>
      </c>
      <c r="O372" s="72">
        <f t="shared" si="71"/>
        <v>57475</v>
      </c>
      <c r="P372" s="35" t="str">
        <f t="shared" si="85"/>
        <v>PERCENTAGE</v>
      </c>
    </row>
    <row r="373" spans="1:16" x14ac:dyDescent="0.35">
      <c r="A373" s="33" t="str">
        <f t="shared" ref="A373:C373" si="123">A372</f>
        <v>2024 JAN-SEP DISC 75%</v>
      </c>
      <c r="B373" s="34">
        <f t="shared" si="123"/>
        <v>46104</v>
      </c>
      <c r="C373" s="34">
        <f t="shared" si="123"/>
        <v>46113</v>
      </c>
      <c r="D373" s="33">
        <v>3321</v>
      </c>
      <c r="E373" s="33">
        <v>337</v>
      </c>
      <c r="F373" s="33">
        <v>4</v>
      </c>
      <c r="G373" s="33">
        <v>5</v>
      </c>
      <c r="H373" s="33">
        <v>81698</v>
      </c>
      <c r="I373" s="33" t="s">
        <v>39</v>
      </c>
      <c r="J373" s="33">
        <v>23115880</v>
      </c>
      <c r="K373" s="33" t="s">
        <v>1310</v>
      </c>
      <c r="L373" s="39" t="s">
        <v>1311</v>
      </c>
      <c r="M373" s="35">
        <v>299900</v>
      </c>
      <c r="N373" s="71">
        <f t="shared" si="84"/>
        <v>0.75</v>
      </c>
      <c r="O373" s="72">
        <f t="shared" si="71"/>
        <v>74975</v>
      </c>
      <c r="P373" s="35" t="str">
        <f t="shared" si="85"/>
        <v>PERCENTAGE</v>
      </c>
    </row>
    <row r="374" spans="1:16" x14ac:dyDescent="0.35">
      <c r="A374" s="33" t="str">
        <f t="shared" ref="A374:C374" si="124">A373</f>
        <v>2024 JAN-SEP DISC 75%</v>
      </c>
      <c r="B374" s="34">
        <f t="shared" si="124"/>
        <v>46104</v>
      </c>
      <c r="C374" s="34">
        <f t="shared" si="124"/>
        <v>46113</v>
      </c>
      <c r="D374" s="33">
        <v>3321</v>
      </c>
      <c r="E374" s="33">
        <v>337</v>
      </c>
      <c r="F374" s="33">
        <v>4</v>
      </c>
      <c r="G374" s="33">
        <v>5</v>
      </c>
      <c r="H374" s="33">
        <v>81698</v>
      </c>
      <c r="I374" s="33" t="s">
        <v>39</v>
      </c>
      <c r="J374" s="33">
        <v>23115899</v>
      </c>
      <c r="K374" s="33" t="s">
        <v>1310</v>
      </c>
      <c r="L374" s="39" t="s">
        <v>1312</v>
      </c>
      <c r="M374" s="35">
        <v>299900</v>
      </c>
      <c r="N374" s="71">
        <f t="shared" si="84"/>
        <v>0.75</v>
      </c>
      <c r="O374" s="72">
        <f t="shared" si="71"/>
        <v>74975</v>
      </c>
      <c r="P374" s="35" t="str">
        <f t="shared" si="85"/>
        <v>PERCENTAGE</v>
      </c>
    </row>
    <row r="375" spans="1:16" x14ac:dyDescent="0.35">
      <c r="A375" s="33" t="str">
        <f t="shared" ref="A375:C375" si="125">A374</f>
        <v>2024 JAN-SEP DISC 75%</v>
      </c>
      <c r="B375" s="34">
        <f t="shared" si="125"/>
        <v>46104</v>
      </c>
      <c r="C375" s="34">
        <f t="shared" si="125"/>
        <v>46113</v>
      </c>
      <c r="D375" s="33">
        <v>3321</v>
      </c>
      <c r="E375" s="33">
        <v>337</v>
      </c>
      <c r="F375" s="33">
        <v>4</v>
      </c>
      <c r="G375" s="33">
        <v>5</v>
      </c>
      <c r="H375" s="33">
        <v>81698</v>
      </c>
      <c r="I375" s="33" t="s">
        <v>39</v>
      </c>
      <c r="J375" s="33">
        <v>23116683</v>
      </c>
      <c r="K375" s="33" t="s">
        <v>1310</v>
      </c>
      <c r="L375" s="39" t="s">
        <v>1313</v>
      </c>
      <c r="M375" s="35">
        <v>299900</v>
      </c>
      <c r="N375" s="71">
        <f t="shared" si="84"/>
        <v>0.75</v>
      </c>
      <c r="O375" s="72">
        <f t="shared" si="71"/>
        <v>74975</v>
      </c>
      <c r="P375" s="35" t="str">
        <f t="shared" si="85"/>
        <v>PERCENTAGE</v>
      </c>
    </row>
    <row r="376" spans="1:16" x14ac:dyDescent="0.35">
      <c r="A376" s="33" t="str">
        <f t="shared" ref="A376:C376" si="126">A375</f>
        <v>2024 JAN-SEP DISC 75%</v>
      </c>
      <c r="B376" s="34">
        <f t="shared" si="126"/>
        <v>46104</v>
      </c>
      <c r="C376" s="34">
        <f t="shared" si="126"/>
        <v>46113</v>
      </c>
      <c r="D376" s="33">
        <v>3321</v>
      </c>
      <c r="E376" s="33">
        <v>337</v>
      </c>
      <c r="F376" s="33">
        <v>4</v>
      </c>
      <c r="G376" s="33">
        <v>5</v>
      </c>
      <c r="H376" s="33">
        <v>81698</v>
      </c>
      <c r="I376" s="33" t="s">
        <v>39</v>
      </c>
      <c r="J376" s="33">
        <v>23116754</v>
      </c>
      <c r="K376" s="33" t="s">
        <v>1310</v>
      </c>
      <c r="L376" s="39" t="s">
        <v>1314</v>
      </c>
      <c r="M376" s="35">
        <v>299900</v>
      </c>
      <c r="N376" s="71">
        <f t="shared" si="84"/>
        <v>0.75</v>
      </c>
      <c r="O376" s="72">
        <f t="shared" si="71"/>
        <v>74975</v>
      </c>
      <c r="P376" s="35" t="str">
        <f t="shared" si="85"/>
        <v>PERCENTAGE</v>
      </c>
    </row>
    <row r="377" spans="1:16" x14ac:dyDescent="0.35">
      <c r="A377" s="33" t="str">
        <f t="shared" ref="A377:C377" si="127">A376</f>
        <v>2024 JAN-SEP DISC 75%</v>
      </c>
      <c r="B377" s="34">
        <f t="shared" si="127"/>
        <v>46104</v>
      </c>
      <c r="C377" s="34">
        <f t="shared" si="127"/>
        <v>46113</v>
      </c>
      <c r="D377" s="33">
        <v>3321</v>
      </c>
      <c r="E377" s="33">
        <v>337</v>
      </c>
      <c r="F377" s="33">
        <v>4</v>
      </c>
      <c r="G377" s="33">
        <v>1</v>
      </c>
      <c r="H377" s="33">
        <v>81462</v>
      </c>
      <c r="I377" s="33" t="s">
        <v>39</v>
      </c>
      <c r="J377" s="33">
        <v>26741886</v>
      </c>
      <c r="K377" s="33" t="s">
        <v>1455</v>
      </c>
      <c r="L377" s="39" t="s">
        <v>1456</v>
      </c>
      <c r="M377" s="35">
        <v>139900</v>
      </c>
      <c r="N377" s="71">
        <f t="shared" si="84"/>
        <v>0.75</v>
      </c>
      <c r="O377" s="72">
        <f t="shared" si="71"/>
        <v>34975</v>
      </c>
      <c r="P377" s="35" t="str">
        <f t="shared" si="85"/>
        <v>PERCENTAGE</v>
      </c>
    </row>
    <row r="378" spans="1:16" x14ac:dyDescent="0.35">
      <c r="A378" s="33" t="str">
        <f t="shared" ref="A378:C378" si="128">A377</f>
        <v>2024 JAN-SEP DISC 75%</v>
      </c>
      <c r="B378" s="34">
        <f t="shared" si="128"/>
        <v>46104</v>
      </c>
      <c r="C378" s="34">
        <f t="shared" si="128"/>
        <v>46113</v>
      </c>
      <c r="D378" s="33">
        <v>3321</v>
      </c>
      <c r="E378" s="33">
        <v>337</v>
      </c>
      <c r="F378" s="33">
        <v>4</v>
      </c>
      <c r="G378" s="33">
        <v>1</v>
      </c>
      <c r="H378" s="33">
        <v>81462</v>
      </c>
      <c r="I378" s="33" t="s">
        <v>39</v>
      </c>
      <c r="J378" s="33">
        <v>26741895</v>
      </c>
      <c r="K378" s="33" t="s">
        <v>1455</v>
      </c>
      <c r="L378" s="39" t="s">
        <v>1457</v>
      </c>
      <c r="M378" s="35">
        <v>139900</v>
      </c>
      <c r="N378" s="71">
        <f t="shared" si="84"/>
        <v>0.75</v>
      </c>
      <c r="O378" s="72">
        <f t="shared" si="71"/>
        <v>34975</v>
      </c>
      <c r="P378" s="35" t="str">
        <f t="shared" si="85"/>
        <v>PERCENTAGE</v>
      </c>
    </row>
    <row r="379" spans="1:16" x14ac:dyDescent="0.35">
      <c r="A379" s="33" t="str">
        <f t="shared" ref="A379:C379" si="129">A378</f>
        <v>2024 JAN-SEP DISC 75%</v>
      </c>
      <c r="B379" s="34">
        <f t="shared" si="129"/>
        <v>46104</v>
      </c>
      <c r="C379" s="34">
        <f t="shared" si="129"/>
        <v>46113</v>
      </c>
      <c r="D379" s="33">
        <v>3321</v>
      </c>
      <c r="E379" s="33">
        <v>337</v>
      </c>
      <c r="F379" s="33">
        <v>4</v>
      </c>
      <c r="G379" s="33">
        <v>1</v>
      </c>
      <c r="H379" s="33">
        <v>81462</v>
      </c>
      <c r="I379" s="33" t="s">
        <v>39</v>
      </c>
      <c r="J379" s="33">
        <v>26741902</v>
      </c>
      <c r="K379" s="33" t="s">
        <v>1455</v>
      </c>
      <c r="L379" s="39" t="s">
        <v>1458</v>
      </c>
      <c r="M379" s="35">
        <v>139900</v>
      </c>
      <c r="N379" s="71">
        <f t="shared" si="84"/>
        <v>0.75</v>
      </c>
      <c r="O379" s="72">
        <f t="shared" si="71"/>
        <v>34975</v>
      </c>
      <c r="P379" s="35" t="str">
        <f t="shared" si="85"/>
        <v>PERCENTAGE</v>
      </c>
    </row>
    <row r="380" spans="1:16" x14ac:dyDescent="0.35">
      <c r="A380" s="33" t="str">
        <f t="shared" ref="A380:C380" si="130">A379</f>
        <v>2024 JAN-SEP DISC 75%</v>
      </c>
      <c r="B380" s="34">
        <f t="shared" si="130"/>
        <v>46104</v>
      </c>
      <c r="C380" s="34">
        <f t="shared" si="130"/>
        <v>46113</v>
      </c>
      <c r="D380" s="33">
        <v>3321</v>
      </c>
      <c r="E380" s="33">
        <v>337</v>
      </c>
      <c r="F380" s="33">
        <v>4</v>
      </c>
      <c r="G380" s="33">
        <v>1</v>
      </c>
      <c r="H380" s="33">
        <v>81462</v>
      </c>
      <c r="I380" s="33" t="s">
        <v>39</v>
      </c>
      <c r="J380" s="33">
        <v>26741911</v>
      </c>
      <c r="K380" s="33" t="s">
        <v>1455</v>
      </c>
      <c r="L380" s="39" t="s">
        <v>1459</v>
      </c>
      <c r="M380" s="35">
        <v>139900</v>
      </c>
      <c r="N380" s="71">
        <f t="shared" si="84"/>
        <v>0.75</v>
      </c>
      <c r="O380" s="72">
        <f t="shared" si="71"/>
        <v>34975</v>
      </c>
      <c r="P380" s="35" t="str">
        <f t="shared" si="85"/>
        <v>PERCENTAGE</v>
      </c>
    </row>
    <row r="381" spans="1:16" x14ac:dyDescent="0.35">
      <c r="A381" s="33" t="str">
        <f t="shared" ref="A381:C381" si="131">A380</f>
        <v>2024 JAN-SEP DISC 75%</v>
      </c>
      <c r="B381" s="34">
        <f t="shared" si="131"/>
        <v>46104</v>
      </c>
      <c r="C381" s="34">
        <f t="shared" si="131"/>
        <v>46113</v>
      </c>
      <c r="D381" s="33">
        <v>3321</v>
      </c>
      <c r="E381" s="33">
        <v>337</v>
      </c>
      <c r="F381" s="33">
        <v>4</v>
      </c>
      <c r="G381" s="33">
        <v>3</v>
      </c>
      <c r="H381" s="33">
        <v>81005</v>
      </c>
      <c r="I381" s="33" t="s">
        <v>39</v>
      </c>
      <c r="J381" s="33">
        <v>26741760</v>
      </c>
      <c r="K381" s="33" t="s">
        <v>1460</v>
      </c>
      <c r="L381" s="39" t="s">
        <v>1461</v>
      </c>
      <c r="M381" s="35">
        <v>219900</v>
      </c>
      <c r="N381" s="71">
        <f t="shared" si="84"/>
        <v>0.75</v>
      </c>
      <c r="O381" s="72">
        <f t="shared" si="71"/>
        <v>54975</v>
      </c>
      <c r="P381" s="35" t="str">
        <f t="shared" si="85"/>
        <v>PERCENTAGE</v>
      </c>
    </row>
    <row r="382" spans="1:16" x14ac:dyDescent="0.35">
      <c r="A382" s="33" t="str">
        <f t="shared" ref="A382:C382" si="132">A381</f>
        <v>2024 JAN-SEP DISC 75%</v>
      </c>
      <c r="B382" s="34">
        <f t="shared" si="132"/>
        <v>46104</v>
      </c>
      <c r="C382" s="34">
        <f t="shared" si="132"/>
        <v>46113</v>
      </c>
      <c r="D382" s="33">
        <v>3321</v>
      </c>
      <c r="E382" s="33">
        <v>337</v>
      </c>
      <c r="F382" s="33">
        <v>4</v>
      </c>
      <c r="G382" s="33">
        <v>3</v>
      </c>
      <c r="H382" s="33">
        <v>81005</v>
      </c>
      <c r="I382" s="33" t="s">
        <v>39</v>
      </c>
      <c r="J382" s="33">
        <v>26741779</v>
      </c>
      <c r="K382" s="33" t="s">
        <v>1460</v>
      </c>
      <c r="L382" s="39" t="s">
        <v>1462</v>
      </c>
      <c r="M382" s="35">
        <v>219900</v>
      </c>
      <c r="N382" s="71">
        <f t="shared" si="84"/>
        <v>0.75</v>
      </c>
      <c r="O382" s="72">
        <f t="shared" si="71"/>
        <v>54975</v>
      </c>
      <c r="P382" s="35" t="str">
        <f t="shared" si="85"/>
        <v>PERCENTAGE</v>
      </c>
    </row>
    <row r="383" spans="1:16" x14ac:dyDescent="0.35">
      <c r="A383" s="33" t="str">
        <f t="shared" ref="A383:C383" si="133">A382</f>
        <v>2024 JAN-SEP DISC 75%</v>
      </c>
      <c r="B383" s="34">
        <f t="shared" si="133"/>
        <v>46104</v>
      </c>
      <c r="C383" s="34">
        <f t="shared" si="133"/>
        <v>46113</v>
      </c>
      <c r="D383" s="33">
        <v>3321</v>
      </c>
      <c r="E383" s="33">
        <v>337</v>
      </c>
      <c r="F383" s="33">
        <v>4</v>
      </c>
      <c r="G383" s="33">
        <v>3</v>
      </c>
      <c r="H383" s="33">
        <v>81005</v>
      </c>
      <c r="I383" s="33" t="s">
        <v>39</v>
      </c>
      <c r="J383" s="33">
        <v>26741788</v>
      </c>
      <c r="K383" s="33" t="s">
        <v>1460</v>
      </c>
      <c r="L383" s="39" t="s">
        <v>1463</v>
      </c>
      <c r="M383" s="35">
        <v>219900</v>
      </c>
      <c r="N383" s="71">
        <f t="shared" si="84"/>
        <v>0.75</v>
      </c>
      <c r="O383" s="72">
        <f t="shared" si="71"/>
        <v>54975</v>
      </c>
      <c r="P383" s="35" t="str">
        <f t="shared" si="85"/>
        <v>PERCENTAGE</v>
      </c>
    </row>
    <row r="384" spans="1:16" x14ac:dyDescent="0.35">
      <c r="A384" s="33" t="str">
        <f t="shared" ref="A384:C384" si="134">A383</f>
        <v>2024 JAN-SEP DISC 75%</v>
      </c>
      <c r="B384" s="34">
        <f t="shared" si="134"/>
        <v>46104</v>
      </c>
      <c r="C384" s="34">
        <f t="shared" si="134"/>
        <v>46113</v>
      </c>
      <c r="D384" s="33">
        <v>3321</v>
      </c>
      <c r="E384" s="33">
        <v>337</v>
      </c>
      <c r="F384" s="33">
        <v>4</v>
      </c>
      <c r="G384" s="33">
        <v>3</v>
      </c>
      <c r="H384" s="33">
        <v>81005</v>
      </c>
      <c r="I384" s="33" t="s">
        <v>39</v>
      </c>
      <c r="J384" s="33">
        <v>26741751</v>
      </c>
      <c r="K384" s="33" t="s">
        <v>1460</v>
      </c>
      <c r="L384" s="39" t="s">
        <v>1464</v>
      </c>
      <c r="M384" s="35">
        <v>219900</v>
      </c>
      <c r="N384" s="71">
        <f t="shared" si="84"/>
        <v>0.75</v>
      </c>
      <c r="O384" s="72">
        <f t="shared" si="71"/>
        <v>54975</v>
      </c>
      <c r="P384" s="35" t="str">
        <f t="shared" si="85"/>
        <v>PERCENTAGE</v>
      </c>
    </row>
    <row r="385" spans="1:16" x14ac:dyDescent="0.35">
      <c r="A385" s="33" t="str">
        <f t="shared" ref="A385:C385" si="135">A384</f>
        <v>2024 JAN-SEP DISC 75%</v>
      </c>
      <c r="B385" s="34">
        <f t="shared" si="135"/>
        <v>46104</v>
      </c>
      <c r="C385" s="34">
        <f t="shared" si="135"/>
        <v>46113</v>
      </c>
      <c r="D385" s="33">
        <v>3321</v>
      </c>
      <c r="E385" s="33">
        <v>337</v>
      </c>
      <c r="F385" s="33">
        <v>4</v>
      </c>
      <c r="G385" s="33">
        <v>3</v>
      </c>
      <c r="H385" s="33">
        <v>81005</v>
      </c>
      <c r="I385" s="33" t="s">
        <v>39</v>
      </c>
      <c r="J385" s="33">
        <v>26741797</v>
      </c>
      <c r="K385" s="33" t="s">
        <v>1460</v>
      </c>
      <c r="L385" s="39" t="s">
        <v>1465</v>
      </c>
      <c r="M385" s="35">
        <v>219900</v>
      </c>
      <c r="N385" s="71">
        <f t="shared" si="84"/>
        <v>0.75</v>
      </c>
      <c r="O385" s="72">
        <f t="shared" si="71"/>
        <v>54975</v>
      </c>
      <c r="P385" s="35" t="str">
        <f t="shared" si="85"/>
        <v>PERCENTAGE</v>
      </c>
    </row>
    <row r="386" spans="1:16" x14ac:dyDescent="0.35">
      <c r="A386" s="33" t="str">
        <f t="shared" ref="A386:C386" si="136">A385</f>
        <v>2024 JAN-SEP DISC 75%</v>
      </c>
      <c r="B386" s="34">
        <f t="shared" si="136"/>
        <v>46104</v>
      </c>
      <c r="C386" s="34">
        <f t="shared" si="136"/>
        <v>46113</v>
      </c>
      <c r="D386" s="33">
        <v>3321</v>
      </c>
      <c r="E386" s="33">
        <v>337</v>
      </c>
      <c r="F386" s="33">
        <v>4</v>
      </c>
      <c r="G386" s="33">
        <v>5</v>
      </c>
      <c r="H386" s="33">
        <v>81421</v>
      </c>
      <c r="I386" s="33" t="s">
        <v>39</v>
      </c>
      <c r="J386" s="33">
        <v>24392650</v>
      </c>
      <c r="K386" s="33" t="s">
        <v>1466</v>
      </c>
      <c r="L386" s="39" t="s">
        <v>1467</v>
      </c>
      <c r="M386" s="35">
        <v>299900</v>
      </c>
      <c r="N386" s="71">
        <f t="shared" si="84"/>
        <v>0.75</v>
      </c>
      <c r="O386" s="72">
        <f t="shared" si="71"/>
        <v>74975</v>
      </c>
      <c r="P386" s="35" t="str">
        <f t="shared" si="85"/>
        <v>PERCENTAGE</v>
      </c>
    </row>
    <row r="387" spans="1:16" x14ac:dyDescent="0.35">
      <c r="A387" s="33" t="str">
        <f t="shared" ref="A387:C387" si="137">A386</f>
        <v>2024 JAN-SEP DISC 75%</v>
      </c>
      <c r="B387" s="34">
        <f t="shared" si="137"/>
        <v>46104</v>
      </c>
      <c r="C387" s="34">
        <f t="shared" si="137"/>
        <v>46113</v>
      </c>
      <c r="D387" s="33">
        <v>3321</v>
      </c>
      <c r="E387" s="33">
        <v>337</v>
      </c>
      <c r="F387" s="33">
        <v>4</v>
      </c>
      <c r="G387" s="33">
        <v>5</v>
      </c>
      <c r="H387" s="33">
        <v>81421</v>
      </c>
      <c r="I387" s="33" t="s">
        <v>39</v>
      </c>
      <c r="J387" s="33">
        <v>24392669</v>
      </c>
      <c r="K387" s="33" t="s">
        <v>1466</v>
      </c>
      <c r="L387" s="39" t="s">
        <v>1468</v>
      </c>
      <c r="M387" s="35">
        <v>299900</v>
      </c>
      <c r="N387" s="71">
        <f t="shared" si="84"/>
        <v>0.75</v>
      </c>
      <c r="O387" s="72">
        <f t="shared" ref="O387:O450" si="138">M387-((75*M387)/100)</f>
        <v>74975</v>
      </c>
      <c r="P387" s="35" t="str">
        <f t="shared" si="85"/>
        <v>PERCENTAGE</v>
      </c>
    </row>
    <row r="388" spans="1:16" x14ac:dyDescent="0.35">
      <c r="A388" s="33" t="str">
        <f t="shared" ref="A388:C388" si="139">A387</f>
        <v>2024 JAN-SEP DISC 75%</v>
      </c>
      <c r="B388" s="34">
        <f t="shared" si="139"/>
        <v>46104</v>
      </c>
      <c r="C388" s="34">
        <f t="shared" si="139"/>
        <v>46113</v>
      </c>
      <c r="D388" s="33">
        <v>3321</v>
      </c>
      <c r="E388" s="33">
        <v>337</v>
      </c>
      <c r="F388" s="33">
        <v>4</v>
      </c>
      <c r="G388" s="33">
        <v>5</v>
      </c>
      <c r="H388" s="33">
        <v>81421</v>
      </c>
      <c r="I388" s="33" t="s">
        <v>39</v>
      </c>
      <c r="J388" s="33">
        <v>24392687</v>
      </c>
      <c r="K388" s="33" t="s">
        <v>1466</v>
      </c>
      <c r="L388" s="39" t="s">
        <v>1469</v>
      </c>
      <c r="M388" s="35">
        <v>299900</v>
      </c>
      <c r="N388" s="71">
        <f t="shared" si="84"/>
        <v>0.75</v>
      </c>
      <c r="O388" s="72">
        <f t="shared" si="138"/>
        <v>74975</v>
      </c>
      <c r="P388" s="35" t="str">
        <f t="shared" si="85"/>
        <v>PERCENTAGE</v>
      </c>
    </row>
    <row r="389" spans="1:16" x14ac:dyDescent="0.35">
      <c r="A389" s="33" t="str">
        <f t="shared" ref="A389:C389" si="140">A388</f>
        <v>2024 JAN-SEP DISC 75%</v>
      </c>
      <c r="B389" s="34">
        <f t="shared" si="140"/>
        <v>46104</v>
      </c>
      <c r="C389" s="34">
        <f t="shared" si="140"/>
        <v>46113</v>
      </c>
      <c r="D389" s="33">
        <v>3321</v>
      </c>
      <c r="E389" s="33">
        <v>337</v>
      </c>
      <c r="F389" s="33">
        <v>4</v>
      </c>
      <c r="G389" s="33">
        <v>5</v>
      </c>
      <c r="H389" s="33">
        <v>81421</v>
      </c>
      <c r="I389" s="33" t="s">
        <v>39</v>
      </c>
      <c r="J389" s="33">
        <v>24392678</v>
      </c>
      <c r="K389" s="33" t="s">
        <v>1466</v>
      </c>
      <c r="L389" s="39" t="s">
        <v>1470</v>
      </c>
      <c r="M389" s="35">
        <v>299900</v>
      </c>
      <c r="N389" s="71">
        <f t="shared" si="84"/>
        <v>0.75</v>
      </c>
      <c r="O389" s="72">
        <f t="shared" si="138"/>
        <v>74975</v>
      </c>
      <c r="P389" s="35" t="str">
        <f t="shared" si="85"/>
        <v>PERCENTAGE</v>
      </c>
    </row>
    <row r="390" spans="1:16" x14ac:dyDescent="0.35">
      <c r="A390" s="33" t="str">
        <f t="shared" ref="A390:C390" si="141">A389</f>
        <v>2024 JAN-SEP DISC 75%</v>
      </c>
      <c r="B390" s="34">
        <f t="shared" si="141"/>
        <v>46104</v>
      </c>
      <c r="C390" s="34">
        <f t="shared" si="141"/>
        <v>46113</v>
      </c>
      <c r="D390" s="33">
        <v>3321</v>
      </c>
      <c r="E390" s="33">
        <v>337</v>
      </c>
      <c r="F390" s="33">
        <v>4</v>
      </c>
      <c r="G390" s="33">
        <v>4</v>
      </c>
      <c r="H390" s="33">
        <v>81421</v>
      </c>
      <c r="I390" s="33" t="s">
        <v>39</v>
      </c>
      <c r="J390" s="33">
        <v>23115111</v>
      </c>
      <c r="K390" s="33" t="s">
        <v>1471</v>
      </c>
      <c r="L390" s="39" t="s">
        <v>1472</v>
      </c>
      <c r="M390" s="35">
        <v>229900</v>
      </c>
      <c r="N390" s="71">
        <f t="shared" si="84"/>
        <v>0.75</v>
      </c>
      <c r="O390" s="72">
        <f t="shared" si="138"/>
        <v>57475</v>
      </c>
      <c r="P390" s="35" t="str">
        <f t="shared" si="85"/>
        <v>PERCENTAGE</v>
      </c>
    </row>
    <row r="391" spans="1:16" x14ac:dyDescent="0.35">
      <c r="A391" s="33" t="str">
        <f t="shared" ref="A391:C391" si="142">A390</f>
        <v>2024 JAN-SEP DISC 75%</v>
      </c>
      <c r="B391" s="34">
        <f t="shared" si="142"/>
        <v>46104</v>
      </c>
      <c r="C391" s="34">
        <f t="shared" si="142"/>
        <v>46113</v>
      </c>
      <c r="D391" s="33">
        <v>3321</v>
      </c>
      <c r="E391" s="33">
        <v>337</v>
      </c>
      <c r="F391" s="33">
        <v>4</v>
      </c>
      <c r="G391" s="33">
        <v>4</v>
      </c>
      <c r="H391" s="33">
        <v>81421</v>
      </c>
      <c r="I391" s="33" t="s">
        <v>39</v>
      </c>
      <c r="J391" s="33">
        <v>23115102</v>
      </c>
      <c r="K391" s="33" t="s">
        <v>1471</v>
      </c>
      <c r="L391" s="39" t="s">
        <v>1473</v>
      </c>
      <c r="M391" s="35">
        <v>229900</v>
      </c>
      <c r="N391" s="71">
        <f t="shared" si="84"/>
        <v>0.75</v>
      </c>
      <c r="O391" s="72">
        <f t="shared" si="138"/>
        <v>57475</v>
      </c>
      <c r="P391" s="35" t="str">
        <f t="shared" si="85"/>
        <v>PERCENTAGE</v>
      </c>
    </row>
    <row r="392" spans="1:16" x14ac:dyDescent="0.35">
      <c r="A392" s="33" t="str">
        <f t="shared" ref="A392:C392" si="143">A391</f>
        <v>2024 JAN-SEP DISC 75%</v>
      </c>
      <c r="B392" s="34">
        <f t="shared" si="143"/>
        <v>46104</v>
      </c>
      <c r="C392" s="34">
        <f t="shared" si="143"/>
        <v>46113</v>
      </c>
      <c r="D392" s="33">
        <v>3321</v>
      </c>
      <c r="E392" s="33">
        <v>337</v>
      </c>
      <c r="F392" s="33">
        <v>4</v>
      </c>
      <c r="G392" s="33">
        <v>4</v>
      </c>
      <c r="H392" s="33">
        <v>81421</v>
      </c>
      <c r="I392" s="33" t="s">
        <v>39</v>
      </c>
      <c r="J392" s="33">
        <v>25022860</v>
      </c>
      <c r="K392" s="33" t="s">
        <v>1471</v>
      </c>
      <c r="L392" s="39" t="s">
        <v>1474</v>
      </c>
      <c r="M392" s="35">
        <v>229900</v>
      </c>
      <c r="N392" s="71">
        <f t="shared" si="84"/>
        <v>0.75</v>
      </c>
      <c r="O392" s="72">
        <f t="shared" si="138"/>
        <v>57475</v>
      </c>
      <c r="P392" s="35" t="str">
        <f t="shared" si="85"/>
        <v>PERCENTAGE</v>
      </c>
    </row>
    <row r="393" spans="1:16" x14ac:dyDescent="0.35">
      <c r="A393" s="33" t="str">
        <f t="shared" ref="A393:C393" si="144">A392</f>
        <v>2024 JAN-SEP DISC 75%</v>
      </c>
      <c r="B393" s="34">
        <f t="shared" si="144"/>
        <v>46104</v>
      </c>
      <c r="C393" s="34">
        <f t="shared" si="144"/>
        <v>46113</v>
      </c>
      <c r="D393" s="33">
        <v>3321</v>
      </c>
      <c r="E393" s="33">
        <v>337</v>
      </c>
      <c r="F393" s="33">
        <v>4</v>
      </c>
      <c r="G393" s="33">
        <v>4</v>
      </c>
      <c r="H393" s="33">
        <v>81421</v>
      </c>
      <c r="I393" s="33" t="s">
        <v>39</v>
      </c>
      <c r="J393" s="33">
        <v>25022879</v>
      </c>
      <c r="K393" s="33" t="s">
        <v>1471</v>
      </c>
      <c r="L393" s="39" t="s">
        <v>1475</v>
      </c>
      <c r="M393" s="35">
        <v>229900</v>
      </c>
      <c r="N393" s="71">
        <f t="shared" si="84"/>
        <v>0.75</v>
      </c>
      <c r="O393" s="72">
        <f t="shared" si="138"/>
        <v>57475</v>
      </c>
      <c r="P393" s="35" t="str">
        <f t="shared" si="85"/>
        <v>PERCENTAGE</v>
      </c>
    </row>
    <row r="394" spans="1:16" x14ac:dyDescent="0.35">
      <c r="A394" s="33" t="str">
        <f t="shared" ref="A394:C394" si="145">A393</f>
        <v>2024 JAN-SEP DISC 75%</v>
      </c>
      <c r="B394" s="34">
        <f t="shared" si="145"/>
        <v>46104</v>
      </c>
      <c r="C394" s="34">
        <f t="shared" si="145"/>
        <v>46113</v>
      </c>
      <c r="D394" s="33">
        <v>3321</v>
      </c>
      <c r="E394" s="33">
        <v>337</v>
      </c>
      <c r="F394" s="33">
        <v>4</v>
      </c>
      <c r="G394" s="33">
        <v>5</v>
      </c>
      <c r="H394" s="33">
        <v>81421</v>
      </c>
      <c r="I394" s="33" t="s">
        <v>39</v>
      </c>
      <c r="J394" s="33">
        <v>23117717</v>
      </c>
      <c r="K394" s="33" t="s">
        <v>1476</v>
      </c>
      <c r="L394" s="39" t="s">
        <v>1477</v>
      </c>
      <c r="M394" s="35">
        <v>259900</v>
      </c>
      <c r="N394" s="71">
        <f t="shared" si="84"/>
        <v>0.75</v>
      </c>
      <c r="O394" s="72">
        <f t="shared" si="138"/>
        <v>64975</v>
      </c>
      <c r="P394" s="35" t="str">
        <f t="shared" si="85"/>
        <v>PERCENTAGE</v>
      </c>
    </row>
    <row r="395" spans="1:16" x14ac:dyDescent="0.35">
      <c r="A395" s="33" t="str">
        <f t="shared" ref="A395:C395" si="146">A394</f>
        <v>2024 JAN-SEP DISC 75%</v>
      </c>
      <c r="B395" s="34">
        <f t="shared" si="146"/>
        <v>46104</v>
      </c>
      <c r="C395" s="34">
        <f t="shared" si="146"/>
        <v>46113</v>
      </c>
      <c r="D395" s="33">
        <v>3321</v>
      </c>
      <c r="E395" s="33">
        <v>337</v>
      </c>
      <c r="F395" s="33">
        <v>4</v>
      </c>
      <c r="G395" s="33">
        <v>5</v>
      </c>
      <c r="H395" s="33">
        <v>81421</v>
      </c>
      <c r="I395" s="33" t="s">
        <v>39</v>
      </c>
      <c r="J395" s="33">
        <v>23117824</v>
      </c>
      <c r="K395" s="33" t="s">
        <v>1476</v>
      </c>
      <c r="L395" s="39" t="s">
        <v>1478</v>
      </c>
      <c r="M395" s="35">
        <v>259900</v>
      </c>
      <c r="N395" s="71">
        <f t="shared" si="84"/>
        <v>0.75</v>
      </c>
      <c r="O395" s="72">
        <f t="shared" si="138"/>
        <v>64975</v>
      </c>
      <c r="P395" s="35" t="str">
        <f t="shared" si="85"/>
        <v>PERCENTAGE</v>
      </c>
    </row>
    <row r="396" spans="1:16" x14ac:dyDescent="0.35">
      <c r="A396" s="33" t="str">
        <f t="shared" ref="A396:C396" si="147">A395</f>
        <v>2024 JAN-SEP DISC 75%</v>
      </c>
      <c r="B396" s="34">
        <f t="shared" si="147"/>
        <v>46104</v>
      </c>
      <c r="C396" s="34">
        <f t="shared" si="147"/>
        <v>46113</v>
      </c>
      <c r="D396" s="33">
        <v>3321</v>
      </c>
      <c r="E396" s="33">
        <v>337</v>
      </c>
      <c r="F396" s="33">
        <v>4</v>
      </c>
      <c r="G396" s="33">
        <v>5</v>
      </c>
      <c r="H396" s="33">
        <v>81421</v>
      </c>
      <c r="I396" s="33" t="s">
        <v>39</v>
      </c>
      <c r="J396" s="33">
        <v>23117842</v>
      </c>
      <c r="K396" s="33" t="s">
        <v>1476</v>
      </c>
      <c r="L396" s="39" t="s">
        <v>1479</v>
      </c>
      <c r="M396" s="35">
        <v>259900</v>
      </c>
      <c r="N396" s="71">
        <f t="shared" si="84"/>
        <v>0.75</v>
      </c>
      <c r="O396" s="72">
        <f t="shared" si="138"/>
        <v>64975</v>
      </c>
      <c r="P396" s="35" t="str">
        <f t="shared" si="85"/>
        <v>PERCENTAGE</v>
      </c>
    </row>
    <row r="397" spans="1:16" x14ac:dyDescent="0.35">
      <c r="A397" s="33" t="str">
        <f t="shared" ref="A397:C397" si="148">A396</f>
        <v>2024 JAN-SEP DISC 75%</v>
      </c>
      <c r="B397" s="34">
        <f t="shared" si="148"/>
        <v>46104</v>
      </c>
      <c r="C397" s="34">
        <f t="shared" si="148"/>
        <v>46113</v>
      </c>
      <c r="D397" s="33">
        <v>3321</v>
      </c>
      <c r="E397" s="33">
        <v>337</v>
      </c>
      <c r="F397" s="33">
        <v>4</v>
      </c>
      <c r="G397" s="33">
        <v>5</v>
      </c>
      <c r="H397" s="33">
        <v>81421</v>
      </c>
      <c r="I397" s="33" t="s">
        <v>39</v>
      </c>
      <c r="J397" s="33">
        <v>23117833</v>
      </c>
      <c r="K397" s="33" t="s">
        <v>1476</v>
      </c>
      <c r="L397" s="39" t="s">
        <v>1480</v>
      </c>
      <c r="M397" s="35">
        <v>259900</v>
      </c>
      <c r="N397" s="71">
        <f t="shared" si="84"/>
        <v>0.75</v>
      </c>
      <c r="O397" s="72">
        <f t="shared" si="138"/>
        <v>64975</v>
      </c>
      <c r="P397" s="35" t="str">
        <f t="shared" si="85"/>
        <v>PERCENTAGE</v>
      </c>
    </row>
    <row r="398" spans="1:16" x14ac:dyDescent="0.35">
      <c r="A398" s="33" t="str">
        <f t="shared" ref="A398:C398" si="149">A397</f>
        <v>2024 JAN-SEP DISC 75%</v>
      </c>
      <c r="B398" s="34">
        <f t="shared" si="149"/>
        <v>46104</v>
      </c>
      <c r="C398" s="34">
        <f t="shared" si="149"/>
        <v>46113</v>
      </c>
      <c r="D398" s="33">
        <v>3321</v>
      </c>
      <c r="E398" s="33">
        <v>337</v>
      </c>
      <c r="F398" s="33">
        <v>4</v>
      </c>
      <c r="G398" s="33">
        <v>1</v>
      </c>
      <c r="H398" s="33">
        <v>81676</v>
      </c>
      <c r="I398" s="33" t="s">
        <v>39</v>
      </c>
      <c r="J398" s="33">
        <v>24392561</v>
      </c>
      <c r="K398" s="33" t="s">
        <v>1481</v>
      </c>
      <c r="L398" s="39" t="s">
        <v>1482</v>
      </c>
      <c r="M398" s="35">
        <v>129900</v>
      </c>
      <c r="N398" s="71">
        <f t="shared" si="84"/>
        <v>0.75</v>
      </c>
      <c r="O398" s="72">
        <f t="shared" si="138"/>
        <v>32475</v>
      </c>
      <c r="P398" s="35" t="str">
        <f t="shared" si="85"/>
        <v>PERCENTAGE</v>
      </c>
    </row>
    <row r="399" spans="1:16" x14ac:dyDescent="0.35">
      <c r="A399" s="33" t="str">
        <f t="shared" ref="A399:C399" si="150">A398</f>
        <v>2024 JAN-SEP DISC 75%</v>
      </c>
      <c r="B399" s="34">
        <f t="shared" si="150"/>
        <v>46104</v>
      </c>
      <c r="C399" s="34">
        <f t="shared" si="150"/>
        <v>46113</v>
      </c>
      <c r="D399" s="33">
        <v>3321</v>
      </c>
      <c r="E399" s="33">
        <v>337</v>
      </c>
      <c r="F399" s="33">
        <v>4</v>
      </c>
      <c r="G399" s="33">
        <v>1</v>
      </c>
      <c r="H399" s="33">
        <v>81676</v>
      </c>
      <c r="I399" s="33" t="s">
        <v>39</v>
      </c>
      <c r="J399" s="33">
        <v>24392570</v>
      </c>
      <c r="K399" s="33" t="s">
        <v>1481</v>
      </c>
      <c r="L399" s="39" t="s">
        <v>1483</v>
      </c>
      <c r="M399" s="35">
        <v>129900</v>
      </c>
      <c r="N399" s="71">
        <f t="shared" ref="N399:N462" si="151">N398</f>
        <v>0.75</v>
      </c>
      <c r="O399" s="72">
        <f t="shared" si="138"/>
        <v>32475</v>
      </c>
      <c r="P399" s="35" t="str">
        <f t="shared" ref="P399:P462" si="152">P398</f>
        <v>PERCENTAGE</v>
      </c>
    </row>
    <row r="400" spans="1:16" x14ac:dyDescent="0.35">
      <c r="A400" s="33" t="str">
        <f t="shared" ref="A400:C400" si="153">A399</f>
        <v>2024 JAN-SEP DISC 75%</v>
      </c>
      <c r="B400" s="34">
        <f t="shared" si="153"/>
        <v>46104</v>
      </c>
      <c r="C400" s="34">
        <f t="shared" si="153"/>
        <v>46113</v>
      </c>
      <c r="D400" s="33">
        <v>3321</v>
      </c>
      <c r="E400" s="33">
        <v>337</v>
      </c>
      <c r="F400" s="33">
        <v>4</v>
      </c>
      <c r="G400" s="33">
        <v>1</v>
      </c>
      <c r="H400" s="33">
        <v>81676</v>
      </c>
      <c r="I400" s="33" t="s">
        <v>39</v>
      </c>
      <c r="J400" s="33">
        <v>24392589</v>
      </c>
      <c r="K400" s="33" t="s">
        <v>1481</v>
      </c>
      <c r="L400" s="39" t="s">
        <v>1484</v>
      </c>
      <c r="M400" s="35">
        <v>129900</v>
      </c>
      <c r="N400" s="71">
        <f t="shared" si="151"/>
        <v>0.75</v>
      </c>
      <c r="O400" s="72">
        <f t="shared" si="138"/>
        <v>32475</v>
      </c>
      <c r="P400" s="35" t="str">
        <f t="shared" si="152"/>
        <v>PERCENTAGE</v>
      </c>
    </row>
    <row r="401" spans="1:16" x14ac:dyDescent="0.35">
      <c r="A401" s="33" t="str">
        <f t="shared" ref="A401:C401" si="154">A400</f>
        <v>2024 JAN-SEP DISC 75%</v>
      </c>
      <c r="B401" s="34">
        <f t="shared" si="154"/>
        <v>46104</v>
      </c>
      <c r="C401" s="34">
        <f t="shared" si="154"/>
        <v>46113</v>
      </c>
      <c r="D401" s="33">
        <v>3321</v>
      </c>
      <c r="E401" s="33">
        <v>337</v>
      </c>
      <c r="F401" s="33">
        <v>4</v>
      </c>
      <c r="G401" s="33">
        <v>1</v>
      </c>
      <c r="H401" s="33">
        <v>81676</v>
      </c>
      <c r="I401" s="33" t="s">
        <v>39</v>
      </c>
      <c r="J401" s="33">
        <v>24392598</v>
      </c>
      <c r="K401" s="33" t="s">
        <v>1481</v>
      </c>
      <c r="L401" s="39" t="s">
        <v>1485</v>
      </c>
      <c r="M401" s="35">
        <v>129900</v>
      </c>
      <c r="N401" s="71">
        <f t="shared" si="151"/>
        <v>0.75</v>
      </c>
      <c r="O401" s="72">
        <f t="shared" si="138"/>
        <v>32475</v>
      </c>
      <c r="P401" s="35" t="str">
        <f t="shared" si="152"/>
        <v>PERCENTAGE</v>
      </c>
    </row>
    <row r="402" spans="1:16" x14ac:dyDescent="0.35">
      <c r="A402" s="33" t="str">
        <f t="shared" ref="A402:C402" si="155">A401</f>
        <v>2024 JAN-SEP DISC 75%</v>
      </c>
      <c r="B402" s="34">
        <f t="shared" si="155"/>
        <v>46104</v>
      </c>
      <c r="C402" s="34">
        <f t="shared" si="155"/>
        <v>46113</v>
      </c>
      <c r="D402" s="33">
        <v>3321</v>
      </c>
      <c r="E402" s="33">
        <v>337</v>
      </c>
      <c r="F402" s="33">
        <v>4</v>
      </c>
      <c r="G402" s="33">
        <v>1</v>
      </c>
      <c r="H402" s="33">
        <v>81676</v>
      </c>
      <c r="I402" s="33" t="s">
        <v>39</v>
      </c>
      <c r="J402" s="33">
        <v>24392623</v>
      </c>
      <c r="K402" s="33" t="s">
        <v>1486</v>
      </c>
      <c r="L402" s="39" t="s">
        <v>1487</v>
      </c>
      <c r="M402" s="35">
        <v>129900</v>
      </c>
      <c r="N402" s="71">
        <f t="shared" si="151"/>
        <v>0.75</v>
      </c>
      <c r="O402" s="72">
        <f t="shared" si="138"/>
        <v>32475</v>
      </c>
      <c r="P402" s="35" t="str">
        <f t="shared" si="152"/>
        <v>PERCENTAGE</v>
      </c>
    </row>
    <row r="403" spans="1:16" x14ac:dyDescent="0.35">
      <c r="A403" s="33" t="str">
        <f t="shared" ref="A403:C403" si="156">A402</f>
        <v>2024 JAN-SEP DISC 75%</v>
      </c>
      <c r="B403" s="34">
        <f t="shared" si="156"/>
        <v>46104</v>
      </c>
      <c r="C403" s="34">
        <f t="shared" si="156"/>
        <v>46113</v>
      </c>
      <c r="D403" s="33">
        <v>3321</v>
      </c>
      <c r="E403" s="33">
        <v>337</v>
      </c>
      <c r="F403" s="33">
        <v>4</v>
      </c>
      <c r="G403" s="33">
        <v>1</v>
      </c>
      <c r="H403" s="33">
        <v>81676</v>
      </c>
      <c r="I403" s="33" t="s">
        <v>39</v>
      </c>
      <c r="J403" s="33">
        <v>24392605</v>
      </c>
      <c r="K403" s="33" t="s">
        <v>1486</v>
      </c>
      <c r="L403" s="39" t="s">
        <v>1488</v>
      </c>
      <c r="M403" s="35">
        <v>129900</v>
      </c>
      <c r="N403" s="71">
        <f t="shared" si="151"/>
        <v>0.75</v>
      </c>
      <c r="O403" s="72">
        <f t="shared" si="138"/>
        <v>32475</v>
      </c>
      <c r="P403" s="35" t="str">
        <f t="shared" si="152"/>
        <v>PERCENTAGE</v>
      </c>
    </row>
    <row r="404" spans="1:16" x14ac:dyDescent="0.35">
      <c r="A404" s="33" t="str">
        <f t="shared" ref="A404:C404" si="157">A403</f>
        <v>2024 JAN-SEP DISC 75%</v>
      </c>
      <c r="B404" s="34">
        <f t="shared" si="157"/>
        <v>46104</v>
      </c>
      <c r="C404" s="34">
        <f t="shared" si="157"/>
        <v>46113</v>
      </c>
      <c r="D404" s="33">
        <v>3321</v>
      </c>
      <c r="E404" s="33">
        <v>337</v>
      </c>
      <c r="F404" s="33">
        <v>4</v>
      </c>
      <c r="G404" s="33">
        <v>1</v>
      </c>
      <c r="H404" s="33">
        <v>81676</v>
      </c>
      <c r="I404" s="33" t="s">
        <v>39</v>
      </c>
      <c r="J404" s="33">
        <v>24392632</v>
      </c>
      <c r="K404" s="33" t="s">
        <v>1486</v>
      </c>
      <c r="L404" s="39" t="s">
        <v>1489</v>
      </c>
      <c r="M404" s="35">
        <v>129900</v>
      </c>
      <c r="N404" s="71">
        <f t="shared" si="151"/>
        <v>0.75</v>
      </c>
      <c r="O404" s="72">
        <f t="shared" si="138"/>
        <v>32475</v>
      </c>
      <c r="P404" s="35" t="str">
        <f t="shared" si="152"/>
        <v>PERCENTAGE</v>
      </c>
    </row>
    <row r="405" spans="1:16" x14ac:dyDescent="0.35">
      <c r="A405" s="33" t="str">
        <f t="shared" ref="A405:C405" si="158">A404</f>
        <v>2024 JAN-SEP DISC 75%</v>
      </c>
      <c r="B405" s="34">
        <f t="shared" si="158"/>
        <v>46104</v>
      </c>
      <c r="C405" s="34">
        <f t="shared" si="158"/>
        <v>46113</v>
      </c>
      <c r="D405" s="33">
        <v>3321</v>
      </c>
      <c r="E405" s="33">
        <v>337</v>
      </c>
      <c r="F405" s="33">
        <v>4</v>
      </c>
      <c r="G405" s="33">
        <v>1</v>
      </c>
      <c r="H405" s="33">
        <v>81676</v>
      </c>
      <c r="I405" s="33" t="s">
        <v>39</v>
      </c>
      <c r="J405" s="33">
        <v>24392641</v>
      </c>
      <c r="K405" s="33" t="s">
        <v>1486</v>
      </c>
      <c r="L405" s="39" t="s">
        <v>1490</v>
      </c>
      <c r="M405" s="35">
        <v>129900</v>
      </c>
      <c r="N405" s="71">
        <f t="shared" si="151"/>
        <v>0.75</v>
      </c>
      <c r="O405" s="72">
        <f t="shared" si="138"/>
        <v>32475</v>
      </c>
      <c r="P405" s="35" t="str">
        <f t="shared" si="152"/>
        <v>PERCENTAGE</v>
      </c>
    </row>
    <row r="406" spans="1:16" x14ac:dyDescent="0.35">
      <c r="A406" s="33" t="str">
        <f t="shared" ref="A406:C406" si="159">A405</f>
        <v>2024 JAN-SEP DISC 75%</v>
      </c>
      <c r="B406" s="34">
        <f t="shared" si="159"/>
        <v>46104</v>
      </c>
      <c r="C406" s="34">
        <f t="shared" si="159"/>
        <v>46113</v>
      </c>
      <c r="D406" s="33">
        <v>3321</v>
      </c>
      <c r="E406" s="33">
        <v>337</v>
      </c>
      <c r="F406" s="33">
        <v>4</v>
      </c>
      <c r="G406" s="33">
        <v>1</v>
      </c>
      <c r="H406" s="33">
        <v>81462</v>
      </c>
      <c r="I406" s="33" t="s">
        <v>39</v>
      </c>
      <c r="J406" s="33">
        <v>26741920</v>
      </c>
      <c r="K406" s="33" t="s">
        <v>1491</v>
      </c>
      <c r="L406" s="39" t="s">
        <v>1492</v>
      </c>
      <c r="M406" s="35">
        <v>149900</v>
      </c>
      <c r="N406" s="71">
        <f t="shared" si="151"/>
        <v>0.75</v>
      </c>
      <c r="O406" s="72">
        <f t="shared" si="138"/>
        <v>37475</v>
      </c>
      <c r="P406" s="35" t="str">
        <f t="shared" si="152"/>
        <v>PERCENTAGE</v>
      </c>
    </row>
    <row r="407" spans="1:16" x14ac:dyDescent="0.35">
      <c r="A407" s="33" t="str">
        <f t="shared" ref="A407:C407" si="160">A406</f>
        <v>2024 JAN-SEP DISC 75%</v>
      </c>
      <c r="B407" s="34">
        <f t="shared" si="160"/>
        <v>46104</v>
      </c>
      <c r="C407" s="34">
        <f t="shared" si="160"/>
        <v>46113</v>
      </c>
      <c r="D407" s="33">
        <v>3321</v>
      </c>
      <c r="E407" s="33">
        <v>337</v>
      </c>
      <c r="F407" s="33">
        <v>4</v>
      </c>
      <c r="G407" s="33">
        <v>1</v>
      </c>
      <c r="H407" s="33">
        <v>81462</v>
      </c>
      <c r="I407" s="33" t="s">
        <v>39</v>
      </c>
      <c r="J407" s="33">
        <v>26741939</v>
      </c>
      <c r="K407" s="33" t="s">
        <v>1491</v>
      </c>
      <c r="L407" s="39" t="s">
        <v>1493</v>
      </c>
      <c r="M407" s="35">
        <v>149900</v>
      </c>
      <c r="N407" s="71">
        <f t="shared" si="151"/>
        <v>0.75</v>
      </c>
      <c r="O407" s="72">
        <f t="shared" si="138"/>
        <v>37475</v>
      </c>
      <c r="P407" s="35" t="str">
        <f t="shared" si="152"/>
        <v>PERCENTAGE</v>
      </c>
    </row>
    <row r="408" spans="1:16" x14ac:dyDescent="0.35">
      <c r="A408" s="33" t="str">
        <f t="shared" ref="A408:C408" si="161">A407</f>
        <v>2024 JAN-SEP DISC 75%</v>
      </c>
      <c r="B408" s="34">
        <f t="shared" si="161"/>
        <v>46104</v>
      </c>
      <c r="C408" s="34">
        <f t="shared" si="161"/>
        <v>46113</v>
      </c>
      <c r="D408" s="33">
        <v>3321</v>
      </c>
      <c r="E408" s="33">
        <v>337</v>
      </c>
      <c r="F408" s="33">
        <v>4</v>
      </c>
      <c r="G408" s="33">
        <v>1</v>
      </c>
      <c r="H408" s="33">
        <v>81462</v>
      </c>
      <c r="I408" s="33" t="s">
        <v>39</v>
      </c>
      <c r="J408" s="33">
        <v>26741948</v>
      </c>
      <c r="K408" s="33" t="s">
        <v>1491</v>
      </c>
      <c r="L408" s="39" t="s">
        <v>1494</v>
      </c>
      <c r="M408" s="35">
        <v>149900</v>
      </c>
      <c r="N408" s="71">
        <f t="shared" si="151"/>
        <v>0.75</v>
      </c>
      <c r="O408" s="72">
        <f t="shared" si="138"/>
        <v>37475</v>
      </c>
      <c r="P408" s="35" t="str">
        <f t="shared" si="152"/>
        <v>PERCENTAGE</v>
      </c>
    </row>
    <row r="409" spans="1:16" x14ac:dyDescent="0.35">
      <c r="A409" s="33" t="str">
        <f t="shared" ref="A409:C409" si="162">A408</f>
        <v>2024 JAN-SEP DISC 75%</v>
      </c>
      <c r="B409" s="34">
        <f t="shared" si="162"/>
        <v>46104</v>
      </c>
      <c r="C409" s="34">
        <f t="shared" si="162"/>
        <v>46113</v>
      </c>
      <c r="D409" s="33">
        <v>3321</v>
      </c>
      <c r="E409" s="33">
        <v>337</v>
      </c>
      <c r="F409" s="33">
        <v>4</v>
      </c>
      <c r="G409" s="33">
        <v>1</v>
      </c>
      <c r="H409" s="33">
        <v>81462</v>
      </c>
      <c r="I409" s="33" t="s">
        <v>39</v>
      </c>
      <c r="J409" s="33">
        <v>26741957</v>
      </c>
      <c r="K409" s="33" t="s">
        <v>1491</v>
      </c>
      <c r="L409" s="39" t="s">
        <v>1495</v>
      </c>
      <c r="M409" s="35">
        <v>149900</v>
      </c>
      <c r="N409" s="71">
        <f t="shared" si="151"/>
        <v>0.75</v>
      </c>
      <c r="O409" s="72">
        <f t="shared" si="138"/>
        <v>37475</v>
      </c>
      <c r="P409" s="35" t="str">
        <f t="shared" si="152"/>
        <v>PERCENTAGE</v>
      </c>
    </row>
    <row r="410" spans="1:16" x14ac:dyDescent="0.35">
      <c r="A410" s="33" t="str">
        <f t="shared" ref="A410:C410" si="163">A409</f>
        <v>2024 JAN-SEP DISC 75%</v>
      </c>
      <c r="B410" s="34">
        <f t="shared" si="163"/>
        <v>46104</v>
      </c>
      <c r="C410" s="34">
        <f t="shared" si="163"/>
        <v>46113</v>
      </c>
      <c r="D410" s="33">
        <v>3321</v>
      </c>
      <c r="E410" s="33">
        <v>337</v>
      </c>
      <c r="F410" s="33">
        <v>4</v>
      </c>
      <c r="G410" s="33">
        <v>1</v>
      </c>
      <c r="H410" s="33">
        <v>81462</v>
      </c>
      <c r="I410" s="33" t="s">
        <v>39</v>
      </c>
      <c r="J410" s="33">
        <v>26741840</v>
      </c>
      <c r="K410" s="33" t="s">
        <v>1496</v>
      </c>
      <c r="L410" s="39" t="s">
        <v>1497</v>
      </c>
      <c r="M410" s="35">
        <v>139900</v>
      </c>
      <c r="N410" s="71">
        <f t="shared" si="151"/>
        <v>0.75</v>
      </c>
      <c r="O410" s="72">
        <f t="shared" si="138"/>
        <v>34975</v>
      </c>
      <c r="P410" s="35" t="str">
        <f t="shared" si="152"/>
        <v>PERCENTAGE</v>
      </c>
    </row>
    <row r="411" spans="1:16" x14ac:dyDescent="0.35">
      <c r="A411" s="33" t="str">
        <f t="shared" ref="A411:C411" si="164">A410</f>
        <v>2024 JAN-SEP DISC 75%</v>
      </c>
      <c r="B411" s="34">
        <f t="shared" si="164"/>
        <v>46104</v>
      </c>
      <c r="C411" s="34">
        <f t="shared" si="164"/>
        <v>46113</v>
      </c>
      <c r="D411" s="33">
        <v>3321</v>
      </c>
      <c r="E411" s="33">
        <v>337</v>
      </c>
      <c r="F411" s="33">
        <v>4</v>
      </c>
      <c r="G411" s="33">
        <v>1</v>
      </c>
      <c r="H411" s="33">
        <v>81462</v>
      </c>
      <c r="I411" s="33" t="s">
        <v>39</v>
      </c>
      <c r="J411" s="33">
        <v>26741859</v>
      </c>
      <c r="K411" s="33" t="s">
        <v>1496</v>
      </c>
      <c r="L411" s="39" t="s">
        <v>1498</v>
      </c>
      <c r="M411" s="35">
        <v>139900</v>
      </c>
      <c r="N411" s="71">
        <f t="shared" si="151"/>
        <v>0.75</v>
      </c>
      <c r="O411" s="72">
        <f t="shared" si="138"/>
        <v>34975</v>
      </c>
      <c r="P411" s="35" t="str">
        <f t="shared" si="152"/>
        <v>PERCENTAGE</v>
      </c>
    </row>
    <row r="412" spans="1:16" x14ac:dyDescent="0.35">
      <c r="A412" s="33" t="str">
        <f t="shared" ref="A412:C412" si="165">A411</f>
        <v>2024 JAN-SEP DISC 75%</v>
      </c>
      <c r="B412" s="34">
        <f t="shared" si="165"/>
        <v>46104</v>
      </c>
      <c r="C412" s="34">
        <f t="shared" si="165"/>
        <v>46113</v>
      </c>
      <c r="D412" s="33">
        <v>3321</v>
      </c>
      <c r="E412" s="33">
        <v>337</v>
      </c>
      <c r="F412" s="33">
        <v>4</v>
      </c>
      <c r="G412" s="33">
        <v>1</v>
      </c>
      <c r="H412" s="33">
        <v>81462</v>
      </c>
      <c r="I412" s="33" t="s">
        <v>39</v>
      </c>
      <c r="J412" s="33">
        <v>26741868</v>
      </c>
      <c r="K412" s="33" t="s">
        <v>1496</v>
      </c>
      <c r="L412" s="39" t="s">
        <v>1499</v>
      </c>
      <c r="M412" s="35">
        <v>139900</v>
      </c>
      <c r="N412" s="71">
        <f t="shared" si="151"/>
        <v>0.75</v>
      </c>
      <c r="O412" s="72">
        <f t="shared" si="138"/>
        <v>34975</v>
      </c>
      <c r="P412" s="35" t="str">
        <f t="shared" si="152"/>
        <v>PERCENTAGE</v>
      </c>
    </row>
    <row r="413" spans="1:16" x14ac:dyDescent="0.35">
      <c r="A413" s="33" t="str">
        <f t="shared" ref="A413:C413" si="166">A412</f>
        <v>2024 JAN-SEP DISC 75%</v>
      </c>
      <c r="B413" s="34">
        <f t="shared" si="166"/>
        <v>46104</v>
      </c>
      <c r="C413" s="34">
        <f t="shared" si="166"/>
        <v>46113</v>
      </c>
      <c r="D413" s="33">
        <v>3321</v>
      </c>
      <c r="E413" s="33">
        <v>337</v>
      </c>
      <c r="F413" s="33">
        <v>4</v>
      </c>
      <c r="G413" s="33">
        <v>1</v>
      </c>
      <c r="H413" s="33">
        <v>81462</v>
      </c>
      <c r="I413" s="33" t="s">
        <v>39</v>
      </c>
      <c r="J413" s="33">
        <v>26741877</v>
      </c>
      <c r="K413" s="33" t="s">
        <v>1496</v>
      </c>
      <c r="L413" s="39" t="s">
        <v>1500</v>
      </c>
      <c r="M413" s="35">
        <v>139900</v>
      </c>
      <c r="N413" s="71">
        <f t="shared" si="151"/>
        <v>0.75</v>
      </c>
      <c r="O413" s="72">
        <f t="shared" si="138"/>
        <v>34975</v>
      </c>
      <c r="P413" s="35" t="str">
        <f t="shared" si="152"/>
        <v>PERCENTAGE</v>
      </c>
    </row>
    <row r="414" spans="1:16" x14ac:dyDescent="0.35">
      <c r="A414" s="33" t="str">
        <f t="shared" ref="A414:C414" si="167">A413</f>
        <v>2024 JAN-SEP DISC 75%</v>
      </c>
      <c r="B414" s="34">
        <f t="shared" si="167"/>
        <v>46104</v>
      </c>
      <c r="C414" s="34">
        <f t="shared" si="167"/>
        <v>46113</v>
      </c>
      <c r="D414" s="33">
        <v>3321</v>
      </c>
      <c r="E414" s="33">
        <v>337</v>
      </c>
      <c r="F414" s="33">
        <v>4</v>
      </c>
      <c r="G414" s="33">
        <v>1</v>
      </c>
      <c r="H414" s="33">
        <v>81676</v>
      </c>
      <c r="I414" s="33" t="s">
        <v>39</v>
      </c>
      <c r="J414" s="33">
        <v>45900187</v>
      </c>
      <c r="K414" s="33" t="s">
        <v>1501</v>
      </c>
      <c r="L414" s="39" t="s">
        <v>3218</v>
      </c>
      <c r="M414" s="35">
        <v>139900</v>
      </c>
      <c r="N414" s="71">
        <f t="shared" si="151"/>
        <v>0.75</v>
      </c>
      <c r="O414" s="72">
        <f t="shared" si="138"/>
        <v>34975</v>
      </c>
      <c r="P414" s="35" t="str">
        <f t="shared" si="152"/>
        <v>PERCENTAGE</v>
      </c>
    </row>
    <row r="415" spans="1:16" x14ac:dyDescent="0.35">
      <c r="A415" s="33" t="str">
        <f t="shared" ref="A415:C415" si="168">A414</f>
        <v>2024 JAN-SEP DISC 75%</v>
      </c>
      <c r="B415" s="34">
        <f t="shared" si="168"/>
        <v>46104</v>
      </c>
      <c r="C415" s="34">
        <f t="shared" si="168"/>
        <v>46113</v>
      </c>
      <c r="D415" s="33">
        <v>3321</v>
      </c>
      <c r="E415" s="33">
        <v>337</v>
      </c>
      <c r="F415" s="33">
        <v>4</v>
      </c>
      <c r="G415" s="33">
        <v>1</v>
      </c>
      <c r="H415" s="33">
        <v>81676</v>
      </c>
      <c r="I415" s="33" t="s">
        <v>39</v>
      </c>
      <c r="J415" s="33">
        <v>45900196</v>
      </c>
      <c r="K415" s="33" t="s">
        <v>1501</v>
      </c>
      <c r="L415" s="39" t="s">
        <v>3219</v>
      </c>
      <c r="M415" s="35">
        <v>139900</v>
      </c>
      <c r="N415" s="71">
        <f t="shared" si="151"/>
        <v>0.75</v>
      </c>
      <c r="O415" s="72">
        <f t="shared" si="138"/>
        <v>34975</v>
      </c>
      <c r="P415" s="35" t="str">
        <f t="shared" si="152"/>
        <v>PERCENTAGE</v>
      </c>
    </row>
    <row r="416" spans="1:16" x14ac:dyDescent="0.35">
      <c r="A416" s="33" t="str">
        <f t="shared" ref="A416:C416" si="169">A415</f>
        <v>2024 JAN-SEP DISC 75%</v>
      </c>
      <c r="B416" s="34">
        <f t="shared" si="169"/>
        <v>46104</v>
      </c>
      <c r="C416" s="34">
        <f t="shared" si="169"/>
        <v>46113</v>
      </c>
      <c r="D416" s="33">
        <v>3321</v>
      </c>
      <c r="E416" s="33">
        <v>337</v>
      </c>
      <c r="F416" s="33">
        <v>4</v>
      </c>
      <c r="G416" s="33">
        <v>1</v>
      </c>
      <c r="H416" s="33">
        <v>81676</v>
      </c>
      <c r="I416" s="33" t="s">
        <v>39</v>
      </c>
      <c r="J416" s="33">
        <v>45900203</v>
      </c>
      <c r="K416" s="33" t="s">
        <v>1501</v>
      </c>
      <c r="L416" s="39" t="s">
        <v>3220</v>
      </c>
      <c r="M416" s="35">
        <v>139900</v>
      </c>
      <c r="N416" s="71">
        <f t="shared" si="151"/>
        <v>0.75</v>
      </c>
      <c r="O416" s="72">
        <f t="shared" si="138"/>
        <v>34975</v>
      </c>
      <c r="P416" s="35" t="str">
        <f t="shared" si="152"/>
        <v>PERCENTAGE</v>
      </c>
    </row>
    <row r="417" spans="1:16" x14ac:dyDescent="0.35">
      <c r="A417" s="33" t="str">
        <f t="shared" ref="A417:C417" si="170">A416</f>
        <v>2024 JAN-SEP DISC 75%</v>
      </c>
      <c r="B417" s="34">
        <f t="shared" si="170"/>
        <v>46104</v>
      </c>
      <c r="C417" s="34">
        <f t="shared" si="170"/>
        <v>46113</v>
      </c>
      <c r="D417" s="33">
        <v>3321</v>
      </c>
      <c r="E417" s="33">
        <v>337</v>
      </c>
      <c r="F417" s="33">
        <v>4</v>
      </c>
      <c r="G417" s="33">
        <v>1</v>
      </c>
      <c r="H417" s="33">
        <v>81676</v>
      </c>
      <c r="I417" s="33" t="s">
        <v>39</v>
      </c>
      <c r="J417" s="33">
        <v>45900212</v>
      </c>
      <c r="K417" s="33" t="s">
        <v>1501</v>
      </c>
      <c r="L417" s="39" t="s">
        <v>3221</v>
      </c>
      <c r="M417" s="35">
        <v>139900</v>
      </c>
      <c r="N417" s="71">
        <f t="shared" si="151"/>
        <v>0.75</v>
      </c>
      <c r="O417" s="72">
        <f t="shared" si="138"/>
        <v>34975</v>
      </c>
      <c r="P417" s="35" t="str">
        <f t="shared" si="152"/>
        <v>PERCENTAGE</v>
      </c>
    </row>
    <row r="418" spans="1:16" x14ac:dyDescent="0.35">
      <c r="A418" s="33" t="str">
        <f t="shared" ref="A418:C418" si="171">A417</f>
        <v>2024 JAN-SEP DISC 75%</v>
      </c>
      <c r="B418" s="34">
        <f t="shared" si="171"/>
        <v>46104</v>
      </c>
      <c r="C418" s="34">
        <f t="shared" si="171"/>
        <v>46113</v>
      </c>
      <c r="D418" s="33">
        <v>3321</v>
      </c>
      <c r="E418" s="33">
        <v>337</v>
      </c>
      <c r="F418" s="33">
        <v>4</v>
      </c>
      <c r="G418" s="33">
        <v>1</v>
      </c>
      <c r="H418" s="33">
        <v>81676</v>
      </c>
      <c r="I418" s="33" t="s">
        <v>39</v>
      </c>
      <c r="J418" s="33">
        <v>45900258</v>
      </c>
      <c r="K418" s="33" t="s">
        <v>1502</v>
      </c>
      <c r="L418" s="39" t="s">
        <v>1503</v>
      </c>
      <c r="M418" s="35">
        <v>139900</v>
      </c>
      <c r="N418" s="71">
        <f t="shared" si="151"/>
        <v>0.75</v>
      </c>
      <c r="O418" s="72">
        <f t="shared" si="138"/>
        <v>34975</v>
      </c>
      <c r="P418" s="35" t="str">
        <f t="shared" si="152"/>
        <v>PERCENTAGE</v>
      </c>
    </row>
    <row r="419" spans="1:16" x14ac:dyDescent="0.35">
      <c r="A419" s="33" t="str">
        <f t="shared" ref="A419:C419" si="172">A418</f>
        <v>2024 JAN-SEP DISC 75%</v>
      </c>
      <c r="B419" s="34">
        <f t="shared" si="172"/>
        <v>46104</v>
      </c>
      <c r="C419" s="34">
        <f t="shared" si="172"/>
        <v>46113</v>
      </c>
      <c r="D419" s="33">
        <v>3321</v>
      </c>
      <c r="E419" s="33">
        <v>337</v>
      </c>
      <c r="F419" s="33">
        <v>4</v>
      </c>
      <c r="G419" s="33">
        <v>1</v>
      </c>
      <c r="H419" s="33">
        <v>81676</v>
      </c>
      <c r="I419" s="33" t="s">
        <v>39</v>
      </c>
      <c r="J419" s="33">
        <v>45900221</v>
      </c>
      <c r="K419" s="33" t="s">
        <v>1502</v>
      </c>
      <c r="L419" s="39" t="s">
        <v>1504</v>
      </c>
      <c r="M419" s="35">
        <v>139900</v>
      </c>
      <c r="N419" s="71">
        <f t="shared" si="151"/>
        <v>0.75</v>
      </c>
      <c r="O419" s="72">
        <f t="shared" si="138"/>
        <v>34975</v>
      </c>
      <c r="P419" s="35" t="str">
        <f t="shared" si="152"/>
        <v>PERCENTAGE</v>
      </c>
    </row>
    <row r="420" spans="1:16" x14ac:dyDescent="0.35">
      <c r="A420" s="33" t="str">
        <f t="shared" ref="A420:C420" si="173">A419</f>
        <v>2024 JAN-SEP DISC 75%</v>
      </c>
      <c r="B420" s="34">
        <f t="shared" si="173"/>
        <v>46104</v>
      </c>
      <c r="C420" s="34">
        <f t="shared" si="173"/>
        <v>46113</v>
      </c>
      <c r="D420" s="33">
        <v>3321</v>
      </c>
      <c r="E420" s="33">
        <v>337</v>
      </c>
      <c r="F420" s="33">
        <v>4</v>
      </c>
      <c r="G420" s="33">
        <v>1</v>
      </c>
      <c r="H420" s="33">
        <v>81676</v>
      </c>
      <c r="I420" s="33" t="s">
        <v>39</v>
      </c>
      <c r="J420" s="33">
        <v>45900230</v>
      </c>
      <c r="K420" s="33" t="s">
        <v>1502</v>
      </c>
      <c r="L420" s="39" t="s">
        <v>1505</v>
      </c>
      <c r="M420" s="35">
        <v>139900</v>
      </c>
      <c r="N420" s="71">
        <f t="shared" si="151"/>
        <v>0.75</v>
      </c>
      <c r="O420" s="72">
        <f t="shared" si="138"/>
        <v>34975</v>
      </c>
      <c r="P420" s="35" t="str">
        <f t="shared" si="152"/>
        <v>PERCENTAGE</v>
      </c>
    </row>
    <row r="421" spans="1:16" x14ac:dyDescent="0.35">
      <c r="A421" s="33" t="str">
        <f t="shared" ref="A421:C421" si="174">A420</f>
        <v>2024 JAN-SEP DISC 75%</v>
      </c>
      <c r="B421" s="34">
        <f t="shared" si="174"/>
        <v>46104</v>
      </c>
      <c r="C421" s="34">
        <f t="shared" si="174"/>
        <v>46113</v>
      </c>
      <c r="D421" s="33">
        <v>3321</v>
      </c>
      <c r="E421" s="33">
        <v>337</v>
      </c>
      <c r="F421" s="33">
        <v>4</v>
      </c>
      <c r="G421" s="33">
        <v>1</v>
      </c>
      <c r="H421" s="33">
        <v>81676</v>
      </c>
      <c r="I421" s="33" t="s">
        <v>39</v>
      </c>
      <c r="J421" s="33">
        <v>45900249</v>
      </c>
      <c r="K421" s="33" t="s">
        <v>1502</v>
      </c>
      <c r="L421" s="39" t="s">
        <v>1506</v>
      </c>
      <c r="M421" s="35">
        <v>139900</v>
      </c>
      <c r="N421" s="71">
        <f t="shared" si="151"/>
        <v>0.75</v>
      </c>
      <c r="O421" s="72">
        <f t="shared" si="138"/>
        <v>34975</v>
      </c>
      <c r="P421" s="35" t="str">
        <f t="shared" si="152"/>
        <v>PERCENTAGE</v>
      </c>
    </row>
    <row r="422" spans="1:16" x14ac:dyDescent="0.35">
      <c r="A422" s="33" t="str">
        <f t="shared" ref="A422:C422" si="175">A421</f>
        <v>2024 JAN-SEP DISC 75%</v>
      </c>
      <c r="B422" s="34">
        <f t="shared" si="175"/>
        <v>46104</v>
      </c>
      <c r="C422" s="34">
        <f t="shared" si="175"/>
        <v>46113</v>
      </c>
      <c r="D422" s="33">
        <v>3321</v>
      </c>
      <c r="E422" s="33">
        <v>337</v>
      </c>
      <c r="F422" s="33">
        <v>4</v>
      </c>
      <c r="G422" s="33">
        <v>5</v>
      </c>
      <c r="H422" s="33">
        <v>81421</v>
      </c>
      <c r="I422" s="33" t="s">
        <v>39</v>
      </c>
      <c r="J422" s="33">
        <v>23117048</v>
      </c>
      <c r="K422" s="33" t="s">
        <v>1507</v>
      </c>
      <c r="L422" s="39" t="s">
        <v>1508</v>
      </c>
      <c r="M422" s="35">
        <v>259900</v>
      </c>
      <c r="N422" s="71">
        <f t="shared" si="151"/>
        <v>0.75</v>
      </c>
      <c r="O422" s="72">
        <f t="shared" si="138"/>
        <v>64975</v>
      </c>
      <c r="P422" s="35" t="str">
        <f t="shared" si="152"/>
        <v>PERCENTAGE</v>
      </c>
    </row>
    <row r="423" spans="1:16" x14ac:dyDescent="0.35">
      <c r="A423" s="33" t="str">
        <f t="shared" ref="A423:C423" si="176">A422</f>
        <v>2024 JAN-SEP DISC 75%</v>
      </c>
      <c r="B423" s="34">
        <f t="shared" si="176"/>
        <v>46104</v>
      </c>
      <c r="C423" s="34">
        <f t="shared" si="176"/>
        <v>46113</v>
      </c>
      <c r="D423" s="33">
        <v>3321</v>
      </c>
      <c r="E423" s="33">
        <v>337</v>
      </c>
      <c r="F423" s="33">
        <v>4</v>
      </c>
      <c r="G423" s="33">
        <v>5</v>
      </c>
      <c r="H423" s="33">
        <v>81421</v>
      </c>
      <c r="I423" s="33" t="s">
        <v>39</v>
      </c>
      <c r="J423" s="33">
        <v>23117682</v>
      </c>
      <c r="K423" s="33" t="s">
        <v>1507</v>
      </c>
      <c r="L423" s="39" t="s">
        <v>1509</v>
      </c>
      <c r="M423" s="35">
        <v>259900</v>
      </c>
      <c r="N423" s="71">
        <f t="shared" si="151"/>
        <v>0.75</v>
      </c>
      <c r="O423" s="72">
        <f t="shared" si="138"/>
        <v>64975</v>
      </c>
      <c r="P423" s="35" t="str">
        <f t="shared" si="152"/>
        <v>PERCENTAGE</v>
      </c>
    </row>
    <row r="424" spans="1:16" x14ac:dyDescent="0.35">
      <c r="A424" s="33" t="str">
        <f t="shared" ref="A424:C424" si="177">A423</f>
        <v>2024 JAN-SEP DISC 75%</v>
      </c>
      <c r="B424" s="34">
        <f t="shared" si="177"/>
        <v>46104</v>
      </c>
      <c r="C424" s="34">
        <f t="shared" si="177"/>
        <v>46113</v>
      </c>
      <c r="D424" s="33">
        <v>3321</v>
      </c>
      <c r="E424" s="33">
        <v>337</v>
      </c>
      <c r="F424" s="33">
        <v>4</v>
      </c>
      <c r="G424" s="33">
        <v>5</v>
      </c>
      <c r="H424" s="33">
        <v>81421</v>
      </c>
      <c r="I424" s="33" t="s">
        <v>39</v>
      </c>
      <c r="J424" s="33">
        <v>23117691</v>
      </c>
      <c r="K424" s="33" t="s">
        <v>1507</v>
      </c>
      <c r="L424" s="39" t="s">
        <v>1510</v>
      </c>
      <c r="M424" s="35">
        <v>259900</v>
      </c>
      <c r="N424" s="71">
        <f t="shared" si="151"/>
        <v>0.75</v>
      </c>
      <c r="O424" s="72">
        <f t="shared" si="138"/>
        <v>64975</v>
      </c>
      <c r="P424" s="35" t="str">
        <f t="shared" si="152"/>
        <v>PERCENTAGE</v>
      </c>
    </row>
    <row r="425" spans="1:16" x14ac:dyDescent="0.35">
      <c r="A425" s="33" t="str">
        <f t="shared" ref="A425:C425" si="178">A424</f>
        <v>2024 JAN-SEP DISC 75%</v>
      </c>
      <c r="B425" s="34">
        <f t="shared" si="178"/>
        <v>46104</v>
      </c>
      <c r="C425" s="34">
        <f t="shared" si="178"/>
        <v>46113</v>
      </c>
      <c r="D425" s="33">
        <v>3321</v>
      </c>
      <c r="E425" s="33">
        <v>337</v>
      </c>
      <c r="F425" s="33">
        <v>4</v>
      </c>
      <c r="G425" s="33">
        <v>5</v>
      </c>
      <c r="H425" s="33">
        <v>81421</v>
      </c>
      <c r="I425" s="33" t="s">
        <v>39</v>
      </c>
      <c r="J425" s="33">
        <v>23117708</v>
      </c>
      <c r="K425" s="33" t="s">
        <v>1507</v>
      </c>
      <c r="L425" s="39" t="s">
        <v>1511</v>
      </c>
      <c r="M425" s="35">
        <v>259900</v>
      </c>
      <c r="N425" s="71">
        <f t="shared" si="151"/>
        <v>0.75</v>
      </c>
      <c r="O425" s="72">
        <f t="shared" si="138"/>
        <v>64975</v>
      </c>
      <c r="P425" s="35" t="str">
        <f t="shared" si="152"/>
        <v>PERCENTAGE</v>
      </c>
    </row>
    <row r="426" spans="1:16" x14ac:dyDescent="0.35">
      <c r="A426" s="33" t="str">
        <f t="shared" ref="A426:C426" si="179">A425</f>
        <v>2024 JAN-SEP DISC 75%</v>
      </c>
      <c r="B426" s="34">
        <f t="shared" si="179"/>
        <v>46104</v>
      </c>
      <c r="C426" s="34">
        <f t="shared" si="179"/>
        <v>46113</v>
      </c>
      <c r="D426" s="33">
        <v>3321</v>
      </c>
      <c r="E426" s="33">
        <v>337</v>
      </c>
      <c r="F426" s="33">
        <v>4</v>
      </c>
      <c r="G426" s="33">
        <v>5</v>
      </c>
      <c r="H426" s="33">
        <v>81421</v>
      </c>
      <c r="I426" s="33" t="s">
        <v>39</v>
      </c>
      <c r="J426" s="33">
        <v>45965957</v>
      </c>
      <c r="K426" s="33" t="s">
        <v>1512</v>
      </c>
      <c r="L426" s="39" t="s">
        <v>1513</v>
      </c>
      <c r="M426" s="35">
        <v>259900</v>
      </c>
      <c r="N426" s="71">
        <f t="shared" si="151"/>
        <v>0.75</v>
      </c>
      <c r="O426" s="72">
        <f t="shared" si="138"/>
        <v>64975</v>
      </c>
      <c r="P426" s="35" t="str">
        <f t="shared" si="152"/>
        <v>PERCENTAGE</v>
      </c>
    </row>
    <row r="427" spans="1:16" x14ac:dyDescent="0.35">
      <c r="A427" s="33" t="str">
        <f t="shared" ref="A427:C427" si="180">A426</f>
        <v>2024 JAN-SEP DISC 75%</v>
      </c>
      <c r="B427" s="34">
        <f t="shared" si="180"/>
        <v>46104</v>
      </c>
      <c r="C427" s="34">
        <f t="shared" si="180"/>
        <v>46113</v>
      </c>
      <c r="D427" s="33">
        <v>3321</v>
      </c>
      <c r="E427" s="33">
        <v>337</v>
      </c>
      <c r="F427" s="33">
        <v>4</v>
      </c>
      <c r="G427" s="33">
        <v>5</v>
      </c>
      <c r="H427" s="33">
        <v>81421</v>
      </c>
      <c r="I427" s="33" t="s">
        <v>39</v>
      </c>
      <c r="J427" s="33">
        <v>45965966</v>
      </c>
      <c r="K427" s="33" t="s">
        <v>1512</v>
      </c>
      <c r="L427" s="39" t="s">
        <v>1514</v>
      </c>
      <c r="M427" s="35">
        <v>259900</v>
      </c>
      <c r="N427" s="71">
        <f t="shared" si="151"/>
        <v>0.75</v>
      </c>
      <c r="O427" s="72">
        <f t="shared" si="138"/>
        <v>64975</v>
      </c>
      <c r="P427" s="35" t="str">
        <f t="shared" si="152"/>
        <v>PERCENTAGE</v>
      </c>
    </row>
    <row r="428" spans="1:16" x14ac:dyDescent="0.35">
      <c r="A428" s="33" t="str">
        <f t="shared" ref="A428:C428" si="181">A427</f>
        <v>2024 JAN-SEP DISC 75%</v>
      </c>
      <c r="B428" s="34">
        <f t="shared" si="181"/>
        <v>46104</v>
      </c>
      <c r="C428" s="34">
        <f t="shared" si="181"/>
        <v>46113</v>
      </c>
      <c r="D428" s="33">
        <v>3321</v>
      </c>
      <c r="E428" s="33">
        <v>337</v>
      </c>
      <c r="F428" s="33">
        <v>4</v>
      </c>
      <c r="G428" s="33">
        <v>5</v>
      </c>
      <c r="H428" s="33">
        <v>81421</v>
      </c>
      <c r="I428" s="33" t="s">
        <v>39</v>
      </c>
      <c r="J428" s="33">
        <v>45965975</v>
      </c>
      <c r="K428" s="33" t="s">
        <v>1512</v>
      </c>
      <c r="L428" s="39" t="s">
        <v>1515</v>
      </c>
      <c r="M428" s="35">
        <v>259900</v>
      </c>
      <c r="N428" s="71">
        <f t="shared" si="151"/>
        <v>0.75</v>
      </c>
      <c r="O428" s="72">
        <f t="shared" si="138"/>
        <v>64975</v>
      </c>
      <c r="P428" s="35" t="str">
        <f t="shared" si="152"/>
        <v>PERCENTAGE</v>
      </c>
    </row>
    <row r="429" spans="1:16" x14ac:dyDescent="0.35">
      <c r="A429" s="33" t="str">
        <f t="shared" ref="A429:C429" si="182">A428</f>
        <v>2024 JAN-SEP DISC 75%</v>
      </c>
      <c r="B429" s="34">
        <f t="shared" si="182"/>
        <v>46104</v>
      </c>
      <c r="C429" s="34">
        <f t="shared" si="182"/>
        <v>46113</v>
      </c>
      <c r="D429" s="33">
        <v>3321</v>
      </c>
      <c r="E429" s="33">
        <v>337</v>
      </c>
      <c r="F429" s="33">
        <v>4</v>
      </c>
      <c r="G429" s="33">
        <v>5</v>
      </c>
      <c r="H429" s="33">
        <v>81421</v>
      </c>
      <c r="I429" s="33" t="s">
        <v>39</v>
      </c>
      <c r="J429" s="33">
        <v>45965984</v>
      </c>
      <c r="K429" s="33" t="s">
        <v>1512</v>
      </c>
      <c r="L429" s="39" t="s">
        <v>1516</v>
      </c>
      <c r="M429" s="35">
        <v>259900</v>
      </c>
      <c r="N429" s="71">
        <f t="shared" si="151"/>
        <v>0.75</v>
      </c>
      <c r="O429" s="72">
        <f t="shared" si="138"/>
        <v>64975</v>
      </c>
      <c r="P429" s="35" t="str">
        <f t="shared" si="152"/>
        <v>PERCENTAGE</v>
      </c>
    </row>
    <row r="430" spans="1:16" x14ac:dyDescent="0.35">
      <c r="A430" s="33" t="str">
        <f t="shared" ref="A430:C430" si="183">A429</f>
        <v>2024 JAN-SEP DISC 75%</v>
      </c>
      <c r="B430" s="34">
        <f t="shared" si="183"/>
        <v>46104</v>
      </c>
      <c r="C430" s="34">
        <f t="shared" si="183"/>
        <v>46113</v>
      </c>
      <c r="D430" s="33">
        <v>3321</v>
      </c>
      <c r="E430" s="33">
        <v>337</v>
      </c>
      <c r="F430" s="33">
        <v>4</v>
      </c>
      <c r="G430" s="33">
        <v>5</v>
      </c>
      <c r="H430" s="33">
        <v>81005</v>
      </c>
      <c r="I430" s="33" t="s">
        <v>39</v>
      </c>
      <c r="J430" s="33">
        <v>26742081</v>
      </c>
      <c r="K430" s="33" t="s">
        <v>1517</v>
      </c>
      <c r="L430" s="39" t="s">
        <v>1518</v>
      </c>
      <c r="M430" s="35">
        <v>259900</v>
      </c>
      <c r="N430" s="71">
        <f t="shared" si="151"/>
        <v>0.75</v>
      </c>
      <c r="O430" s="72">
        <f t="shared" si="138"/>
        <v>64975</v>
      </c>
      <c r="P430" s="35" t="str">
        <f t="shared" si="152"/>
        <v>PERCENTAGE</v>
      </c>
    </row>
    <row r="431" spans="1:16" x14ac:dyDescent="0.35">
      <c r="A431" s="33" t="str">
        <f t="shared" ref="A431:C431" si="184">A430</f>
        <v>2024 JAN-SEP DISC 75%</v>
      </c>
      <c r="B431" s="34">
        <f t="shared" si="184"/>
        <v>46104</v>
      </c>
      <c r="C431" s="34">
        <f t="shared" si="184"/>
        <v>46113</v>
      </c>
      <c r="D431" s="33">
        <v>3321</v>
      </c>
      <c r="E431" s="33">
        <v>337</v>
      </c>
      <c r="F431" s="33">
        <v>4</v>
      </c>
      <c r="G431" s="33">
        <v>5</v>
      </c>
      <c r="H431" s="33">
        <v>81005</v>
      </c>
      <c r="I431" s="33" t="s">
        <v>39</v>
      </c>
      <c r="J431" s="33">
        <v>26742090</v>
      </c>
      <c r="K431" s="33" t="s">
        <v>1517</v>
      </c>
      <c r="L431" s="39" t="s">
        <v>1519</v>
      </c>
      <c r="M431" s="35">
        <v>259900</v>
      </c>
      <c r="N431" s="71">
        <f t="shared" si="151"/>
        <v>0.75</v>
      </c>
      <c r="O431" s="72">
        <f t="shared" si="138"/>
        <v>64975</v>
      </c>
      <c r="P431" s="35" t="str">
        <f t="shared" si="152"/>
        <v>PERCENTAGE</v>
      </c>
    </row>
    <row r="432" spans="1:16" x14ac:dyDescent="0.35">
      <c r="A432" s="33" t="str">
        <f t="shared" ref="A432:C432" si="185">A431</f>
        <v>2024 JAN-SEP DISC 75%</v>
      </c>
      <c r="B432" s="34">
        <f t="shared" si="185"/>
        <v>46104</v>
      </c>
      <c r="C432" s="34">
        <f t="shared" si="185"/>
        <v>46113</v>
      </c>
      <c r="D432" s="33">
        <v>3321</v>
      </c>
      <c r="E432" s="33">
        <v>337</v>
      </c>
      <c r="F432" s="33">
        <v>4</v>
      </c>
      <c r="G432" s="33">
        <v>5</v>
      </c>
      <c r="H432" s="33">
        <v>81005</v>
      </c>
      <c r="I432" s="33" t="s">
        <v>39</v>
      </c>
      <c r="J432" s="33">
        <v>26742107</v>
      </c>
      <c r="K432" s="33" t="s">
        <v>1517</v>
      </c>
      <c r="L432" s="39" t="s">
        <v>1520</v>
      </c>
      <c r="M432" s="35">
        <v>259900</v>
      </c>
      <c r="N432" s="71">
        <f t="shared" si="151"/>
        <v>0.75</v>
      </c>
      <c r="O432" s="72">
        <f t="shared" si="138"/>
        <v>64975</v>
      </c>
      <c r="P432" s="35" t="str">
        <f t="shared" si="152"/>
        <v>PERCENTAGE</v>
      </c>
    </row>
    <row r="433" spans="1:16" x14ac:dyDescent="0.35">
      <c r="A433" s="33" t="str">
        <f t="shared" ref="A433:C433" si="186">A432</f>
        <v>2024 JAN-SEP DISC 75%</v>
      </c>
      <c r="B433" s="34">
        <f t="shared" si="186"/>
        <v>46104</v>
      </c>
      <c r="C433" s="34">
        <f t="shared" si="186"/>
        <v>46113</v>
      </c>
      <c r="D433" s="33">
        <v>3321</v>
      </c>
      <c r="E433" s="33">
        <v>337</v>
      </c>
      <c r="F433" s="33">
        <v>4</v>
      </c>
      <c r="G433" s="33">
        <v>5</v>
      </c>
      <c r="H433" s="33">
        <v>81005</v>
      </c>
      <c r="I433" s="33" t="s">
        <v>39</v>
      </c>
      <c r="J433" s="33">
        <v>26742116</v>
      </c>
      <c r="K433" s="33" t="s">
        <v>1517</v>
      </c>
      <c r="L433" s="39" t="s">
        <v>1521</v>
      </c>
      <c r="M433" s="35">
        <v>259900</v>
      </c>
      <c r="N433" s="71">
        <f t="shared" si="151"/>
        <v>0.75</v>
      </c>
      <c r="O433" s="72">
        <f t="shared" si="138"/>
        <v>64975</v>
      </c>
      <c r="P433" s="35" t="str">
        <f t="shared" si="152"/>
        <v>PERCENTAGE</v>
      </c>
    </row>
    <row r="434" spans="1:16" x14ac:dyDescent="0.35">
      <c r="A434" s="33" t="str">
        <f t="shared" ref="A434:C434" si="187">A433</f>
        <v>2024 JAN-SEP DISC 75%</v>
      </c>
      <c r="B434" s="34">
        <f t="shared" si="187"/>
        <v>46104</v>
      </c>
      <c r="C434" s="34">
        <f t="shared" si="187"/>
        <v>46113</v>
      </c>
      <c r="D434" s="33">
        <v>3321</v>
      </c>
      <c r="E434" s="33">
        <v>337</v>
      </c>
      <c r="F434" s="33">
        <v>4</v>
      </c>
      <c r="G434" s="33">
        <v>5</v>
      </c>
      <c r="H434" s="33">
        <v>81005</v>
      </c>
      <c r="I434" s="33" t="s">
        <v>39</v>
      </c>
      <c r="J434" s="33">
        <v>26742125</v>
      </c>
      <c r="K434" s="33" t="s">
        <v>1517</v>
      </c>
      <c r="L434" s="39" t="s">
        <v>1522</v>
      </c>
      <c r="M434" s="35">
        <v>259900</v>
      </c>
      <c r="N434" s="71">
        <f t="shared" si="151"/>
        <v>0.75</v>
      </c>
      <c r="O434" s="72">
        <f t="shared" si="138"/>
        <v>64975</v>
      </c>
      <c r="P434" s="35" t="str">
        <f t="shared" si="152"/>
        <v>PERCENTAGE</v>
      </c>
    </row>
    <row r="435" spans="1:16" x14ac:dyDescent="0.35">
      <c r="A435" s="33" t="str">
        <f t="shared" ref="A435:C435" si="188">A434</f>
        <v>2024 JAN-SEP DISC 75%</v>
      </c>
      <c r="B435" s="34">
        <f t="shared" si="188"/>
        <v>46104</v>
      </c>
      <c r="C435" s="34">
        <f t="shared" si="188"/>
        <v>46113</v>
      </c>
      <c r="D435" s="33">
        <v>3321</v>
      </c>
      <c r="E435" s="33">
        <v>337</v>
      </c>
      <c r="F435" s="33">
        <v>4</v>
      </c>
      <c r="G435" s="33">
        <v>5</v>
      </c>
      <c r="H435" s="33">
        <v>81005</v>
      </c>
      <c r="I435" s="33" t="s">
        <v>39</v>
      </c>
      <c r="J435" s="33">
        <v>26742134</v>
      </c>
      <c r="K435" s="33" t="s">
        <v>1523</v>
      </c>
      <c r="L435" s="39" t="s">
        <v>1524</v>
      </c>
      <c r="M435" s="35">
        <v>259900</v>
      </c>
      <c r="N435" s="71">
        <f t="shared" si="151"/>
        <v>0.75</v>
      </c>
      <c r="O435" s="72">
        <f t="shared" si="138"/>
        <v>64975</v>
      </c>
      <c r="P435" s="35" t="str">
        <f t="shared" si="152"/>
        <v>PERCENTAGE</v>
      </c>
    </row>
    <row r="436" spans="1:16" x14ac:dyDescent="0.35">
      <c r="A436" s="33" t="str">
        <f t="shared" ref="A436:C436" si="189">A435</f>
        <v>2024 JAN-SEP DISC 75%</v>
      </c>
      <c r="B436" s="34">
        <f t="shared" si="189"/>
        <v>46104</v>
      </c>
      <c r="C436" s="34">
        <f t="shared" si="189"/>
        <v>46113</v>
      </c>
      <c r="D436" s="33">
        <v>3321</v>
      </c>
      <c r="E436" s="33">
        <v>337</v>
      </c>
      <c r="F436" s="33">
        <v>4</v>
      </c>
      <c r="G436" s="33">
        <v>5</v>
      </c>
      <c r="H436" s="33">
        <v>81005</v>
      </c>
      <c r="I436" s="33" t="s">
        <v>39</v>
      </c>
      <c r="J436" s="33">
        <v>26742143</v>
      </c>
      <c r="K436" s="33" t="s">
        <v>1523</v>
      </c>
      <c r="L436" s="39" t="s">
        <v>1525</v>
      </c>
      <c r="M436" s="35">
        <v>259900</v>
      </c>
      <c r="N436" s="71">
        <f t="shared" si="151"/>
        <v>0.75</v>
      </c>
      <c r="O436" s="72">
        <f t="shared" si="138"/>
        <v>64975</v>
      </c>
      <c r="P436" s="35" t="str">
        <f t="shared" si="152"/>
        <v>PERCENTAGE</v>
      </c>
    </row>
    <row r="437" spans="1:16" x14ac:dyDescent="0.35">
      <c r="A437" s="33" t="str">
        <f t="shared" ref="A437:C437" si="190">A436</f>
        <v>2024 JAN-SEP DISC 75%</v>
      </c>
      <c r="B437" s="34">
        <f t="shared" si="190"/>
        <v>46104</v>
      </c>
      <c r="C437" s="34">
        <f t="shared" si="190"/>
        <v>46113</v>
      </c>
      <c r="D437" s="33">
        <v>3321</v>
      </c>
      <c r="E437" s="33">
        <v>337</v>
      </c>
      <c r="F437" s="33">
        <v>4</v>
      </c>
      <c r="G437" s="33">
        <v>5</v>
      </c>
      <c r="H437" s="33">
        <v>81005</v>
      </c>
      <c r="I437" s="33" t="s">
        <v>39</v>
      </c>
      <c r="J437" s="33">
        <v>26742152</v>
      </c>
      <c r="K437" s="33" t="s">
        <v>1523</v>
      </c>
      <c r="L437" s="39" t="s">
        <v>1526</v>
      </c>
      <c r="M437" s="35">
        <v>259900</v>
      </c>
      <c r="N437" s="71">
        <f t="shared" si="151"/>
        <v>0.75</v>
      </c>
      <c r="O437" s="72">
        <f t="shared" si="138"/>
        <v>64975</v>
      </c>
      <c r="P437" s="35" t="str">
        <f t="shared" si="152"/>
        <v>PERCENTAGE</v>
      </c>
    </row>
    <row r="438" spans="1:16" x14ac:dyDescent="0.35">
      <c r="A438" s="33" t="str">
        <f t="shared" ref="A438:C438" si="191">A437</f>
        <v>2024 JAN-SEP DISC 75%</v>
      </c>
      <c r="B438" s="34">
        <f t="shared" si="191"/>
        <v>46104</v>
      </c>
      <c r="C438" s="34">
        <f t="shared" si="191"/>
        <v>46113</v>
      </c>
      <c r="D438" s="33">
        <v>3321</v>
      </c>
      <c r="E438" s="33">
        <v>337</v>
      </c>
      <c r="F438" s="33">
        <v>4</v>
      </c>
      <c r="G438" s="33">
        <v>5</v>
      </c>
      <c r="H438" s="33">
        <v>81005</v>
      </c>
      <c r="I438" s="33" t="s">
        <v>39</v>
      </c>
      <c r="J438" s="33">
        <v>26742161</v>
      </c>
      <c r="K438" s="33" t="s">
        <v>1523</v>
      </c>
      <c r="L438" s="39" t="s">
        <v>1527</v>
      </c>
      <c r="M438" s="35">
        <v>259900</v>
      </c>
      <c r="N438" s="71">
        <f t="shared" si="151"/>
        <v>0.75</v>
      </c>
      <c r="O438" s="72">
        <f t="shared" si="138"/>
        <v>64975</v>
      </c>
      <c r="P438" s="35" t="str">
        <f t="shared" si="152"/>
        <v>PERCENTAGE</v>
      </c>
    </row>
    <row r="439" spans="1:16" x14ac:dyDescent="0.35">
      <c r="A439" s="33" t="str">
        <f t="shared" ref="A439:C439" si="192">A438</f>
        <v>2024 JAN-SEP DISC 75%</v>
      </c>
      <c r="B439" s="34">
        <f t="shared" si="192"/>
        <v>46104</v>
      </c>
      <c r="C439" s="34">
        <f t="shared" si="192"/>
        <v>46113</v>
      </c>
      <c r="D439" s="33">
        <v>3321</v>
      </c>
      <c r="E439" s="33">
        <v>337</v>
      </c>
      <c r="F439" s="33">
        <v>4</v>
      </c>
      <c r="G439" s="33">
        <v>5</v>
      </c>
      <c r="H439" s="33">
        <v>81005</v>
      </c>
      <c r="I439" s="33" t="s">
        <v>39</v>
      </c>
      <c r="J439" s="33">
        <v>26742170</v>
      </c>
      <c r="K439" s="33" t="s">
        <v>1523</v>
      </c>
      <c r="L439" s="39" t="s">
        <v>1528</v>
      </c>
      <c r="M439" s="35">
        <v>259900</v>
      </c>
      <c r="N439" s="71">
        <f t="shared" si="151"/>
        <v>0.75</v>
      </c>
      <c r="O439" s="72">
        <f t="shared" si="138"/>
        <v>64975</v>
      </c>
      <c r="P439" s="35" t="str">
        <f t="shared" si="152"/>
        <v>PERCENTAGE</v>
      </c>
    </row>
    <row r="440" spans="1:16" x14ac:dyDescent="0.35">
      <c r="A440" s="33" t="str">
        <f t="shared" ref="A440:C440" si="193">A439</f>
        <v>2024 JAN-SEP DISC 75%</v>
      </c>
      <c r="B440" s="34">
        <f t="shared" si="193"/>
        <v>46104</v>
      </c>
      <c r="C440" s="34">
        <f t="shared" si="193"/>
        <v>46113</v>
      </c>
      <c r="D440" s="33">
        <v>3321</v>
      </c>
      <c r="E440" s="33">
        <v>337</v>
      </c>
      <c r="F440" s="33">
        <v>4</v>
      </c>
      <c r="G440" s="33">
        <v>1</v>
      </c>
      <c r="H440" s="33">
        <v>81421</v>
      </c>
      <c r="I440" s="33" t="s">
        <v>39</v>
      </c>
      <c r="J440" s="33">
        <v>26741804</v>
      </c>
      <c r="K440" s="33" t="s">
        <v>1529</v>
      </c>
      <c r="L440" s="39" t="s">
        <v>1530</v>
      </c>
      <c r="M440" s="35">
        <v>179900</v>
      </c>
      <c r="N440" s="71">
        <f t="shared" si="151"/>
        <v>0.75</v>
      </c>
      <c r="O440" s="72">
        <f t="shared" si="138"/>
        <v>44975</v>
      </c>
      <c r="P440" s="35" t="str">
        <f t="shared" si="152"/>
        <v>PERCENTAGE</v>
      </c>
    </row>
    <row r="441" spans="1:16" x14ac:dyDescent="0.35">
      <c r="A441" s="33" t="str">
        <f t="shared" ref="A441:C441" si="194">A440</f>
        <v>2024 JAN-SEP DISC 75%</v>
      </c>
      <c r="B441" s="34">
        <f t="shared" si="194"/>
        <v>46104</v>
      </c>
      <c r="C441" s="34">
        <f t="shared" si="194"/>
        <v>46113</v>
      </c>
      <c r="D441" s="33">
        <v>3321</v>
      </c>
      <c r="E441" s="33">
        <v>337</v>
      </c>
      <c r="F441" s="33">
        <v>4</v>
      </c>
      <c r="G441" s="33">
        <v>1</v>
      </c>
      <c r="H441" s="33">
        <v>81421</v>
      </c>
      <c r="I441" s="33" t="s">
        <v>39</v>
      </c>
      <c r="J441" s="33">
        <v>26741813</v>
      </c>
      <c r="K441" s="33" t="s">
        <v>1529</v>
      </c>
      <c r="L441" s="39" t="s">
        <v>1531</v>
      </c>
      <c r="M441" s="35">
        <v>179900</v>
      </c>
      <c r="N441" s="71">
        <f t="shared" si="151"/>
        <v>0.75</v>
      </c>
      <c r="O441" s="72">
        <f t="shared" si="138"/>
        <v>44975</v>
      </c>
      <c r="P441" s="35" t="str">
        <f t="shared" si="152"/>
        <v>PERCENTAGE</v>
      </c>
    </row>
    <row r="442" spans="1:16" x14ac:dyDescent="0.35">
      <c r="A442" s="33" t="str">
        <f t="shared" ref="A442:C442" si="195">A441</f>
        <v>2024 JAN-SEP DISC 75%</v>
      </c>
      <c r="B442" s="34">
        <f t="shared" si="195"/>
        <v>46104</v>
      </c>
      <c r="C442" s="34">
        <f t="shared" si="195"/>
        <v>46113</v>
      </c>
      <c r="D442" s="33">
        <v>3321</v>
      </c>
      <c r="E442" s="33">
        <v>337</v>
      </c>
      <c r="F442" s="33">
        <v>4</v>
      </c>
      <c r="G442" s="33">
        <v>1</v>
      </c>
      <c r="H442" s="33">
        <v>81421</v>
      </c>
      <c r="I442" s="33" t="s">
        <v>39</v>
      </c>
      <c r="J442" s="33">
        <v>26741822</v>
      </c>
      <c r="K442" s="33" t="s">
        <v>1529</v>
      </c>
      <c r="L442" s="39" t="s">
        <v>1532</v>
      </c>
      <c r="M442" s="35">
        <v>179900</v>
      </c>
      <c r="N442" s="71">
        <f t="shared" si="151"/>
        <v>0.75</v>
      </c>
      <c r="O442" s="72">
        <f t="shared" si="138"/>
        <v>44975</v>
      </c>
      <c r="P442" s="35" t="str">
        <f t="shared" si="152"/>
        <v>PERCENTAGE</v>
      </c>
    </row>
    <row r="443" spans="1:16" x14ac:dyDescent="0.35">
      <c r="A443" s="33" t="str">
        <f t="shared" ref="A443:C443" si="196">A442</f>
        <v>2024 JAN-SEP DISC 75%</v>
      </c>
      <c r="B443" s="34">
        <f t="shared" si="196"/>
        <v>46104</v>
      </c>
      <c r="C443" s="34">
        <f t="shared" si="196"/>
        <v>46113</v>
      </c>
      <c r="D443" s="33">
        <v>3321</v>
      </c>
      <c r="E443" s="33">
        <v>337</v>
      </c>
      <c r="F443" s="33">
        <v>4</v>
      </c>
      <c r="G443" s="33">
        <v>3</v>
      </c>
      <c r="H443" s="33">
        <v>81421</v>
      </c>
      <c r="I443" s="33" t="s">
        <v>39</v>
      </c>
      <c r="J443" s="33">
        <v>26741966</v>
      </c>
      <c r="K443" s="33" t="s">
        <v>1534</v>
      </c>
      <c r="L443" s="39" t="s">
        <v>1535</v>
      </c>
      <c r="M443" s="35">
        <v>229900</v>
      </c>
      <c r="N443" s="71">
        <f t="shared" si="151"/>
        <v>0.75</v>
      </c>
      <c r="O443" s="72">
        <f t="shared" si="138"/>
        <v>57475</v>
      </c>
      <c r="P443" s="35" t="str">
        <f t="shared" si="152"/>
        <v>PERCENTAGE</v>
      </c>
    </row>
    <row r="444" spans="1:16" x14ac:dyDescent="0.35">
      <c r="A444" s="33" t="str">
        <f t="shared" ref="A444:C444" si="197">A443</f>
        <v>2024 JAN-SEP DISC 75%</v>
      </c>
      <c r="B444" s="34">
        <f t="shared" si="197"/>
        <v>46104</v>
      </c>
      <c r="C444" s="34">
        <f t="shared" si="197"/>
        <v>46113</v>
      </c>
      <c r="D444" s="33">
        <v>3321</v>
      </c>
      <c r="E444" s="33">
        <v>337</v>
      </c>
      <c r="F444" s="33">
        <v>4</v>
      </c>
      <c r="G444" s="33">
        <v>3</v>
      </c>
      <c r="H444" s="33">
        <v>81421</v>
      </c>
      <c r="I444" s="33" t="s">
        <v>39</v>
      </c>
      <c r="J444" s="33">
        <v>26741975</v>
      </c>
      <c r="K444" s="33" t="s">
        <v>1534</v>
      </c>
      <c r="L444" s="39" t="s">
        <v>1536</v>
      </c>
      <c r="M444" s="35">
        <v>229900</v>
      </c>
      <c r="N444" s="71">
        <f t="shared" si="151"/>
        <v>0.75</v>
      </c>
      <c r="O444" s="72">
        <f t="shared" si="138"/>
        <v>57475</v>
      </c>
      <c r="P444" s="35" t="str">
        <f t="shared" si="152"/>
        <v>PERCENTAGE</v>
      </c>
    </row>
    <row r="445" spans="1:16" x14ac:dyDescent="0.35">
      <c r="A445" s="33" t="str">
        <f t="shared" ref="A445:C445" si="198">A444</f>
        <v>2024 JAN-SEP DISC 75%</v>
      </c>
      <c r="B445" s="34">
        <f t="shared" si="198"/>
        <v>46104</v>
      </c>
      <c r="C445" s="34">
        <f t="shared" si="198"/>
        <v>46113</v>
      </c>
      <c r="D445" s="33">
        <v>3321</v>
      </c>
      <c r="E445" s="33">
        <v>337</v>
      </c>
      <c r="F445" s="33">
        <v>4</v>
      </c>
      <c r="G445" s="33">
        <v>3</v>
      </c>
      <c r="H445" s="33">
        <v>81421</v>
      </c>
      <c r="I445" s="33" t="s">
        <v>39</v>
      </c>
      <c r="J445" s="33">
        <v>26742027</v>
      </c>
      <c r="K445" s="33" t="s">
        <v>1534</v>
      </c>
      <c r="L445" s="39" t="s">
        <v>1537</v>
      </c>
      <c r="M445" s="35">
        <v>229900</v>
      </c>
      <c r="N445" s="71">
        <f t="shared" si="151"/>
        <v>0.75</v>
      </c>
      <c r="O445" s="72">
        <f t="shared" si="138"/>
        <v>57475</v>
      </c>
      <c r="P445" s="35" t="str">
        <f t="shared" si="152"/>
        <v>PERCENTAGE</v>
      </c>
    </row>
    <row r="446" spans="1:16" x14ac:dyDescent="0.35">
      <c r="A446" s="33" t="str">
        <f t="shared" ref="A446:C446" si="199">A445</f>
        <v>2024 JAN-SEP DISC 75%</v>
      </c>
      <c r="B446" s="34">
        <f t="shared" si="199"/>
        <v>46104</v>
      </c>
      <c r="C446" s="34">
        <f t="shared" si="199"/>
        <v>46113</v>
      </c>
      <c r="D446" s="33">
        <v>3321</v>
      </c>
      <c r="E446" s="33">
        <v>337</v>
      </c>
      <c r="F446" s="33">
        <v>4</v>
      </c>
      <c r="G446" s="33">
        <v>1</v>
      </c>
      <c r="H446" s="33">
        <v>81421</v>
      </c>
      <c r="I446" s="33" t="s">
        <v>39</v>
      </c>
      <c r="J446" s="33">
        <v>26741831</v>
      </c>
      <c r="K446" s="33" t="s">
        <v>1529</v>
      </c>
      <c r="L446" s="39" t="s">
        <v>1533</v>
      </c>
      <c r="M446" s="35">
        <v>179900</v>
      </c>
      <c r="N446" s="71">
        <f t="shared" si="151"/>
        <v>0.75</v>
      </c>
      <c r="O446" s="72">
        <f t="shared" si="138"/>
        <v>44975</v>
      </c>
      <c r="P446" s="35" t="str">
        <f t="shared" si="152"/>
        <v>PERCENTAGE</v>
      </c>
    </row>
    <row r="447" spans="1:16" x14ac:dyDescent="0.35">
      <c r="A447" s="33" t="str">
        <f t="shared" ref="A447:C447" si="200">A446</f>
        <v>2024 JAN-SEP DISC 75%</v>
      </c>
      <c r="B447" s="34">
        <f t="shared" si="200"/>
        <v>46104</v>
      </c>
      <c r="C447" s="34">
        <f t="shared" si="200"/>
        <v>46113</v>
      </c>
      <c r="D447" s="33">
        <v>3321</v>
      </c>
      <c r="E447" s="33">
        <v>337</v>
      </c>
      <c r="F447" s="33">
        <v>4</v>
      </c>
      <c r="G447" s="33">
        <v>3</v>
      </c>
      <c r="H447" s="33">
        <v>81421</v>
      </c>
      <c r="I447" s="33" t="s">
        <v>39</v>
      </c>
      <c r="J447" s="33">
        <v>26742036</v>
      </c>
      <c r="K447" s="33" t="s">
        <v>1534</v>
      </c>
      <c r="L447" s="39" t="s">
        <v>1538</v>
      </c>
      <c r="M447" s="35">
        <v>229900</v>
      </c>
      <c r="N447" s="71">
        <f t="shared" si="151"/>
        <v>0.75</v>
      </c>
      <c r="O447" s="72">
        <f t="shared" si="138"/>
        <v>57475</v>
      </c>
      <c r="P447" s="35" t="str">
        <f t="shared" si="152"/>
        <v>PERCENTAGE</v>
      </c>
    </row>
    <row r="448" spans="1:16" x14ac:dyDescent="0.35">
      <c r="A448" s="33" t="str">
        <f t="shared" ref="A448:C448" si="201">A447</f>
        <v>2024 JAN-SEP DISC 75%</v>
      </c>
      <c r="B448" s="34">
        <f t="shared" si="201"/>
        <v>46104</v>
      </c>
      <c r="C448" s="34">
        <f t="shared" si="201"/>
        <v>46113</v>
      </c>
      <c r="D448" s="33">
        <v>3321</v>
      </c>
      <c r="E448" s="33">
        <v>337</v>
      </c>
      <c r="F448" s="33">
        <v>4</v>
      </c>
      <c r="G448" s="33">
        <v>3</v>
      </c>
      <c r="H448" s="33">
        <v>81005</v>
      </c>
      <c r="I448" s="33" t="s">
        <v>39</v>
      </c>
      <c r="J448" s="33">
        <v>50028085</v>
      </c>
      <c r="K448" s="33" t="s">
        <v>1539</v>
      </c>
      <c r="L448" s="39" t="s">
        <v>1540</v>
      </c>
      <c r="M448" s="35">
        <v>269900</v>
      </c>
      <c r="N448" s="71">
        <f t="shared" si="151"/>
        <v>0.75</v>
      </c>
      <c r="O448" s="72">
        <f t="shared" si="138"/>
        <v>67475</v>
      </c>
      <c r="P448" s="35" t="str">
        <f t="shared" si="152"/>
        <v>PERCENTAGE</v>
      </c>
    </row>
    <row r="449" spans="1:16" x14ac:dyDescent="0.35">
      <c r="A449" s="33" t="str">
        <f t="shared" ref="A449:C449" si="202">A448</f>
        <v>2024 JAN-SEP DISC 75%</v>
      </c>
      <c r="B449" s="34">
        <f t="shared" si="202"/>
        <v>46104</v>
      </c>
      <c r="C449" s="34">
        <f t="shared" si="202"/>
        <v>46113</v>
      </c>
      <c r="D449" s="33">
        <v>3321</v>
      </c>
      <c r="E449" s="33">
        <v>337</v>
      </c>
      <c r="F449" s="33">
        <v>4</v>
      </c>
      <c r="G449" s="33">
        <v>3</v>
      </c>
      <c r="H449" s="33">
        <v>81005</v>
      </c>
      <c r="I449" s="33" t="s">
        <v>39</v>
      </c>
      <c r="J449" s="33">
        <v>50028094</v>
      </c>
      <c r="K449" s="33" t="s">
        <v>1539</v>
      </c>
      <c r="L449" s="39" t="s">
        <v>1541</v>
      </c>
      <c r="M449" s="35">
        <v>269900</v>
      </c>
      <c r="N449" s="71">
        <f t="shared" si="151"/>
        <v>0.75</v>
      </c>
      <c r="O449" s="72">
        <f t="shared" si="138"/>
        <v>67475</v>
      </c>
      <c r="P449" s="35" t="str">
        <f t="shared" si="152"/>
        <v>PERCENTAGE</v>
      </c>
    </row>
    <row r="450" spans="1:16" x14ac:dyDescent="0.35">
      <c r="A450" s="33" t="str">
        <f t="shared" ref="A450:C450" si="203">A449</f>
        <v>2024 JAN-SEP DISC 75%</v>
      </c>
      <c r="B450" s="34">
        <f t="shared" si="203"/>
        <v>46104</v>
      </c>
      <c r="C450" s="34">
        <f t="shared" si="203"/>
        <v>46113</v>
      </c>
      <c r="D450" s="33">
        <v>3321</v>
      </c>
      <c r="E450" s="33">
        <v>337</v>
      </c>
      <c r="F450" s="33">
        <v>4</v>
      </c>
      <c r="G450" s="33">
        <v>3</v>
      </c>
      <c r="H450" s="33">
        <v>81005</v>
      </c>
      <c r="I450" s="33" t="s">
        <v>39</v>
      </c>
      <c r="J450" s="33">
        <v>50028101</v>
      </c>
      <c r="K450" s="33" t="s">
        <v>1539</v>
      </c>
      <c r="L450" s="39" t="s">
        <v>1542</v>
      </c>
      <c r="M450" s="35">
        <v>269900</v>
      </c>
      <c r="N450" s="71">
        <f t="shared" si="151"/>
        <v>0.75</v>
      </c>
      <c r="O450" s="72">
        <f t="shared" si="138"/>
        <v>67475</v>
      </c>
      <c r="P450" s="35" t="str">
        <f t="shared" si="152"/>
        <v>PERCENTAGE</v>
      </c>
    </row>
    <row r="451" spans="1:16" x14ac:dyDescent="0.35">
      <c r="A451" s="33" t="str">
        <f t="shared" ref="A451:C451" si="204">A450</f>
        <v>2024 JAN-SEP DISC 75%</v>
      </c>
      <c r="B451" s="34">
        <f t="shared" si="204"/>
        <v>46104</v>
      </c>
      <c r="C451" s="34">
        <f t="shared" si="204"/>
        <v>46113</v>
      </c>
      <c r="D451" s="33">
        <v>3321</v>
      </c>
      <c r="E451" s="33">
        <v>337</v>
      </c>
      <c r="F451" s="33">
        <v>4</v>
      </c>
      <c r="G451" s="33">
        <v>3</v>
      </c>
      <c r="H451" s="33">
        <v>81005</v>
      </c>
      <c r="I451" s="33" t="s">
        <v>39</v>
      </c>
      <c r="J451" s="33">
        <v>50028110</v>
      </c>
      <c r="K451" s="33" t="s">
        <v>1539</v>
      </c>
      <c r="L451" s="39" t="s">
        <v>1543</v>
      </c>
      <c r="M451" s="35">
        <v>269900</v>
      </c>
      <c r="N451" s="71">
        <f t="shared" si="151"/>
        <v>0.75</v>
      </c>
      <c r="O451" s="72">
        <f t="shared" ref="O451:O512" si="205">M451-((75*M451)/100)</f>
        <v>67475</v>
      </c>
      <c r="P451" s="35" t="str">
        <f t="shared" si="152"/>
        <v>PERCENTAGE</v>
      </c>
    </row>
    <row r="452" spans="1:16" x14ac:dyDescent="0.35">
      <c r="A452" s="33" t="str">
        <f t="shared" ref="A452:C452" si="206">A451</f>
        <v>2024 JAN-SEP DISC 75%</v>
      </c>
      <c r="B452" s="34">
        <f t="shared" si="206"/>
        <v>46104</v>
      </c>
      <c r="C452" s="34">
        <f t="shared" si="206"/>
        <v>46113</v>
      </c>
      <c r="D452" s="33">
        <v>3321</v>
      </c>
      <c r="E452" s="33">
        <v>337</v>
      </c>
      <c r="F452" s="33">
        <v>4</v>
      </c>
      <c r="G452" s="33">
        <v>3</v>
      </c>
      <c r="H452" s="33">
        <v>81800</v>
      </c>
      <c r="I452" s="33" t="s">
        <v>39</v>
      </c>
      <c r="J452" s="33">
        <v>50028049</v>
      </c>
      <c r="K452" s="33" t="s">
        <v>1544</v>
      </c>
      <c r="L452" s="39" t="s">
        <v>1545</v>
      </c>
      <c r="M452" s="35">
        <v>239900</v>
      </c>
      <c r="N452" s="71">
        <f t="shared" si="151"/>
        <v>0.75</v>
      </c>
      <c r="O452" s="72">
        <f t="shared" si="205"/>
        <v>59975</v>
      </c>
      <c r="P452" s="35" t="str">
        <f t="shared" si="152"/>
        <v>PERCENTAGE</v>
      </c>
    </row>
    <row r="453" spans="1:16" x14ac:dyDescent="0.35">
      <c r="A453" s="33" t="str">
        <f t="shared" ref="A453:C453" si="207">A452</f>
        <v>2024 JAN-SEP DISC 75%</v>
      </c>
      <c r="B453" s="34">
        <f t="shared" si="207"/>
        <v>46104</v>
      </c>
      <c r="C453" s="34">
        <f t="shared" si="207"/>
        <v>46113</v>
      </c>
      <c r="D453" s="33">
        <v>3321</v>
      </c>
      <c r="E453" s="33">
        <v>337</v>
      </c>
      <c r="F453" s="33">
        <v>4</v>
      </c>
      <c r="G453" s="33">
        <v>3</v>
      </c>
      <c r="H453" s="33">
        <v>81800</v>
      </c>
      <c r="I453" s="33" t="s">
        <v>39</v>
      </c>
      <c r="J453" s="33">
        <v>50028058</v>
      </c>
      <c r="K453" s="33" t="s">
        <v>1544</v>
      </c>
      <c r="L453" s="39" t="s">
        <v>1546</v>
      </c>
      <c r="M453" s="35">
        <v>239900</v>
      </c>
      <c r="N453" s="71">
        <f t="shared" si="151"/>
        <v>0.75</v>
      </c>
      <c r="O453" s="72">
        <f t="shared" si="205"/>
        <v>59975</v>
      </c>
      <c r="P453" s="35" t="str">
        <f t="shared" si="152"/>
        <v>PERCENTAGE</v>
      </c>
    </row>
    <row r="454" spans="1:16" x14ac:dyDescent="0.35">
      <c r="A454" s="33" t="str">
        <f t="shared" ref="A454:C454" si="208">A453</f>
        <v>2024 JAN-SEP DISC 75%</v>
      </c>
      <c r="B454" s="34">
        <f t="shared" si="208"/>
        <v>46104</v>
      </c>
      <c r="C454" s="34">
        <f t="shared" si="208"/>
        <v>46113</v>
      </c>
      <c r="D454" s="33">
        <v>3321</v>
      </c>
      <c r="E454" s="33">
        <v>337</v>
      </c>
      <c r="F454" s="33">
        <v>4</v>
      </c>
      <c r="G454" s="33">
        <v>3</v>
      </c>
      <c r="H454" s="33">
        <v>81800</v>
      </c>
      <c r="I454" s="33" t="s">
        <v>39</v>
      </c>
      <c r="J454" s="33">
        <v>50028067</v>
      </c>
      <c r="K454" s="33" t="s">
        <v>1544</v>
      </c>
      <c r="L454" s="39" t="s">
        <v>1547</v>
      </c>
      <c r="M454" s="35">
        <v>239900</v>
      </c>
      <c r="N454" s="71">
        <f t="shared" si="151"/>
        <v>0.75</v>
      </c>
      <c r="O454" s="72">
        <f t="shared" si="205"/>
        <v>59975</v>
      </c>
      <c r="P454" s="35" t="str">
        <f t="shared" si="152"/>
        <v>PERCENTAGE</v>
      </c>
    </row>
    <row r="455" spans="1:16" x14ac:dyDescent="0.35">
      <c r="A455" s="33" t="str">
        <f t="shared" ref="A455:C455" si="209">A454</f>
        <v>2024 JAN-SEP DISC 75%</v>
      </c>
      <c r="B455" s="34">
        <f t="shared" si="209"/>
        <v>46104</v>
      </c>
      <c r="C455" s="34">
        <f t="shared" si="209"/>
        <v>46113</v>
      </c>
      <c r="D455" s="33">
        <v>3321</v>
      </c>
      <c r="E455" s="33">
        <v>337</v>
      </c>
      <c r="F455" s="33">
        <v>4</v>
      </c>
      <c r="G455" s="33">
        <v>3</v>
      </c>
      <c r="H455" s="33">
        <v>81800</v>
      </c>
      <c r="I455" s="33" t="s">
        <v>39</v>
      </c>
      <c r="J455" s="33">
        <v>50028076</v>
      </c>
      <c r="K455" s="33" t="s">
        <v>1544</v>
      </c>
      <c r="L455" s="39" t="s">
        <v>1548</v>
      </c>
      <c r="M455" s="35">
        <v>239900</v>
      </c>
      <c r="N455" s="71">
        <f t="shared" si="151"/>
        <v>0.75</v>
      </c>
      <c r="O455" s="72">
        <f t="shared" si="205"/>
        <v>59975</v>
      </c>
      <c r="P455" s="35" t="str">
        <f t="shared" si="152"/>
        <v>PERCENTAGE</v>
      </c>
    </row>
    <row r="456" spans="1:16" x14ac:dyDescent="0.35">
      <c r="A456" s="33" t="str">
        <f t="shared" ref="A456:C456" si="210">A455</f>
        <v>2024 JAN-SEP DISC 75%</v>
      </c>
      <c r="B456" s="34">
        <f t="shared" si="210"/>
        <v>46104</v>
      </c>
      <c r="C456" s="34">
        <f t="shared" si="210"/>
        <v>46113</v>
      </c>
      <c r="D456" s="33">
        <v>3321</v>
      </c>
      <c r="E456" s="33">
        <v>337</v>
      </c>
      <c r="F456" s="33">
        <v>4</v>
      </c>
      <c r="G456" s="33">
        <v>4</v>
      </c>
      <c r="H456" s="33">
        <v>81800</v>
      </c>
      <c r="I456" s="33" t="s">
        <v>39</v>
      </c>
      <c r="J456" s="33">
        <v>50028129</v>
      </c>
      <c r="K456" s="33" t="s">
        <v>1549</v>
      </c>
      <c r="L456" s="39" t="s">
        <v>1550</v>
      </c>
      <c r="M456" s="35">
        <v>249900</v>
      </c>
      <c r="N456" s="71">
        <f t="shared" si="151"/>
        <v>0.75</v>
      </c>
      <c r="O456" s="72">
        <f t="shared" si="205"/>
        <v>62475</v>
      </c>
      <c r="P456" s="35" t="str">
        <f t="shared" si="152"/>
        <v>PERCENTAGE</v>
      </c>
    </row>
    <row r="457" spans="1:16" x14ac:dyDescent="0.35">
      <c r="A457" s="33" t="str">
        <f t="shared" ref="A457:C457" si="211">A456</f>
        <v>2024 JAN-SEP DISC 75%</v>
      </c>
      <c r="B457" s="34">
        <f t="shared" si="211"/>
        <v>46104</v>
      </c>
      <c r="C457" s="34">
        <f t="shared" si="211"/>
        <v>46113</v>
      </c>
      <c r="D457" s="33">
        <v>3321</v>
      </c>
      <c r="E457" s="33">
        <v>337</v>
      </c>
      <c r="F457" s="33">
        <v>4</v>
      </c>
      <c r="G457" s="33">
        <v>4</v>
      </c>
      <c r="H457" s="33">
        <v>81800</v>
      </c>
      <c r="I457" s="33" t="s">
        <v>39</v>
      </c>
      <c r="J457" s="33">
        <v>50028138</v>
      </c>
      <c r="K457" s="33" t="s">
        <v>1549</v>
      </c>
      <c r="L457" s="39" t="s">
        <v>1551</v>
      </c>
      <c r="M457" s="35">
        <v>249900</v>
      </c>
      <c r="N457" s="71">
        <f t="shared" si="151"/>
        <v>0.75</v>
      </c>
      <c r="O457" s="72">
        <f t="shared" si="205"/>
        <v>62475</v>
      </c>
      <c r="P457" s="35" t="str">
        <f t="shared" si="152"/>
        <v>PERCENTAGE</v>
      </c>
    </row>
    <row r="458" spans="1:16" x14ac:dyDescent="0.35">
      <c r="A458" s="33" t="str">
        <f t="shared" ref="A458:C458" si="212">A457</f>
        <v>2024 JAN-SEP DISC 75%</v>
      </c>
      <c r="B458" s="34">
        <f t="shared" si="212"/>
        <v>46104</v>
      </c>
      <c r="C458" s="34">
        <f t="shared" si="212"/>
        <v>46113</v>
      </c>
      <c r="D458" s="33">
        <v>3321</v>
      </c>
      <c r="E458" s="33">
        <v>337</v>
      </c>
      <c r="F458" s="33">
        <v>4</v>
      </c>
      <c r="G458" s="33">
        <v>4</v>
      </c>
      <c r="H458" s="33">
        <v>81800</v>
      </c>
      <c r="I458" s="33" t="s">
        <v>39</v>
      </c>
      <c r="J458" s="33">
        <v>50028147</v>
      </c>
      <c r="K458" s="33" t="s">
        <v>1549</v>
      </c>
      <c r="L458" s="39" t="s">
        <v>1552</v>
      </c>
      <c r="M458" s="35">
        <v>249900</v>
      </c>
      <c r="N458" s="71">
        <f t="shared" si="151"/>
        <v>0.75</v>
      </c>
      <c r="O458" s="72">
        <f t="shared" si="205"/>
        <v>62475</v>
      </c>
      <c r="P458" s="35" t="str">
        <f t="shared" si="152"/>
        <v>PERCENTAGE</v>
      </c>
    </row>
    <row r="459" spans="1:16" x14ac:dyDescent="0.35">
      <c r="A459" s="33" t="str">
        <f t="shared" ref="A459:C459" si="213">A458</f>
        <v>2024 JAN-SEP DISC 75%</v>
      </c>
      <c r="B459" s="34">
        <f t="shared" si="213"/>
        <v>46104</v>
      </c>
      <c r="C459" s="34">
        <f t="shared" si="213"/>
        <v>46113</v>
      </c>
      <c r="D459" s="33">
        <v>3321</v>
      </c>
      <c r="E459" s="33">
        <v>337</v>
      </c>
      <c r="F459" s="33">
        <v>4</v>
      </c>
      <c r="G459" s="33">
        <v>4</v>
      </c>
      <c r="H459" s="33">
        <v>81800</v>
      </c>
      <c r="I459" s="33" t="s">
        <v>39</v>
      </c>
      <c r="J459" s="33">
        <v>50028156</v>
      </c>
      <c r="K459" s="33" t="s">
        <v>1549</v>
      </c>
      <c r="L459" s="39" t="s">
        <v>1553</v>
      </c>
      <c r="M459" s="35">
        <v>249900</v>
      </c>
      <c r="N459" s="71">
        <f t="shared" si="151"/>
        <v>0.75</v>
      </c>
      <c r="O459" s="72">
        <f t="shared" si="205"/>
        <v>62475</v>
      </c>
      <c r="P459" s="35" t="str">
        <f t="shared" si="152"/>
        <v>PERCENTAGE</v>
      </c>
    </row>
    <row r="460" spans="1:16" x14ac:dyDescent="0.35">
      <c r="A460" s="33" t="str">
        <f t="shared" ref="A460:C460" si="214">A459</f>
        <v>2024 JAN-SEP DISC 75%</v>
      </c>
      <c r="B460" s="34">
        <f t="shared" si="214"/>
        <v>46104</v>
      </c>
      <c r="C460" s="34">
        <f t="shared" si="214"/>
        <v>46113</v>
      </c>
      <c r="D460" s="33">
        <v>3321</v>
      </c>
      <c r="E460" s="33">
        <v>337</v>
      </c>
      <c r="F460" s="33">
        <v>4</v>
      </c>
      <c r="G460" s="33">
        <v>5</v>
      </c>
      <c r="H460" s="33">
        <v>81421</v>
      </c>
      <c r="I460" s="33" t="s">
        <v>39</v>
      </c>
      <c r="J460" s="33">
        <v>26742278</v>
      </c>
      <c r="K460" s="33" t="s">
        <v>1554</v>
      </c>
      <c r="L460" s="39" t="s">
        <v>1555</v>
      </c>
      <c r="M460" s="35">
        <v>279900</v>
      </c>
      <c r="N460" s="71">
        <f t="shared" si="151"/>
        <v>0.75</v>
      </c>
      <c r="O460" s="72">
        <f t="shared" si="205"/>
        <v>69975</v>
      </c>
      <c r="P460" s="35" t="str">
        <f t="shared" si="152"/>
        <v>PERCENTAGE</v>
      </c>
    </row>
    <row r="461" spans="1:16" x14ac:dyDescent="0.35">
      <c r="A461" s="33" t="str">
        <f t="shared" ref="A461:C461" si="215">A460</f>
        <v>2024 JAN-SEP DISC 75%</v>
      </c>
      <c r="B461" s="34">
        <f t="shared" si="215"/>
        <v>46104</v>
      </c>
      <c r="C461" s="34">
        <f t="shared" si="215"/>
        <v>46113</v>
      </c>
      <c r="D461" s="33">
        <v>3321</v>
      </c>
      <c r="E461" s="33">
        <v>337</v>
      </c>
      <c r="F461" s="33">
        <v>4</v>
      </c>
      <c r="G461" s="33">
        <v>5</v>
      </c>
      <c r="H461" s="33">
        <v>81421</v>
      </c>
      <c r="I461" s="33" t="s">
        <v>39</v>
      </c>
      <c r="J461" s="33">
        <v>26742287</v>
      </c>
      <c r="K461" s="33" t="s">
        <v>1554</v>
      </c>
      <c r="L461" s="39" t="s">
        <v>1556</v>
      </c>
      <c r="M461" s="35">
        <v>279900</v>
      </c>
      <c r="N461" s="71">
        <f t="shared" si="151"/>
        <v>0.75</v>
      </c>
      <c r="O461" s="72">
        <f t="shared" si="205"/>
        <v>69975</v>
      </c>
      <c r="P461" s="35" t="str">
        <f t="shared" si="152"/>
        <v>PERCENTAGE</v>
      </c>
    </row>
    <row r="462" spans="1:16" x14ac:dyDescent="0.35">
      <c r="A462" s="33" t="str">
        <f t="shared" ref="A462:C462" si="216">A461</f>
        <v>2024 JAN-SEP DISC 75%</v>
      </c>
      <c r="B462" s="34">
        <f t="shared" si="216"/>
        <v>46104</v>
      </c>
      <c r="C462" s="34">
        <f t="shared" si="216"/>
        <v>46113</v>
      </c>
      <c r="D462" s="33">
        <v>3321</v>
      </c>
      <c r="E462" s="33">
        <v>337</v>
      </c>
      <c r="F462" s="33">
        <v>4</v>
      </c>
      <c r="G462" s="33">
        <v>5</v>
      </c>
      <c r="H462" s="33">
        <v>81421</v>
      </c>
      <c r="I462" s="33" t="s">
        <v>39</v>
      </c>
      <c r="J462" s="33">
        <v>26742296</v>
      </c>
      <c r="K462" s="33" t="s">
        <v>1554</v>
      </c>
      <c r="L462" s="39" t="s">
        <v>1557</v>
      </c>
      <c r="M462" s="35">
        <v>279900</v>
      </c>
      <c r="N462" s="71">
        <f t="shared" si="151"/>
        <v>0.75</v>
      </c>
      <c r="O462" s="72">
        <f t="shared" si="205"/>
        <v>69975</v>
      </c>
      <c r="P462" s="35" t="str">
        <f t="shared" si="152"/>
        <v>PERCENTAGE</v>
      </c>
    </row>
    <row r="463" spans="1:16" x14ac:dyDescent="0.35">
      <c r="A463" s="33" t="str">
        <f t="shared" ref="A463:C463" si="217">A462</f>
        <v>2024 JAN-SEP DISC 75%</v>
      </c>
      <c r="B463" s="34">
        <f t="shared" si="217"/>
        <v>46104</v>
      </c>
      <c r="C463" s="34">
        <f t="shared" si="217"/>
        <v>46113</v>
      </c>
      <c r="D463" s="33">
        <v>3321</v>
      </c>
      <c r="E463" s="33">
        <v>337</v>
      </c>
      <c r="F463" s="33">
        <v>4</v>
      </c>
      <c r="G463" s="33">
        <v>5</v>
      </c>
      <c r="H463" s="33">
        <v>81421</v>
      </c>
      <c r="I463" s="33" t="s">
        <v>39</v>
      </c>
      <c r="J463" s="33">
        <v>26742303</v>
      </c>
      <c r="K463" s="33" t="s">
        <v>1554</v>
      </c>
      <c r="L463" s="39" t="s">
        <v>1558</v>
      </c>
      <c r="M463" s="35">
        <v>279900</v>
      </c>
      <c r="N463" s="71">
        <f t="shared" ref="N463:N512" si="218">N462</f>
        <v>0.75</v>
      </c>
      <c r="O463" s="72">
        <f t="shared" si="205"/>
        <v>69975</v>
      </c>
      <c r="P463" s="35" t="str">
        <f t="shared" ref="P463:P512" si="219">P462</f>
        <v>PERCENTAGE</v>
      </c>
    </row>
    <row r="464" spans="1:16" x14ac:dyDescent="0.35">
      <c r="A464" s="33" t="str">
        <f t="shared" ref="A464:C464" si="220">A463</f>
        <v>2024 JAN-SEP DISC 75%</v>
      </c>
      <c r="B464" s="34">
        <f t="shared" si="220"/>
        <v>46104</v>
      </c>
      <c r="C464" s="34">
        <f t="shared" si="220"/>
        <v>46113</v>
      </c>
      <c r="D464" s="33">
        <v>3321</v>
      </c>
      <c r="E464" s="33">
        <v>337</v>
      </c>
      <c r="F464" s="33">
        <v>4</v>
      </c>
      <c r="G464" s="33">
        <v>5</v>
      </c>
      <c r="H464" s="33">
        <v>81421</v>
      </c>
      <c r="I464" s="33" t="s">
        <v>39</v>
      </c>
      <c r="J464" s="33">
        <v>26742358</v>
      </c>
      <c r="K464" s="33" t="s">
        <v>1559</v>
      </c>
      <c r="L464" s="39" t="s">
        <v>1560</v>
      </c>
      <c r="M464" s="35">
        <v>279900</v>
      </c>
      <c r="N464" s="71">
        <f t="shared" si="218"/>
        <v>0.75</v>
      </c>
      <c r="O464" s="72">
        <f t="shared" si="205"/>
        <v>69975</v>
      </c>
      <c r="P464" s="35" t="str">
        <f t="shared" si="219"/>
        <v>PERCENTAGE</v>
      </c>
    </row>
    <row r="465" spans="1:16" x14ac:dyDescent="0.35">
      <c r="A465" s="33" t="str">
        <f t="shared" ref="A465:C465" si="221">A464</f>
        <v>2024 JAN-SEP DISC 75%</v>
      </c>
      <c r="B465" s="34">
        <f t="shared" si="221"/>
        <v>46104</v>
      </c>
      <c r="C465" s="34">
        <f t="shared" si="221"/>
        <v>46113</v>
      </c>
      <c r="D465" s="33">
        <v>3321</v>
      </c>
      <c r="E465" s="33">
        <v>337</v>
      </c>
      <c r="F465" s="33">
        <v>4</v>
      </c>
      <c r="G465" s="33">
        <v>5</v>
      </c>
      <c r="H465" s="33">
        <v>81421</v>
      </c>
      <c r="I465" s="33" t="s">
        <v>39</v>
      </c>
      <c r="J465" s="33">
        <v>26742367</v>
      </c>
      <c r="K465" s="33" t="s">
        <v>1559</v>
      </c>
      <c r="L465" s="39" t="s">
        <v>1561</v>
      </c>
      <c r="M465" s="35">
        <v>279900</v>
      </c>
      <c r="N465" s="71">
        <f t="shared" si="218"/>
        <v>0.75</v>
      </c>
      <c r="O465" s="72">
        <f t="shared" si="205"/>
        <v>69975</v>
      </c>
      <c r="P465" s="35" t="str">
        <f t="shared" si="219"/>
        <v>PERCENTAGE</v>
      </c>
    </row>
    <row r="466" spans="1:16" x14ac:dyDescent="0.35">
      <c r="A466" s="33" t="str">
        <f t="shared" ref="A466:C466" si="222">A465</f>
        <v>2024 JAN-SEP DISC 75%</v>
      </c>
      <c r="B466" s="34">
        <f t="shared" si="222"/>
        <v>46104</v>
      </c>
      <c r="C466" s="34">
        <f t="shared" si="222"/>
        <v>46113</v>
      </c>
      <c r="D466" s="33">
        <v>3321</v>
      </c>
      <c r="E466" s="33">
        <v>337</v>
      </c>
      <c r="F466" s="33">
        <v>4</v>
      </c>
      <c r="G466" s="33">
        <v>5</v>
      </c>
      <c r="H466" s="33">
        <v>81421</v>
      </c>
      <c r="I466" s="33" t="s">
        <v>39</v>
      </c>
      <c r="J466" s="33">
        <v>26742376</v>
      </c>
      <c r="K466" s="33" t="s">
        <v>1559</v>
      </c>
      <c r="L466" s="39" t="s">
        <v>1562</v>
      </c>
      <c r="M466" s="35">
        <v>279900</v>
      </c>
      <c r="N466" s="71">
        <f t="shared" si="218"/>
        <v>0.75</v>
      </c>
      <c r="O466" s="72">
        <f t="shared" si="205"/>
        <v>69975</v>
      </c>
      <c r="P466" s="35" t="str">
        <f t="shared" si="219"/>
        <v>PERCENTAGE</v>
      </c>
    </row>
    <row r="467" spans="1:16" x14ac:dyDescent="0.35">
      <c r="A467" s="33" t="str">
        <f t="shared" ref="A467:C467" si="223">A466</f>
        <v>2024 JAN-SEP DISC 75%</v>
      </c>
      <c r="B467" s="34">
        <f t="shared" si="223"/>
        <v>46104</v>
      </c>
      <c r="C467" s="34">
        <f t="shared" si="223"/>
        <v>46113</v>
      </c>
      <c r="D467" s="33">
        <v>3321</v>
      </c>
      <c r="E467" s="33">
        <v>337</v>
      </c>
      <c r="F467" s="33">
        <v>4</v>
      </c>
      <c r="G467" s="33">
        <v>5</v>
      </c>
      <c r="H467" s="33">
        <v>81421</v>
      </c>
      <c r="I467" s="33" t="s">
        <v>39</v>
      </c>
      <c r="J467" s="33">
        <v>26742385</v>
      </c>
      <c r="K467" s="33" t="s">
        <v>1559</v>
      </c>
      <c r="L467" s="39" t="s">
        <v>1563</v>
      </c>
      <c r="M467" s="35">
        <v>279900</v>
      </c>
      <c r="N467" s="71">
        <f t="shared" si="218"/>
        <v>0.75</v>
      </c>
      <c r="O467" s="72">
        <f t="shared" si="205"/>
        <v>69975</v>
      </c>
      <c r="P467" s="35" t="str">
        <f t="shared" si="219"/>
        <v>PERCENTAGE</v>
      </c>
    </row>
    <row r="468" spans="1:16" x14ac:dyDescent="0.35">
      <c r="A468" s="33" t="str">
        <f t="shared" ref="A468:C468" si="224">A467</f>
        <v>2024 JAN-SEP DISC 75%</v>
      </c>
      <c r="B468" s="34">
        <f t="shared" si="224"/>
        <v>46104</v>
      </c>
      <c r="C468" s="34">
        <f t="shared" si="224"/>
        <v>46113</v>
      </c>
      <c r="D468" s="33">
        <v>3321</v>
      </c>
      <c r="E468" s="33">
        <v>337</v>
      </c>
      <c r="F468" s="33">
        <v>4</v>
      </c>
      <c r="G468" s="33">
        <v>5</v>
      </c>
      <c r="H468" s="33">
        <v>81800</v>
      </c>
      <c r="I468" s="33" t="s">
        <v>39</v>
      </c>
      <c r="J468" s="33">
        <v>50028183</v>
      </c>
      <c r="K468" s="33" t="s">
        <v>1564</v>
      </c>
      <c r="L468" s="39" t="s">
        <v>1565</v>
      </c>
      <c r="M468" s="35">
        <v>299900</v>
      </c>
      <c r="N468" s="71">
        <f t="shared" si="218"/>
        <v>0.75</v>
      </c>
      <c r="O468" s="72">
        <f t="shared" si="205"/>
        <v>74975</v>
      </c>
      <c r="P468" s="35" t="str">
        <f t="shared" si="219"/>
        <v>PERCENTAGE</v>
      </c>
    </row>
    <row r="469" spans="1:16" x14ac:dyDescent="0.35">
      <c r="A469" s="33" t="str">
        <f t="shared" ref="A469:C469" si="225">A468</f>
        <v>2024 JAN-SEP DISC 75%</v>
      </c>
      <c r="B469" s="34">
        <f t="shared" si="225"/>
        <v>46104</v>
      </c>
      <c r="C469" s="34">
        <f t="shared" si="225"/>
        <v>46113</v>
      </c>
      <c r="D469" s="33">
        <v>3321</v>
      </c>
      <c r="E469" s="33">
        <v>337</v>
      </c>
      <c r="F469" s="33">
        <v>4</v>
      </c>
      <c r="G469" s="33">
        <v>5</v>
      </c>
      <c r="H469" s="33">
        <v>81800</v>
      </c>
      <c r="I469" s="33" t="s">
        <v>39</v>
      </c>
      <c r="J469" s="33">
        <v>50028192</v>
      </c>
      <c r="K469" s="33" t="s">
        <v>1564</v>
      </c>
      <c r="L469" s="39" t="s">
        <v>1566</v>
      </c>
      <c r="M469" s="35">
        <v>299900</v>
      </c>
      <c r="N469" s="71">
        <f t="shared" si="218"/>
        <v>0.75</v>
      </c>
      <c r="O469" s="72">
        <f t="shared" si="205"/>
        <v>74975</v>
      </c>
      <c r="P469" s="35" t="str">
        <f t="shared" si="219"/>
        <v>PERCENTAGE</v>
      </c>
    </row>
    <row r="470" spans="1:16" x14ac:dyDescent="0.35">
      <c r="A470" s="33" t="str">
        <f t="shared" ref="A470:C470" si="226">A469</f>
        <v>2024 JAN-SEP DISC 75%</v>
      </c>
      <c r="B470" s="34">
        <f t="shared" si="226"/>
        <v>46104</v>
      </c>
      <c r="C470" s="34">
        <f t="shared" si="226"/>
        <v>46113</v>
      </c>
      <c r="D470" s="33">
        <v>3321</v>
      </c>
      <c r="E470" s="33">
        <v>337</v>
      </c>
      <c r="F470" s="33">
        <v>4</v>
      </c>
      <c r="G470" s="33">
        <v>5</v>
      </c>
      <c r="H470" s="33">
        <v>81800</v>
      </c>
      <c r="I470" s="33" t="s">
        <v>39</v>
      </c>
      <c r="J470" s="33">
        <v>50028209</v>
      </c>
      <c r="K470" s="33" t="s">
        <v>1564</v>
      </c>
      <c r="L470" s="39" t="s">
        <v>1567</v>
      </c>
      <c r="M470" s="35">
        <v>299900</v>
      </c>
      <c r="N470" s="71">
        <f t="shared" si="218"/>
        <v>0.75</v>
      </c>
      <c r="O470" s="72">
        <f t="shared" si="205"/>
        <v>74975</v>
      </c>
      <c r="P470" s="35" t="str">
        <f t="shared" si="219"/>
        <v>PERCENTAGE</v>
      </c>
    </row>
    <row r="471" spans="1:16" x14ac:dyDescent="0.35">
      <c r="A471" s="33" t="str">
        <f t="shared" ref="A471:C471" si="227">A470</f>
        <v>2024 JAN-SEP DISC 75%</v>
      </c>
      <c r="B471" s="34">
        <f t="shared" si="227"/>
        <v>46104</v>
      </c>
      <c r="C471" s="34">
        <f t="shared" si="227"/>
        <v>46113</v>
      </c>
      <c r="D471" s="33">
        <v>3321</v>
      </c>
      <c r="E471" s="33">
        <v>337</v>
      </c>
      <c r="F471" s="33">
        <v>4</v>
      </c>
      <c r="G471" s="33">
        <v>5</v>
      </c>
      <c r="H471" s="33">
        <v>81800</v>
      </c>
      <c r="I471" s="33" t="s">
        <v>39</v>
      </c>
      <c r="J471" s="33">
        <v>50028218</v>
      </c>
      <c r="K471" s="33" t="s">
        <v>1564</v>
      </c>
      <c r="L471" s="39" t="s">
        <v>1568</v>
      </c>
      <c r="M471" s="35">
        <v>299900</v>
      </c>
      <c r="N471" s="71">
        <f t="shared" si="218"/>
        <v>0.75</v>
      </c>
      <c r="O471" s="72">
        <f t="shared" si="205"/>
        <v>74975</v>
      </c>
      <c r="P471" s="35" t="str">
        <f t="shared" si="219"/>
        <v>PERCENTAGE</v>
      </c>
    </row>
    <row r="472" spans="1:16" x14ac:dyDescent="0.35">
      <c r="A472" s="33" t="str">
        <f t="shared" ref="A472:C472" si="228">A471</f>
        <v>2024 JAN-SEP DISC 75%</v>
      </c>
      <c r="B472" s="34">
        <f t="shared" si="228"/>
        <v>46104</v>
      </c>
      <c r="C472" s="34">
        <f t="shared" si="228"/>
        <v>46113</v>
      </c>
      <c r="D472" s="33">
        <v>3321</v>
      </c>
      <c r="E472" s="33">
        <v>337</v>
      </c>
      <c r="F472" s="33">
        <v>4</v>
      </c>
      <c r="G472" s="33">
        <v>1</v>
      </c>
      <c r="H472" s="33">
        <v>81421</v>
      </c>
      <c r="I472" s="33" t="s">
        <v>39</v>
      </c>
      <c r="J472" s="33">
        <v>50028174</v>
      </c>
      <c r="K472" s="33" t="s">
        <v>1290</v>
      </c>
      <c r="L472" s="39" t="s">
        <v>1569</v>
      </c>
      <c r="M472" s="35">
        <v>179900</v>
      </c>
      <c r="N472" s="71">
        <f t="shared" si="218"/>
        <v>0.75</v>
      </c>
      <c r="O472" s="72">
        <f t="shared" si="205"/>
        <v>44975</v>
      </c>
      <c r="P472" s="35" t="str">
        <f t="shared" si="219"/>
        <v>PERCENTAGE</v>
      </c>
    </row>
    <row r="473" spans="1:16" x14ac:dyDescent="0.35">
      <c r="A473" s="33" t="str">
        <f t="shared" ref="A473:C473" si="229">A472</f>
        <v>2024 JAN-SEP DISC 75%</v>
      </c>
      <c r="B473" s="34">
        <f t="shared" si="229"/>
        <v>46104</v>
      </c>
      <c r="C473" s="34">
        <f t="shared" si="229"/>
        <v>46113</v>
      </c>
      <c r="D473" s="33">
        <v>3321</v>
      </c>
      <c r="E473" s="33">
        <v>337</v>
      </c>
      <c r="F473" s="33">
        <v>4</v>
      </c>
      <c r="G473" s="33">
        <v>1</v>
      </c>
      <c r="H473" s="33">
        <v>81421</v>
      </c>
      <c r="I473" s="33" t="s">
        <v>39</v>
      </c>
      <c r="J473" s="33">
        <v>50028165</v>
      </c>
      <c r="K473" s="33" t="s">
        <v>1290</v>
      </c>
      <c r="L473" s="39" t="s">
        <v>1570</v>
      </c>
      <c r="M473" s="35">
        <v>179900</v>
      </c>
      <c r="N473" s="71">
        <f t="shared" si="218"/>
        <v>0.75</v>
      </c>
      <c r="O473" s="72">
        <f t="shared" si="205"/>
        <v>44975</v>
      </c>
      <c r="P473" s="35" t="str">
        <f t="shared" si="219"/>
        <v>PERCENTAGE</v>
      </c>
    </row>
    <row r="474" spans="1:16" x14ac:dyDescent="0.35">
      <c r="A474" s="33" t="str">
        <f t="shared" ref="A474:C474" si="230">A473</f>
        <v>2024 JAN-SEP DISC 75%</v>
      </c>
      <c r="B474" s="34">
        <f t="shared" si="230"/>
        <v>46104</v>
      </c>
      <c r="C474" s="34">
        <f t="shared" si="230"/>
        <v>46113</v>
      </c>
      <c r="D474" s="33">
        <v>3321</v>
      </c>
      <c r="E474" s="33">
        <v>337</v>
      </c>
      <c r="F474" s="33">
        <v>4</v>
      </c>
      <c r="G474" s="33">
        <v>3</v>
      </c>
      <c r="H474" s="33">
        <v>81005</v>
      </c>
      <c r="I474" s="33" t="s">
        <v>39</v>
      </c>
      <c r="J474" s="33">
        <v>50028325</v>
      </c>
      <c r="K474" s="33" t="s">
        <v>1571</v>
      </c>
      <c r="L474" s="39" t="s">
        <v>1572</v>
      </c>
      <c r="M474" s="35">
        <v>219900</v>
      </c>
      <c r="N474" s="71">
        <f t="shared" si="218"/>
        <v>0.75</v>
      </c>
      <c r="O474" s="72">
        <f t="shared" si="205"/>
        <v>54975</v>
      </c>
      <c r="P474" s="35" t="str">
        <f t="shared" si="219"/>
        <v>PERCENTAGE</v>
      </c>
    </row>
    <row r="475" spans="1:16" x14ac:dyDescent="0.35">
      <c r="A475" s="33" t="str">
        <f t="shared" ref="A475:C475" si="231">A474</f>
        <v>2024 JAN-SEP DISC 75%</v>
      </c>
      <c r="B475" s="34">
        <f t="shared" si="231"/>
        <v>46104</v>
      </c>
      <c r="C475" s="34">
        <f t="shared" si="231"/>
        <v>46113</v>
      </c>
      <c r="D475" s="33">
        <v>3321</v>
      </c>
      <c r="E475" s="33">
        <v>337</v>
      </c>
      <c r="F475" s="33">
        <v>4</v>
      </c>
      <c r="G475" s="33">
        <v>3</v>
      </c>
      <c r="H475" s="33">
        <v>81005</v>
      </c>
      <c r="I475" s="33" t="s">
        <v>39</v>
      </c>
      <c r="J475" s="33">
        <v>50028352</v>
      </c>
      <c r="K475" s="33" t="s">
        <v>1571</v>
      </c>
      <c r="L475" s="39" t="s">
        <v>1573</v>
      </c>
      <c r="M475" s="35">
        <v>219900</v>
      </c>
      <c r="N475" s="71">
        <f t="shared" si="218"/>
        <v>0.75</v>
      </c>
      <c r="O475" s="72">
        <f t="shared" si="205"/>
        <v>54975</v>
      </c>
      <c r="P475" s="35" t="str">
        <f t="shared" si="219"/>
        <v>PERCENTAGE</v>
      </c>
    </row>
    <row r="476" spans="1:16" x14ac:dyDescent="0.35">
      <c r="A476" s="33" t="str">
        <f t="shared" ref="A476:C476" si="232">A475</f>
        <v>2024 JAN-SEP DISC 75%</v>
      </c>
      <c r="B476" s="34">
        <f t="shared" si="232"/>
        <v>46104</v>
      </c>
      <c r="C476" s="34">
        <f t="shared" si="232"/>
        <v>46113</v>
      </c>
      <c r="D476" s="33">
        <v>3321</v>
      </c>
      <c r="E476" s="33">
        <v>337</v>
      </c>
      <c r="F476" s="33">
        <v>4</v>
      </c>
      <c r="G476" s="33">
        <v>3</v>
      </c>
      <c r="H476" s="33">
        <v>81005</v>
      </c>
      <c r="I476" s="33" t="s">
        <v>39</v>
      </c>
      <c r="J476" s="33">
        <v>50028343</v>
      </c>
      <c r="K476" s="33" t="s">
        <v>1571</v>
      </c>
      <c r="L476" s="39" t="s">
        <v>1574</v>
      </c>
      <c r="M476" s="35">
        <v>219900</v>
      </c>
      <c r="N476" s="71">
        <f t="shared" si="218"/>
        <v>0.75</v>
      </c>
      <c r="O476" s="72">
        <f t="shared" si="205"/>
        <v>54975</v>
      </c>
      <c r="P476" s="35" t="str">
        <f t="shared" si="219"/>
        <v>PERCENTAGE</v>
      </c>
    </row>
    <row r="477" spans="1:16" x14ac:dyDescent="0.35">
      <c r="A477" s="33" t="str">
        <f t="shared" ref="A477:C477" si="233">A476</f>
        <v>2024 JAN-SEP DISC 75%</v>
      </c>
      <c r="B477" s="34">
        <f t="shared" si="233"/>
        <v>46104</v>
      </c>
      <c r="C477" s="34">
        <f t="shared" si="233"/>
        <v>46113</v>
      </c>
      <c r="D477" s="33">
        <v>3321</v>
      </c>
      <c r="E477" s="33">
        <v>337</v>
      </c>
      <c r="F477" s="33">
        <v>4</v>
      </c>
      <c r="G477" s="33">
        <v>3</v>
      </c>
      <c r="H477" s="33">
        <v>81005</v>
      </c>
      <c r="I477" s="33" t="s">
        <v>39</v>
      </c>
      <c r="J477" s="33">
        <v>50028334</v>
      </c>
      <c r="K477" s="33" t="s">
        <v>1571</v>
      </c>
      <c r="L477" s="39" t="s">
        <v>1575</v>
      </c>
      <c r="M477" s="35">
        <v>219900</v>
      </c>
      <c r="N477" s="71">
        <f t="shared" si="218"/>
        <v>0.75</v>
      </c>
      <c r="O477" s="72">
        <f t="shared" si="205"/>
        <v>54975</v>
      </c>
      <c r="P477" s="35" t="str">
        <f t="shared" si="219"/>
        <v>PERCENTAGE</v>
      </c>
    </row>
    <row r="478" spans="1:16" x14ac:dyDescent="0.35">
      <c r="A478" s="33" t="str">
        <f t="shared" ref="A478:C478" si="234">A477</f>
        <v>2024 JAN-SEP DISC 75%</v>
      </c>
      <c r="B478" s="34">
        <f t="shared" si="234"/>
        <v>46104</v>
      </c>
      <c r="C478" s="34">
        <f t="shared" si="234"/>
        <v>46113</v>
      </c>
      <c r="D478" s="33">
        <v>3321</v>
      </c>
      <c r="E478" s="33">
        <v>337</v>
      </c>
      <c r="F478" s="33">
        <v>4</v>
      </c>
      <c r="G478" s="33">
        <v>3</v>
      </c>
      <c r="H478" s="33">
        <v>81005</v>
      </c>
      <c r="I478" s="33" t="s">
        <v>39</v>
      </c>
      <c r="J478" s="33">
        <v>50028316</v>
      </c>
      <c r="K478" s="33" t="s">
        <v>1571</v>
      </c>
      <c r="L478" s="39" t="s">
        <v>1576</v>
      </c>
      <c r="M478" s="35">
        <v>219900</v>
      </c>
      <c r="N478" s="71">
        <f t="shared" si="218"/>
        <v>0.75</v>
      </c>
      <c r="O478" s="72">
        <f t="shared" si="205"/>
        <v>54975</v>
      </c>
      <c r="P478" s="35" t="str">
        <f t="shared" si="219"/>
        <v>PERCENTAGE</v>
      </c>
    </row>
    <row r="479" spans="1:16" x14ac:dyDescent="0.35">
      <c r="A479" s="33" t="str">
        <f t="shared" ref="A479:C479" si="235">A478</f>
        <v>2024 JAN-SEP DISC 75%</v>
      </c>
      <c r="B479" s="34">
        <f t="shared" si="235"/>
        <v>46104</v>
      </c>
      <c r="C479" s="34">
        <f t="shared" si="235"/>
        <v>46113</v>
      </c>
      <c r="D479" s="33">
        <v>3321</v>
      </c>
      <c r="E479" s="33">
        <v>337</v>
      </c>
      <c r="F479" s="33">
        <v>4</v>
      </c>
      <c r="G479" s="33">
        <v>3</v>
      </c>
      <c r="H479" s="33">
        <v>81800</v>
      </c>
      <c r="I479" s="33" t="s">
        <v>39</v>
      </c>
      <c r="J479" s="33">
        <v>50028290</v>
      </c>
      <c r="K479" s="33" t="s">
        <v>1577</v>
      </c>
      <c r="L479" s="39" t="s">
        <v>1578</v>
      </c>
      <c r="M479" s="35">
        <v>299900</v>
      </c>
      <c r="N479" s="71">
        <f t="shared" si="218"/>
        <v>0.75</v>
      </c>
      <c r="O479" s="72">
        <f t="shared" si="205"/>
        <v>74975</v>
      </c>
      <c r="P479" s="35" t="str">
        <f t="shared" si="219"/>
        <v>PERCENTAGE</v>
      </c>
    </row>
    <row r="480" spans="1:16" x14ac:dyDescent="0.35">
      <c r="A480" s="33" t="str">
        <f t="shared" ref="A480:C480" si="236">A479</f>
        <v>2024 JAN-SEP DISC 75%</v>
      </c>
      <c r="B480" s="34">
        <f t="shared" si="236"/>
        <v>46104</v>
      </c>
      <c r="C480" s="34">
        <f t="shared" si="236"/>
        <v>46113</v>
      </c>
      <c r="D480" s="33">
        <v>3321</v>
      </c>
      <c r="E480" s="33">
        <v>337</v>
      </c>
      <c r="F480" s="33">
        <v>4</v>
      </c>
      <c r="G480" s="33">
        <v>3</v>
      </c>
      <c r="H480" s="33">
        <v>81800</v>
      </c>
      <c r="I480" s="33" t="s">
        <v>39</v>
      </c>
      <c r="J480" s="33">
        <v>50028307</v>
      </c>
      <c r="K480" s="33" t="s">
        <v>1577</v>
      </c>
      <c r="L480" s="39" t="s">
        <v>1579</v>
      </c>
      <c r="M480" s="35">
        <v>299900</v>
      </c>
      <c r="N480" s="71">
        <f t="shared" si="218"/>
        <v>0.75</v>
      </c>
      <c r="O480" s="72">
        <f t="shared" si="205"/>
        <v>74975</v>
      </c>
      <c r="P480" s="35" t="str">
        <f t="shared" si="219"/>
        <v>PERCENTAGE</v>
      </c>
    </row>
    <row r="481" spans="1:16" x14ac:dyDescent="0.35">
      <c r="A481" s="33" t="str">
        <f t="shared" ref="A481:C481" si="237">A480</f>
        <v>2024 JAN-SEP DISC 75%</v>
      </c>
      <c r="B481" s="34">
        <f t="shared" si="237"/>
        <v>46104</v>
      </c>
      <c r="C481" s="34">
        <f t="shared" si="237"/>
        <v>46113</v>
      </c>
      <c r="D481" s="33">
        <v>3321</v>
      </c>
      <c r="E481" s="33">
        <v>337</v>
      </c>
      <c r="F481" s="33">
        <v>4</v>
      </c>
      <c r="G481" s="33">
        <v>3</v>
      </c>
      <c r="H481" s="33">
        <v>81800</v>
      </c>
      <c r="I481" s="33" t="s">
        <v>39</v>
      </c>
      <c r="J481" s="33">
        <v>50028281</v>
      </c>
      <c r="K481" s="33" t="s">
        <v>1577</v>
      </c>
      <c r="L481" s="39" t="s">
        <v>1580</v>
      </c>
      <c r="M481" s="35">
        <v>299900</v>
      </c>
      <c r="N481" s="71">
        <f t="shared" si="218"/>
        <v>0.75</v>
      </c>
      <c r="O481" s="72">
        <f t="shared" si="205"/>
        <v>74975</v>
      </c>
      <c r="P481" s="35" t="str">
        <f t="shared" si="219"/>
        <v>PERCENTAGE</v>
      </c>
    </row>
    <row r="482" spans="1:16" x14ac:dyDescent="0.35">
      <c r="A482" s="33" t="str">
        <f t="shared" ref="A482:C482" si="238">A481</f>
        <v>2024 JAN-SEP DISC 75%</v>
      </c>
      <c r="B482" s="34">
        <f t="shared" si="238"/>
        <v>46104</v>
      </c>
      <c r="C482" s="34">
        <f t="shared" si="238"/>
        <v>46113</v>
      </c>
      <c r="D482" s="33">
        <v>3321</v>
      </c>
      <c r="E482" s="33">
        <v>337</v>
      </c>
      <c r="F482" s="33">
        <v>4</v>
      </c>
      <c r="G482" s="33">
        <v>3</v>
      </c>
      <c r="H482" s="33">
        <v>81800</v>
      </c>
      <c r="I482" s="33" t="s">
        <v>39</v>
      </c>
      <c r="J482" s="33">
        <v>50028272</v>
      </c>
      <c r="K482" s="33" t="s">
        <v>1577</v>
      </c>
      <c r="L482" s="39" t="s">
        <v>1581</v>
      </c>
      <c r="M482" s="35">
        <v>299900</v>
      </c>
      <c r="N482" s="71">
        <f t="shared" si="218"/>
        <v>0.75</v>
      </c>
      <c r="O482" s="72">
        <f t="shared" si="205"/>
        <v>74975</v>
      </c>
      <c r="P482" s="35" t="str">
        <f t="shared" si="219"/>
        <v>PERCENTAGE</v>
      </c>
    </row>
    <row r="483" spans="1:16" x14ac:dyDescent="0.35">
      <c r="A483" s="33" t="str">
        <f t="shared" ref="A483:C483" si="239">A482</f>
        <v>2024 JAN-SEP DISC 75%</v>
      </c>
      <c r="B483" s="34">
        <f t="shared" si="239"/>
        <v>46104</v>
      </c>
      <c r="C483" s="34">
        <f t="shared" si="239"/>
        <v>46113</v>
      </c>
      <c r="D483" s="33">
        <v>3321</v>
      </c>
      <c r="E483" s="33">
        <v>337</v>
      </c>
      <c r="F483" s="33">
        <v>4</v>
      </c>
      <c r="G483" s="33">
        <v>5</v>
      </c>
      <c r="H483" s="33">
        <v>81005</v>
      </c>
      <c r="I483" s="33" t="s">
        <v>39</v>
      </c>
      <c r="J483" s="33">
        <v>26742241</v>
      </c>
      <c r="K483" s="33" t="s">
        <v>1582</v>
      </c>
      <c r="L483" s="39" t="s">
        <v>1583</v>
      </c>
      <c r="M483" s="35">
        <v>259900</v>
      </c>
      <c r="N483" s="71">
        <f t="shared" si="218"/>
        <v>0.75</v>
      </c>
      <c r="O483" s="72">
        <f t="shared" si="205"/>
        <v>64975</v>
      </c>
      <c r="P483" s="35" t="str">
        <f t="shared" si="219"/>
        <v>PERCENTAGE</v>
      </c>
    </row>
    <row r="484" spans="1:16" x14ac:dyDescent="0.35">
      <c r="A484" s="33" t="str">
        <f t="shared" ref="A484:C484" si="240">A483</f>
        <v>2024 JAN-SEP DISC 75%</v>
      </c>
      <c r="B484" s="34">
        <f t="shared" si="240"/>
        <v>46104</v>
      </c>
      <c r="C484" s="34">
        <f t="shared" si="240"/>
        <v>46113</v>
      </c>
      <c r="D484" s="33">
        <v>3321</v>
      </c>
      <c r="E484" s="33">
        <v>337</v>
      </c>
      <c r="F484" s="33">
        <v>4</v>
      </c>
      <c r="G484" s="33">
        <v>5</v>
      </c>
      <c r="H484" s="33">
        <v>81005</v>
      </c>
      <c r="I484" s="33" t="s">
        <v>39</v>
      </c>
      <c r="J484" s="33">
        <v>26742250</v>
      </c>
      <c r="K484" s="33" t="s">
        <v>1582</v>
      </c>
      <c r="L484" s="39" t="s">
        <v>1584</v>
      </c>
      <c r="M484" s="35">
        <v>259900</v>
      </c>
      <c r="N484" s="71">
        <f t="shared" si="218"/>
        <v>0.75</v>
      </c>
      <c r="O484" s="72">
        <f t="shared" si="205"/>
        <v>64975</v>
      </c>
      <c r="P484" s="35" t="str">
        <f t="shared" si="219"/>
        <v>PERCENTAGE</v>
      </c>
    </row>
    <row r="485" spans="1:16" x14ac:dyDescent="0.35">
      <c r="A485" s="33" t="str">
        <f t="shared" ref="A485:C485" si="241">A484</f>
        <v>2024 JAN-SEP DISC 75%</v>
      </c>
      <c r="B485" s="34">
        <f t="shared" si="241"/>
        <v>46104</v>
      </c>
      <c r="C485" s="34">
        <f t="shared" si="241"/>
        <v>46113</v>
      </c>
      <c r="D485" s="33">
        <v>3321</v>
      </c>
      <c r="E485" s="33">
        <v>337</v>
      </c>
      <c r="F485" s="33">
        <v>4</v>
      </c>
      <c r="G485" s="33">
        <v>5</v>
      </c>
      <c r="H485" s="33">
        <v>81005</v>
      </c>
      <c r="I485" s="33" t="s">
        <v>39</v>
      </c>
      <c r="J485" s="33">
        <v>26742269</v>
      </c>
      <c r="K485" s="33" t="s">
        <v>1582</v>
      </c>
      <c r="L485" s="39" t="s">
        <v>1585</v>
      </c>
      <c r="M485" s="35">
        <v>259900</v>
      </c>
      <c r="N485" s="71">
        <f t="shared" si="218"/>
        <v>0.75</v>
      </c>
      <c r="O485" s="72">
        <f t="shared" si="205"/>
        <v>64975</v>
      </c>
      <c r="P485" s="35" t="str">
        <f t="shared" si="219"/>
        <v>PERCENTAGE</v>
      </c>
    </row>
    <row r="486" spans="1:16" x14ac:dyDescent="0.35">
      <c r="A486" s="33" t="str">
        <f t="shared" ref="A486:C486" si="242">A485</f>
        <v>2024 JAN-SEP DISC 75%</v>
      </c>
      <c r="B486" s="34">
        <f t="shared" si="242"/>
        <v>46104</v>
      </c>
      <c r="C486" s="34">
        <f t="shared" si="242"/>
        <v>46113</v>
      </c>
      <c r="D486" s="33">
        <v>3321</v>
      </c>
      <c r="E486" s="33">
        <v>337</v>
      </c>
      <c r="F486" s="33">
        <v>4</v>
      </c>
      <c r="G486" s="33">
        <v>5</v>
      </c>
      <c r="H486" s="33">
        <v>81005</v>
      </c>
      <c r="I486" s="33" t="s">
        <v>39</v>
      </c>
      <c r="J486" s="33">
        <v>26742223</v>
      </c>
      <c r="K486" s="33" t="s">
        <v>1582</v>
      </c>
      <c r="L486" s="39" t="s">
        <v>1586</v>
      </c>
      <c r="M486" s="35">
        <v>259900</v>
      </c>
      <c r="N486" s="71">
        <f t="shared" si="218"/>
        <v>0.75</v>
      </c>
      <c r="O486" s="72">
        <f t="shared" si="205"/>
        <v>64975</v>
      </c>
      <c r="P486" s="35" t="str">
        <f t="shared" si="219"/>
        <v>PERCENTAGE</v>
      </c>
    </row>
    <row r="487" spans="1:16" x14ac:dyDescent="0.35">
      <c r="A487" s="33" t="str">
        <f t="shared" ref="A487:C487" si="243">A486</f>
        <v>2024 JAN-SEP DISC 75%</v>
      </c>
      <c r="B487" s="34">
        <f t="shared" si="243"/>
        <v>46104</v>
      </c>
      <c r="C487" s="34">
        <f t="shared" si="243"/>
        <v>46113</v>
      </c>
      <c r="D487" s="33">
        <v>3321</v>
      </c>
      <c r="E487" s="33">
        <v>337</v>
      </c>
      <c r="F487" s="33">
        <v>4</v>
      </c>
      <c r="G487" s="33">
        <v>5</v>
      </c>
      <c r="H487" s="33">
        <v>81005</v>
      </c>
      <c r="I487" s="33" t="s">
        <v>39</v>
      </c>
      <c r="J487" s="33">
        <v>26742232</v>
      </c>
      <c r="K487" s="33" t="s">
        <v>1582</v>
      </c>
      <c r="L487" s="39" t="s">
        <v>1587</v>
      </c>
      <c r="M487" s="35">
        <v>259900</v>
      </c>
      <c r="N487" s="71">
        <f t="shared" si="218"/>
        <v>0.75</v>
      </c>
      <c r="O487" s="72">
        <f t="shared" si="205"/>
        <v>64975</v>
      </c>
      <c r="P487" s="35" t="str">
        <f t="shared" si="219"/>
        <v>PERCENTAGE</v>
      </c>
    </row>
    <row r="488" spans="1:16" x14ac:dyDescent="0.35">
      <c r="A488" s="33" t="str">
        <f t="shared" ref="A488:C488" si="244">A487</f>
        <v>2024 JAN-SEP DISC 75%</v>
      </c>
      <c r="B488" s="34">
        <f t="shared" si="244"/>
        <v>46104</v>
      </c>
      <c r="C488" s="34">
        <f t="shared" si="244"/>
        <v>46113</v>
      </c>
      <c r="D488" s="33">
        <v>3321</v>
      </c>
      <c r="E488" s="33">
        <v>337</v>
      </c>
      <c r="F488" s="33">
        <v>4</v>
      </c>
      <c r="G488" s="33">
        <v>1</v>
      </c>
      <c r="H488" s="33">
        <v>81048</v>
      </c>
      <c r="I488" s="33" t="s">
        <v>39</v>
      </c>
      <c r="J488" s="33">
        <v>50189867</v>
      </c>
      <c r="K488" s="33" t="s">
        <v>1718</v>
      </c>
      <c r="L488" s="39" t="s">
        <v>1719</v>
      </c>
      <c r="M488" s="35">
        <v>149900</v>
      </c>
      <c r="N488" s="71">
        <f t="shared" si="218"/>
        <v>0.75</v>
      </c>
      <c r="O488" s="72">
        <f t="shared" si="205"/>
        <v>37475</v>
      </c>
      <c r="P488" s="35" t="str">
        <f t="shared" si="219"/>
        <v>PERCENTAGE</v>
      </c>
    </row>
    <row r="489" spans="1:16" x14ac:dyDescent="0.35">
      <c r="A489" s="33" t="str">
        <f t="shared" ref="A489:C489" si="245">A488</f>
        <v>2024 JAN-SEP DISC 75%</v>
      </c>
      <c r="B489" s="34">
        <f t="shared" si="245"/>
        <v>46104</v>
      </c>
      <c r="C489" s="34">
        <f t="shared" si="245"/>
        <v>46113</v>
      </c>
      <c r="D489" s="33">
        <v>3321</v>
      </c>
      <c r="E489" s="33">
        <v>337</v>
      </c>
      <c r="F489" s="33">
        <v>4</v>
      </c>
      <c r="G489" s="33">
        <v>1</v>
      </c>
      <c r="H489" s="33">
        <v>81048</v>
      </c>
      <c r="I489" s="33" t="s">
        <v>39</v>
      </c>
      <c r="J489" s="33">
        <v>50189876</v>
      </c>
      <c r="K489" s="33" t="s">
        <v>1718</v>
      </c>
      <c r="L489" s="39" t="s">
        <v>1722</v>
      </c>
      <c r="M489" s="35">
        <v>149900</v>
      </c>
      <c r="N489" s="71">
        <f t="shared" si="218"/>
        <v>0.75</v>
      </c>
      <c r="O489" s="72">
        <f t="shared" si="205"/>
        <v>37475</v>
      </c>
      <c r="P489" s="35" t="str">
        <f t="shared" si="219"/>
        <v>PERCENTAGE</v>
      </c>
    </row>
    <row r="490" spans="1:16" x14ac:dyDescent="0.35">
      <c r="A490" s="33" t="str">
        <f t="shared" ref="A490:C490" si="246">A489</f>
        <v>2024 JAN-SEP DISC 75%</v>
      </c>
      <c r="B490" s="34">
        <f t="shared" si="246"/>
        <v>46104</v>
      </c>
      <c r="C490" s="34">
        <f t="shared" si="246"/>
        <v>46113</v>
      </c>
      <c r="D490" s="33">
        <v>3321</v>
      </c>
      <c r="E490" s="33">
        <v>337</v>
      </c>
      <c r="F490" s="33">
        <v>4</v>
      </c>
      <c r="G490" s="33">
        <v>1</v>
      </c>
      <c r="H490" s="33">
        <v>81048</v>
      </c>
      <c r="I490" s="33" t="s">
        <v>39</v>
      </c>
      <c r="J490" s="33">
        <v>50189885</v>
      </c>
      <c r="K490" s="33" t="s">
        <v>1718</v>
      </c>
      <c r="L490" s="39" t="s">
        <v>1724</v>
      </c>
      <c r="M490" s="35">
        <v>149900</v>
      </c>
      <c r="N490" s="71">
        <f t="shared" si="218"/>
        <v>0.75</v>
      </c>
      <c r="O490" s="72">
        <f t="shared" si="205"/>
        <v>37475</v>
      </c>
      <c r="P490" s="35" t="str">
        <f t="shared" si="219"/>
        <v>PERCENTAGE</v>
      </c>
    </row>
    <row r="491" spans="1:16" x14ac:dyDescent="0.35">
      <c r="A491" s="33" t="str">
        <f t="shared" ref="A491:C491" si="247">A490</f>
        <v>2024 JAN-SEP DISC 75%</v>
      </c>
      <c r="B491" s="34">
        <f t="shared" si="247"/>
        <v>46104</v>
      </c>
      <c r="C491" s="34">
        <f t="shared" si="247"/>
        <v>46113</v>
      </c>
      <c r="D491" s="33">
        <v>3321</v>
      </c>
      <c r="E491" s="33">
        <v>337</v>
      </c>
      <c r="F491" s="33">
        <v>4</v>
      </c>
      <c r="G491" s="33">
        <v>1</v>
      </c>
      <c r="H491" s="33">
        <v>81048</v>
      </c>
      <c r="I491" s="33" t="s">
        <v>39</v>
      </c>
      <c r="J491" s="33">
        <v>50189858</v>
      </c>
      <c r="K491" s="33" t="s">
        <v>1718</v>
      </c>
      <c r="L491" s="39" t="s">
        <v>1727</v>
      </c>
      <c r="M491" s="35">
        <v>149900</v>
      </c>
      <c r="N491" s="71">
        <f t="shared" si="218"/>
        <v>0.75</v>
      </c>
      <c r="O491" s="72">
        <f t="shared" si="205"/>
        <v>37475</v>
      </c>
      <c r="P491" s="35" t="str">
        <f t="shared" si="219"/>
        <v>PERCENTAGE</v>
      </c>
    </row>
    <row r="492" spans="1:16" x14ac:dyDescent="0.35">
      <c r="A492" s="33" t="str">
        <f t="shared" ref="A492:C492" si="248">A491</f>
        <v>2024 JAN-SEP DISC 75%</v>
      </c>
      <c r="B492" s="34">
        <f t="shared" si="248"/>
        <v>46104</v>
      </c>
      <c r="C492" s="34">
        <f t="shared" si="248"/>
        <v>46113</v>
      </c>
      <c r="D492" s="33">
        <v>3321</v>
      </c>
      <c r="E492" s="33">
        <v>337</v>
      </c>
      <c r="F492" s="33">
        <v>4</v>
      </c>
      <c r="G492" s="33">
        <v>1</v>
      </c>
      <c r="H492" s="33">
        <v>81048</v>
      </c>
      <c r="I492" s="33" t="s">
        <v>39</v>
      </c>
      <c r="J492" s="33">
        <v>50189910</v>
      </c>
      <c r="K492" s="33" t="s">
        <v>1720</v>
      </c>
      <c r="L492" s="39" t="s">
        <v>1721</v>
      </c>
      <c r="M492" s="35">
        <v>149900</v>
      </c>
      <c r="N492" s="71">
        <f t="shared" si="218"/>
        <v>0.75</v>
      </c>
      <c r="O492" s="72">
        <f t="shared" si="205"/>
        <v>37475</v>
      </c>
      <c r="P492" s="35" t="str">
        <f t="shared" si="219"/>
        <v>PERCENTAGE</v>
      </c>
    </row>
    <row r="493" spans="1:16" x14ac:dyDescent="0.35">
      <c r="A493" s="33" t="str">
        <f t="shared" ref="A493:C493" si="249">A492</f>
        <v>2024 JAN-SEP DISC 75%</v>
      </c>
      <c r="B493" s="34">
        <f t="shared" si="249"/>
        <v>46104</v>
      </c>
      <c r="C493" s="34">
        <f t="shared" si="249"/>
        <v>46113</v>
      </c>
      <c r="D493" s="33">
        <v>3321</v>
      </c>
      <c r="E493" s="33">
        <v>337</v>
      </c>
      <c r="F493" s="33">
        <v>4</v>
      </c>
      <c r="G493" s="33">
        <v>1</v>
      </c>
      <c r="H493" s="33">
        <v>81048</v>
      </c>
      <c r="I493" s="33" t="s">
        <v>39</v>
      </c>
      <c r="J493" s="33">
        <v>50189901</v>
      </c>
      <c r="K493" s="33" t="s">
        <v>1720</v>
      </c>
      <c r="L493" s="39" t="s">
        <v>1723</v>
      </c>
      <c r="M493" s="35">
        <v>149900</v>
      </c>
      <c r="N493" s="71">
        <f t="shared" si="218"/>
        <v>0.75</v>
      </c>
      <c r="O493" s="72">
        <f t="shared" si="205"/>
        <v>37475</v>
      </c>
      <c r="P493" s="35" t="str">
        <f t="shared" si="219"/>
        <v>PERCENTAGE</v>
      </c>
    </row>
    <row r="494" spans="1:16" x14ac:dyDescent="0.35">
      <c r="A494" s="33" t="str">
        <f t="shared" ref="A494:C494" si="250">A493</f>
        <v>2024 JAN-SEP DISC 75%</v>
      </c>
      <c r="B494" s="34">
        <f t="shared" si="250"/>
        <v>46104</v>
      </c>
      <c r="C494" s="34">
        <f t="shared" si="250"/>
        <v>46113</v>
      </c>
      <c r="D494" s="33">
        <v>3321</v>
      </c>
      <c r="E494" s="33">
        <v>337</v>
      </c>
      <c r="F494" s="33">
        <v>4</v>
      </c>
      <c r="G494" s="33">
        <v>1</v>
      </c>
      <c r="H494" s="33">
        <v>81048</v>
      </c>
      <c r="I494" s="33" t="s">
        <v>39</v>
      </c>
      <c r="J494" s="33">
        <v>50189929</v>
      </c>
      <c r="K494" s="33" t="s">
        <v>1720</v>
      </c>
      <c r="L494" s="39" t="s">
        <v>1725</v>
      </c>
      <c r="M494" s="35">
        <v>149900</v>
      </c>
      <c r="N494" s="71">
        <f t="shared" si="218"/>
        <v>0.75</v>
      </c>
      <c r="O494" s="72">
        <f t="shared" si="205"/>
        <v>37475</v>
      </c>
      <c r="P494" s="35" t="str">
        <f t="shared" si="219"/>
        <v>PERCENTAGE</v>
      </c>
    </row>
    <row r="495" spans="1:16" x14ac:dyDescent="0.35">
      <c r="A495" s="33" t="str">
        <f t="shared" ref="A495:C495" si="251">A494</f>
        <v>2024 JAN-SEP DISC 75%</v>
      </c>
      <c r="B495" s="34">
        <f t="shared" si="251"/>
        <v>46104</v>
      </c>
      <c r="C495" s="34">
        <f t="shared" si="251"/>
        <v>46113</v>
      </c>
      <c r="D495" s="33">
        <v>3321</v>
      </c>
      <c r="E495" s="33">
        <v>337</v>
      </c>
      <c r="F495" s="33">
        <v>4</v>
      </c>
      <c r="G495" s="33">
        <v>1</v>
      </c>
      <c r="H495" s="33">
        <v>81048</v>
      </c>
      <c r="I495" s="33" t="s">
        <v>39</v>
      </c>
      <c r="J495" s="33">
        <v>50189894</v>
      </c>
      <c r="K495" s="33" t="s">
        <v>1720</v>
      </c>
      <c r="L495" s="39" t="s">
        <v>1726</v>
      </c>
      <c r="M495" s="35">
        <v>149900</v>
      </c>
      <c r="N495" s="71">
        <f t="shared" si="218"/>
        <v>0.75</v>
      </c>
      <c r="O495" s="72">
        <f t="shared" si="205"/>
        <v>37475</v>
      </c>
      <c r="P495" s="35" t="str">
        <f t="shared" si="219"/>
        <v>PERCENTAGE</v>
      </c>
    </row>
    <row r="496" spans="1:16" x14ac:dyDescent="0.35">
      <c r="A496" s="33" t="str">
        <f t="shared" ref="A496:C496" si="252">A495</f>
        <v>2024 JAN-SEP DISC 75%</v>
      </c>
      <c r="B496" s="34">
        <f t="shared" si="252"/>
        <v>46104</v>
      </c>
      <c r="C496" s="34">
        <f t="shared" si="252"/>
        <v>46113</v>
      </c>
      <c r="D496" s="33">
        <v>3321</v>
      </c>
      <c r="E496" s="33">
        <v>337</v>
      </c>
      <c r="F496" s="33">
        <v>4</v>
      </c>
      <c r="G496" s="33">
        <v>4</v>
      </c>
      <c r="H496" s="33">
        <v>81676</v>
      </c>
      <c r="I496" s="33" t="s">
        <v>39</v>
      </c>
      <c r="J496" s="33">
        <v>51122257</v>
      </c>
      <c r="K496" s="33" t="s">
        <v>1728</v>
      </c>
      <c r="L496" s="39" t="s">
        <v>1729</v>
      </c>
      <c r="M496" s="35">
        <v>229900</v>
      </c>
      <c r="N496" s="71">
        <f t="shared" si="218"/>
        <v>0.75</v>
      </c>
      <c r="O496" s="72">
        <f t="shared" si="205"/>
        <v>57475</v>
      </c>
      <c r="P496" s="35" t="str">
        <f t="shared" si="219"/>
        <v>PERCENTAGE</v>
      </c>
    </row>
    <row r="497" spans="1:16" x14ac:dyDescent="0.35">
      <c r="A497" s="33" t="str">
        <f t="shared" ref="A497:C497" si="253">A496</f>
        <v>2024 JAN-SEP DISC 75%</v>
      </c>
      <c r="B497" s="34">
        <f t="shared" si="253"/>
        <v>46104</v>
      </c>
      <c r="C497" s="34">
        <f t="shared" si="253"/>
        <v>46113</v>
      </c>
      <c r="D497" s="33">
        <v>3321</v>
      </c>
      <c r="E497" s="33">
        <v>337</v>
      </c>
      <c r="F497" s="33">
        <v>4</v>
      </c>
      <c r="G497" s="33">
        <v>4</v>
      </c>
      <c r="H497" s="33">
        <v>81676</v>
      </c>
      <c r="I497" s="33" t="s">
        <v>39</v>
      </c>
      <c r="J497" s="33">
        <v>51122284</v>
      </c>
      <c r="K497" s="33" t="s">
        <v>1728</v>
      </c>
      <c r="L497" s="39" t="s">
        <v>1730</v>
      </c>
      <c r="M497" s="35">
        <v>229900</v>
      </c>
      <c r="N497" s="71">
        <f t="shared" si="218"/>
        <v>0.75</v>
      </c>
      <c r="O497" s="72">
        <f t="shared" si="205"/>
        <v>57475</v>
      </c>
      <c r="P497" s="35" t="str">
        <f t="shared" si="219"/>
        <v>PERCENTAGE</v>
      </c>
    </row>
    <row r="498" spans="1:16" x14ac:dyDescent="0.35">
      <c r="A498" s="33" t="str">
        <f t="shared" ref="A498:C498" si="254">A497</f>
        <v>2024 JAN-SEP DISC 75%</v>
      </c>
      <c r="B498" s="34">
        <f t="shared" si="254"/>
        <v>46104</v>
      </c>
      <c r="C498" s="34">
        <f t="shared" si="254"/>
        <v>46113</v>
      </c>
      <c r="D498" s="33">
        <v>3321</v>
      </c>
      <c r="E498" s="33">
        <v>337</v>
      </c>
      <c r="F498" s="33">
        <v>4</v>
      </c>
      <c r="G498" s="33">
        <v>4</v>
      </c>
      <c r="H498" s="33">
        <v>81676</v>
      </c>
      <c r="I498" s="33" t="s">
        <v>39</v>
      </c>
      <c r="J498" s="33">
        <v>51122275</v>
      </c>
      <c r="K498" s="33" t="s">
        <v>1728</v>
      </c>
      <c r="L498" s="39" t="s">
        <v>1731</v>
      </c>
      <c r="M498" s="35">
        <v>229900</v>
      </c>
      <c r="N498" s="71">
        <f t="shared" si="218"/>
        <v>0.75</v>
      </c>
      <c r="O498" s="72">
        <f t="shared" si="205"/>
        <v>57475</v>
      </c>
      <c r="P498" s="35" t="str">
        <f t="shared" si="219"/>
        <v>PERCENTAGE</v>
      </c>
    </row>
    <row r="499" spans="1:16" x14ac:dyDescent="0.35">
      <c r="A499" s="33" t="str">
        <f t="shared" ref="A499:C499" si="255">A498</f>
        <v>2024 JAN-SEP DISC 75%</v>
      </c>
      <c r="B499" s="34">
        <f t="shared" si="255"/>
        <v>46104</v>
      </c>
      <c r="C499" s="34">
        <f t="shared" si="255"/>
        <v>46113</v>
      </c>
      <c r="D499" s="33">
        <v>3321</v>
      </c>
      <c r="E499" s="33">
        <v>337</v>
      </c>
      <c r="F499" s="33">
        <v>4</v>
      </c>
      <c r="G499" s="33">
        <v>4</v>
      </c>
      <c r="H499" s="33">
        <v>81676</v>
      </c>
      <c r="I499" s="33" t="s">
        <v>39</v>
      </c>
      <c r="J499" s="33">
        <v>51122266</v>
      </c>
      <c r="K499" s="33" t="s">
        <v>1728</v>
      </c>
      <c r="L499" s="39" t="s">
        <v>1732</v>
      </c>
      <c r="M499" s="35">
        <v>229900</v>
      </c>
      <c r="N499" s="71">
        <f t="shared" si="218"/>
        <v>0.75</v>
      </c>
      <c r="O499" s="72">
        <f t="shared" si="205"/>
        <v>57475</v>
      </c>
      <c r="P499" s="35" t="str">
        <f t="shared" si="219"/>
        <v>PERCENTAGE</v>
      </c>
    </row>
    <row r="500" spans="1:16" x14ac:dyDescent="0.35">
      <c r="A500" s="33" t="str">
        <f t="shared" ref="A500:C500" si="256">A499</f>
        <v>2024 JAN-SEP DISC 75%</v>
      </c>
      <c r="B500" s="34">
        <f t="shared" si="256"/>
        <v>46104</v>
      </c>
      <c r="C500" s="34">
        <f t="shared" si="256"/>
        <v>46113</v>
      </c>
      <c r="D500" s="33">
        <v>3321</v>
      </c>
      <c r="E500" s="33">
        <v>337</v>
      </c>
      <c r="F500" s="33">
        <v>4</v>
      </c>
      <c r="G500" s="33">
        <v>5</v>
      </c>
      <c r="H500" s="33">
        <v>81005</v>
      </c>
      <c r="I500" s="33" t="s">
        <v>39</v>
      </c>
      <c r="J500" s="33">
        <v>50028361</v>
      </c>
      <c r="K500" s="33" t="s">
        <v>1733</v>
      </c>
      <c r="L500" s="39" t="s">
        <v>1734</v>
      </c>
      <c r="M500" s="35">
        <v>299900</v>
      </c>
      <c r="N500" s="71">
        <f t="shared" si="218"/>
        <v>0.75</v>
      </c>
      <c r="O500" s="72">
        <f t="shared" si="205"/>
        <v>74975</v>
      </c>
      <c r="P500" s="35" t="str">
        <f t="shared" si="219"/>
        <v>PERCENTAGE</v>
      </c>
    </row>
    <row r="501" spans="1:16" x14ac:dyDescent="0.35">
      <c r="A501" s="33" t="str">
        <f t="shared" ref="A501:C501" si="257">A500</f>
        <v>2024 JAN-SEP DISC 75%</v>
      </c>
      <c r="B501" s="34">
        <f t="shared" si="257"/>
        <v>46104</v>
      </c>
      <c r="C501" s="34">
        <f t="shared" si="257"/>
        <v>46113</v>
      </c>
      <c r="D501" s="33">
        <v>3321</v>
      </c>
      <c r="E501" s="33">
        <v>337</v>
      </c>
      <c r="F501" s="33">
        <v>4</v>
      </c>
      <c r="G501" s="33">
        <v>5</v>
      </c>
      <c r="H501" s="33">
        <v>81005</v>
      </c>
      <c r="I501" s="33" t="s">
        <v>39</v>
      </c>
      <c r="J501" s="33">
        <v>50028405</v>
      </c>
      <c r="K501" s="33" t="s">
        <v>1733</v>
      </c>
      <c r="L501" s="39" t="s">
        <v>1735</v>
      </c>
      <c r="M501" s="35">
        <v>299900</v>
      </c>
      <c r="N501" s="71">
        <f t="shared" si="218"/>
        <v>0.75</v>
      </c>
      <c r="O501" s="72">
        <f t="shared" si="205"/>
        <v>74975</v>
      </c>
      <c r="P501" s="35" t="str">
        <f t="shared" si="219"/>
        <v>PERCENTAGE</v>
      </c>
    </row>
    <row r="502" spans="1:16" x14ac:dyDescent="0.35">
      <c r="A502" s="33" t="str">
        <f t="shared" ref="A502:C502" si="258">A501</f>
        <v>2024 JAN-SEP DISC 75%</v>
      </c>
      <c r="B502" s="34">
        <f t="shared" si="258"/>
        <v>46104</v>
      </c>
      <c r="C502" s="34">
        <f t="shared" si="258"/>
        <v>46113</v>
      </c>
      <c r="D502" s="33">
        <v>3321</v>
      </c>
      <c r="E502" s="33">
        <v>337</v>
      </c>
      <c r="F502" s="33">
        <v>4</v>
      </c>
      <c r="G502" s="33">
        <v>5</v>
      </c>
      <c r="H502" s="33">
        <v>81005</v>
      </c>
      <c r="I502" s="33" t="s">
        <v>39</v>
      </c>
      <c r="J502" s="33">
        <v>50028389</v>
      </c>
      <c r="K502" s="33" t="s">
        <v>1733</v>
      </c>
      <c r="L502" s="39" t="s">
        <v>1736</v>
      </c>
      <c r="M502" s="35">
        <v>299900</v>
      </c>
      <c r="N502" s="71">
        <f t="shared" si="218"/>
        <v>0.75</v>
      </c>
      <c r="O502" s="72">
        <f t="shared" si="205"/>
        <v>74975</v>
      </c>
      <c r="P502" s="35" t="str">
        <f t="shared" si="219"/>
        <v>PERCENTAGE</v>
      </c>
    </row>
    <row r="503" spans="1:16" x14ac:dyDescent="0.35">
      <c r="A503" s="33" t="str">
        <f t="shared" ref="A503:C503" si="259">A502</f>
        <v>2024 JAN-SEP DISC 75%</v>
      </c>
      <c r="B503" s="34">
        <f t="shared" si="259"/>
        <v>46104</v>
      </c>
      <c r="C503" s="34">
        <f t="shared" si="259"/>
        <v>46113</v>
      </c>
      <c r="D503" s="33">
        <v>3321</v>
      </c>
      <c r="E503" s="33">
        <v>337</v>
      </c>
      <c r="F503" s="33">
        <v>4</v>
      </c>
      <c r="G503" s="33">
        <v>5</v>
      </c>
      <c r="H503" s="33">
        <v>81005</v>
      </c>
      <c r="I503" s="33" t="s">
        <v>39</v>
      </c>
      <c r="J503" s="33">
        <v>50028370</v>
      </c>
      <c r="K503" s="33" t="s">
        <v>1733</v>
      </c>
      <c r="L503" s="39" t="s">
        <v>1737</v>
      </c>
      <c r="M503" s="35">
        <v>299900</v>
      </c>
      <c r="N503" s="71">
        <f t="shared" si="218"/>
        <v>0.75</v>
      </c>
      <c r="O503" s="72">
        <f t="shared" si="205"/>
        <v>74975</v>
      </c>
      <c r="P503" s="35" t="str">
        <f t="shared" si="219"/>
        <v>PERCENTAGE</v>
      </c>
    </row>
    <row r="504" spans="1:16" x14ac:dyDescent="0.35">
      <c r="A504" s="33" t="str">
        <f t="shared" ref="A504:C504" si="260">A503</f>
        <v>2024 JAN-SEP DISC 75%</v>
      </c>
      <c r="B504" s="34">
        <f t="shared" si="260"/>
        <v>46104</v>
      </c>
      <c r="C504" s="34">
        <f t="shared" si="260"/>
        <v>46113</v>
      </c>
      <c r="D504" s="33">
        <v>3321</v>
      </c>
      <c r="E504" s="33">
        <v>337</v>
      </c>
      <c r="F504" s="33">
        <v>4</v>
      </c>
      <c r="G504" s="33">
        <v>5</v>
      </c>
      <c r="H504" s="33">
        <v>81005</v>
      </c>
      <c r="I504" s="33" t="s">
        <v>39</v>
      </c>
      <c r="J504" s="33">
        <v>50028398</v>
      </c>
      <c r="K504" s="33" t="s">
        <v>1733</v>
      </c>
      <c r="L504" s="39" t="s">
        <v>1738</v>
      </c>
      <c r="M504" s="35">
        <v>299900</v>
      </c>
      <c r="N504" s="71">
        <f t="shared" si="218"/>
        <v>0.75</v>
      </c>
      <c r="O504" s="72">
        <f t="shared" si="205"/>
        <v>74975</v>
      </c>
      <c r="P504" s="35" t="str">
        <f t="shared" si="219"/>
        <v>PERCENTAGE</v>
      </c>
    </row>
    <row r="505" spans="1:16" x14ac:dyDescent="0.35">
      <c r="A505" s="33" t="str">
        <f t="shared" ref="A505:C505" si="261">A504</f>
        <v>2024 JAN-SEP DISC 75%</v>
      </c>
      <c r="B505" s="34">
        <f t="shared" si="261"/>
        <v>46104</v>
      </c>
      <c r="C505" s="34">
        <f t="shared" si="261"/>
        <v>46113</v>
      </c>
      <c r="D505" s="33">
        <v>3321</v>
      </c>
      <c r="E505" s="33">
        <v>337</v>
      </c>
      <c r="F505" s="33">
        <v>4</v>
      </c>
      <c r="G505" s="33">
        <v>5</v>
      </c>
      <c r="H505" s="33">
        <v>81698</v>
      </c>
      <c r="I505" s="33" t="s">
        <v>39</v>
      </c>
      <c r="J505" s="33">
        <v>23115380</v>
      </c>
      <c r="K505" s="33" t="s">
        <v>1739</v>
      </c>
      <c r="L505" s="39" t="s">
        <v>1740</v>
      </c>
      <c r="M505" s="35">
        <v>289900</v>
      </c>
      <c r="N505" s="71">
        <f t="shared" si="218"/>
        <v>0.75</v>
      </c>
      <c r="O505" s="72">
        <f t="shared" si="205"/>
        <v>72475</v>
      </c>
      <c r="P505" s="35" t="str">
        <f t="shared" si="219"/>
        <v>PERCENTAGE</v>
      </c>
    </row>
    <row r="506" spans="1:16" x14ac:dyDescent="0.35">
      <c r="A506" s="33" t="str">
        <f t="shared" ref="A506:C506" si="262">A505</f>
        <v>2024 JAN-SEP DISC 75%</v>
      </c>
      <c r="B506" s="34">
        <f t="shared" si="262"/>
        <v>46104</v>
      </c>
      <c r="C506" s="34">
        <f t="shared" si="262"/>
        <v>46113</v>
      </c>
      <c r="D506" s="33">
        <v>3321</v>
      </c>
      <c r="E506" s="33">
        <v>337</v>
      </c>
      <c r="F506" s="33">
        <v>4</v>
      </c>
      <c r="G506" s="33">
        <v>5</v>
      </c>
      <c r="H506" s="33">
        <v>81698</v>
      </c>
      <c r="I506" s="33" t="s">
        <v>39</v>
      </c>
      <c r="J506" s="33">
        <v>23115399</v>
      </c>
      <c r="K506" s="33" t="s">
        <v>1739</v>
      </c>
      <c r="L506" s="39" t="s">
        <v>1741</v>
      </c>
      <c r="M506" s="35">
        <v>289900</v>
      </c>
      <c r="N506" s="71">
        <f t="shared" si="218"/>
        <v>0.75</v>
      </c>
      <c r="O506" s="72">
        <f t="shared" si="205"/>
        <v>72475</v>
      </c>
      <c r="P506" s="35" t="str">
        <f t="shared" si="219"/>
        <v>PERCENTAGE</v>
      </c>
    </row>
    <row r="507" spans="1:16" x14ac:dyDescent="0.35">
      <c r="A507" s="33" t="str">
        <f t="shared" ref="A507:C507" si="263">A506</f>
        <v>2024 JAN-SEP DISC 75%</v>
      </c>
      <c r="B507" s="34">
        <f t="shared" si="263"/>
        <v>46104</v>
      </c>
      <c r="C507" s="34">
        <f t="shared" si="263"/>
        <v>46113</v>
      </c>
      <c r="D507" s="33">
        <v>3321</v>
      </c>
      <c r="E507" s="33">
        <v>337</v>
      </c>
      <c r="F507" s="33">
        <v>4</v>
      </c>
      <c r="G507" s="33">
        <v>5</v>
      </c>
      <c r="H507" s="33">
        <v>81698</v>
      </c>
      <c r="I507" s="33" t="s">
        <v>39</v>
      </c>
      <c r="J507" s="33">
        <v>23115371</v>
      </c>
      <c r="K507" s="33" t="s">
        <v>1739</v>
      </c>
      <c r="L507" s="39" t="s">
        <v>1742</v>
      </c>
      <c r="M507" s="35">
        <v>289900</v>
      </c>
      <c r="N507" s="71">
        <f t="shared" si="218"/>
        <v>0.75</v>
      </c>
      <c r="O507" s="72">
        <f t="shared" si="205"/>
        <v>72475</v>
      </c>
      <c r="P507" s="35" t="str">
        <f t="shared" si="219"/>
        <v>PERCENTAGE</v>
      </c>
    </row>
    <row r="508" spans="1:16" x14ac:dyDescent="0.35">
      <c r="A508" s="33" t="str">
        <f t="shared" ref="A508:C508" si="264">A507</f>
        <v>2024 JAN-SEP DISC 75%</v>
      </c>
      <c r="B508" s="34">
        <f t="shared" si="264"/>
        <v>46104</v>
      </c>
      <c r="C508" s="34">
        <f t="shared" si="264"/>
        <v>46113</v>
      </c>
      <c r="D508" s="33">
        <v>3321</v>
      </c>
      <c r="E508" s="33">
        <v>337</v>
      </c>
      <c r="F508" s="33">
        <v>4</v>
      </c>
      <c r="G508" s="33">
        <v>5</v>
      </c>
      <c r="H508" s="33">
        <v>81698</v>
      </c>
      <c r="I508" s="33" t="s">
        <v>39</v>
      </c>
      <c r="J508" s="33">
        <v>23115406</v>
      </c>
      <c r="K508" s="33" t="s">
        <v>1739</v>
      </c>
      <c r="L508" s="39" t="s">
        <v>1743</v>
      </c>
      <c r="M508" s="35">
        <v>289900</v>
      </c>
      <c r="N508" s="71">
        <f t="shared" si="218"/>
        <v>0.75</v>
      </c>
      <c r="O508" s="72">
        <f t="shared" si="205"/>
        <v>72475</v>
      </c>
      <c r="P508" s="35" t="str">
        <f t="shared" si="219"/>
        <v>PERCENTAGE</v>
      </c>
    </row>
    <row r="509" spans="1:16" x14ac:dyDescent="0.35">
      <c r="A509" s="33" t="str">
        <f t="shared" ref="A509:C509" si="265">A508</f>
        <v>2024 JAN-SEP DISC 75%</v>
      </c>
      <c r="B509" s="34">
        <f t="shared" si="265"/>
        <v>46104</v>
      </c>
      <c r="C509" s="34">
        <f t="shared" si="265"/>
        <v>46113</v>
      </c>
      <c r="D509" s="33">
        <v>3321</v>
      </c>
      <c r="E509" s="33">
        <v>337</v>
      </c>
      <c r="F509" s="33">
        <v>4</v>
      </c>
      <c r="G509" s="33">
        <v>5</v>
      </c>
      <c r="H509" s="33">
        <v>81698</v>
      </c>
      <c r="I509" s="33" t="s">
        <v>39</v>
      </c>
      <c r="J509" s="33">
        <v>26742205</v>
      </c>
      <c r="K509" s="33" t="s">
        <v>1744</v>
      </c>
      <c r="L509" s="39" t="s">
        <v>1745</v>
      </c>
      <c r="M509" s="35">
        <v>319900</v>
      </c>
      <c r="N509" s="71">
        <f t="shared" si="218"/>
        <v>0.75</v>
      </c>
      <c r="O509" s="72">
        <f t="shared" si="205"/>
        <v>79975</v>
      </c>
      <c r="P509" s="35" t="str">
        <f t="shared" si="219"/>
        <v>PERCENTAGE</v>
      </c>
    </row>
    <row r="510" spans="1:16" x14ac:dyDescent="0.35">
      <c r="A510" s="33" t="str">
        <f t="shared" ref="A510:C510" si="266">A509</f>
        <v>2024 JAN-SEP DISC 75%</v>
      </c>
      <c r="B510" s="34">
        <f t="shared" si="266"/>
        <v>46104</v>
      </c>
      <c r="C510" s="34">
        <f t="shared" si="266"/>
        <v>46113</v>
      </c>
      <c r="D510" s="33">
        <v>3321</v>
      </c>
      <c r="E510" s="33">
        <v>337</v>
      </c>
      <c r="F510" s="33">
        <v>4</v>
      </c>
      <c r="G510" s="33">
        <v>5</v>
      </c>
      <c r="H510" s="33">
        <v>81698</v>
      </c>
      <c r="I510" s="33" t="s">
        <v>39</v>
      </c>
      <c r="J510" s="33">
        <v>26742189</v>
      </c>
      <c r="K510" s="33" t="s">
        <v>1744</v>
      </c>
      <c r="L510" s="39" t="s">
        <v>1746</v>
      </c>
      <c r="M510" s="35">
        <v>319900</v>
      </c>
      <c r="N510" s="71">
        <f t="shared" si="218"/>
        <v>0.75</v>
      </c>
      <c r="O510" s="72">
        <f t="shared" si="205"/>
        <v>79975</v>
      </c>
      <c r="P510" s="35" t="str">
        <f t="shared" si="219"/>
        <v>PERCENTAGE</v>
      </c>
    </row>
    <row r="511" spans="1:16" x14ac:dyDescent="0.35">
      <c r="A511" s="33" t="str">
        <f t="shared" ref="A511:C511" si="267">A510</f>
        <v>2024 JAN-SEP DISC 75%</v>
      </c>
      <c r="B511" s="34">
        <f t="shared" si="267"/>
        <v>46104</v>
      </c>
      <c r="C511" s="34">
        <f t="shared" si="267"/>
        <v>46113</v>
      </c>
      <c r="D511" s="33">
        <v>3321</v>
      </c>
      <c r="E511" s="33">
        <v>337</v>
      </c>
      <c r="F511" s="33">
        <v>4</v>
      </c>
      <c r="G511" s="33">
        <v>5</v>
      </c>
      <c r="H511" s="33">
        <v>81698</v>
      </c>
      <c r="I511" s="33" t="s">
        <v>39</v>
      </c>
      <c r="J511" s="33">
        <v>26742214</v>
      </c>
      <c r="K511" s="33" t="s">
        <v>1744</v>
      </c>
      <c r="L511" s="39" t="s">
        <v>1747</v>
      </c>
      <c r="M511" s="35">
        <v>319900</v>
      </c>
      <c r="N511" s="71">
        <f t="shared" si="218"/>
        <v>0.75</v>
      </c>
      <c r="O511" s="72">
        <f t="shared" si="205"/>
        <v>79975</v>
      </c>
      <c r="P511" s="35" t="str">
        <f t="shared" si="219"/>
        <v>PERCENTAGE</v>
      </c>
    </row>
    <row r="512" spans="1:16" x14ac:dyDescent="0.35">
      <c r="A512" s="33" t="str">
        <f t="shared" ref="A512:C512" si="268">A511</f>
        <v>2024 JAN-SEP DISC 75%</v>
      </c>
      <c r="B512" s="34">
        <f t="shared" si="268"/>
        <v>46104</v>
      </c>
      <c r="C512" s="34">
        <f t="shared" si="268"/>
        <v>46113</v>
      </c>
      <c r="D512" s="33">
        <v>3321</v>
      </c>
      <c r="E512" s="33">
        <v>337</v>
      </c>
      <c r="F512" s="33">
        <v>4</v>
      </c>
      <c r="G512" s="33">
        <v>5</v>
      </c>
      <c r="H512" s="33">
        <v>81698</v>
      </c>
      <c r="I512" s="33" t="s">
        <v>39</v>
      </c>
      <c r="J512" s="33">
        <v>26742198</v>
      </c>
      <c r="K512" s="33" t="s">
        <v>1744</v>
      </c>
      <c r="L512" s="39" t="s">
        <v>1748</v>
      </c>
      <c r="M512" s="35">
        <v>319900</v>
      </c>
      <c r="N512" s="71">
        <f t="shared" si="218"/>
        <v>0.75</v>
      </c>
      <c r="O512" s="72">
        <f t="shared" si="205"/>
        <v>79975</v>
      </c>
      <c r="P512" s="35" t="str">
        <f t="shared" si="219"/>
        <v>PERCENTAGE</v>
      </c>
    </row>
  </sheetData>
  <autoFilter ref="A1:P1" xr:uid="{00000000-0009-0000-0000-000002000000}"/>
  <conditionalFormatting sqref="J1:J269 J513:J1048576">
    <cfRule type="duplicateValues" dxfId="14" priority="2"/>
  </conditionalFormatting>
  <conditionalFormatting sqref="J270:J512">
    <cfRule type="duplicateValues" dxfId="13" priority="1"/>
  </conditionalFormatting>
  <pageMargins left="0.7" right="0.7" top="0.75" bottom="0.75" header="0.3" footer="0.3"/>
  <pageSetup paperSize="9" orientation="portrait" horizontalDpi="0" verticalDpi="0"/>
  <ignoredErrors>
    <ignoredError sqref="O271:O512" formula="1"/>
  </ignoredErrors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D5C7B-02D5-4B47-BEE6-9CC2A056A3FE}">
  <sheetPr>
    <tabColor rgb="FFFFFF00"/>
  </sheetPr>
  <dimension ref="A1:P17"/>
  <sheetViews>
    <sheetView topLeftCell="N1" zoomScale="79" zoomScaleNormal="59" workbookViewId="0">
      <pane ySplit="1" topLeftCell="A2" activePane="bottomLeft" state="frozen"/>
      <selection activeCell="N270" sqref="N270"/>
      <selection pane="bottomLeft" activeCell="L23" sqref="L23"/>
    </sheetView>
  </sheetViews>
  <sheetFormatPr defaultColWidth="8.81640625" defaultRowHeight="14.5" x14ac:dyDescent="0.35"/>
  <cols>
    <col min="1" max="1" width="23.90625" style="32" customWidth="1"/>
    <col min="2" max="2" width="12.08984375" style="37" customWidth="1"/>
    <col min="3" max="3" width="11.1796875" style="37" customWidth="1"/>
    <col min="4" max="4" width="10" style="32" bestFit="1" customWidth="1"/>
    <col min="5" max="5" width="6.453125" style="32" customWidth="1"/>
    <col min="6" max="6" width="8.81640625" style="32" customWidth="1"/>
    <col min="7" max="7" width="6.81640625" style="32" customWidth="1"/>
    <col min="8" max="8" width="9.54296875" style="32" customWidth="1"/>
    <col min="9" max="9" width="9.81640625" style="32" customWidth="1"/>
    <col min="10" max="10" width="11.1796875" style="32" customWidth="1"/>
    <col min="11" max="11" width="12.453125" style="32" bestFit="1" customWidth="1"/>
    <col min="12" max="12" width="76.1796875" style="32" customWidth="1"/>
    <col min="13" max="13" width="14.36328125" style="38" customWidth="1"/>
    <col min="14" max="14" width="8.81640625" style="27" customWidth="1"/>
    <col min="15" max="15" width="18.08984375" style="38" customWidth="1"/>
    <col min="16" max="16" width="14.54296875" style="32" customWidth="1"/>
    <col min="17" max="16384" width="8.81640625" style="32"/>
  </cols>
  <sheetData>
    <row r="1" spans="1:16" ht="30.75" customHeight="1" x14ac:dyDescent="0.35">
      <c r="A1" s="28" t="s">
        <v>0</v>
      </c>
      <c r="B1" s="29" t="s">
        <v>15</v>
      </c>
      <c r="C1" s="29" t="s">
        <v>11</v>
      </c>
      <c r="D1" s="28" t="s">
        <v>1</v>
      </c>
      <c r="E1" s="28" t="s">
        <v>2</v>
      </c>
      <c r="F1" s="28" t="s">
        <v>12</v>
      </c>
      <c r="G1" s="30" t="s">
        <v>3</v>
      </c>
      <c r="H1" s="30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31" t="s">
        <v>14</v>
      </c>
      <c r="N1" s="26" t="s">
        <v>8</v>
      </c>
      <c r="O1" s="31" t="s">
        <v>9</v>
      </c>
      <c r="P1" s="28" t="s">
        <v>10</v>
      </c>
    </row>
    <row r="2" spans="1:16" x14ac:dyDescent="0.35">
      <c r="A2" s="33" t="s">
        <v>3339</v>
      </c>
      <c r="B2" s="34">
        <v>46104</v>
      </c>
      <c r="C2" s="34">
        <v>46113</v>
      </c>
      <c r="D2" s="33">
        <v>3281</v>
      </c>
      <c r="E2" s="33">
        <v>337</v>
      </c>
      <c r="F2" s="33">
        <v>4</v>
      </c>
      <c r="G2" s="24">
        <v>4</v>
      </c>
      <c r="H2" s="24">
        <v>81146</v>
      </c>
      <c r="I2" s="33" t="s">
        <v>17</v>
      </c>
      <c r="J2" s="23">
        <v>61942594</v>
      </c>
      <c r="K2" s="23" t="s">
        <v>3264</v>
      </c>
      <c r="L2" s="23" t="s">
        <v>3267</v>
      </c>
      <c r="M2" s="41">
        <v>149900</v>
      </c>
      <c r="N2" s="71">
        <v>0.3</v>
      </c>
      <c r="O2" s="35">
        <f>M2-((30*M3)/100)</f>
        <v>104930</v>
      </c>
      <c r="P2" s="33" t="s">
        <v>16</v>
      </c>
    </row>
    <row r="3" spans="1:16" x14ac:dyDescent="0.35">
      <c r="A3" s="33" t="str">
        <f t="shared" ref="A3:C17" si="0">A2</f>
        <v>2026 NOV-FEB DISC 30%</v>
      </c>
      <c r="B3" s="34">
        <f t="shared" si="0"/>
        <v>46104</v>
      </c>
      <c r="C3" s="34">
        <f t="shared" si="0"/>
        <v>46113</v>
      </c>
      <c r="D3" s="33">
        <v>3281</v>
      </c>
      <c r="E3" s="33">
        <v>337</v>
      </c>
      <c r="F3" s="33">
        <v>4</v>
      </c>
      <c r="G3" s="24">
        <v>4</v>
      </c>
      <c r="H3" s="24">
        <v>81146</v>
      </c>
      <c r="I3" s="33" t="s">
        <v>17</v>
      </c>
      <c r="J3" s="23">
        <v>61942601</v>
      </c>
      <c r="K3" s="23" t="s">
        <v>3264</v>
      </c>
      <c r="L3" s="23" t="s">
        <v>3266</v>
      </c>
      <c r="M3" s="41">
        <v>149900</v>
      </c>
      <c r="N3" s="71">
        <f>N2</f>
        <v>0.3</v>
      </c>
      <c r="O3" s="35">
        <f>M3-((30*M4)/100)</f>
        <v>104930</v>
      </c>
      <c r="P3" s="33" t="str">
        <f>P2</f>
        <v>PERCENTAGE</v>
      </c>
    </row>
    <row r="4" spans="1:16" x14ac:dyDescent="0.35">
      <c r="A4" s="33" t="str">
        <f t="shared" si="0"/>
        <v>2026 NOV-FEB DISC 30%</v>
      </c>
      <c r="B4" s="34">
        <f t="shared" si="0"/>
        <v>46104</v>
      </c>
      <c r="C4" s="34">
        <f t="shared" si="0"/>
        <v>46113</v>
      </c>
      <c r="D4" s="33">
        <v>3281</v>
      </c>
      <c r="E4" s="33">
        <v>337</v>
      </c>
      <c r="F4" s="33">
        <v>4</v>
      </c>
      <c r="G4" s="24">
        <v>4</v>
      </c>
      <c r="H4" s="24">
        <v>81146</v>
      </c>
      <c r="I4" s="33" t="s">
        <v>17</v>
      </c>
      <c r="J4" s="23">
        <v>61942610</v>
      </c>
      <c r="K4" s="23" t="s">
        <v>3264</v>
      </c>
      <c r="L4" s="23" t="s">
        <v>3265</v>
      </c>
      <c r="M4" s="41">
        <v>149900</v>
      </c>
      <c r="N4" s="71">
        <f t="shared" ref="N4:N17" si="1">N3</f>
        <v>0.3</v>
      </c>
      <c r="O4" s="35">
        <f t="shared" ref="O4:O17" si="2">M4-((30*M5)/100)</f>
        <v>104930</v>
      </c>
      <c r="P4" s="33" t="str">
        <f t="shared" ref="P4:P17" si="3">P3</f>
        <v>PERCENTAGE</v>
      </c>
    </row>
    <row r="5" spans="1:16" x14ac:dyDescent="0.35">
      <c r="A5" s="33" t="str">
        <f t="shared" si="0"/>
        <v>2026 NOV-FEB DISC 30%</v>
      </c>
      <c r="B5" s="34">
        <f t="shared" si="0"/>
        <v>46104</v>
      </c>
      <c r="C5" s="34">
        <f t="shared" si="0"/>
        <v>46113</v>
      </c>
      <c r="D5" s="33">
        <v>3281</v>
      </c>
      <c r="E5" s="33">
        <v>337</v>
      </c>
      <c r="F5" s="33">
        <v>4</v>
      </c>
      <c r="G5" s="24">
        <v>4</v>
      </c>
      <c r="H5" s="24">
        <v>81146</v>
      </c>
      <c r="I5" s="33" t="s">
        <v>17</v>
      </c>
      <c r="J5" s="23">
        <v>61942629</v>
      </c>
      <c r="K5" s="23" t="s">
        <v>3264</v>
      </c>
      <c r="L5" s="23" t="s">
        <v>3263</v>
      </c>
      <c r="M5" s="41">
        <v>149900</v>
      </c>
      <c r="N5" s="71">
        <f t="shared" si="1"/>
        <v>0.3</v>
      </c>
      <c r="O5" s="35">
        <f t="shared" si="2"/>
        <v>89930</v>
      </c>
      <c r="P5" s="33" t="str">
        <f t="shared" si="3"/>
        <v>PERCENTAGE</v>
      </c>
    </row>
    <row r="6" spans="1:16" x14ac:dyDescent="0.35">
      <c r="A6" s="33" t="str">
        <f t="shared" si="0"/>
        <v>2026 NOV-FEB DISC 30%</v>
      </c>
      <c r="B6" s="34">
        <f t="shared" si="0"/>
        <v>46104</v>
      </c>
      <c r="C6" s="34">
        <f t="shared" si="0"/>
        <v>46113</v>
      </c>
      <c r="D6" s="33">
        <v>3281</v>
      </c>
      <c r="E6" s="33">
        <v>337</v>
      </c>
      <c r="F6" s="33">
        <v>4</v>
      </c>
      <c r="G6" s="24">
        <v>3</v>
      </c>
      <c r="H6" s="24">
        <v>81588</v>
      </c>
      <c r="I6" s="33" t="s">
        <v>17</v>
      </c>
      <c r="J6" s="23">
        <v>61942790</v>
      </c>
      <c r="K6" s="23" t="s">
        <v>3259</v>
      </c>
      <c r="L6" s="23" t="s">
        <v>3262</v>
      </c>
      <c r="M6" s="41">
        <v>199900</v>
      </c>
      <c r="N6" s="71">
        <f t="shared" si="1"/>
        <v>0.3</v>
      </c>
      <c r="O6" s="35">
        <f t="shared" si="2"/>
        <v>139930</v>
      </c>
      <c r="P6" s="33" t="str">
        <f t="shared" si="3"/>
        <v>PERCENTAGE</v>
      </c>
    </row>
    <row r="7" spans="1:16" x14ac:dyDescent="0.35">
      <c r="A7" s="33" t="str">
        <f t="shared" si="0"/>
        <v>2026 NOV-FEB DISC 30%</v>
      </c>
      <c r="B7" s="34">
        <f t="shared" si="0"/>
        <v>46104</v>
      </c>
      <c r="C7" s="34">
        <f t="shared" si="0"/>
        <v>46113</v>
      </c>
      <c r="D7" s="33">
        <v>3281</v>
      </c>
      <c r="E7" s="33">
        <v>337</v>
      </c>
      <c r="F7" s="33">
        <v>4</v>
      </c>
      <c r="G7" s="24">
        <v>3</v>
      </c>
      <c r="H7" s="24">
        <v>81588</v>
      </c>
      <c r="I7" s="33" t="s">
        <v>17</v>
      </c>
      <c r="J7" s="23">
        <v>61942807</v>
      </c>
      <c r="K7" s="23" t="s">
        <v>3259</v>
      </c>
      <c r="L7" s="23" t="s">
        <v>3261</v>
      </c>
      <c r="M7" s="41">
        <v>199900</v>
      </c>
      <c r="N7" s="71">
        <f t="shared" si="1"/>
        <v>0.3</v>
      </c>
      <c r="O7" s="35">
        <f t="shared" si="2"/>
        <v>139930</v>
      </c>
      <c r="P7" s="33" t="str">
        <f t="shared" si="3"/>
        <v>PERCENTAGE</v>
      </c>
    </row>
    <row r="8" spans="1:16" x14ac:dyDescent="0.35">
      <c r="A8" s="33" t="str">
        <f t="shared" si="0"/>
        <v>2026 NOV-FEB DISC 30%</v>
      </c>
      <c r="B8" s="34">
        <f t="shared" si="0"/>
        <v>46104</v>
      </c>
      <c r="C8" s="34">
        <f t="shared" si="0"/>
        <v>46113</v>
      </c>
      <c r="D8" s="33">
        <v>3281</v>
      </c>
      <c r="E8" s="33">
        <v>337</v>
      </c>
      <c r="F8" s="33">
        <v>4</v>
      </c>
      <c r="G8" s="24">
        <v>3</v>
      </c>
      <c r="H8" s="24">
        <v>81588</v>
      </c>
      <c r="I8" s="33" t="s">
        <v>17</v>
      </c>
      <c r="J8" s="23">
        <v>61942816</v>
      </c>
      <c r="K8" s="23" t="s">
        <v>3259</v>
      </c>
      <c r="L8" s="23" t="s">
        <v>3260</v>
      </c>
      <c r="M8" s="41">
        <v>199900</v>
      </c>
      <c r="N8" s="71">
        <f t="shared" si="1"/>
        <v>0.3</v>
      </c>
      <c r="O8" s="35">
        <f t="shared" si="2"/>
        <v>139930</v>
      </c>
      <c r="P8" s="33" t="str">
        <f t="shared" si="3"/>
        <v>PERCENTAGE</v>
      </c>
    </row>
    <row r="9" spans="1:16" x14ac:dyDescent="0.35">
      <c r="A9" s="33" t="str">
        <f t="shared" si="0"/>
        <v>2026 NOV-FEB DISC 30%</v>
      </c>
      <c r="B9" s="34">
        <f t="shared" si="0"/>
        <v>46104</v>
      </c>
      <c r="C9" s="34">
        <f t="shared" si="0"/>
        <v>46113</v>
      </c>
      <c r="D9" s="33">
        <v>3281</v>
      </c>
      <c r="E9" s="33">
        <v>337</v>
      </c>
      <c r="F9" s="33">
        <v>4</v>
      </c>
      <c r="G9" s="24">
        <v>3</v>
      </c>
      <c r="H9" s="24">
        <v>81588</v>
      </c>
      <c r="I9" s="33" t="s">
        <v>17</v>
      </c>
      <c r="J9" s="23">
        <v>61942825</v>
      </c>
      <c r="K9" s="23" t="s">
        <v>3259</v>
      </c>
      <c r="L9" s="23" t="s">
        <v>3258</v>
      </c>
      <c r="M9" s="41">
        <v>199900</v>
      </c>
      <c r="N9" s="71">
        <f t="shared" si="1"/>
        <v>0.3</v>
      </c>
      <c r="O9" s="35">
        <f t="shared" si="2"/>
        <v>169930</v>
      </c>
      <c r="P9" s="33" t="str">
        <f t="shared" si="3"/>
        <v>PERCENTAGE</v>
      </c>
    </row>
    <row r="10" spans="1:16" x14ac:dyDescent="0.35">
      <c r="A10" s="33" t="str">
        <f t="shared" si="0"/>
        <v>2026 NOV-FEB DISC 30%</v>
      </c>
      <c r="B10" s="34">
        <f t="shared" si="0"/>
        <v>46104</v>
      </c>
      <c r="C10" s="34">
        <f t="shared" si="0"/>
        <v>46113</v>
      </c>
      <c r="D10" s="33">
        <v>3281</v>
      </c>
      <c r="E10" s="33">
        <v>337</v>
      </c>
      <c r="F10" s="33">
        <v>4</v>
      </c>
      <c r="G10" s="24">
        <v>4</v>
      </c>
      <c r="H10" s="24">
        <v>81679</v>
      </c>
      <c r="I10" s="33" t="s">
        <v>17</v>
      </c>
      <c r="J10" s="23">
        <v>61491625</v>
      </c>
      <c r="K10" s="23" t="s">
        <v>3254</v>
      </c>
      <c r="L10" s="23" t="s">
        <v>3257</v>
      </c>
      <c r="M10" s="41">
        <v>99900</v>
      </c>
      <c r="N10" s="71">
        <f t="shared" si="1"/>
        <v>0.3</v>
      </c>
      <c r="O10" s="35">
        <f t="shared" si="2"/>
        <v>69930</v>
      </c>
      <c r="P10" s="33" t="str">
        <f t="shared" si="3"/>
        <v>PERCENTAGE</v>
      </c>
    </row>
    <row r="11" spans="1:16" x14ac:dyDescent="0.35">
      <c r="A11" s="33" t="str">
        <f t="shared" si="0"/>
        <v>2026 NOV-FEB DISC 30%</v>
      </c>
      <c r="B11" s="34">
        <f t="shared" si="0"/>
        <v>46104</v>
      </c>
      <c r="C11" s="34">
        <f t="shared" si="0"/>
        <v>46113</v>
      </c>
      <c r="D11" s="33">
        <v>3281</v>
      </c>
      <c r="E11" s="33">
        <v>337</v>
      </c>
      <c r="F11" s="33">
        <v>4</v>
      </c>
      <c r="G11" s="24">
        <v>4</v>
      </c>
      <c r="H11" s="24">
        <v>81679</v>
      </c>
      <c r="I11" s="33" t="s">
        <v>17</v>
      </c>
      <c r="J11" s="23">
        <v>61491634</v>
      </c>
      <c r="K11" s="23" t="s">
        <v>3254</v>
      </c>
      <c r="L11" s="23" t="s">
        <v>3256</v>
      </c>
      <c r="M11" s="41">
        <v>99900</v>
      </c>
      <c r="N11" s="71">
        <f t="shared" si="1"/>
        <v>0.3</v>
      </c>
      <c r="O11" s="35">
        <f t="shared" si="2"/>
        <v>69930</v>
      </c>
      <c r="P11" s="33" t="str">
        <f t="shared" si="3"/>
        <v>PERCENTAGE</v>
      </c>
    </row>
    <row r="12" spans="1:16" x14ac:dyDescent="0.35">
      <c r="A12" s="33" t="str">
        <f t="shared" si="0"/>
        <v>2026 NOV-FEB DISC 30%</v>
      </c>
      <c r="B12" s="34">
        <f t="shared" si="0"/>
        <v>46104</v>
      </c>
      <c r="C12" s="34">
        <f t="shared" si="0"/>
        <v>46113</v>
      </c>
      <c r="D12" s="33">
        <v>3281</v>
      </c>
      <c r="E12" s="33">
        <v>337</v>
      </c>
      <c r="F12" s="33">
        <v>4</v>
      </c>
      <c r="G12" s="24">
        <v>4</v>
      </c>
      <c r="H12" s="24">
        <v>81679</v>
      </c>
      <c r="I12" s="33" t="s">
        <v>17</v>
      </c>
      <c r="J12" s="23">
        <v>61491643</v>
      </c>
      <c r="K12" s="23" t="s">
        <v>3254</v>
      </c>
      <c r="L12" s="23" t="s">
        <v>3255</v>
      </c>
      <c r="M12" s="41">
        <v>99900</v>
      </c>
      <c r="N12" s="71">
        <f t="shared" si="1"/>
        <v>0.3</v>
      </c>
      <c r="O12" s="35">
        <f t="shared" si="2"/>
        <v>69930</v>
      </c>
      <c r="P12" s="33" t="str">
        <f t="shared" si="3"/>
        <v>PERCENTAGE</v>
      </c>
    </row>
    <row r="13" spans="1:16" x14ac:dyDescent="0.35">
      <c r="A13" s="33" t="str">
        <f t="shared" si="0"/>
        <v>2026 NOV-FEB DISC 30%</v>
      </c>
      <c r="B13" s="34">
        <f t="shared" si="0"/>
        <v>46104</v>
      </c>
      <c r="C13" s="34">
        <f t="shared" si="0"/>
        <v>46113</v>
      </c>
      <c r="D13" s="33">
        <v>3281</v>
      </c>
      <c r="E13" s="33">
        <v>337</v>
      </c>
      <c r="F13" s="33">
        <v>4</v>
      </c>
      <c r="G13" s="24">
        <v>4</v>
      </c>
      <c r="H13" s="24">
        <v>81679</v>
      </c>
      <c r="I13" s="33" t="s">
        <v>17</v>
      </c>
      <c r="J13" s="23">
        <v>61491652</v>
      </c>
      <c r="K13" s="23" t="s">
        <v>3254</v>
      </c>
      <c r="L13" s="23" t="s">
        <v>3253</v>
      </c>
      <c r="M13" s="41">
        <v>99900</v>
      </c>
      <c r="N13" s="71">
        <f t="shared" si="1"/>
        <v>0.3</v>
      </c>
      <c r="O13" s="35">
        <f t="shared" si="2"/>
        <v>54930</v>
      </c>
      <c r="P13" s="33" t="str">
        <f t="shared" si="3"/>
        <v>PERCENTAGE</v>
      </c>
    </row>
    <row r="14" spans="1:16" x14ac:dyDescent="0.35">
      <c r="A14" s="33" t="str">
        <f t="shared" si="0"/>
        <v>2026 NOV-FEB DISC 30%</v>
      </c>
      <c r="B14" s="34">
        <f t="shared" si="0"/>
        <v>46104</v>
      </c>
      <c r="C14" s="34">
        <f t="shared" si="0"/>
        <v>46113</v>
      </c>
      <c r="D14" s="33">
        <v>3281</v>
      </c>
      <c r="E14" s="33">
        <v>337</v>
      </c>
      <c r="F14" s="33">
        <v>4</v>
      </c>
      <c r="G14" s="24">
        <v>5</v>
      </c>
      <c r="H14" s="24">
        <v>81679</v>
      </c>
      <c r="I14" s="33" t="s">
        <v>17</v>
      </c>
      <c r="J14" s="23">
        <v>61942754</v>
      </c>
      <c r="K14" s="23" t="s">
        <v>3249</v>
      </c>
      <c r="L14" s="23" t="s">
        <v>3252</v>
      </c>
      <c r="M14" s="41">
        <v>149900</v>
      </c>
      <c r="N14" s="71">
        <f t="shared" si="1"/>
        <v>0.3</v>
      </c>
      <c r="O14" s="35">
        <f t="shared" si="2"/>
        <v>104930</v>
      </c>
      <c r="P14" s="33" t="str">
        <f t="shared" si="3"/>
        <v>PERCENTAGE</v>
      </c>
    </row>
    <row r="15" spans="1:16" x14ac:dyDescent="0.35">
      <c r="A15" s="33" t="str">
        <f t="shared" si="0"/>
        <v>2026 NOV-FEB DISC 30%</v>
      </c>
      <c r="B15" s="34">
        <f t="shared" si="0"/>
        <v>46104</v>
      </c>
      <c r="C15" s="34">
        <f t="shared" si="0"/>
        <v>46113</v>
      </c>
      <c r="D15" s="33">
        <v>3281</v>
      </c>
      <c r="E15" s="33">
        <v>337</v>
      </c>
      <c r="F15" s="33">
        <v>4</v>
      </c>
      <c r="G15" s="24">
        <v>5</v>
      </c>
      <c r="H15" s="24">
        <v>81679</v>
      </c>
      <c r="I15" s="33" t="s">
        <v>17</v>
      </c>
      <c r="J15" s="23">
        <v>61942763</v>
      </c>
      <c r="K15" s="23" t="s">
        <v>3249</v>
      </c>
      <c r="L15" s="23" t="s">
        <v>3251</v>
      </c>
      <c r="M15" s="41">
        <v>149900</v>
      </c>
      <c r="N15" s="71">
        <f t="shared" si="1"/>
        <v>0.3</v>
      </c>
      <c r="O15" s="35">
        <f t="shared" si="2"/>
        <v>104930</v>
      </c>
      <c r="P15" s="33" t="str">
        <f t="shared" si="3"/>
        <v>PERCENTAGE</v>
      </c>
    </row>
    <row r="16" spans="1:16" x14ac:dyDescent="0.35">
      <c r="A16" s="33" t="str">
        <f t="shared" si="0"/>
        <v>2026 NOV-FEB DISC 30%</v>
      </c>
      <c r="B16" s="34">
        <f t="shared" si="0"/>
        <v>46104</v>
      </c>
      <c r="C16" s="34">
        <f t="shared" si="0"/>
        <v>46113</v>
      </c>
      <c r="D16" s="33">
        <v>3281</v>
      </c>
      <c r="E16" s="33">
        <v>337</v>
      </c>
      <c r="F16" s="33">
        <v>4</v>
      </c>
      <c r="G16" s="24">
        <v>5</v>
      </c>
      <c r="H16" s="24">
        <v>81679</v>
      </c>
      <c r="I16" s="33" t="s">
        <v>17</v>
      </c>
      <c r="J16" s="23">
        <v>61942772</v>
      </c>
      <c r="K16" s="23" t="s">
        <v>3249</v>
      </c>
      <c r="L16" s="23" t="s">
        <v>3250</v>
      </c>
      <c r="M16" s="41">
        <v>149900</v>
      </c>
      <c r="N16" s="71">
        <f t="shared" si="1"/>
        <v>0.3</v>
      </c>
      <c r="O16" s="35">
        <f t="shared" si="2"/>
        <v>104930</v>
      </c>
      <c r="P16" s="33" t="str">
        <f t="shared" si="3"/>
        <v>PERCENTAGE</v>
      </c>
    </row>
    <row r="17" spans="1:16" x14ac:dyDescent="0.35">
      <c r="A17" s="33" t="str">
        <f t="shared" si="0"/>
        <v>2026 NOV-FEB DISC 30%</v>
      </c>
      <c r="B17" s="34">
        <f t="shared" si="0"/>
        <v>46104</v>
      </c>
      <c r="C17" s="34">
        <f t="shared" si="0"/>
        <v>46113</v>
      </c>
      <c r="D17" s="33">
        <v>3281</v>
      </c>
      <c r="E17" s="33">
        <v>337</v>
      </c>
      <c r="F17" s="33">
        <v>4</v>
      </c>
      <c r="G17" s="24">
        <v>5</v>
      </c>
      <c r="H17" s="24">
        <v>81679</v>
      </c>
      <c r="I17" s="33" t="s">
        <v>17</v>
      </c>
      <c r="J17" s="23">
        <v>61942781</v>
      </c>
      <c r="K17" s="23" t="s">
        <v>3249</v>
      </c>
      <c r="L17" s="23" t="s">
        <v>3248</v>
      </c>
      <c r="M17" s="41">
        <v>149900</v>
      </c>
      <c r="N17" s="71">
        <f t="shared" si="1"/>
        <v>0.3</v>
      </c>
      <c r="O17" s="35">
        <f t="shared" si="2"/>
        <v>149900</v>
      </c>
      <c r="P17" s="33" t="str">
        <f t="shared" si="3"/>
        <v>PERCENTAGE</v>
      </c>
    </row>
  </sheetData>
  <autoFilter ref="A1:P1" xr:uid="{ABAE38ED-E89B-4817-BEC0-3E734E9DC5E3}">
    <sortState xmlns:xlrd2="http://schemas.microsoft.com/office/spreadsheetml/2017/richdata2" ref="A2:P258">
      <sortCondition ref="M1"/>
    </sortState>
  </autoFilter>
  <conditionalFormatting sqref="J1:J1048576">
    <cfRule type="duplicateValues" dxfId="12" priority="1"/>
  </conditionalFormatting>
  <pageMargins left="0.7" right="0.7" top="0.75" bottom="0.75" header="0.3" footer="0.3"/>
  <pageSetup paperSize="9" orientation="portrait" horizontalDpi="0" verticalDpi="0"/>
  <ignoredErrors>
    <ignoredError sqref="O3:O17" formula="1"/>
  </ignoredErrors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0A007-C1C0-4CF3-95E0-8C3AA61F650F}">
  <sheetPr>
    <tabColor rgb="FFFFFF00"/>
  </sheetPr>
  <dimension ref="A1:P25"/>
  <sheetViews>
    <sheetView topLeftCell="F1" workbookViewId="0">
      <selection activeCell="P3" sqref="P3"/>
    </sheetView>
  </sheetViews>
  <sheetFormatPr defaultRowHeight="14.5" x14ac:dyDescent="0.35"/>
  <cols>
    <col min="1" max="1" width="27.1796875" style="67" customWidth="1"/>
    <col min="2" max="3" width="16.453125" style="68" customWidth="1"/>
    <col min="4" max="4" width="12.08984375" style="67" customWidth="1"/>
    <col min="5" max="5" width="12.36328125" style="68" customWidth="1"/>
    <col min="6" max="6" width="11.81640625" style="68" customWidth="1"/>
    <col min="7" max="7" width="8.6328125" style="68" customWidth="1"/>
    <col min="8" max="8" width="11.6328125" style="67" customWidth="1"/>
    <col min="9" max="9" width="11.81640625" style="68" customWidth="1"/>
    <col min="10" max="10" width="10.1796875" style="68" customWidth="1"/>
    <col min="11" max="11" width="11.36328125" style="68" customWidth="1"/>
    <col min="12" max="12" width="44.90625" style="68" customWidth="1"/>
    <col min="13" max="13" width="16.453125" style="68" customWidth="1"/>
    <col min="14" max="14" width="9.1796875" style="67" customWidth="1"/>
    <col min="15" max="16" width="16.453125" style="68" customWidth="1"/>
    <col min="17" max="16384" width="8.7265625" style="68"/>
  </cols>
  <sheetData>
    <row r="1" spans="1:16" s="32" customFormat="1" ht="30.75" customHeight="1" x14ac:dyDescent="0.35">
      <c r="A1" s="28" t="s">
        <v>0</v>
      </c>
      <c r="B1" s="29" t="s">
        <v>15</v>
      </c>
      <c r="C1" s="29" t="s">
        <v>11</v>
      </c>
      <c r="D1" s="28" t="s">
        <v>1</v>
      </c>
      <c r="E1" s="28" t="s">
        <v>2</v>
      </c>
      <c r="F1" s="52" t="s">
        <v>12</v>
      </c>
      <c r="G1" s="30" t="s">
        <v>3</v>
      </c>
      <c r="H1" s="30" t="s">
        <v>4</v>
      </c>
      <c r="I1" s="53" t="s">
        <v>5</v>
      </c>
      <c r="J1" s="52" t="s">
        <v>6</v>
      </c>
      <c r="K1" s="28" t="s">
        <v>7</v>
      </c>
      <c r="L1" s="53" t="s">
        <v>13</v>
      </c>
      <c r="M1" s="31" t="s">
        <v>14</v>
      </c>
      <c r="N1" s="26" t="s">
        <v>8</v>
      </c>
      <c r="O1" s="66" t="s">
        <v>9</v>
      </c>
      <c r="P1" s="28" t="s">
        <v>10</v>
      </c>
    </row>
    <row r="2" spans="1:16" customFormat="1" x14ac:dyDescent="0.35">
      <c r="A2" s="24" t="s">
        <v>3340</v>
      </c>
      <c r="B2" s="34">
        <v>46104</v>
      </c>
      <c r="C2" s="34">
        <v>46113</v>
      </c>
      <c r="D2" s="24">
        <v>3281</v>
      </c>
      <c r="E2" s="33">
        <v>337</v>
      </c>
      <c r="F2" s="54">
        <v>4</v>
      </c>
      <c r="G2" s="24">
        <v>1</v>
      </c>
      <c r="H2" s="24">
        <v>81679</v>
      </c>
      <c r="I2" s="50" t="s">
        <v>17</v>
      </c>
      <c r="J2" s="55">
        <v>61076959</v>
      </c>
      <c r="K2" s="24" t="s">
        <v>3015</v>
      </c>
      <c r="L2" s="56" t="s">
        <v>3018</v>
      </c>
      <c r="M2" s="25">
        <v>99900</v>
      </c>
      <c r="N2" s="71">
        <v>0.3</v>
      </c>
      <c r="O2" s="35">
        <f>M2-((30*M4)/100)</f>
        <v>69930</v>
      </c>
      <c r="P2" s="33" t="s">
        <v>16</v>
      </c>
    </row>
    <row r="3" spans="1:16" customFormat="1" x14ac:dyDescent="0.35">
      <c r="A3" s="24" t="str">
        <f>A2</f>
        <v>2025 OCT B1 DISC 30%</v>
      </c>
      <c r="B3" s="34">
        <f t="shared" ref="B3:C3" si="0">B2</f>
        <v>46104</v>
      </c>
      <c r="C3" s="34">
        <f t="shared" si="0"/>
        <v>46113</v>
      </c>
      <c r="D3" s="24">
        <v>3281</v>
      </c>
      <c r="E3" s="33">
        <v>337</v>
      </c>
      <c r="F3" s="54">
        <v>4</v>
      </c>
      <c r="G3" s="24">
        <v>1</v>
      </c>
      <c r="H3" s="24">
        <v>81679</v>
      </c>
      <c r="I3" s="50" t="s">
        <v>17</v>
      </c>
      <c r="J3" s="55">
        <v>61076968</v>
      </c>
      <c r="K3" s="24" t="s">
        <v>3015</v>
      </c>
      <c r="L3" s="56" t="s">
        <v>3019</v>
      </c>
      <c r="M3" s="25">
        <v>99900</v>
      </c>
      <c r="N3" s="36">
        <f>N2</f>
        <v>0.3</v>
      </c>
      <c r="O3" s="35">
        <f t="shared" ref="O3:O25" si="1">M3-((30*M5)/100)</f>
        <v>69930</v>
      </c>
      <c r="P3" s="33" t="str">
        <f>P2</f>
        <v>PERCENTAGE</v>
      </c>
    </row>
    <row r="4" spans="1:16" customFormat="1" x14ac:dyDescent="0.35">
      <c r="A4" s="24" t="str">
        <f t="shared" ref="A4:A25" si="2">A3</f>
        <v>2025 OCT B1 DISC 30%</v>
      </c>
      <c r="B4" s="34">
        <f t="shared" ref="B4:C25" si="3">B3</f>
        <v>46104</v>
      </c>
      <c r="C4" s="34">
        <f t="shared" si="3"/>
        <v>46113</v>
      </c>
      <c r="D4" s="24">
        <v>3281</v>
      </c>
      <c r="E4" s="33">
        <v>337</v>
      </c>
      <c r="F4" s="54">
        <v>4</v>
      </c>
      <c r="G4" s="24">
        <v>1</v>
      </c>
      <c r="H4" s="24">
        <v>81679</v>
      </c>
      <c r="I4" s="50" t="s">
        <v>17</v>
      </c>
      <c r="J4" s="55">
        <v>61076977</v>
      </c>
      <c r="K4" s="24" t="s">
        <v>3015</v>
      </c>
      <c r="L4" s="56" t="s">
        <v>3017</v>
      </c>
      <c r="M4" s="25">
        <v>99900</v>
      </c>
      <c r="N4" s="36">
        <f t="shared" ref="N4:N25" si="4">N3</f>
        <v>0.3</v>
      </c>
      <c r="O4" s="35">
        <f t="shared" si="1"/>
        <v>69930</v>
      </c>
      <c r="P4" s="33" t="str">
        <f t="shared" ref="P4:P25" si="5">P3</f>
        <v>PERCENTAGE</v>
      </c>
    </row>
    <row r="5" spans="1:16" customFormat="1" x14ac:dyDescent="0.35">
      <c r="A5" s="24" t="str">
        <f t="shared" si="2"/>
        <v>2025 OCT B1 DISC 30%</v>
      </c>
      <c r="B5" s="34">
        <f t="shared" si="3"/>
        <v>46104</v>
      </c>
      <c r="C5" s="34">
        <f t="shared" si="3"/>
        <v>46113</v>
      </c>
      <c r="D5" s="24">
        <v>3281</v>
      </c>
      <c r="E5" s="33">
        <v>337</v>
      </c>
      <c r="F5" s="54">
        <v>4</v>
      </c>
      <c r="G5" s="24">
        <v>1</v>
      </c>
      <c r="H5" s="24">
        <v>81679</v>
      </c>
      <c r="I5" s="50" t="s">
        <v>17</v>
      </c>
      <c r="J5" s="55">
        <v>61076986</v>
      </c>
      <c r="K5" s="24" t="s">
        <v>3015</v>
      </c>
      <c r="L5" s="56" t="s">
        <v>3016</v>
      </c>
      <c r="M5" s="25">
        <v>99900</v>
      </c>
      <c r="N5" s="36">
        <f t="shared" si="4"/>
        <v>0.3</v>
      </c>
      <c r="O5" s="35">
        <f t="shared" si="1"/>
        <v>69930</v>
      </c>
      <c r="P5" s="33" t="str">
        <f t="shared" si="5"/>
        <v>PERCENTAGE</v>
      </c>
    </row>
    <row r="6" spans="1:16" customFormat="1" x14ac:dyDescent="0.35">
      <c r="A6" s="24" t="str">
        <f t="shared" si="2"/>
        <v>2025 OCT B1 DISC 30%</v>
      </c>
      <c r="B6" s="34">
        <f t="shared" si="3"/>
        <v>46104</v>
      </c>
      <c r="C6" s="34">
        <f t="shared" si="3"/>
        <v>46113</v>
      </c>
      <c r="D6" s="24">
        <v>3281</v>
      </c>
      <c r="E6" s="33">
        <v>337</v>
      </c>
      <c r="F6" s="54">
        <v>4</v>
      </c>
      <c r="G6" s="24">
        <v>1</v>
      </c>
      <c r="H6" s="24">
        <v>81679</v>
      </c>
      <c r="I6" s="50" t="s">
        <v>17</v>
      </c>
      <c r="J6" s="55">
        <v>61076833</v>
      </c>
      <c r="K6" s="24" t="s">
        <v>3020</v>
      </c>
      <c r="L6" s="56" t="s">
        <v>3022</v>
      </c>
      <c r="M6" s="25">
        <v>99900</v>
      </c>
      <c r="N6" s="36">
        <f t="shared" si="4"/>
        <v>0.3</v>
      </c>
      <c r="O6" s="35">
        <f t="shared" si="1"/>
        <v>69930</v>
      </c>
      <c r="P6" s="33" t="str">
        <f t="shared" si="5"/>
        <v>PERCENTAGE</v>
      </c>
    </row>
    <row r="7" spans="1:16" customFormat="1" x14ac:dyDescent="0.35">
      <c r="A7" s="24" t="str">
        <f t="shared" si="2"/>
        <v>2025 OCT B1 DISC 30%</v>
      </c>
      <c r="B7" s="34">
        <f t="shared" si="3"/>
        <v>46104</v>
      </c>
      <c r="C7" s="34">
        <f t="shared" si="3"/>
        <v>46113</v>
      </c>
      <c r="D7" s="24">
        <v>3281</v>
      </c>
      <c r="E7" s="33">
        <v>337</v>
      </c>
      <c r="F7" s="54">
        <v>4</v>
      </c>
      <c r="G7" s="24">
        <v>1</v>
      </c>
      <c r="H7" s="24">
        <v>81679</v>
      </c>
      <c r="I7" s="50" t="s">
        <v>17</v>
      </c>
      <c r="J7" s="57">
        <v>61076842</v>
      </c>
      <c r="K7" s="24" t="s">
        <v>3020</v>
      </c>
      <c r="L7" s="58" t="s">
        <v>3021</v>
      </c>
      <c r="M7" s="25">
        <v>99900</v>
      </c>
      <c r="N7" s="36">
        <f t="shared" si="4"/>
        <v>0.3</v>
      </c>
      <c r="O7" s="35">
        <f t="shared" si="1"/>
        <v>69930</v>
      </c>
      <c r="P7" s="33" t="str">
        <f t="shared" si="5"/>
        <v>PERCENTAGE</v>
      </c>
    </row>
    <row r="8" spans="1:16" customFormat="1" x14ac:dyDescent="0.35">
      <c r="A8" s="24" t="str">
        <f t="shared" si="2"/>
        <v>2025 OCT B1 DISC 30%</v>
      </c>
      <c r="B8" s="34">
        <f t="shared" si="3"/>
        <v>46104</v>
      </c>
      <c r="C8" s="34">
        <f t="shared" si="3"/>
        <v>46113</v>
      </c>
      <c r="D8" s="24">
        <v>3281</v>
      </c>
      <c r="E8" s="33">
        <v>337</v>
      </c>
      <c r="F8" s="54">
        <v>4</v>
      </c>
      <c r="G8" s="24">
        <v>1</v>
      </c>
      <c r="H8" s="24">
        <v>81679</v>
      </c>
      <c r="I8" s="50" t="s">
        <v>17</v>
      </c>
      <c r="J8" s="55">
        <v>61076851</v>
      </c>
      <c r="K8" s="24" t="s">
        <v>3020</v>
      </c>
      <c r="L8" s="56" t="s">
        <v>3024</v>
      </c>
      <c r="M8" s="25">
        <v>99900</v>
      </c>
      <c r="N8" s="36">
        <f t="shared" si="4"/>
        <v>0.3</v>
      </c>
      <c r="O8" s="35">
        <f t="shared" si="1"/>
        <v>69930</v>
      </c>
      <c r="P8" s="33" t="str">
        <f t="shared" si="5"/>
        <v>PERCENTAGE</v>
      </c>
    </row>
    <row r="9" spans="1:16" customFormat="1" x14ac:dyDescent="0.35">
      <c r="A9" s="24" t="str">
        <f t="shared" si="2"/>
        <v>2025 OCT B1 DISC 30%</v>
      </c>
      <c r="B9" s="34">
        <f t="shared" si="3"/>
        <v>46104</v>
      </c>
      <c r="C9" s="34">
        <f t="shared" si="3"/>
        <v>46113</v>
      </c>
      <c r="D9" s="24">
        <v>3281</v>
      </c>
      <c r="E9" s="33">
        <v>337</v>
      </c>
      <c r="F9" s="54">
        <v>4</v>
      </c>
      <c r="G9" s="24">
        <v>1</v>
      </c>
      <c r="H9" s="24">
        <v>81679</v>
      </c>
      <c r="I9" s="50" t="s">
        <v>17</v>
      </c>
      <c r="J9" s="55">
        <v>61076860</v>
      </c>
      <c r="K9" s="24" t="s">
        <v>3020</v>
      </c>
      <c r="L9" s="56" t="s">
        <v>3023</v>
      </c>
      <c r="M9" s="25">
        <v>99900</v>
      </c>
      <c r="N9" s="36">
        <f t="shared" si="4"/>
        <v>0.3</v>
      </c>
      <c r="O9" s="35">
        <f t="shared" si="1"/>
        <v>69930</v>
      </c>
      <c r="P9" s="33" t="str">
        <f t="shared" si="5"/>
        <v>PERCENTAGE</v>
      </c>
    </row>
    <row r="10" spans="1:16" customFormat="1" x14ac:dyDescent="0.35">
      <c r="A10" s="24" t="str">
        <f t="shared" si="2"/>
        <v>2025 OCT B1 DISC 30%</v>
      </c>
      <c r="B10" s="34">
        <f t="shared" si="3"/>
        <v>46104</v>
      </c>
      <c r="C10" s="34">
        <f t="shared" si="3"/>
        <v>46113</v>
      </c>
      <c r="D10" s="24">
        <v>3281</v>
      </c>
      <c r="E10" s="33">
        <v>337</v>
      </c>
      <c r="F10" s="54">
        <v>4</v>
      </c>
      <c r="G10" s="24">
        <v>1</v>
      </c>
      <c r="H10" s="24">
        <v>81588</v>
      </c>
      <c r="I10" s="50" t="s">
        <v>17</v>
      </c>
      <c r="J10" s="55">
        <v>61076799</v>
      </c>
      <c r="K10" s="24" t="s">
        <v>2995</v>
      </c>
      <c r="L10" s="56" t="s">
        <v>2997</v>
      </c>
      <c r="M10" s="25">
        <v>99900</v>
      </c>
      <c r="N10" s="36">
        <f t="shared" si="4"/>
        <v>0.3</v>
      </c>
      <c r="O10" s="35">
        <f t="shared" si="1"/>
        <v>69930</v>
      </c>
      <c r="P10" s="33" t="str">
        <f t="shared" si="5"/>
        <v>PERCENTAGE</v>
      </c>
    </row>
    <row r="11" spans="1:16" customFormat="1" x14ac:dyDescent="0.35">
      <c r="A11" s="24" t="str">
        <f t="shared" si="2"/>
        <v>2025 OCT B1 DISC 30%</v>
      </c>
      <c r="B11" s="34">
        <f t="shared" si="3"/>
        <v>46104</v>
      </c>
      <c r="C11" s="34">
        <f t="shared" si="3"/>
        <v>46113</v>
      </c>
      <c r="D11" s="24">
        <v>3281</v>
      </c>
      <c r="E11" s="33">
        <v>337</v>
      </c>
      <c r="F11" s="54">
        <v>4</v>
      </c>
      <c r="G11" s="24">
        <v>1</v>
      </c>
      <c r="H11" s="24">
        <v>81588</v>
      </c>
      <c r="I11" s="50" t="s">
        <v>17</v>
      </c>
      <c r="J11" s="55">
        <v>61076806</v>
      </c>
      <c r="K11" s="24" t="s">
        <v>2995</v>
      </c>
      <c r="L11" s="56" t="s">
        <v>2996</v>
      </c>
      <c r="M11" s="25">
        <v>99900</v>
      </c>
      <c r="N11" s="36">
        <f t="shared" si="4"/>
        <v>0.3</v>
      </c>
      <c r="O11" s="35">
        <f t="shared" si="1"/>
        <v>69930</v>
      </c>
      <c r="P11" s="33" t="str">
        <f t="shared" si="5"/>
        <v>PERCENTAGE</v>
      </c>
    </row>
    <row r="12" spans="1:16" customFormat="1" x14ac:dyDescent="0.35">
      <c r="A12" s="24" t="str">
        <f t="shared" si="2"/>
        <v>2025 OCT B1 DISC 30%</v>
      </c>
      <c r="B12" s="34">
        <f t="shared" si="3"/>
        <v>46104</v>
      </c>
      <c r="C12" s="34">
        <f t="shared" si="3"/>
        <v>46113</v>
      </c>
      <c r="D12" s="24">
        <v>3281</v>
      </c>
      <c r="E12" s="33">
        <v>337</v>
      </c>
      <c r="F12" s="54">
        <v>4</v>
      </c>
      <c r="G12" s="24">
        <v>1</v>
      </c>
      <c r="H12" s="24">
        <v>81588</v>
      </c>
      <c r="I12" s="50" t="s">
        <v>17</v>
      </c>
      <c r="J12" s="55">
        <v>61076815</v>
      </c>
      <c r="K12" s="24" t="s">
        <v>2995</v>
      </c>
      <c r="L12" s="56" t="s">
        <v>2999</v>
      </c>
      <c r="M12" s="25">
        <v>99900</v>
      </c>
      <c r="N12" s="36">
        <f t="shared" si="4"/>
        <v>0.3</v>
      </c>
      <c r="O12" s="35">
        <f t="shared" si="1"/>
        <v>69930</v>
      </c>
      <c r="P12" s="33" t="str">
        <f t="shared" si="5"/>
        <v>PERCENTAGE</v>
      </c>
    </row>
    <row r="13" spans="1:16" customFormat="1" x14ac:dyDescent="0.35">
      <c r="A13" s="24" t="str">
        <f t="shared" si="2"/>
        <v>2025 OCT B1 DISC 30%</v>
      </c>
      <c r="B13" s="34">
        <f t="shared" si="3"/>
        <v>46104</v>
      </c>
      <c r="C13" s="34">
        <f t="shared" si="3"/>
        <v>46113</v>
      </c>
      <c r="D13" s="24">
        <v>3281</v>
      </c>
      <c r="E13" s="33">
        <v>337</v>
      </c>
      <c r="F13" s="54">
        <v>4</v>
      </c>
      <c r="G13" s="24">
        <v>1</v>
      </c>
      <c r="H13" s="24">
        <v>81588</v>
      </c>
      <c r="I13" s="50" t="s">
        <v>17</v>
      </c>
      <c r="J13" s="55">
        <v>61076824</v>
      </c>
      <c r="K13" s="24" t="s">
        <v>2995</v>
      </c>
      <c r="L13" s="56" t="s">
        <v>2998</v>
      </c>
      <c r="M13" s="25">
        <v>99900</v>
      </c>
      <c r="N13" s="36">
        <f t="shared" si="4"/>
        <v>0.3</v>
      </c>
      <c r="O13" s="35">
        <f t="shared" si="1"/>
        <v>69930</v>
      </c>
      <c r="P13" s="33" t="str">
        <f t="shared" si="5"/>
        <v>PERCENTAGE</v>
      </c>
    </row>
    <row r="14" spans="1:16" customFormat="1" x14ac:dyDescent="0.35">
      <c r="A14" s="24" t="str">
        <f t="shared" si="2"/>
        <v>2025 OCT B1 DISC 30%</v>
      </c>
      <c r="B14" s="34">
        <f t="shared" si="3"/>
        <v>46104</v>
      </c>
      <c r="C14" s="34">
        <f t="shared" si="3"/>
        <v>46113</v>
      </c>
      <c r="D14" s="24">
        <v>3281</v>
      </c>
      <c r="E14" s="33">
        <v>337</v>
      </c>
      <c r="F14" s="54">
        <v>4</v>
      </c>
      <c r="G14" s="24">
        <v>1</v>
      </c>
      <c r="H14" s="24">
        <v>81588</v>
      </c>
      <c r="I14" s="50" t="s">
        <v>17</v>
      </c>
      <c r="J14" s="55">
        <v>61076753</v>
      </c>
      <c r="K14" s="24" t="s">
        <v>3000</v>
      </c>
      <c r="L14" s="56" t="s">
        <v>3002</v>
      </c>
      <c r="M14" s="25">
        <v>99900</v>
      </c>
      <c r="N14" s="36">
        <f t="shared" si="4"/>
        <v>0.3</v>
      </c>
      <c r="O14" s="35">
        <f t="shared" si="1"/>
        <v>69930</v>
      </c>
      <c r="P14" s="33" t="str">
        <f t="shared" si="5"/>
        <v>PERCENTAGE</v>
      </c>
    </row>
    <row r="15" spans="1:16" customFormat="1" x14ac:dyDescent="0.35">
      <c r="A15" s="24" t="str">
        <f t="shared" si="2"/>
        <v>2025 OCT B1 DISC 30%</v>
      </c>
      <c r="B15" s="34">
        <f t="shared" si="3"/>
        <v>46104</v>
      </c>
      <c r="C15" s="34">
        <f t="shared" si="3"/>
        <v>46113</v>
      </c>
      <c r="D15" s="24">
        <v>3281</v>
      </c>
      <c r="E15" s="33">
        <v>337</v>
      </c>
      <c r="F15" s="54">
        <v>4</v>
      </c>
      <c r="G15" s="24">
        <v>1</v>
      </c>
      <c r="H15" s="24">
        <v>81588</v>
      </c>
      <c r="I15" s="50" t="s">
        <v>17</v>
      </c>
      <c r="J15" s="55">
        <v>61076762</v>
      </c>
      <c r="K15" s="24" t="s">
        <v>3000</v>
      </c>
      <c r="L15" s="56" t="s">
        <v>3001</v>
      </c>
      <c r="M15" s="25">
        <v>99900</v>
      </c>
      <c r="N15" s="36">
        <f t="shared" si="4"/>
        <v>0.3</v>
      </c>
      <c r="O15" s="35">
        <f t="shared" si="1"/>
        <v>69930</v>
      </c>
      <c r="P15" s="33" t="str">
        <f t="shared" si="5"/>
        <v>PERCENTAGE</v>
      </c>
    </row>
    <row r="16" spans="1:16" customFormat="1" x14ac:dyDescent="0.35">
      <c r="A16" s="24" t="str">
        <f t="shared" si="2"/>
        <v>2025 OCT B1 DISC 30%</v>
      </c>
      <c r="B16" s="34">
        <f t="shared" si="3"/>
        <v>46104</v>
      </c>
      <c r="C16" s="34">
        <f t="shared" si="3"/>
        <v>46113</v>
      </c>
      <c r="D16" s="24">
        <v>3281</v>
      </c>
      <c r="E16" s="33">
        <v>337</v>
      </c>
      <c r="F16" s="54">
        <v>4</v>
      </c>
      <c r="G16" s="24">
        <v>1</v>
      </c>
      <c r="H16" s="24">
        <v>81588</v>
      </c>
      <c r="I16" s="50" t="s">
        <v>17</v>
      </c>
      <c r="J16" s="55">
        <v>61076771</v>
      </c>
      <c r="K16" s="24" t="s">
        <v>3000</v>
      </c>
      <c r="L16" s="56" t="s">
        <v>3004</v>
      </c>
      <c r="M16" s="25">
        <v>99900</v>
      </c>
      <c r="N16" s="36">
        <f t="shared" si="4"/>
        <v>0.3</v>
      </c>
      <c r="O16" s="35">
        <f t="shared" si="1"/>
        <v>69930</v>
      </c>
      <c r="P16" s="33" t="str">
        <f t="shared" si="5"/>
        <v>PERCENTAGE</v>
      </c>
    </row>
    <row r="17" spans="1:16" customFormat="1" x14ac:dyDescent="0.35">
      <c r="A17" s="24" t="str">
        <f t="shared" si="2"/>
        <v>2025 OCT B1 DISC 30%</v>
      </c>
      <c r="B17" s="34">
        <f t="shared" si="3"/>
        <v>46104</v>
      </c>
      <c r="C17" s="34">
        <f t="shared" si="3"/>
        <v>46113</v>
      </c>
      <c r="D17" s="24">
        <v>3281</v>
      </c>
      <c r="E17" s="33">
        <v>337</v>
      </c>
      <c r="F17" s="54">
        <v>4</v>
      </c>
      <c r="G17" s="24">
        <v>1</v>
      </c>
      <c r="H17" s="24">
        <v>81588</v>
      </c>
      <c r="I17" s="50" t="s">
        <v>17</v>
      </c>
      <c r="J17" s="55">
        <v>61076780</v>
      </c>
      <c r="K17" s="24" t="s">
        <v>3000</v>
      </c>
      <c r="L17" s="56" t="s">
        <v>3003</v>
      </c>
      <c r="M17" s="25">
        <v>99900</v>
      </c>
      <c r="N17" s="36">
        <f t="shared" si="4"/>
        <v>0.3</v>
      </c>
      <c r="O17" s="35">
        <f t="shared" si="1"/>
        <v>69930</v>
      </c>
      <c r="P17" s="33" t="str">
        <f t="shared" si="5"/>
        <v>PERCENTAGE</v>
      </c>
    </row>
    <row r="18" spans="1:16" customFormat="1" x14ac:dyDescent="0.35">
      <c r="A18" s="24" t="str">
        <f t="shared" si="2"/>
        <v>2025 OCT B1 DISC 30%</v>
      </c>
      <c r="B18" s="34">
        <f t="shared" si="3"/>
        <v>46104</v>
      </c>
      <c r="C18" s="34">
        <f t="shared" si="3"/>
        <v>46113</v>
      </c>
      <c r="D18" s="24">
        <v>3281</v>
      </c>
      <c r="E18" s="33">
        <v>337</v>
      </c>
      <c r="F18" s="54">
        <v>4</v>
      </c>
      <c r="G18" s="24">
        <v>1</v>
      </c>
      <c r="H18" s="24">
        <v>81588</v>
      </c>
      <c r="I18" s="50" t="s">
        <v>17</v>
      </c>
      <c r="J18" s="55">
        <v>61076879</v>
      </c>
      <c r="K18" s="24" t="s">
        <v>3010</v>
      </c>
      <c r="L18" s="56" t="s">
        <v>3013</v>
      </c>
      <c r="M18" s="25">
        <v>99900</v>
      </c>
      <c r="N18" s="36">
        <f t="shared" si="4"/>
        <v>0.3</v>
      </c>
      <c r="O18" s="35">
        <f t="shared" si="1"/>
        <v>69930</v>
      </c>
      <c r="P18" s="33" t="str">
        <f t="shared" si="5"/>
        <v>PERCENTAGE</v>
      </c>
    </row>
    <row r="19" spans="1:16" customFormat="1" x14ac:dyDescent="0.35">
      <c r="A19" s="24" t="str">
        <f t="shared" si="2"/>
        <v>2025 OCT B1 DISC 30%</v>
      </c>
      <c r="B19" s="34">
        <f t="shared" si="3"/>
        <v>46104</v>
      </c>
      <c r="C19" s="34">
        <f t="shared" si="3"/>
        <v>46113</v>
      </c>
      <c r="D19" s="48">
        <v>3281</v>
      </c>
      <c r="E19" s="20">
        <v>337</v>
      </c>
      <c r="F19" s="59">
        <v>4</v>
      </c>
      <c r="G19" s="24">
        <v>1</v>
      </c>
      <c r="H19" s="24">
        <v>81588</v>
      </c>
      <c r="I19" s="60" t="s">
        <v>17</v>
      </c>
      <c r="J19" s="55">
        <v>61076888</v>
      </c>
      <c r="K19" s="24" t="s">
        <v>3010</v>
      </c>
      <c r="L19" s="56" t="s">
        <v>3011</v>
      </c>
      <c r="M19" s="61">
        <v>99900</v>
      </c>
      <c r="N19" s="36">
        <f t="shared" si="4"/>
        <v>0.3</v>
      </c>
      <c r="O19" s="35">
        <f t="shared" si="1"/>
        <v>69930</v>
      </c>
      <c r="P19" s="33" t="str">
        <f t="shared" si="5"/>
        <v>PERCENTAGE</v>
      </c>
    </row>
    <row r="20" spans="1:16" customFormat="1" x14ac:dyDescent="0.35">
      <c r="A20" s="24" t="str">
        <f t="shared" si="2"/>
        <v>2025 OCT B1 DISC 30%</v>
      </c>
      <c r="B20" s="34">
        <f t="shared" si="3"/>
        <v>46104</v>
      </c>
      <c r="C20" s="34">
        <f t="shared" si="3"/>
        <v>46113</v>
      </c>
      <c r="D20" s="24">
        <v>3281</v>
      </c>
      <c r="E20" s="33">
        <v>337</v>
      </c>
      <c r="F20" s="54">
        <v>4</v>
      </c>
      <c r="G20" s="24">
        <v>1</v>
      </c>
      <c r="H20" s="24">
        <v>81588</v>
      </c>
      <c r="I20" s="50" t="s">
        <v>17</v>
      </c>
      <c r="J20" s="62">
        <v>61076897</v>
      </c>
      <c r="K20" s="24" t="s">
        <v>3010</v>
      </c>
      <c r="L20" s="49" t="s">
        <v>3012</v>
      </c>
      <c r="M20" s="25">
        <v>99900</v>
      </c>
      <c r="N20" s="36">
        <f t="shared" si="4"/>
        <v>0.3</v>
      </c>
      <c r="O20" s="35">
        <f t="shared" si="1"/>
        <v>69930</v>
      </c>
      <c r="P20" s="33" t="str">
        <f t="shared" si="5"/>
        <v>PERCENTAGE</v>
      </c>
    </row>
    <row r="21" spans="1:16" customFormat="1" x14ac:dyDescent="0.35">
      <c r="A21" s="24" t="str">
        <f t="shared" si="2"/>
        <v>2025 OCT B1 DISC 30%</v>
      </c>
      <c r="B21" s="34">
        <f t="shared" si="3"/>
        <v>46104</v>
      </c>
      <c r="C21" s="34">
        <f t="shared" si="3"/>
        <v>46113</v>
      </c>
      <c r="D21" s="24">
        <v>3281</v>
      </c>
      <c r="E21" s="33">
        <v>337</v>
      </c>
      <c r="F21" s="54">
        <v>4</v>
      </c>
      <c r="G21" s="24">
        <v>1</v>
      </c>
      <c r="H21" s="24">
        <v>81588</v>
      </c>
      <c r="I21" s="50" t="s">
        <v>17</v>
      </c>
      <c r="J21" s="62">
        <v>61076904</v>
      </c>
      <c r="K21" s="24" t="s">
        <v>3010</v>
      </c>
      <c r="L21" s="49" t="s">
        <v>3014</v>
      </c>
      <c r="M21" s="25">
        <v>99900</v>
      </c>
      <c r="N21" s="36">
        <f t="shared" si="4"/>
        <v>0.3</v>
      </c>
      <c r="O21" s="35">
        <f t="shared" si="1"/>
        <v>69930</v>
      </c>
      <c r="P21" s="33" t="str">
        <f t="shared" si="5"/>
        <v>PERCENTAGE</v>
      </c>
    </row>
    <row r="22" spans="1:16" customFormat="1" x14ac:dyDescent="0.35">
      <c r="A22" s="24" t="str">
        <f t="shared" si="2"/>
        <v>2025 OCT B1 DISC 30%</v>
      </c>
      <c r="B22" s="34">
        <f t="shared" si="3"/>
        <v>46104</v>
      </c>
      <c r="C22" s="34">
        <f t="shared" si="3"/>
        <v>46113</v>
      </c>
      <c r="D22" s="24">
        <v>3281</v>
      </c>
      <c r="E22" s="33">
        <v>337</v>
      </c>
      <c r="F22" s="54">
        <v>4</v>
      </c>
      <c r="G22" s="24">
        <v>1</v>
      </c>
      <c r="H22" s="24">
        <v>81588</v>
      </c>
      <c r="I22" s="50" t="s">
        <v>17</v>
      </c>
      <c r="J22" s="62">
        <v>61076913</v>
      </c>
      <c r="K22" s="24" t="s">
        <v>3005</v>
      </c>
      <c r="L22" s="49" t="s">
        <v>3007</v>
      </c>
      <c r="M22" s="25">
        <v>99900</v>
      </c>
      <c r="N22" s="36">
        <f t="shared" si="4"/>
        <v>0.3</v>
      </c>
      <c r="O22" s="35">
        <f t="shared" si="1"/>
        <v>69930</v>
      </c>
      <c r="P22" s="33" t="str">
        <f t="shared" si="5"/>
        <v>PERCENTAGE</v>
      </c>
    </row>
    <row r="23" spans="1:16" customFormat="1" x14ac:dyDescent="0.35">
      <c r="A23" s="24" t="str">
        <f t="shared" si="2"/>
        <v>2025 OCT B1 DISC 30%</v>
      </c>
      <c r="B23" s="34">
        <f t="shared" si="3"/>
        <v>46104</v>
      </c>
      <c r="C23" s="34">
        <f t="shared" si="3"/>
        <v>46113</v>
      </c>
      <c r="D23" s="24">
        <v>3281</v>
      </c>
      <c r="E23" s="33">
        <v>337</v>
      </c>
      <c r="F23" s="54">
        <v>4</v>
      </c>
      <c r="G23" s="24">
        <v>1</v>
      </c>
      <c r="H23" s="24">
        <v>81588</v>
      </c>
      <c r="I23" s="50" t="s">
        <v>17</v>
      </c>
      <c r="J23" s="62">
        <v>61076922</v>
      </c>
      <c r="K23" s="24" t="s">
        <v>3005</v>
      </c>
      <c r="L23" s="49" t="s">
        <v>3006</v>
      </c>
      <c r="M23" s="25">
        <v>99900</v>
      </c>
      <c r="N23" s="36">
        <f t="shared" si="4"/>
        <v>0.3</v>
      </c>
      <c r="O23" s="35">
        <f t="shared" si="1"/>
        <v>69930</v>
      </c>
      <c r="P23" s="33" t="str">
        <f t="shared" si="5"/>
        <v>PERCENTAGE</v>
      </c>
    </row>
    <row r="24" spans="1:16" customFormat="1" x14ac:dyDescent="0.35">
      <c r="A24" s="24" t="str">
        <f t="shared" si="2"/>
        <v>2025 OCT B1 DISC 30%</v>
      </c>
      <c r="B24" s="63">
        <f t="shared" si="3"/>
        <v>46104</v>
      </c>
      <c r="C24" s="63">
        <f t="shared" si="3"/>
        <v>46113</v>
      </c>
      <c r="D24" s="48">
        <v>3281</v>
      </c>
      <c r="E24" s="20">
        <v>337</v>
      </c>
      <c r="F24" s="59">
        <v>4</v>
      </c>
      <c r="G24" s="48">
        <v>1</v>
      </c>
      <c r="H24" s="48">
        <v>81588</v>
      </c>
      <c r="I24" s="60" t="s">
        <v>17</v>
      </c>
      <c r="J24" s="64">
        <v>61076931</v>
      </c>
      <c r="K24" s="48" t="s">
        <v>3005</v>
      </c>
      <c r="L24" s="65" t="s">
        <v>3009</v>
      </c>
      <c r="M24" s="61">
        <v>99900</v>
      </c>
      <c r="N24" s="36">
        <f t="shared" si="4"/>
        <v>0.3</v>
      </c>
      <c r="O24" s="35">
        <f t="shared" si="1"/>
        <v>99900</v>
      </c>
      <c r="P24" s="33" t="str">
        <f t="shared" si="5"/>
        <v>PERCENTAGE</v>
      </c>
    </row>
    <row r="25" spans="1:16" customFormat="1" x14ac:dyDescent="0.35">
      <c r="A25" s="24" t="str">
        <f t="shared" si="2"/>
        <v>2025 OCT B1 DISC 30%</v>
      </c>
      <c r="B25" s="34">
        <f t="shared" si="3"/>
        <v>46104</v>
      </c>
      <c r="C25" s="34">
        <f t="shared" si="3"/>
        <v>46113</v>
      </c>
      <c r="D25" s="24">
        <v>3281</v>
      </c>
      <c r="E25" s="33">
        <v>337</v>
      </c>
      <c r="F25" s="33">
        <v>4</v>
      </c>
      <c r="G25" s="24">
        <v>1</v>
      </c>
      <c r="H25" s="24">
        <v>81588</v>
      </c>
      <c r="I25" s="33" t="s">
        <v>17</v>
      </c>
      <c r="J25" s="24">
        <v>61076940</v>
      </c>
      <c r="K25" s="24" t="s">
        <v>3005</v>
      </c>
      <c r="L25" s="23" t="s">
        <v>3008</v>
      </c>
      <c r="M25" s="25">
        <v>99900</v>
      </c>
      <c r="N25" s="36">
        <f t="shared" si="4"/>
        <v>0.3</v>
      </c>
      <c r="O25" s="35">
        <f t="shared" si="1"/>
        <v>99900</v>
      </c>
      <c r="P25" s="33" t="str">
        <f t="shared" si="5"/>
        <v>PERCENTAGE</v>
      </c>
    </row>
  </sheetData>
  <phoneticPr fontId="8" type="noConversion"/>
  <conditionalFormatting sqref="J1">
    <cfRule type="duplicateValues" dxfId="11" priority="1"/>
    <cfRule type="duplicateValues" dxfId="10" priority="2"/>
    <cfRule type="duplicateValues" dxfId="9" priority="3"/>
    <cfRule type="duplicateValues" dxfId="8" priority="4"/>
  </conditionalFormatting>
  <pageMargins left="0.7" right="0.7" top="0.75" bottom="0.75" header="0.3" footer="0.3"/>
  <ignoredErrors>
    <ignoredError sqref="O3:O20 O21:O25" formula="1"/>
  </ignoredErrors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P171"/>
  <sheetViews>
    <sheetView topLeftCell="F1" zoomScale="73" zoomScaleNormal="100" workbookViewId="0">
      <pane ySplit="1" topLeftCell="A2" activePane="bottomLeft" state="frozen"/>
      <selection activeCell="M23" sqref="M23"/>
      <selection pane="bottomLeft" activeCell="B2" sqref="B2:C2"/>
    </sheetView>
  </sheetViews>
  <sheetFormatPr defaultColWidth="8.6328125" defaultRowHeight="14.5" x14ac:dyDescent="0.35"/>
  <cols>
    <col min="1" max="1" width="23.6328125" style="2" customWidth="1"/>
    <col min="2" max="2" width="16.08984375" style="3" bestFit="1" customWidth="1"/>
    <col min="3" max="3" width="13.36328125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0.90625" style="2" bestFit="1" customWidth="1"/>
    <col min="8" max="8" width="13.9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45.6328125" style="19" customWidth="1"/>
    <col min="13" max="13" width="17.54296875" style="4" customWidth="1"/>
    <col min="14" max="14" width="12.6328125" style="5" customWidth="1"/>
    <col min="15" max="15" width="17.1796875" style="4" customWidth="1"/>
    <col min="16" max="16" width="19.90625" style="2" bestFit="1" customWidth="1"/>
    <col min="17" max="16384" width="8.63281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14" t="s">
        <v>3342</v>
      </c>
      <c r="B2" s="34">
        <v>46104</v>
      </c>
      <c r="C2" s="34">
        <v>46113</v>
      </c>
      <c r="D2" s="6">
        <v>3281</v>
      </c>
      <c r="E2" s="6">
        <v>337</v>
      </c>
      <c r="F2" s="6">
        <v>4</v>
      </c>
      <c r="G2" s="55">
        <v>1</v>
      </c>
      <c r="H2" s="55">
        <v>81462</v>
      </c>
      <c r="I2" s="6" t="s">
        <v>17</v>
      </c>
      <c r="J2" s="70">
        <v>51361589</v>
      </c>
      <c r="K2" s="55" t="s">
        <v>1891</v>
      </c>
      <c r="L2" s="70" t="s">
        <v>1893</v>
      </c>
      <c r="M2" s="69">
        <v>149900</v>
      </c>
      <c r="N2" s="22">
        <v>0.7</v>
      </c>
      <c r="O2" s="74">
        <f>M2-((70*M2)/100)</f>
        <v>44970</v>
      </c>
      <c r="P2" s="22" t="s">
        <v>16</v>
      </c>
    </row>
    <row r="3" spans="1:16" x14ac:dyDescent="0.35">
      <c r="A3" s="14" t="str">
        <f>A2</f>
        <v>2025 JAN-APR DISC 70%</v>
      </c>
      <c r="B3" s="34">
        <f>B2</f>
        <v>46104</v>
      </c>
      <c r="C3" s="34">
        <f>C2</f>
        <v>46113</v>
      </c>
      <c r="D3" s="6">
        <v>3281</v>
      </c>
      <c r="E3" s="6">
        <v>337</v>
      </c>
      <c r="F3" s="6">
        <v>4</v>
      </c>
      <c r="G3" s="55">
        <v>1</v>
      </c>
      <c r="H3" s="57">
        <v>81462</v>
      </c>
      <c r="I3" s="6" t="s">
        <v>17</v>
      </c>
      <c r="J3" s="70">
        <v>51361598</v>
      </c>
      <c r="K3" s="55" t="s">
        <v>1891</v>
      </c>
      <c r="L3" s="70" t="s">
        <v>1895</v>
      </c>
      <c r="M3" s="69">
        <v>149900</v>
      </c>
      <c r="N3" s="22">
        <f>N2</f>
        <v>0.7</v>
      </c>
      <c r="O3" s="74">
        <f t="shared" ref="O3:O66" si="0">M3-((70*M3)/100)</f>
        <v>44970</v>
      </c>
      <c r="P3" s="22" t="str">
        <f>P2</f>
        <v>PERCENTAGE</v>
      </c>
    </row>
    <row r="4" spans="1:16" x14ac:dyDescent="0.35">
      <c r="A4" s="14" t="str">
        <f t="shared" ref="A4:A67" si="1">A3</f>
        <v>2025 JAN-APR DISC 70%</v>
      </c>
      <c r="B4" s="7">
        <f t="shared" ref="B4:B49" si="2">B3</f>
        <v>46104</v>
      </c>
      <c r="C4" s="7">
        <f t="shared" ref="C4:C49" si="3">C3</f>
        <v>46113</v>
      </c>
      <c r="D4" s="6">
        <v>3281</v>
      </c>
      <c r="E4" s="6">
        <v>337</v>
      </c>
      <c r="F4" s="6">
        <v>4</v>
      </c>
      <c r="G4" s="55">
        <v>1</v>
      </c>
      <c r="H4" s="57">
        <v>81462</v>
      </c>
      <c r="I4" s="6" t="s">
        <v>17</v>
      </c>
      <c r="J4" s="70">
        <v>51361605</v>
      </c>
      <c r="K4" s="55" t="s">
        <v>1891</v>
      </c>
      <c r="L4" s="70" t="s">
        <v>1894</v>
      </c>
      <c r="M4" s="69">
        <v>149900</v>
      </c>
      <c r="N4" s="22">
        <f t="shared" ref="N4:N67" si="4">N3</f>
        <v>0.7</v>
      </c>
      <c r="O4" s="74">
        <f t="shared" si="0"/>
        <v>44970</v>
      </c>
      <c r="P4" s="22" t="str">
        <f t="shared" ref="P4:P67" si="5">P3</f>
        <v>PERCENTAGE</v>
      </c>
    </row>
    <row r="5" spans="1:16" x14ac:dyDescent="0.35">
      <c r="A5" s="14" t="str">
        <f t="shared" si="1"/>
        <v>2025 JAN-APR DISC 70%</v>
      </c>
      <c r="B5" s="7">
        <f t="shared" si="2"/>
        <v>46104</v>
      </c>
      <c r="C5" s="7">
        <f t="shared" si="3"/>
        <v>46113</v>
      </c>
      <c r="D5" s="6">
        <v>3281</v>
      </c>
      <c r="E5" s="6">
        <v>337</v>
      </c>
      <c r="F5" s="6">
        <v>4</v>
      </c>
      <c r="G5" s="55">
        <v>1</v>
      </c>
      <c r="H5" s="57">
        <v>81462</v>
      </c>
      <c r="I5" s="6" t="s">
        <v>17</v>
      </c>
      <c r="J5" s="70">
        <v>51361614</v>
      </c>
      <c r="K5" s="55" t="s">
        <v>1891</v>
      </c>
      <c r="L5" s="70" t="s">
        <v>1892</v>
      </c>
      <c r="M5" s="69">
        <v>149900</v>
      </c>
      <c r="N5" s="22">
        <f t="shared" si="4"/>
        <v>0.7</v>
      </c>
      <c r="O5" s="74">
        <f t="shared" si="0"/>
        <v>44970</v>
      </c>
      <c r="P5" s="22" t="str">
        <f t="shared" si="5"/>
        <v>PERCENTAGE</v>
      </c>
    </row>
    <row r="6" spans="1:16" x14ac:dyDescent="0.35">
      <c r="A6" s="14" t="str">
        <f t="shared" si="1"/>
        <v>2025 JAN-APR DISC 70%</v>
      </c>
      <c r="B6" s="7">
        <f t="shared" si="2"/>
        <v>46104</v>
      </c>
      <c r="C6" s="7">
        <f t="shared" si="3"/>
        <v>46113</v>
      </c>
      <c r="D6" s="6">
        <v>3281</v>
      </c>
      <c r="E6" s="6">
        <v>337</v>
      </c>
      <c r="F6" s="6">
        <v>4</v>
      </c>
      <c r="G6" s="55">
        <v>1</v>
      </c>
      <c r="H6" s="55">
        <v>81506</v>
      </c>
      <c r="I6" s="6" t="s">
        <v>17</v>
      </c>
      <c r="J6" s="70">
        <v>51721396</v>
      </c>
      <c r="K6" s="55" t="s">
        <v>1911</v>
      </c>
      <c r="L6" s="70" t="s">
        <v>1915</v>
      </c>
      <c r="M6" s="69">
        <v>179900</v>
      </c>
      <c r="N6" s="22">
        <f t="shared" si="4"/>
        <v>0.7</v>
      </c>
      <c r="O6" s="74">
        <f t="shared" si="0"/>
        <v>53970</v>
      </c>
      <c r="P6" s="22" t="str">
        <f t="shared" si="5"/>
        <v>PERCENTAGE</v>
      </c>
    </row>
    <row r="7" spans="1:16" x14ac:dyDescent="0.35">
      <c r="A7" s="14" t="str">
        <f t="shared" si="1"/>
        <v>2025 JAN-APR DISC 70%</v>
      </c>
      <c r="B7" s="7">
        <f t="shared" si="2"/>
        <v>46104</v>
      </c>
      <c r="C7" s="7">
        <f t="shared" si="3"/>
        <v>46113</v>
      </c>
      <c r="D7" s="6">
        <v>3281</v>
      </c>
      <c r="E7" s="6">
        <v>337</v>
      </c>
      <c r="F7" s="6">
        <v>4</v>
      </c>
      <c r="G7" s="55">
        <v>1</v>
      </c>
      <c r="H7" s="57">
        <v>81506</v>
      </c>
      <c r="I7" s="6" t="s">
        <v>17</v>
      </c>
      <c r="J7" s="70">
        <v>51721403</v>
      </c>
      <c r="K7" s="55" t="s">
        <v>1911</v>
      </c>
      <c r="L7" s="70" t="s">
        <v>1913</v>
      </c>
      <c r="M7" s="69">
        <v>179900</v>
      </c>
      <c r="N7" s="22">
        <f t="shared" si="4"/>
        <v>0.7</v>
      </c>
      <c r="O7" s="74">
        <f t="shared" si="0"/>
        <v>53970</v>
      </c>
      <c r="P7" s="22" t="str">
        <f t="shared" si="5"/>
        <v>PERCENTAGE</v>
      </c>
    </row>
    <row r="8" spans="1:16" x14ac:dyDescent="0.35">
      <c r="A8" s="14" t="str">
        <f t="shared" si="1"/>
        <v>2025 JAN-APR DISC 70%</v>
      </c>
      <c r="B8" s="7">
        <f t="shared" si="2"/>
        <v>46104</v>
      </c>
      <c r="C8" s="7">
        <f t="shared" si="3"/>
        <v>46113</v>
      </c>
      <c r="D8" s="6">
        <v>3281</v>
      </c>
      <c r="E8" s="6">
        <v>337</v>
      </c>
      <c r="F8" s="6">
        <v>4</v>
      </c>
      <c r="G8" s="55">
        <v>1</v>
      </c>
      <c r="H8" s="57">
        <v>81506</v>
      </c>
      <c r="I8" s="6" t="s">
        <v>17</v>
      </c>
      <c r="J8" s="70">
        <v>51721412</v>
      </c>
      <c r="K8" s="55" t="s">
        <v>1911</v>
      </c>
      <c r="L8" s="70" t="s">
        <v>1912</v>
      </c>
      <c r="M8" s="69">
        <v>179900</v>
      </c>
      <c r="N8" s="22">
        <f t="shared" si="4"/>
        <v>0.7</v>
      </c>
      <c r="O8" s="74">
        <f t="shared" si="0"/>
        <v>53970</v>
      </c>
      <c r="P8" s="22" t="str">
        <f t="shared" si="5"/>
        <v>PERCENTAGE</v>
      </c>
    </row>
    <row r="9" spans="1:16" x14ac:dyDescent="0.35">
      <c r="A9" s="14" t="str">
        <f t="shared" si="1"/>
        <v>2025 JAN-APR DISC 70%</v>
      </c>
      <c r="B9" s="7">
        <f t="shared" si="2"/>
        <v>46104</v>
      </c>
      <c r="C9" s="7">
        <f t="shared" si="3"/>
        <v>46113</v>
      </c>
      <c r="D9" s="6">
        <v>3281</v>
      </c>
      <c r="E9" s="6">
        <v>337</v>
      </c>
      <c r="F9" s="6">
        <v>4</v>
      </c>
      <c r="G9" s="55">
        <v>1</v>
      </c>
      <c r="H9" s="57">
        <v>81506</v>
      </c>
      <c r="I9" s="6" t="s">
        <v>17</v>
      </c>
      <c r="J9" s="70">
        <v>51721421</v>
      </c>
      <c r="K9" s="55" t="s">
        <v>1911</v>
      </c>
      <c r="L9" s="70" t="s">
        <v>1914</v>
      </c>
      <c r="M9" s="69">
        <v>179900</v>
      </c>
      <c r="N9" s="22">
        <f t="shared" si="4"/>
        <v>0.7</v>
      </c>
      <c r="O9" s="74">
        <f t="shared" si="0"/>
        <v>53970</v>
      </c>
      <c r="P9" s="22" t="str">
        <f t="shared" si="5"/>
        <v>PERCENTAGE</v>
      </c>
    </row>
    <row r="10" spans="1:16" x14ac:dyDescent="0.35">
      <c r="A10" s="14" t="str">
        <f t="shared" si="1"/>
        <v>2025 JAN-APR DISC 70%</v>
      </c>
      <c r="B10" s="7">
        <f t="shared" si="2"/>
        <v>46104</v>
      </c>
      <c r="C10" s="7">
        <f t="shared" si="3"/>
        <v>46113</v>
      </c>
      <c r="D10" s="6">
        <v>3281</v>
      </c>
      <c r="E10" s="6">
        <v>337</v>
      </c>
      <c r="F10" s="6">
        <v>4</v>
      </c>
      <c r="G10" s="55">
        <v>1</v>
      </c>
      <c r="H10" s="55">
        <v>81506</v>
      </c>
      <c r="I10" s="6" t="s">
        <v>17</v>
      </c>
      <c r="J10" s="70">
        <v>51721430</v>
      </c>
      <c r="K10" s="55" t="s">
        <v>1906</v>
      </c>
      <c r="L10" s="70" t="s">
        <v>1908</v>
      </c>
      <c r="M10" s="69">
        <v>149900</v>
      </c>
      <c r="N10" s="22">
        <f t="shared" si="4"/>
        <v>0.7</v>
      </c>
      <c r="O10" s="74">
        <f t="shared" si="0"/>
        <v>44970</v>
      </c>
      <c r="P10" s="22" t="str">
        <f t="shared" si="5"/>
        <v>PERCENTAGE</v>
      </c>
    </row>
    <row r="11" spans="1:16" x14ac:dyDescent="0.35">
      <c r="A11" s="14" t="str">
        <f t="shared" si="1"/>
        <v>2025 JAN-APR DISC 70%</v>
      </c>
      <c r="B11" s="7">
        <f t="shared" si="2"/>
        <v>46104</v>
      </c>
      <c r="C11" s="7">
        <f t="shared" si="3"/>
        <v>46113</v>
      </c>
      <c r="D11" s="6">
        <v>3281</v>
      </c>
      <c r="E11" s="6">
        <v>337</v>
      </c>
      <c r="F11" s="6">
        <v>4</v>
      </c>
      <c r="G11" s="55">
        <v>1</v>
      </c>
      <c r="H11" s="57">
        <v>81506</v>
      </c>
      <c r="I11" s="6" t="s">
        <v>17</v>
      </c>
      <c r="J11" s="70">
        <v>51721449</v>
      </c>
      <c r="K11" s="55" t="s">
        <v>1906</v>
      </c>
      <c r="L11" s="70" t="s">
        <v>1909</v>
      </c>
      <c r="M11" s="69">
        <v>149900</v>
      </c>
      <c r="N11" s="22">
        <f t="shared" si="4"/>
        <v>0.7</v>
      </c>
      <c r="O11" s="74">
        <f t="shared" si="0"/>
        <v>44970</v>
      </c>
      <c r="P11" s="22" t="str">
        <f t="shared" si="5"/>
        <v>PERCENTAGE</v>
      </c>
    </row>
    <row r="12" spans="1:16" x14ac:dyDescent="0.35">
      <c r="A12" s="14" t="str">
        <f t="shared" si="1"/>
        <v>2025 JAN-APR DISC 70%</v>
      </c>
      <c r="B12" s="7">
        <f t="shared" si="2"/>
        <v>46104</v>
      </c>
      <c r="C12" s="7">
        <f t="shared" si="3"/>
        <v>46113</v>
      </c>
      <c r="D12" s="6">
        <v>3281</v>
      </c>
      <c r="E12" s="6">
        <v>337</v>
      </c>
      <c r="F12" s="6">
        <v>4</v>
      </c>
      <c r="G12" s="55">
        <v>1</v>
      </c>
      <c r="H12" s="57">
        <v>81506</v>
      </c>
      <c r="I12" s="6" t="s">
        <v>17</v>
      </c>
      <c r="J12" s="70">
        <v>51721458</v>
      </c>
      <c r="K12" s="55" t="s">
        <v>1906</v>
      </c>
      <c r="L12" s="70" t="s">
        <v>1907</v>
      </c>
      <c r="M12" s="69">
        <v>149900</v>
      </c>
      <c r="N12" s="22">
        <f t="shared" si="4"/>
        <v>0.7</v>
      </c>
      <c r="O12" s="74">
        <f t="shared" si="0"/>
        <v>44970</v>
      </c>
      <c r="P12" s="22" t="str">
        <f t="shared" si="5"/>
        <v>PERCENTAGE</v>
      </c>
    </row>
    <row r="13" spans="1:16" x14ac:dyDescent="0.35">
      <c r="A13" s="14" t="str">
        <f t="shared" si="1"/>
        <v>2025 JAN-APR DISC 70%</v>
      </c>
      <c r="B13" s="7">
        <f t="shared" si="2"/>
        <v>46104</v>
      </c>
      <c r="C13" s="7">
        <f t="shared" si="3"/>
        <v>46113</v>
      </c>
      <c r="D13" s="6">
        <v>3281</v>
      </c>
      <c r="E13" s="6">
        <v>337</v>
      </c>
      <c r="F13" s="6">
        <v>4</v>
      </c>
      <c r="G13" s="55">
        <v>1</v>
      </c>
      <c r="H13" s="57">
        <v>81506</v>
      </c>
      <c r="I13" s="6" t="s">
        <v>17</v>
      </c>
      <c r="J13" s="70">
        <v>51721467</v>
      </c>
      <c r="K13" s="55" t="s">
        <v>1906</v>
      </c>
      <c r="L13" s="70" t="s">
        <v>1910</v>
      </c>
      <c r="M13" s="69">
        <v>149900</v>
      </c>
      <c r="N13" s="22">
        <f t="shared" si="4"/>
        <v>0.7</v>
      </c>
      <c r="O13" s="74">
        <f t="shared" si="0"/>
        <v>44970</v>
      </c>
      <c r="P13" s="22" t="str">
        <f t="shared" si="5"/>
        <v>PERCENTAGE</v>
      </c>
    </row>
    <row r="14" spans="1:16" x14ac:dyDescent="0.35">
      <c r="A14" s="14" t="str">
        <f t="shared" si="1"/>
        <v>2025 JAN-APR DISC 70%</v>
      </c>
      <c r="B14" s="7">
        <f t="shared" si="2"/>
        <v>46104</v>
      </c>
      <c r="C14" s="7">
        <f t="shared" si="3"/>
        <v>46113</v>
      </c>
      <c r="D14" s="6">
        <v>3281</v>
      </c>
      <c r="E14" s="6">
        <v>337</v>
      </c>
      <c r="F14" s="6">
        <v>4</v>
      </c>
      <c r="G14" s="55">
        <v>1</v>
      </c>
      <c r="H14" s="55">
        <v>81146</v>
      </c>
      <c r="I14" s="6" t="s">
        <v>17</v>
      </c>
      <c r="J14" s="70">
        <v>51867006</v>
      </c>
      <c r="K14" s="55" t="s">
        <v>1921</v>
      </c>
      <c r="L14" s="70" t="s">
        <v>1924</v>
      </c>
      <c r="M14" s="69">
        <v>189900</v>
      </c>
      <c r="N14" s="22">
        <f t="shared" si="4"/>
        <v>0.7</v>
      </c>
      <c r="O14" s="74">
        <f t="shared" si="0"/>
        <v>56970</v>
      </c>
      <c r="P14" s="22" t="str">
        <f t="shared" si="5"/>
        <v>PERCENTAGE</v>
      </c>
    </row>
    <row r="15" spans="1:16" x14ac:dyDescent="0.35">
      <c r="A15" s="14" t="str">
        <f t="shared" si="1"/>
        <v>2025 JAN-APR DISC 70%</v>
      </c>
      <c r="B15" s="7">
        <f t="shared" si="2"/>
        <v>46104</v>
      </c>
      <c r="C15" s="7">
        <f t="shared" si="3"/>
        <v>46113</v>
      </c>
      <c r="D15" s="6">
        <v>3281</v>
      </c>
      <c r="E15" s="6">
        <v>337</v>
      </c>
      <c r="F15" s="6">
        <v>4</v>
      </c>
      <c r="G15" s="55">
        <v>1</v>
      </c>
      <c r="H15" s="57">
        <v>81146</v>
      </c>
      <c r="I15" s="6" t="s">
        <v>17</v>
      </c>
      <c r="J15" s="70">
        <v>51867015</v>
      </c>
      <c r="K15" s="55" t="s">
        <v>1921</v>
      </c>
      <c r="L15" s="70" t="s">
        <v>1923</v>
      </c>
      <c r="M15" s="69">
        <v>189900</v>
      </c>
      <c r="N15" s="22">
        <f t="shared" si="4"/>
        <v>0.7</v>
      </c>
      <c r="O15" s="74">
        <f t="shared" si="0"/>
        <v>56970</v>
      </c>
      <c r="P15" s="22" t="str">
        <f t="shared" si="5"/>
        <v>PERCENTAGE</v>
      </c>
    </row>
    <row r="16" spans="1:16" x14ac:dyDescent="0.35">
      <c r="A16" s="14" t="str">
        <f t="shared" si="1"/>
        <v>2025 JAN-APR DISC 70%</v>
      </c>
      <c r="B16" s="7">
        <f t="shared" si="2"/>
        <v>46104</v>
      </c>
      <c r="C16" s="7">
        <f t="shared" si="3"/>
        <v>46113</v>
      </c>
      <c r="D16" s="6">
        <v>3281</v>
      </c>
      <c r="E16" s="6">
        <v>337</v>
      </c>
      <c r="F16" s="6">
        <v>4</v>
      </c>
      <c r="G16" s="55">
        <v>1</v>
      </c>
      <c r="H16" s="57">
        <v>81146</v>
      </c>
      <c r="I16" s="6" t="s">
        <v>17</v>
      </c>
      <c r="J16" s="70">
        <v>51867024</v>
      </c>
      <c r="K16" s="55" t="s">
        <v>1921</v>
      </c>
      <c r="L16" s="70" t="s">
        <v>1925</v>
      </c>
      <c r="M16" s="69">
        <v>189900</v>
      </c>
      <c r="N16" s="22">
        <f t="shared" si="4"/>
        <v>0.7</v>
      </c>
      <c r="O16" s="74">
        <f t="shared" si="0"/>
        <v>56970</v>
      </c>
      <c r="P16" s="22" t="str">
        <f t="shared" si="5"/>
        <v>PERCENTAGE</v>
      </c>
    </row>
    <row r="17" spans="1:16" x14ac:dyDescent="0.35">
      <c r="A17" s="14" t="str">
        <f t="shared" si="1"/>
        <v>2025 JAN-APR DISC 70%</v>
      </c>
      <c r="B17" s="7">
        <f t="shared" si="2"/>
        <v>46104</v>
      </c>
      <c r="C17" s="7">
        <f t="shared" si="3"/>
        <v>46113</v>
      </c>
      <c r="D17" s="6">
        <v>3281</v>
      </c>
      <c r="E17" s="6">
        <v>337</v>
      </c>
      <c r="F17" s="6">
        <v>4</v>
      </c>
      <c r="G17" s="55">
        <v>1</v>
      </c>
      <c r="H17" s="57">
        <v>81146</v>
      </c>
      <c r="I17" s="6" t="s">
        <v>17</v>
      </c>
      <c r="J17" s="70">
        <v>51867033</v>
      </c>
      <c r="K17" s="55" t="s">
        <v>1921</v>
      </c>
      <c r="L17" s="70" t="s">
        <v>1922</v>
      </c>
      <c r="M17" s="69">
        <v>189900</v>
      </c>
      <c r="N17" s="22">
        <f t="shared" si="4"/>
        <v>0.7</v>
      </c>
      <c r="O17" s="74">
        <f t="shared" si="0"/>
        <v>56970</v>
      </c>
      <c r="P17" s="22" t="str">
        <f t="shared" si="5"/>
        <v>PERCENTAGE</v>
      </c>
    </row>
    <row r="18" spans="1:16" x14ac:dyDescent="0.35">
      <c r="A18" s="14" t="str">
        <f t="shared" si="1"/>
        <v>2025 JAN-APR DISC 70%</v>
      </c>
      <c r="B18" s="7">
        <f t="shared" si="2"/>
        <v>46104</v>
      </c>
      <c r="C18" s="7">
        <f t="shared" si="3"/>
        <v>46113</v>
      </c>
      <c r="D18" s="6">
        <v>3281</v>
      </c>
      <c r="E18" s="6">
        <v>337</v>
      </c>
      <c r="F18" s="6">
        <v>4</v>
      </c>
      <c r="G18" s="55">
        <v>2</v>
      </c>
      <c r="H18" s="55">
        <v>81506</v>
      </c>
      <c r="I18" s="6" t="s">
        <v>17</v>
      </c>
      <c r="J18" s="70">
        <v>51361703</v>
      </c>
      <c r="K18" s="55" t="s">
        <v>1896</v>
      </c>
      <c r="L18" s="70" t="s">
        <v>1898</v>
      </c>
      <c r="M18" s="69">
        <v>279900</v>
      </c>
      <c r="N18" s="22">
        <f t="shared" si="4"/>
        <v>0.7</v>
      </c>
      <c r="O18" s="74">
        <f t="shared" si="0"/>
        <v>83970</v>
      </c>
      <c r="P18" s="22" t="str">
        <f t="shared" si="5"/>
        <v>PERCENTAGE</v>
      </c>
    </row>
    <row r="19" spans="1:16" x14ac:dyDescent="0.35">
      <c r="A19" s="14" t="str">
        <f t="shared" si="1"/>
        <v>2025 JAN-APR DISC 70%</v>
      </c>
      <c r="B19" s="7">
        <f t="shared" si="2"/>
        <v>46104</v>
      </c>
      <c r="C19" s="7">
        <f t="shared" si="3"/>
        <v>46113</v>
      </c>
      <c r="D19" s="6">
        <v>3281</v>
      </c>
      <c r="E19" s="6">
        <v>337</v>
      </c>
      <c r="F19" s="6">
        <v>4</v>
      </c>
      <c r="G19" s="55">
        <v>2</v>
      </c>
      <c r="H19" s="57">
        <v>81506</v>
      </c>
      <c r="I19" s="6" t="s">
        <v>17</v>
      </c>
      <c r="J19" s="70">
        <v>51361712</v>
      </c>
      <c r="K19" s="55" t="s">
        <v>1896</v>
      </c>
      <c r="L19" s="70" t="s">
        <v>1900</v>
      </c>
      <c r="M19" s="69">
        <v>279900</v>
      </c>
      <c r="N19" s="22">
        <f t="shared" si="4"/>
        <v>0.7</v>
      </c>
      <c r="O19" s="74">
        <f t="shared" si="0"/>
        <v>83970</v>
      </c>
      <c r="P19" s="22" t="str">
        <f t="shared" si="5"/>
        <v>PERCENTAGE</v>
      </c>
    </row>
    <row r="20" spans="1:16" x14ac:dyDescent="0.35">
      <c r="A20" s="14" t="str">
        <f t="shared" si="1"/>
        <v>2025 JAN-APR DISC 70%</v>
      </c>
      <c r="B20" s="7">
        <f t="shared" si="2"/>
        <v>46104</v>
      </c>
      <c r="C20" s="7">
        <f t="shared" si="3"/>
        <v>46113</v>
      </c>
      <c r="D20" s="6">
        <v>3281</v>
      </c>
      <c r="E20" s="6">
        <v>337</v>
      </c>
      <c r="F20" s="6">
        <v>4</v>
      </c>
      <c r="G20" s="55">
        <v>2</v>
      </c>
      <c r="H20" s="57">
        <v>81506</v>
      </c>
      <c r="I20" s="6" t="s">
        <v>17</v>
      </c>
      <c r="J20" s="70">
        <v>51361721</v>
      </c>
      <c r="K20" s="55" t="s">
        <v>1896</v>
      </c>
      <c r="L20" s="70" t="s">
        <v>1897</v>
      </c>
      <c r="M20" s="69">
        <v>279900</v>
      </c>
      <c r="N20" s="22">
        <f t="shared" si="4"/>
        <v>0.7</v>
      </c>
      <c r="O20" s="74">
        <f t="shared" si="0"/>
        <v>83970</v>
      </c>
      <c r="P20" s="22" t="str">
        <f t="shared" si="5"/>
        <v>PERCENTAGE</v>
      </c>
    </row>
    <row r="21" spans="1:16" x14ac:dyDescent="0.35">
      <c r="A21" s="14" t="str">
        <f t="shared" si="1"/>
        <v>2025 JAN-APR DISC 70%</v>
      </c>
      <c r="B21" s="7">
        <f t="shared" si="2"/>
        <v>46104</v>
      </c>
      <c r="C21" s="7">
        <f t="shared" si="3"/>
        <v>46113</v>
      </c>
      <c r="D21" s="6">
        <v>3281</v>
      </c>
      <c r="E21" s="6">
        <v>337</v>
      </c>
      <c r="F21" s="6">
        <v>4</v>
      </c>
      <c r="G21" s="55">
        <v>2</v>
      </c>
      <c r="H21" s="57">
        <v>81506</v>
      </c>
      <c r="I21" s="6" t="s">
        <v>17</v>
      </c>
      <c r="J21" s="70">
        <v>51361730</v>
      </c>
      <c r="K21" s="55" t="s">
        <v>1896</v>
      </c>
      <c r="L21" s="70" t="s">
        <v>1899</v>
      </c>
      <c r="M21" s="69">
        <v>279900</v>
      </c>
      <c r="N21" s="22">
        <f t="shared" si="4"/>
        <v>0.7</v>
      </c>
      <c r="O21" s="74">
        <f t="shared" si="0"/>
        <v>83970</v>
      </c>
      <c r="P21" s="22" t="str">
        <f t="shared" si="5"/>
        <v>PERCENTAGE</v>
      </c>
    </row>
    <row r="22" spans="1:16" x14ac:dyDescent="0.35">
      <c r="A22" s="14" t="str">
        <f t="shared" si="1"/>
        <v>2025 JAN-APR DISC 70%</v>
      </c>
      <c r="B22" s="7">
        <f t="shared" si="2"/>
        <v>46104</v>
      </c>
      <c r="C22" s="7">
        <f t="shared" si="3"/>
        <v>46113</v>
      </c>
      <c r="D22" s="6">
        <v>3281</v>
      </c>
      <c r="E22" s="6">
        <v>337</v>
      </c>
      <c r="F22" s="6">
        <v>4</v>
      </c>
      <c r="G22" s="55">
        <v>2</v>
      </c>
      <c r="H22" s="55">
        <v>81506</v>
      </c>
      <c r="I22" s="6" t="s">
        <v>17</v>
      </c>
      <c r="J22" s="70">
        <v>51361669</v>
      </c>
      <c r="K22" s="55" t="s">
        <v>1916</v>
      </c>
      <c r="L22" s="70" t="s">
        <v>1917</v>
      </c>
      <c r="M22" s="69">
        <v>279900</v>
      </c>
      <c r="N22" s="22">
        <f t="shared" si="4"/>
        <v>0.7</v>
      </c>
      <c r="O22" s="74">
        <f t="shared" si="0"/>
        <v>83970</v>
      </c>
      <c r="P22" s="22" t="str">
        <f t="shared" si="5"/>
        <v>PERCENTAGE</v>
      </c>
    </row>
    <row r="23" spans="1:16" x14ac:dyDescent="0.35">
      <c r="A23" s="14" t="str">
        <f t="shared" si="1"/>
        <v>2025 JAN-APR DISC 70%</v>
      </c>
      <c r="B23" s="7">
        <f t="shared" si="2"/>
        <v>46104</v>
      </c>
      <c r="C23" s="7">
        <f t="shared" si="3"/>
        <v>46113</v>
      </c>
      <c r="D23" s="6">
        <v>3281</v>
      </c>
      <c r="E23" s="6">
        <v>337</v>
      </c>
      <c r="F23" s="6">
        <v>4</v>
      </c>
      <c r="G23" s="55">
        <v>2</v>
      </c>
      <c r="H23" s="57">
        <v>81506</v>
      </c>
      <c r="I23" s="6" t="s">
        <v>17</v>
      </c>
      <c r="J23" s="70">
        <v>51361678</v>
      </c>
      <c r="K23" s="55" t="s">
        <v>1916</v>
      </c>
      <c r="L23" s="70" t="s">
        <v>1919</v>
      </c>
      <c r="M23" s="69">
        <v>279900</v>
      </c>
      <c r="N23" s="22">
        <f t="shared" si="4"/>
        <v>0.7</v>
      </c>
      <c r="O23" s="74">
        <f t="shared" si="0"/>
        <v>83970</v>
      </c>
      <c r="P23" s="22" t="str">
        <f t="shared" si="5"/>
        <v>PERCENTAGE</v>
      </c>
    </row>
    <row r="24" spans="1:16" x14ac:dyDescent="0.35">
      <c r="A24" s="14" t="str">
        <f t="shared" si="1"/>
        <v>2025 JAN-APR DISC 70%</v>
      </c>
      <c r="B24" s="7">
        <f t="shared" si="2"/>
        <v>46104</v>
      </c>
      <c r="C24" s="7">
        <f t="shared" si="3"/>
        <v>46113</v>
      </c>
      <c r="D24" s="6">
        <v>3281</v>
      </c>
      <c r="E24" s="6">
        <v>337</v>
      </c>
      <c r="F24" s="6">
        <v>4</v>
      </c>
      <c r="G24" s="55">
        <v>2</v>
      </c>
      <c r="H24" s="57">
        <v>81506</v>
      </c>
      <c r="I24" s="6" t="s">
        <v>17</v>
      </c>
      <c r="J24" s="70">
        <v>51361687</v>
      </c>
      <c r="K24" s="55" t="s">
        <v>1916</v>
      </c>
      <c r="L24" s="70" t="s">
        <v>1920</v>
      </c>
      <c r="M24" s="69">
        <v>279900</v>
      </c>
      <c r="N24" s="22">
        <f t="shared" si="4"/>
        <v>0.7</v>
      </c>
      <c r="O24" s="74">
        <f t="shared" si="0"/>
        <v>83970</v>
      </c>
      <c r="P24" s="22" t="str">
        <f t="shared" si="5"/>
        <v>PERCENTAGE</v>
      </c>
    </row>
    <row r="25" spans="1:16" x14ac:dyDescent="0.35">
      <c r="A25" s="14" t="str">
        <f t="shared" si="1"/>
        <v>2025 JAN-APR DISC 70%</v>
      </c>
      <c r="B25" s="7">
        <f t="shared" si="2"/>
        <v>46104</v>
      </c>
      <c r="C25" s="7">
        <f t="shared" si="3"/>
        <v>46113</v>
      </c>
      <c r="D25" s="6">
        <v>3281</v>
      </c>
      <c r="E25" s="6">
        <v>337</v>
      </c>
      <c r="F25" s="6">
        <v>4</v>
      </c>
      <c r="G25" s="55">
        <v>2</v>
      </c>
      <c r="H25" s="57">
        <v>81506</v>
      </c>
      <c r="I25" s="6" t="s">
        <v>17</v>
      </c>
      <c r="J25" s="70">
        <v>51361696</v>
      </c>
      <c r="K25" s="55" t="s">
        <v>1916</v>
      </c>
      <c r="L25" s="70" t="s">
        <v>1918</v>
      </c>
      <c r="M25" s="69">
        <v>279900</v>
      </c>
      <c r="N25" s="22">
        <f t="shared" si="4"/>
        <v>0.7</v>
      </c>
      <c r="O25" s="74">
        <f t="shared" si="0"/>
        <v>83970</v>
      </c>
      <c r="P25" s="22" t="str">
        <f t="shared" si="5"/>
        <v>PERCENTAGE</v>
      </c>
    </row>
    <row r="26" spans="1:16" x14ac:dyDescent="0.35">
      <c r="A26" s="14" t="str">
        <f t="shared" si="1"/>
        <v>2025 JAN-APR DISC 70%</v>
      </c>
      <c r="B26" s="7">
        <f t="shared" si="2"/>
        <v>46104</v>
      </c>
      <c r="C26" s="7">
        <f t="shared" si="3"/>
        <v>46113</v>
      </c>
      <c r="D26" s="6">
        <v>3281</v>
      </c>
      <c r="E26" s="6">
        <v>337</v>
      </c>
      <c r="F26" s="6">
        <v>4</v>
      </c>
      <c r="G26" s="55">
        <v>3</v>
      </c>
      <c r="H26" s="55">
        <v>81146</v>
      </c>
      <c r="I26" s="6" t="s">
        <v>17</v>
      </c>
      <c r="J26" s="70">
        <v>51721350</v>
      </c>
      <c r="K26" s="55" t="s">
        <v>1926</v>
      </c>
      <c r="L26" s="70" t="s">
        <v>1928</v>
      </c>
      <c r="M26" s="69">
        <v>229900</v>
      </c>
      <c r="N26" s="22">
        <f t="shared" si="4"/>
        <v>0.7</v>
      </c>
      <c r="O26" s="74">
        <f t="shared" si="0"/>
        <v>68970</v>
      </c>
      <c r="P26" s="22" t="str">
        <f t="shared" si="5"/>
        <v>PERCENTAGE</v>
      </c>
    </row>
    <row r="27" spans="1:16" x14ac:dyDescent="0.35">
      <c r="A27" s="14" t="str">
        <f t="shared" si="1"/>
        <v>2025 JAN-APR DISC 70%</v>
      </c>
      <c r="B27" s="7">
        <f t="shared" si="2"/>
        <v>46104</v>
      </c>
      <c r="C27" s="7">
        <f t="shared" si="3"/>
        <v>46113</v>
      </c>
      <c r="D27" s="6">
        <v>3281</v>
      </c>
      <c r="E27" s="6">
        <v>337</v>
      </c>
      <c r="F27" s="6">
        <v>4</v>
      </c>
      <c r="G27" s="55">
        <v>3</v>
      </c>
      <c r="H27" s="57">
        <v>81146</v>
      </c>
      <c r="I27" s="6" t="s">
        <v>17</v>
      </c>
      <c r="J27" s="70">
        <v>51721369</v>
      </c>
      <c r="K27" s="55" t="s">
        <v>1926</v>
      </c>
      <c r="L27" s="70" t="s">
        <v>1929</v>
      </c>
      <c r="M27" s="69">
        <v>229900</v>
      </c>
      <c r="N27" s="22">
        <f t="shared" si="4"/>
        <v>0.7</v>
      </c>
      <c r="O27" s="74">
        <f t="shared" si="0"/>
        <v>68970</v>
      </c>
      <c r="P27" s="22" t="str">
        <f t="shared" si="5"/>
        <v>PERCENTAGE</v>
      </c>
    </row>
    <row r="28" spans="1:16" x14ac:dyDescent="0.35">
      <c r="A28" s="14" t="str">
        <f t="shared" si="1"/>
        <v>2025 JAN-APR DISC 70%</v>
      </c>
      <c r="B28" s="7">
        <f t="shared" si="2"/>
        <v>46104</v>
      </c>
      <c r="C28" s="7">
        <f t="shared" si="3"/>
        <v>46113</v>
      </c>
      <c r="D28" s="6">
        <v>3281</v>
      </c>
      <c r="E28" s="6">
        <v>337</v>
      </c>
      <c r="F28" s="6">
        <v>4</v>
      </c>
      <c r="G28" s="55">
        <v>3</v>
      </c>
      <c r="H28" s="57">
        <v>81146</v>
      </c>
      <c r="I28" s="6" t="s">
        <v>17</v>
      </c>
      <c r="J28" s="70">
        <v>51721378</v>
      </c>
      <c r="K28" s="55" t="s">
        <v>1926</v>
      </c>
      <c r="L28" s="70" t="s">
        <v>1927</v>
      </c>
      <c r="M28" s="69">
        <v>229900</v>
      </c>
      <c r="N28" s="22">
        <f t="shared" si="4"/>
        <v>0.7</v>
      </c>
      <c r="O28" s="74">
        <f t="shared" si="0"/>
        <v>68970</v>
      </c>
      <c r="P28" s="22" t="str">
        <f t="shared" si="5"/>
        <v>PERCENTAGE</v>
      </c>
    </row>
    <row r="29" spans="1:16" x14ac:dyDescent="0.35">
      <c r="A29" s="14" t="str">
        <f t="shared" si="1"/>
        <v>2025 JAN-APR DISC 70%</v>
      </c>
      <c r="B29" s="7">
        <f t="shared" si="2"/>
        <v>46104</v>
      </c>
      <c r="C29" s="7">
        <f t="shared" si="3"/>
        <v>46113</v>
      </c>
      <c r="D29" s="6">
        <v>3281</v>
      </c>
      <c r="E29" s="6">
        <v>337</v>
      </c>
      <c r="F29" s="6">
        <v>4</v>
      </c>
      <c r="G29" s="55">
        <v>3</v>
      </c>
      <c r="H29" s="57">
        <v>81146</v>
      </c>
      <c r="I29" s="6" t="s">
        <v>17</v>
      </c>
      <c r="J29" s="70">
        <v>51721387</v>
      </c>
      <c r="K29" s="55" t="s">
        <v>1926</v>
      </c>
      <c r="L29" s="70" t="s">
        <v>1930</v>
      </c>
      <c r="M29" s="69">
        <v>229900</v>
      </c>
      <c r="N29" s="22">
        <f t="shared" si="4"/>
        <v>0.7</v>
      </c>
      <c r="O29" s="74">
        <f t="shared" si="0"/>
        <v>68970</v>
      </c>
      <c r="P29" s="22" t="str">
        <f t="shared" si="5"/>
        <v>PERCENTAGE</v>
      </c>
    </row>
    <row r="30" spans="1:16" x14ac:dyDescent="0.35">
      <c r="A30" s="14" t="str">
        <f t="shared" si="1"/>
        <v>2025 JAN-APR DISC 70%</v>
      </c>
      <c r="B30" s="7">
        <f t="shared" si="2"/>
        <v>46104</v>
      </c>
      <c r="C30" s="7">
        <f t="shared" si="3"/>
        <v>46113</v>
      </c>
      <c r="D30" s="6">
        <v>3281</v>
      </c>
      <c r="E30" s="6">
        <v>337</v>
      </c>
      <c r="F30" s="6">
        <v>4</v>
      </c>
      <c r="G30" s="55">
        <v>3</v>
      </c>
      <c r="H30" s="55">
        <v>81506</v>
      </c>
      <c r="I30" s="6" t="s">
        <v>17</v>
      </c>
      <c r="J30" s="70">
        <v>51721510</v>
      </c>
      <c r="K30" s="55" t="s">
        <v>1901</v>
      </c>
      <c r="L30" s="70" t="s">
        <v>1904</v>
      </c>
      <c r="M30" s="69">
        <v>229900</v>
      </c>
      <c r="N30" s="22">
        <f t="shared" si="4"/>
        <v>0.7</v>
      </c>
      <c r="O30" s="74">
        <f t="shared" si="0"/>
        <v>68970</v>
      </c>
      <c r="P30" s="22" t="str">
        <f t="shared" si="5"/>
        <v>PERCENTAGE</v>
      </c>
    </row>
    <row r="31" spans="1:16" x14ac:dyDescent="0.35">
      <c r="A31" s="14" t="str">
        <f t="shared" si="1"/>
        <v>2025 JAN-APR DISC 70%</v>
      </c>
      <c r="B31" s="7">
        <f t="shared" si="2"/>
        <v>46104</v>
      </c>
      <c r="C31" s="7">
        <f t="shared" si="3"/>
        <v>46113</v>
      </c>
      <c r="D31" s="6">
        <v>3281</v>
      </c>
      <c r="E31" s="6">
        <v>337</v>
      </c>
      <c r="F31" s="6">
        <v>4</v>
      </c>
      <c r="G31" s="55">
        <v>3</v>
      </c>
      <c r="H31" s="57">
        <v>81506</v>
      </c>
      <c r="I31" s="6" t="s">
        <v>17</v>
      </c>
      <c r="J31" s="70">
        <v>51721529</v>
      </c>
      <c r="K31" s="55" t="s">
        <v>1901</v>
      </c>
      <c r="L31" s="70" t="s">
        <v>1902</v>
      </c>
      <c r="M31" s="69">
        <v>229900</v>
      </c>
      <c r="N31" s="22">
        <f t="shared" si="4"/>
        <v>0.7</v>
      </c>
      <c r="O31" s="74">
        <f t="shared" si="0"/>
        <v>68970</v>
      </c>
      <c r="P31" s="22" t="str">
        <f t="shared" si="5"/>
        <v>PERCENTAGE</v>
      </c>
    </row>
    <row r="32" spans="1:16" x14ac:dyDescent="0.35">
      <c r="A32" s="14" t="str">
        <f t="shared" si="1"/>
        <v>2025 JAN-APR DISC 70%</v>
      </c>
      <c r="B32" s="7">
        <f t="shared" si="2"/>
        <v>46104</v>
      </c>
      <c r="C32" s="7">
        <f t="shared" si="3"/>
        <v>46113</v>
      </c>
      <c r="D32" s="6">
        <v>3281</v>
      </c>
      <c r="E32" s="6">
        <v>337</v>
      </c>
      <c r="F32" s="6">
        <v>4</v>
      </c>
      <c r="G32" s="55">
        <v>3</v>
      </c>
      <c r="H32" s="57">
        <v>81506</v>
      </c>
      <c r="I32" s="6" t="s">
        <v>17</v>
      </c>
      <c r="J32" s="70">
        <v>51721538</v>
      </c>
      <c r="K32" s="55" t="s">
        <v>1901</v>
      </c>
      <c r="L32" s="70" t="s">
        <v>1905</v>
      </c>
      <c r="M32" s="69">
        <v>229900</v>
      </c>
      <c r="N32" s="22">
        <f t="shared" si="4"/>
        <v>0.7</v>
      </c>
      <c r="O32" s="74">
        <f t="shared" si="0"/>
        <v>68970</v>
      </c>
      <c r="P32" s="22" t="str">
        <f t="shared" si="5"/>
        <v>PERCENTAGE</v>
      </c>
    </row>
    <row r="33" spans="1:16" x14ac:dyDescent="0.35">
      <c r="A33" s="14" t="str">
        <f t="shared" si="1"/>
        <v>2025 JAN-APR DISC 70%</v>
      </c>
      <c r="B33" s="7">
        <f t="shared" si="2"/>
        <v>46104</v>
      </c>
      <c r="C33" s="7">
        <f t="shared" si="3"/>
        <v>46113</v>
      </c>
      <c r="D33" s="6">
        <v>3281</v>
      </c>
      <c r="E33" s="6">
        <v>337</v>
      </c>
      <c r="F33" s="6">
        <v>4</v>
      </c>
      <c r="G33" s="55">
        <v>3</v>
      </c>
      <c r="H33" s="57">
        <v>81506</v>
      </c>
      <c r="I33" s="6" t="s">
        <v>17</v>
      </c>
      <c r="J33" s="70">
        <v>51721547</v>
      </c>
      <c r="K33" s="55" t="s">
        <v>1901</v>
      </c>
      <c r="L33" s="70" t="s">
        <v>1903</v>
      </c>
      <c r="M33" s="69">
        <v>229900</v>
      </c>
      <c r="N33" s="22">
        <f t="shared" si="4"/>
        <v>0.7</v>
      </c>
      <c r="O33" s="74">
        <f t="shared" si="0"/>
        <v>68970</v>
      </c>
      <c r="P33" s="22" t="str">
        <f t="shared" si="5"/>
        <v>PERCENTAGE</v>
      </c>
    </row>
    <row r="34" spans="1:16" x14ac:dyDescent="0.35">
      <c r="A34" s="14" t="str">
        <f t="shared" si="1"/>
        <v>2025 JAN-APR DISC 70%</v>
      </c>
      <c r="B34" s="7">
        <f t="shared" si="2"/>
        <v>46104</v>
      </c>
      <c r="C34" s="7">
        <f t="shared" si="3"/>
        <v>46113</v>
      </c>
      <c r="D34" s="6">
        <v>3281</v>
      </c>
      <c r="E34" s="6">
        <v>337</v>
      </c>
      <c r="F34" s="6">
        <v>4</v>
      </c>
      <c r="G34" s="55">
        <v>5</v>
      </c>
      <c r="H34" s="55">
        <v>81506</v>
      </c>
      <c r="I34" s="6" t="s">
        <v>17</v>
      </c>
      <c r="J34" s="70">
        <v>51362024</v>
      </c>
      <c r="K34" s="55" t="s">
        <v>1936</v>
      </c>
      <c r="L34" s="70" t="s">
        <v>1938</v>
      </c>
      <c r="M34" s="69">
        <v>279900</v>
      </c>
      <c r="N34" s="22">
        <f t="shared" si="4"/>
        <v>0.7</v>
      </c>
      <c r="O34" s="74">
        <f t="shared" si="0"/>
        <v>83970</v>
      </c>
      <c r="P34" s="22" t="str">
        <f t="shared" si="5"/>
        <v>PERCENTAGE</v>
      </c>
    </row>
    <row r="35" spans="1:16" x14ac:dyDescent="0.35">
      <c r="A35" s="14" t="str">
        <f t="shared" si="1"/>
        <v>2025 JAN-APR DISC 70%</v>
      </c>
      <c r="B35" s="7">
        <f t="shared" si="2"/>
        <v>46104</v>
      </c>
      <c r="C35" s="7">
        <f t="shared" si="3"/>
        <v>46113</v>
      </c>
      <c r="D35" s="6">
        <v>3281</v>
      </c>
      <c r="E35" s="6">
        <v>337</v>
      </c>
      <c r="F35" s="6">
        <v>4</v>
      </c>
      <c r="G35" s="55">
        <v>5</v>
      </c>
      <c r="H35" s="57">
        <v>81506</v>
      </c>
      <c r="I35" s="6" t="s">
        <v>17</v>
      </c>
      <c r="J35" s="70">
        <v>51362033</v>
      </c>
      <c r="K35" s="55" t="s">
        <v>1936</v>
      </c>
      <c r="L35" s="70" t="s">
        <v>1940</v>
      </c>
      <c r="M35" s="69">
        <v>279900</v>
      </c>
      <c r="N35" s="22">
        <f t="shared" si="4"/>
        <v>0.7</v>
      </c>
      <c r="O35" s="74">
        <f t="shared" si="0"/>
        <v>83970</v>
      </c>
      <c r="P35" s="22" t="str">
        <f t="shared" si="5"/>
        <v>PERCENTAGE</v>
      </c>
    </row>
    <row r="36" spans="1:16" x14ac:dyDescent="0.35">
      <c r="A36" s="14" t="str">
        <f t="shared" si="1"/>
        <v>2025 JAN-APR DISC 70%</v>
      </c>
      <c r="B36" s="7">
        <f t="shared" si="2"/>
        <v>46104</v>
      </c>
      <c r="C36" s="7">
        <f t="shared" si="3"/>
        <v>46113</v>
      </c>
      <c r="D36" s="6">
        <v>3281</v>
      </c>
      <c r="E36" s="6">
        <v>337</v>
      </c>
      <c r="F36" s="6">
        <v>4</v>
      </c>
      <c r="G36" s="55">
        <v>5</v>
      </c>
      <c r="H36" s="57">
        <v>81506</v>
      </c>
      <c r="I36" s="6" t="s">
        <v>17</v>
      </c>
      <c r="J36" s="70">
        <v>51362042</v>
      </c>
      <c r="K36" s="55" t="s">
        <v>1936</v>
      </c>
      <c r="L36" s="70" t="s">
        <v>1939</v>
      </c>
      <c r="M36" s="69">
        <v>279900</v>
      </c>
      <c r="N36" s="22">
        <f t="shared" si="4"/>
        <v>0.7</v>
      </c>
      <c r="O36" s="74">
        <f t="shared" si="0"/>
        <v>83970</v>
      </c>
      <c r="P36" s="22" t="str">
        <f t="shared" si="5"/>
        <v>PERCENTAGE</v>
      </c>
    </row>
    <row r="37" spans="1:16" x14ac:dyDescent="0.35">
      <c r="A37" s="14" t="str">
        <f t="shared" si="1"/>
        <v>2025 JAN-APR DISC 70%</v>
      </c>
      <c r="B37" s="7">
        <f t="shared" si="2"/>
        <v>46104</v>
      </c>
      <c r="C37" s="7">
        <f t="shared" si="3"/>
        <v>46113</v>
      </c>
      <c r="D37" s="6">
        <v>3281</v>
      </c>
      <c r="E37" s="6">
        <v>337</v>
      </c>
      <c r="F37" s="6">
        <v>4</v>
      </c>
      <c r="G37" s="55">
        <v>5</v>
      </c>
      <c r="H37" s="57">
        <v>81506</v>
      </c>
      <c r="I37" s="6" t="s">
        <v>17</v>
      </c>
      <c r="J37" s="70">
        <v>51362051</v>
      </c>
      <c r="K37" s="55" t="s">
        <v>1936</v>
      </c>
      <c r="L37" s="70" t="s">
        <v>1937</v>
      </c>
      <c r="M37" s="69">
        <v>279900</v>
      </c>
      <c r="N37" s="22">
        <f t="shared" si="4"/>
        <v>0.7</v>
      </c>
      <c r="O37" s="74">
        <f t="shared" si="0"/>
        <v>83970</v>
      </c>
      <c r="P37" s="22" t="str">
        <f t="shared" si="5"/>
        <v>PERCENTAGE</v>
      </c>
    </row>
    <row r="38" spans="1:16" x14ac:dyDescent="0.35">
      <c r="A38" s="14" t="str">
        <f t="shared" si="1"/>
        <v>2025 JAN-APR DISC 70%</v>
      </c>
      <c r="B38" s="7">
        <f t="shared" si="2"/>
        <v>46104</v>
      </c>
      <c r="C38" s="7">
        <f t="shared" si="3"/>
        <v>46113</v>
      </c>
      <c r="D38" s="6">
        <v>3281</v>
      </c>
      <c r="E38" s="6">
        <v>337</v>
      </c>
      <c r="F38" s="6">
        <v>4</v>
      </c>
      <c r="G38" s="55">
        <v>5</v>
      </c>
      <c r="H38" s="55">
        <v>81506</v>
      </c>
      <c r="I38" s="6" t="s">
        <v>17</v>
      </c>
      <c r="J38" s="70">
        <v>51361981</v>
      </c>
      <c r="K38" s="55" t="s">
        <v>1931</v>
      </c>
      <c r="L38" s="70" t="s">
        <v>1934</v>
      </c>
      <c r="M38" s="69">
        <v>279900</v>
      </c>
      <c r="N38" s="22">
        <f t="shared" si="4"/>
        <v>0.7</v>
      </c>
      <c r="O38" s="74">
        <f t="shared" si="0"/>
        <v>83970</v>
      </c>
      <c r="P38" s="22" t="str">
        <f t="shared" si="5"/>
        <v>PERCENTAGE</v>
      </c>
    </row>
    <row r="39" spans="1:16" x14ac:dyDescent="0.35">
      <c r="A39" s="14" t="str">
        <f t="shared" si="1"/>
        <v>2025 JAN-APR DISC 70%</v>
      </c>
      <c r="B39" s="7">
        <f t="shared" si="2"/>
        <v>46104</v>
      </c>
      <c r="C39" s="7">
        <f t="shared" si="3"/>
        <v>46113</v>
      </c>
      <c r="D39" s="6">
        <v>3281</v>
      </c>
      <c r="E39" s="6">
        <v>337</v>
      </c>
      <c r="F39" s="6">
        <v>4</v>
      </c>
      <c r="G39" s="55">
        <v>5</v>
      </c>
      <c r="H39" s="57">
        <v>81506</v>
      </c>
      <c r="I39" s="6" t="s">
        <v>17</v>
      </c>
      <c r="J39" s="70">
        <v>51361990</v>
      </c>
      <c r="K39" s="55" t="s">
        <v>1931</v>
      </c>
      <c r="L39" s="70" t="s">
        <v>1933</v>
      </c>
      <c r="M39" s="69">
        <v>279900</v>
      </c>
      <c r="N39" s="22">
        <f t="shared" si="4"/>
        <v>0.7</v>
      </c>
      <c r="O39" s="74">
        <f t="shared" si="0"/>
        <v>83970</v>
      </c>
      <c r="P39" s="22" t="str">
        <f t="shared" si="5"/>
        <v>PERCENTAGE</v>
      </c>
    </row>
    <row r="40" spans="1:16" x14ac:dyDescent="0.35">
      <c r="A40" s="14" t="str">
        <f t="shared" si="1"/>
        <v>2025 JAN-APR DISC 70%</v>
      </c>
      <c r="B40" s="7">
        <f t="shared" si="2"/>
        <v>46104</v>
      </c>
      <c r="C40" s="7">
        <f t="shared" si="3"/>
        <v>46113</v>
      </c>
      <c r="D40" s="6">
        <v>3281</v>
      </c>
      <c r="E40" s="6">
        <v>337</v>
      </c>
      <c r="F40" s="6">
        <v>4</v>
      </c>
      <c r="G40" s="55">
        <v>5</v>
      </c>
      <c r="H40" s="57">
        <v>81506</v>
      </c>
      <c r="I40" s="6" t="s">
        <v>17</v>
      </c>
      <c r="J40" s="70">
        <v>51362006</v>
      </c>
      <c r="K40" s="55" t="s">
        <v>1931</v>
      </c>
      <c r="L40" s="70" t="s">
        <v>1935</v>
      </c>
      <c r="M40" s="69">
        <v>279900</v>
      </c>
      <c r="N40" s="22">
        <f t="shared" si="4"/>
        <v>0.7</v>
      </c>
      <c r="O40" s="74">
        <f t="shared" si="0"/>
        <v>83970</v>
      </c>
      <c r="P40" s="22" t="str">
        <f t="shared" si="5"/>
        <v>PERCENTAGE</v>
      </c>
    </row>
    <row r="41" spans="1:16" x14ac:dyDescent="0.35">
      <c r="A41" s="14" t="str">
        <f t="shared" si="1"/>
        <v>2025 JAN-APR DISC 70%</v>
      </c>
      <c r="B41" s="7">
        <f t="shared" si="2"/>
        <v>46104</v>
      </c>
      <c r="C41" s="7">
        <f t="shared" si="3"/>
        <v>46113</v>
      </c>
      <c r="D41" s="6">
        <v>3281</v>
      </c>
      <c r="E41" s="6">
        <v>337</v>
      </c>
      <c r="F41" s="6">
        <v>4</v>
      </c>
      <c r="G41" s="55">
        <v>5</v>
      </c>
      <c r="H41" s="57">
        <v>81506</v>
      </c>
      <c r="I41" s="6" t="s">
        <v>17</v>
      </c>
      <c r="J41" s="70">
        <v>51362015</v>
      </c>
      <c r="K41" s="55" t="s">
        <v>1931</v>
      </c>
      <c r="L41" s="70" t="s">
        <v>1932</v>
      </c>
      <c r="M41" s="69">
        <v>279900</v>
      </c>
      <c r="N41" s="22">
        <f t="shared" si="4"/>
        <v>0.7</v>
      </c>
      <c r="O41" s="74">
        <f t="shared" si="0"/>
        <v>83970</v>
      </c>
      <c r="P41" s="22" t="str">
        <f t="shared" si="5"/>
        <v>PERCENTAGE</v>
      </c>
    </row>
    <row r="42" spans="1:16" x14ac:dyDescent="0.35">
      <c r="A42" s="14" t="str">
        <f t="shared" si="1"/>
        <v>2025 JAN-APR DISC 70%</v>
      </c>
      <c r="B42" s="7">
        <f t="shared" si="2"/>
        <v>46104</v>
      </c>
      <c r="C42" s="7">
        <f t="shared" si="3"/>
        <v>46113</v>
      </c>
      <c r="D42" s="6">
        <v>3281</v>
      </c>
      <c r="E42" s="6">
        <v>337</v>
      </c>
      <c r="F42" s="6">
        <v>4</v>
      </c>
      <c r="G42" s="55">
        <v>5</v>
      </c>
      <c r="H42" s="55">
        <v>81506</v>
      </c>
      <c r="I42" s="6" t="s">
        <v>17</v>
      </c>
      <c r="J42" s="70">
        <v>51361749</v>
      </c>
      <c r="K42" s="55" t="s">
        <v>1946</v>
      </c>
      <c r="L42" s="70" t="s">
        <v>1949</v>
      </c>
      <c r="M42" s="69">
        <v>339900</v>
      </c>
      <c r="N42" s="22">
        <f t="shared" si="4"/>
        <v>0.7</v>
      </c>
      <c r="O42" s="74">
        <f t="shared" si="0"/>
        <v>101970</v>
      </c>
      <c r="P42" s="22" t="str">
        <f t="shared" si="5"/>
        <v>PERCENTAGE</v>
      </c>
    </row>
    <row r="43" spans="1:16" x14ac:dyDescent="0.35">
      <c r="A43" s="14" t="str">
        <f t="shared" si="1"/>
        <v>2025 JAN-APR DISC 70%</v>
      </c>
      <c r="B43" s="7">
        <f t="shared" si="2"/>
        <v>46104</v>
      </c>
      <c r="C43" s="7">
        <f t="shared" si="3"/>
        <v>46113</v>
      </c>
      <c r="D43" s="6">
        <v>3281</v>
      </c>
      <c r="E43" s="6">
        <v>337</v>
      </c>
      <c r="F43" s="6">
        <v>4</v>
      </c>
      <c r="G43" s="55">
        <v>5</v>
      </c>
      <c r="H43" s="57">
        <v>81506</v>
      </c>
      <c r="I43" s="6" t="s">
        <v>17</v>
      </c>
      <c r="J43" s="70">
        <v>51361758</v>
      </c>
      <c r="K43" s="55" t="s">
        <v>1946</v>
      </c>
      <c r="L43" s="70" t="s">
        <v>1950</v>
      </c>
      <c r="M43" s="69">
        <v>339900</v>
      </c>
      <c r="N43" s="22">
        <f t="shared" si="4"/>
        <v>0.7</v>
      </c>
      <c r="O43" s="74">
        <f t="shared" si="0"/>
        <v>101970</v>
      </c>
      <c r="P43" s="22" t="str">
        <f t="shared" si="5"/>
        <v>PERCENTAGE</v>
      </c>
    </row>
    <row r="44" spans="1:16" x14ac:dyDescent="0.35">
      <c r="A44" s="14" t="str">
        <f t="shared" si="1"/>
        <v>2025 JAN-APR DISC 70%</v>
      </c>
      <c r="B44" s="7">
        <f t="shared" si="2"/>
        <v>46104</v>
      </c>
      <c r="C44" s="7">
        <f t="shared" si="3"/>
        <v>46113</v>
      </c>
      <c r="D44" s="6">
        <v>3281</v>
      </c>
      <c r="E44" s="6">
        <v>337</v>
      </c>
      <c r="F44" s="6">
        <v>4</v>
      </c>
      <c r="G44" s="55">
        <v>5</v>
      </c>
      <c r="H44" s="57">
        <v>81506</v>
      </c>
      <c r="I44" s="6" t="s">
        <v>17</v>
      </c>
      <c r="J44" s="70">
        <v>51361767</v>
      </c>
      <c r="K44" s="55" t="s">
        <v>1946</v>
      </c>
      <c r="L44" s="70" t="s">
        <v>1947</v>
      </c>
      <c r="M44" s="69">
        <v>339900</v>
      </c>
      <c r="N44" s="22">
        <f t="shared" si="4"/>
        <v>0.7</v>
      </c>
      <c r="O44" s="74">
        <f t="shared" si="0"/>
        <v>101970</v>
      </c>
      <c r="P44" s="22" t="str">
        <f t="shared" si="5"/>
        <v>PERCENTAGE</v>
      </c>
    </row>
    <row r="45" spans="1:16" x14ac:dyDescent="0.35">
      <c r="A45" s="14" t="str">
        <f t="shared" si="1"/>
        <v>2025 JAN-APR DISC 70%</v>
      </c>
      <c r="B45" s="7">
        <f t="shared" si="2"/>
        <v>46104</v>
      </c>
      <c r="C45" s="7">
        <f t="shared" si="3"/>
        <v>46113</v>
      </c>
      <c r="D45" s="6">
        <v>3281</v>
      </c>
      <c r="E45" s="6">
        <v>337</v>
      </c>
      <c r="F45" s="6">
        <v>4</v>
      </c>
      <c r="G45" s="55">
        <v>5</v>
      </c>
      <c r="H45" s="57">
        <v>81506</v>
      </c>
      <c r="I45" s="6" t="s">
        <v>17</v>
      </c>
      <c r="J45" s="70">
        <v>51361776</v>
      </c>
      <c r="K45" s="55" t="s">
        <v>1946</v>
      </c>
      <c r="L45" s="70" t="s">
        <v>1948</v>
      </c>
      <c r="M45" s="69">
        <v>339900</v>
      </c>
      <c r="N45" s="22">
        <f t="shared" si="4"/>
        <v>0.7</v>
      </c>
      <c r="O45" s="74">
        <f t="shared" si="0"/>
        <v>101970</v>
      </c>
      <c r="P45" s="22" t="str">
        <f t="shared" si="5"/>
        <v>PERCENTAGE</v>
      </c>
    </row>
    <row r="46" spans="1:16" x14ac:dyDescent="0.35">
      <c r="A46" s="14" t="str">
        <f t="shared" si="1"/>
        <v>2025 JAN-APR DISC 70%</v>
      </c>
      <c r="B46" s="7">
        <f t="shared" si="2"/>
        <v>46104</v>
      </c>
      <c r="C46" s="7">
        <f t="shared" si="3"/>
        <v>46113</v>
      </c>
      <c r="D46" s="6">
        <v>3281</v>
      </c>
      <c r="E46" s="6">
        <v>337</v>
      </c>
      <c r="F46" s="6">
        <v>4</v>
      </c>
      <c r="G46" s="55">
        <v>5</v>
      </c>
      <c r="H46" s="55">
        <v>81506</v>
      </c>
      <c r="I46" s="6" t="s">
        <v>17</v>
      </c>
      <c r="J46" s="70">
        <v>51361785</v>
      </c>
      <c r="K46" s="55" t="s">
        <v>1941</v>
      </c>
      <c r="L46" s="70" t="s">
        <v>1943</v>
      </c>
      <c r="M46" s="69">
        <v>319900</v>
      </c>
      <c r="N46" s="22">
        <f t="shared" si="4"/>
        <v>0.7</v>
      </c>
      <c r="O46" s="74">
        <f t="shared" si="0"/>
        <v>95970</v>
      </c>
      <c r="P46" s="22" t="str">
        <f t="shared" si="5"/>
        <v>PERCENTAGE</v>
      </c>
    </row>
    <row r="47" spans="1:16" x14ac:dyDescent="0.35">
      <c r="A47" s="14" t="str">
        <f t="shared" si="1"/>
        <v>2025 JAN-APR DISC 70%</v>
      </c>
      <c r="B47" s="7">
        <f t="shared" si="2"/>
        <v>46104</v>
      </c>
      <c r="C47" s="7">
        <f t="shared" si="3"/>
        <v>46113</v>
      </c>
      <c r="D47" s="6">
        <v>3281</v>
      </c>
      <c r="E47" s="6">
        <v>337</v>
      </c>
      <c r="F47" s="6">
        <v>4</v>
      </c>
      <c r="G47" s="55">
        <v>5</v>
      </c>
      <c r="H47" s="57">
        <v>81506</v>
      </c>
      <c r="I47" s="6" t="s">
        <v>17</v>
      </c>
      <c r="J47" s="70">
        <v>51361794</v>
      </c>
      <c r="K47" s="55" t="s">
        <v>1941</v>
      </c>
      <c r="L47" s="70" t="s">
        <v>1945</v>
      </c>
      <c r="M47" s="69">
        <v>319900</v>
      </c>
      <c r="N47" s="22">
        <f t="shared" si="4"/>
        <v>0.7</v>
      </c>
      <c r="O47" s="74">
        <f t="shared" si="0"/>
        <v>95970</v>
      </c>
      <c r="P47" s="22" t="str">
        <f t="shared" si="5"/>
        <v>PERCENTAGE</v>
      </c>
    </row>
    <row r="48" spans="1:16" x14ac:dyDescent="0.35">
      <c r="A48" s="14" t="str">
        <f t="shared" si="1"/>
        <v>2025 JAN-APR DISC 70%</v>
      </c>
      <c r="B48" s="7">
        <f t="shared" si="2"/>
        <v>46104</v>
      </c>
      <c r="C48" s="7">
        <f t="shared" si="3"/>
        <v>46113</v>
      </c>
      <c r="D48" s="6">
        <v>3281</v>
      </c>
      <c r="E48" s="6">
        <v>337</v>
      </c>
      <c r="F48" s="6">
        <v>4</v>
      </c>
      <c r="G48" s="55">
        <v>5</v>
      </c>
      <c r="H48" s="57">
        <v>81506</v>
      </c>
      <c r="I48" s="6" t="s">
        <v>17</v>
      </c>
      <c r="J48" s="70">
        <v>51361801</v>
      </c>
      <c r="K48" s="55" t="s">
        <v>1941</v>
      </c>
      <c r="L48" s="70" t="s">
        <v>1942</v>
      </c>
      <c r="M48" s="69">
        <v>319900</v>
      </c>
      <c r="N48" s="22">
        <f t="shared" si="4"/>
        <v>0.7</v>
      </c>
      <c r="O48" s="74">
        <f t="shared" si="0"/>
        <v>95970</v>
      </c>
      <c r="P48" s="22" t="str">
        <f t="shared" si="5"/>
        <v>PERCENTAGE</v>
      </c>
    </row>
    <row r="49" spans="1:16" x14ac:dyDescent="0.35">
      <c r="A49" s="14" t="str">
        <f t="shared" si="1"/>
        <v>2025 JAN-APR DISC 70%</v>
      </c>
      <c r="B49" s="7">
        <f t="shared" si="2"/>
        <v>46104</v>
      </c>
      <c r="C49" s="7">
        <f t="shared" si="3"/>
        <v>46113</v>
      </c>
      <c r="D49" s="6">
        <v>3281</v>
      </c>
      <c r="E49" s="6">
        <v>337</v>
      </c>
      <c r="F49" s="6">
        <v>4</v>
      </c>
      <c r="G49" s="55">
        <v>5</v>
      </c>
      <c r="H49" s="57">
        <v>81506</v>
      </c>
      <c r="I49" s="6" t="s">
        <v>17</v>
      </c>
      <c r="J49" s="70">
        <v>51361810</v>
      </c>
      <c r="K49" s="55" t="s">
        <v>1941</v>
      </c>
      <c r="L49" s="70" t="s">
        <v>1944</v>
      </c>
      <c r="M49" s="69">
        <v>319900</v>
      </c>
      <c r="N49" s="22">
        <f t="shared" si="4"/>
        <v>0.7</v>
      </c>
      <c r="O49" s="74">
        <f t="shared" si="0"/>
        <v>95970</v>
      </c>
      <c r="P49" s="22" t="str">
        <f t="shared" si="5"/>
        <v>PERCENTAGE</v>
      </c>
    </row>
    <row r="50" spans="1:16" s="32" customFormat="1" x14ac:dyDescent="0.35">
      <c r="A50" s="14" t="str">
        <f t="shared" si="1"/>
        <v>2025 JAN-APR DISC 70%</v>
      </c>
      <c r="B50" s="34">
        <f>B49</f>
        <v>46104</v>
      </c>
      <c r="C50" s="34">
        <f>C49</f>
        <v>46113</v>
      </c>
      <c r="D50" s="33">
        <v>3281</v>
      </c>
      <c r="E50" s="33">
        <v>337</v>
      </c>
      <c r="F50" s="33">
        <v>4</v>
      </c>
      <c r="G50" s="55">
        <v>5</v>
      </c>
      <c r="H50" s="55">
        <v>81506</v>
      </c>
      <c r="I50" s="33" t="s">
        <v>17</v>
      </c>
      <c r="J50" s="70">
        <v>51361865</v>
      </c>
      <c r="K50" s="55" t="s">
        <v>1951</v>
      </c>
      <c r="L50" s="70" t="s">
        <v>1955</v>
      </c>
      <c r="M50" s="69">
        <v>319900</v>
      </c>
      <c r="N50" s="22">
        <f t="shared" si="4"/>
        <v>0.7</v>
      </c>
      <c r="O50" s="74">
        <f t="shared" si="0"/>
        <v>95970</v>
      </c>
      <c r="P50" s="22" t="str">
        <f t="shared" si="5"/>
        <v>PERCENTAGE</v>
      </c>
    </row>
    <row r="51" spans="1:16" s="32" customFormat="1" x14ac:dyDescent="0.35">
      <c r="A51" s="14" t="str">
        <f t="shared" si="1"/>
        <v>2025 JAN-APR DISC 70%</v>
      </c>
      <c r="B51" s="34">
        <f t="shared" ref="B51:C66" si="6">B50</f>
        <v>46104</v>
      </c>
      <c r="C51" s="34">
        <f t="shared" si="6"/>
        <v>46113</v>
      </c>
      <c r="D51" s="33">
        <v>3281</v>
      </c>
      <c r="E51" s="33">
        <v>337</v>
      </c>
      <c r="F51" s="33">
        <v>4</v>
      </c>
      <c r="G51" s="55">
        <v>5</v>
      </c>
      <c r="H51" s="57">
        <v>81506</v>
      </c>
      <c r="I51" s="33" t="s">
        <v>17</v>
      </c>
      <c r="J51" s="70">
        <v>51361874</v>
      </c>
      <c r="K51" s="55" t="s">
        <v>1951</v>
      </c>
      <c r="L51" s="70" t="s">
        <v>1952</v>
      </c>
      <c r="M51" s="69">
        <v>319900</v>
      </c>
      <c r="N51" s="22">
        <f t="shared" si="4"/>
        <v>0.7</v>
      </c>
      <c r="O51" s="74">
        <f t="shared" si="0"/>
        <v>95970</v>
      </c>
      <c r="P51" s="22" t="str">
        <f t="shared" si="5"/>
        <v>PERCENTAGE</v>
      </c>
    </row>
    <row r="52" spans="1:16" s="32" customFormat="1" x14ac:dyDescent="0.35">
      <c r="A52" s="14" t="str">
        <f t="shared" si="1"/>
        <v>2025 JAN-APR DISC 70%</v>
      </c>
      <c r="B52" s="34">
        <f t="shared" si="6"/>
        <v>46104</v>
      </c>
      <c r="C52" s="34">
        <f t="shared" si="6"/>
        <v>46113</v>
      </c>
      <c r="D52" s="33">
        <v>3281</v>
      </c>
      <c r="E52" s="33">
        <v>337</v>
      </c>
      <c r="F52" s="33">
        <v>4</v>
      </c>
      <c r="G52" s="55">
        <v>5</v>
      </c>
      <c r="H52" s="57">
        <v>81506</v>
      </c>
      <c r="I52" s="33" t="s">
        <v>17</v>
      </c>
      <c r="J52" s="70">
        <v>51361883</v>
      </c>
      <c r="K52" s="55" t="s">
        <v>1951</v>
      </c>
      <c r="L52" s="70" t="s">
        <v>1954</v>
      </c>
      <c r="M52" s="69">
        <v>319900</v>
      </c>
      <c r="N52" s="22">
        <f t="shared" si="4"/>
        <v>0.7</v>
      </c>
      <c r="O52" s="74">
        <f t="shared" si="0"/>
        <v>95970</v>
      </c>
      <c r="P52" s="22" t="str">
        <f t="shared" si="5"/>
        <v>PERCENTAGE</v>
      </c>
    </row>
    <row r="53" spans="1:16" s="32" customFormat="1" x14ac:dyDescent="0.35">
      <c r="A53" s="14" t="str">
        <f t="shared" si="1"/>
        <v>2025 JAN-APR DISC 70%</v>
      </c>
      <c r="B53" s="34">
        <f t="shared" si="6"/>
        <v>46104</v>
      </c>
      <c r="C53" s="34">
        <f t="shared" si="6"/>
        <v>46113</v>
      </c>
      <c r="D53" s="33">
        <v>3281</v>
      </c>
      <c r="E53" s="33">
        <v>337</v>
      </c>
      <c r="F53" s="33">
        <v>4</v>
      </c>
      <c r="G53" s="55">
        <v>5</v>
      </c>
      <c r="H53" s="57">
        <v>81506</v>
      </c>
      <c r="I53" s="33" t="s">
        <v>17</v>
      </c>
      <c r="J53" s="70">
        <v>51361892</v>
      </c>
      <c r="K53" s="55" t="s">
        <v>1951</v>
      </c>
      <c r="L53" s="70" t="s">
        <v>1953</v>
      </c>
      <c r="M53" s="69">
        <v>319900</v>
      </c>
      <c r="N53" s="22">
        <f t="shared" si="4"/>
        <v>0.7</v>
      </c>
      <c r="O53" s="74">
        <f t="shared" si="0"/>
        <v>95970</v>
      </c>
      <c r="P53" s="22" t="str">
        <f t="shared" si="5"/>
        <v>PERCENTAGE</v>
      </c>
    </row>
    <row r="54" spans="1:16" s="32" customFormat="1" x14ac:dyDescent="0.35">
      <c r="A54" s="14" t="str">
        <f t="shared" si="1"/>
        <v>2025 JAN-APR DISC 70%</v>
      </c>
      <c r="B54" s="34">
        <f t="shared" si="6"/>
        <v>46104</v>
      </c>
      <c r="C54" s="34">
        <f t="shared" si="6"/>
        <v>46113</v>
      </c>
      <c r="D54" s="33">
        <v>3281</v>
      </c>
      <c r="E54" s="33">
        <v>337</v>
      </c>
      <c r="F54" s="33">
        <v>4</v>
      </c>
      <c r="G54" s="55">
        <v>1</v>
      </c>
      <c r="H54" s="55">
        <v>81506</v>
      </c>
      <c r="I54" s="33" t="s">
        <v>17</v>
      </c>
      <c r="J54" s="70">
        <v>51721476</v>
      </c>
      <c r="K54" s="55" t="s">
        <v>2076</v>
      </c>
      <c r="L54" s="70" t="s">
        <v>2079</v>
      </c>
      <c r="M54" s="69">
        <v>179900</v>
      </c>
      <c r="N54" s="22">
        <f t="shared" si="4"/>
        <v>0.7</v>
      </c>
      <c r="O54" s="74">
        <f t="shared" si="0"/>
        <v>53970</v>
      </c>
      <c r="P54" s="22" t="str">
        <f t="shared" si="5"/>
        <v>PERCENTAGE</v>
      </c>
    </row>
    <row r="55" spans="1:16" s="32" customFormat="1" x14ac:dyDescent="0.35">
      <c r="A55" s="14" t="str">
        <f t="shared" si="1"/>
        <v>2025 JAN-APR DISC 70%</v>
      </c>
      <c r="B55" s="34">
        <f t="shared" si="6"/>
        <v>46104</v>
      </c>
      <c r="C55" s="34">
        <f t="shared" si="6"/>
        <v>46113</v>
      </c>
      <c r="D55" s="33">
        <v>3281</v>
      </c>
      <c r="E55" s="33">
        <v>337</v>
      </c>
      <c r="F55" s="33">
        <v>4</v>
      </c>
      <c r="G55" s="55">
        <v>1</v>
      </c>
      <c r="H55" s="57">
        <v>81506</v>
      </c>
      <c r="I55" s="33" t="s">
        <v>17</v>
      </c>
      <c r="J55" s="70">
        <v>51721485</v>
      </c>
      <c r="K55" s="55" t="s">
        <v>2076</v>
      </c>
      <c r="L55" s="70" t="s">
        <v>2077</v>
      </c>
      <c r="M55" s="69">
        <v>179900</v>
      </c>
      <c r="N55" s="22">
        <f t="shared" si="4"/>
        <v>0.7</v>
      </c>
      <c r="O55" s="74">
        <f t="shared" si="0"/>
        <v>53970</v>
      </c>
      <c r="P55" s="22" t="str">
        <f t="shared" si="5"/>
        <v>PERCENTAGE</v>
      </c>
    </row>
    <row r="56" spans="1:16" s="32" customFormat="1" x14ac:dyDescent="0.35">
      <c r="A56" s="14" t="str">
        <f t="shared" si="1"/>
        <v>2025 JAN-APR DISC 70%</v>
      </c>
      <c r="B56" s="34">
        <f t="shared" si="6"/>
        <v>46104</v>
      </c>
      <c r="C56" s="34">
        <f t="shared" si="6"/>
        <v>46113</v>
      </c>
      <c r="D56" s="33">
        <v>3281</v>
      </c>
      <c r="E56" s="33">
        <v>337</v>
      </c>
      <c r="F56" s="33">
        <v>4</v>
      </c>
      <c r="G56" s="55">
        <v>1</v>
      </c>
      <c r="H56" s="57">
        <v>81506</v>
      </c>
      <c r="I56" s="33" t="s">
        <v>17</v>
      </c>
      <c r="J56" s="70">
        <v>51721494</v>
      </c>
      <c r="K56" s="55" t="s">
        <v>2076</v>
      </c>
      <c r="L56" s="70" t="s">
        <v>2080</v>
      </c>
      <c r="M56" s="69">
        <v>179900</v>
      </c>
      <c r="N56" s="22">
        <f t="shared" si="4"/>
        <v>0.7</v>
      </c>
      <c r="O56" s="74">
        <f t="shared" si="0"/>
        <v>53970</v>
      </c>
      <c r="P56" s="22" t="str">
        <f t="shared" si="5"/>
        <v>PERCENTAGE</v>
      </c>
    </row>
    <row r="57" spans="1:16" s="32" customFormat="1" x14ac:dyDescent="0.35">
      <c r="A57" s="14" t="str">
        <f t="shared" si="1"/>
        <v>2025 JAN-APR DISC 70%</v>
      </c>
      <c r="B57" s="34">
        <f t="shared" si="6"/>
        <v>46104</v>
      </c>
      <c r="C57" s="34">
        <f t="shared" si="6"/>
        <v>46113</v>
      </c>
      <c r="D57" s="33">
        <v>3281</v>
      </c>
      <c r="E57" s="33">
        <v>337</v>
      </c>
      <c r="F57" s="33">
        <v>4</v>
      </c>
      <c r="G57" s="55">
        <v>1</v>
      </c>
      <c r="H57" s="57">
        <v>81506</v>
      </c>
      <c r="I57" s="33" t="s">
        <v>17</v>
      </c>
      <c r="J57" s="70">
        <v>51721501</v>
      </c>
      <c r="K57" s="55" t="s">
        <v>2076</v>
      </c>
      <c r="L57" s="70" t="s">
        <v>2078</v>
      </c>
      <c r="M57" s="69">
        <v>179900</v>
      </c>
      <c r="N57" s="22">
        <f t="shared" si="4"/>
        <v>0.7</v>
      </c>
      <c r="O57" s="74">
        <f t="shared" si="0"/>
        <v>53970</v>
      </c>
      <c r="P57" s="22" t="str">
        <f t="shared" si="5"/>
        <v>PERCENTAGE</v>
      </c>
    </row>
    <row r="58" spans="1:16" s="32" customFormat="1" x14ac:dyDescent="0.35">
      <c r="A58" s="14" t="str">
        <f t="shared" si="1"/>
        <v>2025 JAN-APR DISC 70%</v>
      </c>
      <c r="B58" s="34">
        <f t="shared" si="6"/>
        <v>46104</v>
      </c>
      <c r="C58" s="34">
        <f t="shared" si="6"/>
        <v>46113</v>
      </c>
      <c r="D58" s="33">
        <v>3281</v>
      </c>
      <c r="E58" s="33">
        <v>337</v>
      </c>
      <c r="F58" s="33">
        <v>4</v>
      </c>
      <c r="G58" s="55">
        <v>2</v>
      </c>
      <c r="H58" s="55">
        <v>81146</v>
      </c>
      <c r="I58" s="33" t="s">
        <v>17</v>
      </c>
      <c r="J58" s="70">
        <v>51867088</v>
      </c>
      <c r="K58" s="55" t="s">
        <v>2081</v>
      </c>
      <c r="L58" s="70" t="s">
        <v>2085</v>
      </c>
      <c r="M58" s="69">
        <v>279900</v>
      </c>
      <c r="N58" s="22">
        <f t="shared" si="4"/>
        <v>0.7</v>
      </c>
      <c r="O58" s="74">
        <f t="shared" si="0"/>
        <v>83970</v>
      </c>
      <c r="P58" s="22" t="str">
        <f t="shared" si="5"/>
        <v>PERCENTAGE</v>
      </c>
    </row>
    <row r="59" spans="1:16" s="32" customFormat="1" x14ac:dyDescent="0.35">
      <c r="A59" s="14" t="str">
        <f t="shared" si="1"/>
        <v>2025 JAN-APR DISC 70%</v>
      </c>
      <c r="B59" s="34">
        <f t="shared" si="6"/>
        <v>46104</v>
      </c>
      <c r="C59" s="34">
        <f t="shared" si="6"/>
        <v>46113</v>
      </c>
      <c r="D59" s="33">
        <v>3281</v>
      </c>
      <c r="E59" s="33">
        <v>337</v>
      </c>
      <c r="F59" s="33">
        <v>4</v>
      </c>
      <c r="G59" s="55">
        <v>2</v>
      </c>
      <c r="H59" s="57">
        <v>81146</v>
      </c>
      <c r="I59" s="33" t="s">
        <v>17</v>
      </c>
      <c r="J59" s="70">
        <v>51867097</v>
      </c>
      <c r="K59" s="55" t="s">
        <v>2081</v>
      </c>
      <c r="L59" s="70" t="s">
        <v>2084</v>
      </c>
      <c r="M59" s="69">
        <v>279900</v>
      </c>
      <c r="N59" s="22">
        <f t="shared" si="4"/>
        <v>0.7</v>
      </c>
      <c r="O59" s="74">
        <f t="shared" si="0"/>
        <v>83970</v>
      </c>
      <c r="P59" s="22" t="str">
        <f t="shared" si="5"/>
        <v>PERCENTAGE</v>
      </c>
    </row>
    <row r="60" spans="1:16" s="32" customFormat="1" x14ac:dyDescent="0.35">
      <c r="A60" s="14" t="str">
        <f t="shared" si="1"/>
        <v>2025 JAN-APR DISC 70%</v>
      </c>
      <c r="B60" s="34">
        <f t="shared" si="6"/>
        <v>46104</v>
      </c>
      <c r="C60" s="34">
        <f t="shared" si="6"/>
        <v>46113</v>
      </c>
      <c r="D60" s="33">
        <v>3281</v>
      </c>
      <c r="E60" s="33">
        <v>337</v>
      </c>
      <c r="F60" s="33">
        <v>4</v>
      </c>
      <c r="G60" s="55">
        <v>2</v>
      </c>
      <c r="H60" s="57">
        <v>81146</v>
      </c>
      <c r="I60" s="33" t="s">
        <v>17</v>
      </c>
      <c r="J60" s="70">
        <v>51867104</v>
      </c>
      <c r="K60" s="55" t="s">
        <v>2081</v>
      </c>
      <c r="L60" s="70" t="s">
        <v>2082</v>
      </c>
      <c r="M60" s="69">
        <v>279900</v>
      </c>
      <c r="N60" s="22">
        <f t="shared" si="4"/>
        <v>0.7</v>
      </c>
      <c r="O60" s="74">
        <f t="shared" si="0"/>
        <v>83970</v>
      </c>
      <c r="P60" s="22" t="str">
        <f t="shared" si="5"/>
        <v>PERCENTAGE</v>
      </c>
    </row>
    <row r="61" spans="1:16" s="32" customFormat="1" x14ac:dyDescent="0.35">
      <c r="A61" s="14" t="str">
        <f t="shared" si="1"/>
        <v>2025 JAN-APR DISC 70%</v>
      </c>
      <c r="B61" s="34">
        <f t="shared" si="6"/>
        <v>46104</v>
      </c>
      <c r="C61" s="34">
        <f t="shared" si="6"/>
        <v>46113</v>
      </c>
      <c r="D61" s="33">
        <v>3281</v>
      </c>
      <c r="E61" s="33">
        <v>337</v>
      </c>
      <c r="F61" s="33">
        <v>4</v>
      </c>
      <c r="G61" s="55">
        <v>2</v>
      </c>
      <c r="H61" s="57">
        <v>81146</v>
      </c>
      <c r="I61" s="33" t="s">
        <v>17</v>
      </c>
      <c r="J61" s="70">
        <v>51867113</v>
      </c>
      <c r="K61" s="55" t="s">
        <v>2081</v>
      </c>
      <c r="L61" s="70" t="s">
        <v>2083</v>
      </c>
      <c r="M61" s="69">
        <v>279900</v>
      </c>
      <c r="N61" s="22">
        <f t="shared" si="4"/>
        <v>0.7</v>
      </c>
      <c r="O61" s="74">
        <f t="shared" si="0"/>
        <v>83970</v>
      </c>
      <c r="P61" s="22" t="str">
        <f t="shared" si="5"/>
        <v>PERCENTAGE</v>
      </c>
    </row>
    <row r="62" spans="1:16" s="32" customFormat="1" x14ac:dyDescent="0.35">
      <c r="A62" s="14" t="str">
        <f t="shared" si="1"/>
        <v>2025 JAN-APR DISC 70%</v>
      </c>
      <c r="B62" s="34">
        <f t="shared" si="6"/>
        <v>46104</v>
      </c>
      <c r="C62" s="34">
        <f t="shared" si="6"/>
        <v>46113</v>
      </c>
      <c r="D62" s="33">
        <v>3281</v>
      </c>
      <c r="E62" s="33">
        <v>337</v>
      </c>
      <c r="F62" s="33">
        <v>4</v>
      </c>
      <c r="G62" s="55">
        <v>3</v>
      </c>
      <c r="H62" s="55">
        <v>81462</v>
      </c>
      <c r="I62" s="33" t="s">
        <v>17</v>
      </c>
      <c r="J62" s="70">
        <v>51866963</v>
      </c>
      <c r="K62" s="55" t="s">
        <v>2091</v>
      </c>
      <c r="L62" s="70" t="s">
        <v>2095</v>
      </c>
      <c r="M62" s="69">
        <v>229900</v>
      </c>
      <c r="N62" s="22">
        <f t="shared" si="4"/>
        <v>0.7</v>
      </c>
      <c r="O62" s="74">
        <f t="shared" si="0"/>
        <v>68970</v>
      </c>
      <c r="P62" s="22" t="str">
        <f t="shared" si="5"/>
        <v>PERCENTAGE</v>
      </c>
    </row>
    <row r="63" spans="1:16" s="32" customFormat="1" x14ac:dyDescent="0.35">
      <c r="A63" s="14" t="str">
        <f t="shared" si="1"/>
        <v>2025 JAN-APR DISC 70%</v>
      </c>
      <c r="B63" s="34">
        <f t="shared" si="6"/>
        <v>46104</v>
      </c>
      <c r="C63" s="34">
        <f t="shared" si="6"/>
        <v>46113</v>
      </c>
      <c r="D63" s="33">
        <v>3281</v>
      </c>
      <c r="E63" s="33">
        <v>337</v>
      </c>
      <c r="F63" s="33">
        <v>4</v>
      </c>
      <c r="G63" s="55">
        <v>3</v>
      </c>
      <c r="H63" s="57">
        <v>81462</v>
      </c>
      <c r="I63" s="33" t="s">
        <v>17</v>
      </c>
      <c r="J63" s="70">
        <v>51866972</v>
      </c>
      <c r="K63" s="55" t="s">
        <v>2091</v>
      </c>
      <c r="L63" s="70" t="s">
        <v>2094</v>
      </c>
      <c r="M63" s="69">
        <v>229900</v>
      </c>
      <c r="N63" s="22">
        <f t="shared" si="4"/>
        <v>0.7</v>
      </c>
      <c r="O63" s="74">
        <f t="shared" si="0"/>
        <v>68970</v>
      </c>
      <c r="P63" s="22" t="str">
        <f t="shared" si="5"/>
        <v>PERCENTAGE</v>
      </c>
    </row>
    <row r="64" spans="1:16" s="32" customFormat="1" x14ac:dyDescent="0.35">
      <c r="A64" s="14" t="str">
        <f t="shared" si="1"/>
        <v>2025 JAN-APR DISC 70%</v>
      </c>
      <c r="B64" s="34">
        <f t="shared" si="6"/>
        <v>46104</v>
      </c>
      <c r="C64" s="34">
        <f t="shared" si="6"/>
        <v>46113</v>
      </c>
      <c r="D64" s="33">
        <v>3281</v>
      </c>
      <c r="E64" s="33">
        <v>337</v>
      </c>
      <c r="F64" s="33">
        <v>4</v>
      </c>
      <c r="G64" s="55">
        <v>3</v>
      </c>
      <c r="H64" s="57">
        <v>81462</v>
      </c>
      <c r="I64" s="33" t="s">
        <v>17</v>
      </c>
      <c r="J64" s="70">
        <v>51866981</v>
      </c>
      <c r="K64" s="55" t="s">
        <v>2091</v>
      </c>
      <c r="L64" s="70" t="s">
        <v>2093</v>
      </c>
      <c r="M64" s="69">
        <v>229900</v>
      </c>
      <c r="N64" s="22">
        <f t="shared" si="4"/>
        <v>0.7</v>
      </c>
      <c r="O64" s="74">
        <f t="shared" si="0"/>
        <v>68970</v>
      </c>
      <c r="P64" s="22" t="str">
        <f t="shared" si="5"/>
        <v>PERCENTAGE</v>
      </c>
    </row>
    <row r="65" spans="1:16" s="32" customFormat="1" x14ac:dyDescent="0.35">
      <c r="A65" s="14" t="str">
        <f t="shared" si="1"/>
        <v>2025 JAN-APR DISC 70%</v>
      </c>
      <c r="B65" s="34">
        <f t="shared" si="6"/>
        <v>46104</v>
      </c>
      <c r="C65" s="34">
        <f t="shared" si="6"/>
        <v>46113</v>
      </c>
      <c r="D65" s="33">
        <v>3281</v>
      </c>
      <c r="E65" s="33">
        <v>337</v>
      </c>
      <c r="F65" s="33">
        <v>4</v>
      </c>
      <c r="G65" s="55">
        <v>3</v>
      </c>
      <c r="H65" s="57">
        <v>81462</v>
      </c>
      <c r="I65" s="33" t="s">
        <v>17</v>
      </c>
      <c r="J65" s="70">
        <v>51866990</v>
      </c>
      <c r="K65" s="55" t="s">
        <v>2091</v>
      </c>
      <c r="L65" s="70" t="s">
        <v>2092</v>
      </c>
      <c r="M65" s="69">
        <v>229900</v>
      </c>
      <c r="N65" s="22">
        <f t="shared" si="4"/>
        <v>0.7</v>
      </c>
      <c r="O65" s="74">
        <f t="shared" si="0"/>
        <v>68970</v>
      </c>
      <c r="P65" s="22" t="str">
        <f t="shared" si="5"/>
        <v>PERCENTAGE</v>
      </c>
    </row>
    <row r="66" spans="1:16" s="32" customFormat="1" x14ac:dyDescent="0.35">
      <c r="A66" s="14" t="str">
        <f t="shared" si="1"/>
        <v>2025 JAN-APR DISC 70%</v>
      </c>
      <c r="B66" s="34">
        <f t="shared" si="6"/>
        <v>46104</v>
      </c>
      <c r="C66" s="34">
        <f t="shared" si="6"/>
        <v>46113</v>
      </c>
      <c r="D66" s="33">
        <v>3281</v>
      </c>
      <c r="E66" s="33">
        <v>337</v>
      </c>
      <c r="F66" s="33">
        <v>4</v>
      </c>
      <c r="G66" s="55">
        <v>5</v>
      </c>
      <c r="H66" s="55">
        <v>81146</v>
      </c>
      <c r="I66" s="33" t="s">
        <v>17</v>
      </c>
      <c r="J66" s="70">
        <v>51361945</v>
      </c>
      <c r="K66" s="55" t="s">
        <v>2096</v>
      </c>
      <c r="L66" s="70" t="s">
        <v>2099</v>
      </c>
      <c r="M66" s="69">
        <v>339900</v>
      </c>
      <c r="N66" s="22">
        <f t="shared" si="4"/>
        <v>0.7</v>
      </c>
      <c r="O66" s="74">
        <f t="shared" si="0"/>
        <v>101970</v>
      </c>
      <c r="P66" s="22" t="str">
        <f t="shared" si="5"/>
        <v>PERCENTAGE</v>
      </c>
    </row>
    <row r="67" spans="1:16" s="32" customFormat="1" x14ac:dyDescent="0.35">
      <c r="A67" s="14" t="str">
        <f t="shared" si="1"/>
        <v>2025 JAN-APR DISC 70%</v>
      </c>
      <c r="B67" s="34">
        <f t="shared" ref="B67:C81" si="7">B66</f>
        <v>46104</v>
      </c>
      <c r="C67" s="34">
        <f t="shared" si="7"/>
        <v>46113</v>
      </c>
      <c r="D67" s="33">
        <v>3281</v>
      </c>
      <c r="E67" s="33">
        <v>337</v>
      </c>
      <c r="F67" s="33">
        <v>4</v>
      </c>
      <c r="G67" s="55">
        <v>5</v>
      </c>
      <c r="H67" s="57">
        <v>81146</v>
      </c>
      <c r="I67" s="33" t="s">
        <v>17</v>
      </c>
      <c r="J67" s="70">
        <v>51361954</v>
      </c>
      <c r="K67" s="55" t="s">
        <v>2096</v>
      </c>
      <c r="L67" s="70" t="s">
        <v>2098</v>
      </c>
      <c r="M67" s="69">
        <v>339900</v>
      </c>
      <c r="N67" s="22">
        <f t="shared" si="4"/>
        <v>0.7</v>
      </c>
      <c r="O67" s="74">
        <f t="shared" ref="O67:O130" si="8">M67-((70*M67)/100)</f>
        <v>101970</v>
      </c>
      <c r="P67" s="22" t="str">
        <f t="shared" si="5"/>
        <v>PERCENTAGE</v>
      </c>
    </row>
    <row r="68" spans="1:16" s="32" customFormat="1" x14ac:dyDescent="0.35">
      <c r="A68" s="14" t="str">
        <f t="shared" ref="A68:A102" si="9">A67</f>
        <v>2025 JAN-APR DISC 70%</v>
      </c>
      <c r="B68" s="34">
        <f t="shared" si="7"/>
        <v>46104</v>
      </c>
      <c r="C68" s="34">
        <f t="shared" si="7"/>
        <v>46113</v>
      </c>
      <c r="D68" s="33">
        <v>3281</v>
      </c>
      <c r="E68" s="33">
        <v>337</v>
      </c>
      <c r="F68" s="33">
        <v>4</v>
      </c>
      <c r="G68" s="55">
        <v>5</v>
      </c>
      <c r="H68" s="57">
        <v>81146</v>
      </c>
      <c r="I68" s="33" t="s">
        <v>17</v>
      </c>
      <c r="J68" s="70">
        <v>51361963</v>
      </c>
      <c r="K68" s="55" t="s">
        <v>2096</v>
      </c>
      <c r="L68" s="70" t="s">
        <v>2100</v>
      </c>
      <c r="M68" s="69">
        <v>339900</v>
      </c>
      <c r="N68" s="22">
        <f t="shared" ref="N68:N102" si="10">N67</f>
        <v>0.7</v>
      </c>
      <c r="O68" s="74">
        <f t="shared" si="8"/>
        <v>101970</v>
      </c>
      <c r="P68" s="22" t="str">
        <f t="shared" ref="P68:P102" si="11">P67</f>
        <v>PERCENTAGE</v>
      </c>
    </row>
    <row r="69" spans="1:16" s="32" customFormat="1" x14ac:dyDescent="0.35">
      <c r="A69" s="14" t="str">
        <f t="shared" si="9"/>
        <v>2025 JAN-APR DISC 70%</v>
      </c>
      <c r="B69" s="34">
        <f t="shared" si="7"/>
        <v>46104</v>
      </c>
      <c r="C69" s="34">
        <f t="shared" si="7"/>
        <v>46113</v>
      </c>
      <c r="D69" s="33">
        <v>3281</v>
      </c>
      <c r="E69" s="33">
        <v>337</v>
      </c>
      <c r="F69" s="33">
        <v>4</v>
      </c>
      <c r="G69" s="55">
        <v>5</v>
      </c>
      <c r="H69" s="57">
        <v>81146</v>
      </c>
      <c r="I69" s="33" t="s">
        <v>17</v>
      </c>
      <c r="J69" s="70">
        <v>51361972</v>
      </c>
      <c r="K69" s="55" t="s">
        <v>2096</v>
      </c>
      <c r="L69" s="70" t="s">
        <v>2097</v>
      </c>
      <c r="M69" s="69">
        <v>339900</v>
      </c>
      <c r="N69" s="22">
        <f t="shared" si="10"/>
        <v>0.7</v>
      </c>
      <c r="O69" s="74">
        <f t="shared" si="8"/>
        <v>101970</v>
      </c>
      <c r="P69" s="22" t="str">
        <f t="shared" si="11"/>
        <v>PERCENTAGE</v>
      </c>
    </row>
    <row r="70" spans="1:16" s="32" customFormat="1" x14ac:dyDescent="0.35">
      <c r="A70" s="14" t="str">
        <f t="shared" si="9"/>
        <v>2025 JAN-APR DISC 70%</v>
      </c>
      <c r="B70" s="34">
        <f t="shared" si="7"/>
        <v>46104</v>
      </c>
      <c r="C70" s="34">
        <f t="shared" si="7"/>
        <v>46113</v>
      </c>
      <c r="D70" s="33">
        <v>3281</v>
      </c>
      <c r="E70" s="33">
        <v>337</v>
      </c>
      <c r="F70" s="33">
        <v>4</v>
      </c>
      <c r="G70" s="55">
        <v>3</v>
      </c>
      <c r="H70" s="55">
        <v>81506</v>
      </c>
      <c r="I70" s="33" t="s">
        <v>17</v>
      </c>
      <c r="J70" s="70">
        <v>51866883</v>
      </c>
      <c r="K70" s="55" t="s">
        <v>2086</v>
      </c>
      <c r="L70" s="70" t="s">
        <v>2090</v>
      </c>
      <c r="M70" s="69">
        <v>229900</v>
      </c>
      <c r="N70" s="22">
        <f t="shared" si="10"/>
        <v>0.7</v>
      </c>
      <c r="O70" s="74">
        <f t="shared" si="8"/>
        <v>68970</v>
      </c>
      <c r="P70" s="22" t="str">
        <f t="shared" si="11"/>
        <v>PERCENTAGE</v>
      </c>
    </row>
    <row r="71" spans="1:16" s="32" customFormat="1" x14ac:dyDescent="0.35">
      <c r="A71" s="14" t="str">
        <f t="shared" si="9"/>
        <v>2025 JAN-APR DISC 70%</v>
      </c>
      <c r="B71" s="34">
        <f t="shared" si="7"/>
        <v>46104</v>
      </c>
      <c r="C71" s="34">
        <f t="shared" si="7"/>
        <v>46113</v>
      </c>
      <c r="D71" s="33">
        <v>3281</v>
      </c>
      <c r="E71" s="33">
        <v>337</v>
      </c>
      <c r="F71" s="33">
        <v>4</v>
      </c>
      <c r="G71" s="55">
        <v>3</v>
      </c>
      <c r="H71" s="57">
        <v>81506</v>
      </c>
      <c r="I71" s="33" t="s">
        <v>17</v>
      </c>
      <c r="J71" s="70">
        <v>51866892</v>
      </c>
      <c r="K71" s="55" t="s">
        <v>2086</v>
      </c>
      <c r="L71" s="70" t="s">
        <v>2088</v>
      </c>
      <c r="M71" s="69">
        <v>229900</v>
      </c>
      <c r="N71" s="22">
        <f t="shared" si="10"/>
        <v>0.7</v>
      </c>
      <c r="O71" s="74">
        <f t="shared" si="8"/>
        <v>68970</v>
      </c>
      <c r="P71" s="22" t="str">
        <f t="shared" si="11"/>
        <v>PERCENTAGE</v>
      </c>
    </row>
    <row r="72" spans="1:16" s="32" customFormat="1" x14ac:dyDescent="0.35">
      <c r="A72" s="14" t="str">
        <f t="shared" si="9"/>
        <v>2025 JAN-APR DISC 70%</v>
      </c>
      <c r="B72" s="34">
        <f t="shared" si="7"/>
        <v>46104</v>
      </c>
      <c r="C72" s="34">
        <f t="shared" si="7"/>
        <v>46113</v>
      </c>
      <c r="D72" s="33">
        <v>3281</v>
      </c>
      <c r="E72" s="33">
        <v>337</v>
      </c>
      <c r="F72" s="33">
        <v>4</v>
      </c>
      <c r="G72" s="55">
        <v>3</v>
      </c>
      <c r="H72" s="57">
        <v>81506</v>
      </c>
      <c r="I72" s="33" t="s">
        <v>17</v>
      </c>
      <c r="J72" s="70">
        <v>51866909</v>
      </c>
      <c r="K72" s="55" t="s">
        <v>2086</v>
      </c>
      <c r="L72" s="70" t="s">
        <v>2089</v>
      </c>
      <c r="M72" s="69">
        <v>229900</v>
      </c>
      <c r="N72" s="22">
        <f t="shared" si="10"/>
        <v>0.7</v>
      </c>
      <c r="O72" s="74">
        <f t="shared" si="8"/>
        <v>68970</v>
      </c>
      <c r="P72" s="22" t="str">
        <f t="shared" si="11"/>
        <v>PERCENTAGE</v>
      </c>
    </row>
    <row r="73" spans="1:16" s="32" customFormat="1" x14ac:dyDescent="0.35">
      <c r="A73" s="14" t="str">
        <f t="shared" si="9"/>
        <v>2025 JAN-APR DISC 70%</v>
      </c>
      <c r="B73" s="34">
        <f t="shared" si="7"/>
        <v>46104</v>
      </c>
      <c r="C73" s="34">
        <f t="shared" si="7"/>
        <v>46113</v>
      </c>
      <c r="D73" s="33">
        <v>3281</v>
      </c>
      <c r="E73" s="33">
        <v>337</v>
      </c>
      <c r="F73" s="33">
        <v>4</v>
      </c>
      <c r="G73" s="55">
        <v>3</v>
      </c>
      <c r="H73" s="57">
        <v>81506</v>
      </c>
      <c r="I73" s="33" t="s">
        <v>17</v>
      </c>
      <c r="J73" s="70">
        <v>51866918</v>
      </c>
      <c r="K73" s="55" t="s">
        <v>2086</v>
      </c>
      <c r="L73" s="70" t="s">
        <v>2087</v>
      </c>
      <c r="M73" s="69">
        <v>229900</v>
      </c>
      <c r="N73" s="22">
        <f t="shared" si="10"/>
        <v>0.7</v>
      </c>
      <c r="O73" s="74">
        <f t="shared" si="8"/>
        <v>68970</v>
      </c>
      <c r="P73" s="22" t="str">
        <f t="shared" si="11"/>
        <v>PERCENTAGE</v>
      </c>
    </row>
    <row r="74" spans="1:16" s="32" customFormat="1" x14ac:dyDescent="0.35">
      <c r="A74" s="14" t="str">
        <f t="shared" si="9"/>
        <v>2025 JAN-APR DISC 70%</v>
      </c>
      <c r="B74" s="34">
        <f t="shared" si="7"/>
        <v>46104</v>
      </c>
      <c r="C74" s="34">
        <f t="shared" si="7"/>
        <v>46113</v>
      </c>
      <c r="D74" s="33">
        <v>3281</v>
      </c>
      <c r="E74" s="33">
        <v>337</v>
      </c>
      <c r="F74" s="33">
        <v>4</v>
      </c>
      <c r="G74" s="55">
        <v>3</v>
      </c>
      <c r="H74" s="55">
        <v>81462</v>
      </c>
      <c r="I74" s="33" t="s">
        <v>17</v>
      </c>
      <c r="J74" s="70">
        <v>51866927</v>
      </c>
      <c r="K74" s="55" t="s">
        <v>2101</v>
      </c>
      <c r="L74" s="70" t="s">
        <v>2103</v>
      </c>
      <c r="M74" s="69">
        <v>249900</v>
      </c>
      <c r="N74" s="22">
        <f t="shared" si="10"/>
        <v>0.7</v>
      </c>
      <c r="O74" s="74">
        <f t="shared" si="8"/>
        <v>74970</v>
      </c>
      <c r="P74" s="22" t="str">
        <f t="shared" si="11"/>
        <v>PERCENTAGE</v>
      </c>
    </row>
    <row r="75" spans="1:16" s="32" customFormat="1" x14ac:dyDescent="0.35">
      <c r="A75" s="14" t="str">
        <f t="shared" si="9"/>
        <v>2025 JAN-APR DISC 70%</v>
      </c>
      <c r="B75" s="34">
        <f t="shared" si="7"/>
        <v>46104</v>
      </c>
      <c r="C75" s="34">
        <f t="shared" si="7"/>
        <v>46113</v>
      </c>
      <c r="D75" s="33">
        <v>3281</v>
      </c>
      <c r="E75" s="33">
        <v>337</v>
      </c>
      <c r="F75" s="33">
        <v>4</v>
      </c>
      <c r="G75" s="55">
        <v>3</v>
      </c>
      <c r="H75" s="57">
        <v>81462</v>
      </c>
      <c r="I75" s="33" t="s">
        <v>17</v>
      </c>
      <c r="J75" s="70">
        <v>51866936</v>
      </c>
      <c r="K75" s="55" t="s">
        <v>2101</v>
      </c>
      <c r="L75" s="70" t="s">
        <v>2102</v>
      </c>
      <c r="M75" s="69">
        <v>249900</v>
      </c>
      <c r="N75" s="22">
        <f t="shared" si="10"/>
        <v>0.7</v>
      </c>
      <c r="O75" s="74">
        <f t="shared" si="8"/>
        <v>74970</v>
      </c>
      <c r="P75" s="22" t="str">
        <f t="shared" si="11"/>
        <v>PERCENTAGE</v>
      </c>
    </row>
    <row r="76" spans="1:16" s="32" customFormat="1" x14ac:dyDescent="0.35">
      <c r="A76" s="14" t="str">
        <f t="shared" si="9"/>
        <v>2025 JAN-APR DISC 70%</v>
      </c>
      <c r="B76" s="34">
        <f t="shared" si="7"/>
        <v>46104</v>
      </c>
      <c r="C76" s="34">
        <f t="shared" si="7"/>
        <v>46113</v>
      </c>
      <c r="D76" s="33">
        <v>3281</v>
      </c>
      <c r="E76" s="33">
        <v>337</v>
      </c>
      <c r="F76" s="33">
        <v>4</v>
      </c>
      <c r="G76" s="55">
        <v>3</v>
      </c>
      <c r="H76" s="57">
        <v>81462</v>
      </c>
      <c r="I76" s="33" t="s">
        <v>17</v>
      </c>
      <c r="J76" s="70">
        <v>51866945</v>
      </c>
      <c r="K76" s="55" t="s">
        <v>2101</v>
      </c>
      <c r="L76" s="70" t="s">
        <v>2104</v>
      </c>
      <c r="M76" s="69">
        <v>249900</v>
      </c>
      <c r="N76" s="22">
        <f t="shared" si="10"/>
        <v>0.7</v>
      </c>
      <c r="O76" s="74">
        <f t="shared" si="8"/>
        <v>74970</v>
      </c>
      <c r="P76" s="22" t="str">
        <f t="shared" si="11"/>
        <v>PERCENTAGE</v>
      </c>
    </row>
    <row r="77" spans="1:16" s="32" customFormat="1" x14ac:dyDescent="0.35">
      <c r="A77" s="14" t="str">
        <f t="shared" si="9"/>
        <v>2025 JAN-APR DISC 70%</v>
      </c>
      <c r="B77" s="34">
        <f t="shared" si="7"/>
        <v>46104</v>
      </c>
      <c r="C77" s="34">
        <f t="shared" si="7"/>
        <v>46113</v>
      </c>
      <c r="D77" s="33">
        <v>3281</v>
      </c>
      <c r="E77" s="33">
        <v>337</v>
      </c>
      <c r="F77" s="33">
        <v>4</v>
      </c>
      <c r="G77" s="55">
        <v>3</v>
      </c>
      <c r="H77" s="57">
        <v>81462</v>
      </c>
      <c r="I77" s="33" t="s">
        <v>17</v>
      </c>
      <c r="J77" s="70">
        <v>51866954</v>
      </c>
      <c r="K77" s="55" t="s">
        <v>2101</v>
      </c>
      <c r="L77" s="70" t="s">
        <v>2105</v>
      </c>
      <c r="M77" s="69">
        <v>249900</v>
      </c>
      <c r="N77" s="22">
        <f t="shared" si="10"/>
        <v>0.7</v>
      </c>
      <c r="O77" s="74">
        <f t="shared" si="8"/>
        <v>74970</v>
      </c>
      <c r="P77" s="22" t="str">
        <f t="shared" si="11"/>
        <v>PERCENTAGE</v>
      </c>
    </row>
    <row r="78" spans="1:16" s="32" customFormat="1" x14ac:dyDescent="0.35">
      <c r="A78" s="14" t="str">
        <f t="shared" si="9"/>
        <v>2025 JAN-APR DISC 70%</v>
      </c>
      <c r="B78" s="34">
        <f t="shared" si="7"/>
        <v>46104</v>
      </c>
      <c r="C78" s="34">
        <f t="shared" si="7"/>
        <v>46113</v>
      </c>
      <c r="D78" s="33">
        <v>3281</v>
      </c>
      <c r="E78" s="33">
        <v>337</v>
      </c>
      <c r="F78" s="33">
        <v>4</v>
      </c>
      <c r="G78" s="55">
        <v>5</v>
      </c>
      <c r="H78" s="55">
        <v>81146</v>
      </c>
      <c r="I78" s="33" t="s">
        <v>17</v>
      </c>
      <c r="J78" s="70">
        <v>51867122</v>
      </c>
      <c r="K78" s="55" t="s">
        <v>2106</v>
      </c>
      <c r="L78" s="70" t="s">
        <v>2108</v>
      </c>
      <c r="M78" s="69">
        <v>279900</v>
      </c>
      <c r="N78" s="22">
        <f t="shared" si="10"/>
        <v>0.7</v>
      </c>
      <c r="O78" s="74">
        <f t="shared" si="8"/>
        <v>83970</v>
      </c>
      <c r="P78" s="22" t="str">
        <f t="shared" si="11"/>
        <v>PERCENTAGE</v>
      </c>
    </row>
    <row r="79" spans="1:16" s="32" customFormat="1" x14ac:dyDescent="0.35">
      <c r="A79" s="14" t="str">
        <f t="shared" si="9"/>
        <v>2025 JAN-APR DISC 70%</v>
      </c>
      <c r="B79" s="34">
        <f t="shared" si="7"/>
        <v>46104</v>
      </c>
      <c r="C79" s="34">
        <f t="shared" si="7"/>
        <v>46113</v>
      </c>
      <c r="D79" s="33">
        <v>3281</v>
      </c>
      <c r="E79" s="33">
        <v>337</v>
      </c>
      <c r="F79" s="33">
        <v>4</v>
      </c>
      <c r="G79" s="55">
        <v>5</v>
      </c>
      <c r="H79" s="57">
        <v>81146</v>
      </c>
      <c r="I79" s="33" t="s">
        <v>17</v>
      </c>
      <c r="J79" s="70">
        <v>51867131</v>
      </c>
      <c r="K79" s="55" t="s">
        <v>2106</v>
      </c>
      <c r="L79" s="70" t="s">
        <v>2109</v>
      </c>
      <c r="M79" s="69">
        <v>279900</v>
      </c>
      <c r="N79" s="22">
        <f t="shared" si="10"/>
        <v>0.7</v>
      </c>
      <c r="O79" s="74">
        <f t="shared" si="8"/>
        <v>83970</v>
      </c>
      <c r="P79" s="22" t="str">
        <f t="shared" si="11"/>
        <v>PERCENTAGE</v>
      </c>
    </row>
    <row r="80" spans="1:16" s="32" customFormat="1" x14ac:dyDescent="0.35">
      <c r="A80" s="14" t="str">
        <f t="shared" si="9"/>
        <v>2025 JAN-APR DISC 70%</v>
      </c>
      <c r="B80" s="34">
        <f t="shared" si="7"/>
        <v>46104</v>
      </c>
      <c r="C80" s="34">
        <f t="shared" si="7"/>
        <v>46113</v>
      </c>
      <c r="D80" s="33">
        <v>3281</v>
      </c>
      <c r="E80" s="33">
        <v>337</v>
      </c>
      <c r="F80" s="33">
        <v>4</v>
      </c>
      <c r="G80" s="55">
        <v>5</v>
      </c>
      <c r="H80" s="57">
        <v>81146</v>
      </c>
      <c r="I80" s="33" t="s">
        <v>17</v>
      </c>
      <c r="J80" s="70">
        <v>51867140</v>
      </c>
      <c r="K80" s="55" t="s">
        <v>2106</v>
      </c>
      <c r="L80" s="70" t="s">
        <v>2110</v>
      </c>
      <c r="M80" s="69">
        <v>279900</v>
      </c>
      <c r="N80" s="22">
        <f t="shared" si="10"/>
        <v>0.7</v>
      </c>
      <c r="O80" s="74">
        <f t="shared" si="8"/>
        <v>83970</v>
      </c>
      <c r="P80" s="22" t="str">
        <f t="shared" si="11"/>
        <v>PERCENTAGE</v>
      </c>
    </row>
    <row r="81" spans="1:16" s="32" customFormat="1" x14ac:dyDescent="0.35">
      <c r="A81" s="14" t="str">
        <f t="shared" si="9"/>
        <v>2025 JAN-APR DISC 70%</v>
      </c>
      <c r="B81" s="34">
        <f t="shared" si="7"/>
        <v>46104</v>
      </c>
      <c r="C81" s="34">
        <f t="shared" si="7"/>
        <v>46113</v>
      </c>
      <c r="D81" s="33">
        <v>3281</v>
      </c>
      <c r="E81" s="33">
        <v>337</v>
      </c>
      <c r="F81" s="33">
        <v>4</v>
      </c>
      <c r="G81" s="55">
        <v>5</v>
      </c>
      <c r="H81" s="57">
        <v>81146</v>
      </c>
      <c r="I81" s="33" t="s">
        <v>17</v>
      </c>
      <c r="J81" s="70">
        <v>51867159</v>
      </c>
      <c r="K81" s="55" t="s">
        <v>2106</v>
      </c>
      <c r="L81" s="70" t="s">
        <v>2107</v>
      </c>
      <c r="M81" s="69">
        <v>279900</v>
      </c>
      <c r="N81" s="22">
        <f t="shared" si="10"/>
        <v>0.7</v>
      </c>
      <c r="O81" s="74">
        <f t="shared" si="8"/>
        <v>83970</v>
      </c>
      <c r="P81" s="22" t="str">
        <f t="shared" si="11"/>
        <v>PERCENTAGE</v>
      </c>
    </row>
    <row r="82" spans="1:16" ht="13.75" customHeight="1" x14ac:dyDescent="0.35">
      <c r="A82" s="14" t="str">
        <f t="shared" si="9"/>
        <v>2025 JAN-APR DISC 70%</v>
      </c>
      <c r="B82" s="34">
        <f t="shared" ref="B82:B145" si="12">B81</f>
        <v>46104</v>
      </c>
      <c r="C82" s="34">
        <f t="shared" ref="C82:C145" si="13">C81</f>
        <v>46113</v>
      </c>
      <c r="D82" s="6">
        <v>3281</v>
      </c>
      <c r="E82" s="6">
        <v>337</v>
      </c>
      <c r="F82" s="6">
        <v>4</v>
      </c>
      <c r="G82" s="55">
        <v>1</v>
      </c>
      <c r="H82" s="55">
        <v>81462</v>
      </c>
      <c r="I82" s="6" t="s">
        <v>17</v>
      </c>
      <c r="J82" s="70">
        <v>51867042</v>
      </c>
      <c r="K82" s="55" t="s">
        <v>2491</v>
      </c>
      <c r="L82" s="70" t="s">
        <v>2494</v>
      </c>
      <c r="M82" s="69">
        <v>149900</v>
      </c>
      <c r="N82" s="22">
        <f t="shared" si="10"/>
        <v>0.7</v>
      </c>
      <c r="O82" s="74">
        <f t="shared" si="8"/>
        <v>44970</v>
      </c>
      <c r="P82" s="22" t="str">
        <f t="shared" si="11"/>
        <v>PERCENTAGE</v>
      </c>
    </row>
    <row r="83" spans="1:16" ht="13.75" customHeight="1" x14ac:dyDescent="0.35">
      <c r="A83" s="14" t="str">
        <f t="shared" si="9"/>
        <v>2025 JAN-APR DISC 70%</v>
      </c>
      <c r="B83" s="34">
        <f t="shared" si="12"/>
        <v>46104</v>
      </c>
      <c r="C83" s="34">
        <f t="shared" si="13"/>
        <v>46113</v>
      </c>
      <c r="D83" s="6">
        <v>3281</v>
      </c>
      <c r="E83" s="6">
        <v>337</v>
      </c>
      <c r="F83" s="6">
        <v>4</v>
      </c>
      <c r="G83" s="55">
        <v>1</v>
      </c>
      <c r="H83" s="57">
        <v>81462</v>
      </c>
      <c r="I83" s="6" t="s">
        <v>17</v>
      </c>
      <c r="J83" s="70">
        <v>51867051</v>
      </c>
      <c r="K83" s="55" t="s">
        <v>2491</v>
      </c>
      <c r="L83" s="70" t="s">
        <v>2492</v>
      </c>
      <c r="M83" s="69">
        <v>149900</v>
      </c>
      <c r="N83" s="22">
        <f t="shared" si="10"/>
        <v>0.7</v>
      </c>
      <c r="O83" s="74">
        <f t="shared" si="8"/>
        <v>44970</v>
      </c>
      <c r="P83" s="22" t="str">
        <f t="shared" si="11"/>
        <v>PERCENTAGE</v>
      </c>
    </row>
    <row r="84" spans="1:16" x14ac:dyDescent="0.35">
      <c r="A84" s="14" t="str">
        <f t="shared" si="9"/>
        <v>2025 JAN-APR DISC 70%</v>
      </c>
      <c r="B84" s="34">
        <f t="shared" si="12"/>
        <v>46104</v>
      </c>
      <c r="C84" s="34">
        <f t="shared" si="13"/>
        <v>46113</v>
      </c>
      <c r="D84" s="6">
        <v>3281</v>
      </c>
      <c r="E84" s="6">
        <v>337</v>
      </c>
      <c r="F84" s="6">
        <v>4</v>
      </c>
      <c r="G84" s="55">
        <v>1</v>
      </c>
      <c r="H84" s="57">
        <v>81462</v>
      </c>
      <c r="I84" s="6" t="s">
        <v>17</v>
      </c>
      <c r="J84" s="70">
        <v>51867060</v>
      </c>
      <c r="K84" s="55" t="s">
        <v>2491</v>
      </c>
      <c r="L84" s="70" t="s">
        <v>2495</v>
      </c>
      <c r="M84" s="69">
        <v>149900</v>
      </c>
      <c r="N84" s="22">
        <f t="shared" si="10"/>
        <v>0.7</v>
      </c>
      <c r="O84" s="74">
        <f t="shared" si="8"/>
        <v>44970</v>
      </c>
      <c r="P84" s="22" t="str">
        <f t="shared" si="11"/>
        <v>PERCENTAGE</v>
      </c>
    </row>
    <row r="85" spans="1:16" x14ac:dyDescent="0.35">
      <c r="A85" s="14" t="str">
        <f t="shared" si="9"/>
        <v>2025 JAN-APR DISC 70%</v>
      </c>
      <c r="B85" s="34">
        <f t="shared" si="12"/>
        <v>46104</v>
      </c>
      <c r="C85" s="34">
        <f t="shared" si="13"/>
        <v>46113</v>
      </c>
      <c r="D85" s="6">
        <v>3281</v>
      </c>
      <c r="E85" s="6">
        <v>337</v>
      </c>
      <c r="F85" s="6">
        <v>4</v>
      </c>
      <c r="G85" s="55">
        <v>1</v>
      </c>
      <c r="H85" s="57">
        <v>81462</v>
      </c>
      <c r="I85" s="6" t="s">
        <v>17</v>
      </c>
      <c r="J85" s="70">
        <v>51867079</v>
      </c>
      <c r="K85" s="55" t="s">
        <v>2491</v>
      </c>
      <c r="L85" s="70" t="s">
        <v>2493</v>
      </c>
      <c r="M85" s="69">
        <v>149900</v>
      </c>
      <c r="N85" s="22">
        <f t="shared" si="10"/>
        <v>0.7</v>
      </c>
      <c r="O85" s="74">
        <f t="shared" si="8"/>
        <v>44970</v>
      </c>
      <c r="P85" s="22" t="str">
        <f t="shared" si="11"/>
        <v>PERCENTAGE</v>
      </c>
    </row>
    <row r="86" spans="1:16" x14ac:dyDescent="0.35">
      <c r="A86" s="14" t="str">
        <f t="shared" si="9"/>
        <v>2025 JAN-APR DISC 70%</v>
      </c>
      <c r="B86" s="34">
        <f t="shared" si="12"/>
        <v>46104</v>
      </c>
      <c r="C86" s="34">
        <f t="shared" si="13"/>
        <v>46113</v>
      </c>
      <c r="D86" s="6">
        <v>3281</v>
      </c>
      <c r="E86" s="6">
        <v>337</v>
      </c>
      <c r="F86" s="6">
        <v>4</v>
      </c>
      <c r="G86" s="55">
        <v>3</v>
      </c>
      <c r="H86" s="55">
        <v>81588</v>
      </c>
      <c r="I86" s="6" t="s">
        <v>17</v>
      </c>
      <c r="J86" s="70">
        <v>52525810</v>
      </c>
      <c r="K86" s="55" t="s">
        <v>2506</v>
      </c>
      <c r="L86" s="70" t="s">
        <v>2508</v>
      </c>
      <c r="M86" s="69">
        <v>299900</v>
      </c>
      <c r="N86" s="22">
        <f t="shared" si="10"/>
        <v>0.7</v>
      </c>
      <c r="O86" s="74">
        <f t="shared" si="8"/>
        <v>89970</v>
      </c>
      <c r="P86" s="22" t="str">
        <f t="shared" si="11"/>
        <v>PERCENTAGE</v>
      </c>
    </row>
    <row r="87" spans="1:16" x14ac:dyDescent="0.35">
      <c r="A87" s="14" t="str">
        <f t="shared" si="9"/>
        <v>2025 JAN-APR DISC 70%</v>
      </c>
      <c r="B87" s="34">
        <f t="shared" si="12"/>
        <v>46104</v>
      </c>
      <c r="C87" s="34">
        <f t="shared" si="13"/>
        <v>46113</v>
      </c>
      <c r="D87" s="6">
        <v>3281</v>
      </c>
      <c r="E87" s="6">
        <v>337</v>
      </c>
      <c r="F87" s="6">
        <v>4</v>
      </c>
      <c r="G87" s="55">
        <v>3</v>
      </c>
      <c r="H87" s="57">
        <v>81588</v>
      </c>
      <c r="I87" s="6" t="s">
        <v>17</v>
      </c>
      <c r="J87" s="70">
        <v>52525829</v>
      </c>
      <c r="K87" s="55" t="s">
        <v>2506</v>
      </c>
      <c r="L87" s="70" t="s">
        <v>2507</v>
      </c>
      <c r="M87" s="69">
        <v>299900</v>
      </c>
      <c r="N87" s="22">
        <f t="shared" si="10"/>
        <v>0.7</v>
      </c>
      <c r="O87" s="74">
        <f t="shared" si="8"/>
        <v>89970</v>
      </c>
      <c r="P87" s="22" t="str">
        <f t="shared" si="11"/>
        <v>PERCENTAGE</v>
      </c>
    </row>
    <row r="88" spans="1:16" x14ac:dyDescent="0.35">
      <c r="A88" s="14" t="str">
        <f t="shared" si="9"/>
        <v>2025 JAN-APR DISC 70%</v>
      </c>
      <c r="B88" s="34">
        <f t="shared" si="12"/>
        <v>46104</v>
      </c>
      <c r="C88" s="34">
        <f t="shared" si="13"/>
        <v>46113</v>
      </c>
      <c r="D88" s="6">
        <v>3281</v>
      </c>
      <c r="E88" s="6">
        <v>337</v>
      </c>
      <c r="F88" s="6">
        <v>4</v>
      </c>
      <c r="G88" s="55">
        <v>3</v>
      </c>
      <c r="H88" s="57">
        <v>81588</v>
      </c>
      <c r="I88" s="6" t="s">
        <v>17</v>
      </c>
      <c r="J88" s="70">
        <v>52525838</v>
      </c>
      <c r="K88" s="55" t="s">
        <v>2506</v>
      </c>
      <c r="L88" s="70" t="s">
        <v>2509</v>
      </c>
      <c r="M88" s="69">
        <v>299900</v>
      </c>
      <c r="N88" s="22">
        <f t="shared" si="10"/>
        <v>0.7</v>
      </c>
      <c r="O88" s="74">
        <f t="shared" si="8"/>
        <v>89970</v>
      </c>
      <c r="P88" s="22" t="str">
        <f t="shared" si="11"/>
        <v>PERCENTAGE</v>
      </c>
    </row>
    <row r="89" spans="1:16" x14ac:dyDescent="0.35">
      <c r="A89" s="14" t="str">
        <f t="shared" si="9"/>
        <v>2025 JAN-APR DISC 70%</v>
      </c>
      <c r="B89" s="34">
        <f t="shared" si="12"/>
        <v>46104</v>
      </c>
      <c r="C89" s="34">
        <f t="shared" si="13"/>
        <v>46113</v>
      </c>
      <c r="D89" s="6">
        <v>3281</v>
      </c>
      <c r="E89" s="6">
        <v>337</v>
      </c>
      <c r="F89" s="6">
        <v>4</v>
      </c>
      <c r="G89" s="55">
        <v>3</v>
      </c>
      <c r="H89" s="57">
        <v>81588</v>
      </c>
      <c r="I89" s="6" t="s">
        <v>17</v>
      </c>
      <c r="J89" s="70">
        <v>52525847</v>
      </c>
      <c r="K89" s="55" t="s">
        <v>2506</v>
      </c>
      <c r="L89" s="70" t="s">
        <v>2510</v>
      </c>
      <c r="M89" s="69">
        <v>299900</v>
      </c>
      <c r="N89" s="22">
        <f t="shared" si="10"/>
        <v>0.7</v>
      </c>
      <c r="O89" s="74">
        <f t="shared" si="8"/>
        <v>89970</v>
      </c>
      <c r="P89" s="22" t="str">
        <f t="shared" si="11"/>
        <v>PERCENTAGE</v>
      </c>
    </row>
    <row r="90" spans="1:16" x14ac:dyDescent="0.35">
      <c r="A90" s="14" t="str">
        <f t="shared" si="9"/>
        <v>2025 JAN-APR DISC 70%</v>
      </c>
      <c r="B90" s="34">
        <f t="shared" si="12"/>
        <v>46104</v>
      </c>
      <c r="C90" s="34">
        <f t="shared" si="13"/>
        <v>46113</v>
      </c>
      <c r="D90" s="6">
        <v>3281</v>
      </c>
      <c r="E90" s="6">
        <v>337</v>
      </c>
      <c r="F90" s="6">
        <v>4</v>
      </c>
      <c r="G90" s="55">
        <v>3</v>
      </c>
      <c r="H90" s="55">
        <v>81506</v>
      </c>
      <c r="I90" s="6" t="s">
        <v>17</v>
      </c>
      <c r="J90" s="70">
        <v>52525856</v>
      </c>
      <c r="K90" s="55" t="s">
        <v>2501</v>
      </c>
      <c r="L90" s="70" t="s">
        <v>2503</v>
      </c>
      <c r="M90" s="69">
        <v>229900</v>
      </c>
      <c r="N90" s="22">
        <f t="shared" si="10"/>
        <v>0.7</v>
      </c>
      <c r="O90" s="74">
        <f t="shared" si="8"/>
        <v>68970</v>
      </c>
      <c r="P90" s="22" t="str">
        <f t="shared" si="11"/>
        <v>PERCENTAGE</v>
      </c>
    </row>
    <row r="91" spans="1:16" x14ac:dyDescent="0.35">
      <c r="A91" s="14" t="str">
        <f t="shared" si="9"/>
        <v>2025 JAN-APR DISC 70%</v>
      </c>
      <c r="B91" s="34">
        <f t="shared" si="12"/>
        <v>46104</v>
      </c>
      <c r="C91" s="34">
        <f t="shared" si="13"/>
        <v>46113</v>
      </c>
      <c r="D91" s="6">
        <v>3281</v>
      </c>
      <c r="E91" s="6">
        <v>337</v>
      </c>
      <c r="F91" s="6">
        <v>4</v>
      </c>
      <c r="G91" s="55">
        <v>3</v>
      </c>
      <c r="H91" s="57">
        <v>81506</v>
      </c>
      <c r="I91" s="6" t="s">
        <v>17</v>
      </c>
      <c r="J91" s="70">
        <v>52525865</v>
      </c>
      <c r="K91" s="55" t="s">
        <v>2501</v>
      </c>
      <c r="L91" s="70" t="s">
        <v>2505</v>
      </c>
      <c r="M91" s="69">
        <v>229900</v>
      </c>
      <c r="N91" s="22">
        <f t="shared" si="10"/>
        <v>0.7</v>
      </c>
      <c r="O91" s="74">
        <f t="shared" si="8"/>
        <v>68970</v>
      </c>
      <c r="P91" s="22" t="str">
        <f t="shared" si="11"/>
        <v>PERCENTAGE</v>
      </c>
    </row>
    <row r="92" spans="1:16" x14ac:dyDescent="0.35">
      <c r="A92" s="14" t="str">
        <f t="shared" si="9"/>
        <v>2025 JAN-APR DISC 70%</v>
      </c>
      <c r="B92" s="34">
        <f t="shared" si="12"/>
        <v>46104</v>
      </c>
      <c r="C92" s="34">
        <f t="shared" si="13"/>
        <v>46113</v>
      </c>
      <c r="D92" s="6">
        <v>3281</v>
      </c>
      <c r="E92" s="6">
        <v>337</v>
      </c>
      <c r="F92" s="6">
        <v>4</v>
      </c>
      <c r="G92" s="55">
        <v>3</v>
      </c>
      <c r="H92" s="57">
        <v>81506</v>
      </c>
      <c r="I92" s="6" t="s">
        <v>17</v>
      </c>
      <c r="J92" s="70">
        <v>52525874</v>
      </c>
      <c r="K92" s="55" t="s">
        <v>2501</v>
      </c>
      <c r="L92" s="70" t="s">
        <v>2502</v>
      </c>
      <c r="M92" s="69">
        <v>229900</v>
      </c>
      <c r="N92" s="22">
        <f t="shared" si="10"/>
        <v>0.7</v>
      </c>
      <c r="O92" s="74">
        <f t="shared" si="8"/>
        <v>68970</v>
      </c>
      <c r="P92" s="22" t="str">
        <f t="shared" si="11"/>
        <v>PERCENTAGE</v>
      </c>
    </row>
    <row r="93" spans="1:16" x14ac:dyDescent="0.35">
      <c r="A93" s="14" t="str">
        <f t="shared" si="9"/>
        <v>2025 JAN-APR DISC 70%</v>
      </c>
      <c r="B93" s="34">
        <f t="shared" si="12"/>
        <v>46104</v>
      </c>
      <c r="C93" s="34">
        <f t="shared" si="13"/>
        <v>46113</v>
      </c>
      <c r="D93" s="6">
        <v>3281</v>
      </c>
      <c r="E93" s="6">
        <v>337</v>
      </c>
      <c r="F93" s="6">
        <v>4</v>
      </c>
      <c r="G93" s="55">
        <v>3</v>
      </c>
      <c r="H93" s="57">
        <v>81506</v>
      </c>
      <c r="I93" s="6" t="s">
        <v>17</v>
      </c>
      <c r="J93" s="70">
        <v>52525883</v>
      </c>
      <c r="K93" s="55" t="s">
        <v>2501</v>
      </c>
      <c r="L93" s="70" t="s">
        <v>2504</v>
      </c>
      <c r="M93" s="69">
        <v>229900</v>
      </c>
      <c r="N93" s="22">
        <f t="shared" si="10"/>
        <v>0.7</v>
      </c>
      <c r="O93" s="74">
        <f t="shared" si="8"/>
        <v>68970</v>
      </c>
      <c r="P93" s="22" t="str">
        <f t="shared" si="11"/>
        <v>PERCENTAGE</v>
      </c>
    </row>
    <row r="94" spans="1:16" x14ac:dyDescent="0.35">
      <c r="A94" s="14" t="str">
        <f t="shared" si="9"/>
        <v>2025 JAN-APR DISC 70%</v>
      </c>
      <c r="B94" s="34">
        <f t="shared" si="12"/>
        <v>46104</v>
      </c>
      <c r="C94" s="34">
        <f t="shared" si="13"/>
        <v>46113</v>
      </c>
      <c r="D94" s="6">
        <v>3281</v>
      </c>
      <c r="E94" s="6">
        <v>337</v>
      </c>
      <c r="F94" s="6">
        <v>4</v>
      </c>
      <c r="G94" s="55">
        <v>5</v>
      </c>
      <c r="H94" s="55">
        <v>81506</v>
      </c>
      <c r="I94" s="6" t="s">
        <v>17</v>
      </c>
      <c r="J94" s="70">
        <v>52525892</v>
      </c>
      <c r="K94" s="55" t="s">
        <v>2511</v>
      </c>
      <c r="L94" s="70" t="s">
        <v>2514</v>
      </c>
      <c r="M94" s="69">
        <v>299900</v>
      </c>
      <c r="N94" s="22">
        <f t="shared" si="10"/>
        <v>0.7</v>
      </c>
      <c r="O94" s="74">
        <f t="shared" si="8"/>
        <v>89970</v>
      </c>
      <c r="P94" s="22" t="str">
        <f t="shared" si="11"/>
        <v>PERCENTAGE</v>
      </c>
    </row>
    <row r="95" spans="1:16" x14ac:dyDescent="0.35">
      <c r="A95" s="14" t="str">
        <f t="shared" si="9"/>
        <v>2025 JAN-APR DISC 70%</v>
      </c>
      <c r="B95" s="34">
        <f t="shared" si="12"/>
        <v>46104</v>
      </c>
      <c r="C95" s="34">
        <f t="shared" si="13"/>
        <v>46113</v>
      </c>
      <c r="D95" s="6">
        <v>3281</v>
      </c>
      <c r="E95" s="6">
        <v>337</v>
      </c>
      <c r="F95" s="6">
        <v>4</v>
      </c>
      <c r="G95" s="55">
        <v>5</v>
      </c>
      <c r="H95" s="57">
        <v>81506</v>
      </c>
      <c r="I95" s="6" t="s">
        <v>17</v>
      </c>
      <c r="J95" s="70">
        <v>52525909</v>
      </c>
      <c r="K95" s="55" t="s">
        <v>2511</v>
      </c>
      <c r="L95" s="70" t="s">
        <v>2515</v>
      </c>
      <c r="M95" s="69">
        <v>299900</v>
      </c>
      <c r="N95" s="22">
        <f t="shared" si="10"/>
        <v>0.7</v>
      </c>
      <c r="O95" s="74">
        <f t="shared" si="8"/>
        <v>89970</v>
      </c>
      <c r="P95" s="22" t="str">
        <f t="shared" si="11"/>
        <v>PERCENTAGE</v>
      </c>
    </row>
    <row r="96" spans="1:16" x14ac:dyDescent="0.35">
      <c r="A96" s="14" t="str">
        <f t="shared" si="9"/>
        <v>2025 JAN-APR DISC 70%</v>
      </c>
      <c r="B96" s="34">
        <f t="shared" si="12"/>
        <v>46104</v>
      </c>
      <c r="C96" s="34">
        <f t="shared" si="13"/>
        <v>46113</v>
      </c>
      <c r="D96" s="6">
        <v>3281</v>
      </c>
      <c r="E96" s="6">
        <v>337</v>
      </c>
      <c r="F96" s="6">
        <v>4</v>
      </c>
      <c r="G96" s="55">
        <v>5</v>
      </c>
      <c r="H96" s="57">
        <v>81506</v>
      </c>
      <c r="I96" s="6" t="s">
        <v>17</v>
      </c>
      <c r="J96" s="70">
        <v>52525918</v>
      </c>
      <c r="K96" s="55" t="s">
        <v>2511</v>
      </c>
      <c r="L96" s="70" t="s">
        <v>2512</v>
      </c>
      <c r="M96" s="69">
        <v>299900</v>
      </c>
      <c r="N96" s="22">
        <f t="shared" si="10"/>
        <v>0.7</v>
      </c>
      <c r="O96" s="74">
        <f t="shared" si="8"/>
        <v>89970</v>
      </c>
      <c r="P96" s="22" t="str">
        <f t="shared" si="11"/>
        <v>PERCENTAGE</v>
      </c>
    </row>
    <row r="97" spans="1:16" x14ac:dyDescent="0.35">
      <c r="A97" s="14" t="str">
        <f t="shared" si="9"/>
        <v>2025 JAN-APR DISC 70%</v>
      </c>
      <c r="B97" s="34">
        <f t="shared" si="12"/>
        <v>46104</v>
      </c>
      <c r="C97" s="34">
        <f t="shared" si="13"/>
        <v>46113</v>
      </c>
      <c r="D97" s="6">
        <v>3281</v>
      </c>
      <c r="E97" s="6">
        <v>337</v>
      </c>
      <c r="F97" s="6">
        <v>4</v>
      </c>
      <c r="G97" s="55">
        <v>5</v>
      </c>
      <c r="H97" s="57">
        <v>81506</v>
      </c>
      <c r="I97" s="6" t="s">
        <v>17</v>
      </c>
      <c r="J97" s="70">
        <v>52525927</v>
      </c>
      <c r="K97" s="55" t="s">
        <v>2511</v>
      </c>
      <c r="L97" s="70" t="s">
        <v>2513</v>
      </c>
      <c r="M97" s="69">
        <v>299900</v>
      </c>
      <c r="N97" s="22">
        <f t="shared" si="10"/>
        <v>0.7</v>
      </c>
      <c r="O97" s="74">
        <f t="shared" si="8"/>
        <v>89970</v>
      </c>
      <c r="P97" s="22" t="str">
        <f t="shared" si="11"/>
        <v>PERCENTAGE</v>
      </c>
    </row>
    <row r="98" spans="1:16" x14ac:dyDescent="0.35">
      <c r="A98" s="14" t="str">
        <f t="shared" si="9"/>
        <v>2025 JAN-APR DISC 70%</v>
      </c>
      <c r="B98" s="34">
        <f t="shared" si="12"/>
        <v>46104</v>
      </c>
      <c r="C98" s="34">
        <f t="shared" si="13"/>
        <v>46113</v>
      </c>
      <c r="D98" s="6">
        <v>3281</v>
      </c>
      <c r="E98" s="6">
        <v>337</v>
      </c>
      <c r="F98" s="6">
        <v>4</v>
      </c>
      <c r="G98" s="55">
        <v>2</v>
      </c>
      <c r="H98" s="55">
        <v>81506</v>
      </c>
      <c r="I98" s="6" t="s">
        <v>17</v>
      </c>
      <c r="J98" s="70">
        <v>52525776</v>
      </c>
      <c r="K98" s="55" t="s">
        <v>2496</v>
      </c>
      <c r="L98" s="70" t="s">
        <v>2500</v>
      </c>
      <c r="M98" s="69">
        <v>279900</v>
      </c>
      <c r="N98" s="22">
        <f t="shared" si="10"/>
        <v>0.7</v>
      </c>
      <c r="O98" s="74">
        <f t="shared" si="8"/>
        <v>83970</v>
      </c>
      <c r="P98" s="22" t="str">
        <f t="shared" si="11"/>
        <v>PERCENTAGE</v>
      </c>
    </row>
    <row r="99" spans="1:16" x14ac:dyDescent="0.35">
      <c r="A99" s="14" t="str">
        <f t="shared" si="9"/>
        <v>2025 JAN-APR DISC 70%</v>
      </c>
      <c r="B99" s="34">
        <f t="shared" si="12"/>
        <v>46104</v>
      </c>
      <c r="C99" s="34">
        <f t="shared" si="13"/>
        <v>46113</v>
      </c>
      <c r="D99" s="6">
        <v>3281</v>
      </c>
      <c r="E99" s="6">
        <v>337</v>
      </c>
      <c r="F99" s="6">
        <v>4</v>
      </c>
      <c r="G99" s="55">
        <v>2</v>
      </c>
      <c r="H99" s="57">
        <v>81506</v>
      </c>
      <c r="I99" s="6" t="s">
        <v>17</v>
      </c>
      <c r="J99" s="70">
        <v>52525785</v>
      </c>
      <c r="K99" s="55" t="s">
        <v>2496</v>
      </c>
      <c r="L99" s="70" t="s">
        <v>2498</v>
      </c>
      <c r="M99" s="69">
        <v>279900</v>
      </c>
      <c r="N99" s="22">
        <f t="shared" si="10"/>
        <v>0.7</v>
      </c>
      <c r="O99" s="74">
        <f t="shared" si="8"/>
        <v>83970</v>
      </c>
      <c r="P99" s="22" t="str">
        <f t="shared" si="11"/>
        <v>PERCENTAGE</v>
      </c>
    </row>
    <row r="100" spans="1:16" x14ac:dyDescent="0.35">
      <c r="A100" s="14" t="str">
        <f t="shared" si="9"/>
        <v>2025 JAN-APR DISC 70%</v>
      </c>
      <c r="B100" s="34">
        <f t="shared" si="12"/>
        <v>46104</v>
      </c>
      <c r="C100" s="34">
        <f t="shared" si="13"/>
        <v>46113</v>
      </c>
      <c r="D100" s="6">
        <v>3281</v>
      </c>
      <c r="E100" s="6">
        <v>337</v>
      </c>
      <c r="F100" s="6">
        <v>4</v>
      </c>
      <c r="G100" s="55">
        <v>2</v>
      </c>
      <c r="H100" s="57">
        <v>81506</v>
      </c>
      <c r="I100" s="6" t="s">
        <v>17</v>
      </c>
      <c r="J100" s="70">
        <v>52525794</v>
      </c>
      <c r="K100" s="55" t="s">
        <v>2496</v>
      </c>
      <c r="L100" s="70" t="s">
        <v>2497</v>
      </c>
      <c r="M100" s="69">
        <v>279900</v>
      </c>
      <c r="N100" s="22">
        <f t="shared" si="10"/>
        <v>0.7</v>
      </c>
      <c r="O100" s="74">
        <f t="shared" si="8"/>
        <v>83970</v>
      </c>
      <c r="P100" s="22" t="str">
        <f t="shared" si="11"/>
        <v>PERCENTAGE</v>
      </c>
    </row>
    <row r="101" spans="1:16" x14ac:dyDescent="0.35">
      <c r="A101" s="14" t="str">
        <f t="shared" si="9"/>
        <v>2025 JAN-APR DISC 70%</v>
      </c>
      <c r="B101" s="34">
        <f t="shared" si="12"/>
        <v>46104</v>
      </c>
      <c r="C101" s="34">
        <f t="shared" si="13"/>
        <v>46113</v>
      </c>
      <c r="D101" s="6">
        <v>3281</v>
      </c>
      <c r="E101" s="6">
        <v>337</v>
      </c>
      <c r="F101" s="6">
        <v>4</v>
      </c>
      <c r="G101" s="55">
        <v>2</v>
      </c>
      <c r="H101" s="57">
        <v>81506</v>
      </c>
      <c r="I101" s="6" t="s">
        <v>17</v>
      </c>
      <c r="J101" s="70">
        <v>52525801</v>
      </c>
      <c r="K101" s="55" t="s">
        <v>2496</v>
      </c>
      <c r="L101" s="70" t="s">
        <v>2499</v>
      </c>
      <c r="M101" s="69">
        <v>279900</v>
      </c>
      <c r="N101" s="22">
        <f t="shared" si="10"/>
        <v>0.7</v>
      </c>
      <c r="O101" s="74">
        <f t="shared" si="8"/>
        <v>83970</v>
      </c>
      <c r="P101" s="22" t="str">
        <f t="shared" si="11"/>
        <v>PERCENTAGE</v>
      </c>
    </row>
    <row r="102" spans="1:16" x14ac:dyDescent="0.35">
      <c r="A102" s="14" t="str">
        <f t="shared" si="9"/>
        <v>2025 JAN-APR DISC 70%</v>
      </c>
      <c r="B102" s="34">
        <f t="shared" si="12"/>
        <v>46104</v>
      </c>
      <c r="C102" s="34">
        <f t="shared" si="13"/>
        <v>46113</v>
      </c>
      <c r="D102" s="6">
        <v>3281</v>
      </c>
      <c r="E102" s="6">
        <v>337</v>
      </c>
      <c r="F102" s="6">
        <v>4</v>
      </c>
      <c r="G102" s="55">
        <v>5</v>
      </c>
      <c r="H102" s="55">
        <v>81506</v>
      </c>
      <c r="I102" s="6" t="s">
        <v>17</v>
      </c>
      <c r="J102" s="70">
        <v>52525936</v>
      </c>
      <c r="K102" s="55" t="s">
        <v>2518</v>
      </c>
      <c r="L102" s="70" t="s">
        <v>2523</v>
      </c>
      <c r="M102" s="69">
        <v>279900</v>
      </c>
      <c r="N102" s="22">
        <f t="shared" si="10"/>
        <v>0.7</v>
      </c>
      <c r="O102" s="74">
        <f t="shared" si="8"/>
        <v>83970</v>
      </c>
      <c r="P102" s="22" t="str">
        <f t="shared" si="11"/>
        <v>PERCENTAGE</v>
      </c>
    </row>
    <row r="103" spans="1:16" x14ac:dyDescent="0.35">
      <c r="A103" s="14" t="str">
        <f t="shared" ref="A103:A126" si="14">A102</f>
        <v>2025 JAN-APR DISC 70%</v>
      </c>
      <c r="B103" s="34">
        <f t="shared" si="12"/>
        <v>46104</v>
      </c>
      <c r="C103" s="34">
        <f t="shared" si="13"/>
        <v>46113</v>
      </c>
      <c r="D103" s="6">
        <v>3281</v>
      </c>
      <c r="E103" s="6">
        <v>337</v>
      </c>
      <c r="F103" s="6">
        <v>4</v>
      </c>
      <c r="G103" s="55">
        <v>5</v>
      </c>
      <c r="H103" s="57">
        <v>81506</v>
      </c>
      <c r="I103" s="6" t="s">
        <v>17</v>
      </c>
      <c r="J103" s="70">
        <v>52525945</v>
      </c>
      <c r="K103" s="55" t="s">
        <v>2518</v>
      </c>
      <c r="L103" s="70" t="s">
        <v>2525</v>
      </c>
      <c r="M103" s="69">
        <v>279900</v>
      </c>
      <c r="N103" s="22">
        <f t="shared" ref="N103:N166" si="15">N102</f>
        <v>0.7</v>
      </c>
      <c r="O103" s="74">
        <f t="shared" si="8"/>
        <v>83970</v>
      </c>
      <c r="P103" s="22" t="str">
        <f t="shared" ref="P103:P166" si="16">P102</f>
        <v>PERCENTAGE</v>
      </c>
    </row>
    <row r="104" spans="1:16" x14ac:dyDescent="0.35">
      <c r="A104" s="14" t="str">
        <f t="shared" si="14"/>
        <v>2025 JAN-APR DISC 70%</v>
      </c>
      <c r="B104" s="34">
        <f t="shared" si="12"/>
        <v>46104</v>
      </c>
      <c r="C104" s="34">
        <f t="shared" si="13"/>
        <v>46113</v>
      </c>
      <c r="D104" s="6">
        <v>3281</v>
      </c>
      <c r="E104" s="6">
        <v>337</v>
      </c>
      <c r="F104" s="6">
        <v>4</v>
      </c>
      <c r="G104" s="55">
        <v>5</v>
      </c>
      <c r="H104" s="57">
        <v>81506</v>
      </c>
      <c r="I104" s="6" t="s">
        <v>17</v>
      </c>
      <c r="J104" s="70">
        <v>52525954</v>
      </c>
      <c r="K104" s="55" t="s">
        <v>2518</v>
      </c>
      <c r="L104" s="70" t="s">
        <v>2524</v>
      </c>
      <c r="M104" s="69">
        <v>279900</v>
      </c>
      <c r="N104" s="22">
        <f t="shared" si="15"/>
        <v>0.7</v>
      </c>
      <c r="O104" s="74">
        <f t="shared" si="8"/>
        <v>83970</v>
      </c>
      <c r="P104" s="22" t="str">
        <f t="shared" si="16"/>
        <v>PERCENTAGE</v>
      </c>
    </row>
    <row r="105" spans="1:16" x14ac:dyDescent="0.35">
      <c r="A105" s="14" t="str">
        <f t="shared" si="14"/>
        <v>2025 JAN-APR DISC 70%</v>
      </c>
      <c r="B105" s="34">
        <f t="shared" si="12"/>
        <v>46104</v>
      </c>
      <c r="C105" s="34">
        <f t="shared" si="13"/>
        <v>46113</v>
      </c>
      <c r="D105" s="33">
        <v>3281</v>
      </c>
      <c r="E105" s="33">
        <v>337</v>
      </c>
      <c r="F105" s="33">
        <v>4</v>
      </c>
      <c r="G105" s="55">
        <v>5</v>
      </c>
      <c r="H105" s="57">
        <v>81506</v>
      </c>
      <c r="I105" s="33" t="s">
        <v>17</v>
      </c>
      <c r="J105" s="70">
        <v>52525963</v>
      </c>
      <c r="K105" s="55" t="s">
        <v>2518</v>
      </c>
      <c r="L105" s="70" t="s">
        <v>2519</v>
      </c>
      <c r="M105" s="69">
        <v>279900</v>
      </c>
      <c r="N105" s="22">
        <f t="shared" si="15"/>
        <v>0.7</v>
      </c>
      <c r="O105" s="74">
        <f t="shared" si="8"/>
        <v>83970</v>
      </c>
      <c r="P105" s="22" t="str">
        <f t="shared" si="16"/>
        <v>PERCENTAGE</v>
      </c>
    </row>
    <row r="106" spans="1:16" x14ac:dyDescent="0.35">
      <c r="A106" s="14" t="str">
        <f t="shared" si="14"/>
        <v>2025 JAN-APR DISC 70%</v>
      </c>
      <c r="B106" s="34">
        <f t="shared" si="12"/>
        <v>46104</v>
      </c>
      <c r="C106" s="34">
        <f t="shared" si="13"/>
        <v>46113</v>
      </c>
      <c r="D106" s="33">
        <v>3281</v>
      </c>
      <c r="E106" s="33">
        <v>337</v>
      </c>
      <c r="F106" s="33">
        <v>4</v>
      </c>
      <c r="G106" s="55">
        <v>5</v>
      </c>
      <c r="H106" s="55">
        <v>81506</v>
      </c>
      <c r="I106" s="33" t="s">
        <v>17</v>
      </c>
      <c r="J106" s="70">
        <v>52763198</v>
      </c>
      <c r="K106" s="55" t="s">
        <v>2516</v>
      </c>
      <c r="L106" s="70" t="s">
        <v>2522</v>
      </c>
      <c r="M106" s="69">
        <v>279900</v>
      </c>
      <c r="N106" s="22">
        <f t="shared" si="15"/>
        <v>0.7</v>
      </c>
      <c r="O106" s="74">
        <f t="shared" si="8"/>
        <v>83970</v>
      </c>
      <c r="P106" s="22" t="str">
        <f t="shared" si="16"/>
        <v>PERCENTAGE</v>
      </c>
    </row>
    <row r="107" spans="1:16" x14ac:dyDescent="0.35">
      <c r="A107" s="14" t="str">
        <f t="shared" si="14"/>
        <v>2025 JAN-APR DISC 70%</v>
      </c>
      <c r="B107" s="34">
        <f t="shared" si="12"/>
        <v>46104</v>
      </c>
      <c r="C107" s="34">
        <f t="shared" si="13"/>
        <v>46113</v>
      </c>
      <c r="D107" s="33">
        <v>3281</v>
      </c>
      <c r="E107" s="33">
        <v>337</v>
      </c>
      <c r="F107" s="33">
        <v>4</v>
      </c>
      <c r="G107" s="55">
        <v>5</v>
      </c>
      <c r="H107" s="57">
        <v>81506</v>
      </c>
      <c r="I107" s="33" t="s">
        <v>17</v>
      </c>
      <c r="J107" s="70">
        <v>52763205</v>
      </c>
      <c r="K107" s="55" t="s">
        <v>2516</v>
      </c>
      <c r="L107" s="70" t="s">
        <v>2520</v>
      </c>
      <c r="M107" s="69">
        <v>279900</v>
      </c>
      <c r="N107" s="22">
        <f t="shared" si="15"/>
        <v>0.7</v>
      </c>
      <c r="O107" s="74">
        <f t="shared" si="8"/>
        <v>83970</v>
      </c>
      <c r="P107" s="22" t="str">
        <f t="shared" si="16"/>
        <v>PERCENTAGE</v>
      </c>
    </row>
    <row r="108" spans="1:16" x14ac:dyDescent="0.35">
      <c r="A108" s="14" t="str">
        <f t="shared" si="14"/>
        <v>2025 JAN-APR DISC 70%</v>
      </c>
      <c r="B108" s="34">
        <f t="shared" si="12"/>
        <v>46104</v>
      </c>
      <c r="C108" s="34">
        <f t="shared" si="13"/>
        <v>46113</v>
      </c>
      <c r="D108" s="33">
        <v>3281</v>
      </c>
      <c r="E108" s="33">
        <v>337</v>
      </c>
      <c r="F108" s="33">
        <v>4</v>
      </c>
      <c r="G108" s="55">
        <v>5</v>
      </c>
      <c r="H108" s="57">
        <v>81506</v>
      </c>
      <c r="I108" s="33" t="s">
        <v>17</v>
      </c>
      <c r="J108" s="70">
        <v>52763214</v>
      </c>
      <c r="K108" s="55" t="s">
        <v>2516</v>
      </c>
      <c r="L108" s="70" t="s">
        <v>2521</v>
      </c>
      <c r="M108" s="69">
        <v>279900</v>
      </c>
      <c r="N108" s="22">
        <f t="shared" si="15"/>
        <v>0.7</v>
      </c>
      <c r="O108" s="74">
        <f t="shared" si="8"/>
        <v>83970</v>
      </c>
      <c r="P108" s="22" t="str">
        <f t="shared" si="16"/>
        <v>PERCENTAGE</v>
      </c>
    </row>
    <row r="109" spans="1:16" x14ac:dyDescent="0.35">
      <c r="A109" s="14" t="str">
        <f t="shared" si="14"/>
        <v>2025 JAN-APR DISC 70%</v>
      </c>
      <c r="B109" s="34">
        <f t="shared" si="12"/>
        <v>46104</v>
      </c>
      <c r="C109" s="34">
        <f t="shared" si="13"/>
        <v>46113</v>
      </c>
      <c r="D109" s="33">
        <v>3281</v>
      </c>
      <c r="E109" s="33">
        <v>337</v>
      </c>
      <c r="F109" s="33">
        <v>4</v>
      </c>
      <c r="G109" s="55">
        <v>5</v>
      </c>
      <c r="H109" s="57">
        <v>81506</v>
      </c>
      <c r="I109" s="33" t="s">
        <v>17</v>
      </c>
      <c r="J109" s="70">
        <v>52763223</v>
      </c>
      <c r="K109" s="55" t="s">
        <v>2516</v>
      </c>
      <c r="L109" s="70" t="s">
        <v>2517</v>
      </c>
      <c r="M109" s="69">
        <v>279900</v>
      </c>
      <c r="N109" s="22">
        <f t="shared" si="15"/>
        <v>0.7</v>
      </c>
      <c r="O109" s="74">
        <f t="shared" si="8"/>
        <v>83970</v>
      </c>
      <c r="P109" s="22" t="str">
        <f t="shared" si="16"/>
        <v>PERCENTAGE</v>
      </c>
    </row>
    <row r="110" spans="1:16" x14ac:dyDescent="0.35">
      <c r="A110" s="14" t="str">
        <f t="shared" si="14"/>
        <v>2025 JAN-APR DISC 70%</v>
      </c>
      <c r="B110" s="34">
        <f t="shared" si="12"/>
        <v>46104</v>
      </c>
      <c r="C110" s="34">
        <f t="shared" si="13"/>
        <v>46113</v>
      </c>
      <c r="D110" s="33">
        <v>3281</v>
      </c>
      <c r="E110" s="33">
        <v>337</v>
      </c>
      <c r="F110" s="33">
        <v>4</v>
      </c>
      <c r="G110" s="55">
        <v>1</v>
      </c>
      <c r="H110" s="55">
        <v>81588</v>
      </c>
      <c r="I110" s="33" t="s">
        <v>17</v>
      </c>
      <c r="J110" s="70">
        <v>52763278</v>
      </c>
      <c r="K110" s="55" t="s">
        <v>2538</v>
      </c>
      <c r="L110" s="70" t="s">
        <v>2541</v>
      </c>
      <c r="M110" s="69">
        <v>169900</v>
      </c>
      <c r="N110" s="22">
        <f t="shared" si="15"/>
        <v>0.7</v>
      </c>
      <c r="O110" s="74">
        <f t="shared" si="8"/>
        <v>50970</v>
      </c>
      <c r="P110" s="22" t="str">
        <f t="shared" si="16"/>
        <v>PERCENTAGE</v>
      </c>
    </row>
    <row r="111" spans="1:16" x14ac:dyDescent="0.35">
      <c r="A111" s="14" t="str">
        <f t="shared" si="14"/>
        <v>2025 JAN-APR DISC 70%</v>
      </c>
      <c r="B111" s="34">
        <f t="shared" si="12"/>
        <v>46104</v>
      </c>
      <c r="C111" s="34">
        <f t="shared" si="13"/>
        <v>46113</v>
      </c>
      <c r="D111" s="33">
        <v>3281</v>
      </c>
      <c r="E111" s="33">
        <v>337</v>
      </c>
      <c r="F111" s="33">
        <v>4</v>
      </c>
      <c r="G111" s="55">
        <v>1</v>
      </c>
      <c r="H111" s="57">
        <v>81588</v>
      </c>
      <c r="I111" s="33" t="s">
        <v>17</v>
      </c>
      <c r="J111" s="70">
        <v>52763287</v>
      </c>
      <c r="K111" s="55" t="s">
        <v>2538</v>
      </c>
      <c r="L111" s="70" t="s">
        <v>2540</v>
      </c>
      <c r="M111" s="69">
        <v>169900</v>
      </c>
      <c r="N111" s="22">
        <f t="shared" si="15"/>
        <v>0.7</v>
      </c>
      <c r="O111" s="74">
        <f t="shared" si="8"/>
        <v>50970</v>
      </c>
      <c r="P111" s="22" t="str">
        <f t="shared" si="16"/>
        <v>PERCENTAGE</v>
      </c>
    </row>
    <row r="112" spans="1:16" x14ac:dyDescent="0.35">
      <c r="A112" s="14" t="str">
        <f t="shared" si="14"/>
        <v>2025 JAN-APR DISC 70%</v>
      </c>
      <c r="B112" s="34">
        <f t="shared" si="12"/>
        <v>46104</v>
      </c>
      <c r="C112" s="34">
        <f t="shared" si="13"/>
        <v>46113</v>
      </c>
      <c r="D112" s="33">
        <v>3281</v>
      </c>
      <c r="E112" s="33">
        <v>337</v>
      </c>
      <c r="F112" s="33">
        <v>4</v>
      </c>
      <c r="G112" s="55">
        <v>1</v>
      </c>
      <c r="H112" s="57">
        <v>81588</v>
      </c>
      <c r="I112" s="33" t="s">
        <v>17</v>
      </c>
      <c r="J112" s="70">
        <v>52763296</v>
      </c>
      <c r="K112" s="55" t="s">
        <v>2538</v>
      </c>
      <c r="L112" s="70" t="s">
        <v>2542</v>
      </c>
      <c r="M112" s="69">
        <v>169900</v>
      </c>
      <c r="N112" s="22">
        <f t="shared" si="15"/>
        <v>0.7</v>
      </c>
      <c r="O112" s="74">
        <f t="shared" si="8"/>
        <v>50970</v>
      </c>
      <c r="P112" s="22" t="str">
        <f t="shared" si="16"/>
        <v>PERCENTAGE</v>
      </c>
    </row>
    <row r="113" spans="1:16" x14ac:dyDescent="0.35">
      <c r="A113" s="14" t="str">
        <f t="shared" si="14"/>
        <v>2025 JAN-APR DISC 70%</v>
      </c>
      <c r="B113" s="34">
        <f t="shared" si="12"/>
        <v>46104</v>
      </c>
      <c r="C113" s="34">
        <f t="shared" si="13"/>
        <v>46113</v>
      </c>
      <c r="D113" s="33">
        <v>3281</v>
      </c>
      <c r="E113" s="33">
        <v>337</v>
      </c>
      <c r="F113" s="33">
        <v>4</v>
      </c>
      <c r="G113" s="55">
        <v>1</v>
      </c>
      <c r="H113" s="57">
        <v>81588</v>
      </c>
      <c r="I113" s="33" t="s">
        <v>17</v>
      </c>
      <c r="J113" s="70">
        <v>52763303</v>
      </c>
      <c r="K113" s="55" t="s">
        <v>2538</v>
      </c>
      <c r="L113" s="70" t="s">
        <v>2539</v>
      </c>
      <c r="M113" s="69">
        <v>169900</v>
      </c>
      <c r="N113" s="22">
        <f t="shared" si="15"/>
        <v>0.7</v>
      </c>
      <c r="O113" s="74">
        <f t="shared" si="8"/>
        <v>50970</v>
      </c>
      <c r="P113" s="22" t="str">
        <f t="shared" si="16"/>
        <v>PERCENTAGE</v>
      </c>
    </row>
    <row r="114" spans="1:16" x14ac:dyDescent="0.35">
      <c r="A114" s="14" t="str">
        <f t="shared" si="14"/>
        <v>2025 JAN-APR DISC 70%</v>
      </c>
      <c r="B114" s="34">
        <f t="shared" si="12"/>
        <v>46104</v>
      </c>
      <c r="C114" s="34">
        <f t="shared" si="13"/>
        <v>46113</v>
      </c>
      <c r="D114" s="33">
        <v>3281</v>
      </c>
      <c r="E114" s="33">
        <v>337</v>
      </c>
      <c r="F114" s="33">
        <v>4</v>
      </c>
      <c r="G114" s="55">
        <v>1</v>
      </c>
      <c r="H114" s="55">
        <v>81588</v>
      </c>
      <c r="I114" s="33" t="s">
        <v>17</v>
      </c>
      <c r="J114" s="70">
        <v>52763232</v>
      </c>
      <c r="K114" s="55" t="s">
        <v>2553</v>
      </c>
      <c r="L114" s="70" t="s">
        <v>2554</v>
      </c>
      <c r="M114" s="69">
        <v>149900</v>
      </c>
      <c r="N114" s="22">
        <f t="shared" si="15"/>
        <v>0.7</v>
      </c>
      <c r="O114" s="74">
        <f t="shared" si="8"/>
        <v>44970</v>
      </c>
      <c r="P114" s="22" t="str">
        <f t="shared" si="16"/>
        <v>PERCENTAGE</v>
      </c>
    </row>
    <row r="115" spans="1:16" x14ac:dyDescent="0.35">
      <c r="A115" s="14" t="str">
        <f t="shared" si="14"/>
        <v>2025 JAN-APR DISC 70%</v>
      </c>
      <c r="B115" s="34">
        <f t="shared" si="12"/>
        <v>46104</v>
      </c>
      <c r="C115" s="34">
        <f t="shared" si="13"/>
        <v>46113</v>
      </c>
      <c r="D115" s="33">
        <v>3281</v>
      </c>
      <c r="E115" s="33">
        <v>337</v>
      </c>
      <c r="F115" s="33">
        <v>4</v>
      </c>
      <c r="G115" s="55">
        <v>1</v>
      </c>
      <c r="H115" s="57">
        <v>81588</v>
      </c>
      <c r="I115" s="33" t="s">
        <v>17</v>
      </c>
      <c r="J115" s="70">
        <v>52763241</v>
      </c>
      <c r="K115" s="55" t="s">
        <v>2553</v>
      </c>
      <c r="L115" s="70" t="s">
        <v>2557</v>
      </c>
      <c r="M115" s="69">
        <v>149900</v>
      </c>
      <c r="N115" s="22">
        <f t="shared" si="15"/>
        <v>0.7</v>
      </c>
      <c r="O115" s="74">
        <f t="shared" si="8"/>
        <v>44970</v>
      </c>
      <c r="P115" s="22" t="str">
        <f t="shared" si="16"/>
        <v>PERCENTAGE</v>
      </c>
    </row>
    <row r="116" spans="1:16" x14ac:dyDescent="0.35">
      <c r="A116" s="14" t="str">
        <f t="shared" si="14"/>
        <v>2025 JAN-APR DISC 70%</v>
      </c>
      <c r="B116" s="34">
        <f t="shared" si="12"/>
        <v>46104</v>
      </c>
      <c r="C116" s="34">
        <f t="shared" si="13"/>
        <v>46113</v>
      </c>
      <c r="D116" s="33">
        <v>3281</v>
      </c>
      <c r="E116" s="33">
        <v>337</v>
      </c>
      <c r="F116" s="33">
        <v>4</v>
      </c>
      <c r="G116" s="55">
        <v>1</v>
      </c>
      <c r="H116" s="57">
        <v>81588</v>
      </c>
      <c r="I116" s="33" t="s">
        <v>17</v>
      </c>
      <c r="J116" s="70">
        <v>52763250</v>
      </c>
      <c r="K116" s="55" t="s">
        <v>2553</v>
      </c>
      <c r="L116" s="70" t="s">
        <v>2556</v>
      </c>
      <c r="M116" s="69">
        <v>149900</v>
      </c>
      <c r="N116" s="22">
        <f t="shared" si="15"/>
        <v>0.7</v>
      </c>
      <c r="O116" s="74">
        <f t="shared" si="8"/>
        <v>44970</v>
      </c>
      <c r="P116" s="22" t="str">
        <f t="shared" si="16"/>
        <v>PERCENTAGE</v>
      </c>
    </row>
    <row r="117" spans="1:16" x14ac:dyDescent="0.35">
      <c r="A117" s="14" t="str">
        <f t="shared" si="14"/>
        <v>2025 JAN-APR DISC 70%</v>
      </c>
      <c r="B117" s="34">
        <f t="shared" si="12"/>
        <v>46104</v>
      </c>
      <c r="C117" s="34">
        <f t="shared" si="13"/>
        <v>46113</v>
      </c>
      <c r="D117" s="33">
        <v>3281</v>
      </c>
      <c r="E117" s="33">
        <v>337</v>
      </c>
      <c r="F117" s="33">
        <v>4</v>
      </c>
      <c r="G117" s="55">
        <v>1</v>
      </c>
      <c r="H117" s="57">
        <v>81588</v>
      </c>
      <c r="I117" s="33" t="s">
        <v>17</v>
      </c>
      <c r="J117" s="70">
        <v>52763269</v>
      </c>
      <c r="K117" s="55" t="s">
        <v>2553</v>
      </c>
      <c r="L117" s="70" t="s">
        <v>2555</v>
      </c>
      <c r="M117" s="69">
        <v>149900</v>
      </c>
      <c r="N117" s="22">
        <f t="shared" si="15"/>
        <v>0.7</v>
      </c>
      <c r="O117" s="74">
        <f t="shared" si="8"/>
        <v>44970</v>
      </c>
      <c r="P117" s="22" t="str">
        <f t="shared" si="16"/>
        <v>PERCENTAGE</v>
      </c>
    </row>
    <row r="118" spans="1:16" x14ac:dyDescent="0.35">
      <c r="A118" s="14" t="str">
        <f t="shared" si="14"/>
        <v>2025 JAN-APR DISC 70%</v>
      </c>
      <c r="B118" s="34">
        <f t="shared" si="12"/>
        <v>46104</v>
      </c>
      <c r="C118" s="34">
        <f t="shared" si="13"/>
        <v>46113</v>
      </c>
      <c r="D118" s="33">
        <v>3281</v>
      </c>
      <c r="E118" s="33">
        <v>337</v>
      </c>
      <c r="F118" s="33">
        <v>4</v>
      </c>
      <c r="G118" s="55">
        <v>3</v>
      </c>
      <c r="H118" s="55">
        <v>81588</v>
      </c>
      <c r="I118" s="33" t="s">
        <v>17</v>
      </c>
      <c r="J118" s="70">
        <v>52763312</v>
      </c>
      <c r="K118" s="55" t="s">
        <v>2543</v>
      </c>
      <c r="L118" s="70" t="s">
        <v>2547</v>
      </c>
      <c r="M118" s="69">
        <v>299900</v>
      </c>
      <c r="N118" s="22">
        <f t="shared" si="15"/>
        <v>0.7</v>
      </c>
      <c r="O118" s="74">
        <f t="shared" si="8"/>
        <v>89970</v>
      </c>
      <c r="P118" s="22" t="str">
        <f t="shared" si="16"/>
        <v>PERCENTAGE</v>
      </c>
    </row>
    <row r="119" spans="1:16" x14ac:dyDescent="0.35">
      <c r="A119" s="14" t="str">
        <f t="shared" si="14"/>
        <v>2025 JAN-APR DISC 70%</v>
      </c>
      <c r="B119" s="34">
        <f t="shared" si="12"/>
        <v>46104</v>
      </c>
      <c r="C119" s="34">
        <f t="shared" si="13"/>
        <v>46113</v>
      </c>
      <c r="D119" s="33">
        <v>3281</v>
      </c>
      <c r="E119" s="33">
        <v>337</v>
      </c>
      <c r="F119" s="33">
        <v>4</v>
      </c>
      <c r="G119" s="55">
        <v>3</v>
      </c>
      <c r="H119" s="57">
        <v>81588</v>
      </c>
      <c r="I119" s="33" t="s">
        <v>17</v>
      </c>
      <c r="J119" s="70">
        <v>52763321</v>
      </c>
      <c r="K119" s="55" t="s">
        <v>2543</v>
      </c>
      <c r="L119" s="70" t="s">
        <v>2544</v>
      </c>
      <c r="M119" s="69">
        <v>299900</v>
      </c>
      <c r="N119" s="22">
        <f t="shared" si="15"/>
        <v>0.7</v>
      </c>
      <c r="O119" s="74">
        <f t="shared" si="8"/>
        <v>89970</v>
      </c>
      <c r="P119" s="22" t="str">
        <f t="shared" si="16"/>
        <v>PERCENTAGE</v>
      </c>
    </row>
    <row r="120" spans="1:16" x14ac:dyDescent="0.35">
      <c r="A120" s="14" t="str">
        <f t="shared" si="14"/>
        <v>2025 JAN-APR DISC 70%</v>
      </c>
      <c r="B120" s="34">
        <f t="shared" si="12"/>
        <v>46104</v>
      </c>
      <c r="C120" s="34">
        <f t="shared" si="13"/>
        <v>46113</v>
      </c>
      <c r="D120" s="33">
        <v>3281</v>
      </c>
      <c r="E120" s="33">
        <v>337</v>
      </c>
      <c r="F120" s="33">
        <v>4</v>
      </c>
      <c r="G120" s="55">
        <v>3</v>
      </c>
      <c r="H120" s="57">
        <v>81588</v>
      </c>
      <c r="I120" s="33" t="s">
        <v>17</v>
      </c>
      <c r="J120" s="70">
        <v>52763330</v>
      </c>
      <c r="K120" s="55" t="s">
        <v>2543</v>
      </c>
      <c r="L120" s="70" t="s">
        <v>2545</v>
      </c>
      <c r="M120" s="69">
        <v>299900</v>
      </c>
      <c r="N120" s="22">
        <f t="shared" si="15"/>
        <v>0.7</v>
      </c>
      <c r="O120" s="74">
        <f t="shared" si="8"/>
        <v>89970</v>
      </c>
      <c r="P120" s="22" t="str">
        <f t="shared" si="16"/>
        <v>PERCENTAGE</v>
      </c>
    </row>
    <row r="121" spans="1:16" x14ac:dyDescent="0.35">
      <c r="A121" s="14" t="str">
        <f t="shared" si="14"/>
        <v>2025 JAN-APR DISC 70%</v>
      </c>
      <c r="B121" s="34">
        <f t="shared" si="12"/>
        <v>46104</v>
      </c>
      <c r="C121" s="34">
        <f t="shared" si="13"/>
        <v>46113</v>
      </c>
      <c r="D121" s="33">
        <v>3281</v>
      </c>
      <c r="E121" s="33">
        <v>337</v>
      </c>
      <c r="F121" s="33">
        <v>4</v>
      </c>
      <c r="G121" s="55">
        <v>3</v>
      </c>
      <c r="H121" s="57">
        <v>81588</v>
      </c>
      <c r="I121" s="33" t="s">
        <v>17</v>
      </c>
      <c r="J121" s="70">
        <v>52763349</v>
      </c>
      <c r="K121" s="55" t="s">
        <v>2543</v>
      </c>
      <c r="L121" s="70" t="s">
        <v>2546</v>
      </c>
      <c r="M121" s="69">
        <v>299900</v>
      </c>
      <c r="N121" s="22">
        <f t="shared" si="15"/>
        <v>0.7</v>
      </c>
      <c r="O121" s="74">
        <f t="shared" si="8"/>
        <v>89970</v>
      </c>
      <c r="P121" s="22" t="str">
        <f t="shared" si="16"/>
        <v>PERCENTAGE</v>
      </c>
    </row>
    <row r="122" spans="1:16" x14ac:dyDescent="0.35">
      <c r="A122" s="14" t="str">
        <f t="shared" si="14"/>
        <v>2025 JAN-APR DISC 70%</v>
      </c>
      <c r="B122" s="34">
        <f t="shared" si="12"/>
        <v>46104</v>
      </c>
      <c r="C122" s="34">
        <f t="shared" si="13"/>
        <v>46113</v>
      </c>
      <c r="D122" s="33">
        <v>3281</v>
      </c>
      <c r="E122" s="33">
        <v>337</v>
      </c>
      <c r="F122" s="33">
        <v>4</v>
      </c>
      <c r="G122" s="55">
        <v>5</v>
      </c>
      <c r="H122" s="55">
        <v>81506</v>
      </c>
      <c r="I122" s="33" t="s">
        <v>17</v>
      </c>
      <c r="J122" s="70">
        <v>51362060</v>
      </c>
      <c r="K122" s="55" t="s">
        <v>2530</v>
      </c>
      <c r="L122" s="70" t="s">
        <v>2536</v>
      </c>
      <c r="M122" s="69">
        <v>299900</v>
      </c>
      <c r="N122" s="22">
        <f t="shared" si="15"/>
        <v>0.7</v>
      </c>
      <c r="O122" s="74">
        <f t="shared" si="8"/>
        <v>89970</v>
      </c>
      <c r="P122" s="22" t="str">
        <f t="shared" si="16"/>
        <v>PERCENTAGE</v>
      </c>
    </row>
    <row r="123" spans="1:16" x14ac:dyDescent="0.35">
      <c r="A123" s="14" t="str">
        <f t="shared" si="14"/>
        <v>2025 JAN-APR DISC 70%</v>
      </c>
      <c r="B123" s="34">
        <f t="shared" si="12"/>
        <v>46104</v>
      </c>
      <c r="C123" s="34">
        <f t="shared" si="13"/>
        <v>46113</v>
      </c>
      <c r="D123" s="33">
        <v>3281</v>
      </c>
      <c r="E123" s="33">
        <v>337</v>
      </c>
      <c r="F123" s="33">
        <v>4</v>
      </c>
      <c r="G123" s="55">
        <v>5</v>
      </c>
      <c r="H123" s="57">
        <v>81506</v>
      </c>
      <c r="I123" s="33" t="s">
        <v>17</v>
      </c>
      <c r="J123" s="70">
        <v>51362079</v>
      </c>
      <c r="K123" s="55" t="s">
        <v>2530</v>
      </c>
      <c r="L123" s="70" t="s">
        <v>2531</v>
      </c>
      <c r="M123" s="69">
        <v>299900</v>
      </c>
      <c r="N123" s="22">
        <f t="shared" si="15"/>
        <v>0.7</v>
      </c>
      <c r="O123" s="74">
        <f t="shared" si="8"/>
        <v>89970</v>
      </c>
      <c r="P123" s="22" t="str">
        <f t="shared" si="16"/>
        <v>PERCENTAGE</v>
      </c>
    </row>
    <row r="124" spans="1:16" x14ac:dyDescent="0.35">
      <c r="A124" s="14" t="str">
        <f t="shared" si="14"/>
        <v>2025 JAN-APR DISC 70%</v>
      </c>
      <c r="B124" s="34">
        <f t="shared" si="12"/>
        <v>46104</v>
      </c>
      <c r="C124" s="34">
        <f t="shared" si="13"/>
        <v>46113</v>
      </c>
      <c r="D124" s="33">
        <v>3281</v>
      </c>
      <c r="E124" s="33">
        <v>337</v>
      </c>
      <c r="F124" s="33">
        <v>4</v>
      </c>
      <c r="G124" s="55">
        <v>5</v>
      </c>
      <c r="H124" s="57">
        <v>81506</v>
      </c>
      <c r="I124" s="33" t="s">
        <v>17</v>
      </c>
      <c r="J124" s="70">
        <v>51362088</v>
      </c>
      <c r="K124" s="55" t="s">
        <v>2530</v>
      </c>
      <c r="L124" s="70" t="s">
        <v>2535</v>
      </c>
      <c r="M124" s="69">
        <v>299900</v>
      </c>
      <c r="N124" s="22">
        <f t="shared" si="15"/>
        <v>0.7</v>
      </c>
      <c r="O124" s="74">
        <f t="shared" si="8"/>
        <v>89970</v>
      </c>
      <c r="P124" s="22" t="str">
        <f t="shared" si="16"/>
        <v>PERCENTAGE</v>
      </c>
    </row>
    <row r="125" spans="1:16" x14ac:dyDescent="0.35">
      <c r="A125" s="14" t="str">
        <f t="shared" si="14"/>
        <v>2025 JAN-APR DISC 70%</v>
      </c>
      <c r="B125" s="34">
        <f t="shared" si="12"/>
        <v>46104</v>
      </c>
      <c r="C125" s="34">
        <f t="shared" si="13"/>
        <v>46113</v>
      </c>
      <c r="D125" s="33">
        <v>3281</v>
      </c>
      <c r="E125" s="33">
        <v>337</v>
      </c>
      <c r="F125" s="33">
        <v>4</v>
      </c>
      <c r="G125" s="55">
        <v>5</v>
      </c>
      <c r="H125" s="57">
        <v>81506</v>
      </c>
      <c r="I125" s="33" t="s">
        <v>17</v>
      </c>
      <c r="J125" s="70">
        <v>51367485</v>
      </c>
      <c r="K125" s="55" t="s">
        <v>2530</v>
      </c>
      <c r="L125" s="70" t="s">
        <v>2532</v>
      </c>
      <c r="M125" s="69">
        <v>299900</v>
      </c>
      <c r="N125" s="22">
        <f t="shared" si="15"/>
        <v>0.7</v>
      </c>
      <c r="O125" s="74">
        <f t="shared" si="8"/>
        <v>89970</v>
      </c>
      <c r="P125" s="22" t="str">
        <f t="shared" si="16"/>
        <v>PERCENTAGE</v>
      </c>
    </row>
    <row r="126" spans="1:16" x14ac:dyDescent="0.35">
      <c r="A126" s="14" t="str">
        <f t="shared" si="14"/>
        <v>2025 JAN-APR DISC 70%</v>
      </c>
      <c r="B126" s="34">
        <f t="shared" si="12"/>
        <v>46104</v>
      </c>
      <c r="C126" s="34">
        <f t="shared" si="13"/>
        <v>46113</v>
      </c>
      <c r="D126" s="33">
        <v>3281</v>
      </c>
      <c r="E126" s="33">
        <v>337</v>
      </c>
      <c r="F126" s="33">
        <v>4</v>
      </c>
      <c r="G126" s="55">
        <v>5</v>
      </c>
      <c r="H126" s="55">
        <v>81506</v>
      </c>
      <c r="I126" s="33" t="s">
        <v>17</v>
      </c>
      <c r="J126" s="70">
        <v>52525972</v>
      </c>
      <c r="K126" s="55" t="s">
        <v>2526</v>
      </c>
      <c r="L126" s="70" t="s">
        <v>2527</v>
      </c>
      <c r="M126" s="69">
        <v>299900</v>
      </c>
      <c r="N126" s="22">
        <f t="shared" si="15"/>
        <v>0.7</v>
      </c>
      <c r="O126" s="74">
        <f t="shared" si="8"/>
        <v>89970</v>
      </c>
      <c r="P126" s="22" t="str">
        <f t="shared" si="16"/>
        <v>PERCENTAGE</v>
      </c>
    </row>
    <row r="127" spans="1:16" x14ac:dyDescent="0.35">
      <c r="A127" s="14" t="str">
        <f t="shared" ref="A127:C171" si="17">A126</f>
        <v>2025 JAN-APR DISC 70%</v>
      </c>
      <c r="B127" s="34">
        <f t="shared" si="12"/>
        <v>46104</v>
      </c>
      <c r="C127" s="34">
        <f t="shared" si="13"/>
        <v>46113</v>
      </c>
      <c r="D127" s="33">
        <v>3281</v>
      </c>
      <c r="E127" s="33">
        <v>337</v>
      </c>
      <c r="F127" s="33">
        <v>4</v>
      </c>
      <c r="G127" s="55">
        <v>5</v>
      </c>
      <c r="H127" s="57">
        <v>81506</v>
      </c>
      <c r="I127" s="33" t="s">
        <v>17</v>
      </c>
      <c r="J127" s="70">
        <v>52525981</v>
      </c>
      <c r="K127" s="55" t="s">
        <v>2526</v>
      </c>
      <c r="L127" s="70" t="s">
        <v>2533</v>
      </c>
      <c r="M127" s="69">
        <v>299900</v>
      </c>
      <c r="N127" s="22">
        <f t="shared" si="15"/>
        <v>0.7</v>
      </c>
      <c r="O127" s="74">
        <f t="shared" si="8"/>
        <v>89970</v>
      </c>
      <c r="P127" s="22" t="str">
        <f t="shared" si="16"/>
        <v>PERCENTAGE</v>
      </c>
    </row>
    <row r="128" spans="1:16" x14ac:dyDescent="0.35">
      <c r="A128" s="14" t="str">
        <f t="shared" si="17"/>
        <v>2025 JAN-APR DISC 70%</v>
      </c>
      <c r="B128" s="34">
        <f t="shared" si="12"/>
        <v>46104</v>
      </c>
      <c r="C128" s="34">
        <f t="shared" si="13"/>
        <v>46113</v>
      </c>
      <c r="D128" s="33">
        <v>3281</v>
      </c>
      <c r="E128" s="33">
        <v>337</v>
      </c>
      <c r="F128" s="33">
        <v>4</v>
      </c>
      <c r="G128" s="55">
        <v>5</v>
      </c>
      <c r="H128" s="57">
        <v>81506</v>
      </c>
      <c r="I128" s="33" t="s">
        <v>17</v>
      </c>
      <c r="J128" s="70">
        <v>52525990</v>
      </c>
      <c r="K128" s="55" t="s">
        <v>2526</v>
      </c>
      <c r="L128" s="70" t="s">
        <v>2534</v>
      </c>
      <c r="M128" s="69">
        <v>299900</v>
      </c>
      <c r="N128" s="22">
        <f t="shared" si="15"/>
        <v>0.7</v>
      </c>
      <c r="O128" s="74">
        <f t="shared" si="8"/>
        <v>89970</v>
      </c>
      <c r="P128" s="22" t="str">
        <f t="shared" si="16"/>
        <v>PERCENTAGE</v>
      </c>
    </row>
    <row r="129" spans="1:16" x14ac:dyDescent="0.35">
      <c r="A129" s="14" t="str">
        <f t="shared" si="17"/>
        <v>2025 JAN-APR DISC 70%</v>
      </c>
      <c r="B129" s="34">
        <f t="shared" si="12"/>
        <v>46104</v>
      </c>
      <c r="C129" s="34">
        <f t="shared" si="13"/>
        <v>46113</v>
      </c>
      <c r="D129" s="33">
        <v>3281</v>
      </c>
      <c r="E129" s="33">
        <v>337</v>
      </c>
      <c r="F129" s="33">
        <v>4</v>
      </c>
      <c r="G129" s="55">
        <v>5</v>
      </c>
      <c r="H129" s="57">
        <v>81506</v>
      </c>
      <c r="I129" s="33" t="s">
        <v>17</v>
      </c>
      <c r="J129" s="70">
        <v>52526006</v>
      </c>
      <c r="K129" s="55" t="s">
        <v>2526</v>
      </c>
      <c r="L129" s="70" t="s">
        <v>2529</v>
      </c>
      <c r="M129" s="69">
        <v>299900</v>
      </c>
      <c r="N129" s="22">
        <f t="shared" si="15"/>
        <v>0.7</v>
      </c>
      <c r="O129" s="74">
        <f t="shared" si="8"/>
        <v>89970</v>
      </c>
      <c r="P129" s="22" t="str">
        <f t="shared" si="16"/>
        <v>PERCENTAGE</v>
      </c>
    </row>
    <row r="130" spans="1:16" x14ac:dyDescent="0.35">
      <c r="A130" s="14" t="str">
        <f t="shared" si="17"/>
        <v>2025 JAN-APR DISC 70%</v>
      </c>
      <c r="B130" s="34">
        <f t="shared" si="12"/>
        <v>46104</v>
      </c>
      <c r="C130" s="34">
        <f t="shared" si="13"/>
        <v>46113</v>
      </c>
      <c r="D130" s="33">
        <v>3281</v>
      </c>
      <c r="E130" s="33">
        <v>337</v>
      </c>
      <c r="F130" s="33">
        <v>4</v>
      </c>
      <c r="G130" s="55">
        <v>5</v>
      </c>
      <c r="H130" s="57">
        <v>81506</v>
      </c>
      <c r="I130" s="33" t="s">
        <v>17</v>
      </c>
      <c r="J130" s="70">
        <v>52526015</v>
      </c>
      <c r="K130" s="55" t="s">
        <v>2526</v>
      </c>
      <c r="L130" s="70" t="s">
        <v>2537</v>
      </c>
      <c r="M130" s="69">
        <v>299900</v>
      </c>
      <c r="N130" s="22">
        <f t="shared" si="15"/>
        <v>0.7</v>
      </c>
      <c r="O130" s="74">
        <f t="shared" si="8"/>
        <v>89970</v>
      </c>
      <c r="P130" s="22" t="str">
        <f t="shared" si="16"/>
        <v>PERCENTAGE</v>
      </c>
    </row>
    <row r="131" spans="1:16" x14ac:dyDescent="0.35">
      <c r="A131" s="14" t="str">
        <f t="shared" si="17"/>
        <v>2025 JAN-APR DISC 70%</v>
      </c>
      <c r="B131" s="34">
        <f t="shared" si="12"/>
        <v>46104</v>
      </c>
      <c r="C131" s="34">
        <f t="shared" si="13"/>
        <v>46113</v>
      </c>
      <c r="D131" s="33">
        <v>3281</v>
      </c>
      <c r="E131" s="33">
        <v>337</v>
      </c>
      <c r="F131" s="33">
        <v>4</v>
      </c>
      <c r="G131" s="55">
        <v>5</v>
      </c>
      <c r="H131" s="57">
        <v>81506</v>
      </c>
      <c r="I131" s="33" t="s">
        <v>17</v>
      </c>
      <c r="J131" s="70">
        <v>52526024</v>
      </c>
      <c r="K131" s="55" t="s">
        <v>2526</v>
      </c>
      <c r="L131" s="70" t="s">
        <v>2528</v>
      </c>
      <c r="M131" s="69">
        <v>299900</v>
      </c>
      <c r="N131" s="22">
        <f t="shared" si="15"/>
        <v>0.7</v>
      </c>
      <c r="O131" s="74">
        <f t="shared" ref="O131:O171" si="18">M131-((70*M131)/100)</f>
        <v>89970</v>
      </c>
      <c r="P131" s="22" t="str">
        <f t="shared" si="16"/>
        <v>PERCENTAGE</v>
      </c>
    </row>
    <row r="132" spans="1:16" x14ac:dyDescent="0.35">
      <c r="A132" s="14" t="str">
        <f t="shared" si="17"/>
        <v>2025 JAN-APR DISC 70%</v>
      </c>
      <c r="B132" s="34">
        <f t="shared" si="12"/>
        <v>46104</v>
      </c>
      <c r="C132" s="34">
        <f t="shared" si="13"/>
        <v>46113</v>
      </c>
      <c r="D132" s="33">
        <v>3281</v>
      </c>
      <c r="E132" s="33">
        <v>337</v>
      </c>
      <c r="F132" s="33">
        <v>4</v>
      </c>
      <c r="G132" s="55">
        <v>5</v>
      </c>
      <c r="H132" s="55">
        <v>81146</v>
      </c>
      <c r="I132" s="33" t="s">
        <v>17</v>
      </c>
      <c r="J132" s="70">
        <v>52526033</v>
      </c>
      <c r="K132" s="55" t="s">
        <v>2548</v>
      </c>
      <c r="L132" s="70" t="s">
        <v>2552</v>
      </c>
      <c r="M132" s="69">
        <v>279900</v>
      </c>
      <c r="N132" s="22">
        <f t="shared" si="15"/>
        <v>0.7</v>
      </c>
      <c r="O132" s="74">
        <f t="shared" si="18"/>
        <v>83970</v>
      </c>
      <c r="P132" s="22" t="str">
        <f t="shared" si="16"/>
        <v>PERCENTAGE</v>
      </c>
    </row>
    <row r="133" spans="1:16" x14ac:dyDescent="0.35">
      <c r="A133" s="14" t="str">
        <f t="shared" si="17"/>
        <v>2025 JAN-APR DISC 70%</v>
      </c>
      <c r="B133" s="34">
        <f t="shared" si="12"/>
        <v>46104</v>
      </c>
      <c r="C133" s="34">
        <f t="shared" si="13"/>
        <v>46113</v>
      </c>
      <c r="D133" s="33">
        <v>3281</v>
      </c>
      <c r="E133" s="33">
        <v>337</v>
      </c>
      <c r="F133" s="33">
        <v>4</v>
      </c>
      <c r="G133" s="55">
        <v>5</v>
      </c>
      <c r="H133" s="57">
        <v>81146</v>
      </c>
      <c r="I133" s="33" t="s">
        <v>17</v>
      </c>
      <c r="J133" s="70">
        <v>52526042</v>
      </c>
      <c r="K133" s="55" t="s">
        <v>2548</v>
      </c>
      <c r="L133" s="70" t="s">
        <v>2550</v>
      </c>
      <c r="M133" s="69">
        <v>279900</v>
      </c>
      <c r="N133" s="22">
        <f t="shared" si="15"/>
        <v>0.7</v>
      </c>
      <c r="O133" s="74">
        <f t="shared" si="18"/>
        <v>83970</v>
      </c>
      <c r="P133" s="22" t="str">
        <f t="shared" si="16"/>
        <v>PERCENTAGE</v>
      </c>
    </row>
    <row r="134" spans="1:16" x14ac:dyDescent="0.35">
      <c r="A134" s="14" t="str">
        <f t="shared" si="17"/>
        <v>2025 JAN-APR DISC 70%</v>
      </c>
      <c r="B134" s="34">
        <f t="shared" si="12"/>
        <v>46104</v>
      </c>
      <c r="C134" s="34">
        <f t="shared" si="13"/>
        <v>46113</v>
      </c>
      <c r="D134" s="33">
        <v>3281</v>
      </c>
      <c r="E134" s="33">
        <v>337</v>
      </c>
      <c r="F134" s="33">
        <v>4</v>
      </c>
      <c r="G134" s="55">
        <v>5</v>
      </c>
      <c r="H134" s="57">
        <v>81146</v>
      </c>
      <c r="I134" s="33" t="s">
        <v>17</v>
      </c>
      <c r="J134" s="70">
        <v>52526051</v>
      </c>
      <c r="K134" s="55" t="s">
        <v>2548</v>
      </c>
      <c r="L134" s="70" t="s">
        <v>2551</v>
      </c>
      <c r="M134" s="69">
        <v>279900</v>
      </c>
      <c r="N134" s="22">
        <f t="shared" si="15"/>
        <v>0.7</v>
      </c>
      <c r="O134" s="74">
        <f t="shared" si="18"/>
        <v>83970</v>
      </c>
      <c r="P134" s="22" t="str">
        <f t="shared" si="16"/>
        <v>PERCENTAGE</v>
      </c>
    </row>
    <row r="135" spans="1:16" x14ac:dyDescent="0.35">
      <c r="A135" s="14" t="str">
        <f t="shared" si="17"/>
        <v>2025 JAN-APR DISC 70%</v>
      </c>
      <c r="B135" s="34">
        <f t="shared" si="12"/>
        <v>46104</v>
      </c>
      <c r="C135" s="34">
        <f t="shared" si="13"/>
        <v>46113</v>
      </c>
      <c r="D135" s="33">
        <v>3281</v>
      </c>
      <c r="E135" s="33">
        <v>337</v>
      </c>
      <c r="F135" s="33">
        <v>4</v>
      </c>
      <c r="G135" s="55">
        <v>5</v>
      </c>
      <c r="H135" s="57">
        <v>81146</v>
      </c>
      <c r="I135" s="33" t="s">
        <v>17</v>
      </c>
      <c r="J135" s="70">
        <v>52526060</v>
      </c>
      <c r="K135" s="55" t="s">
        <v>2548</v>
      </c>
      <c r="L135" s="70" t="s">
        <v>2549</v>
      </c>
      <c r="M135" s="69">
        <v>279900</v>
      </c>
      <c r="N135" s="22">
        <f t="shared" si="15"/>
        <v>0.7</v>
      </c>
      <c r="O135" s="74">
        <f t="shared" si="18"/>
        <v>83970</v>
      </c>
      <c r="P135" s="22" t="str">
        <f t="shared" si="16"/>
        <v>PERCENTAGE</v>
      </c>
    </row>
    <row r="136" spans="1:16" x14ac:dyDescent="0.35">
      <c r="A136" s="14" t="str">
        <f t="shared" si="17"/>
        <v>2025 JAN-APR DISC 70%</v>
      </c>
      <c r="B136" s="34">
        <f t="shared" si="12"/>
        <v>46104</v>
      </c>
      <c r="C136" s="34">
        <f t="shared" si="13"/>
        <v>46113</v>
      </c>
      <c r="D136" s="33">
        <v>3281</v>
      </c>
      <c r="E136" s="33">
        <v>337</v>
      </c>
      <c r="F136" s="33">
        <v>4</v>
      </c>
      <c r="G136" s="55">
        <v>1</v>
      </c>
      <c r="H136" s="55">
        <v>81146</v>
      </c>
      <c r="I136" s="33" t="s">
        <v>17</v>
      </c>
      <c r="J136" s="70">
        <v>53401273</v>
      </c>
      <c r="K136" s="55" t="s">
        <v>3270</v>
      </c>
      <c r="L136" s="70" t="s">
        <v>3278</v>
      </c>
      <c r="M136" s="69">
        <v>169900</v>
      </c>
      <c r="N136" s="22">
        <f t="shared" si="15"/>
        <v>0.7</v>
      </c>
      <c r="O136" s="74">
        <f t="shared" si="18"/>
        <v>50970</v>
      </c>
      <c r="P136" s="22" t="str">
        <f t="shared" si="16"/>
        <v>PERCENTAGE</v>
      </c>
    </row>
    <row r="137" spans="1:16" x14ac:dyDescent="0.35">
      <c r="A137" s="14" t="str">
        <f t="shared" si="17"/>
        <v>2025 JAN-APR DISC 70%</v>
      </c>
      <c r="B137" s="34">
        <f t="shared" si="12"/>
        <v>46104</v>
      </c>
      <c r="C137" s="34">
        <f t="shared" si="13"/>
        <v>46113</v>
      </c>
      <c r="D137" s="33">
        <v>3281</v>
      </c>
      <c r="E137" s="33">
        <v>337</v>
      </c>
      <c r="F137" s="33">
        <v>4</v>
      </c>
      <c r="G137" s="55">
        <v>1</v>
      </c>
      <c r="H137" s="57">
        <v>81146</v>
      </c>
      <c r="I137" s="33" t="s">
        <v>17</v>
      </c>
      <c r="J137" s="70">
        <v>53401282</v>
      </c>
      <c r="K137" s="55" t="s">
        <v>3270</v>
      </c>
      <c r="L137" s="70" t="s">
        <v>3279</v>
      </c>
      <c r="M137" s="69">
        <v>169900</v>
      </c>
      <c r="N137" s="22">
        <f t="shared" si="15"/>
        <v>0.7</v>
      </c>
      <c r="O137" s="74">
        <f t="shared" si="18"/>
        <v>50970</v>
      </c>
      <c r="P137" s="22" t="str">
        <f t="shared" si="16"/>
        <v>PERCENTAGE</v>
      </c>
    </row>
    <row r="138" spans="1:16" x14ac:dyDescent="0.35">
      <c r="A138" s="14" t="str">
        <f t="shared" si="17"/>
        <v>2025 JAN-APR DISC 70%</v>
      </c>
      <c r="B138" s="34">
        <f t="shared" si="12"/>
        <v>46104</v>
      </c>
      <c r="C138" s="34">
        <f t="shared" si="13"/>
        <v>46113</v>
      </c>
      <c r="D138" s="33">
        <v>3281</v>
      </c>
      <c r="E138" s="33">
        <v>337</v>
      </c>
      <c r="F138" s="33">
        <v>4</v>
      </c>
      <c r="G138" s="55">
        <v>1</v>
      </c>
      <c r="H138" s="57">
        <v>81146</v>
      </c>
      <c r="I138" s="33" t="s">
        <v>17</v>
      </c>
      <c r="J138" s="70">
        <v>53401291</v>
      </c>
      <c r="K138" s="55" t="s">
        <v>3270</v>
      </c>
      <c r="L138" s="70" t="s">
        <v>3280</v>
      </c>
      <c r="M138" s="69">
        <v>169900</v>
      </c>
      <c r="N138" s="22">
        <f t="shared" si="15"/>
        <v>0.7</v>
      </c>
      <c r="O138" s="74">
        <f t="shared" si="18"/>
        <v>50970</v>
      </c>
      <c r="P138" s="22" t="str">
        <f t="shared" si="16"/>
        <v>PERCENTAGE</v>
      </c>
    </row>
    <row r="139" spans="1:16" x14ac:dyDescent="0.35">
      <c r="A139" s="14" t="str">
        <f t="shared" si="17"/>
        <v>2025 JAN-APR DISC 70%</v>
      </c>
      <c r="B139" s="34">
        <f t="shared" si="12"/>
        <v>46104</v>
      </c>
      <c r="C139" s="34">
        <f t="shared" si="13"/>
        <v>46113</v>
      </c>
      <c r="D139" s="33">
        <v>3281</v>
      </c>
      <c r="E139" s="33">
        <v>337</v>
      </c>
      <c r="F139" s="33">
        <v>4</v>
      </c>
      <c r="G139" s="55">
        <v>1</v>
      </c>
      <c r="H139" s="57">
        <v>81146</v>
      </c>
      <c r="I139" s="33" t="s">
        <v>17</v>
      </c>
      <c r="J139" s="70">
        <v>53401308</v>
      </c>
      <c r="K139" s="55" t="s">
        <v>3270</v>
      </c>
      <c r="L139" s="70" t="s">
        <v>3281</v>
      </c>
      <c r="M139" s="69">
        <v>169900</v>
      </c>
      <c r="N139" s="22">
        <f t="shared" si="15"/>
        <v>0.7</v>
      </c>
      <c r="O139" s="74">
        <f t="shared" si="18"/>
        <v>50970</v>
      </c>
      <c r="P139" s="22" t="str">
        <f t="shared" si="16"/>
        <v>PERCENTAGE</v>
      </c>
    </row>
    <row r="140" spans="1:16" x14ac:dyDescent="0.35">
      <c r="A140" s="14" t="str">
        <f t="shared" si="17"/>
        <v>2025 JAN-APR DISC 70%</v>
      </c>
      <c r="B140" s="34">
        <f t="shared" si="12"/>
        <v>46104</v>
      </c>
      <c r="C140" s="34">
        <f t="shared" si="13"/>
        <v>46113</v>
      </c>
      <c r="D140" s="33">
        <v>3281</v>
      </c>
      <c r="E140" s="33">
        <v>337</v>
      </c>
      <c r="F140" s="33">
        <v>4</v>
      </c>
      <c r="G140" s="55">
        <v>1</v>
      </c>
      <c r="H140" s="55">
        <v>81588</v>
      </c>
      <c r="I140" s="33" t="s">
        <v>17</v>
      </c>
      <c r="J140" s="70">
        <v>53401399</v>
      </c>
      <c r="K140" s="55" t="s">
        <v>3271</v>
      </c>
      <c r="L140" s="70" t="s">
        <v>3282</v>
      </c>
      <c r="M140" s="69">
        <v>149900</v>
      </c>
      <c r="N140" s="22">
        <f t="shared" si="15"/>
        <v>0.7</v>
      </c>
      <c r="O140" s="74">
        <f t="shared" si="18"/>
        <v>44970</v>
      </c>
      <c r="P140" s="22" t="str">
        <f t="shared" si="16"/>
        <v>PERCENTAGE</v>
      </c>
    </row>
    <row r="141" spans="1:16" x14ac:dyDescent="0.35">
      <c r="A141" s="14" t="str">
        <f t="shared" si="17"/>
        <v>2025 JAN-APR DISC 70%</v>
      </c>
      <c r="B141" s="34">
        <f t="shared" si="12"/>
        <v>46104</v>
      </c>
      <c r="C141" s="34">
        <f t="shared" si="13"/>
        <v>46113</v>
      </c>
      <c r="D141" s="33">
        <v>3281</v>
      </c>
      <c r="E141" s="33">
        <v>337</v>
      </c>
      <c r="F141" s="33">
        <v>4</v>
      </c>
      <c r="G141" s="55">
        <v>1</v>
      </c>
      <c r="H141" s="57">
        <v>81588</v>
      </c>
      <c r="I141" s="33" t="s">
        <v>17</v>
      </c>
      <c r="J141" s="70">
        <v>53401406</v>
      </c>
      <c r="K141" s="55" t="s">
        <v>3271</v>
      </c>
      <c r="L141" s="70" t="s">
        <v>3283</v>
      </c>
      <c r="M141" s="69">
        <v>149900</v>
      </c>
      <c r="N141" s="22">
        <f t="shared" si="15"/>
        <v>0.7</v>
      </c>
      <c r="O141" s="74">
        <f t="shared" si="18"/>
        <v>44970</v>
      </c>
      <c r="P141" s="22" t="str">
        <f t="shared" si="16"/>
        <v>PERCENTAGE</v>
      </c>
    </row>
    <row r="142" spans="1:16" x14ac:dyDescent="0.35">
      <c r="A142" s="14" t="str">
        <f t="shared" si="17"/>
        <v>2025 JAN-APR DISC 70%</v>
      </c>
      <c r="B142" s="34">
        <f t="shared" si="12"/>
        <v>46104</v>
      </c>
      <c r="C142" s="34">
        <f t="shared" si="13"/>
        <v>46113</v>
      </c>
      <c r="D142" s="33">
        <v>3281</v>
      </c>
      <c r="E142" s="33">
        <v>337</v>
      </c>
      <c r="F142" s="33">
        <v>4</v>
      </c>
      <c r="G142" s="55">
        <v>1</v>
      </c>
      <c r="H142" s="57">
        <v>81588</v>
      </c>
      <c r="I142" s="33" t="s">
        <v>17</v>
      </c>
      <c r="J142" s="70">
        <v>53401415</v>
      </c>
      <c r="K142" s="55" t="s">
        <v>3271</v>
      </c>
      <c r="L142" s="70" t="s">
        <v>3284</v>
      </c>
      <c r="M142" s="69">
        <v>149900</v>
      </c>
      <c r="N142" s="22">
        <f t="shared" si="15"/>
        <v>0.7</v>
      </c>
      <c r="O142" s="74">
        <f t="shared" si="18"/>
        <v>44970</v>
      </c>
      <c r="P142" s="22" t="str">
        <f t="shared" si="16"/>
        <v>PERCENTAGE</v>
      </c>
    </row>
    <row r="143" spans="1:16" x14ac:dyDescent="0.35">
      <c r="A143" s="14" t="str">
        <f t="shared" si="17"/>
        <v>2025 JAN-APR DISC 70%</v>
      </c>
      <c r="B143" s="34">
        <f t="shared" si="12"/>
        <v>46104</v>
      </c>
      <c r="C143" s="34">
        <f t="shared" si="13"/>
        <v>46113</v>
      </c>
      <c r="D143" s="33">
        <v>3281</v>
      </c>
      <c r="E143" s="33">
        <v>337</v>
      </c>
      <c r="F143" s="33">
        <v>4</v>
      </c>
      <c r="G143" s="55">
        <v>1</v>
      </c>
      <c r="H143" s="57">
        <v>81588</v>
      </c>
      <c r="I143" s="33" t="s">
        <v>17</v>
      </c>
      <c r="J143" s="70">
        <v>53401424</v>
      </c>
      <c r="K143" s="55" t="s">
        <v>3271</v>
      </c>
      <c r="L143" s="70" t="s">
        <v>3285</v>
      </c>
      <c r="M143" s="69">
        <v>149900</v>
      </c>
      <c r="N143" s="22">
        <f t="shared" si="15"/>
        <v>0.7</v>
      </c>
      <c r="O143" s="74">
        <f t="shared" si="18"/>
        <v>44970</v>
      </c>
      <c r="P143" s="22" t="str">
        <f t="shared" si="16"/>
        <v>PERCENTAGE</v>
      </c>
    </row>
    <row r="144" spans="1:16" x14ac:dyDescent="0.35">
      <c r="A144" s="14" t="str">
        <f t="shared" si="17"/>
        <v>2025 JAN-APR DISC 70%</v>
      </c>
      <c r="B144" s="34">
        <f t="shared" si="12"/>
        <v>46104</v>
      </c>
      <c r="C144" s="34">
        <f t="shared" si="13"/>
        <v>46113</v>
      </c>
      <c r="D144" s="33">
        <v>3281</v>
      </c>
      <c r="E144" s="33">
        <v>337</v>
      </c>
      <c r="F144" s="33">
        <v>4</v>
      </c>
      <c r="G144" s="55">
        <v>1</v>
      </c>
      <c r="H144" s="55">
        <v>81676</v>
      </c>
      <c r="I144" s="33" t="s">
        <v>17</v>
      </c>
      <c r="J144" s="70">
        <v>53401353</v>
      </c>
      <c r="K144" s="55" t="s">
        <v>3272</v>
      </c>
      <c r="L144" s="70" t="s">
        <v>3286</v>
      </c>
      <c r="M144" s="69">
        <v>149900</v>
      </c>
      <c r="N144" s="22">
        <f t="shared" si="15"/>
        <v>0.7</v>
      </c>
      <c r="O144" s="74">
        <f t="shared" si="18"/>
        <v>44970</v>
      </c>
      <c r="P144" s="22" t="str">
        <f t="shared" si="16"/>
        <v>PERCENTAGE</v>
      </c>
    </row>
    <row r="145" spans="1:16" x14ac:dyDescent="0.35">
      <c r="A145" s="14" t="str">
        <f t="shared" si="17"/>
        <v>2025 JAN-APR DISC 70%</v>
      </c>
      <c r="B145" s="34">
        <f t="shared" si="12"/>
        <v>46104</v>
      </c>
      <c r="C145" s="34">
        <f t="shared" si="13"/>
        <v>46113</v>
      </c>
      <c r="D145" s="33">
        <v>3281</v>
      </c>
      <c r="E145" s="33">
        <v>337</v>
      </c>
      <c r="F145" s="33">
        <v>4</v>
      </c>
      <c r="G145" s="55">
        <v>1</v>
      </c>
      <c r="H145" s="57">
        <v>81676</v>
      </c>
      <c r="I145" s="33" t="s">
        <v>17</v>
      </c>
      <c r="J145" s="70">
        <v>53401362</v>
      </c>
      <c r="K145" s="55" t="s">
        <v>3272</v>
      </c>
      <c r="L145" s="70" t="s">
        <v>3287</v>
      </c>
      <c r="M145" s="69">
        <v>149900</v>
      </c>
      <c r="N145" s="22">
        <f t="shared" si="15"/>
        <v>0.7</v>
      </c>
      <c r="O145" s="74">
        <f t="shared" si="18"/>
        <v>44970</v>
      </c>
      <c r="P145" s="22" t="str">
        <f t="shared" si="16"/>
        <v>PERCENTAGE</v>
      </c>
    </row>
    <row r="146" spans="1:16" x14ac:dyDescent="0.35">
      <c r="A146" s="14" t="str">
        <f t="shared" si="17"/>
        <v>2025 JAN-APR DISC 70%</v>
      </c>
      <c r="B146" s="34">
        <f t="shared" si="17"/>
        <v>46104</v>
      </c>
      <c r="C146" s="34">
        <f t="shared" si="17"/>
        <v>46113</v>
      </c>
      <c r="D146" s="33">
        <v>3281</v>
      </c>
      <c r="E146" s="33">
        <v>337</v>
      </c>
      <c r="F146" s="33">
        <v>4</v>
      </c>
      <c r="G146" s="55">
        <v>1</v>
      </c>
      <c r="H146" s="57">
        <v>81676</v>
      </c>
      <c r="I146" s="33" t="s">
        <v>17</v>
      </c>
      <c r="J146" s="70">
        <v>53401371</v>
      </c>
      <c r="K146" s="55" t="s">
        <v>3272</v>
      </c>
      <c r="L146" s="70" t="s">
        <v>3288</v>
      </c>
      <c r="M146" s="69">
        <v>149900</v>
      </c>
      <c r="N146" s="22">
        <f t="shared" si="15"/>
        <v>0.7</v>
      </c>
      <c r="O146" s="74">
        <f t="shared" si="18"/>
        <v>44970</v>
      </c>
      <c r="P146" s="22" t="str">
        <f t="shared" si="16"/>
        <v>PERCENTAGE</v>
      </c>
    </row>
    <row r="147" spans="1:16" x14ac:dyDescent="0.35">
      <c r="A147" s="14" t="str">
        <f t="shared" si="17"/>
        <v>2025 JAN-APR DISC 70%</v>
      </c>
      <c r="B147" s="34">
        <f t="shared" si="17"/>
        <v>46104</v>
      </c>
      <c r="C147" s="34">
        <f t="shared" si="17"/>
        <v>46113</v>
      </c>
      <c r="D147" s="33">
        <v>3281</v>
      </c>
      <c r="E147" s="33">
        <v>337</v>
      </c>
      <c r="F147" s="33">
        <v>4</v>
      </c>
      <c r="G147" s="55">
        <v>1</v>
      </c>
      <c r="H147" s="57">
        <v>81676</v>
      </c>
      <c r="I147" s="33" t="s">
        <v>17</v>
      </c>
      <c r="J147" s="70">
        <v>53401380</v>
      </c>
      <c r="K147" s="55" t="s">
        <v>3272</v>
      </c>
      <c r="L147" s="70" t="s">
        <v>3289</v>
      </c>
      <c r="M147" s="69">
        <v>149900</v>
      </c>
      <c r="N147" s="22">
        <f t="shared" si="15"/>
        <v>0.7</v>
      </c>
      <c r="O147" s="74">
        <f t="shared" si="18"/>
        <v>44970</v>
      </c>
      <c r="P147" s="22" t="str">
        <f t="shared" si="16"/>
        <v>PERCENTAGE</v>
      </c>
    </row>
    <row r="148" spans="1:16" x14ac:dyDescent="0.35">
      <c r="A148" s="14" t="str">
        <f t="shared" si="17"/>
        <v>2025 JAN-APR DISC 70%</v>
      </c>
      <c r="B148" s="34">
        <f t="shared" si="17"/>
        <v>46104</v>
      </c>
      <c r="C148" s="34">
        <f t="shared" si="17"/>
        <v>46113</v>
      </c>
      <c r="D148" s="33">
        <v>3281</v>
      </c>
      <c r="E148" s="33">
        <v>337</v>
      </c>
      <c r="F148" s="33">
        <v>4</v>
      </c>
      <c r="G148" s="55">
        <v>1</v>
      </c>
      <c r="H148" s="55">
        <v>81146</v>
      </c>
      <c r="I148" s="33" t="s">
        <v>17</v>
      </c>
      <c r="J148" s="70">
        <v>53401317</v>
      </c>
      <c r="K148" s="55" t="s">
        <v>3273</v>
      </c>
      <c r="L148" s="70" t="s">
        <v>3290</v>
      </c>
      <c r="M148" s="69">
        <v>169900</v>
      </c>
      <c r="N148" s="22">
        <f t="shared" si="15"/>
        <v>0.7</v>
      </c>
      <c r="O148" s="74">
        <f t="shared" si="18"/>
        <v>50970</v>
      </c>
      <c r="P148" s="22" t="str">
        <f t="shared" si="16"/>
        <v>PERCENTAGE</v>
      </c>
    </row>
    <row r="149" spans="1:16" x14ac:dyDescent="0.35">
      <c r="A149" s="14" t="str">
        <f t="shared" si="17"/>
        <v>2025 JAN-APR DISC 70%</v>
      </c>
      <c r="B149" s="34">
        <f t="shared" si="17"/>
        <v>46104</v>
      </c>
      <c r="C149" s="34">
        <f t="shared" si="17"/>
        <v>46113</v>
      </c>
      <c r="D149" s="33">
        <v>3281</v>
      </c>
      <c r="E149" s="33">
        <v>337</v>
      </c>
      <c r="F149" s="33">
        <v>4</v>
      </c>
      <c r="G149" s="55">
        <v>1</v>
      </c>
      <c r="H149" s="57">
        <v>81146</v>
      </c>
      <c r="I149" s="33" t="s">
        <v>17</v>
      </c>
      <c r="J149" s="70">
        <v>53401326</v>
      </c>
      <c r="K149" s="55" t="s">
        <v>3273</v>
      </c>
      <c r="L149" s="70" t="s">
        <v>3291</v>
      </c>
      <c r="M149" s="69">
        <v>169900</v>
      </c>
      <c r="N149" s="22">
        <f t="shared" si="15"/>
        <v>0.7</v>
      </c>
      <c r="O149" s="74">
        <f t="shared" si="18"/>
        <v>50970</v>
      </c>
      <c r="P149" s="22" t="str">
        <f t="shared" si="16"/>
        <v>PERCENTAGE</v>
      </c>
    </row>
    <row r="150" spans="1:16" x14ac:dyDescent="0.35">
      <c r="A150" s="14" t="str">
        <f t="shared" si="17"/>
        <v>2025 JAN-APR DISC 70%</v>
      </c>
      <c r="B150" s="34">
        <f t="shared" si="17"/>
        <v>46104</v>
      </c>
      <c r="C150" s="34">
        <f t="shared" si="17"/>
        <v>46113</v>
      </c>
      <c r="D150" s="33">
        <v>3281</v>
      </c>
      <c r="E150" s="33">
        <v>337</v>
      </c>
      <c r="F150" s="33">
        <v>4</v>
      </c>
      <c r="G150" s="55">
        <v>1</v>
      </c>
      <c r="H150" s="57">
        <v>81146</v>
      </c>
      <c r="I150" s="33" t="s">
        <v>17</v>
      </c>
      <c r="J150" s="70">
        <v>53401335</v>
      </c>
      <c r="K150" s="55" t="s">
        <v>3273</v>
      </c>
      <c r="L150" s="70" t="s">
        <v>3292</v>
      </c>
      <c r="M150" s="69">
        <v>169900</v>
      </c>
      <c r="N150" s="22">
        <f t="shared" si="15"/>
        <v>0.7</v>
      </c>
      <c r="O150" s="74">
        <f t="shared" si="18"/>
        <v>50970</v>
      </c>
      <c r="P150" s="22" t="str">
        <f t="shared" si="16"/>
        <v>PERCENTAGE</v>
      </c>
    </row>
    <row r="151" spans="1:16" x14ac:dyDescent="0.35">
      <c r="A151" s="14" t="str">
        <f t="shared" si="17"/>
        <v>2025 JAN-APR DISC 70%</v>
      </c>
      <c r="B151" s="34">
        <f t="shared" si="17"/>
        <v>46104</v>
      </c>
      <c r="C151" s="34">
        <f t="shared" si="17"/>
        <v>46113</v>
      </c>
      <c r="D151" s="33">
        <v>3281</v>
      </c>
      <c r="E151" s="33">
        <v>337</v>
      </c>
      <c r="F151" s="33">
        <v>4</v>
      </c>
      <c r="G151" s="55">
        <v>1</v>
      </c>
      <c r="H151" s="57">
        <v>81146</v>
      </c>
      <c r="I151" s="33" t="s">
        <v>17</v>
      </c>
      <c r="J151" s="70">
        <v>53401344</v>
      </c>
      <c r="K151" s="55" t="s">
        <v>3273</v>
      </c>
      <c r="L151" s="70" t="s">
        <v>3293</v>
      </c>
      <c r="M151" s="69">
        <v>169900</v>
      </c>
      <c r="N151" s="22">
        <f t="shared" si="15"/>
        <v>0.7</v>
      </c>
      <c r="O151" s="74">
        <f t="shared" si="18"/>
        <v>50970</v>
      </c>
      <c r="P151" s="22" t="str">
        <f t="shared" si="16"/>
        <v>PERCENTAGE</v>
      </c>
    </row>
    <row r="152" spans="1:16" x14ac:dyDescent="0.35">
      <c r="A152" s="14" t="str">
        <f t="shared" si="17"/>
        <v>2025 JAN-APR DISC 70%</v>
      </c>
      <c r="B152" s="34">
        <f t="shared" si="17"/>
        <v>46104</v>
      </c>
      <c r="C152" s="34">
        <f t="shared" si="17"/>
        <v>46113</v>
      </c>
      <c r="D152" s="33">
        <v>3281</v>
      </c>
      <c r="E152" s="33">
        <v>337</v>
      </c>
      <c r="F152" s="33">
        <v>4</v>
      </c>
      <c r="G152" s="55">
        <v>3</v>
      </c>
      <c r="H152" s="55">
        <v>81588</v>
      </c>
      <c r="I152" s="33" t="s">
        <v>17</v>
      </c>
      <c r="J152" s="70">
        <v>53401433</v>
      </c>
      <c r="K152" s="55" t="s">
        <v>3274</v>
      </c>
      <c r="L152" s="70" t="s">
        <v>3294</v>
      </c>
      <c r="M152" s="69">
        <v>299900</v>
      </c>
      <c r="N152" s="22">
        <f t="shared" si="15"/>
        <v>0.7</v>
      </c>
      <c r="O152" s="74">
        <f t="shared" si="18"/>
        <v>89970</v>
      </c>
      <c r="P152" s="22" t="str">
        <f t="shared" si="16"/>
        <v>PERCENTAGE</v>
      </c>
    </row>
    <row r="153" spans="1:16" x14ac:dyDescent="0.35">
      <c r="A153" s="14" t="str">
        <f t="shared" si="17"/>
        <v>2025 JAN-APR DISC 70%</v>
      </c>
      <c r="B153" s="34">
        <f t="shared" si="17"/>
        <v>46104</v>
      </c>
      <c r="C153" s="34">
        <f t="shared" si="17"/>
        <v>46113</v>
      </c>
      <c r="D153" s="33">
        <v>3281</v>
      </c>
      <c r="E153" s="33">
        <v>337</v>
      </c>
      <c r="F153" s="33">
        <v>4</v>
      </c>
      <c r="G153" s="55">
        <v>3</v>
      </c>
      <c r="H153" s="57">
        <v>81588</v>
      </c>
      <c r="I153" s="33" t="s">
        <v>17</v>
      </c>
      <c r="J153" s="70">
        <v>53401442</v>
      </c>
      <c r="K153" s="55" t="s">
        <v>3274</v>
      </c>
      <c r="L153" s="70" t="s">
        <v>3295</v>
      </c>
      <c r="M153" s="69">
        <v>299900</v>
      </c>
      <c r="N153" s="22">
        <f t="shared" si="15"/>
        <v>0.7</v>
      </c>
      <c r="O153" s="74">
        <f t="shared" si="18"/>
        <v>89970</v>
      </c>
      <c r="P153" s="22" t="str">
        <f t="shared" si="16"/>
        <v>PERCENTAGE</v>
      </c>
    </row>
    <row r="154" spans="1:16" x14ac:dyDescent="0.35">
      <c r="A154" s="14" t="str">
        <f t="shared" si="17"/>
        <v>2025 JAN-APR DISC 70%</v>
      </c>
      <c r="B154" s="34">
        <f t="shared" si="17"/>
        <v>46104</v>
      </c>
      <c r="C154" s="34">
        <f t="shared" si="17"/>
        <v>46113</v>
      </c>
      <c r="D154" s="33">
        <v>3281</v>
      </c>
      <c r="E154" s="33">
        <v>337</v>
      </c>
      <c r="F154" s="33">
        <v>4</v>
      </c>
      <c r="G154" s="55">
        <v>3</v>
      </c>
      <c r="H154" s="57">
        <v>81588</v>
      </c>
      <c r="I154" s="33" t="s">
        <v>17</v>
      </c>
      <c r="J154" s="70">
        <v>53401451</v>
      </c>
      <c r="K154" s="55" t="s">
        <v>3274</v>
      </c>
      <c r="L154" s="70" t="s">
        <v>3296</v>
      </c>
      <c r="M154" s="69">
        <v>299900</v>
      </c>
      <c r="N154" s="22">
        <f t="shared" si="15"/>
        <v>0.7</v>
      </c>
      <c r="O154" s="74">
        <f t="shared" si="18"/>
        <v>89970</v>
      </c>
      <c r="P154" s="22" t="str">
        <f t="shared" si="16"/>
        <v>PERCENTAGE</v>
      </c>
    </row>
    <row r="155" spans="1:16" x14ac:dyDescent="0.35">
      <c r="A155" s="14" t="str">
        <f t="shared" si="17"/>
        <v>2025 JAN-APR DISC 70%</v>
      </c>
      <c r="B155" s="34">
        <f t="shared" si="17"/>
        <v>46104</v>
      </c>
      <c r="C155" s="34">
        <f t="shared" si="17"/>
        <v>46113</v>
      </c>
      <c r="D155" s="33">
        <v>3281</v>
      </c>
      <c r="E155" s="33">
        <v>337</v>
      </c>
      <c r="F155" s="33">
        <v>4</v>
      </c>
      <c r="G155" s="55">
        <v>3</v>
      </c>
      <c r="H155" s="57">
        <v>81588</v>
      </c>
      <c r="I155" s="33" t="s">
        <v>17</v>
      </c>
      <c r="J155" s="70">
        <v>53401460</v>
      </c>
      <c r="K155" s="55" t="s">
        <v>3274</v>
      </c>
      <c r="L155" s="70" t="s">
        <v>3297</v>
      </c>
      <c r="M155" s="69">
        <v>299900</v>
      </c>
      <c r="N155" s="22">
        <f t="shared" si="15"/>
        <v>0.7</v>
      </c>
      <c r="O155" s="74">
        <f t="shared" si="18"/>
        <v>89970</v>
      </c>
      <c r="P155" s="22" t="str">
        <f t="shared" si="16"/>
        <v>PERCENTAGE</v>
      </c>
    </row>
    <row r="156" spans="1:16" x14ac:dyDescent="0.35">
      <c r="A156" s="14" t="str">
        <f t="shared" si="17"/>
        <v>2025 JAN-APR DISC 70%</v>
      </c>
      <c r="B156" s="34">
        <f t="shared" si="17"/>
        <v>46104</v>
      </c>
      <c r="C156" s="34">
        <f t="shared" si="17"/>
        <v>46113</v>
      </c>
      <c r="D156" s="33">
        <v>3281</v>
      </c>
      <c r="E156" s="33">
        <v>337</v>
      </c>
      <c r="F156" s="33">
        <v>4</v>
      </c>
      <c r="G156" s="55">
        <v>3</v>
      </c>
      <c r="H156" s="55">
        <v>81146</v>
      </c>
      <c r="I156" s="33" t="s">
        <v>17</v>
      </c>
      <c r="J156" s="70">
        <v>53401479</v>
      </c>
      <c r="K156" s="55" t="s">
        <v>2745</v>
      </c>
      <c r="L156" s="70" t="s">
        <v>3298</v>
      </c>
      <c r="M156" s="69">
        <v>229900</v>
      </c>
      <c r="N156" s="22">
        <f t="shared" si="15"/>
        <v>0.7</v>
      </c>
      <c r="O156" s="74">
        <f t="shared" si="18"/>
        <v>68970</v>
      </c>
      <c r="P156" s="22" t="str">
        <f t="shared" si="16"/>
        <v>PERCENTAGE</v>
      </c>
    </row>
    <row r="157" spans="1:16" x14ac:dyDescent="0.35">
      <c r="A157" s="14" t="str">
        <f t="shared" si="17"/>
        <v>2025 JAN-APR DISC 70%</v>
      </c>
      <c r="B157" s="34">
        <f t="shared" si="17"/>
        <v>46104</v>
      </c>
      <c r="C157" s="34">
        <f t="shared" si="17"/>
        <v>46113</v>
      </c>
      <c r="D157" s="33">
        <v>3281</v>
      </c>
      <c r="E157" s="33">
        <v>337</v>
      </c>
      <c r="F157" s="33">
        <v>4</v>
      </c>
      <c r="G157" s="55">
        <v>3</v>
      </c>
      <c r="H157" s="57">
        <v>81146</v>
      </c>
      <c r="I157" s="33" t="s">
        <v>17</v>
      </c>
      <c r="J157" s="70">
        <v>53401488</v>
      </c>
      <c r="K157" s="55" t="s">
        <v>2745</v>
      </c>
      <c r="L157" s="70" t="s">
        <v>3299</v>
      </c>
      <c r="M157" s="69">
        <v>229900</v>
      </c>
      <c r="N157" s="22">
        <f t="shared" si="15"/>
        <v>0.7</v>
      </c>
      <c r="O157" s="74">
        <f t="shared" si="18"/>
        <v>68970</v>
      </c>
      <c r="P157" s="22" t="str">
        <f t="shared" si="16"/>
        <v>PERCENTAGE</v>
      </c>
    </row>
    <row r="158" spans="1:16" x14ac:dyDescent="0.35">
      <c r="A158" s="14" t="str">
        <f t="shared" si="17"/>
        <v>2025 JAN-APR DISC 70%</v>
      </c>
      <c r="B158" s="34">
        <f t="shared" si="17"/>
        <v>46104</v>
      </c>
      <c r="C158" s="34">
        <f t="shared" si="17"/>
        <v>46113</v>
      </c>
      <c r="D158" s="33">
        <v>3281</v>
      </c>
      <c r="E158" s="33">
        <v>337</v>
      </c>
      <c r="F158" s="33">
        <v>4</v>
      </c>
      <c r="G158" s="55">
        <v>3</v>
      </c>
      <c r="H158" s="57">
        <v>81146</v>
      </c>
      <c r="I158" s="33" t="s">
        <v>17</v>
      </c>
      <c r="J158" s="70">
        <v>53401497</v>
      </c>
      <c r="K158" s="55" t="s">
        <v>2745</v>
      </c>
      <c r="L158" s="70" t="s">
        <v>3300</v>
      </c>
      <c r="M158" s="69">
        <v>229900</v>
      </c>
      <c r="N158" s="22">
        <f t="shared" si="15"/>
        <v>0.7</v>
      </c>
      <c r="O158" s="74">
        <f t="shared" si="18"/>
        <v>68970</v>
      </c>
      <c r="P158" s="22" t="str">
        <f t="shared" si="16"/>
        <v>PERCENTAGE</v>
      </c>
    </row>
    <row r="159" spans="1:16" x14ac:dyDescent="0.35">
      <c r="A159" s="14" t="str">
        <f t="shared" si="17"/>
        <v>2025 JAN-APR DISC 70%</v>
      </c>
      <c r="B159" s="34">
        <f t="shared" si="17"/>
        <v>46104</v>
      </c>
      <c r="C159" s="34">
        <f t="shared" si="17"/>
        <v>46113</v>
      </c>
      <c r="D159" s="33">
        <v>3281</v>
      </c>
      <c r="E159" s="33">
        <v>337</v>
      </c>
      <c r="F159" s="33">
        <v>4</v>
      </c>
      <c r="G159" s="55">
        <v>3</v>
      </c>
      <c r="H159" s="57">
        <v>81146</v>
      </c>
      <c r="I159" s="33" t="s">
        <v>17</v>
      </c>
      <c r="J159" s="70">
        <v>53401504</v>
      </c>
      <c r="K159" s="55" t="s">
        <v>2745</v>
      </c>
      <c r="L159" s="70" t="s">
        <v>3301</v>
      </c>
      <c r="M159" s="69">
        <v>229900</v>
      </c>
      <c r="N159" s="22">
        <f t="shared" si="15"/>
        <v>0.7</v>
      </c>
      <c r="O159" s="74">
        <f t="shared" si="18"/>
        <v>68970</v>
      </c>
      <c r="P159" s="22" t="str">
        <f t="shared" si="16"/>
        <v>PERCENTAGE</v>
      </c>
    </row>
    <row r="160" spans="1:16" x14ac:dyDescent="0.35">
      <c r="A160" s="14" t="str">
        <f t="shared" si="17"/>
        <v>2025 JAN-APR DISC 70%</v>
      </c>
      <c r="B160" s="34">
        <f t="shared" si="17"/>
        <v>46104</v>
      </c>
      <c r="C160" s="34">
        <f t="shared" si="17"/>
        <v>46113</v>
      </c>
      <c r="D160" s="20">
        <v>3281</v>
      </c>
      <c r="E160" s="20">
        <v>337</v>
      </c>
      <c r="F160" s="20">
        <v>4</v>
      </c>
      <c r="G160" s="55">
        <v>4</v>
      </c>
      <c r="H160" s="55">
        <v>81588</v>
      </c>
      <c r="I160" s="20" t="s">
        <v>17</v>
      </c>
      <c r="J160" s="70">
        <v>53401513</v>
      </c>
      <c r="K160" s="55" t="s">
        <v>3275</v>
      </c>
      <c r="L160" s="70" t="s">
        <v>3302</v>
      </c>
      <c r="M160" s="69">
        <v>199900</v>
      </c>
      <c r="N160" s="22">
        <f t="shared" si="15"/>
        <v>0.7</v>
      </c>
      <c r="O160" s="74">
        <f t="shared" si="18"/>
        <v>59970</v>
      </c>
      <c r="P160" s="22" t="str">
        <f t="shared" si="16"/>
        <v>PERCENTAGE</v>
      </c>
    </row>
    <row r="161" spans="1:16" x14ac:dyDescent="0.35">
      <c r="A161" s="14" t="str">
        <f t="shared" si="17"/>
        <v>2025 JAN-APR DISC 70%</v>
      </c>
      <c r="B161" s="34">
        <f t="shared" si="17"/>
        <v>46104</v>
      </c>
      <c r="C161" s="34">
        <f t="shared" si="17"/>
        <v>46113</v>
      </c>
      <c r="D161" s="33">
        <v>3281</v>
      </c>
      <c r="E161" s="33">
        <v>337</v>
      </c>
      <c r="F161" s="33">
        <v>4</v>
      </c>
      <c r="G161" s="24">
        <v>4</v>
      </c>
      <c r="H161" s="24">
        <v>81588</v>
      </c>
      <c r="I161" s="33" t="s">
        <v>17</v>
      </c>
      <c r="J161" s="23">
        <v>53401522</v>
      </c>
      <c r="K161" s="24" t="s">
        <v>3275</v>
      </c>
      <c r="L161" s="23" t="s">
        <v>3303</v>
      </c>
      <c r="M161" s="25">
        <v>199900</v>
      </c>
      <c r="N161" s="22">
        <f t="shared" si="15"/>
        <v>0.7</v>
      </c>
      <c r="O161" s="74">
        <f t="shared" si="18"/>
        <v>59970</v>
      </c>
      <c r="P161" s="22" t="str">
        <f t="shared" si="16"/>
        <v>PERCENTAGE</v>
      </c>
    </row>
    <row r="162" spans="1:16" x14ac:dyDescent="0.35">
      <c r="A162" s="14" t="str">
        <f t="shared" si="17"/>
        <v>2025 JAN-APR DISC 70%</v>
      </c>
      <c r="B162" s="34">
        <f t="shared" si="17"/>
        <v>46104</v>
      </c>
      <c r="C162" s="34">
        <f t="shared" si="17"/>
        <v>46113</v>
      </c>
      <c r="D162" s="33">
        <v>3281</v>
      </c>
      <c r="E162" s="33">
        <v>337</v>
      </c>
      <c r="F162" s="33">
        <v>4</v>
      </c>
      <c r="G162" s="24">
        <v>4</v>
      </c>
      <c r="H162" s="24">
        <v>81588</v>
      </c>
      <c r="I162" s="33" t="s">
        <v>17</v>
      </c>
      <c r="J162" s="23">
        <v>53401531</v>
      </c>
      <c r="K162" s="24" t="s">
        <v>3275</v>
      </c>
      <c r="L162" s="23" t="s">
        <v>3304</v>
      </c>
      <c r="M162" s="25">
        <v>199900</v>
      </c>
      <c r="N162" s="22">
        <f t="shared" si="15"/>
        <v>0.7</v>
      </c>
      <c r="O162" s="74">
        <f t="shared" si="18"/>
        <v>59970</v>
      </c>
      <c r="P162" s="22" t="str">
        <f t="shared" si="16"/>
        <v>PERCENTAGE</v>
      </c>
    </row>
    <row r="163" spans="1:16" x14ac:dyDescent="0.35">
      <c r="A163" s="14" t="str">
        <f t="shared" si="17"/>
        <v>2025 JAN-APR DISC 70%</v>
      </c>
      <c r="B163" s="34">
        <f t="shared" si="17"/>
        <v>46104</v>
      </c>
      <c r="C163" s="34">
        <f t="shared" si="17"/>
        <v>46113</v>
      </c>
      <c r="D163" s="33">
        <v>3281</v>
      </c>
      <c r="E163" s="33">
        <v>337</v>
      </c>
      <c r="F163" s="33">
        <v>4</v>
      </c>
      <c r="G163" s="24">
        <v>4</v>
      </c>
      <c r="H163" s="24">
        <v>81588</v>
      </c>
      <c r="I163" s="33" t="s">
        <v>17</v>
      </c>
      <c r="J163" s="23">
        <v>53401540</v>
      </c>
      <c r="K163" s="24" t="s">
        <v>3275</v>
      </c>
      <c r="L163" s="23" t="s">
        <v>3305</v>
      </c>
      <c r="M163" s="25">
        <v>199900</v>
      </c>
      <c r="N163" s="22">
        <f t="shared" si="15"/>
        <v>0.7</v>
      </c>
      <c r="O163" s="74">
        <f t="shared" si="18"/>
        <v>59970</v>
      </c>
      <c r="P163" s="22" t="str">
        <f t="shared" si="16"/>
        <v>PERCENTAGE</v>
      </c>
    </row>
    <row r="164" spans="1:16" x14ac:dyDescent="0.35">
      <c r="A164" s="14" t="str">
        <f t="shared" si="17"/>
        <v>2025 JAN-APR DISC 70%</v>
      </c>
      <c r="B164" s="34">
        <f t="shared" si="17"/>
        <v>46104</v>
      </c>
      <c r="C164" s="34">
        <f t="shared" si="17"/>
        <v>46113</v>
      </c>
      <c r="D164" s="33">
        <v>3281</v>
      </c>
      <c r="E164" s="33">
        <v>337</v>
      </c>
      <c r="F164" s="33">
        <v>4</v>
      </c>
      <c r="G164" s="24">
        <v>5</v>
      </c>
      <c r="H164" s="24">
        <v>81146</v>
      </c>
      <c r="I164" s="33" t="s">
        <v>17</v>
      </c>
      <c r="J164" s="23">
        <v>53401559</v>
      </c>
      <c r="K164" s="24" t="s">
        <v>3276</v>
      </c>
      <c r="L164" s="23" t="s">
        <v>3306</v>
      </c>
      <c r="M164" s="25">
        <v>259900</v>
      </c>
      <c r="N164" s="22">
        <f t="shared" si="15"/>
        <v>0.7</v>
      </c>
      <c r="O164" s="74">
        <f t="shared" si="18"/>
        <v>77970</v>
      </c>
      <c r="P164" s="22" t="str">
        <f t="shared" si="16"/>
        <v>PERCENTAGE</v>
      </c>
    </row>
    <row r="165" spans="1:16" x14ac:dyDescent="0.35">
      <c r="A165" s="14" t="str">
        <f t="shared" si="17"/>
        <v>2025 JAN-APR DISC 70%</v>
      </c>
      <c r="B165" s="34">
        <f t="shared" si="17"/>
        <v>46104</v>
      </c>
      <c r="C165" s="34">
        <f t="shared" si="17"/>
        <v>46113</v>
      </c>
      <c r="D165" s="33">
        <v>3281</v>
      </c>
      <c r="E165" s="33">
        <v>337</v>
      </c>
      <c r="F165" s="33">
        <v>4</v>
      </c>
      <c r="G165" s="24">
        <v>5</v>
      </c>
      <c r="H165" s="24">
        <v>81146</v>
      </c>
      <c r="I165" s="33" t="s">
        <v>17</v>
      </c>
      <c r="J165" s="23">
        <v>53401568</v>
      </c>
      <c r="K165" s="24" t="s">
        <v>3276</v>
      </c>
      <c r="L165" s="23" t="s">
        <v>3307</v>
      </c>
      <c r="M165" s="25">
        <v>259900</v>
      </c>
      <c r="N165" s="22">
        <f t="shared" si="15"/>
        <v>0.7</v>
      </c>
      <c r="O165" s="74">
        <f t="shared" si="18"/>
        <v>77970</v>
      </c>
      <c r="P165" s="22" t="str">
        <f t="shared" si="16"/>
        <v>PERCENTAGE</v>
      </c>
    </row>
    <row r="166" spans="1:16" x14ac:dyDescent="0.35">
      <c r="A166" s="14" t="str">
        <f t="shared" si="17"/>
        <v>2025 JAN-APR DISC 70%</v>
      </c>
      <c r="B166" s="34">
        <f t="shared" si="17"/>
        <v>46104</v>
      </c>
      <c r="C166" s="34">
        <f t="shared" si="17"/>
        <v>46113</v>
      </c>
      <c r="D166" s="33">
        <v>3281</v>
      </c>
      <c r="E166" s="33">
        <v>337</v>
      </c>
      <c r="F166" s="33">
        <v>4</v>
      </c>
      <c r="G166" s="24">
        <v>5</v>
      </c>
      <c r="H166" s="24">
        <v>81146</v>
      </c>
      <c r="I166" s="33" t="s">
        <v>17</v>
      </c>
      <c r="J166" s="23">
        <v>53401577</v>
      </c>
      <c r="K166" s="24" t="s">
        <v>3276</v>
      </c>
      <c r="L166" s="23" t="s">
        <v>3308</v>
      </c>
      <c r="M166" s="25">
        <v>259900</v>
      </c>
      <c r="N166" s="22">
        <f t="shared" si="15"/>
        <v>0.7</v>
      </c>
      <c r="O166" s="74">
        <f t="shared" si="18"/>
        <v>77970</v>
      </c>
      <c r="P166" s="22" t="str">
        <f t="shared" si="16"/>
        <v>PERCENTAGE</v>
      </c>
    </row>
    <row r="167" spans="1:16" x14ac:dyDescent="0.35">
      <c r="A167" s="14" t="str">
        <f t="shared" si="17"/>
        <v>2025 JAN-APR DISC 70%</v>
      </c>
      <c r="B167" s="34">
        <f t="shared" si="17"/>
        <v>46104</v>
      </c>
      <c r="C167" s="34">
        <f t="shared" si="17"/>
        <v>46113</v>
      </c>
      <c r="D167" s="33">
        <v>3281</v>
      </c>
      <c r="E167" s="33">
        <v>337</v>
      </c>
      <c r="F167" s="33">
        <v>4</v>
      </c>
      <c r="G167" s="24">
        <v>5</v>
      </c>
      <c r="H167" s="24">
        <v>81146</v>
      </c>
      <c r="I167" s="33" t="s">
        <v>17</v>
      </c>
      <c r="J167" s="23">
        <v>53401586</v>
      </c>
      <c r="K167" s="24" t="s">
        <v>3276</v>
      </c>
      <c r="L167" s="23" t="s">
        <v>3309</v>
      </c>
      <c r="M167" s="25">
        <v>259900</v>
      </c>
      <c r="N167" s="22">
        <f t="shared" ref="N167:N171" si="19">N166</f>
        <v>0.7</v>
      </c>
      <c r="O167" s="74">
        <f t="shared" si="18"/>
        <v>77970</v>
      </c>
      <c r="P167" s="22" t="str">
        <f t="shared" ref="P167:P171" si="20">P166</f>
        <v>PERCENTAGE</v>
      </c>
    </row>
    <row r="168" spans="1:16" x14ac:dyDescent="0.35">
      <c r="A168" s="14" t="str">
        <f t="shared" si="17"/>
        <v>2025 JAN-APR DISC 70%</v>
      </c>
      <c r="B168" s="34">
        <f t="shared" si="17"/>
        <v>46104</v>
      </c>
      <c r="C168" s="34">
        <f t="shared" si="17"/>
        <v>46113</v>
      </c>
      <c r="D168" s="33">
        <v>3281</v>
      </c>
      <c r="E168" s="33">
        <v>337</v>
      </c>
      <c r="F168" s="33">
        <v>4</v>
      </c>
      <c r="G168" s="24">
        <v>5</v>
      </c>
      <c r="H168" s="24">
        <v>81146</v>
      </c>
      <c r="I168" s="33" t="s">
        <v>17</v>
      </c>
      <c r="J168" s="23">
        <v>53401595</v>
      </c>
      <c r="K168" s="24" t="s">
        <v>3277</v>
      </c>
      <c r="L168" s="23" t="s">
        <v>3310</v>
      </c>
      <c r="M168" s="25">
        <v>259900</v>
      </c>
      <c r="N168" s="22">
        <f t="shared" si="19"/>
        <v>0.7</v>
      </c>
      <c r="O168" s="74">
        <f t="shared" si="18"/>
        <v>77970</v>
      </c>
      <c r="P168" s="22" t="str">
        <f t="shared" si="20"/>
        <v>PERCENTAGE</v>
      </c>
    </row>
    <row r="169" spans="1:16" x14ac:dyDescent="0.35">
      <c r="A169" s="14" t="str">
        <f t="shared" si="17"/>
        <v>2025 JAN-APR DISC 70%</v>
      </c>
      <c r="B169" s="34">
        <f t="shared" si="17"/>
        <v>46104</v>
      </c>
      <c r="C169" s="34">
        <f t="shared" si="17"/>
        <v>46113</v>
      </c>
      <c r="D169" s="33">
        <v>3281</v>
      </c>
      <c r="E169" s="33">
        <v>337</v>
      </c>
      <c r="F169" s="33">
        <v>4</v>
      </c>
      <c r="G169" s="24">
        <v>5</v>
      </c>
      <c r="H169" s="24">
        <v>81146</v>
      </c>
      <c r="I169" s="33" t="s">
        <v>17</v>
      </c>
      <c r="J169" s="23">
        <v>53401602</v>
      </c>
      <c r="K169" s="24" t="s">
        <v>3277</v>
      </c>
      <c r="L169" s="23" t="s">
        <v>3311</v>
      </c>
      <c r="M169" s="25">
        <v>259900</v>
      </c>
      <c r="N169" s="22">
        <f t="shared" si="19"/>
        <v>0.7</v>
      </c>
      <c r="O169" s="74">
        <f t="shared" si="18"/>
        <v>77970</v>
      </c>
      <c r="P169" s="22" t="str">
        <f t="shared" si="20"/>
        <v>PERCENTAGE</v>
      </c>
    </row>
    <row r="170" spans="1:16" x14ac:dyDescent="0.35">
      <c r="A170" s="14" t="str">
        <f t="shared" si="17"/>
        <v>2025 JAN-APR DISC 70%</v>
      </c>
      <c r="B170" s="34">
        <f t="shared" si="17"/>
        <v>46104</v>
      </c>
      <c r="C170" s="34">
        <f t="shared" si="17"/>
        <v>46113</v>
      </c>
      <c r="D170" s="33">
        <v>3281</v>
      </c>
      <c r="E170" s="33">
        <v>337</v>
      </c>
      <c r="F170" s="33">
        <v>4</v>
      </c>
      <c r="G170" s="24">
        <v>5</v>
      </c>
      <c r="H170" s="24">
        <v>81146</v>
      </c>
      <c r="I170" s="33" t="s">
        <v>17</v>
      </c>
      <c r="J170" s="23">
        <v>53401611</v>
      </c>
      <c r="K170" s="24" t="s">
        <v>3277</v>
      </c>
      <c r="L170" s="23" t="s">
        <v>3312</v>
      </c>
      <c r="M170" s="25">
        <v>259900</v>
      </c>
      <c r="N170" s="22">
        <f t="shared" si="19"/>
        <v>0.7</v>
      </c>
      <c r="O170" s="74">
        <f t="shared" si="18"/>
        <v>77970</v>
      </c>
      <c r="P170" s="22" t="str">
        <f t="shared" si="20"/>
        <v>PERCENTAGE</v>
      </c>
    </row>
    <row r="171" spans="1:16" x14ac:dyDescent="0.35">
      <c r="A171" s="14" t="str">
        <f t="shared" si="17"/>
        <v>2025 JAN-APR DISC 70%</v>
      </c>
      <c r="B171" s="34">
        <f t="shared" si="17"/>
        <v>46104</v>
      </c>
      <c r="C171" s="34">
        <f t="shared" si="17"/>
        <v>46113</v>
      </c>
      <c r="D171" s="33">
        <v>3281</v>
      </c>
      <c r="E171" s="33">
        <v>337</v>
      </c>
      <c r="F171" s="33">
        <v>4</v>
      </c>
      <c r="G171" s="24">
        <v>5</v>
      </c>
      <c r="H171" s="24">
        <v>81146</v>
      </c>
      <c r="I171" s="33" t="s">
        <v>17</v>
      </c>
      <c r="J171" s="23">
        <v>53401620</v>
      </c>
      <c r="K171" s="24" t="s">
        <v>3277</v>
      </c>
      <c r="L171" s="23" t="s">
        <v>3313</v>
      </c>
      <c r="M171" s="25">
        <v>259900</v>
      </c>
      <c r="N171" s="22">
        <f t="shared" si="19"/>
        <v>0.7</v>
      </c>
      <c r="O171" s="74">
        <f t="shared" si="18"/>
        <v>77970</v>
      </c>
      <c r="P171" s="22" t="str">
        <f t="shared" si="20"/>
        <v>PERCENTAGE</v>
      </c>
    </row>
  </sheetData>
  <autoFilter ref="A1:P1" xr:uid="{00000000-0009-0000-0000-000005000000}">
    <sortState xmlns:xlrd2="http://schemas.microsoft.com/office/spreadsheetml/2017/richdata2" ref="A2:P153">
      <sortCondition ref="K1"/>
    </sortState>
  </autoFilter>
  <phoneticPr fontId="8" type="noConversion"/>
  <conditionalFormatting sqref="J1:J1048576">
    <cfRule type="duplicateValues" dxfId="7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C4293-27D0-4ED1-98AA-CE3EEFC7267D}">
  <sheetPr>
    <tabColor rgb="FFFFFF00"/>
  </sheetPr>
  <dimension ref="A1:P345"/>
  <sheetViews>
    <sheetView topLeftCell="C1" zoomScale="63" zoomScaleNormal="100" workbookViewId="0">
      <pane ySplit="1" topLeftCell="A343" activePane="bottomLeft" state="frozen"/>
      <selection activeCell="B2" sqref="B2:C2"/>
      <selection pane="bottomLeft" activeCell="Q416" sqref="Q416"/>
    </sheetView>
  </sheetViews>
  <sheetFormatPr defaultColWidth="8.7265625" defaultRowHeight="14.5" x14ac:dyDescent="0.35"/>
  <cols>
    <col min="1" max="1" width="24.26953125" style="32" customWidth="1"/>
    <col min="2" max="2" width="16.1796875" style="37" bestFit="1" customWidth="1"/>
    <col min="3" max="3" width="13.26953125" style="37" bestFit="1" customWidth="1"/>
    <col min="4" max="4" width="10" style="32" bestFit="1" customWidth="1"/>
    <col min="5" max="5" width="12.26953125" style="32" bestFit="1" customWidth="1"/>
    <col min="6" max="6" width="13.7265625" style="32" bestFit="1" customWidth="1"/>
    <col min="7" max="7" width="10.81640625" style="32" bestFit="1" customWidth="1"/>
    <col min="8" max="8" width="13.81640625" style="32" bestFit="1" customWidth="1"/>
    <col min="9" max="9" width="17" style="32" customWidth="1"/>
    <col min="10" max="10" width="9.54296875" style="32" bestFit="1" customWidth="1"/>
    <col min="11" max="11" width="11.453125" style="32" customWidth="1"/>
    <col min="12" max="12" width="88.54296875" style="19" customWidth="1"/>
    <col min="13" max="13" width="17.26953125" style="38" customWidth="1"/>
    <col min="14" max="14" width="9.26953125" style="5" customWidth="1"/>
    <col min="15" max="15" width="16.26953125" style="38" customWidth="1"/>
    <col min="16" max="16" width="16.26953125" style="32" customWidth="1"/>
    <col min="17" max="16384" width="8.7265625" style="32"/>
  </cols>
  <sheetData>
    <row r="1" spans="1:16" ht="30.75" customHeight="1" x14ac:dyDescent="0.35">
      <c r="A1" s="28" t="s">
        <v>0</v>
      </c>
      <c r="B1" s="29" t="s">
        <v>15</v>
      </c>
      <c r="C1" s="29" t="s">
        <v>11</v>
      </c>
      <c r="D1" s="28" t="s">
        <v>1</v>
      </c>
      <c r="E1" s="28" t="s">
        <v>2</v>
      </c>
      <c r="F1" s="28" t="s">
        <v>12</v>
      </c>
      <c r="G1" s="30" t="s">
        <v>3</v>
      </c>
      <c r="H1" s="30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31" t="s">
        <v>14</v>
      </c>
      <c r="N1" s="13" t="s">
        <v>8</v>
      </c>
      <c r="O1" s="31" t="s">
        <v>9</v>
      </c>
      <c r="P1" s="28" t="s">
        <v>10</v>
      </c>
    </row>
    <row r="2" spans="1:16" x14ac:dyDescent="0.35">
      <c r="A2" s="33" t="s">
        <v>3335</v>
      </c>
      <c r="B2" s="34">
        <v>46104</v>
      </c>
      <c r="C2" s="34">
        <v>46113</v>
      </c>
      <c r="D2" s="33">
        <v>3281</v>
      </c>
      <c r="E2" s="33">
        <v>337</v>
      </c>
      <c r="F2" s="33">
        <v>4</v>
      </c>
      <c r="G2" s="54">
        <v>1</v>
      </c>
      <c r="H2" s="24">
        <v>80920</v>
      </c>
      <c r="I2" s="50" t="s">
        <v>17</v>
      </c>
      <c r="J2" s="70">
        <v>13493204</v>
      </c>
      <c r="K2" s="70" t="s">
        <v>170</v>
      </c>
      <c r="L2" s="70" t="s">
        <v>171</v>
      </c>
      <c r="M2" s="69">
        <v>149900</v>
      </c>
      <c r="N2" s="36">
        <v>0.75</v>
      </c>
      <c r="O2" s="35">
        <f>M2-((75*M2))/100</f>
        <v>37475</v>
      </c>
      <c r="P2" s="33" t="s">
        <v>16</v>
      </c>
    </row>
    <row r="3" spans="1:16" x14ac:dyDescent="0.35">
      <c r="A3" s="33" t="str">
        <f>A2</f>
        <v>2024 JAN-DEC DISC 75%</v>
      </c>
      <c r="B3" s="34">
        <f>B2</f>
        <v>46104</v>
      </c>
      <c r="C3" s="34">
        <f>C2</f>
        <v>46113</v>
      </c>
      <c r="D3" s="33">
        <v>3281</v>
      </c>
      <c r="E3" s="33">
        <v>337</v>
      </c>
      <c r="F3" s="33">
        <v>4</v>
      </c>
      <c r="G3" s="54">
        <v>1</v>
      </c>
      <c r="H3" s="24">
        <v>80920</v>
      </c>
      <c r="I3" s="50" t="s">
        <v>17</v>
      </c>
      <c r="J3" s="70">
        <v>13493213</v>
      </c>
      <c r="K3" s="70" t="s">
        <v>170</v>
      </c>
      <c r="L3" s="70" t="s">
        <v>172</v>
      </c>
      <c r="M3" s="69">
        <v>149900</v>
      </c>
      <c r="N3" s="36">
        <f>N2</f>
        <v>0.75</v>
      </c>
      <c r="O3" s="35">
        <f t="shared" ref="O3:O60" si="0">M3-((75*M3))/100</f>
        <v>37475</v>
      </c>
      <c r="P3" s="33" t="s">
        <v>16</v>
      </c>
    </row>
    <row r="4" spans="1:16" x14ac:dyDescent="0.35">
      <c r="A4" s="33" t="str">
        <f t="shared" ref="A4:C10" si="1">A3</f>
        <v>2024 JAN-DEC DISC 75%</v>
      </c>
      <c r="B4" s="34">
        <f t="shared" si="1"/>
        <v>46104</v>
      </c>
      <c r="C4" s="34">
        <f t="shared" si="1"/>
        <v>46113</v>
      </c>
      <c r="D4" s="33">
        <v>3281</v>
      </c>
      <c r="E4" s="33">
        <v>337</v>
      </c>
      <c r="F4" s="33">
        <v>4</v>
      </c>
      <c r="G4" s="54">
        <v>1</v>
      </c>
      <c r="H4" s="24">
        <v>80920</v>
      </c>
      <c r="I4" s="50" t="s">
        <v>17</v>
      </c>
      <c r="J4" s="70">
        <v>13493222</v>
      </c>
      <c r="K4" s="70" t="s">
        <v>170</v>
      </c>
      <c r="L4" s="70" t="s">
        <v>173</v>
      </c>
      <c r="M4" s="69">
        <v>149900</v>
      </c>
      <c r="N4" s="36">
        <f t="shared" ref="N4:N67" si="2">N3</f>
        <v>0.75</v>
      </c>
      <c r="O4" s="35">
        <f t="shared" si="0"/>
        <v>37475</v>
      </c>
      <c r="P4" s="33" t="s">
        <v>16</v>
      </c>
    </row>
    <row r="5" spans="1:16" x14ac:dyDescent="0.35">
      <c r="A5" s="33" t="str">
        <f t="shared" si="1"/>
        <v>2024 JAN-DEC DISC 75%</v>
      </c>
      <c r="B5" s="34">
        <f t="shared" si="1"/>
        <v>46104</v>
      </c>
      <c r="C5" s="34">
        <f t="shared" si="1"/>
        <v>46113</v>
      </c>
      <c r="D5" s="33">
        <v>3281</v>
      </c>
      <c r="E5" s="33">
        <v>337</v>
      </c>
      <c r="F5" s="33">
        <v>4</v>
      </c>
      <c r="G5" s="55">
        <v>1</v>
      </c>
      <c r="H5" s="24">
        <v>80920</v>
      </c>
      <c r="I5" s="50" t="s">
        <v>17</v>
      </c>
      <c r="J5" s="70">
        <v>13493231</v>
      </c>
      <c r="K5" s="70" t="s">
        <v>170</v>
      </c>
      <c r="L5" s="70" t="s">
        <v>174</v>
      </c>
      <c r="M5" s="69">
        <v>149900</v>
      </c>
      <c r="N5" s="36">
        <f t="shared" si="2"/>
        <v>0.75</v>
      </c>
      <c r="O5" s="35">
        <f t="shared" si="0"/>
        <v>37475</v>
      </c>
      <c r="P5" s="33" t="s">
        <v>16</v>
      </c>
    </row>
    <row r="6" spans="1:16" x14ac:dyDescent="0.35">
      <c r="A6" s="33" t="str">
        <f t="shared" si="1"/>
        <v>2024 JAN-DEC DISC 75%</v>
      </c>
      <c r="B6" s="34">
        <f t="shared" si="1"/>
        <v>46104</v>
      </c>
      <c r="C6" s="34">
        <f t="shared" si="1"/>
        <v>46113</v>
      </c>
      <c r="D6" s="33">
        <v>3281</v>
      </c>
      <c r="E6" s="33">
        <v>337</v>
      </c>
      <c r="F6" s="33">
        <v>4</v>
      </c>
      <c r="G6" s="55">
        <v>1</v>
      </c>
      <c r="H6" s="24">
        <v>80920</v>
      </c>
      <c r="I6" s="50" t="s">
        <v>17</v>
      </c>
      <c r="J6" s="70">
        <v>15371798</v>
      </c>
      <c r="K6" s="70" t="s">
        <v>194</v>
      </c>
      <c r="L6" s="70" t="s">
        <v>195</v>
      </c>
      <c r="M6" s="69">
        <v>239900</v>
      </c>
      <c r="N6" s="36">
        <f t="shared" si="2"/>
        <v>0.75</v>
      </c>
      <c r="O6" s="35">
        <f t="shared" si="0"/>
        <v>59975</v>
      </c>
      <c r="P6" s="33" t="s">
        <v>16</v>
      </c>
    </row>
    <row r="7" spans="1:16" x14ac:dyDescent="0.35">
      <c r="A7" s="33" t="str">
        <f t="shared" si="1"/>
        <v>2024 JAN-DEC DISC 75%</v>
      </c>
      <c r="B7" s="34">
        <f t="shared" si="1"/>
        <v>46104</v>
      </c>
      <c r="C7" s="34">
        <f t="shared" si="1"/>
        <v>46113</v>
      </c>
      <c r="D7" s="33">
        <v>3281</v>
      </c>
      <c r="E7" s="33">
        <v>337</v>
      </c>
      <c r="F7" s="33">
        <v>4</v>
      </c>
      <c r="G7" s="55">
        <v>1</v>
      </c>
      <c r="H7" s="24">
        <v>80920</v>
      </c>
      <c r="I7" s="50" t="s">
        <v>17</v>
      </c>
      <c r="J7" s="70">
        <v>15371805</v>
      </c>
      <c r="K7" s="70" t="s">
        <v>194</v>
      </c>
      <c r="L7" s="70" t="s">
        <v>196</v>
      </c>
      <c r="M7" s="69">
        <v>239900</v>
      </c>
      <c r="N7" s="36">
        <f t="shared" si="2"/>
        <v>0.75</v>
      </c>
      <c r="O7" s="35">
        <f t="shared" si="0"/>
        <v>59975</v>
      </c>
      <c r="P7" s="33" t="s">
        <v>16</v>
      </c>
    </row>
    <row r="8" spans="1:16" x14ac:dyDescent="0.35">
      <c r="A8" s="33" t="str">
        <f t="shared" si="1"/>
        <v>2024 JAN-DEC DISC 75%</v>
      </c>
      <c r="B8" s="34">
        <f t="shared" si="1"/>
        <v>46104</v>
      </c>
      <c r="C8" s="34">
        <f t="shared" si="1"/>
        <v>46113</v>
      </c>
      <c r="D8" s="33">
        <v>3281</v>
      </c>
      <c r="E8" s="33">
        <v>337</v>
      </c>
      <c r="F8" s="33">
        <v>4</v>
      </c>
      <c r="G8" s="55">
        <v>1</v>
      </c>
      <c r="H8" s="24">
        <v>80920</v>
      </c>
      <c r="I8" s="50" t="s">
        <v>17</v>
      </c>
      <c r="J8" s="70">
        <v>15371814</v>
      </c>
      <c r="K8" s="70" t="s">
        <v>194</v>
      </c>
      <c r="L8" s="70" t="s">
        <v>197</v>
      </c>
      <c r="M8" s="69">
        <v>239900</v>
      </c>
      <c r="N8" s="36">
        <f t="shared" si="2"/>
        <v>0.75</v>
      </c>
      <c r="O8" s="35">
        <f t="shared" si="0"/>
        <v>59975</v>
      </c>
      <c r="P8" s="33" t="s">
        <v>16</v>
      </c>
    </row>
    <row r="9" spans="1:16" x14ac:dyDescent="0.35">
      <c r="A9" s="33" t="str">
        <f t="shared" si="1"/>
        <v>2024 JAN-DEC DISC 75%</v>
      </c>
      <c r="B9" s="34">
        <f t="shared" si="1"/>
        <v>46104</v>
      </c>
      <c r="C9" s="34">
        <f t="shared" si="1"/>
        <v>46113</v>
      </c>
      <c r="D9" s="33">
        <v>3281</v>
      </c>
      <c r="E9" s="33">
        <v>337</v>
      </c>
      <c r="F9" s="33">
        <v>4</v>
      </c>
      <c r="G9" s="55">
        <v>3</v>
      </c>
      <c r="H9" s="24">
        <v>80920</v>
      </c>
      <c r="I9" s="50" t="s">
        <v>17</v>
      </c>
      <c r="J9" s="70">
        <v>15371823</v>
      </c>
      <c r="K9" s="70" t="s">
        <v>194</v>
      </c>
      <c r="L9" s="70" t="s">
        <v>198</v>
      </c>
      <c r="M9" s="69">
        <v>239900</v>
      </c>
      <c r="N9" s="36">
        <f t="shared" si="2"/>
        <v>0.75</v>
      </c>
      <c r="O9" s="35">
        <f t="shared" si="0"/>
        <v>59975</v>
      </c>
      <c r="P9" s="33" t="s">
        <v>16</v>
      </c>
    </row>
    <row r="10" spans="1:16" x14ac:dyDescent="0.35">
      <c r="A10" s="33" t="str">
        <f t="shared" si="1"/>
        <v>2024 JAN-DEC DISC 75%</v>
      </c>
      <c r="B10" s="34">
        <f t="shared" si="1"/>
        <v>46104</v>
      </c>
      <c r="C10" s="34">
        <f t="shared" si="1"/>
        <v>46113</v>
      </c>
      <c r="D10" s="33">
        <v>3281</v>
      </c>
      <c r="E10" s="33">
        <v>337</v>
      </c>
      <c r="F10" s="33">
        <v>4</v>
      </c>
      <c r="G10" s="55">
        <v>3</v>
      </c>
      <c r="H10" s="24">
        <v>81421</v>
      </c>
      <c r="I10" s="50" t="s">
        <v>17</v>
      </c>
      <c r="J10" s="70">
        <v>15371832</v>
      </c>
      <c r="K10" s="70" t="s">
        <v>512</v>
      </c>
      <c r="L10" s="70" t="s">
        <v>513</v>
      </c>
      <c r="M10" s="69">
        <v>279900</v>
      </c>
      <c r="N10" s="36">
        <f t="shared" si="2"/>
        <v>0.75</v>
      </c>
      <c r="O10" s="35">
        <f t="shared" si="0"/>
        <v>69975</v>
      </c>
      <c r="P10" s="33" t="s">
        <v>16</v>
      </c>
    </row>
    <row r="11" spans="1:16" x14ac:dyDescent="0.35">
      <c r="A11" s="33" t="str">
        <f t="shared" ref="A11:C11" si="3">A10</f>
        <v>2024 JAN-DEC DISC 75%</v>
      </c>
      <c r="B11" s="34">
        <f t="shared" si="3"/>
        <v>46104</v>
      </c>
      <c r="C11" s="34">
        <f t="shared" si="3"/>
        <v>46113</v>
      </c>
      <c r="D11" s="33">
        <v>3281</v>
      </c>
      <c r="E11" s="33">
        <v>337</v>
      </c>
      <c r="F11" s="33">
        <v>4</v>
      </c>
      <c r="G11" s="55">
        <v>3</v>
      </c>
      <c r="H11" s="24">
        <v>81421</v>
      </c>
      <c r="I11" s="50" t="s">
        <v>17</v>
      </c>
      <c r="J11" s="70">
        <v>15371841</v>
      </c>
      <c r="K11" s="70" t="s">
        <v>512</v>
      </c>
      <c r="L11" s="70" t="s">
        <v>514</v>
      </c>
      <c r="M11" s="69">
        <v>279900</v>
      </c>
      <c r="N11" s="36">
        <f t="shared" si="2"/>
        <v>0.75</v>
      </c>
      <c r="O11" s="35">
        <f t="shared" si="0"/>
        <v>69975</v>
      </c>
      <c r="P11" s="33" t="s">
        <v>16</v>
      </c>
    </row>
    <row r="12" spans="1:16" x14ac:dyDescent="0.35">
      <c r="A12" s="33" t="str">
        <f t="shared" ref="A12:C12" si="4">A11</f>
        <v>2024 JAN-DEC DISC 75%</v>
      </c>
      <c r="B12" s="34">
        <f t="shared" si="4"/>
        <v>46104</v>
      </c>
      <c r="C12" s="34">
        <f t="shared" si="4"/>
        <v>46113</v>
      </c>
      <c r="D12" s="33">
        <v>3281</v>
      </c>
      <c r="E12" s="33">
        <v>337</v>
      </c>
      <c r="F12" s="33">
        <v>4</v>
      </c>
      <c r="G12" s="55">
        <v>3</v>
      </c>
      <c r="H12" s="24">
        <v>81421</v>
      </c>
      <c r="I12" s="50" t="s">
        <v>17</v>
      </c>
      <c r="J12" s="70">
        <v>15371850</v>
      </c>
      <c r="K12" s="70" t="s">
        <v>512</v>
      </c>
      <c r="L12" s="70" t="s">
        <v>515</v>
      </c>
      <c r="M12" s="69">
        <v>279900</v>
      </c>
      <c r="N12" s="36">
        <f t="shared" si="2"/>
        <v>0.75</v>
      </c>
      <c r="O12" s="35">
        <f t="shared" si="0"/>
        <v>69975</v>
      </c>
      <c r="P12" s="33" t="s">
        <v>16</v>
      </c>
    </row>
    <row r="13" spans="1:16" x14ac:dyDescent="0.35">
      <c r="A13" s="33" t="str">
        <f t="shared" ref="A13:C13" si="5">A12</f>
        <v>2024 JAN-DEC DISC 75%</v>
      </c>
      <c r="B13" s="34">
        <f t="shared" si="5"/>
        <v>46104</v>
      </c>
      <c r="C13" s="34">
        <f t="shared" si="5"/>
        <v>46113</v>
      </c>
      <c r="D13" s="33">
        <v>3281</v>
      </c>
      <c r="E13" s="33">
        <v>337</v>
      </c>
      <c r="F13" s="33">
        <v>4</v>
      </c>
      <c r="G13" s="55">
        <v>3</v>
      </c>
      <c r="H13" s="24">
        <v>81421</v>
      </c>
      <c r="I13" s="50" t="s">
        <v>17</v>
      </c>
      <c r="J13" s="70">
        <v>15371869</v>
      </c>
      <c r="K13" s="70" t="s">
        <v>512</v>
      </c>
      <c r="L13" s="70" t="s">
        <v>516</v>
      </c>
      <c r="M13" s="69">
        <v>279900</v>
      </c>
      <c r="N13" s="36">
        <f t="shared" si="2"/>
        <v>0.75</v>
      </c>
      <c r="O13" s="35">
        <f t="shared" si="0"/>
        <v>69975</v>
      </c>
      <c r="P13" s="33" t="s">
        <v>16</v>
      </c>
    </row>
    <row r="14" spans="1:16" x14ac:dyDescent="0.35">
      <c r="A14" s="33" t="str">
        <f t="shared" ref="A14:C14" si="6">A13</f>
        <v>2024 JAN-DEC DISC 75%</v>
      </c>
      <c r="B14" s="34">
        <f t="shared" si="6"/>
        <v>46104</v>
      </c>
      <c r="C14" s="34">
        <f t="shared" si="6"/>
        <v>46113</v>
      </c>
      <c r="D14" s="33">
        <v>3281</v>
      </c>
      <c r="E14" s="33">
        <v>337</v>
      </c>
      <c r="F14" s="33">
        <v>4</v>
      </c>
      <c r="G14" s="55">
        <v>3</v>
      </c>
      <c r="H14" s="24">
        <v>81574</v>
      </c>
      <c r="I14" s="50" t="s">
        <v>17</v>
      </c>
      <c r="J14" s="70">
        <v>15371994</v>
      </c>
      <c r="K14" s="70" t="s">
        <v>24</v>
      </c>
      <c r="L14" s="70" t="s">
        <v>3244</v>
      </c>
      <c r="M14" s="69">
        <v>279900</v>
      </c>
      <c r="N14" s="36">
        <f t="shared" si="2"/>
        <v>0.75</v>
      </c>
      <c r="O14" s="35">
        <f t="shared" si="0"/>
        <v>69975</v>
      </c>
      <c r="P14" s="33" t="s">
        <v>16</v>
      </c>
    </row>
    <row r="15" spans="1:16" x14ac:dyDescent="0.35">
      <c r="A15" s="33" t="str">
        <f t="shared" ref="A15:C15" si="7">A14</f>
        <v>2024 JAN-DEC DISC 75%</v>
      </c>
      <c r="B15" s="34">
        <f t="shared" si="7"/>
        <v>46104</v>
      </c>
      <c r="C15" s="34">
        <f t="shared" si="7"/>
        <v>46113</v>
      </c>
      <c r="D15" s="33">
        <v>3281</v>
      </c>
      <c r="E15" s="33">
        <v>337</v>
      </c>
      <c r="F15" s="33">
        <v>4</v>
      </c>
      <c r="G15" s="55">
        <v>3</v>
      </c>
      <c r="H15" s="24">
        <v>81574</v>
      </c>
      <c r="I15" s="50" t="s">
        <v>17</v>
      </c>
      <c r="J15" s="70">
        <v>15372000</v>
      </c>
      <c r="K15" s="70" t="s">
        <v>24</v>
      </c>
      <c r="L15" s="70" t="s">
        <v>3245</v>
      </c>
      <c r="M15" s="69">
        <v>279900</v>
      </c>
      <c r="N15" s="36">
        <f t="shared" si="2"/>
        <v>0.75</v>
      </c>
      <c r="O15" s="35">
        <f t="shared" si="0"/>
        <v>69975</v>
      </c>
      <c r="P15" s="33" t="s">
        <v>16</v>
      </c>
    </row>
    <row r="16" spans="1:16" x14ac:dyDescent="0.35">
      <c r="A16" s="33" t="str">
        <f t="shared" ref="A16:C16" si="8">A15</f>
        <v>2024 JAN-DEC DISC 75%</v>
      </c>
      <c r="B16" s="34">
        <f t="shared" si="8"/>
        <v>46104</v>
      </c>
      <c r="C16" s="34">
        <f t="shared" si="8"/>
        <v>46113</v>
      </c>
      <c r="D16" s="33">
        <v>3281</v>
      </c>
      <c r="E16" s="33">
        <v>337</v>
      </c>
      <c r="F16" s="33">
        <v>4</v>
      </c>
      <c r="G16" s="55">
        <v>3</v>
      </c>
      <c r="H16" s="24">
        <v>81574</v>
      </c>
      <c r="I16" s="50" t="s">
        <v>17</v>
      </c>
      <c r="J16" s="70">
        <v>15372019</v>
      </c>
      <c r="K16" s="70" t="s">
        <v>24</v>
      </c>
      <c r="L16" s="70" t="s">
        <v>3246</v>
      </c>
      <c r="M16" s="69">
        <v>279900</v>
      </c>
      <c r="N16" s="36">
        <f t="shared" si="2"/>
        <v>0.75</v>
      </c>
      <c r="O16" s="35">
        <f t="shared" si="0"/>
        <v>69975</v>
      </c>
      <c r="P16" s="33" t="s">
        <v>16</v>
      </c>
    </row>
    <row r="17" spans="1:16" x14ac:dyDescent="0.35">
      <c r="A17" s="33" t="str">
        <f t="shared" ref="A17:C17" si="9">A16</f>
        <v>2024 JAN-DEC DISC 75%</v>
      </c>
      <c r="B17" s="34">
        <f t="shared" si="9"/>
        <v>46104</v>
      </c>
      <c r="C17" s="34">
        <f t="shared" si="9"/>
        <v>46113</v>
      </c>
      <c r="D17" s="33">
        <v>3281</v>
      </c>
      <c r="E17" s="33">
        <v>337</v>
      </c>
      <c r="F17" s="33">
        <v>4</v>
      </c>
      <c r="G17" s="55">
        <v>2</v>
      </c>
      <c r="H17" s="24">
        <v>81574</v>
      </c>
      <c r="I17" s="50" t="s">
        <v>17</v>
      </c>
      <c r="J17" s="70">
        <v>15372028</v>
      </c>
      <c r="K17" s="70" t="s">
        <v>24</v>
      </c>
      <c r="L17" s="70" t="s">
        <v>3247</v>
      </c>
      <c r="M17" s="69">
        <v>279900</v>
      </c>
      <c r="N17" s="36">
        <f t="shared" si="2"/>
        <v>0.75</v>
      </c>
      <c r="O17" s="35">
        <f t="shared" si="0"/>
        <v>69975</v>
      </c>
      <c r="P17" s="33" t="s">
        <v>16</v>
      </c>
    </row>
    <row r="18" spans="1:16" x14ac:dyDescent="0.35">
      <c r="A18" s="33" t="str">
        <f t="shared" ref="A18:C18" si="10">A17</f>
        <v>2024 JAN-DEC DISC 75%</v>
      </c>
      <c r="B18" s="34">
        <f t="shared" si="10"/>
        <v>46104</v>
      </c>
      <c r="C18" s="34">
        <f t="shared" si="10"/>
        <v>46113</v>
      </c>
      <c r="D18" s="33">
        <v>3281</v>
      </c>
      <c r="E18" s="33">
        <v>337</v>
      </c>
      <c r="F18" s="33">
        <v>4</v>
      </c>
      <c r="G18" s="55">
        <v>2</v>
      </c>
      <c r="H18" s="24">
        <v>81574</v>
      </c>
      <c r="I18" s="50" t="s">
        <v>17</v>
      </c>
      <c r="J18" s="70">
        <v>15372037</v>
      </c>
      <c r="K18" s="70" t="s">
        <v>25</v>
      </c>
      <c r="L18" s="70" t="s">
        <v>26</v>
      </c>
      <c r="M18" s="69">
        <v>319900</v>
      </c>
      <c r="N18" s="36">
        <f t="shared" si="2"/>
        <v>0.75</v>
      </c>
      <c r="O18" s="35">
        <f t="shared" si="0"/>
        <v>79975</v>
      </c>
      <c r="P18" s="33" t="s">
        <v>16</v>
      </c>
    </row>
    <row r="19" spans="1:16" x14ac:dyDescent="0.35">
      <c r="A19" s="33" t="str">
        <f t="shared" ref="A19:C19" si="11">A18</f>
        <v>2024 JAN-DEC DISC 75%</v>
      </c>
      <c r="B19" s="34">
        <f t="shared" si="11"/>
        <v>46104</v>
      </c>
      <c r="C19" s="34">
        <f t="shared" si="11"/>
        <v>46113</v>
      </c>
      <c r="D19" s="33">
        <v>3281</v>
      </c>
      <c r="E19" s="33">
        <v>337</v>
      </c>
      <c r="F19" s="33">
        <v>4</v>
      </c>
      <c r="G19" s="55">
        <v>2</v>
      </c>
      <c r="H19" s="24">
        <v>81574</v>
      </c>
      <c r="I19" s="50" t="s">
        <v>17</v>
      </c>
      <c r="J19" s="70">
        <v>15372046</v>
      </c>
      <c r="K19" s="70" t="s">
        <v>25</v>
      </c>
      <c r="L19" s="70" t="s">
        <v>28</v>
      </c>
      <c r="M19" s="69">
        <v>319900</v>
      </c>
      <c r="N19" s="36">
        <f t="shared" si="2"/>
        <v>0.75</v>
      </c>
      <c r="O19" s="35">
        <f t="shared" si="0"/>
        <v>79975</v>
      </c>
      <c r="P19" s="33" t="s">
        <v>16</v>
      </c>
    </row>
    <row r="20" spans="1:16" x14ac:dyDescent="0.35">
      <c r="A20" s="33" t="str">
        <f t="shared" ref="A20:C20" si="12">A19</f>
        <v>2024 JAN-DEC DISC 75%</v>
      </c>
      <c r="B20" s="34">
        <f t="shared" si="12"/>
        <v>46104</v>
      </c>
      <c r="C20" s="34">
        <f t="shared" si="12"/>
        <v>46113</v>
      </c>
      <c r="D20" s="33">
        <v>3281</v>
      </c>
      <c r="E20" s="33">
        <v>337</v>
      </c>
      <c r="F20" s="33">
        <v>4</v>
      </c>
      <c r="G20" s="55">
        <v>2</v>
      </c>
      <c r="H20" s="24">
        <v>81574</v>
      </c>
      <c r="I20" s="50" t="s">
        <v>17</v>
      </c>
      <c r="J20" s="70">
        <v>15372055</v>
      </c>
      <c r="K20" s="70" t="s">
        <v>25</v>
      </c>
      <c r="L20" s="70" t="s">
        <v>29</v>
      </c>
      <c r="M20" s="69">
        <v>319900</v>
      </c>
      <c r="N20" s="36">
        <f t="shared" si="2"/>
        <v>0.75</v>
      </c>
      <c r="O20" s="35">
        <f t="shared" si="0"/>
        <v>79975</v>
      </c>
      <c r="P20" s="33" t="s">
        <v>16</v>
      </c>
    </row>
    <row r="21" spans="1:16" x14ac:dyDescent="0.35">
      <c r="A21" s="33" t="str">
        <f t="shared" ref="A21:C21" si="13">A20</f>
        <v>2024 JAN-DEC DISC 75%</v>
      </c>
      <c r="B21" s="34">
        <f t="shared" si="13"/>
        <v>46104</v>
      </c>
      <c r="C21" s="34">
        <f t="shared" si="13"/>
        <v>46113</v>
      </c>
      <c r="D21" s="33">
        <v>3281</v>
      </c>
      <c r="E21" s="33">
        <v>337</v>
      </c>
      <c r="F21" s="33">
        <v>4</v>
      </c>
      <c r="G21" s="55">
        <v>4</v>
      </c>
      <c r="H21" s="24">
        <v>81574</v>
      </c>
      <c r="I21" s="50" t="s">
        <v>17</v>
      </c>
      <c r="J21" s="70">
        <v>15372064</v>
      </c>
      <c r="K21" s="70" t="s">
        <v>25</v>
      </c>
      <c r="L21" s="70" t="s">
        <v>30</v>
      </c>
      <c r="M21" s="69">
        <v>319900</v>
      </c>
      <c r="N21" s="36">
        <f t="shared" si="2"/>
        <v>0.75</v>
      </c>
      <c r="O21" s="35">
        <f t="shared" si="0"/>
        <v>79975</v>
      </c>
      <c r="P21" s="33" t="s">
        <v>16</v>
      </c>
    </row>
    <row r="22" spans="1:16" x14ac:dyDescent="0.35">
      <c r="A22" s="33" t="str">
        <f t="shared" ref="A22:C22" si="14">A21</f>
        <v>2024 JAN-DEC DISC 75%</v>
      </c>
      <c r="B22" s="34">
        <f t="shared" si="14"/>
        <v>46104</v>
      </c>
      <c r="C22" s="34">
        <f t="shared" si="14"/>
        <v>46113</v>
      </c>
      <c r="D22" s="33">
        <v>3281</v>
      </c>
      <c r="E22" s="33">
        <v>337</v>
      </c>
      <c r="F22" s="33">
        <v>4</v>
      </c>
      <c r="G22" s="55">
        <v>4</v>
      </c>
      <c r="H22" s="24">
        <v>81574</v>
      </c>
      <c r="I22" s="50" t="s">
        <v>17</v>
      </c>
      <c r="J22" s="70">
        <v>15372073</v>
      </c>
      <c r="K22" s="70" t="s">
        <v>31</v>
      </c>
      <c r="L22" s="70" t="s">
        <v>32</v>
      </c>
      <c r="M22" s="69">
        <v>319900</v>
      </c>
      <c r="N22" s="36">
        <f t="shared" si="2"/>
        <v>0.75</v>
      </c>
      <c r="O22" s="35">
        <f t="shared" si="0"/>
        <v>79975</v>
      </c>
      <c r="P22" s="33" t="s">
        <v>16</v>
      </c>
    </row>
    <row r="23" spans="1:16" x14ac:dyDescent="0.35">
      <c r="A23" s="33" t="str">
        <f t="shared" ref="A23:C23" si="15">A22</f>
        <v>2024 JAN-DEC DISC 75%</v>
      </c>
      <c r="B23" s="34">
        <f t="shared" si="15"/>
        <v>46104</v>
      </c>
      <c r="C23" s="34">
        <f t="shared" si="15"/>
        <v>46113</v>
      </c>
      <c r="D23" s="33">
        <v>3281</v>
      </c>
      <c r="E23" s="33">
        <v>337</v>
      </c>
      <c r="F23" s="33">
        <v>4</v>
      </c>
      <c r="G23" s="55">
        <v>4</v>
      </c>
      <c r="H23" s="24">
        <v>81574</v>
      </c>
      <c r="I23" s="50" t="s">
        <v>17</v>
      </c>
      <c r="J23" s="70">
        <v>15372082</v>
      </c>
      <c r="K23" s="70" t="s">
        <v>31</v>
      </c>
      <c r="L23" s="70" t="s">
        <v>33</v>
      </c>
      <c r="M23" s="69">
        <v>319900</v>
      </c>
      <c r="N23" s="36">
        <f t="shared" si="2"/>
        <v>0.75</v>
      </c>
      <c r="O23" s="35">
        <f t="shared" si="0"/>
        <v>79975</v>
      </c>
      <c r="P23" s="33" t="s">
        <v>16</v>
      </c>
    </row>
    <row r="24" spans="1:16" x14ac:dyDescent="0.35">
      <c r="A24" s="33" t="str">
        <f t="shared" ref="A24:C24" si="16">A23</f>
        <v>2024 JAN-DEC DISC 75%</v>
      </c>
      <c r="B24" s="34">
        <f t="shared" si="16"/>
        <v>46104</v>
      </c>
      <c r="C24" s="34">
        <f t="shared" si="16"/>
        <v>46113</v>
      </c>
      <c r="D24" s="33">
        <v>3281</v>
      </c>
      <c r="E24" s="33">
        <v>337</v>
      </c>
      <c r="F24" s="33">
        <v>4</v>
      </c>
      <c r="G24" s="55">
        <v>4</v>
      </c>
      <c r="H24" s="24">
        <v>81574</v>
      </c>
      <c r="I24" s="50" t="s">
        <v>17</v>
      </c>
      <c r="J24" s="70">
        <v>15372091</v>
      </c>
      <c r="K24" s="70" t="s">
        <v>31</v>
      </c>
      <c r="L24" s="70" t="s">
        <v>34</v>
      </c>
      <c r="M24" s="69">
        <v>319900</v>
      </c>
      <c r="N24" s="36">
        <f t="shared" si="2"/>
        <v>0.75</v>
      </c>
      <c r="O24" s="35">
        <f t="shared" si="0"/>
        <v>79975</v>
      </c>
      <c r="P24" s="33" t="s">
        <v>16</v>
      </c>
    </row>
    <row r="25" spans="1:16" x14ac:dyDescent="0.35">
      <c r="A25" s="33" t="str">
        <f t="shared" ref="A25:C25" si="17">A24</f>
        <v>2024 JAN-DEC DISC 75%</v>
      </c>
      <c r="B25" s="34">
        <f t="shared" si="17"/>
        <v>46104</v>
      </c>
      <c r="C25" s="34">
        <f t="shared" si="17"/>
        <v>46113</v>
      </c>
      <c r="D25" s="33">
        <v>3281</v>
      </c>
      <c r="E25" s="33">
        <v>337</v>
      </c>
      <c r="F25" s="33">
        <v>4</v>
      </c>
      <c r="G25" s="55">
        <v>4</v>
      </c>
      <c r="H25" s="24">
        <v>81574</v>
      </c>
      <c r="I25" s="50" t="s">
        <v>17</v>
      </c>
      <c r="J25" s="70">
        <v>15372108</v>
      </c>
      <c r="K25" s="70" t="s">
        <v>31</v>
      </c>
      <c r="L25" s="70" t="s">
        <v>35</v>
      </c>
      <c r="M25" s="69">
        <v>319900</v>
      </c>
      <c r="N25" s="36">
        <f t="shared" si="2"/>
        <v>0.75</v>
      </c>
      <c r="O25" s="35">
        <f t="shared" si="0"/>
        <v>79975</v>
      </c>
      <c r="P25" s="33" t="s">
        <v>16</v>
      </c>
    </row>
    <row r="26" spans="1:16" x14ac:dyDescent="0.35">
      <c r="A26" s="33" t="str">
        <f t="shared" ref="A26:C26" si="18">A25</f>
        <v>2024 JAN-DEC DISC 75%</v>
      </c>
      <c r="B26" s="34">
        <f t="shared" si="18"/>
        <v>46104</v>
      </c>
      <c r="C26" s="34">
        <f t="shared" si="18"/>
        <v>46113</v>
      </c>
      <c r="D26" s="33">
        <v>3281</v>
      </c>
      <c r="E26" s="33">
        <v>337</v>
      </c>
      <c r="F26" s="33">
        <v>4</v>
      </c>
      <c r="G26" s="55">
        <v>4</v>
      </c>
      <c r="H26" s="24">
        <v>81146</v>
      </c>
      <c r="I26" s="50" t="s">
        <v>17</v>
      </c>
      <c r="J26" s="70">
        <v>15372117</v>
      </c>
      <c r="K26" s="70" t="s">
        <v>157</v>
      </c>
      <c r="L26" s="70" t="s">
        <v>158</v>
      </c>
      <c r="M26" s="69">
        <v>149900</v>
      </c>
      <c r="N26" s="36">
        <f t="shared" si="2"/>
        <v>0.75</v>
      </c>
      <c r="O26" s="35">
        <f t="shared" si="0"/>
        <v>37475</v>
      </c>
      <c r="P26" s="33" t="s">
        <v>16</v>
      </c>
    </row>
    <row r="27" spans="1:16" x14ac:dyDescent="0.35">
      <c r="A27" s="33" t="str">
        <f t="shared" ref="A27:C27" si="19">A26</f>
        <v>2024 JAN-DEC DISC 75%</v>
      </c>
      <c r="B27" s="34">
        <f t="shared" si="19"/>
        <v>46104</v>
      </c>
      <c r="C27" s="34">
        <f t="shared" si="19"/>
        <v>46113</v>
      </c>
      <c r="D27" s="33">
        <v>3281</v>
      </c>
      <c r="E27" s="33">
        <v>337</v>
      </c>
      <c r="F27" s="33">
        <v>4</v>
      </c>
      <c r="G27" s="55">
        <v>4</v>
      </c>
      <c r="H27" s="24">
        <v>81146</v>
      </c>
      <c r="I27" s="50" t="s">
        <v>17</v>
      </c>
      <c r="J27" s="70">
        <v>15372126</v>
      </c>
      <c r="K27" s="70" t="s">
        <v>157</v>
      </c>
      <c r="L27" s="70" t="s">
        <v>159</v>
      </c>
      <c r="M27" s="69">
        <v>149900</v>
      </c>
      <c r="N27" s="36">
        <f t="shared" si="2"/>
        <v>0.75</v>
      </c>
      <c r="O27" s="35">
        <f t="shared" si="0"/>
        <v>37475</v>
      </c>
      <c r="P27" s="33" t="s">
        <v>16</v>
      </c>
    </row>
    <row r="28" spans="1:16" x14ac:dyDescent="0.35">
      <c r="A28" s="33" t="str">
        <f t="shared" ref="A28:C28" si="20">A27</f>
        <v>2024 JAN-DEC DISC 75%</v>
      </c>
      <c r="B28" s="34">
        <f t="shared" si="20"/>
        <v>46104</v>
      </c>
      <c r="C28" s="34">
        <f t="shared" si="20"/>
        <v>46113</v>
      </c>
      <c r="D28" s="33">
        <v>3281</v>
      </c>
      <c r="E28" s="33">
        <v>337</v>
      </c>
      <c r="F28" s="33">
        <v>4</v>
      </c>
      <c r="G28" s="55">
        <v>4</v>
      </c>
      <c r="H28" s="24">
        <v>81146</v>
      </c>
      <c r="I28" s="50" t="s">
        <v>17</v>
      </c>
      <c r="J28" s="70">
        <v>15372135</v>
      </c>
      <c r="K28" s="70" t="s">
        <v>157</v>
      </c>
      <c r="L28" s="70" t="s">
        <v>160</v>
      </c>
      <c r="M28" s="69">
        <v>149900</v>
      </c>
      <c r="N28" s="36">
        <f t="shared" si="2"/>
        <v>0.75</v>
      </c>
      <c r="O28" s="35">
        <f t="shared" si="0"/>
        <v>37475</v>
      </c>
      <c r="P28" s="33" t="s">
        <v>16</v>
      </c>
    </row>
    <row r="29" spans="1:16" x14ac:dyDescent="0.35">
      <c r="A29" s="33" t="str">
        <f t="shared" ref="A29:C29" si="21">A28</f>
        <v>2024 JAN-DEC DISC 75%</v>
      </c>
      <c r="B29" s="34">
        <f t="shared" si="21"/>
        <v>46104</v>
      </c>
      <c r="C29" s="34">
        <f t="shared" si="21"/>
        <v>46113</v>
      </c>
      <c r="D29" s="33">
        <v>3281</v>
      </c>
      <c r="E29" s="33">
        <v>337</v>
      </c>
      <c r="F29" s="33">
        <v>4</v>
      </c>
      <c r="G29" s="55">
        <v>1</v>
      </c>
      <c r="H29" s="24">
        <v>81146</v>
      </c>
      <c r="I29" s="50" t="s">
        <v>17</v>
      </c>
      <c r="J29" s="70">
        <v>15372144</v>
      </c>
      <c r="K29" s="70" t="s">
        <v>157</v>
      </c>
      <c r="L29" s="70" t="s">
        <v>161</v>
      </c>
      <c r="M29" s="69">
        <v>149900</v>
      </c>
      <c r="N29" s="36">
        <f t="shared" si="2"/>
        <v>0.75</v>
      </c>
      <c r="O29" s="35">
        <f t="shared" si="0"/>
        <v>37475</v>
      </c>
      <c r="P29" s="33" t="s">
        <v>16</v>
      </c>
    </row>
    <row r="30" spans="1:16" x14ac:dyDescent="0.35">
      <c r="A30" s="33" t="str">
        <f t="shared" ref="A30:C30" si="22">A29</f>
        <v>2024 JAN-DEC DISC 75%</v>
      </c>
      <c r="B30" s="34">
        <f t="shared" si="22"/>
        <v>46104</v>
      </c>
      <c r="C30" s="34">
        <f t="shared" si="22"/>
        <v>46113</v>
      </c>
      <c r="D30" s="33">
        <v>3281</v>
      </c>
      <c r="E30" s="33">
        <v>337</v>
      </c>
      <c r="F30" s="33">
        <v>4</v>
      </c>
      <c r="G30" s="55">
        <v>1</v>
      </c>
      <c r="H30" s="24">
        <v>81146</v>
      </c>
      <c r="I30" s="50" t="s">
        <v>17</v>
      </c>
      <c r="J30" s="70">
        <v>15372153</v>
      </c>
      <c r="K30" s="70" t="s">
        <v>189</v>
      </c>
      <c r="L30" s="70" t="s">
        <v>190</v>
      </c>
      <c r="M30" s="69">
        <v>249900</v>
      </c>
      <c r="N30" s="36">
        <f t="shared" si="2"/>
        <v>0.75</v>
      </c>
      <c r="O30" s="35">
        <f t="shared" si="0"/>
        <v>62475</v>
      </c>
      <c r="P30" s="33" t="s">
        <v>16</v>
      </c>
    </row>
    <row r="31" spans="1:16" x14ac:dyDescent="0.35">
      <c r="A31" s="33" t="str">
        <f t="shared" ref="A31:C31" si="23">A30</f>
        <v>2024 JAN-DEC DISC 75%</v>
      </c>
      <c r="B31" s="34">
        <f t="shared" si="23"/>
        <v>46104</v>
      </c>
      <c r="C31" s="34">
        <f t="shared" si="23"/>
        <v>46113</v>
      </c>
      <c r="D31" s="33">
        <v>3281</v>
      </c>
      <c r="E31" s="33">
        <v>337</v>
      </c>
      <c r="F31" s="33">
        <v>4</v>
      </c>
      <c r="G31" s="55">
        <v>1</v>
      </c>
      <c r="H31" s="24">
        <v>81146</v>
      </c>
      <c r="I31" s="50" t="s">
        <v>17</v>
      </c>
      <c r="J31" s="70">
        <v>15372162</v>
      </c>
      <c r="K31" s="70" t="s">
        <v>189</v>
      </c>
      <c r="L31" s="70" t="s">
        <v>191</v>
      </c>
      <c r="M31" s="69">
        <v>249900</v>
      </c>
      <c r="N31" s="36">
        <f t="shared" si="2"/>
        <v>0.75</v>
      </c>
      <c r="O31" s="35">
        <f t="shared" si="0"/>
        <v>62475</v>
      </c>
      <c r="P31" s="33" t="s">
        <v>16</v>
      </c>
    </row>
    <row r="32" spans="1:16" x14ac:dyDescent="0.35">
      <c r="A32" s="33" t="str">
        <f t="shared" ref="A32:C32" si="24">A31</f>
        <v>2024 JAN-DEC DISC 75%</v>
      </c>
      <c r="B32" s="34">
        <f t="shared" si="24"/>
        <v>46104</v>
      </c>
      <c r="C32" s="34">
        <f t="shared" si="24"/>
        <v>46113</v>
      </c>
      <c r="D32" s="33">
        <v>3281</v>
      </c>
      <c r="E32" s="33">
        <v>337</v>
      </c>
      <c r="F32" s="33">
        <v>4</v>
      </c>
      <c r="G32" s="55">
        <v>1</v>
      </c>
      <c r="H32" s="24">
        <v>81146</v>
      </c>
      <c r="I32" s="50" t="s">
        <v>17</v>
      </c>
      <c r="J32" s="70">
        <v>15372171</v>
      </c>
      <c r="K32" s="70" t="s">
        <v>189</v>
      </c>
      <c r="L32" s="70" t="s">
        <v>192</v>
      </c>
      <c r="M32" s="69">
        <v>249900</v>
      </c>
      <c r="N32" s="36">
        <f t="shared" si="2"/>
        <v>0.75</v>
      </c>
      <c r="O32" s="35">
        <f t="shared" si="0"/>
        <v>62475</v>
      </c>
      <c r="P32" s="33" t="s">
        <v>16</v>
      </c>
    </row>
    <row r="33" spans="1:16" x14ac:dyDescent="0.35">
      <c r="A33" s="33" t="str">
        <f t="shared" ref="A33:C33" si="25">A32</f>
        <v>2024 JAN-DEC DISC 75%</v>
      </c>
      <c r="B33" s="34">
        <f t="shared" si="25"/>
        <v>46104</v>
      </c>
      <c r="C33" s="34">
        <f t="shared" si="25"/>
        <v>46113</v>
      </c>
      <c r="D33" s="33">
        <v>3281</v>
      </c>
      <c r="E33" s="33">
        <v>337</v>
      </c>
      <c r="F33" s="33">
        <v>4</v>
      </c>
      <c r="G33" s="55">
        <v>3</v>
      </c>
      <c r="H33" s="24">
        <v>81146</v>
      </c>
      <c r="I33" s="50" t="s">
        <v>17</v>
      </c>
      <c r="J33" s="70">
        <v>15372180</v>
      </c>
      <c r="K33" s="70" t="s">
        <v>189</v>
      </c>
      <c r="L33" s="70" t="s">
        <v>193</v>
      </c>
      <c r="M33" s="69">
        <v>249900</v>
      </c>
      <c r="N33" s="36">
        <f t="shared" si="2"/>
        <v>0.75</v>
      </c>
      <c r="O33" s="35">
        <f t="shared" si="0"/>
        <v>62475</v>
      </c>
      <c r="P33" s="33" t="s">
        <v>16</v>
      </c>
    </row>
    <row r="34" spans="1:16" x14ac:dyDescent="0.35">
      <c r="A34" s="33" t="str">
        <f t="shared" ref="A34:C34" si="26">A33</f>
        <v>2024 JAN-DEC DISC 75%</v>
      </c>
      <c r="B34" s="34">
        <f t="shared" si="26"/>
        <v>46104</v>
      </c>
      <c r="C34" s="34">
        <f t="shared" si="26"/>
        <v>46113</v>
      </c>
      <c r="D34" s="33">
        <v>3281</v>
      </c>
      <c r="E34" s="33">
        <v>337</v>
      </c>
      <c r="F34" s="33">
        <v>4</v>
      </c>
      <c r="G34" s="55">
        <v>3</v>
      </c>
      <c r="H34" s="24">
        <v>190</v>
      </c>
      <c r="I34" s="50" t="s">
        <v>17</v>
      </c>
      <c r="J34" s="70">
        <v>15372199</v>
      </c>
      <c r="K34" s="70" t="s">
        <v>219</v>
      </c>
      <c r="L34" s="70" t="s">
        <v>220</v>
      </c>
      <c r="M34" s="69">
        <v>259000</v>
      </c>
      <c r="N34" s="36">
        <f t="shared" si="2"/>
        <v>0.75</v>
      </c>
      <c r="O34" s="35">
        <f t="shared" si="0"/>
        <v>64750</v>
      </c>
      <c r="P34" s="33" t="s">
        <v>16</v>
      </c>
    </row>
    <row r="35" spans="1:16" x14ac:dyDescent="0.35">
      <c r="A35" s="33" t="str">
        <f t="shared" ref="A35:C35" si="27">A34</f>
        <v>2024 JAN-DEC DISC 75%</v>
      </c>
      <c r="B35" s="34">
        <f t="shared" si="27"/>
        <v>46104</v>
      </c>
      <c r="C35" s="34">
        <f t="shared" si="27"/>
        <v>46113</v>
      </c>
      <c r="D35" s="33">
        <v>3281</v>
      </c>
      <c r="E35" s="33">
        <v>337</v>
      </c>
      <c r="F35" s="33">
        <v>4</v>
      </c>
      <c r="G35" s="55">
        <v>3</v>
      </c>
      <c r="H35" s="24">
        <v>190</v>
      </c>
      <c r="I35" s="50" t="s">
        <v>17</v>
      </c>
      <c r="J35" s="70">
        <v>15372206</v>
      </c>
      <c r="K35" s="70" t="s">
        <v>219</v>
      </c>
      <c r="L35" s="70" t="s">
        <v>221</v>
      </c>
      <c r="M35" s="69">
        <v>259000</v>
      </c>
      <c r="N35" s="36">
        <f t="shared" si="2"/>
        <v>0.75</v>
      </c>
      <c r="O35" s="35">
        <f t="shared" si="0"/>
        <v>64750</v>
      </c>
      <c r="P35" s="33" t="s">
        <v>16</v>
      </c>
    </row>
    <row r="36" spans="1:16" x14ac:dyDescent="0.35">
      <c r="A36" s="33" t="str">
        <f t="shared" ref="A36:C36" si="28">A35</f>
        <v>2024 JAN-DEC DISC 75%</v>
      </c>
      <c r="B36" s="34">
        <f t="shared" si="28"/>
        <v>46104</v>
      </c>
      <c r="C36" s="34">
        <f t="shared" si="28"/>
        <v>46113</v>
      </c>
      <c r="D36" s="33">
        <v>3281</v>
      </c>
      <c r="E36" s="33">
        <v>337</v>
      </c>
      <c r="F36" s="33">
        <v>4</v>
      </c>
      <c r="G36" s="55">
        <v>3</v>
      </c>
      <c r="H36" s="24">
        <v>190</v>
      </c>
      <c r="I36" s="50" t="s">
        <v>17</v>
      </c>
      <c r="J36" s="70">
        <v>15372215</v>
      </c>
      <c r="K36" s="70" t="s">
        <v>219</v>
      </c>
      <c r="L36" s="70" t="s">
        <v>222</v>
      </c>
      <c r="M36" s="69">
        <v>259000</v>
      </c>
      <c r="N36" s="36">
        <f t="shared" si="2"/>
        <v>0.75</v>
      </c>
      <c r="O36" s="35">
        <f t="shared" si="0"/>
        <v>64750</v>
      </c>
      <c r="P36" s="33" t="s">
        <v>16</v>
      </c>
    </row>
    <row r="37" spans="1:16" x14ac:dyDescent="0.35">
      <c r="A37" s="33" t="str">
        <f t="shared" ref="A37:C37" si="29">A36</f>
        <v>2024 JAN-DEC DISC 75%</v>
      </c>
      <c r="B37" s="34">
        <f t="shared" si="29"/>
        <v>46104</v>
      </c>
      <c r="C37" s="34">
        <f t="shared" si="29"/>
        <v>46113</v>
      </c>
      <c r="D37" s="33">
        <v>3281</v>
      </c>
      <c r="E37" s="33">
        <v>337</v>
      </c>
      <c r="F37" s="33">
        <v>4</v>
      </c>
      <c r="G37" s="55">
        <v>5</v>
      </c>
      <c r="H37" s="24">
        <v>190</v>
      </c>
      <c r="I37" s="50" t="s">
        <v>17</v>
      </c>
      <c r="J37" s="70">
        <v>15372224</v>
      </c>
      <c r="K37" s="70" t="s">
        <v>219</v>
      </c>
      <c r="L37" s="70" t="s">
        <v>223</v>
      </c>
      <c r="M37" s="69">
        <v>259000</v>
      </c>
      <c r="N37" s="36">
        <f t="shared" si="2"/>
        <v>0.75</v>
      </c>
      <c r="O37" s="35">
        <f t="shared" si="0"/>
        <v>64750</v>
      </c>
      <c r="P37" s="33" t="s">
        <v>16</v>
      </c>
    </row>
    <row r="38" spans="1:16" x14ac:dyDescent="0.35">
      <c r="A38" s="33" t="str">
        <f t="shared" ref="A38:C38" si="30">A37</f>
        <v>2024 JAN-DEC DISC 75%</v>
      </c>
      <c r="B38" s="34">
        <f t="shared" si="30"/>
        <v>46104</v>
      </c>
      <c r="C38" s="34">
        <f t="shared" si="30"/>
        <v>46113</v>
      </c>
      <c r="D38" s="33">
        <v>3281</v>
      </c>
      <c r="E38" s="33">
        <v>337</v>
      </c>
      <c r="F38" s="33">
        <v>4</v>
      </c>
      <c r="G38" s="55">
        <v>5</v>
      </c>
      <c r="H38" s="24">
        <v>81676</v>
      </c>
      <c r="I38" s="50" t="s">
        <v>17</v>
      </c>
      <c r="J38" s="70">
        <v>15372233</v>
      </c>
      <c r="K38" s="70" t="s">
        <v>185</v>
      </c>
      <c r="L38" s="70" t="s">
        <v>186</v>
      </c>
      <c r="M38" s="69">
        <v>149900</v>
      </c>
      <c r="N38" s="36">
        <f t="shared" si="2"/>
        <v>0.75</v>
      </c>
      <c r="O38" s="35">
        <f t="shared" si="0"/>
        <v>37475</v>
      </c>
      <c r="P38" s="33" t="s">
        <v>16</v>
      </c>
    </row>
    <row r="39" spans="1:16" x14ac:dyDescent="0.35">
      <c r="A39" s="33" t="str">
        <f t="shared" ref="A39:C39" si="31">A38</f>
        <v>2024 JAN-DEC DISC 75%</v>
      </c>
      <c r="B39" s="34">
        <f t="shared" si="31"/>
        <v>46104</v>
      </c>
      <c r="C39" s="34">
        <f t="shared" si="31"/>
        <v>46113</v>
      </c>
      <c r="D39" s="33">
        <v>3281</v>
      </c>
      <c r="E39" s="33">
        <v>337</v>
      </c>
      <c r="F39" s="33">
        <v>4</v>
      </c>
      <c r="G39" s="55">
        <v>5</v>
      </c>
      <c r="H39" s="24">
        <v>81676</v>
      </c>
      <c r="I39" s="50" t="s">
        <v>17</v>
      </c>
      <c r="J39" s="70">
        <v>15372242</v>
      </c>
      <c r="K39" s="70" t="s">
        <v>185</v>
      </c>
      <c r="L39" s="70" t="s">
        <v>187</v>
      </c>
      <c r="M39" s="69">
        <v>149900</v>
      </c>
      <c r="N39" s="36">
        <f t="shared" si="2"/>
        <v>0.75</v>
      </c>
      <c r="O39" s="35">
        <f t="shared" si="0"/>
        <v>37475</v>
      </c>
      <c r="P39" s="33" t="s">
        <v>16</v>
      </c>
    </row>
    <row r="40" spans="1:16" x14ac:dyDescent="0.35">
      <c r="A40" s="33" t="str">
        <f t="shared" ref="A40:C40" si="32">A39</f>
        <v>2024 JAN-DEC DISC 75%</v>
      </c>
      <c r="B40" s="34">
        <f t="shared" si="32"/>
        <v>46104</v>
      </c>
      <c r="C40" s="34">
        <f t="shared" si="32"/>
        <v>46113</v>
      </c>
      <c r="D40" s="33">
        <v>3281</v>
      </c>
      <c r="E40" s="33">
        <v>337</v>
      </c>
      <c r="F40" s="33">
        <v>4</v>
      </c>
      <c r="G40" s="55">
        <v>5</v>
      </c>
      <c r="H40" s="24">
        <v>81676</v>
      </c>
      <c r="I40" s="50" t="s">
        <v>17</v>
      </c>
      <c r="J40" s="70">
        <v>15372251</v>
      </c>
      <c r="K40" s="70" t="s">
        <v>185</v>
      </c>
      <c r="L40" s="70" t="s">
        <v>872</v>
      </c>
      <c r="M40" s="69">
        <v>149900</v>
      </c>
      <c r="N40" s="36">
        <f t="shared" si="2"/>
        <v>0.75</v>
      </c>
      <c r="O40" s="35">
        <f t="shared" si="0"/>
        <v>37475</v>
      </c>
      <c r="P40" s="33" t="s">
        <v>16</v>
      </c>
    </row>
    <row r="41" spans="1:16" x14ac:dyDescent="0.35">
      <c r="A41" s="33" t="str">
        <f t="shared" ref="A41:C41" si="33">A40</f>
        <v>2024 JAN-DEC DISC 75%</v>
      </c>
      <c r="B41" s="34">
        <f t="shared" si="33"/>
        <v>46104</v>
      </c>
      <c r="C41" s="34">
        <f t="shared" si="33"/>
        <v>46113</v>
      </c>
      <c r="D41" s="33">
        <v>3281</v>
      </c>
      <c r="E41" s="33">
        <v>337</v>
      </c>
      <c r="F41" s="33">
        <v>4</v>
      </c>
      <c r="G41" s="55">
        <v>1</v>
      </c>
      <c r="H41" s="24">
        <v>81676</v>
      </c>
      <c r="I41" s="50" t="s">
        <v>17</v>
      </c>
      <c r="J41" s="70">
        <v>15372260</v>
      </c>
      <c r="K41" s="70" t="s">
        <v>185</v>
      </c>
      <c r="L41" s="70" t="s">
        <v>188</v>
      </c>
      <c r="M41" s="69">
        <v>149900</v>
      </c>
      <c r="N41" s="36">
        <f t="shared" si="2"/>
        <v>0.75</v>
      </c>
      <c r="O41" s="35">
        <f t="shared" si="0"/>
        <v>37475</v>
      </c>
      <c r="P41" s="33" t="s">
        <v>16</v>
      </c>
    </row>
    <row r="42" spans="1:16" x14ac:dyDescent="0.35">
      <c r="A42" s="33" t="str">
        <f t="shared" ref="A42:C42" si="34">A41</f>
        <v>2024 JAN-DEC DISC 75%</v>
      </c>
      <c r="B42" s="34">
        <f t="shared" si="34"/>
        <v>46104</v>
      </c>
      <c r="C42" s="34">
        <f t="shared" si="34"/>
        <v>46113</v>
      </c>
      <c r="D42" s="33">
        <v>3281</v>
      </c>
      <c r="E42" s="33">
        <v>337</v>
      </c>
      <c r="F42" s="33">
        <v>4</v>
      </c>
      <c r="G42" s="55">
        <v>1</v>
      </c>
      <c r="H42" s="24">
        <v>81676</v>
      </c>
      <c r="I42" s="50" t="s">
        <v>17</v>
      </c>
      <c r="J42" s="70">
        <v>15372279</v>
      </c>
      <c r="K42" s="70" t="s">
        <v>497</v>
      </c>
      <c r="L42" s="70" t="s">
        <v>498</v>
      </c>
      <c r="M42" s="69">
        <v>149900</v>
      </c>
      <c r="N42" s="36">
        <f t="shared" si="2"/>
        <v>0.75</v>
      </c>
      <c r="O42" s="35">
        <f t="shared" si="0"/>
        <v>37475</v>
      </c>
      <c r="P42" s="33" t="s">
        <v>16</v>
      </c>
    </row>
    <row r="43" spans="1:16" x14ac:dyDescent="0.35">
      <c r="A43" s="33" t="str">
        <f t="shared" ref="A43:C43" si="35">A42</f>
        <v>2024 JAN-DEC DISC 75%</v>
      </c>
      <c r="B43" s="34">
        <f t="shared" si="35"/>
        <v>46104</v>
      </c>
      <c r="C43" s="34">
        <f t="shared" si="35"/>
        <v>46113</v>
      </c>
      <c r="D43" s="33">
        <v>3281</v>
      </c>
      <c r="E43" s="33">
        <v>337</v>
      </c>
      <c r="F43" s="33">
        <v>4</v>
      </c>
      <c r="G43" s="55">
        <v>1</v>
      </c>
      <c r="H43" s="24">
        <v>81676</v>
      </c>
      <c r="I43" s="50" t="s">
        <v>17</v>
      </c>
      <c r="J43" s="70">
        <v>15372288</v>
      </c>
      <c r="K43" s="70" t="s">
        <v>497</v>
      </c>
      <c r="L43" s="70" t="s">
        <v>499</v>
      </c>
      <c r="M43" s="69">
        <v>149900</v>
      </c>
      <c r="N43" s="36">
        <f t="shared" si="2"/>
        <v>0.75</v>
      </c>
      <c r="O43" s="35">
        <f t="shared" si="0"/>
        <v>37475</v>
      </c>
      <c r="P43" s="33" t="s">
        <v>16</v>
      </c>
    </row>
    <row r="44" spans="1:16" x14ac:dyDescent="0.35">
      <c r="A44" s="33" t="str">
        <f t="shared" ref="A44:C44" si="36">A43</f>
        <v>2024 JAN-DEC DISC 75%</v>
      </c>
      <c r="B44" s="34">
        <f t="shared" si="36"/>
        <v>46104</v>
      </c>
      <c r="C44" s="34">
        <f t="shared" si="36"/>
        <v>46113</v>
      </c>
      <c r="D44" s="33">
        <v>3281</v>
      </c>
      <c r="E44" s="33">
        <v>337</v>
      </c>
      <c r="F44" s="33">
        <v>4</v>
      </c>
      <c r="G44" s="55">
        <v>1</v>
      </c>
      <c r="H44" s="24">
        <v>81676</v>
      </c>
      <c r="I44" s="50" t="s">
        <v>17</v>
      </c>
      <c r="J44" s="70">
        <v>15372297</v>
      </c>
      <c r="K44" s="70" t="s">
        <v>497</v>
      </c>
      <c r="L44" s="70" t="s">
        <v>500</v>
      </c>
      <c r="M44" s="69">
        <v>149900</v>
      </c>
      <c r="N44" s="36">
        <f t="shared" si="2"/>
        <v>0.75</v>
      </c>
      <c r="O44" s="35">
        <f t="shared" si="0"/>
        <v>37475</v>
      </c>
      <c r="P44" s="33" t="s">
        <v>16</v>
      </c>
    </row>
    <row r="45" spans="1:16" x14ac:dyDescent="0.35">
      <c r="A45" s="33" t="str">
        <f t="shared" ref="A45:C45" si="37">A44</f>
        <v>2024 JAN-DEC DISC 75%</v>
      </c>
      <c r="B45" s="34">
        <f t="shared" si="37"/>
        <v>46104</v>
      </c>
      <c r="C45" s="34">
        <f t="shared" si="37"/>
        <v>46113</v>
      </c>
      <c r="D45" s="33">
        <v>3281</v>
      </c>
      <c r="E45" s="33">
        <v>337</v>
      </c>
      <c r="F45" s="33">
        <v>4</v>
      </c>
      <c r="G45" s="55">
        <v>1</v>
      </c>
      <c r="H45" s="24">
        <v>81676</v>
      </c>
      <c r="I45" s="50" t="s">
        <v>17</v>
      </c>
      <c r="J45" s="70">
        <v>15372304</v>
      </c>
      <c r="K45" s="70" t="s">
        <v>497</v>
      </c>
      <c r="L45" s="70" t="s">
        <v>501</v>
      </c>
      <c r="M45" s="69">
        <v>149900</v>
      </c>
      <c r="N45" s="36">
        <f t="shared" si="2"/>
        <v>0.75</v>
      </c>
      <c r="O45" s="35">
        <f t="shared" si="0"/>
        <v>37475</v>
      </c>
      <c r="P45" s="33" t="s">
        <v>16</v>
      </c>
    </row>
    <row r="46" spans="1:16" x14ac:dyDescent="0.35">
      <c r="A46" s="33" t="str">
        <f t="shared" ref="A46:C46" si="38">A45</f>
        <v>2024 JAN-DEC DISC 75%</v>
      </c>
      <c r="B46" s="34">
        <f t="shared" si="38"/>
        <v>46104</v>
      </c>
      <c r="C46" s="34">
        <f t="shared" si="38"/>
        <v>46113</v>
      </c>
      <c r="D46" s="33">
        <v>3281</v>
      </c>
      <c r="E46" s="33">
        <v>337</v>
      </c>
      <c r="F46" s="33">
        <v>4</v>
      </c>
      <c r="G46" s="55">
        <v>1</v>
      </c>
      <c r="H46" s="24">
        <v>81506</v>
      </c>
      <c r="I46" s="50" t="s">
        <v>17</v>
      </c>
      <c r="J46" s="70">
        <v>15372313</v>
      </c>
      <c r="K46" s="70" t="s">
        <v>20</v>
      </c>
      <c r="L46" s="70" t="s">
        <v>3229</v>
      </c>
      <c r="M46" s="69">
        <v>299900</v>
      </c>
      <c r="N46" s="36">
        <f t="shared" si="2"/>
        <v>0.75</v>
      </c>
      <c r="O46" s="35">
        <f t="shared" si="0"/>
        <v>74975</v>
      </c>
      <c r="P46" s="33" t="s">
        <v>16</v>
      </c>
    </row>
    <row r="47" spans="1:16" x14ac:dyDescent="0.35">
      <c r="A47" s="33" t="str">
        <f t="shared" ref="A47:C47" si="39">A46</f>
        <v>2024 JAN-DEC DISC 75%</v>
      </c>
      <c r="B47" s="34">
        <f t="shared" si="39"/>
        <v>46104</v>
      </c>
      <c r="C47" s="34">
        <f t="shared" si="39"/>
        <v>46113</v>
      </c>
      <c r="D47" s="33">
        <v>3281</v>
      </c>
      <c r="E47" s="33">
        <v>337</v>
      </c>
      <c r="F47" s="33">
        <v>4</v>
      </c>
      <c r="G47" s="55">
        <v>1</v>
      </c>
      <c r="H47" s="24">
        <v>81506</v>
      </c>
      <c r="I47" s="50" t="s">
        <v>17</v>
      </c>
      <c r="J47" s="70">
        <v>15372322</v>
      </c>
      <c r="K47" s="70" t="s">
        <v>20</v>
      </c>
      <c r="L47" s="70" t="s">
        <v>3230</v>
      </c>
      <c r="M47" s="69">
        <v>299900</v>
      </c>
      <c r="N47" s="36">
        <f t="shared" si="2"/>
        <v>0.75</v>
      </c>
      <c r="O47" s="35">
        <f t="shared" si="0"/>
        <v>74975</v>
      </c>
      <c r="P47" s="33" t="s">
        <v>16</v>
      </c>
    </row>
    <row r="48" spans="1:16" x14ac:dyDescent="0.35">
      <c r="A48" s="33" t="str">
        <f t="shared" ref="A48:C48" si="40">A47</f>
        <v>2024 JAN-DEC DISC 75%</v>
      </c>
      <c r="B48" s="34">
        <f t="shared" si="40"/>
        <v>46104</v>
      </c>
      <c r="C48" s="34">
        <f t="shared" si="40"/>
        <v>46113</v>
      </c>
      <c r="D48" s="33">
        <v>3281</v>
      </c>
      <c r="E48" s="33">
        <v>337</v>
      </c>
      <c r="F48" s="33">
        <v>4</v>
      </c>
      <c r="G48" s="55">
        <v>5</v>
      </c>
      <c r="H48" s="24">
        <v>81506</v>
      </c>
      <c r="I48" s="50" t="s">
        <v>17</v>
      </c>
      <c r="J48" s="73">
        <v>15372331</v>
      </c>
      <c r="K48" s="73" t="s">
        <v>20</v>
      </c>
      <c r="L48" s="70" t="s">
        <v>3314</v>
      </c>
      <c r="M48" s="69">
        <v>299900</v>
      </c>
      <c r="N48" s="36">
        <f t="shared" si="2"/>
        <v>0.75</v>
      </c>
      <c r="O48" s="35">
        <f t="shared" si="0"/>
        <v>74975</v>
      </c>
      <c r="P48" s="33" t="s">
        <v>16</v>
      </c>
    </row>
    <row r="49" spans="1:16" x14ac:dyDescent="0.35">
      <c r="A49" s="33" t="str">
        <f t="shared" ref="A49:C49" si="41">A48</f>
        <v>2024 JAN-DEC DISC 75%</v>
      </c>
      <c r="B49" s="34">
        <f t="shared" si="41"/>
        <v>46104</v>
      </c>
      <c r="C49" s="34">
        <f t="shared" si="41"/>
        <v>46113</v>
      </c>
      <c r="D49" s="33">
        <v>3281</v>
      </c>
      <c r="E49" s="33">
        <v>337</v>
      </c>
      <c r="F49" s="33">
        <v>4</v>
      </c>
      <c r="G49" s="55">
        <v>5</v>
      </c>
      <c r="H49" s="24">
        <v>81506</v>
      </c>
      <c r="I49" s="50" t="s">
        <v>17</v>
      </c>
      <c r="J49" s="70">
        <v>15372340</v>
      </c>
      <c r="K49" s="70" t="s">
        <v>20</v>
      </c>
      <c r="L49" s="70" t="s">
        <v>3231</v>
      </c>
      <c r="M49" s="69">
        <v>299900</v>
      </c>
      <c r="N49" s="36">
        <f t="shared" si="2"/>
        <v>0.75</v>
      </c>
      <c r="O49" s="35">
        <f t="shared" si="0"/>
        <v>74975</v>
      </c>
      <c r="P49" s="33" t="s">
        <v>16</v>
      </c>
    </row>
    <row r="50" spans="1:16" x14ac:dyDescent="0.35">
      <c r="A50" s="33" t="str">
        <f t="shared" ref="A50:C50" si="42">A49</f>
        <v>2024 JAN-DEC DISC 75%</v>
      </c>
      <c r="B50" s="34">
        <f t="shared" si="42"/>
        <v>46104</v>
      </c>
      <c r="C50" s="34">
        <f t="shared" si="42"/>
        <v>46113</v>
      </c>
      <c r="D50" s="33">
        <v>3281</v>
      </c>
      <c r="E50" s="33">
        <v>337</v>
      </c>
      <c r="F50" s="33">
        <v>4</v>
      </c>
      <c r="G50" s="55">
        <v>5</v>
      </c>
      <c r="H50" s="24">
        <v>81506</v>
      </c>
      <c r="I50" s="50" t="s">
        <v>17</v>
      </c>
      <c r="J50" s="70">
        <v>15372395</v>
      </c>
      <c r="K50" s="70" t="s">
        <v>22</v>
      </c>
      <c r="L50" s="70" t="s">
        <v>3236</v>
      </c>
      <c r="M50" s="69">
        <v>279900</v>
      </c>
      <c r="N50" s="36">
        <f t="shared" si="2"/>
        <v>0.75</v>
      </c>
      <c r="O50" s="35">
        <f t="shared" si="0"/>
        <v>69975</v>
      </c>
      <c r="P50" s="33" t="s">
        <v>16</v>
      </c>
    </row>
    <row r="51" spans="1:16" x14ac:dyDescent="0.35">
      <c r="A51" s="33" t="str">
        <f t="shared" ref="A51:C51" si="43">A50</f>
        <v>2024 JAN-DEC DISC 75%</v>
      </c>
      <c r="B51" s="34">
        <f t="shared" si="43"/>
        <v>46104</v>
      </c>
      <c r="C51" s="34">
        <f t="shared" si="43"/>
        <v>46113</v>
      </c>
      <c r="D51" s="33">
        <v>3281</v>
      </c>
      <c r="E51" s="33">
        <v>337</v>
      </c>
      <c r="F51" s="33">
        <v>4</v>
      </c>
      <c r="G51" s="55">
        <v>5</v>
      </c>
      <c r="H51" s="24">
        <v>81506</v>
      </c>
      <c r="I51" s="50" t="s">
        <v>17</v>
      </c>
      <c r="J51" s="70">
        <v>15372402</v>
      </c>
      <c r="K51" s="70" t="s">
        <v>22</v>
      </c>
      <c r="L51" s="70" t="s">
        <v>3237</v>
      </c>
      <c r="M51" s="69">
        <v>279900</v>
      </c>
      <c r="N51" s="36">
        <f t="shared" si="2"/>
        <v>0.75</v>
      </c>
      <c r="O51" s="35">
        <f t="shared" si="0"/>
        <v>69975</v>
      </c>
      <c r="P51" s="33" t="s">
        <v>16</v>
      </c>
    </row>
    <row r="52" spans="1:16" x14ac:dyDescent="0.35">
      <c r="A52" s="33" t="str">
        <f t="shared" ref="A52:C52" si="44">A51</f>
        <v>2024 JAN-DEC DISC 75%</v>
      </c>
      <c r="B52" s="34">
        <f t="shared" si="44"/>
        <v>46104</v>
      </c>
      <c r="C52" s="34">
        <f t="shared" si="44"/>
        <v>46113</v>
      </c>
      <c r="D52" s="33">
        <v>3281</v>
      </c>
      <c r="E52" s="33">
        <v>337</v>
      </c>
      <c r="F52" s="33">
        <v>4</v>
      </c>
      <c r="G52" s="55">
        <v>5</v>
      </c>
      <c r="H52" s="24">
        <v>81506</v>
      </c>
      <c r="I52" s="50" t="s">
        <v>17</v>
      </c>
      <c r="J52" s="70">
        <v>15372411</v>
      </c>
      <c r="K52" s="70" t="s">
        <v>22</v>
      </c>
      <c r="L52" s="70" t="s">
        <v>3238</v>
      </c>
      <c r="M52" s="69">
        <v>279900</v>
      </c>
      <c r="N52" s="36">
        <f t="shared" si="2"/>
        <v>0.75</v>
      </c>
      <c r="O52" s="35">
        <f t="shared" si="0"/>
        <v>69975</v>
      </c>
      <c r="P52" s="33" t="s">
        <v>16</v>
      </c>
    </row>
    <row r="53" spans="1:16" x14ac:dyDescent="0.35">
      <c r="A53" s="33" t="str">
        <f t="shared" ref="A53:C53" si="45">A52</f>
        <v>2024 JAN-DEC DISC 75%</v>
      </c>
      <c r="B53" s="34">
        <f t="shared" si="45"/>
        <v>46104</v>
      </c>
      <c r="C53" s="34">
        <f t="shared" si="45"/>
        <v>46113</v>
      </c>
      <c r="D53" s="33">
        <v>3281</v>
      </c>
      <c r="E53" s="33">
        <v>337</v>
      </c>
      <c r="F53" s="33">
        <v>4</v>
      </c>
      <c r="G53" s="55">
        <v>2</v>
      </c>
      <c r="H53" s="24">
        <v>81506</v>
      </c>
      <c r="I53" s="50" t="s">
        <v>17</v>
      </c>
      <c r="J53" s="70">
        <v>15372420</v>
      </c>
      <c r="K53" s="70" t="s">
        <v>22</v>
      </c>
      <c r="L53" s="70" t="s">
        <v>3239</v>
      </c>
      <c r="M53" s="69">
        <v>279900</v>
      </c>
      <c r="N53" s="36">
        <f t="shared" si="2"/>
        <v>0.75</v>
      </c>
      <c r="O53" s="35">
        <f t="shared" si="0"/>
        <v>69975</v>
      </c>
      <c r="P53" s="33" t="s">
        <v>16</v>
      </c>
    </row>
    <row r="54" spans="1:16" x14ac:dyDescent="0.35">
      <c r="A54" s="33" t="str">
        <f t="shared" ref="A54:C54" si="46">A53</f>
        <v>2024 JAN-DEC DISC 75%</v>
      </c>
      <c r="B54" s="34">
        <f t="shared" si="46"/>
        <v>46104</v>
      </c>
      <c r="C54" s="34">
        <f t="shared" si="46"/>
        <v>46113</v>
      </c>
      <c r="D54" s="33">
        <v>3281</v>
      </c>
      <c r="E54" s="33">
        <v>337</v>
      </c>
      <c r="F54" s="33">
        <v>4</v>
      </c>
      <c r="G54" s="55">
        <v>2</v>
      </c>
      <c r="H54" s="24">
        <v>80920</v>
      </c>
      <c r="I54" s="50" t="s">
        <v>17</v>
      </c>
      <c r="J54" s="70">
        <v>15634487</v>
      </c>
      <c r="K54" s="70" t="s">
        <v>175</v>
      </c>
      <c r="L54" s="70" t="s">
        <v>176</v>
      </c>
      <c r="M54" s="69">
        <v>189900</v>
      </c>
      <c r="N54" s="36">
        <f t="shared" si="2"/>
        <v>0.75</v>
      </c>
      <c r="O54" s="35">
        <f t="shared" si="0"/>
        <v>47475</v>
      </c>
      <c r="P54" s="33" t="s">
        <v>16</v>
      </c>
    </row>
    <row r="55" spans="1:16" x14ac:dyDescent="0.35">
      <c r="A55" s="33" t="str">
        <f t="shared" ref="A55:C55" si="47">A54</f>
        <v>2024 JAN-DEC DISC 75%</v>
      </c>
      <c r="B55" s="34">
        <f t="shared" si="47"/>
        <v>46104</v>
      </c>
      <c r="C55" s="34">
        <f t="shared" si="47"/>
        <v>46113</v>
      </c>
      <c r="D55" s="33">
        <v>3281</v>
      </c>
      <c r="E55" s="33">
        <v>337</v>
      </c>
      <c r="F55" s="33">
        <v>4</v>
      </c>
      <c r="G55" s="55">
        <v>2</v>
      </c>
      <c r="H55" s="24">
        <v>80920</v>
      </c>
      <c r="I55" s="50" t="s">
        <v>17</v>
      </c>
      <c r="J55" s="70">
        <v>15634496</v>
      </c>
      <c r="K55" s="70" t="s">
        <v>175</v>
      </c>
      <c r="L55" s="70" t="s">
        <v>177</v>
      </c>
      <c r="M55" s="69">
        <v>189900</v>
      </c>
      <c r="N55" s="36">
        <f t="shared" si="2"/>
        <v>0.75</v>
      </c>
      <c r="O55" s="35">
        <f t="shared" si="0"/>
        <v>47475</v>
      </c>
      <c r="P55" s="33" t="s">
        <v>16</v>
      </c>
    </row>
    <row r="56" spans="1:16" x14ac:dyDescent="0.35">
      <c r="A56" s="33" t="str">
        <f t="shared" ref="A56:C56" si="48">A55</f>
        <v>2024 JAN-DEC DISC 75%</v>
      </c>
      <c r="B56" s="34">
        <f t="shared" si="48"/>
        <v>46104</v>
      </c>
      <c r="C56" s="34">
        <f t="shared" si="48"/>
        <v>46113</v>
      </c>
      <c r="D56" s="33">
        <v>3281</v>
      </c>
      <c r="E56" s="33">
        <v>337</v>
      </c>
      <c r="F56" s="33">
        <v>4</v>
      </c>
      <c r="G56" s="55">
        <v>2</v>
      </c>
      <c r="H56" s="24">
        <v>80920</v>
      </c>
      <c r="I56" s="50" t="s">
        <v>17</v>
      </c>
      <c r="J56" s="70">
        <v>15634503</v>
      </c>
      <c r="K56" s="70" t="s">
        <v>175</v>
      </c>
      <c r="L56" s="70" t="s">
        <v>178</v>
      </c>
      <c r="M56" s="69">
        <v>189900</v>
      </c>
      <c r="N56" s="36">
        <f t="shared" si="2"/>
        <v>0.75</v>
      </c>
      <c r="O56" s="35">
        <f t="shared" si="0"/>
        <v>47475</v>
      </c>
      <c r="P56" s="33" t="s">
        <v>16</v>
      </c>
    </row>
    <row r="57" spans="1:16" x14ac:dyDescent="0.35">
      <c r="A57" s="33" t="str">
        <f t="shared" ref="A57:C57" si="49">A56</f>
        <v>2024 JAN-DEC DISC 75%</v>
      </c>
      <c r="B57" s="34">
        <f t="shared" si="49"/>
        <v>46104</v>
      </c>
      <c r="C57" s="34">
        <f t="shared" si="49"/>
        <v>46113</v>
      </c>
      <c r="D57" s="33">
        <v>3281</v>
      </c>
      <c r="E57" s="33">
        <v>337</v>
      </c>
      <c r="F57" s="33">
        <v>4</v>
      </c>
      <c r="G57" s="55">
        <v>1</v>
      </c>
      <c r="H57" s="24">
        <v>80920</v>
      </c>
      <c r="I57" s="50" t="s">
        <v>17</v>
      </c>
      <c r="J57" s="70">
        <v>15634512</v>
      </c>
      <c r="K57" s="70" t="s">
        <v>175</v>
      </c>
      <c r="L57" s="70" t="s">
        <v>179</v>
      </c>
      <c r="M57" s="69">
        <v>189900</v>
      </c>
      <c r="N57" s="36">
        <f t="shared" si="2"/>
        <v>0.75</v>
      </c>
      <c r="O57" s="35">
        <f t="shared" si="0"/>
        <v>47475</v>
      </c>
      <c r="P57" s="33" t="s">
        <v>16</v>
      </c>
    </row>
    <row r="58" spans="1:16" x14ac:dyDescent="0.35">
      <c r="A58" s="33" t="str">
        <f t="shared" ref="A58:C58" si="50">A57</f>
        <v>2024 JAN-DEC DISC 75%</v>
      </c>
      <c r="B58" s="34">
        <f t="shared" si="50"/>
        <v>46104</v>
      </c>
      <c r="C58" s="34">
        <f t="shared" si="50"/>
        <v>46113</v>
      </c>
      <c r="D58" s="33">
        <v>3281</v>
      </c>
      <c r="E58" s="33">
        <v>337</v>
      </c>
      <c r="F58" s="33">
        <v>4</v>
      </c>
      <c r="G58" s="55">
        <v>1</v>
      </c>
      <c r="H58" s="24">
        <v>80920</v>
      </c>
      <c r="I58" s="50" t="s">
        <v>17</v>
      </c>
      <c r="J58" s="70">
        <v>15634521</v>
      </c>
      <c r="K58" s="70" t="s">
        <v>180</v>
      </c>
      <c r="L58" s="70" t="s">
        <v>181</v>
      </c>
      <c r="M58" s="69">
        <v>189900</v>
      </c>
      <c r="N58" s="36">
        <f t="shared" si="2"/>
        <v>0.75</v>
      </c>
      <c r="O58" s="35">
        <f t="shared" si="0"/>
        <v>47475</v>
      </c>
      <c r="P58" s="33" t="s">
        <v>16</v>
      </c>
    </row>
    <row r="59" spans="1:16" x14ac:dyDescent="0.35">
      <c r="A59" s="33" t="str">
        <f t="shared" ref="A59:C59" si="51">A58</f>
        <v>2024 JAN-DEC DISC 75%</v>
      </c>
      <c r="B59" s="34">
        <f t="shared" si="51"/>
        <v>46104</v>
      </c>
      <c r="C59" s="34">
        <f t="shared" si="51"/>
        <v>46113</v>
      </c>
      <c r="D59" s="33">
        <v>3281</v>
      </c>
      <c r="E59" s="33">
        <v>337</v>
      </c>
      <c r="F59" s="33">
        <v>4</v>
      </c>
      <c r="G59" s="55">
        <v>1</v>
      </c>
      <c r="H59" s="24">
        <v>80920</v>
      </c>
      <c r="I59" s="50" t="s">
        <v>17</v>
      </c>
      <c r="J59" s="70">
        <v>15634530</v>
      </c>
      <c r="K59" s="70" t="s">
        <v>180</v>
      </c>
      <c r="L59" s="70" t="s">
        <v>182</v>
      </c>
      <c r="M59" s="69">
        <v>189900</v>
      </c>
      <c r="N59" s="36">
        <f t="shared" si="2"/>
        <v>0.75</v>
      </c>
      <c r="O59" s="35">
        <f t="shared" si="0"/>
        <v>47475</v>
      </c>
      <c r="P59" s="33" t="s">
        <v>16</v>
      </c>
    </row>
    <row r="60" spans="1:16" x14ac:dyDescent="0.35">
      <c r="A60" s="33" t="str">
        <f t="shared" ref="A60:C60" si="52">A59</f>
        <v>2024 JAN-DEC DISC 75%</v>
      </c>
      <c r="B60" s="34">
        <f t="shared" si="52"/>
        <v>46104</v>
      </c>
      <c r="C60" s="34">
        <f t="shared" si="52"/>
        <v>46113</v>
      </c>
      <c r="D60" s="33">
        <v>3281</v>
      </c>
      <c r="E60" s="33">
        <v>337</v>
      </c>
      <c r="F60" s="33">
        <v>4</v>
      </c>
      <c r="G60" s="55">
        <v>1</v>
      </c>
      <c r="H60" s="24">
        <v>80920</v>
      </c>
      <c r="I60" s="50" t="s">
        <v>17</v>
      </c>
      <c r="J60" s="70">
        <v>15634549</v>
      </c>
      <c r="K60" s="70" t="s">
        <v>180</v>
      </c>
      <c r="L60" s="70" t="s">
        <v>183</v>
      </c>
      <c r="M60" s="69">
        <v>189900</v>
      </c>
      <c r="N60" s="36">
        <f t="shared" si="2"/>
        <v>0.75</v>
      </c>
      <c r="O60" s="35">
        <f t="shared" si="0"/>
        <v>47475</v>
      </c>
      <c r="P60" s="33" t="s">
        <v>16</v>
      </c>
    </row>
    <row r="61" spans="1:16" x14ac:dyDescent="0.35">
      <c r="A61" s="33" t="str">
        <f t="shared" ref="A61:C61" si="53">A60</f>
        <v>2024 JAN-DEC DISC 75%</v>
      </c>
      <c r="B61" s="34">
        <f t="shared" si="53"/>
        <v>46104</v>
      </c>
      <c r="C61" s="34">
        <f t="shared" si="53"/>
        <v>46113</v>
      </c>
      <c r="D61" s="33">
        <v>3281</v>
      </c>
      <c r="E61" s="33">
        <v>337</v>
      </c>
      <c r="F61" s="33">
        <v>4</v>
      </c>
      <c r="G61" s="55">
        <v>1</v>
      </c>
      <c r="H61" s="24">
        <v>80920</v>
      </c>
      <c r="I61" s="50" t="s">
        <v>17</v>
      </c>
      <c r="J61" s="70">
        <v>15634558</v>
      </c>
      <c r="K61" s="70" t="s">
        <v>180</v>
      </c>
      <c r="L61" s="70" t="s">
        <v>184</v>
      </c>
      <c r="M61" s="69">
        <v>189900</v>
      </c>
      <c r="N61" s="36">
        <f t="shared" si="2"/>
        <v>0.75</v>
      </c>
      <c r="O61" s="35">
        <f t="shared" ref="O61:O120" si="54">M61-((75*M61))/100</f>
        <v>47475</v>
      </c>
      <c r="P61" s="33" t="s">
        <v>16</v>
      </c>
    </row>
    <row r="62" spans="1:16" x14ac:dyDescent="0.35">
      <c r="A62" s="33" t="str">
        <f t="shared" ref="A62:C62" si="55">A61</f>
        <v>2024 JAN-DEC DISC 75%</v>
      </c>
      <c r="B62" s="34">
        <f t="shared" si="55"/>
        <v>46104</v>
      </c>
      <c r="C62" s="34">
        <f t="shared" si="55"/>
        <v>46113</v>
      </c>
      <c r="D62" s="33">
        <v>3281</v>
      </c>
      <c r="E62" s="33">
        <v>337</v>
      </c>
      <c r="F62" s="33">
        <v>4</v>
      </c>
      <c r="G62" s="55">
        <v>1</v>
      </c>
      <c r="H62" s="24">
        <v>81506</v>
      </c>
      <c r="I62" s="50" t="s">
        <v>17</v>
      </c>
      <c r="J62" s="70">
        <v>15634567</v>
      </c>
      <c r="K62" s="70" t="s">
        <v>23</v>
      </c>
      <c r="L62" s="70" t="s">
        <v>3240</v>
      </c>
      <c r="M62" s="69">
        <v>279900</v>
      </c>
      <c r="N62" s="36">
        <f t="shared" si="2"/>
        <v>0.75</v>
      </c>
      <c r="O62" s="35">
        <f t="shared" si="54"/>
        <v>69975</v>
      </c>
      <c r="P62" s="33" t="s">
        <v>16</v>
      </c>
    </row>
    <row r="63" spans="1:16" x14ac:dyDescent="0.35">
      <c r="A63" s="33" t="str">
        <f t="shared" ref="A63:C63" si="56">A62</f>
        <v>2024 JAN-DEC DISC 75%</v>
      </c>
      <c r="B63" s="34">
        <f t="shared" si="56"/>
        <v>46104</v>
      </c>
      <c r="C63" s="34">
        <f t="shared" si="56"/>
        <v>46113</v>
      </c>
      <c r="D63" s="33">
        <v>3281</v>
      </c>
      <c r="E63" s="33">
        <v>337</v>
      </c>
      <c r="F63" s="33">
        <v>4</v>
      </c>
      <c r="G63" s="55">
        <v>1</v>
      </c>
      <c r="H63" s="24">
        <v>81506</v>
      </c>
      <c r="I63" s="50" t="s">
        <v>17</v>
      </c>
      <c r="J63" s="70">
        <v>15634576</v>
      </c>
      <c r="K63" s="70" t="s">
        <v>23</v>
      </c>
      <c r="L63" s="70" t="s">
        <v>3241</v>
      </c>
      <c r="M63" s="69">
        <v>279900</v>
      </c>
      <c r="N63" s="36">
        <f t="shared" si="2"/>
        <v>0.75</v>
      </c>
      <c r="O63" s="35">
        <f t="shared" si="54"/>
        <v>69975</v>
      </c>
      <c r="P63" s="33" t="s">
        <v>16</v>
      </c>
    </row>
    <row r="64" spans="1:16" x14ac:dyDescent="0.35">
      <c r="A64" s="33" t="str">
        <f t="shared" ref="A64:C64" si="57">A63</f>
        <v>2024 JAN-DEC DISC 75%</v>
      </c>
      <c r="B64" s="34">
        <f t="shared" si="57"/>
        <v>46104</v>
      </c>
      <c r="C64" s="34">
        <f t="shared" si="57"/>
        <v>46113</v>
      </c>
      <c r="D64" s="33">
        <v>3281</v>
      </c>
      <c r="E64" s="33">
        <v>337</v>
      </c>
      <c r="F64" s="33">
        <v>4</v>
      </c>
      <c r="G64" s="55">
        <v>1</v>
      </c>
      <c r="H64" s="24">
        <v>81506</v>
      </c>
      <c r="I64" s="50" t="s">
        <v>17</v>
      </c>
      <c r="J64" s="70">
        <v>15634585</v>
      </c>
      <c r="K64" s="70" t="s">
        <v>23</v>
      </c>
      <c r="L64" s="70" t="s">
        <v>3242</v>
      </c>
      <c r="M64" s="69">
        <v>279900</v>
      </c>
      <c r="N64" s="36">
        <f t="shared" si="2"/>
        <v>0.75</v>
      </c>
      <c r="O64" s="35">
        <f t="shared" si="54"/>
        <v>69975</v>
      </c>
      <c r="P64" s="33" t="s">
        <v>16</v>
      </c>
    </row>
    <row r="65" spans="1:16" x14ac:dyDescent="0.35">
      <c r="A65" s="33" t="str">
        <f t="shared" ref="A65:C65" si="58">A64</f>
        <v>2024 JAN-DEC DISC 75%</v>
      </c>
      <c r="B65" s="34">
        <f t="shared" si="58"/>
        <v>46104</v>
      </c>
      <c r="C65" s="34">
        <f t="shared" si="58"/>
        <v>46113</v>
      </c>
      <c r="D65" s="33">
        <v>3281</v>
      </c>
      <c r="E65" s="33">
        <v>337</v>
      </c>
      <c r="F65" s="33">
        <v>4</v>
      </c>
      <c r="G65" s="55">
        <v>2</v>
      </c>
      <c r="H65" s="24">
        <v>81506</v>
      </c>
      <c r="I65" s="50" t="s">
        <v>17</v>
      </c>
      <c r="J65" s="70">
        <v>15634594</v>
      </c>
      <c r="K65" s="70" t="s">
        <v>23</v>
      </c>
      <c r="L65" s="70" t="s">
        <v>3243</v>
      </c>
      <c r="M65" s="69">
        <v>279900</v>
      </c>
      <c r="N65" s="36">
        <f t="shared" si="2"/>
        <v>0.75</v>
      </c>
      <c r="O65" s="35">
        <f t="shared" si="54"/>
        <v>69975</v>
      </c>
      <c r="P65" s="33" t="s">
        <v>16</v>
      </c>
    </row>
    <row r="66" spans="1:16" x14ac:dyDescent="0.35">
      <c r="A66" s="33" t="str">
        <f t="shared" ref="A66:C66" si="59">A65</f>
        <v>2024 JAN-DEC DISC 75%</v>
      </c>
      <c r="B66" s="34">
        <f t="shared" si="59"/>
        <v>46104</v>
      </c>
      <c r="C66" s="34">
        <f t="shared" si="59"/>
        <v>46113</v>
      </c>
      <c r="D66" s="33">
        <v>3281</v>
      </c>
      <c r="E66" s="33">
        <v>337</v>
      </c>
      <c r="F66" s="33">
        <v>4</v>
      </c>
      <c r="G66" s="55">
        <v>2</v>
      </c>
      <c r="H66" s="24">
        <v>81506</v>
      </c>
      <c r="I66" s="50" t="s">
        <v>17</v>
      </c>
      <c r="J66" s="70">
        <v>15634601</v>
      </c>
      <c r="K66" s="70" t="s">
        <v>40</v>
      </c>
      <c r="L66" s="70" t="s">
        <v>3225</v>
      </c>
      <c r="M66" s="69">
        <v>299900</v>
      </c>
      <c r="N66" s="36">
        <f t="shared" si="2"/>
        <v>0.75</v>
      </c>
      <c r="O66" s="35">
        <f t="shared" si="54"/>
        <v>74975</v>
      </c>
      <c r="P66" s="33" t="s">
        <v>16</v>
      </c>
    </row>
    <row r="67" spans="1:16" x14ac:dyDescent="0.35">
      <c r="A67" s="33" t="str">
        <f t="shared" ref="A67:C67" si="60">A66</f>
        <v>2024 JAN-DEC DISC 75%</v>
      </c>
      <c r="B67" s="34">
        <f t="shared" si="60"/>
        <v>46104</v>
      </c>
      <c r="C67" s="34">
        <f t="shared" si="60"/>
        <v>46113</v>
      </c>
      <c r="D67" s="33">
        <v>3281</v>
      </c>
      <c r="E67" s="33">
        <v>337</v>
      </c>
      <c r="F67" s="33">
        <v>4</v>
      </c>
      <c r="G67" s="55">
        <v>2</v>
      </c>
      <c r="H67" s="24">
        <v>81506</v>
      </c>
      <c r="I67" s="50" t="s">
        <v>17</v>
      </c>
      <c r="J67" s="70">
        <v>15634610</v>
      </c>
      <c r="K67" s="70" t="s">
        <v>40</v>
      </c>
      <c r="L67" s="70" t="s">
        <v>3226</v>
      </c>
      <c r="M67" s="69">
        <v>299900</v>
      </c>
      <c r="N67" s="36">
        <f t="shared" si="2"/>
        <v>0.75</v>
      </c>
      <c r="O67" s="35">
        <f t="shared" si="54"/>
        <v>74975</v>
      </c>
      <c r="P67" s="33" t="s">
        <v>16</v>
      </c>
    </row>
    <row r="68" spans="1:16" x14ac:dyDescent="0.35">
      <c r="A68" s="33" t="str">
        <f t="shared" ref="A68:C68" si="61">A67</f>
        <v>2024 JAN-DEC DISC 75%</v>
      </c>
      <c r="B68" s="34">
        <f t="shared" si="61"/>
        <v>46104</v>
      </c>
      <c r="C68" s="34">
        <f t="shared" si="61"/>
        <v>46113</v>
      </c>
      <c r="D68" s="33">
        <v>3281</v>
      </c>
      <c r="E68" s="33">
        <v>337</v>
      </c>
      <c r="F68" s="33">
        <v>4</v>
      </c>
      <c r="G68" s="55">
        <v>2</v>
      </c>
      <c r="H68" s="24">
        <v>81506</v>
      </c>
      <c r="I68" s="50" t="s">
        <v>17</v>
      </c>
      <c r="J68" s="70">
        <v>15634629</v>
      </c>
      <c r="K68" s="70" t="s">
        <v>40</v>
      </c>
      <c r="L68" s="70" t="s">
        <v>3227</v>
      </c>
      <c r="M68" s="69">
        <v>299900</v>
      </c>
      <c r="N68" s="36">
        <f t="shared" ref="N68:N131" si="62">N67</f>
        <v>0.75</v>
      </c>
      <c r="O68" s="35">
        <f t="shared" si="54"/>
        <v>74975</v>
      </c>
      <c r="P68" s="33" t="s">
        <v>16</v>
      </c>
    </row>
    <row r="69" spans="1:16" x14ac:dyDescent="0.35">
      <c r="A69" s="33" t="str">
        <f t="shared" ref="A69:C69" si="63">A68</f>
        <v>2024 JAN-DEC DISC 75%</v>
      </c>
      <c r="B69" s="34">
        <f t="shared" si="63"/>
        <v>46104</v>
      </c>
      <c r="C69" s="34">
        <f t="shared" si="63"/>
        <v>46113</v>
      </c>
      <c r="D69" s="33">
        <v>3281</v>
      </c>
      <c r="E69" s="33">
        <v>337</v>
      </c>
      <c r="F69" s="33">
        <v>4</v>
      </c>
      <c r="G69" s="55">
        <v>5</v>
      </c>
      <c r="H69" s="24">
        <v>81506</v>
      </c>
      <c r="I69" s="50" t="s">
        <v>17</v>
      </c>
      <c r="J69" s="70">
        <v>15634638</v>
      </c>
      <c r="K69" s="70" t="s">
        <v>40</v>
      </c>
      <c r="L69" s="70" t="s">
        <v>3228</v>
      </c>
      <c r="M69" s="69">
        <v>299900</v>
      </c>
      <c r="N69" s="36">
        <f t="shared" si="62"/>
        <v>0.75</v>
      </c>
      <c r="O69" s="35">
        <f t="shared" si="54"/>
        <v>74975</v>
      </c>
      <c r="P69" s="33" t="s">
        <v>16</v>
      </c>
    </row>
    <row r="70" spans="1:16" x14ac:dyDescent="0.35">
      <c r="A70" s="33" t="str">
        <f t="shared" ref="A70:C70" si="64">A69</f>
        <v>2024 JAN-DEC DISC 75%</v>
      </c>
      <c r="B70" s="34">
        <f t="shared" si="64"/>
        <v>46104</v>
      </c>
      <c r="C70" s="34">
        <f t="shared" si="64"/>
        <v>46113</v>
      </c>
      <c r="D70" s="33">
        <v>3281</v>
      </c>
      <c r="E70" s="33">
        <v>337</v>
      </c>
      <c r="F70" s="33">
        <v>4</v>
      </c>
      <c r="G70" s="55">
        <v>5</v>
      </c>
      <c r="H70" s="24">
        <v>81421</v>
      </c>
      <c r="I70" s="50" t="s">
        <v>17</v>
      </c>
      <c r="J70" s="70">
        <v>15634647</v>
      </c>
      <c r="K70" s="70" t="s">
        <v>209</v>
      </c>
      <c r="L70" s="70" t="s">
        <v>210</v>
      </c>
      <c r="M70" s="69">
        <v>269900</v>
      </c>
      <c r="N70" s="36">
        <f t="shared" si="62"/>
        <v>0.75</v>
      </c>
      <c r="O70" s="35">
        <f t="shared" si="54"/>
        <v>67475</v>
      </c>
      <c r="P70" s="33" t="s">
        <v>16</v>
      </c>
    </row>
    <row r="71" spans="1:16" x14ac:dyDescent="0.35">
      <c r="A71" s="33" t="str">
        <f t="shared" ref="A71:C71" si="65">A70</f>
        <v>2024 JAN-DEC DISC 75%</v>
      </c>
      <c r="B71" s="34">
        <f t="shared" si="65"/>
        <v>46104</v>
      </c>
      <c r="C71" s="34">
        <f t="shared" si="65"/>
        <v>46113</v>
      </c>
      <c r="D71" s="33">
        <v>3281</v>
      </c>
      <c r="E71" s="33">
        <v>337</v>
      </c>
      <c r="F71" s="33">
        <v>4</v>
      </c>
      <c r="G71" s="55">
        <v>5</v>
      </c>
      <c r="H71" s="24">
        <v>81421</v>
      </c>
      <c r="I71" s="50" t="s">
        <v>17</v>
      </c>
      <c r="J71" s="70">
        <v>15634656</v>
      </c>
      <c r="K71" s="70" t="s">
        <v>209</v>
      </c>
      <c r="L71" s="70" t="s">
        <v>211</v>
      </c>
      <c r="M71" s="69">
        <v>269900</v>
      </c>
      <c r="N71" s="36">
        <f t="shared" si="62"/>
        <v>0.75</v>
      </c>
      <c r="O71" s="35">
        <f t="shared" si="54"/>
        <v>67475</v>
      </c>
      <c r="P71" s="33" t="s">
        <v>16</v>
      </c>
    </row>
    <row r="72" spans="1:16" x14ac:dyDescent="0.35">
      <c r="A72" s="33" t="str">
        <f t="shared" ref="A72:C72" si="66">A71</f>
        <v>2024 JAN-DEC DISC 75%</v>
      </c>
      <c r="B72" s="34">
        <f t="shared" si="66"/>
        <v>46104</v>
      </c>
      <c r="C72" s="34">
        <f t="shared" si="66"/>
        <v>46113</v>
      </c>
      <c r="D72" s="33">
        <v>3281</v>
      </c>
      <c r="E72" s="33">
        <v>337</v>
      </c>
      <c r="F72" s="33">
        <v>4</v>
      </c>
      <c r="G72" s="55">
        <v>5</v>
      </c>
      <c r="H72" s="24">
        <v>81421</v>
      </c>
      <c r="I72" s="50" t="s">
        <v>17</v>
      </c>
      <c r="J72" s="70">
        <v>15634665</v>
      </c>
      <c r="K72" s="70" t="s">
        <v>209</v>
      </c>
      <c r="L72" s="70" t="s">
        <v>212</v>
      </c>
      <c r="M72" s="69">
        <v>269900</v>
      </c>
      <c r="N72" s="36">
        <f t="shared" si="62"/>
        <v>0.75</v>
      </c>
      <c r="O72" s="35">
        <f t="shared" si="54"/>
        <v>67475</v>
      </c>
      <c r="P72" s="33" t="s">
        <v>16</v>
      </c>
    </row>
    <row r="73" spans="1:16" x14ac:dyDescent="0.35">
      <c r="A73" s="33" t="str">
        <f t="shared" ref="A73:C73" si="67">A72</f>
        <v>2024 JAN-DEC DISC 75%</v>
      </c>
      <c r="B73" s="34">
        <f t="shared" si="67"/>
        <v>46104</v>
      </c>
      <c r="C73" s="34">
        <f t="shared" si="67"/>
        <v>46113</v>
      </c>
      <c r="D73" s="33">
        <v>3281</v>
      </c>
      <c r="E73" s="33">
        <v>337</v>
      </c>
      <c r="F73" s="33">
        <v>4</v>
      </c>
      <c r="G73" s="55">
        <v>5</v>
      </c>
      <c r="H73" s="24">
        <v>81421</v>
      </c>
      <c r="I73" s="50" t="s">
        <v>17</v>
      </c>
      <c r="J73" s="70">
        <v>15634674</v>
      </c>
      <c r="K73" s="70" t="s">
        <v>209</v>
      </c>
      <c r="L73" s="70" t="s">
        <v>213</v>
      </c>
      <c r="M73" s="69">
        <v>269900</v>
      </c>
      <c r="N73" s="36">
        <f t="shared" si="62"/>
        <v>0.75</v>
      </c>
      <c r="O73" s="35">
        <f t="shared" si="54"/>
        <v>67475</v>
      </c>
      <c r="P73" s="33" t="s">
        <v>16</v>
      </c>
    </row>
    <row r="74" spans="1:16" x14ac:dyDescent="0.35">
      <c r="A74" s="33" t="str">
        <f t="shared" ref="A74:C74" si="68">A73</f>
        <v>2024 JAN-DEC DISC 75%</v>
      </c>
      <c r="B74" s="34">
        <f t="shared" si="68"/>
        <v>46104</v>
      </c>
      <c r="C74" s="34">
        <f t="shared" si="68"/>
        <v>46113</v>
      </c>
      <c r="D74" s="33">
        <v>3281</v>
      </c>
      <c r="E74" s="33">
        <v>337</v>
      </c>
      <c r="F74" s="33">
        <v>4</v>
      </c>
      <c r="G74" s="55">
        <v>5</v>
      </c>
      <c r="H74" s="24">
        <v>81146</v>
      </c>
      <c r="I74" s="50" t="s">
        <v>17</v>
      </c>
      <c r="J74" s="70">
        <v>15634683</v>
      </c>
      <c r="K74" s="70" t="s">
        <v>199</v>
      </c>
      <c r="L74" s="70" t="s">
        <v>200</v>
      </c>
      <c r="M74" s="69">
        <v>269900</v>
      </c>
      <c r="N74" s="36">
        <f t="shared" si="62"/>
        <v>0.75</v>
      </c>
      <c r="O74" s="35">
        <f t="shared" si="54"/>
        <v>67475</v>
      </c>
      <c r="P74" s="33" t="s">
        <v>16</v>
      </c>
    </row>
    <row r="75" spans="1:16" x14ac:dyDescent="0.35">
      <c r="A75" s="33" t="str">
        <f t="shared" ref="A75:C75" si="69">A74</f>
        <v>2024 JAN-DEC DISC 75%</v>
      </c>
      <c r="B75" s="34">
        <f t="shared" si="69"/>
        <v>46104</v>
      </c>
      <c r="C75" s="34">
        <f t="shared" si="69"/>
        <v>46113</v>
      </c>
      <c r="D75" s="33">
        <v>3281</v>
      </c>
      <c r="E75" s="33">
        <v>337</v>
      </c>
      <c r="F75" s="33">
        <v>4</v>
      </c>
      <c r="G75" s="55">
        <v>5</v>
      </c>
      <c r="H75" s="24">
        <v>81146</v>
      </c>
      <c r="I75" s="50" t="s">
        <v>17</v>
      </c>
      <c r="J75" s="70">
        <v>15634692</v>
      </c>
      <c r="K75" s="70" t="s">
        <v>199</v>
      </c>
      <c r="L75" s="70" t="s">
        <v>201</v>
      </c>
      <c r="M75" s="69">
        <v>269900</v>
      </c>
      <c r="N75" s="36">
        <f t="shared" si="62"/>
        <v>0.75</v>
      </c>
      <c r="O75" s="35">
        <f t="shared" si="54"/>
        <v>67475</v>
      </c>
      <c r="P75" s="33" t="s">
        <v>16</v>
      </c>
    </row>
    <row r="76" spans="1:16" x14ac:dyDescent="0.35">
      <c r="A76" s="33" t="str">
        <f t="shared" ref="A76:C76" si="70">A75</f>
        <v>2024 JAN-DEC DISC 75%</v>
      </c>
      <c r="B76" s="34">
        <f t="shared" si="70"/>
        <v>46104</v>
      </c>
      <c r="C76" s="34">
        <f t="shared" si="70"/>
        <v>46113</v>
      </c>
      <c r="D76" s="33">
        <v>3281</v>
      </c>
      <c r="E76" s="33">
        <v>337</v>
      </c>
      <c r="F76" s="33">
        <v>4</v>
      </c>
      <c r="G76" s="55">
        <v>5</v>
      </c>
      <c r="H76" s="24">
        <v>81146</v>
      </c>
      <c r="I76" s="50" t="s">
        <v>17</v>
      </c>
      <c r="J76" s="70">
        <v>15634709</v>
      </c>
      <c r="K76" s="70" t="s">
        <v>199</v>
      </c>
      <c r="L76" s="70" t="s">
        <v>202</v>
      </c>
      <c r="M76" s="69">
        <v>269900</v>
      </c>
      <c r="N76" s="36">
        <f t="shared" si="62"/>
        <v>0.75</v>
      </c>
      <c r="O76" s="35">
        <f t="shared" si="54"/>
        <v>67475</v>
      </c>
      <c r="P76" s="33" t="s">
        <v>16</v>
      </c>
    </row>
    <row r="77" spans="1:16" x14ac:dyDescent="0.35">
      <c r="A77" s="33" t="str">
        <f t="shared" ref="A77:C77" si="71">A76</f>
        <v>2024 JAN-DEC DISC 75%</v>
      </c>
      <c r="B77" s="34">
        <f t="shared" si="71"/>
        <v>46104</v>
      </c>
      <c r="C77" s="34">
        <f t="shared" si="71"/>
        <v>46113</v>
      </c>
      <c r="D77" s="33">
        <v>3281</v>
      </c>
      <c r="E77" s="33">
        <v>337</v>
      </c>
      <c r="F77" s="33">
        <v>4</v>
      </c>
      <c r="G77" s="55">
        <v>5</v>
      </c>
      <c r="H77" s="24">
        <v>81146</v>
      </c>
      <c r="I77" s="50" t="s">
        <v>17</v>
      </c>
      <c r="J77" s="70">
        <v>15634718</v>
      </c>
      <c r="K77" s="70" t="s">
        <v>199</v>
      </c>
      <c r="L77" s="70" t="s">
        <v>203</v>
      </c>
      <c r="M77" s="69">
        <v>269900</v>
      </c>
      <c r="N77" s="36">
        <f t="shared" si="62"/>
        <v>0.75</v>
      </c>
      <c r="O77" s="35">
        <f t="shared" si="54"/>
        <v>67475</v>
      </c>
      <c r="P77" s="33" t="s">
        <v>16</v>
      </c>
    </row>
    <row r="78" spans="1:16" x14ac:dyDescent="0.35">
      <c r="A78" s="33" t="str">
        <f t="shared" ref="A78:C78" si="72">A77</f>
        <v>2024 JAN-DEC DISC 75%</v>
      </c>
      <c r="B78" s="34">
        <f t="shared" si="72"/>
        <v>46104</v>
      </c>
      <c r="C78" s="34">
        <f t="shared" si="72"/>
        <v>46113</v>
      </c>
      <c r="D78" s="33">
        <v>3281</v>
      </c>
      <c r="E78" s="33">
        <v>337</v>
      </c>
      <c r="F78" s="33">
        <v>4</v>
      </c>
      <c r="G78" s="55">
        <v>5</v>
      </c>
      <c r="H78" s="24">
        <v>81421</v>
      </c>
      <c r="I78" s="50" t="s">
        <v>17</v>
      </c>
      <c r="J78" s="70">
        <v>15641282</v>
      </c>
      <c r="K78" s="70" t="s">
        <v>214</v>
      </c>
      <c r="L78" s="70" t="s">
        <v>215</v>
      </c>
      <c r="M78" s="69">
        <v>249900</v>
      </c>
      <c r="N78" s="36">
        <f t="shared" si="62"/>
        <v>0.75</v>
      </c>
      <c r="O78" s="35">
        <f t="shared" si="54"/>
        <v>62475</v>
      </c>
      <c r="P78" s="33" t="s">
        <v>16</v>
      </c>
    </row>
    <row r="79" spans="1:16" x14ac:dyDescent="0.35">
      <c r="A79" s="33" t="str">
        <f t="shared" ref="A79:C79" si="73">A78</f>
        <v>2024 JAN-DEC DISC 75%</v>
      </c>
      <c r="B79" s="34">
        <f t="shared" si="73"/>
        <v>46104</v>
      </c>
      <c r="C79" s="34">
        <f t="shared" si="73"/>
        <v>46113</v>
      </c>
      <c r="D79" s="33">
        <v>3281</v>
      </c>
      <c r="E79" s="33">
        <v>337</v>
      </c>
      <c r="F79" s="33">
        <v>4</v>
      </c>
      <c r="G79" s="55">
        <v>5</v>
      </c>
      <c r="H79" s="24">
        <v>81421</v>
      </c>
      <c r="I79" s="50" t="s">
        <v>17</v>
      </c>
      <c r="J79" s="70">
        <v>15641291</v>
      </c>
      <c r="K79" s="70" t="s">
        <v>214</v>
      </c>
      <c r="L79" s="70" t="s">
        <v>216</v>
      </c>
      <c r="M79" s="69">
        <v>249900</v>
      </c>
      <c r="N79" s="36">
        <f t="shared" si="62"/>
        <v>0.75</v>
      </c>
      <c r="O79" s="35">
        <f t="shared" si="54"/>
        <v>62475</v>
      </c>
      <c r="P79" s="33" t="s">
        <v>16</v>
      </c>
    </row>
    <row r="80" spans="1:16" x14ac:dyDescent="0.35">
      <c r="A80" s="33" t="str">
        <f t="shared" ref="A80:C80" si="74">A79</f>
        <v>2024 JAN-DEC DISC 75%</v>
      </c>
      <c r="B80" s="34">
        <f t="shared" si="74"/>
        <v>46104</v>
      </c>
      <c r="C80" s="34">
        <f t="shared" si="74"/>
        <v>46113</v>
      </c>
      <c r="D80" s="33">
        <v>3281</v>
      </c>
      <c r="E80" s="33">
        <v>337</v>
      </c>
      <c r="F80" s="33">
        <v>4</v>
      </c>
      <c r="G80" s="55">
        <v>5</v>
      </c>
      <c r="H80" s="24">
        <v>81421</v>
      </c>
      <c r="I80" s="50" t="s">
        <v>17</v>
      </c>
      <c r="J80" s="70">
        <v>15641308</v>
      </c>
      <c r="K80" s="70" t="s">
        <v>214</v>
      </c>
      <c r="L80" s="70" t="s">
        <v>217</v>
      </c>
      <c r="M80" s="69">
        <v>249900</v>
      </c>
      <c r="N80" s="36">
        <f t="shared" si="62"/>
        <v>0.75</v>
      </c>
      <c r="O80" s="35">
        <f t="shared" si="54"/>
        <v>62475</v>
      </c>
      <c r="P80" s="33" t="s">
        <v>16</v>
      </c>
    </row>
    <row r="81" spans="1:16" x14ac:dyDescent="0.35">
      <c r="A81" s="33" t="str">
        <f t="shared" ref="A81:C81" si="75">A80</f>
        <v>2024 JAN-DEC DISC 75%</v>
      </c>
      <c r="B81" s="34">
        <f t="shared" si="75"/>
        <v>46104</v>
      </c>
      <c r="C81" s="34">
        <f t="shared" si="75"/>
        <v>46113</v>
      </c>
      <c r="D81" s="33">
        <v>3281</v>
      </c>
      <c r="E81" s="33">
        <v>337</v>
      </c>
      <c r="F81" s="33">
        <v>4</v>
      </c>
      <c r="G81" s="55">
        <v>5</v>
      </c>
      <c r="H81" s="24">
        <v>81421</v>
      </c>
      <c r="I81" s="50" t="s">
        <v>17</v>
      </c>
      <c r="J81" s="70">
        <v>15641317</v>
      </c>
      <c r="K81" s="70" t="s">
        <v>214</v>
      </c>
      <c r="L81" s="70" t="s">
        <v>218</v>
      </c>
      <c r="M81" s="69">
        <v>249900</v>
      </c>
      <c r="N81" s="36">
        <f t="shared" si="62"/>
        <v>0.75</v>
      </c>
      <c r="O81" s="35">
        <f t="shared" si="54"/>
        <v>62475</v>
      </c>
      <c r="P81" s="33" t="s">
        <v>16</v>
      </c>
    </row>
    <row r="82" spans="1:16" x14ac:dyDescent="0.35">
      <c r="A82" s="33" t="str">
        <f t="shared" ref="A82:C82" si="76">A81</f>
        <v>2024 JAN-DEC DISC 75%</v>
      </c>
      <c r="B82" s="34">
        <f t="shared" si="76"/>
        <v>46104</v>
      </c>
      <c r="C82" s="34">
        <f t="shared" si="76"/>
        <v>46113</v>
      </c>
      <c r="D82" s="33">
        <v>3281</v>
      </c>
      <c r="E82" s="33">
        <v>337</v>
      </c>
      <c r="F82" s="33">
        <v>4</v>
      </c>
      <c r="G82" s="55">
        <v>5</v>
      </c>
      <c r="H82" s="24">
        <v>81506</v>
      </c>
      <c r="I82" s="50" t="s">
        <v>17</v>
      </c>
      <c r="J82" s="70">
        <v>16017213</v>
      </c>
      <c r="K82" s="70" t="s">
        <v>21</v>
      </c>
      <c r="L82" s="70" t="s">
        <v>3232</v>
      </c>
      <c r="M82" s="69">
        <v>299900</v>
      </c>
      <c r="N82" s="36">
        <f t="shared" si="62"/>
        <v>0.75</v>
      </c>
      <c r="O82" s="35">
        <f t="shared" si="54"/>
        <v>74975</v>
      </c>
      <c r="P82" s="33" t="s">
        <v>16</v>
      </c>
    </row>
    <row r="83" spans="1:16" x14ac:dyDescent="0.35">
      <c r="A83" s="33" t="str">
        <f t="shared" ref="A83:C83" si="77">A82</f>
        <v>2024 JAN-DEC DISC 75%</v>
      </c>
      <c r="B83" s="34">
        <f t="shared" si="77"/>
        <v>46104</v>
      </c>
      <c r="C83" s="34">
        <f t="shared" si="77"/>
        <v>46113</v>
      </c>
      <c r="D83" s="33">
        <v>3281</v>
      </c>
      <c r="E83" s="33">
        <v>337</v>
      </c>
      <c r="F83" s="33">
        <v>4</v>
      </c>
      <c r="G83" s="55">
        <v>5</v>
      </c>
      <c r="H83" s="24">
        <v>81506</v>
      </c>
      <c r="I83" s="50" t="s">
        <v>17</v>
      </c>
      <c r="J83" s="70">
        <v>16017222</v>
      </c>
      <c r="K83" s="70" t="s">
        <v>21</v>
      </c>
      <c r="L83" s="70" t="s">
        <v>3233</v>
      </c>
      <c r="M83" s="69">
        <v>299900</v>
      </c>
      <c r="N83" s="36">
        <f t="shared" si="62"/>
        <v>0.75</v>
      </c>
      <c r="O83" s="35">
        <f t="shared" si="54"/>
        <v>74975</v>
      </c>
      <c r="P83" s="33" t="s">
        <v>16</v>
      </c>
    </row>
    <row r="84" spans="1:16" x14ac:dyDescent="0.35">
      <c r="A84" s="33" t="str">
        <f t="shared" ref="A84:C84" si="78">A83</f>
        <v>2024 JAN-DEC DISC 75%</v>
      </c>
      <c r="B84" s="34">
        <f t="shared" si="78"/>
        <v>46104</v>
      </c>
      <c r="C84" s="34">
        <f t="shared" si="78"/>
        <v>46113</v>
      </c>
      <c r="D84" s="33">
        <v>3281</v>
      </c>
      <c r="E84" s="33">
        <v>337</v>
      </c>
      <c r="F84" s="33">
        <v>4</v>
      </c>
      <c r="G84" s="55">
        <v>5</v>
      </c>
      <c r="H84" s="24">
        <v>81506</v>
      </c>
      <c r="I84" s="50" t="s">
        <v>17</v>
      </c>
      <c r="J84" s="70">
        <v>16017231</v>
      </c>
      <c r="K84" s="70" t="s">
        <v>21</v>
      </c>
      <c r="L84" s="70" t="s">
        <v>3234</v>
      </c>
      <c r="M84" s="69">
        <v>299900</v>
      </c>
      <c r="N84" s="36">
        <f t="shared" si="62"/>
        <v>0.75</v>
      </c>
      <c r="O84" s="35">
        <f t="shared" si="54"/>
        <v>74975</v>
      </c>
      <c r="P84" s="33" t="s">
        <v>16</v>
      </c>
    </row>
    <row r="85" spans="1:16" x14ac:dyDescent="0.35">
      <c r="A85" s="33" t="str">
        <f t="shared" ref="A85:C85" si="79">A84</f>
        <v>2024 JAN-DEC DISC 75%</v>
      </c>
      <c r="B85" s="34">
        <f t="shared" si="79"/>
        <v>46104</v>
      </c>
      <c r="C85" s="34">
        <f t="shared" si="79"/>
        <v>46113</v>
      </c>
      <c r="D85" s="33">
        <v>3281</v>
      </c>
      <c r="E85" s="33">
        <v>337</v>
      </c>
      <c r="F85" s="33">
        <v>4</v>
      </c>
      <c r="G85" s="55">
        <v>5</v>
      </c>
      <c r="H85" s="24">
        <v>81506</v>
      </c>
      <c r="I85" s="50" t="s">
        <v>17</v>
      </c>
      <c r="J85" s="70">
        <v>16017240</v>
      </c>
      <c r="K85" s="70" t="s">
        <v>21</v>
      </c>
      <c r="L85" s="70" t="s">
        <v>3235</v>
      </c>
      <c r="M85" s="69">
        <v>299900</v>
      </c>
      <c r="N85" s="36">
        <f t="shared" si="62"/>
        <v>0.75</v>
      </c>
      <c r="O85" s="35">
        <f t="shared" si="54"/>
        <v>74975</v>
      </c>
      <c r="P85" s="33" t="s">
        <v>16</v>
      </c>
    </row>
    <row r="86" spans="1:16" x14ac:dyDescent="0.35">
      <c r="A86" s="33" t="str">
        <f t="shared" ref="A86:C86" si="80">A85</f>
        <v>2024 JAN-DEC DISC 75%</v>
      </c>
      <c r="B86" s="34">
        <f t="shared" si="80"/>
        <v>46104</v>
      </c>
      <c r="C86" s="34">
        <f t="shared" si="80"/>
        <v>46113</v>
      </c>
      <c r="D86" s="33">
        <v>3281</v>
      </c>
      <c r="E86" s="33">
        <v>337</v>
      </c>
      <c r="F86" s="33">
        <v>4</v>
      </c>
      <c r="G86" s="55">
        <v>5</v>
      </c>
      <c r="H86" s="24">
        <v>81421</v>
      </c>
      <c r="I86" s="50" t="s">
        <v>17</v>
      </c>
      <c r="J86" s="70">
        <v>76638850</v>
      </c>
      <c r="K86" s="70" t="s">
        <v>204</v>
      </c>
      <c r="L86" s="70" t="s">
        <v>205</v>
      </c>
      <c r="M86" s="69">
        <v>169900</v>
      </c>
      <c r="N86" s="36">
        <f t="shared" si="62"/>
        <v>0.75</v>
      </c>
      <c r="O86" s="35">
        <f t="shared" si="54"/>
        <v>42475</v>
      </c>
      <c r="P86" s="33" t="s">
        <v>16</v>
      </c>
    </row>
    <row r="87" spans="1:16" x14ac:dyDescent="0.35">
      <c r="A87" s="33" t="str">
        <f t="shared" ref="A87:C87" si="81">A86</f>
        <v>2024 JAN-DEC DISC 75%</v>
      </c>
      <c r="B87" s="34">
        <f t="shared" si="81"/>
        <v>46104</v>
      </c>
      <c r="C87" s="34">
        <f t="shared" si="81"/>
        <v>46113</v>
      </c>
      <c r="D87" s="33">
        <v>3281</v>
      </c>
      <c r="E87" s="33">
        <v>337</v>
      </c>
      <c r="F87" s="33">
        <v>4</v>
      </c>
      <c r="G87" s="55">
        <v>5</v>
      </c>
      <c r="H87" s="24">
        <v>81421</v>
      </c>
      <c r="I87" s="50" t="s">
        <v>17</v>
      </c>
      <c r="J87" s="70">
        <v>76638869</v>
      </c>
      <c r="K87" s="70" t="s">
        <v>204</v>
      </c>
      <c r="L87" s="70" t="s">
        <v>206</v>
      </c>
      <c r="M87" s="69">
        <v>169900</v>
      </c>
      <c r="N87" s="36">
        <f t="shared" si="62"/>
        <v>0.75</v>
      </c>
      <c r="O87" s="35">
        <f t="shared" si="54"/>
        <v>42475</v>
      </c>
      <c r="P87" s="33" t="s">
        <v>16</v>
      </c>
    </row>
    <row r="88" spans="1:16" x14ac:dyDescent="0.35">
      <c r="A88" s="33" t="str">
        <f t="shared" ref="A88:C88" si="82">A87</f>
        <v>2024 JAN-DEC DISC 75%</v>
      </c>
      <c r="B88" s="34">
        <f t="shared" si="82"/>
        <v>46104</v>
      </c>
      <c r="C88" s="34">
        <f t="shared" si="82"/>
        <v>46113</v>
      </c>
      <c r="D88" s="33">
        <v>3281</v>
      </c>
      <c r="E88" s="33">
        <v>337</v>
      </c>
      <c r="F88" s="33">
        <v>4</v>
      </c>
      <c r="G88" s="55">
        <v>5</v>
      </c>
      <c r="H88" s="24">
        <v>81421</v>
      </c>
      <c r="I88" s="50" t="s">
        <v>17</v>
      </c>
      <c r="J88" s="70">
        <v>76638878</v>
      </c>
      <c r="K88" s="70" t="s">
        <v>204</v>
      </c>
      <c r="L88" s="70" t="s">
        <v>207</v>
      </c>
      <c r="M88" s="69">
        <v>169900</v>
      </c>
      <c r="N88" s="36">
        <f t="shared" si="62"/>
        <v>0.75</v>
      </c>
      <c r="O88" s="35">
        <f t="shared" si="54"/>
        <v>42475</v>
      </c>
      <c r="P88" s="33" t="s">
        <v>16</v>
      </c>
    </row>
    <row r="89" spans="1:16" x14ac:dyDescent="0.35">
      <c r="A89" s="33" t="str">
        <f t="shared" ref="A89:C89" si="83">A88</f>
        <v>2024 JAN-DEC DISC 75%</v>
      </c>
      <c r="B89" s="34">
        <f t="shared" si="83"/>
        <v>46104</v>
      </c>
      <c r="C89" s="34">
        <f t="shared" si="83"/>
        <v>46113</v>
      </c>
      <c r="D89" s="33">
        <v>3281</v>
      </c>
      <c r="E89" s="33">
        <v>337</v>
      </c>
      <c r="F89" s="33">
        <v>4</v>
      </c>
      <c r="G89" s="55">
        <v>5</v>
      </c>
      <c r="H89" s="24">
        <v>81421</v>
      </c>
      <c r="I89" s="50" t="s">
        <v>17</v>
      </c>
      <c r="J89" s="70">
        <v>76638887</v>
      </c>
      <c r="K89" s="70" t="s">
        <v>204</v>
      </c>
      <c r="L89" s="70" t="s">
        <v>208</v>
      </c>
      <c r="M89" s="69">
        <v>169900</v>
      </c>
      <c r="N89" s="36">
        <f t="shared" si="62"/>
        <v>0.75</v>
      </c>
      <c r="O89" s="35">
        <f t="shared" si="54"/>
        <v>42475</v>
      </c>
      <c r="P89" s="33" t="s">
        <v>16</v>
      </c>
    </row>
    <row r="90" spans="1:16" x14ac:dyDescent="0.35">
      <c r="A90" s="33" t="str">
        <f t="shared" ref="A90:C90" si="84">A89</f>
        <v>2024 JAN-DEC DISC 75%</v>
      </c>
      <c r="B90" s="34">
        <f t="shared" si="84"/>
        <v>46104</v>
      </c>
      <c r="C90" s="34">
        <f t="shared" si="84"/>
        <v>46113</v>
      </c>
      <c r="D90" s="33">
        <v>3281</v>
      </c>
      <c r="E90" s="33">
        <v>337</v>
      </c>
      <c r="F90" s="33">
        <v>4</v>
      </c>
      <c r="G90" s="55">
        <v>5</v>
      </c>
      <c r="H90" s="24">
        <v>81421</v>
      </c>
      <c r="I90" s="50" t="s">
        <v>17</v>
      </c>
      <c r="J90" s="70">
        <v>16418450</v>
      </c>
      <c r="K90" s="70" t="s">
        <v>166</v>
      </c>
      <c r="L90" s="70" t="s">
        <v>167</v>
      </c>
      <c r="M90" s="69">
        <v>189900</v>
      </c>
      <c r="N90" s="36">
        <f t="shared" si="62"/>
        <v>0.75</v>
      </c>
      <c r="O90" s="35">
        <f t="shared" si="54"/>
        <v>47475</v>
      </c>
      <c r="P90" s="33" t="s">
        <v>16</v>
      </c>
    </row>
    <row r="91" spans="1:16" x14ac:dyDescent="0.35">
      <c r="A91" s="33" t="str">
        <f t="shared" ref="A91:C91" si="85">A90</f>
        <v>2024 JAN-DEC DISC 75%</v>
      </c>
      <c r="B91" s="34">
        <f t="shared" si="85"/>
        <v>46104</v>
      </c>
      <c r="C91" s="34">
        <f t="shared" si="85"/>
        <v>46113</v>
      </c>
      <c r="D91" s="33">
        <v>3281</v>
      </c>
      <c r="E91" s="33">
        <v>337</v>
      </c>
      <c r="F91" s="33">
        <v>4</v>
      </c>
      <c r="G91" s="55">
        <v>5</v>
      </c>
      <c r="H91" s="24">
        <v>81421</v>
      </c>
      <c r="I91" s="50" t="s">
        <v>17</v>
      </c>
      <c r="J91" s="70">
        <v>16418469</v>
      </c>
      <c r="K91" s="70" t="s">
        <v>166</v>
      </c>
      <c r="L91" s="70" t="s">
        <v>168</v>
      </c>
      <c r="M91" s="69">
        <v>189900</v>
      </c>
      <c r="N91" s="36">
        <f t="shared" si="62"/>
        <v>0.75</v>
      </c>
      <c r="O91" s="35">
        <f t="shared" si="54"/>
        <v>47475</v>
      </c>
      <c r="P91" s="33" t="s">
        <v>16</v>
      </c>
    </row>
    <row r="92" spans="1:16" x14ac:dyDescent="0.35">
      <c r="A92" s="33" t="str">
        <f t="shared" ref="A92:C92" si="86">A91</f>
        <v>2024 JAN-DEC DISC 75%</v>
      </c>
      <c r="B92" s="34">
        <f t="shared" si="86"/>
        <v>46104</v>
      </c>
      <c r="C92" s="34">
        <f t="shared" si="86"/>
        <v>46113</v>
      </c>
      <c r="D92" s="33">
        <v>3281</v>
      </c>
      <c r="E92" s="33">
        <v>337</v>
      </c>
      <c r="F92" s="33">
        <v>4</v>
      </c>
      <c r="G92" s="55">
        <v>5</v>
      </c>
      <c r="H92" s="24">
        <v>81421</v>
      </c>
      <c r="I92" s="50" t="s">
        <v>17</v>
      </c>
      <c r="J92" s="70">
        <v>16418478</v>
      </c>
      <c r="K92" s="70" t="s">
        <v>166</v>
      </c>
      <c r="L92" s="70" t="s">
        <v>487</v>
      </c>
      <c r="M92" s="69">
        <v>189900</v>
      </c>
      <c r="N92" s="36">
        <f t="shared" si="62"/>
        <v>0.75</v>
      </c>
      <c r="O92" s="35">
        <f t="shared" si="54"/>
        <v>47475</v>
      </c>
      <c r="P92" s="33" t="s">
        <v>16</v>
      </c>
    </row>
    <row r="93" spans="1:16" x14ac:dyDescent="0.35">
      <c r="A93" s="33" t="str">
        <f t="shared" ref="A93:C93" si="87">A92</f>
        <v>2024 JAN-DEC DISC 75%</v>
      </c>
      <c r="B93" s="34">
        <f t="shared" si="87"/>
        <v>46104</v>
      </c>
      <c r="C93" s="34">
        <f t="shared" si="87"/>
        <v>46113</v>
      </c>
      <c r="D93" s="33">
        <v>3281</v>
      </c>
      <c r="E93" s="33">
        <v>337</v>
      </c>
      <c r="F93" s="33">
        <v>4</v>
      </c>
      <c r="G93" s="55">
        <v>1</v>
      </c>
      <c r="H93" s="24">
        <v>81421</v>
      </c>
      <c r="I93" s="50" t="s">
        <v>17</v>
      </c>
      <c r="J93" s="70">
        <v>16418487</v>
      </c>
      <c r="K93" s="70" t="s">
        <v>166</v>
      </c>
      <c r="L93" s="70" t="s">
        <v>169</v>
      </c>
      <c r="M93" s="69">
        <v>189900</v>
      </c>
      <c r="N93" s="36">
        <f t="shared" si="62"/>
        <v>0.75</v>
      </c>
      <c r="O93" s="35">
        <f t="shared" si="54"/>
        <v>47475</v>
      </c>
      <c r="P93" s="33" t="s">
        <v>16</v>
      </c>
    </row>
    <row r="94" spans="1:16" x14ac:dyDescent="0.35">
      <c r="A94" s="33" t="str">
        <f t="shared" ref="A94:C94" si="88">A93</f>
        <v>2024 JAN-DEC DISC 75%</v>
      </c>
      <c r="B94" s="34">
        <f t="shared" si="88"/>
        <v>46104</v>
      </c>
      <c r="C94" s="34">
        <f t="shared" si="88"/>
        <v>46113</v>
      </c>
      <c r="D94" s="33">
        <v>3281</v>
      </c>
      <c r="E94" s="33">
        <v>337</v>
      </c>
      <c r="F94" s="33">
        <v>4</v>
      </c>
      <c r="G94" s="55">
        <v>1</v>
      </c>
      <c r="H94" s="24">
        <v>81146</v>
      </c>
      <c r="I94" s="50" t="s">
        <v>17</v>
      </c>
      <c r="J94" s="70">
        <v>16418414</v>
      </c>
      <c r="K94" s="70" t="s">
        <v>162</v>
      </c>
      <c r="L94" s="70" t="s">
        <v>163</v>
      </c>
      <c r="M94" s="69">
        <v>149900</v>
      </c>
      <c r="N94" s="36">
        <f t="shared" si="62"/>
        <v>0.75</v>
      </c>
      <c r="O94" s="35">
        <f t="shared" si="54"/>
        <v>37475</v>
      </c>
      <c r="P94" s="33" t="s">
        <v>16</v>
      </c>
    </row>
    <row r="95" spans="1:16" x14ac:dyDescent="0.35">
      <c r="A95" s="33" t="str">
        <f t="shared" ref="A95:C95" si="89">A94</f>
        <v>2024 JAN-DEC DISC 75%</v>
      </c>
      <c r="B95" s="34">
        <f t="shared" si="89"/>
        <v>46104</v>
      </c>
      <c r="C95" s="34">
        <f t="shared" si="89"/>
        <v>46113</v>
      </c>
      <c r="D95" s="33">
        <v>3281</v>
      </c>
      <c r="E95" s="33">
        <v>337</v>
      </c>
      <c r="F95" s="33">
        <v>4</v>
      </c>
      <c r="G95" s="55">
        <v>1</v>
      </c>
      <c r="H95" s="24">
        <v>81146</v>
      </c>
      <c r="I95" s="50" t="s">
        <v>17</v>
      </c>
      <c r="J95" s="70">
        <v>16418423</v>
      </c>
      <c r="K95" s="70" t="s">
        <v>162</v>
      </c>
      <c r="L95" s="70" t="s">
        <v>164</v>
      </c>
      <c r="M95" s="69">
        <v>149900</v>
      </c>
      <c r="N95" s="36">
        <f t="shared" si="62"/>
        <v>0.75</v>
      </c>
      <c r="O95" s="35">
        <f t="shared" si="54"/>
        <v>37475</v>
      </c>
      <c r="P95" s="33" t="s">
        <v>16</v>
      </c>
    </row>
    <row r="96" spans="1:16" x14ac:dyDescent="0.35">
      <c r="A96" s="33" t="str">
        <f t="shared" ref="A96:C96" si="90">A95</f>
        <v>2024 JAN-DEC DISC 75%</v>
      </c>
      <c r="B96" s="34">
        <f t="shared" si="90"/>
        <v>46104</v>
      </c>
      <c r="C96" s="34">
        <f t="shared" si="90"/>
        <v>46113</v>
      </c>
      <c r="D96" s="33">
        <v>3281</v>
      </c>
      <c r="E96" s="33">
        <v>337</v>
      </c>
      <c r="F96" s="33">
        <v>4</v>
      </c>
      <c r="G96" s="55">
        <v>1</v>
      </c>
      <c r="H96" s="24">
        <v>81146</v>
      </c>
      <c r="I96" s="50" t="s">
        <v>17</v>
      </c>
      <c r="J96" s="70">
        <v>16418432</v>
      </c>
      <c r="K96" s="70" t="s">
        <v>162</v>
      </c>
      <c r="L96" s="70" t="s">
        <v>482</v>
      </c>
      <c r="M96" s="69">
        <v>149900</v>
      </c>
      <c r="N96" s="36">
        <f t="shared" si="62"/>
        <v>0.75</v>
      </c>
      <c r="O96" s="35">
        <f t="shared" si="54"/>
        <v>37475</v>
      </c>
      <c r="P96" s="33" t="s">
        <v>16</v>
      </c>
    </row>
    <row r="97" spans="1:16" x14ac:dyDescent="0.35">
      <c r="A97" s="33" t="str">
        <f t="shared" ref="A97:C97" si="91">A96</f>
        <v>2024 JAN-DEC DISC 75%</v>
      </c>
      <c r="B97" s="34">
        <f t="shared" si="91"/>
        <v>46104</v>
      </c>
      <c r="C97" s="34">
        <f t="shared" si="91"/>
        <v>46113</v>
      </c>
      <c r="D97" s="33">
        <v>3281</v>
      </c>
      <c r="E97" s="33">
        <v>337</v>
      </c>
      <c r="F97" s="33">
        <v>4</v>
      </c>
      <c r="G97" s="55">
        <v>1</v>
      </c>
      <c r="H97" s="24">
        <v>81146</v>
      </c>
      <c r="I97" s="50" t="s">
        <v>17</v>
      </c>
      <c r="J97" s="70">
        <v>16418441</v>
      </c>
      <c r="K97" s="70" t="s">
        <v>162</v>
      </c>
      <c r="L97" s="70" t="s">
        <v>165</v>
      </c>
      <c r="M97" s="69">
        <v>149900</v>
      </c>
      <c r="N97" s="36">
        <f t="shared" si="62"/>
        <v>0.75</v>
      </c>
      <c r="O97" s="35">
        <f t="shared" si="54"/>
        <v>37475</v>
      </c>
      <c r="P97" s="33" t="s">
        <v>16</v>
      </c>
    </row>
    <row r="98" spans="1:16" x14ac:dyDescent="0.35">
      <c r="A98" s="33" t="str">
        <f t="shared" ref="A98:C98" si="92">A97</f>
        <v>2024 JAN-DEC DISC 75%</v>
      </c>
      <c r="B98" s="34">
        <f t="shared" si="92"/>
        <v>46104</v>
      </c>
      <c r="C98" s="34">
        <f t="shared" si="92"/>
        <v>46113</v>
      </c>
      <c r="D98" s="33">
        <v>3281</v>
      </c>
      <c r="E98" s="33">
        <v>337</v>
      </c>
      <c r="F98" s="33">
        <v>4</v>
      </c>
      <c r="G98" s="55">
        <v>1</v>
      </c>
      <c r="H98" s="24">
        <v>81506</v>
      </c>
      <c r="I98" s="50" t="s">
        <v>17</v>
      </c>
      <c r="J98" s="70">
        <v>16418496</v>
      </c>
      <c r="K98" s="70" t="s">
        <v>41</v>
      </c>
      <c r="L98" s="70" t="s">
        <v>42</v>
      </c>
      <c r="M98" s="69">
        <v>299900</v>
      </c>
      <c r="N98" s="36">
        <f t="shared" si="62"/>
        <v>0.75</v>
      </c>
      <c r="O98" s="35">
        <f t="shared" si="54"/>
        <v>74975</v>
      </c>
      <c r="P98" s="33" t="s">
        <v>16</v>
      </c>
    </row>
    <row r="99" spans="1:16" x14ac:dyDescent="0.35">
      <c r="A99" s="33" t="str">
        <f t="shared" ref="A99:C99" si="93">A98</f>
        <v>2024 JAN-DEC DISC 75%</v>
      </c>
      <c r="B99" s="34">
        <f t="shared" si="93"/>
        <v>46104</v>
      </c>
      <c r="C99" s="34">
        <f t="shared" si="93"/>
        <v>46113</v>
      </c>
      <c r="D99" s="33">
        <v>3281</v>
      </c>
      <c r="E99" s="33">
        <v>337</v>
      </c>
      <c r="F99" s="33">
        <v>4</v>
      </c>
      <c r="G99" s="55">
        <v>1</v>
      </c>
      <c r="H99" s="24">
        <v>81506</v>
      </c>
      <c r="I99" s="50" t="s">
        <v>17</v>
      </c>
      <c r="J99" s="70">
        <v>16418503</v>
      </c>
      <c r="K99" s="70" t="s">
        <v>41</v>
      </c>
      <c r="L99" s="70" t="s">
        <v>43</v>
      </c>
      <c r="M99" s="69">
        <v>299900</v>
      </c>
      <c r="N99" s="36">
        <f t="shared" si="62"/>
        <v>0.75</v>
      </c>
      <c r="O99" s="35">
        <f t="shared" si="54"/>
        <v>74975</v>
      </c>
      <c r="P99" s="33" t="s">
        <v>16</v>
      </c>
    </row>
    <row r="100" spans="1:16" x14ac:dyDescent="0.35">
      <c r="A100" s="33" t="str">
        <f t="shared" ref="A100:C100" si="94">A99</f>
        <v>2024 JAN-DEC DISC 75%</v>
      </c>
      <c r="B100" s="34">
        <f t="shared" si="94"/>
        <v>46104</v>
      </c>
      <c r="C100" s="34">
        <f t="shared" si="94"/>
        <v>46113</v>
      </c>
      <c r="D100" s="33">
        <v>3281</v>
      </c>
      <c r="E100" s="33">
        <v>337</v>
      </c>
      <c r="F100" s="33">
        <v>4</v>
      </c>
      <c r="G100" s="55">
        <v>1</v>
      </c>
      <c r="H100" s="24">
        <v>81506</v>
      </c>
      <c r="I100" s="50" t="s">
        <v>17</v>
      </c>
      <c r="J100" s="70">
        <v>16418512</v>
      </c>
      <c r="K100" s="70" t="s">
        <v>41</v>
      </c>
      <c r="L100" s="70" t="s">
        <v>2238</v>
      </c>
      <c r="M100" s="69">
        <v>299900</v>
      </c>
      <c r="N100" s="36">
        <f t="shared" si="62"/>
        <v>0.75</v>
      </c>
      <c r="O100" s="35">
        <f t="shared" si="54"/>
        <v>74975</v>
      </c>
      <c r="P100" s="33" t="s">
        <v>16</v>
      </c>
    </row>
    <row r="101" spans="1:16" x14ac:dyDescent="0.35">
      <c r="A101" s="33" t="str">
        <f t="shared" ref="A101:C101" si="95">A100</f>
        <v>2024 JAN-DEC DISC 75%</v>
      </c>
      <c r="B101" s="34">
        <f t="shared" si="95"/>
        <v>46104</v>
      </c>
      <c r="C101" s="34">
        <f t="shared" si="95"/>
        <v>46113</v>
      </c>
      <c r="D101" s="33">
        <v>3281</v>
      </c>
      <c r="E101" s="33">
        <v>337</v>
      </c>
      <c r="F101" s="33">
        <v>4</v>
      </c>
      <c r="G101" s="55">
        <v>5</v>
      </c>
      <c r="H101" s="24">
        <v>81506</v>
      </c>
      <c r="I101" s="50" t="s">
        <v>17</v>
      </c>
      <c r="J101" s="70">
        <v>16418521</v>
      </c>
      <c r="K101" s="70" t="s">
        <v>41</v>
      </c>
      <c r="L101" s="70" t="s">
        <v>44</v>
      </c>
      <c r="M101" s="69">
        <v>299900</v>
      </c>
      <c r="N101" s="36">
        <f t="shared" si="62"/>
        <v>0.75</v>
      </c>
      <c r="O101" s="35">
        <f t="shared" si="54"/>
        <v>74975</v>
      </c>
      <c r="P101" s="33" t="s">
        <v>16</v>
      </c>
    </row>
    <row r="102" spans="1:16" x14ac:dyDescent="0.35">
      <c r="A102" s="33" t="str">
        <f t="shared" ref="A102:C102" si="96">A101</f>
        <v>2024 JAN-DEC DISC 75%</v>
      </c>
      <c r="B102" s="34">
        <f t="shared" si="96"/>
        <v>46104</v>
      </c>
      <c r="C102" s="34">
        <f t="shared" si="96"/>
        <v>46113</v>
      </c>
      <c r="D102" s="33">
        <v>3281</v>
      </c>
      <c r="E102" s="33">
        <v>337</v>
      </c>
      <c r="F102" s="33">
        <v>4</v>
      </c>
      <c r="G102" s="55">
        <v>5</v>
      </c>
      <c r="H102" s="24">
        <v>80920</v>
      </c>
      <c r="I102" s="50" t="s">
        <v>17</v>
      </c>
      <c r="J102" s="70">
        <v>15371912</v>
      </c>
      <c r="K102" s="70" t="s">
        <v>488</v>
      </c>
      <c r="L102" s="70" t="s">
        <v>489</v>
      </c>
      <c r="M102" s="69">
        <v>149900</v>
      </c>
      <c r="N102" s="36">
        <f t="shared" si="62"/>
        <v>0.75</v>
      </c>
      <c r="O102" s="35">
        <f t="shared" si="54"/>
        <v>37475</v>
      </c>
      <c r="P102" s="33" t="s">
        <v>16</v>
      </c>
    </row>
    <row r="103" spans="1:16" x14ac:dyDescent="0.35">
      <c r="A103" s="33" t="str">
        <f t="shared" ref="A103:C103" si="97">A102</f>
        <v>2024 JAN-DEC DISC 75%</v>
      </c>
      <c r="B103" s="34">
        <f t="shared" si="97"/>
        <v>46104</v>
      </c>
      <c r="C103" s="34">
        <f t="shared" si="97"/>
        <v>46113</v>
      </c>
      <c r="D103" s="33">
        <v>3281</v>
      </c>
      <c r="E103" s="33">
        <v>337</v>
      </c>
      <c r="F103" s="33">
        <v>4</v>
      </c>
      <c r="G103" s="55">
        <v>5</v>
      </c>
      <c r="H103" s="24">
        <v>80920</v>
      </c>
      <c r="I103" s="50" t="s">
        <v>17</v>
      </c>
      <c r="J103" s="70">
        <v>15371921</v>
      </c>
      <c r="K103" s="70" t="s">
        <v>488</v>
      </c>
      <c r="L103" s="70" t="s">
        <v>490</v>
      </c>
      <c r="M103" s="69">
        <v>149900</v>
      </c>
      <c r="N103" s="36">
        <f t="shared" si="62"/>
        <v>0.75</v>
      </c>
      <c r="O103" s="35">
        <f t="shared" si="54"/>
        <v>37475</v>
      </c>
      <c r="P103" s="33" t="s">
        <v>16</v>
      </c>
    </row>
    <row r="104" spans="1:16" x14ac:dyDescent="0.35">
      <c r="A104" s="33" t="str">
        <f t="shared" ref="A104:C104" si="98">A103</f>
        <v>2024 JAN-DEC DISC 75%</v>
      </c>
      <c r="B104" s="34">
        <f t="shared" si="98"/>
        <v>46104</v>
      </c>
      <c r="C104" s="34">
        <f t="shared" si="98"/>
        <v>46113</v>
      </c>
      <c r="D104" s="33">
        <v>3281</v>
      </c>
      <c r="E104" s="33">
        <v>337</v>
      </c>
      <c r="F104" s="33">
        <v>4</v>
      </c>
      <c r="G104" s="55">
        <v>5</v>
      </c>
      <c r="H104" s="24">
        <v>80920</v>
      </c>
      <c r="I104" s="50" t="s">
        <v>17</v>
      </c>
      <c r="J104" s="70">
        <v>15371930</v>
      </c>
      <c r="K104" s="70" t="s">
        <v>488</v>
      </c>
      <c r="L104" s="70" t="s">
        <v>491</v>
      </c>
      <c r="M104" s="69">
        <v>149900</v>
      </c>
      <c r="N104" s="36">
        <f t="shared" si="62"/>
        <v>0.75</v>
      </c>
      <c r="O104" s="35">
        <f t="shared" si="54"/>
        <v>37475</v>
      </c>
      <c r="P104" s="33" t="s">
        <v>16</v>
      </c>
    </row>
    <row r="105" spans="1:16" x14ac:dyDescent="0.35">
      <c r="A105" s="33" t="str">
        <f t="shared" ref="A105:C105" si="99">A104</f>
        <v>2024 JAN-DEC DISC 75%</v>
      </c>
      <c r="B105" s="34">
        <f t="shared" si="99"/>
        <v>46104</v>
      </c>
      <c r="C105" s="34">
        <f t="shared" si="99"/>
        <v>46113</v>
      </c>
      <c r="D105" s="33">
        <v>3281</v>
      </c>
      <c r="E105" s="33">
        <v>337</v>
      </c>
      <c r="F105" s="33">
        <v>4</v>
      </c>
      <c r="G105" s="55">
        <v>1</v>
      </c>
      <c r="H105" s="24">
        <v>80920</v>
      </c>
      <c r="I105" s="50" t="s">
        <v>17</v>
      </c>
      <c r="J105" s="70">
        <v>15371949</v>
      </c>
      <c r="K105" s="70" t="s">
        <v>488</v>
      </c>
      <c r="L105" s="70" t="s">
        <v>492</v>
      </c>
      <c r="M105" s="69">
        <v>149900</v>
      </c>
      <c r="N105" s="36">
        <f t="shared" si="62"/>
        <v>0.75</v>
      </c>
      <c r="O105" s="35">
        <f t="shared" si="54"/>
        <v>37475</v>
      </c>
      <c r="P105" s="33" t="s">
        <v>16</v>
      </c>
    </row>
    <row r="106" spans="1:16" x14ac:dyDescent="0.35">
      <c r="A106" s="33" t="str">
        <f t="shared" ref="A106:C106" si="100">A105</f>
        <v>2024 JAN-DEC DISC 75%</v>
      </c>
      <c r="B106" s="34">
        <f t="shared" si="100"/>
        <v>46104</v>
      </c>
      <c r="C106" s="34">
        <f t="shared" si="100"/>
        <v>46113</v>
      </c>
      <c r="D106" s="33">
        <v>3281</v>
      </c>
      <c r="E106" s="33">
        <v>337</v>
      </c>
      <c r="F106" s="33">
        <v>4</v>
      </c>
      <c r="G106" s="55">
        <v>1</v>
      </c>
      <c r="H106" s="24">
        <v>81421</v>
      </c>
      <c r="I106" s="50" t="s">
        <v>17</v>
      </c>
      <c r="J106" s="70">
        <v>15634727</v>
      </c>
      <c r="K106" s="70" t="s">
        <v>483</v>
      </c>
      <c r="L106" s="70" t="s">
        <v>484</v>
      </c>
      <c r="M106" s="69">
        <v>199900</v>
      </c>
      <c r="N106" s="36">
        <f t="shared" si="62"/>
        <v>0.75</v>
      </c>
      <c r="O106" s="35">
        <f t="shared" si="54"/>
        <v>49975</v>
      </c>
      <c r="P106" s="33" t="s">
        <v>16</v>
      </c>
    </row>
    <row r="107" spans="1:16" x14ac:dyDescent="0.35">
      <c r="A107" s="33" t="str">
        <f t="shared" ref="A107:C107" si="101">A106</f>
        <v>2024 JAN-DEC DISC 75%</v>
      </c>
      <c r="B107" s="34">
        <f t="shared" si="101"/>
        <v>46104</v>
      </c>
      <c r="C107" s="34">
        <f t="shared" si="101"/>
        <v>46113</v>
      </c>
      <c r="D107" s="33">
        <v>3281</v>
      </c>
      <c r="E107" s="33">
        <v>337</v>
      </c>
      <c r="F107" s="33">
        <v>4</v>
      </c>
      <c r="G107" s="55">
        <v>1</v>
      </c>
      <c r="H107" s="24">
        <v>81421</v>
      </c>
      <c r="I107" s="50" t="s">
        <v>17</v>
      </c>
      <c r="J107" s="70">
        <v>15634736</v>
      </c>
      <c r="K107" s="70" t="s">
        <v>483</v>
      </c>
      <c r="L107" s="70" t="s">
        <v>485</v>
      </c>
      <c r="M107" s="69">
        <v>199900</v>
      </c>
      <c r="N107" s="36">
        <f t="shared" si="62"/>
        <v>0.75</v>
      </c>
      <c r="O107" s="35">
        <f t="shared" si="54"/>
        <v>49975</v>
      </c>
      <c r="P107" s="33" t="s">
        <v>16</v>
      </c>
    </row>
    <row r="108" spans="1:16" x14ac:dyDescent="0.35">
      <c r="A108" s="33" t="str">
        <f t="shared" ref="A108:C108" si="102">A107</f>
        <v>2024 JAN-DEC DISC 75%</v>
      </c>
      <c r="B108" s="34">
        <f t="shared" si="102"/>
        <v>46104</v>
      </c>
      <c r="C108" s="34">
        <f t="shared" si="102"/>
        <v>46113</v>
      </c>
      <c r="D108" s="33">
        <v>3281</v>
      </c>
      <c r="E108" s="33">
        <v>337</v>
      </c>
      <c r="F108" s="33">
        <v>4</v>
      </c>
      <c r="G108" s="55">
        <v>1</v>
      </c>
      <c r="H108" s="24">
        <v>81421</v>
      </c>
      <c r="I108" s="50" t="s">
        <v>17</v>
      </c>
      <c r="J108" s="70">
        <v>15634745</v>
      </c>
      <c r="K108" s="70" t="s">
        <v>483</v>
      </c>
      <c r="L108" s="70" t="s">
        <v>566</v>
      </c>
      <c r="M108" s="69">
        <v>199900</v>
      </c>
      <c r="N108" s="36">
        <f t="shared" si="62"/>
        <v>0.75</v>
      </c>
      <c r="O108" s="35">
        <f t="shared" si="54"/>
        <v>49975</v>
      </c>
      <c r="P108" s="33" t="s">
        <v>16</v>
      </c>
    </row>
    <row r="109" spans="1:16" x14ac:dyDescent="0.35">
      <c r="A109" s="33" t="str">
        <f t="shared" ref="A109:C109" si="103">A108</f>
        <v>2024 JAN-DEC DISC 75%</v>
      </c>
      <c r="B109" s="34">
        <f t="shared" si="103"/>
        <v>46104</v>
      </c>
      <c r="C109" s="34">
        <f t="shared" si="103"/>
        <v>46113</v>
      </c>
      <c r="D109" s="33">
        <v>3281</v>
      </c>
      <c r="E109" s="33">
        <v>337</v>
      </c>
      <c r="F109" s="33">
        <v>4</v>
      </c>
      <c r="G109" s="55">
        <v>1</v>
      </c>
      <c r="H109" s="24">
        <v>81421</v>
      </c>
      <c r="I109" s="50" t="s">
        <v>17</v>
      </c>
      <c r="J109" s="70">
        <v>15634754</v>
      </c>
      <c r="K109" s="70" t="s">
        <v>483</v>
      </c>
      <c r="L109" s="70" t="s">
        <v>486</v>
      </c>
      <c r="M109" s="69">
        <v>199900</v>
      </c>
      <c r="N109" s="36">
        <f t="shared" si="62"/>
        <v>0.75</v>
      </c>
      <c r="O109" s="35">
        <f t="shared" si="54"/>
        <v>49975</v>
      </c>
      <c r="P109" s="33" t="s">
        <v>16</v>
      </c>
    </row>
    <row r="110" spans="1:16" x14ac:dyDescent="0.35">
      <c r="A110" s="33" t="str">
        <f t="shared" ref="A110:C110" si="104">A109</f>
        <v>2024 JAN-DEC DISC 75%</v>
      </c>
      <c r="B110" s="34">
        <f t="shared" si="104"/>
        <v>46104</v>
      </c>
      <c r="C110" s="34">
        <f t="shared" si="104"/>
        <v>46113</v>
      </c>
      <c r="D110" s="33">
        <v>3281</v>
      </c>
      <c r="E110" s="33">
        <v>337</v>
      </c>
      <c r="F110" s="33">
        <v>4</v>
      </c>
      <c r="G110" s="55">
        <v>1</v>
      </c>
      <c r="H110" s="24">
        <v>81676</v>
      </c>
      <c r="I110" s="50" t="s">
        <v>17</v>
      </c>
      <c r="J110" s="70">
        <v>86446646</v>
      </c>
      <c r="K110" s="70" t="s">
        <v>502</v>
      </c>
      <c r="L110" s="70" t="s">
        <v>503</v>
      </c>
      <c r="M110" s="69">
        <v>149900</v>
      </c>
      <c r="N110" s="36">
        <f t="shared" si="62"/>
        <v>0.75</v>
      </c>
      <c r="O110" s="35">
        <f t="shared" si="54"/>
        <v>37475</v>
      </c>
      <c r="P110" s="33" t="s">
        <v>16</v>
      </c>
    </row>
    <row r="111" spans="1:16" x14ac:dyDescent="0.35">
      <c r="A111" s="33" t="str">
        <f t="shared" ref="A111:C111" si="105">A110</f>
        <v>2024 JAN-DEC DISC 75%</v>
      </c>
      <c r="B111" s="34">
        <f t="shared" si="105"/>
        <v>46104</v>
      </c>
      <c r="C111" s="34">
        <f t="shared" si="105"/>
        <v>46113</v>
      </c>
      <c r="D111" s="33">
        <v>3281</v>
      </c>
      <c r="E111" s="33">
        <v>337</v>
      </c>
      <c r="F111" s="33">
        <v>4</v>
      </c>
      <c r="G111" s="55">
        <v>1</v>
      </c>
      <c r="H111" s="24">
        <v>81676</v>
      </c>
      <c r="I111" s="50" t="s">
        <v>17</v>
      </c>
      <c r="J111" s="70">
        <v>86446655</v>
      </c>
      <c r="K111" s="70" t="s">
        <v>502</v>
      </c>
      <c r="L111" s="70" t="s">
        <v>504</v>
      </c>
      <c r="M111" s="69">
        <v>149900</v>
      </c>
      <c r="N111" s="36">
        <f t="shared" si="62"/>
        <v>0.75</v>
      </c>
      <c r="O111" s="35">
        <f t="shared" si="54"/>
        <v>37475</v>
      </c>
      <c r="P111" s="33" t="s">
        <v>16</v>
      </c>
    </row>
    <row r="112" spans="1:16" x14ac:dyDescent="0.35">
      <c r="A112" s="33" t="str">
        <f t="shared" ref="A112:C112" si="106">A111</f>
        <v>2024 JAN-DEC DISC 75%</v>
      </c>
      <c r="B112" s="34">
        <f t="shared" si="106"/>
        <v>46104</v>
      </c>
      <c r="C112" s="34">
        <f t="shared" si="106"/>
        <v>46113</v>
      </c>
      <c r="D112" s="33">
        <v>3281</v>
      </c>
      <c r="E112" s="33">
        <v>337</v>
      </c>
      <c r="F112" s="33">
        <v>4</v>
      </c>
      <c r="G112" s="55">
        <v>1</v>
      </c>
      <c r="H112" s="24">
        <v>81676</v>
      </c>
      <c r="I112" s="50" t="s">
        <v>17</v>
      </c>
      <c r="J112" s="70">
        <v>86446664</v>
      </c>
      <c r="K112" s="70" t="s">
        <v>502</v>
      </c>
      <c r="L112" s="70" t="s">
        <v>505</v>
      </c>
      <c r="M112" s="69">
        <v>149900</v>
      </c>
      <c r="N112" s="36">
        <f t="shared" si="62"/>
        <v>0.75</v>
      </c>
      <c r="O112" s="35">
        <f t="shared" si="54"/>
        <v>37475</v>
      </c>
      <c r="P112" s="33" t="s">
        <v>16</v>
      </c>
    </row>
    <row r="113" spans="1:16" x14ac:dyDescent="0.35">
      <c r="A113" s="33" t="str">
        <f t="shared" ref="A113:C113" si="107">A112</f>
        <v>2024 JAN-DEC DISC 75%</v>
      </c>
      <c r="B113" s="34">
        <f t="shared" si="107"/>
        <v>46104</v>
      </c>
      <c r="C113" s="34">
        <f t="shared" si="107"/>
        <v>46113</v>
      </c>
      <c r="D113" s="33">
        <v>3281</v>
      </c>
      <c r="E113" s="33">
        <v>337</v>
      </c>
      <c r="F113" s="33">
        <v>4</v>
      </c>
      <c r="G113" s="55">
        <v>1</v>
      </c>
      <c r="H113" s="24">
        <v>81676</v>
      </c>
      <c r="I113" s="50" t="s">
        <v>17</v>
      </c>
      <c r="J113" s="70">
        <v>86446673</v>
      </c>
      <c r="K113" s="70" t="s">
        <v>502</v>
      </c>
      <c r="L113" s="70" t="s">
        <v>506</v>
      </c>
      <c r="M113" s="69">
        <v>149900</v>
      </c>
      <c r="N113" s="36">
        <f t="shared" si="62"/>
        <v>0.75</v>
      </c>
      <c r="O113" s="35">
        <f t="shared" si="54"/>
        <v>37475</v>
      </c>
      <c r="P113" s="33" t="s">
        <v>16</v>
      </c>
    </row>
    <row r="114" spans="1:16" x14ac:dyDescent="0.35">
      <c r="A114" s="33" t="str">
        <f t="shared" ref="A114:C114" si="108">A113</f>
        <v>2024 JAN-DEC DISC 75%</v>
      </c>
      <c r="B114" s="34">
        <f t="shared" si="108"/>
        <v>46104</v>
      </c>
      <c r="C114" s="34">
        <f t="shared" si="108"/>
        <v>46113</v>
      </c>
      <c r="D114" s="33">
        <v>3281</v>
      </c>
      <c r="E114" s="33">
        <v>337</v>
      </c>
      <c r="F114" s="33">
        <v>4</v>
      </c>
      <c r="G114" s="55">
        <v>1</v>
      </c>
      <c r="H114" s="24">
        <v>81676</v>
      </c>
      <c r="I114" s="50" t="s">
        <v>17</v>
      </c>
      <c r="J114" s="70">
        <v>86446726</v>
      </c>
      <c r="K114" s="70" t="s">
        <v>507</v>
      </c>
      <c r="L114" s="70" t="s">
        <v>508</v>
      </c>
      <c r="M114" s="69">
        <v>149900</v>
      </c>
      <c r="N114" s="36">
        <f t="shared" si="62"/>
        <v>0.75</v>
      </c>
      <c r="O114" s="35">
        <f t="shared" si="54"/>
        <v>37475</v>
      </c>
      <c r="P114" s="33" t="s">
        <v>16</v>
      </c>
    </row>
    <row r="115" spans="1:16" x14ac:dyDescent="0.35">
      <c r="A115" s="33" t="str">
        <f t="shared" ref="A115:C115" si="109">A114</f>
        <v>2024 JAN-DEC DISC 75%</v>
      </c>
      <c r="B115" s="34">
        <f t="shared" si="109"/>
        <v>46104</v>
      </c>
      <c r="C115" s="34">
        <f t="shared" si="109"/>
        <v>46113</v>
      </c>
      <c r="D115" s="33">
        <v>3281</v>
      </c>
      <c r="E115" s="33">
        <v>337</v>
      </c>
      <c r="F115" s="33">
        <v>4</v>
      </c>
      <c r="G115" s="55">
        <v>1</v>
      </c>
      <c r="H115" s="24">
        <v>81676</v>
      </c>
      <c r="I115" s="50" t="s">
        <v>17</v>
      </c>
      <c r="J115" s="70">
        <v>86446735</v>
      </c>
      <c r="K115" s="70" t="s">
        <v>507</v>
      </c>
      <c r="L115" s="70" t="s">
        <v>509</v>
      </c>
      <c r="M115" s="69">
        <v>149900</v>
      </c>
      <c r="N115" s="36">
        <f t="shared" si="62"/>
        <v>0.75</v>
      </c>
      <c r="O115" s="35">
        <f t="shared" si="54"/>
        <v>37475</v>
      </c>
      <c r="P115" s="33" t="s">
        <v>16</v>
      </c>
    </row>
    <row r="116" spans="1:16" x14ac:dyDescent="0.35">
      <c r="A116" s="33" t="str">
        <f t="shared" ref="A116:C116" si="110">A115</f>
        <v>2024 JAN-DEC DISC 75%</v>
      </c>
      <c r="B116" s="34">
        <f t="shared" si="110"/>
        <v>46104</v>
      </c>
      <c r="C116" s="34">
        <f t="shared" si="110"/>
        <v>46113</v>
      </c>
      <c r="D116" s="33">
        <v>3281</v>
      </c>
      <c r="E116" s="33">
        <v>337</v>
      </c>
      <c r="F116" s="33">
        <v>4</v>
      </c>
      <c r="G116" s="55">
        <v>1</v>
      </c>
      <c r="H116" s="24">
        <v>81676</v>
      </c>
      <c r="I116" s="50" t="s">
        <v>17</v>
      </c>
      <c r="J116" s="70">
        <v>86446744</v>
      </c>
      <c r="K116" s="70" t="s">
        <v>507</v>
      </c>
      <c r="L116" s="70" t="s">
        <v>510</v>
      </c>
      <c r="M116" s="69">
        <v>149900</v>
      </c>
      <c r="N116" s="36">
        <f t="shared" si="62"/>
        <v>0.75</v>
      </c>
      <c r="O116" s="35">
        <f t="shared" si="54"/>
        <v>37475</v>
      </c>
      <c r="P116" s="33" t="s">
        <v>16</v>
      </c>
    </row>
    <row r="117" spans="1:16" x14ac:dyDescent="0.35">
      <c r="A117" s="33" t="str">
        <f t="shared" ref="A117:C117" si="111">A116</f>
        <v>2024 JAN-DEC DISC 75%</v>
      </c>
      <c r="B117" s="34">
        <f t="shared" si="111"/>
        <v>46104</v>
      </c>
      <c r="C117" s="34">
        <f t="shared" si="111"/>
        <v>46113</v>
      </c>
      <c r="D117" s="33">
        <v>3281</v>
      </c>
      <c r="E117" s="33">
        <v>337</v>
      </c>
      <c r="F117" s="33">
        <v>4</v>
      </c>
      <c r="G117" s="55">
        <v>1</v>
      </c>
      <c r="H117" s="24">
        <v>81676</v>
      </c>
      <c r="I117" s="50" t="s">
        <v>17</v>
      </c>
      <c r="J117" s="70">
        <v>86446753</v>
      </c>
      <c r="K117" s="70" t="s">
        <v>507</v>
      </c>
      <c r="L117" s="70" t="s">
        <v>511</v>
      </c>
      <c r="M117" s="69">
        <v>149900</v>
      </c>
      <c r="N117" s="36">
        <f t="shared" si="62"/>
        <v>0.75</v>
      </c>
      <c r="O117" s="35">
        <f t="shared" si="54"/>
        <v>37475</v>
      </c>
      <c r="P117" s="33" t="s">
        <v>16</v>
      </c>
    </row>
    <row r="118" spans="1:16" x14ac:dyDescent="0.35">
      <c r="A118" s="33" t="str">
        <f t="shared" ref="A118:C118" si="112">A117</f>
        <v>2024 JAN-DEC DISC 75%</v>
      </c>
      <c r="B118" s="34">
        <f t="shared" si="112"/>
        <v>46104</v>
      </c>
      <c r="C118" s="34">
        <f t="shared" si="112"/>
        <v>46113</v>
      </c>
      <c r="D118" s="33">
        <v>3281</v>
      </c>
      <c r="E118" s="33">
        <v>337</v>
      </c>
      <c r="F118" s="33">
        <v>4</v>
      </c>
      <c r="G118" s="55">
        <v>1</v>
      </c>
      <c r="H118" s="24">
        <v>190</v>
      </c>
      <c r="I118" s="50" t="s">
        <v>17</v>
      </c>
      <c r="J118" s="73">
        <v>16272723</v>
      </c>
      <c r="K118" s="73" t="s">
        <v>517</v>
      </c>
      <c r="L118" s="73" t="s">
        <v>518</v>
      </c>
      <c r="M118" s="69">
        <v>249900</v>
      </c>
      <c r="N118" s="36">
        <f t="shared" si="62"/>
        <v>0.75</v>
      </c>
      <c r="O118" s="35">
        <f t="shared" si="54"/>
        <v>62475</v>
      </c>
      <c r="P118" s="33" t="s">
        <v>16</v>
      </c>
    </row>
    <row r="119" spans="1:16" x14ac:dyDescent="0.35">
      <c r="A119" s="33" t="str">
        <f t="shared" ref="A119:C119" si="113">A118</f>
        <v>2024 JAN-DEC DISC 75%</v>
      </c>
      <c r="B119" s="34">
        <f t="shared" si="113"/>
        <v>46104</v>
      </c>
      <c r="C119" s="34">
        <f t="shared" si="113"/>
        <v>46113</v>
      </c>
      <c r="D119" s="33">
        <v>3281</v>
      </c>
      <c r="E119" s="33">
        <v>337</v>
      </c>
      <c r="F119" s="33">
        <v>4</v>
      </c>
      <c r="G119" s="55">
        <v>5</v>
      </c>
      <c r="H119" s="24">
        <v>190</v>
      </c>
      <c r="I119" s="50" t="s">
        <v>17</v>
      </c>
      <c r="J119" s="73">
        <v>16272732</v>
      </c>
      <c r="K119" s="73" t="s">
        <v>517</v>
      </c>
      <c r="L119" s="73" t="s">
        <v>519</v>
      </c>
      <c r="M119" s="69">
        <v>249900</v>
      </c>
      <c r="N119" s="36">
        <f t="shared" si="62"/>
        <v>0.75</v>
      </c>
      <c r="O119" s="35">
        <f t="shared" si="54"/>
        <v>62475</v>
      </c>
      <c r="P119" s="33" t="s">
        <v>16</v>
      </c>
    </row>
    <row r="120" spans="1:16" x14ac:dyDescent="0.35">
      <c r="A120" s="33" t="str">
        <f t="shared" ref="A120:C120" si="114">A119</f>
        <v>2024 JAN-DEC DISC 75%</v>
      </c>
      <c r="B120" s="34">
        <f t="shared" si="114"/>
        <v>46104</v>
      </c>
      <c r="C120" s="34">
        <f t="shared" si="114"/>
        <v>46113</v>
      </c>
      <c r="D120" s="33">
        <v>3281</v>
      </c>
      <c r="E120" s="33">
        <v>337</v>
      </c>
      <c r="F120" s="33">
        <v>4</v>
      </c>
      <c r="G120" s="55">
        <v>5</v>
      </c>
      <c r="H120" s="24">
        <v>190</v>
      </c>
      <c r="I120" s="50" t="s">
        <v>17</v>
      </c>
      <c r="J120" s="73">
        <v>16272741</v>
      </c>
      <c r="K120" s="73" t="s">
        <v>517</v>
      </c>
      <c r="L120" s="73" t="s">
        <v>520</v>
      </c>
      <c r="M120" s="69">
        <v>249900</v>
      </c>
      <c r="N120" s="36">
        <f t="shared" si="62"/>
        <v>0.75</v>
      </c>
      <c r="O120" s="35">
        <f t="shared" si="54"/>
        <v>62475</v>
      </c>
      <c r="P120" s="33" t="s">
        <v>16</v>
      </c>
    </row>
    <row r="121" spans="1:16" x14ac:dyDescent="0.35">
      <c r="A121" s="33" t="str">
        <f t="shared" ref="A121:C121" si="115">A120</f>
        <v>2024 JAN-DEC DISC 75%</v>
      </c>
      <c r="B121" s="34">
        <f t="shared" si="115"/>
        <v>46104</v>
      </c>
      <c r="C121" s="34">
        <f t="shared" si="115"/>
        <v>46113</v>
      </c>
      <c r="D121" s="33">
        <v>3281</v>
      </c>
      <c r="E121" s="33">
        <v>337</v>
      </c>
      <c r="F121" s="33">
        <v>4</v>
      </c>
      <c r="G121" s="55">
        <v>5</v>
      </c>
      <c r="H121" s="24">
        <v>190</v>
      </c>
      <c r="I121" s="50" t="s">
        <v>17</v>
      </c>
      <c r="J121" s="73">
        <v>16272750</v>
      </c>
      <c r="K121" s="73" t="s">
        <v>517</v>
      </c>
      <c r="L121" s="73" t="s">
        <v>573</v>
      </c>
      <c r="M121" s="69">
        <v>249900</v>
      </c>
      <c r="N121" s="36">
        <f t="shared" si="62"/>
        <v>0.75</v>
      </c>
      <c r="O121" s="35">
        <f t="shared" ref="O121:O179" si="116">M121-((75*M121))/100</f>
        <v>62475</v>
      </c>
      <c r="P121" s="33" t="s">
        <v>16</v>
      </c>
    </row>
    <row r="122" spans="1:16" x14ac:dyDescent="0.35">
      <c r="A122" s="33" t="str">
        <f t="shared" ref="A122:C122" si="117">A121</f>
        <v>2024 JAN-DEC DISC 75%</v>
      </c>
      <c r="B122" s="34">
        <f t="shared" si="117"/>
        <v>46104</v>
      </c>
      <c r="C122" s="34">
        <f t="shared" si="117"/>
        <v>46113</v>
      </c>
      <c r="D122" s="33">
        <v>3281</v>
      </c>
      <c r="E122" s="33">
        <v>337</v>
      </c>
      <c r="F122" s="33">
        <v>4</v>
      </c>
      <c r="G122" s="55">
        <v>5</v>
      </c>
      <c r="H122" s="24">
        <v>80920</v>
      </c>
      <c r="I122" s="50" t="s">
        <v>17</v>
      </c>
      <c r="J122" s="70">
        <v>15371958</v>
      </c>
      <c r="K122" s="70" t="s">
        <v>493</v>
      </c>
      <c r="L122" s="70" t="s">
        <v>494</v>
      </c>
      <c r="M122" s="69">
        <v>149900</v>
      </c>
      <c r="N122" s="36">
        <f t="shared" si="62"/>
        <v>0.75</v>
      </c>
      <c r="O122" s="35">
        <f t="shared" si="116"/>
        <v>37475</v>
      </c>
      <c r="P122" s="33" t="s">
        <v>16</v>
      </c>
    </row>
    <row r="123" spans="1:16" x14ac:dyDescent="0.35">
      <c r="A123" s="33" t="str">
        <f t="shared" ref="A123:C123" si="118">A122</f>
        <v>2024 JAN-DEC DISC 75%</v>
      </c>
      <c r="B123" s="34">
        <f t="shared" si="118"/>
        <v>46104</v>
      </c>
      <c r="C123" s="34">
        <f t="shared" si="118"/>
        <v>46113</v>
      </c>
      <c r="D123" s="33">
        <v>3281</v>
      </c>
      <c r="E123" s="33">
        <v>337</v>
      </c>
      <c r="F123" s="33">
        <v>4</v>
      </c>
      <c r="G123" s="55">
        <v>5</v>
      </c>
      <c r="H123" s="24">
        <v>80920</v>
      </c>
      <c r="I123" s="50" t="s">
        <v>17</v>
      </c>
      <c r="J123" s="70">
        <v>15371967</v>
      </c>
      <c r="K123" s="70" t="s">
        <v>493</v>
      </c>
      <c r="L123" s="70" t="s">
        <v>495</v>
      </c>
      <c r="M123" s="69">
        <v>149900</v>
      </c>
      <c r="N123" s="36">
        <f t="shared" si="62"/>
        <v>0.75</v>
      </c>
      <c r="O123" s="35">
        <f t="shared" si="116"/>
        <v>37475</v>
      </c>
      <c r="P123" s="33" t="s">
        <v>16</v>
      </c>
    </row>
    <row r="124" spans="1:16" x14ac:dyDescent="0.35">
      <c r="A124" s="33" t="str">
        <f t="shared" ref="A124:C124" si="119">A123</f>
        <v>2024 JAN-DEC DISC 75%</v>
      </c>
      <c r="B124" s="34">
        <f t="shared" si="119"/>
        <v>46104</v>
      </c>
      <c r="C124" s="34">
        <f t="shared" si="119"/>
        <v>46113</v>
      </c>
      <c r="D124" s="33">
        <v>3281</v>
      </c>
      <c r="E124" s="33">
        <v>337</v>
      </c>
      <c r="F124" s="33">
        <v>4</v>
      </c>
      <c r="G124" s="55">
        <v>5</v>
      </c>
      <c r="H124" s="24">
        <v>80920</v>
      </c>
      <c r="I124" s="50" t="s">
        <v>17</v>
      </c>
      <c r="J124" s="70">
        <v>15371976</v>
      </c>
      <c r="K124" s="70" t="s">
        <v>493</v>
      </c>
      <c r="L124" s="70" t="s">
        <v>567</v>
      </c>
      <c r="M124" s="69">
        <v>149900</v>
      </c>
      <c r="N124" s="36">
        <f t="shared" si="62"/>
        <v>0.75</v>
      </c>
      <c r="O124" s="35">
        <f t="shared" si="116"/>
        <v>37475</v>
      </c>
      <c r="P124" s="33" t="s">
        <v>16</v>
      </c>
    </row>
    <row r="125" spans="1:16" x14ac:dyDescent="0.35">
      <c r="A125" s="33" t="str">
        <f t="shared" ref="A125:C125" si="120">A124</f>
        <v>2024 JAN-DEC DISC 75%</v>
      </c>
      <c r="B125" s="34">
        <f t="shared" si="120"/>
        <v>46104</v>
      </c>
      <c r="C125" s="34">
        <f t="shared" si="120"/>
        <v>46113</v>
      </c>
      <c r="D125" s="33">
        <v>3281</v>
      </c>
      <c r="E125" s="33">
        <v>337</v>
      </c>
      <c r="F125" s="33">
        <v>4</v>
      </c>
      <c r="G125" s="55">
        <v>1</v>
      </c>
      <c r="H125" s="24">
        <v>80920</v>
      </c>
      <c r="I125" s="50" t="s">
        <v>17</v>
      </c>
      <c r="J125" s="70">
        <v>15371985</v>
      </c>
      <c r="K125" s="70" t="s">
        <v>493</v>
      </c>
      <c r="L125" s="70" t="s">
        <v>496</v>
      </c>
      <c r="M125" s="69">
        <v>149900</v>
      </c>
      <c r="N125" s="36">
        <f t="shared" si="62"/>
        <v>0.75</v>
      </c>
      <c r="O125" s="35">
        <f t="shared" si="116"/>
        <v>37475</v>
      </c>
      <c r="P125" s="33" t="s">
        <v>16</v>
      </c>
    </row>
    <row r="126" spans="1:16" x14ac:dyDescent="0.35">
      <c r="A126" s="33" t="str">
        <f t="shared" ref="A126:C126" si="121">A125</f>
        <v>2024 JAN-DEC DISC 75%</v>
      </c>
      <c r="B126" s="34">
        <f t="shared" si="121"/>
        <v>46104</v>
      </c>
      <c r="C126" s="34">
        <f t="shared" si="121"/>
        <v>46113</v>
      </c>
      <c r="D126" s="33">
        <v>3281</v>
      </c>
      <c r="E126" s="33">
        <v>337</v>
      </c>
      <c r="F126" s="33">
        <v>4</v>
      </c>
      <c r="G126" s="55">
        <v>1</v>
      </c>
      <c r="H126" s="24">
        <v>81506</v>
      </c>
      <c r="I126" s="50" t="s">
        <v>17</v>
      </c>
      <c r="J126" s="70">
        <v>16418576</v>
      </c>
      <c r="K126" s="70" t="s">
        <v>525</v>
      </c>
      <c r="L126" s="70" t="s">
        <v>526</v>
      </c>
      <c r="M126" s="69">
        <v>249900</v>
      </c>
      <c r="N126" s="36">
        <f t="shared" si="62"/>
        <v>0.75</v>
      </c>
      <c r="O126" s="35">
        <f t="shared" si="116"/>
        <v>62475</v>
      </c>
      <c r="P126" s="33" t="s">
        <v>16</v>
      </c>
    </row>
    <row r="127" spans="1:16" x14ac:dyDescent="0.35">
      <c r="A127" s="33" t="str">
        <f t="shared" ref="A127:C127" si="122">A126</f>
        <v>2024 JAN-DEC DISC 75%</v>
      </c>
      <c r="B127" s="34">
        <f t="shared" si="122"/>
        <v>46104</v>
      </c>
      <c r="C127" s="34">
        <f t="shared" si="122"/>
        <v>46113</v>
      </c>
      <c r="D127" s="33">
        <v>3281</v>
      </c>
      <c r="E127" s="33">
        <v>337</v>
      </c>
      <c r="F127" s="33">
        <v>4</v>
      </c>
      <c r="G127" s="55">
        <v>1</v>
      </c>
      <c r="H127" s="24">
        <v>81506</v>
      </c>
      <c r="I127" s="50" t="s">
        <v>17</v>
      </c>
      <c r="J127" s="70">
        <v>16418585</v>
      </c>
      <c r="K127" s="70" t="s">
        <v>525</v>
      </c>
      <c r="L127" s="70" t="s">
        <v>527</v>
      </c>
      <c r="M127" s="69">
        <v>249900</v>
      </c>
      <c r="N127" s="36">
        <f t="shared" si="62"/>
        <v>0.75</v>
      </c>
      <c r="O127" s="35">
        <f t="shared" si="116"/>
        <v>62475</v>
      </c>
      <c r="P127" s="33" t="s">
        <v>16</v>
      </c>
    </row>
    <row r="128" spans="1:16" x14ac:dyDescent="0.35">
      <c r="A128" s="33" t="str">
        <f t="shared" ref="A128:C128" si="123">A127</f>
        <v>2024 JAN-DEC DISC 75%</v>
      </c>
      <c r="B128" s="34">
        <f t="shared" si="123"/>
        <v>46104</v>
      </c>
      <c r="C128" s="34">
        <f t="shared" si="123"/>
        <v>46113</v>
      </c>
      <c r="D128" s="33">
        <v>3281</v>
      </c>
      <c r="E128" s="33">
        <v>337</v>
      </c>
      <c r="F128" s="33">
        <v>4</v>
      </c>
      <c r="G128" s="55">
        <v>1</v>
      </c>
      <c r="H128" s="24">
        <v>81506</v>
      </c>
      <c r="I128" s="50" t="s">
        <v>17</v>
      </c>
      <c r="J128" s="70">
        <v>16418594</v>
      </c>
      <c r="K128" s="70" t="s">
        <v>525</v>
      </c>
      <c r="L128" s="70" t="s">
        <v>528</v>
      </c>
      <c r="M128" s="69">
        <v>249900</v>
      </c>
      <c r="N128" s="36">
        <f t="shared" si="62"/>
        <v>0.75</v>
      </c>
      <c r="O128" s="35">
        <f t="shared" si="116"/>
        <v>62475</v>
      </c>
      <c r="P128" s="33" t="s">
        <v>16</v>
      </c>
    </row>
    <row r="129" spans="1:16" x14ac:dyDescent="0.35">
      <c r="A129" s="33" t="str">
        <f t="shared" ref="A129:C129" si="124">A128</f>
        <v>2024 JAN-DEC DISC 75%</v>
      </c>
      <c r="B129" s="34">
        <f t="shared" si="124"/>
        <v>46104</v>
      </c>
      <c r="C129" s="34">
        <f t="shared" si="124"/>
        <v>46113</v>
      </c>
      <c r="D129" s="33">
        <v>3281</v>
      </c>
      <c r="E129" s="33">
        <v>337</v>
      </c>
      <c r="F129" s="33">
        <v>4</v>
      </c>
      <c r="G129" s="55">
        <v>5</v>
      </c>
      <c r="H129" s="24">
        <v>81506</v>
      </c>
      <c r="I129" s="50" t="s">
        <v>17</v>
      </c>
      <c r="J129" s="70">
        <v>16418601</v>
      </c>
      <c r="K129" s="70" t="s">
        <v>525</v>
      </c>
      <c r="L129" s="70" t="s">
        <v>575</v>
      </c>
      <c r="M129" s="69">
        <v>249900</v>
      </c>
      <c r="N129" s="36">
        <f t="shared" si="62"/>
        <v>0.75</v>
      </c>
      <c r="O129" s="35">
        <f t="shared" si="116"/>
        <v>62475</v>
      </c>
      <c r="P129" s="33" t="s">
        <v>16</v>
      </c>
    </row>
    <row r="130" spans="1:16" x14ac:dyDescent="0.35">
      <c r="A130" s="33" t="str">
        <f t="shared" ref="A130:C130" si="125">A129</f>
        <v>2024 JAN-DEC DISC 75%</v>
      </c>
      <c r="B130" s="34">
        <f t="shared" si="125"/>
        <v>46104</v>
      </c>
      <c r="C130" s="34">
        <f t="shared" si="125"/>
        <v>46113</v>
      </c>
      <c r="D130" s="33">
        <v>3281</v>
      </c>
      <c r="E130" s="33">
        <v>337</v>
      </c>
      <c r="F130" s="33">
        <v>4</v>
      </c>
      <c r="G130" s="55">
        <v>5</v>
      </c>
      <c r="H130" s="24">
        <v>81506</v>
      </c>
      <c r="I130" s="50" t="s">
        <v>17</v>
      </c>
      <c r="J130" s="70">
        <v>16418530</v>
      </c>
      <c r="K130" s="70" t="s">
        <v>521</v>
      </c>
      <c r="L130" s="70" t="s">
        <v>522</v>
      </c>
      <c r="M130" s="69">
        <v>249900</v>
      </c>
      <c r="N130" s="36">
        <f t="shared" si="62"/>
        <v>0.75</v>
      </c>
      <c r="O130" s="35">
        <f t="shared" si="116"/>
        <v>62475</v>
      </c>
      <c r="P130" s="33" t="s">
        <v>16</v>
      </c>
    </row>
    <row r="131" spans="1:16" x14ac:dyDescent="0.35">
      <c r="A131" s="33" t="str">
        <f t="shared" ref="A131:C131" si="126">A130</f>
        <v>2024 JAN-DEC DISC 75%</v>
      </c>
      <c r="B131" s="34">
        <f t="shared" si="126"/>
        <v>46104</v>
      </c>
      <c r="C131" s="34">
        <f t="shared" si="126"/>
        <v>46113</v>
      </c>
      <c r="D131" s="33">
        <v>3281</v>
      </c>
      <c r="E131" s="33">
        <v>337</v>
      </c>
      <c r="F131" s="33">
        <v>4</v>
      </c>
      <c r="G131" s="55">
        <v>5</v>
      </c>
      <c r="H131" s="24">
        <v>81506</v>
      </c>
      <c r="I131" s="50" t="s">
        <v>17</v>
      </c>
      <c r="J131" s="70">
        <v>16418549</v>
      </c>
      <c r="K131" s="70" t="s">
        <v>521</v>
      </c>
      <c r="L131" s="70" t="s">
        <v>523</v>
      </c>
      <c r="M131" s="69">
        <v>249900</v>
      </c>
      <c r="N131" s="36">
        <f t="shared" si="62"/>
        <v>0.75</v>
      </c>
      <c r="O131" s="35">
        <f t="shared" si="116"/>
        <v>62475</v>
      </c>
      <c r="P131" s="33" t="s">
        <v>16</v>
      </c>
    </row>
    <row r="132" spans="1:16" x14ac:dyDescent="0.35">
      <c r="A132" s="33" t="str">
        <f t="shared" ref="A132:C132" si="127">A131</f>
        <v>2024 JAN-DEC DISC 75%</v>
      </c>
      <c r="B132" s="34">
        <f t="shared" si="127"/>
        <v>46104</v>
      </c>
      <c r="C132" s="34">
        <f t="shared" si="127"/>
        <v>46113</v>
      </c>
      <c r="D132" s="33">
        <v>3281</v>
      </c>
      <c r="E132" s="33">
        <v>337</v>
      </c>
      <c r="F132" s="33">
        <v>4</v>
      </c>
      <c r="G132" s="55">
        <v>5</v>
      </c>
      <c r="H132" s="24">
        <v>81506</v>
      </c>
      <c r="I132" s="50" t="s">
        <v>17</v>
      </c>
      <c r="J132" s="70">
        <v>16418558</v>
      </c>
      <c r="K132" s="70" t="s">
        <v>521</v>
      </c>
      <c r="L132" s="70" t="s">
        <v>524</v>
      </c>
      <c r="M132" s="69">
        <v>249900</v>
      </c>
      <c r="N132" s="36">
        <f t="shared" ref="N132:N195" si="128">N131</f>
        <v>0.75</v>
      </c>
      <c r="O132" s="35">
        <f t="shared" si="116"/>
        <v>62475</v>
      </c>
      <c r="P132" s="33" t="s">
        <v>16</v>
      </c>
    </row>
    <row r="133" spans="1:16" x14ac:dyDescent="0.35">
      <c r="A133" s="33" t="str">
        <f t="shared" ref="A133:C133" si="129">A132</f>
        <v>2024 JAN-DEC DISC 75%</v>
      </c>
      <c r="B133" s="34">
        <f t="shared" si="129"/>
        <v>46104</v>
      </c>
      <c r="C133" s="34">
        <f t="shared" si="129"/>
        <v>46113</v>
      </c>
      <c r="D133" s="33">
        <v>3281</v>
      </c>
      <c r="E133" s="33">
        <v>337</v>
      </c>
      <c r="F133" s="33">
        <v>4</v>
      </c>
      <c r="G133" s="55">
        <v>5</v>
      </c>
      <c r="H133" s="24">
        <v>81506</v>
      </c>
      <c r="I133" s="50" t="s">
        <v>17</v>
      </c>
      <c r="J133" s="70">
        <v>16418567</v>
      </c>
      <c r="K133" s="70" t="s">
        <v>521</v>
      </c>
      <c r="L133" s="70" t="s">
        <v>574</v>
      </c>
      <c r="M133" s="69">
        <v>249900</v>
      </c>
      <c r="N133" s="36">
        <f t="shared" si="128"/>
        <v>0.75</v>
      </c>
      <c r="O133" s="35">
        <f t="shared" si="116"/>
        <v>62475</v>
      </c>
      <c r="P133" s="33" t="s">
        <v>16</v>
      </c>
    </row>
    <row r="134" spans="1:16" x14ac:dyDescent="0.35">
      <c r="A134" s="33" t="str">
        <f t="shared" ref="A134:C134" si="130">A133</f>
        <v>2024 JAN-DEC DISC 75%</v>
      </c>
      <c r="B134" s="34">
        <f t="shared" si="130"/>
        <v>46104</v>
      </c>
      <c r="C134" s="34">
        <f t="shared" si="130"/>
        <v>46113</v>
      </c>
      <c r="D134" s="33">
        <v>3281</v>
      </c>
      <c r="E134" s="33">
        <v>337</v>
      </c>
      <c r="F134" s="33">
        <v>4</v>
      </c>
      <c r="G134" s="55">
        <v>5</v>
      </c>
      <c r="H134" s="24">
        <v>81676</v>
      </c>
      <c r="I134" s="50" t="s">
        <v>17</v>
      </c>
      <c r="J134" s="70">
        <v>86446682</v>
      </c>
      <c r="K134" s="70" t="s">
        <v>568</v>
      </c>
      <c r="L134" s="70" t="s">
        <v>569</v>
      </c>
      <c r="M134" s="69">
        <v>149900</v>
      </c>
      <c r="N134" s="36">
        <f t="shared" si="128"/>
        <v>0.75</v>
      </c>
      <c r="O134" s="35">
        <f t="shared" si="116"/>
        <v>37475</v>
      </c>
      <c r="P134" s="33" t="s">
        <v>16</v>
      </c>
    </row>
    <row r="135" spans="1:16" x14ac:dyDescent="0.35">
      <c r="A135" s="33" t="str">
        <f t="shared" ref="A135:C135" si="131">A134</f>
        <v>2024 JAN-DEC DISC 75%</v>
      </c>
      <c r="B135" s="34">
        <f t="shared" si="131"/>
        <v>46104</v>
      </c>
      <c r="C135" s="34">
        <f t="shared" si="131"/>
        <v>46113</v>
      </c>
      <c r="D135" s="33">
        <v>3281</v>
      </c>
      <c r="E135" s="33">
        <v>337</v>
      </c>
      <c r="F135" s="33">
        <v>4</v>
      </c>
      <c r="G135" s="55">
        <v>5</v>
      </c>
      <c r="H135" s="24">
        <v>81676</v>
      </c>
      <c r="I135" s="50" t="s">
        <v>17</v>
      </c>
      <c r="J135" s="70">
        <v>86446691</v>
      </c>
      <c r="K135" s="70" t="s">
        <v>568</v>
      </c>
      <c r="L135" s="70" t="s">
        <v>570</v>
      </c>
      <c r="M135" s="69">
        <v>149900</v>
      </c>
      <c r="N135" s="36">
        <f t="shared" si="128"/>
        <v>0.75</v>
      </c>
      <c r="O135" s="35">
        <f t="shared" si="116"/>
        <v>37475</v>
      </c>
      <c r="P135" s="33" t="s">
        <v>16</v>
      </c>
    </row>
    <row r="136" spans="1:16" x14ac:dyDescent="0.35">
      <c r="A136" s="33" t="str">
        <f t="shared" ref="A136:C136" si="132">A135</f>
        <v>2024 JAN-DEC DISC 75%</v>
      </c>
      <c r="B136" s="34">
        <f t="shared" si="132"/>
        <v>46104</v>
      </c>
      <c r="C136" s="34">
        <f t="shared" si="132"/>
        <v>46113</v>
      </c>
      <c r="D136" s="33">
        <v>3281</v>
      </c>
      <c r="E136" s="33">
        <v>337</v>
      </c>
      <c r="F136" s="33">
        <v>4</v>
      </c>
      <c r="G136" s="55">
        <v>5</v>
      </c>
      <c r="H136" s="24">
        <v>81676</v>
      </c>
      <c r="I136" s="50" t="s">
        <v>17</v>
      </c>
      <c r="J136" s="70">
        <v>86446708</v>
      </c>
      <c r="K136" s="70" t="s">
        <v>568</v>
      </c>
      <c r="L136" s="70" t="s">
        <v>571</v>
      </c>
      <c r="M136" s="69">
        <v>149900</v>
      </c>
      <c r="N136" s="36">
        <f t="shared" si="128"/>
        <v>0.75</v>
      </c>
      <c r="O136" s="35">
        <f t="shared" si="116"/>
        <v>37475</v>
      </c>
      <c r="P136" s="33" t="s">
        <v>16</v>
      </c>
    </row>
    <row r="137" spans="1:16" x14ac:dyDescent="0.35">
      <c r="A137" s="33" t="str">
        <f t="shared" ref="A137:C137" si="133">A136</f>
        <v>2024 JAN-DEC DISC 75%</v>
      </c>
      <c r="B137" s="34">
        <f t="shared" si="133"/>
        <v>46104</v>
      </c>
      <c r="C137" s="34">
        <f t="shared" si="133"/>
        <v>46113</v>
      </c>
      <c r="D137" s="33">
        <v>3281</v>
      </c>
      <c r="E137" s="33">
        <v>337</v>
      </c>
      <c r="F137" s="33">
        <v>4</v>
      </c>
      <c r="G137" s="55">
        <v>1</v>
      </c>
      <c r="H137" s="24">
        <v>81676</v>
      </c>
      <c r="I137" s="50" t="s">
        <v>17</v>
      </c>
      <c r="J137" s="70">
        <v>86446717</v>
      </c>
      <c r="K137" s="70" t="s">
        <v>568</v>
      </c>
      <c r="L137" s="70" t="s">
        <v>572</v>
      </c>
      <c r="M137" s="69">
        <v>149900</v>
      </c>
      <c r="N137" s="36">
        <f t="shared" si="128"/>
        <v>0.75</v>
      </c>
      <c r="O137" s="35">
        <f t="shared" si="116"/>
        <v>37475</v>
      </c>
      <c r="P137" s="33" t="s">
        <v>16</v>
      </c>
    </row>
    <row r="138" spans="1:16" x14ac:dyDescent="0.35">
      <c r="A138" s="33" t="str">
        <f t="shared" ref="A138:C138" si="134">A137</f>
        <v>2024 JAN-DEC DISC 75%</v>
      </c>
      <c r="B138" s="34">
        <f t="shared" si="134"/>
        <v>46104</v>
      </c>
      <c r="C138" s="34">
        <f t="shared" si="134"/>
        <v>46113</v>
      </c>
      <c r="D138" s="33">
        <v>3281</v>
      </c>
      <c r="E138" s="33">
        <v>337</v>
      </c>
      <c r="F138" s="33">
        <v>4</v>
      </c>
      <c r="G138" s="55">
        <v>1</v>
      </c>
      <c r="H138" s="24">
        <v>81506</v>
      </c>
      <c r="I138" s="50" t="s">
        <v>17</v>
      </c>
      <c r="J138" s="70">
        <v>17076050</v>
      </c>
      <c r="K138" s="70" t="s">
        <v>580</v>
      </c>
      <c r="L138" s="70" t="s">
        <v>581</v>
      </c>
      <c r="M138" s="69">
        <v>259900</v>
      </c>
      <c r="N138" s="36">
        <f t="shared" si="128"/>
        <v>0.75</v>
      </c>
      <c r="O138" s="35">
        <f t="shared" si="116"/>
        <v>64975</v>
      </c>
      <c r="P138" s="33" t="s">
        <v>16</v>
      </c>
    </row>
    <row r="139" spans="1:16" x14ac:dyDescent="0.35">
      <c r="A139" s="33" t="str">
        <f t="shared" ref="A139:C139" si="135">A138</f>
        <v>2024 JAN-DEC DISC 75%</v>
      </c>
      <c r="B139" s="34">
        <f t="shared" si="135"/>
        <v>46104</v>
      </c>
      <c r="C139" s="34">
        <f t="shared" si="135"/>
        <v>46113</v>
      </c>
      <c r="D139" s="33">
        <v>3281</v>
      </c>
      <c r="E139" s="33">
        <v>337</v>
      </c>
      <c r="F139" s="33">
        <v>4</v>
      </c>
      <c r="G139" s="55">
        <v>1</v>
      </c>
      <c r="H139" s="24">
        <v>81506</v>
      </c>
      <c r="I139" s="50" t="s">
        <v>17</v>
      </c>
      <c r="J139" s="70">
        <v>17076069</v>
      </c>
      <c r="K139" s="70" t="s">
        <v>580</v>
      </c>
      <c r="L139" s="70" t="s">
        <v>582</v>
      </c>
      <c r="M139" s="69">
        <v>259900</v>
      </c>
      <c r="N139" s="36">
        <f t="shared" si="128"/>
        <v>0.75</v>
      </c>
      <c r="O139" s="35">
        <f t="shared" si="116"/>
        <v>64975</v>
      </c>
      <c r="P139" s="33" t="s">
        <v>16</v>
      </c>
    </row>
    <row r="140" spans="1:16" x14ac:dyDescent="0.35">
      <c r="A140" s="33" t="str">
        <f t="shared" ref="A140:C140" si="136">A139</f>
        <v>2024 JAN-DEC DISC 75%</v>
      </c>
      <c r="B140" s="34">
        <f t="shared" si="136"/>
        <v>46104</v>
      </c>
      <c r="C140" s="34">
        <f t="shared" si="136"/>
        <v>46113</v>
      </c>
      <c r="D140" s="33">
        <v>3281</v>
      </c>
      <c r="E140" s="33">
        <v>337</v>
      </c>
      <c r="F140" s="33">
        <v>4</v>
      </c>
      <c r="G140" s="55">
        <v>1</v>
      </c>
      <c r="H140" s="24">
        <v>81506</v>
      </c>
      <c r="I140" s="50" t="s">
        <v>17</v>
      </c>
      <c r="J140" s="70">
        <v>17076078</v>
      </c>
      <c r="K140" s="70" t="s">
        <v>580</v>
      </c>
      <c r="L140" s="70" t="s">
        <v>583</v>
      </c>
      <c r="M140" s="69">
        <v>259900</v>
      </c>
      <c r="N140" s="36">
        <f t="shared" si="128"/>
        <v>0.75</v>
      </c>
      <c r="O140" s="35">
        <f t="shared" si="116"/>
        <v>64975</v>
      </c>
      <c r="P140" s="33" t="s">
        <v>16</v>
      </c>
    </row>
    <row r="141" spans="1:16" x14ac:dyDescent="0.35">
      <c r="A141" s="33" t="str">
        <f t="shared" ref="A141:C141" si="137">A140</f>
        <v>2024 JAN-DEC DISC 75%</v>
      </c>
      <c r="B141" s="34">
        <f t="shared" si="137"/>
        <v>46104</v>
      </c>
      <c r="C141" s="34">
        <f t="shared" si="137"/>
        <v>46113</v>
      </c>
      <c r="D141" s="33">
        <v>3281</v>
      </c>
      <c r="E141" s="33">
        <v>337</v>
      </c>
      <c r="F141" s="33">
        <v>4</v>
      </c>
      <c r="G141" s="55">
        <v>5</v>
      </c>
      <c r="H141" s="24">
        <v>81506</v>
      </c>
      <c r="I141" s="50" t="s">
        <v>17</v>
      </c>
      <c r="J141" s="70">
        <v>17076087</v>
      </c>
      <c r="K141" s="70" t="s">
        <v>580</v>
      </c>
      <c r="L141" s="70" t="s">
        <v>584</v>
      </c>
      <c r="M141" s="69">
        <v>259900</v>
      </c>
      <c r="N141" s="36">
        <f t="shared" si="128"/>
        <v>0.75</v>
      </c>
      <c r="O141" s="35">
        <f t="shared" si="116"/>
        <v>64975</v>
      </c>
      <c r="P141" s="33" t="s">
        <v>16</v>
      </c>
    </row>
    <row r="142" spans="1:16" x14ac:dyDescent="0.35">
      <c r="A142" s="33" t="str">
        <f t="shared" ref="A142:C142" si="138">A141</f>
        <v>2024 JAN-DEC DISC 75%</v>
      </c>
      <c r="B142" s="34">
        <f t="shared" si="138"/>
        <v>46104</v>
      </c>
      <c r="C142" s="34">
        <f t="shared" si="138"/>
        <v>46113</v>
      </c>
      <c r="D142" s="33">
        <v>3281</v>
      </c>
      <c r="E142" s="33">
        <v>337</v>
      </c>
      <c r="F142" s="33">
        <v>4</v>
      </c>
      <c r="G142" s="55">
        <v>5</v>
      </c>
      <c r="H142" s="24">
        <v>81506</v>
      </c>
      <c r="I142" s="50" t="s">
        <v>17</v>
      </c>
      <c r="J142" s="73">
        <v>17075935</v>
      </c>
      <c r="K142" s="73" t="s">
        <v>933</v>
      </c>
      <c r="L142" s="73" t="s">
        <v>934</v>
      </c>
      <c r="M142" s="69">
        <v>239900</v>
      </c>
      <c r="N142" s="36">
        <f t="shared" si="128"/>
        <v>0.75</v>
      </c>
      <c r="O142" s="35">
        <f t="shared" si="116"/>
        <v>59975</v>
      </c>
      <c r="P142" s="33" t="s">
        <v>16</v>
      </c>
    </row>
    <row r="143" spans="1:16" x14ac:dyDescent="0.35">
      <c r="A143" s="33" t="str">
        <f t="shared" ref="A143:C143" si="139">A142</f>
        <v>2024 JAN-DEC DISC 75%</v>
      </c>
      <c r="B143" s="34">
        <f t="shared" si="139"/>
        <v>46104</v>
      </c>
      <c r="C143" s="34">
        <f t="shared" si="139"/>
        <v>46113</v>
      </c>
      <c r="D143" s="33">
        <v>3281</v>
      </c>
      <c r="E143" s="33">
        <v>337</v>
      </c>
      <c r="F143" s="33">
        <v>4</v>
      </c>
      <c r="G143" s="55">
        <v>5</v>
      </c>
      <c r="H143" s="24">
        <v>81506</v>
      </c>
      <c r="I143" s="50" t="s">
        <v>17</v>
      </c>
      <c r="J143" s="73">
        <v>17075944</v>
      </c>
      <c r="K143" s="73" t="s">
        <v>933</v>
      </c>
      <c r="L143" s="73" t="s">
        <v>935</v>
      </c>
      <c r="M143" s="69">
        <v>239900</v>
      </c>
      <c r="N143" s="36">
        <f t="shared" si="128"/>
        <v>0.75</v>
      </c>
      <c r="O143" s="35">
        <f t="shared" si="116"/>
        <v>59975</v>
      </c>
      <c r="P143" s="33" t="s">
        <v>16</v>
      </c>
    </row>
    <row r="144" spans="1:16" x14ac:dyDescent="0.35">
      <c r="A144" s="33" t="str">
        <f t="shared" ref="A144:C144" si="140">A143</f>
        <v>2024 JAN-DEC DISC 75%</v>
      </c>
      <c r="B144" s="34">
        <f t="shared" si="140"/>
        <v>46104</v>
      </c>
      <c r="C144" s="34">
        <f t="shared" si="140"/>
        <v>46113</v>
      </c>
      <c r="D144" s="33">
        <v>3281</v>
      </c>
      <c r="E144" s="33">
        <v>337</v>
      </c>
      <c r="F144" s="33">
        <v>4</v>
      </c>
      <c r="G144" s="55">
        <v>5</v>
      </c>
      <c r="H144" s="24">
        <v>81506</v>
      </c>
      <c r="I144" s="50" t="s">
        <v>17</v>
      </c>
      <c r="J144" s="73">
        <v>17075953</v>
      </c>
      <c r="K144" s="73" t="s">
        <v>933</v>
      </c>
      <c r="L144" s="73" t="s">
        <v>936</v>
      </c>
      <c r="M144" s="69">
        <v>239900</v>
      </c>
      <c r="N144" s="36">
        <f t="shared" si="128"/>
        <v>0.75</v>
      </c>
      <c r="O144" s="35">
        <f t="shared" si="116"/>
        <v>59975</v>
      </c>
      <c r="P144" s="33" t="s">
        <v>16</v>
      </c>
    </row>
    <row r="145" spans="1:16" x14ac:dyDescent="0.35">
      <c r="A145" s="33" t="str">
        <f t="shared" ref="A145:C145" si="141">A144</f>
        <v>2024 JAN-DEC DISC 75%</v>
      </c>
      <c r="B145" s="34">
        <f t="shared" si="141"/>
        <v>46104</v>
      </c>
      <c r="C145" s="34">
        <f t="shared" si="141"/>
        <v>46113</v>
      </c>
      <c r="D145" s="33">
        <v>3281</v>
      </c>
      <c r="E145" s="33">
        <v>337</v>
      </c>
      <c r="F145" s="33">
        <v>4</v>
      </c>
      <c r="G145" s="55">
        <v>5</v>
      </c>
      <c r="H145" s="24">
        <v>81506</v>
      </c>
      <c r="I145" s="50" t="s">
        <v>17</v>
      </c>
      <c r="J145" s="73">
        <v>17075962</v>
      </c>
      <c r="K145" s="73" t="s">
        <v>933</v>
      </c>
      <c r="L145" s="73" t="s">
        <v>937</v>
      </c>
      <c r="M145" s="69">
        <v>239900</v>
      </c>
      <c r="N145" s="36">
        <f t="shared" si="128"/>
        <v>0.75</v>
      </c>
      <c r="O145" s="35">
        <f t="shared" si="116"/>
        <v>59975</v>
      </c>
      <c r="P145" s="33" t="s">
        <v>16</v>
      </c>
    </row>
    <row r="146" spans="1:16" x14ac:dyDescent="0.35">
      <c r="A146" s="33" t="str">
        <f t="shared" ref="A146:C146" si="142">A145</f>
        <v>2024 JAN-DEC DISC 75%</v>
      </c>
      <c r="B146" s="34">
        <f t="shared" si="142"/>
        <v>46104</v>
      </c>
      <c r="C146" s="34">
        <f t="shared" si="142"/>
        <v>46113</v>
      </c>
      <c r="D146" s="33">
        <v>3281</v>
      </c>
      <c r="E146" s="33">
        <v>337</v>
      </c>
      <c r="F146" s="33">
        <v>4</v>
      </c>
      <c r="G146" s="55">
        <v>5</v>
      </c>
      <c r="H146" s="24">
        <v>81506</v>
      </c>
      <c r="I146" s="50" t="s">
        <v>17</v>
      </c>
      <c r="J146" s="70">
        <v>17375183</v>
      </c>
      <c r="K146" s="70" t="s">
        <v>585</v>
      </c>
      <c r="L146" s="70" t="s">
        <v>586</v>
      </c>
      <c r="M146" s="69">
        <v>289900</v>
      </c>
      <c r="N146" s="36">
        <f t="shared" si="128"/>
        <v>0.75</v>
      </c>
      <c r="O146" s="35">
        <f t="shared" si="116"/>
        <v>72475</v>
      </c>
      <c r="P146" s="33" t="s">
        <v>16</v>
      </c>
    </row>
    <row r="147" spans="1:16" x14ac:dyDescent="0.35">
      <c r="A147" s="33" t="str">
        <f t="shared" ref="A147:C147" si="143">A146</f>
        <v>2024 JAN-DEC DISC 75%</v>
      </c>
      <c r="B147" s="34">
        <f t="shared" si="143"/>
        <v>46104</v>
      </c>
      <c r="C147" s="34">
        <f t="shared" si="143"/>
        <v>46113</v>
      </c>
      <c r="D147" s="33">
        <v>3281</v>
      </c>
      <c r="E147" s="33">
        <v>337</v>
      </c>
      <c r="F147" s="33">
        <v>4</v>
      </c>
      <c r="G147" s="55">
        <v>5</v>
      </c>
      <c r="H147" s="24">
        <v>81506</v>
      </c>
      <c r="I147" s="50" t="s">
        <v>17</v>
      </c>
      <c r="J147" s="70">
        <v>17375227</v>
      </c>
      <c r="K147" s="70" t="s">
        <v>585</v>
      </c>
      <c r="L147" s="70" t="s">
        <v>587</v>
      </c>
      <c r="M147" s="69">
        <v>289900</v>
      </c>
      <c r="N147" s="36">
        <f t="shared" si="128"/>
        <v>0.75</v>
      </c>
      <c r="O147" s="35">
        <f t="shared" si="116"/>
        <v>72475</v>
      </c>
      <c r="P147" s="33" t="s">
        <v>16</v>
      </c>
    </row>
    <row r="148" spans="1:16" x14ac:dyDescent="0.35">
      <c r="A148" s="33" t="str">
        <f t="shared" ref="A148:C148" si="144">A147</f>
        <v>2024 JAN-DEC DISC 75%</v>
      </c>
      <c r="B148" s="34">
        <f t="shared" si="144"/>
        <v>46104</v>
      </c>
      <c r="C148" s="34">
        <f t="shared" si="144"/>
        <v>46113</v>
      </c>
      <c r="D148" s="33">
        <v>3281</v>
      </c>
      <c r="E148" s="33">
        <v>337</v>
      </c>
      <c r="F148" s="33">
        <v>4</v>
      </c>
      <c r="G148" s="55">
        <v>5</v>
      </c>
      <c r="H148" s="24">
        <v>81506</v>
      </c>
      <c r="I148" s="50" t="s">
        <v>17</v>
      </c>
      <c r="J148" s="70">
        <v>17375236</v>
      </c>
      <c r="K148" s="70" t="s">
        <v>585</v>
      </c>
      <c r="L148" s="70" t="s">
        <v>588</v>
      </c>
      <c r="M148" s="69">
        <v>289900</v>
      </c>
      <c r="N148" s="36">
        <f t="shared" si="128"/>
        <v>0.75</v>
      </c>
      <c r="O148" s="35">
        <f t="shared" si="116"/>
        <v>72475</v>
      </c>
      <c r="P148" s="33" t="s">
        <v>16</v>
      </c>
    </row>
    <row r="149" spans="1:16" x14ac:dyDescent="0.35">
      <c r="A149" s="33" t="str">
        <f t="shared" ref="A149:C149" si="145">A148</f>
        <v>2024 JAN-DEC DISC 75%</v>
      </c>
      <c r="B149" s="34">
        <f t="shared" si="145"/>
        <v>46104</v>
      </c>
      <c r="C149" s="34">
        <f t="shared" si="145"/>
        <v>46113</v>
      </c>
      <c r="D149" s="33">
        <v>3281</v>
      </c>
      <c r="E149" s="33">
        <v>337</v>
      </c>
      <c r="F149" s="33">
        <v>4</v>
      </c>
      <c r="G149" s="55">
        <v>5</v>
      </c>
      <c r="H149" s="24">
        <v>81506</v>
      </c>
      <c r="I149" s="50" t="s">
        <v>17</v>
      </c>
      <c r="J149" s="70">
        <v>17375245</v>
      </c>
      <c r="K149" s="70" t="s">
        <v>585</v>
      </c>
      <c r="L149" s="70" t="s">
        <v>589</v>
      </c>
      <c r="M149" s="69">
        <v>289900</v>
      </c>
      <c r="N149" s="36">
        <f t="shared" si="128"/>
        <v>0.75</v>
      </c>
      <c r="O149" s="35">
        <f t="shared" si="116"/>
        <v>72475</v>
      </c>
      <c r="P149" s="33" t="s">
        <v>16</v>
      </c>
    </row>
    <row r="150" spans="1:16" x14ac:dyDescent="0.35">
      <c r="A150" s="33" t="str">
        <f t="shared" ref="A150:C150" si="146">A149</f>
        <v>2024 JAN-DEC DISC 75%</v>
      </c>
      <c r="B150" s="34">
        <f t="shared" si="146"/>
        <v>46104</v>
      </c>
      <c r="C150" s="34">
        <f t="shared" si="146"/>
        <v>46113</v>
      </c>
      <c r="D150" s="33">
        <v>3281</v>
      </c>
      <c r="E150" s="33">
        <v>337</v>
      </c>
      <c r="F150" s="33">
        <v>4</v>
      </c>
      <c r="G150" s="55">
        <v>5</v>
      </c>
      <c r="H150" s="24">
        <v>81506</v>
      </c>
      <c r="I150" s="50" t="s">
        <v>17</v>
      </c>
      <c r="J150" s="70">
        <v>17075971</v>
      </c>
      <c r="K150" s="70" t="s">
        <v>576</v>
      </c>
      <c r="L150" s="70" t="s">
        <v>577</v>
      </c>
      <c r="M150" s="69">
        <v>259900</v>
      </c>
      <c r="N150" s="36">
        <f t="shared" si="128"/>
        <v>0.75</v>
      </c>
      <c r="O150" s="35">
        <f t="shared" si="116"/>
        <v>64975</v>
      </c>
      <c r="P150" s="33" t="s">
        <v>16</v>
      </c>
    </row>
    <row r="151" spans="1:16" x14ac:dyDescent="0.35">
      <c r="A151" s="33" t="str">
        <f t="shared" ref="A151:C151" si="147">A150</f>
        <v>2024 JAN-DEC DISC 75%</v>
      </c>
      <c r="B151" s="34">
        <f t="shared" si="147"/>
        <v>46104</v>
      </c>
      <c r="C151" s="34">
        <f t="shared" si="147"/>
        <v>46113</v>
      </c>
      <c r="D151" s="33">
        <v>3281</v>
      </c>
      <c r="E151" s="33">
        <v>337</v>
      </c>
      <c r="F151" s="33">
        <v>4</v>
      </c>
      <c r="G151" s="55">
        <v>5</v>
      </c>
      <c r="H151" s="24">
        <v>81506</v>
      </c>
      <c r="I151" s="50" t="s">
        <v>17</v>
      </c>
      <c r="J151" s="70">
        <v>17075980</v>
      </c>
      <c r="K151" s="70" t="s">
        <v>576</v>
      </c>
      <c r="L151" s="70" t="s">
        <v>578</v>
      </c>
      <c r="M151" s="69">
        <v>259900</v>
      </c>
      <c r="N151" s="36">
        <f t="shared" si="128"/>
        <v>0.75</v>
      </c>
      <c r="O151" s="35">
        <f t="shared" si="116"/>
        <v>64975</v>
      </c>
      <c r="P151" s="33" t="s">
        <v>16</v>
      </c>
    </row>
    <row r="152" spans="1:16" x14ac:dyDescent="0.35">
      <c r="A152" s="33" t="str">
        <f t="shared" ref="A152:C152" si="148">A151</f>
        <v>2024 JAN-DEC DISC 75%</v>
      </c>
      <c r="B152" s="34">
        <f t="shared" si="148"/>
        <v>46104</v>
      </c>
      <c r="C152" s="34">
        <f t="shared" si="148"/>
        <v>46113</v>
      </c>
      <c r="D152" s="33">
        <v>3281</v>
      </c>
      <c r="E152" s="33">
        <v>337</v>
      </c>
      <c r="F152" s="33">
        <v>4</v>
      </c>
      <c r="G152" s="55">
        <v>5</v>
      </c>
      <c r="H152" s="24">
        <v>81506</v>
      </c>
      <c r="I152" s="50" t="s">
        <v>17</v>
      </c>
      <c r="J152" s="70">
        <v>17075999</v>
      </c>
      <c r="K152" s="70" t="s">
        <v>576</v>
      </c>
      <c r="L152" s="70" t="s">
        <v>579</v>
      </c>
      <c r="M152" s="69">
        <v>259900</v>
      </c>
      <c r="N152" s="36">
        <f t="shared" si="128"/>
        <v>0.75</v>
      </c>
      <c r="O152" s="35">
        <f t="shared" si="116"/>
        <v>64975</v>
      </c>
      <c r="P152" s="33" t="s">
        <v>16</v>
      </c>
    </row>
    <row r="153" spans="1:16" x14ac:dyDescent="0.35">
      <c r="A153" s="33" t="str">
        <f t="shared" ref="A153:C153" si="149">A152</f>
        <v>2024 JAN-DEC DISC 75%</v>
      </c>
      <c r="B153" s="34">
        <f t="shared" si="149"/>
        <v>46104</v>
      </c>
      <c r="C153" s="34">
        <f t="shared" si="149"/>
        <v>46113</v>
      </c>
      <c r="D153" s="33">
        <v>3281</v>
      </c>
      <c r="E153" s="33">
        <v>337</v>
      </c>
      <c r="F153" s="33">
        <v>4</v>
      </c>
      <c r="G153" s="55">
        <v>5</v>
      </c>
      <c r="H153" s="24">
        <v>81506</v>
      </c>
      <c r="I153" s="50" t="s">
        <v>17</v>
      </c>
      <c r="J153" s="70">
        <v>17076005</v>
      </c>
      <c r="K153" s="70" t="s">
        <v>576</v>
      </c>
      <c r="L153" s="70" t="s">
        <v>938</v>
      </c>
      <c r="M153" s="69">
        <v>259900</v>
      </c>
      <c r="N153" s="36">
        <f t="shared" si="128"/>
        <v>0.75</v>
      </c>
      <c r="O153" s="35">
        <f t="shared" si="116"/>
        <v>64975</v>
      </c>
      <c r="P153" s="33" t="s">
        <v>16</v>
      </c>
    </row>
    <row r="154" spans="1:16" x14ac:dyDescent="0.35">
      <c r="A154" s="33" t="str">
        <f t="shared" ref="A154:C154" si="150">A153</f>
        <v>2024 JAN-DEC DISC 75%</v>
      </c>
      <c r="B154" s="34">
        <f t="shared" si="150"/>
        <v>46104</v>
      </c>
      <c r="C154" s="34">
        <f t="shared" si="150"/>
        <v>46113</v>
      </c>
      <c r="D154" s="33">
        <v>3281</v>
      </c>
      <c r="E154" s="33">
        <v>337</v>
      </c>
      <c r="F154" s="33">
        <v>4</v>
      </c>
      <c r="G154" s="55">
        <v>5</v>
      </c>
      <c r="H154" s="24">
        <v>190</v>
      </c>
      <c r="I154" s="50" t="s">
        <v>17</v>
      </c>
      <c r="J154" s="70">
        <v>17457317</v>
      </c>
      <c r="K154" s="70" t="s">
        <v>862</v>
      </c>
      <c r="L154" s="70" t="s">
        <v>863</v>
      </c>
      <c r="M154" s="69">
        <v>159900</v>
      </c>
      <c r="N154" s="36">
        <f t="shared" si="128"/>
        <v>0.75</v>
      </c>
      <c r="O154" s="35">
        <f t="shared" si="116"/>
        <v>39975</v>
      </c>
      <c r="P154" s="33" t="s">
        <v>16</v>
      </c>
    </row>
    <row r="155" spans="1:16" x14ac:dyDescent="0.35">
      <c r="A155" s="33" t="str">
        <f t="shared" ref="A155:C155" si="151">A154</f>
        <v>2024 JAN-DEC DISC 75%</v>
      </c>
      <c r="B155" s="34">
        <f t="shared" si="151"/>
        <v>46104</v>
      </c>
      <c r="C155" s="34">
        <f t="shared" si="151"/>
        <v>46113</v>
      </c>
      <c r="D155" s="33">
        <v>3281</v>
      </c>
      <c r="E155" s="33">
        <v>337</v>
      </c>
      <c r="F155" s="33">
        <v>4</v>
      </c>
      <c r="G155" s="55">
        <v>5</v>
      </c>
      <c r="H155" s="24">
        <v>190</v>
      </c>
      <c r="I155" s="50" t="s">
        <v>17</v>
      </c>
      <c r="J155" s="70">
        <v>17457326</v>
      </c>
      <c r="K155" s="70" t="s">
        <v>862</v>
      </c>
      <c r="L155" s="70" t="s">
        <v>864</v>
      </c>
      <c r="M155" s="69">
        <v>159900</v>
      </c>
      <c r="N155" s="36">
        <f t="shared" si="128"/>
        <v>0.75</v>
      </c>
      <c r="O155" s="35">
        <f t="shared" si="116"/>
        <v>39975</v>
      </c>
      <c r="P155" s="33" t="s">
        <v>16</v>
      </c>
    </row>
    <row r="156" spans="1:16" x14ac:dyDescent="0.35">
      <c r="A156" s="33" t="str">
        <f t="shared" ref="A156:C156" si="152">A155</f>
        <v>2024 JAN-DEC DISC 75%</v>
      </c>
      <c r="B156" s="34">
        <f t="shared" si="152"/>
        <v>46104</v>
      </c>
      <c r="C156" s="34">
        <f t="shared" si="152"/>
        <v>46113</v>
      </c>
      <c r="D156" s="33">
        <v>3281</v>
      </c>
      <c r="E156" s="33">
        <v>337</v>
      </c>
      <c r="F156" s="33">
        <v>4</v>
      </c>
      <c r="G156" s="55">
        <v>5</v>
      </c>
      <c r="H156" s="24">
        <v>190</v>
      </c>
      <c r="I156" s="50" t="s">
        <v>17</v>
      </c>
      <c r="J156" s="70">
        <v>17457335</v>
      </c>
      <c r="K156" s="70" t="s">
        <v>862</v>
      </c>
      <c r="L156" s="70" t="s">
        <v>865</v>
      </c>
      <c r="M156" s="69">
        <v>159900</v>
      </c>
      <c r="N156" s="36">
        <f t="shared" si="128"/>
        <v>0.75</v>
      </c>
      <c r="O156" s="35">
        <f t="shared" si="116"/>
        <v>39975</v>
      </c>
      <c r="P156" s="33" t="s">
        <v>16</v>
      </c>
    </row>
    <row r="157" spans="1:16" x14ac:dyDescent="0.35">
      <c r="A157" s="33" t="str">
        <f t="shared" ref="A157:C157" si="153">A156</f>
        <v>2024 JAN-DEC DISC 75%</v>
      </c>
      <c r="B157" s="34">
        <f t="shared" si="153"/>
        <v>46104</v>
      </c>
      <c r="C157" s="34">
        <f t="shared" si="153"/>
        <v>46113</v>
      </c>
      <c r="D157" s="33">
        <v>3281</v>
      </c>
      <c r="E157" s="33">
        <v>337</v>
      </c>
      <c r="F157" s="33">
        <v>4</v>
      </c>
      <c r="G157" s="55">
        <v>1</v>
      </c>
      <c r="H157" s="24">
        <v>190</v>
      </c>
      <c r="I157" s="50" t="s">
        <v>17</v>
      </c>
      <c r="J157" s="70">
        <v>17457362</v>
      </c>
      <c r="K157" s="70" t="s">
        <v>862</v>
      </c>
      <c r="L157" s="70" t="s">
        <v>866</v>
      </c>
      <c r="M157" s="69">
        <v>159900</v>
      </c>
      <c r="N157" s="36">
        <f t="shared" si="128"/>
        <v>0.75</v>
      </c>
      <c r="O157" s="35">
        <f t="shared" si="116"/>
        <v>39975</v>
      </c>
      <c r="P157" s="33" t="s">
        <v>16</v>
      </c>
    </row>
    <row r="158" spans="1:16" x14ac:dyDescent="0.35">
      <c r="A158" s="33" t="str">
        <f t="shared" ref="A158:C158" si="154">A157</f>
        <v>2024 JAN-DEC DISC 75%</v>
      </c>
      <c r="B158" s="34">
        <f t="shared" si="154"/>
        <v>46104</v>
      </c>
      <c r="C158" s="34">
        <f t="shared" si="154"/>
        <v>46113</v>
      </c>
      <c r="D158" s="33">
        <v>3281</v>
      </c>
      <c r="E158" s="33">
        <v>337</v>
      </c>
      <c r="F158" s="33">
        <v>4</v>
      </c>
      <c r="G158" s="55">
        <v>1</v>
      </c>
      <c r="H158" s="24">
        <v>190</v>
      </c>
      <c r="I158" s="50" t="s">
        <v>17</v>
      </c>
      <c r="J158" s="70">
        <v>17457371</v>
      </c>
      <c r="K158" s="70" t="s">
        <v>903</v>
      </c>
      <c r="L158" s="70" t="s">
        <v>904</v>
      </c>
      <c r="M158" s="69">
        <v>199900</v>
      </c>
      <c r="N158" s="36">
        <f t="shared" si="128"/>
        <v>0.75</v>
      </c>
      <c r="O158" s="35">
        <f t="shared" si="116"/>
        <v>49975</v>
      </c>
      <c r="P158" s="33" t="s">
        <v>16</v>
      </c>
    </row>
    <row r="159" spans="1:16" x14ac:dyDescent="0.35">
      <c r="A159" s="33" t="str">
        <f t="shared" ref="A159:C159" si="155">A158</f>
        <v>2024 JAN-DEC DISC 75%</v>
      </c>
      <c r="B159" s="34">
        <f t="shared" si="155"/>
        <v>46104</v>
      </c>
      <c r="C159" s="34">
        <f t="shared" si="155"/>
        <v>46113</v>
      </c>
      <c r="D159" s="33">
        <v>3281</v>
      </c>
      <c r="E159" s="33">
        <v>337</v>
      </c>
      <c r="F159" s="33">
        <v>4</v>
      </c>
      <c r="G159" s="55">
        <v>1</v>
      </c>
      <c r="H159" s="24">
        <v>190</v>
      </c>
      <c r="I159" s="50" t="s">
        <v>17</v>
      </c>
      <c r="J159" s="70">
        <v>17457380</v>
      </c>
      <c r="K159" s="70" t="s">
        <v>903</v>
      </c>
      <c r="L159" s="70" t="s">
        <v>905</v>
      </c>
      <c r="M159" s="69">
        <v>199900</v>
      </c>
      <c r="N159" s="36">
        <f t="shared" si="128"/>
        <v>0.75</v>
      </c>
      <c r="O159" s="35">
        <f t="shared" si="116"/>
        <v>49975</v>
      </c>
      <c r="P159" s="33" t="s">
        <v>16</v>
      </c>
    </row>
    <row r="160" spans="1:16" x14ac:dyDescent="0.35">
      <c r="A160" s="33" t="str">
        <f t="shared" ref="A160:C160" si="156">A159</f>
        <v>2024 JAN-DEC DISC 75%</v>
      </c>
      <c r="B160" s="34">
        <f t="shared" si="156"/>
        <v>46104</v>
      </c>
      <c r="C160" s="34">
        <f t="shared" si="156"/>
        <v>46113</v>
      </c>
      <c r="D160" s="33">
        <v>3281</v>
      </c>
      <c r="E160" s="33">
        <v>337</v>
      </c>
      <c r="F160" s="33">
        <v>4</v>
      </c>
      <c r="G160" s="55">
        <v>1</v>
      </c>
      <c r="H160" s="24">
        <v>190</v>
      </c>
      <c r="I160" s="50" t="s">
        <v>17</v>
      </c>
      <c r="J160" s="70">
        <v>17457424</v>
      </c>
      <c r="K160" s="70" t="s">
        <v>903</v>
      </c>
      <c r="L160" s="70" t="s">
        <v>906</v>
      </c>
      <c r="M160" s="69">
        <v>199900</v>
      </c>
      <c r="N160" s="36">
        <f t="shared" si="128"/>
        <v>0.75</v>
      </c>
      <c r="O160" s="35">
        <f t="shared" si="116"/>
        <v>49975</v>
      </c>
      <c r="P160" s="33" t="s">
        <v>16</v>
      </c>
    </row>
    <row r="161" spans="1:16" x14ac:dyDescent="0.35">
      <c r="A161" s="33" t="str">
        <f t="shared" ref="A161:C161" si="157">A160</f>
        <v>2024 JAN-DEC DISC 75%</v>
      </c>
      <c r="B161" s="34">
        <f t="shared" si="157"/>
        <v>46104</v>
      </c>
      <c r="C161" s="34">
        <f t="shared" si="157"/>
        <v>46113</v>
      </c>
      <c r="D161" s="33">
        <v>3281</v>
      </c>
      <c r="E161" s="33">
        <v>337</v>
      </c>
      <c r="F161" s="33">
        <v>4</v>
      </c>
      <c r="G161" s="55">
        <v>4</v>
      </c>
      <c r="H161" s="24">
        <v>190</v>
      </c>
      <c r="I161" s="50" t="s">
        <v>17</v>
      </c>
      <c r="J161" s="70">
        <v>17457433</v>
      </c>
      <c r="K161" s="70" t="s">
        <v>903</v>
      </c>
      <c r="L161" s="70" t="s">
        <v>907</v>
      </c>
      <c r="M161" s="69">
        <v>199900</v>
      </c>
      <c r="N161" s="36">
        <f t="shared" si="128"/>
        <v>0.75</v>
      </c>
      <c r="O161" s="35">
        <f t="shared" si="116"/>
        <v>49975</v>
      </c>
      <c r="P161" s="33" t="s">
        <v>16</v>
      </c>
    </row>
    <row r="162" spans="1:16" x14ac:dyDescent="0.35">
      <c r="A162" s="33" t="str">
        <f t="shared" ref="A162:C162" si="158">A161</f>
        <v>2024 JAN-DEC DISC 75%</v>
      </c>
      <c r="B162" s="34">
        <f t="shared" si="158"/>
        <v>46104</v>
      </c>
      <c r="C162" s="34">
        <f t="shared" si="158"/>
        <v>46113</v>
      </c>
      <c r="D162" s="33">
        <v>3281</v>
      </c>
      <c r="E162" s="33">
        <v>337</v>
      </c>
      <c r="F162" s="33">
        <v>4</v>
      </c>
      <c r="G162" s="55">
        <v>4</v>
      </c>
      <c r="H162" s="24">
        <v>190</v>
      </c>
      <c r="I162" s="50" t="s">
        <v>17</v>
      </c>
      <c r="J162" s="70">
        <v>17457522</v>
      </c>
      <c r="K162" s="70" t="s">
        <v>928</v>
      </c>
      <c r="L162" s="70" t="s">
        <v>929</v>
      </c>
      <c r="M162" s="69">
        <v>259900</v>
      </c>
      <c r="N162" s="36">
        <f t="shared" si="128"/>
        <v>0.75</v>
      </c>
      <c r="O162" s="35">
        <f t="shared" si="116"/>
        <v>64975</v>
      </c>
      <c r="P162" s="33" t="s">
        <v>16</v>
      </c>
    </row>
    <row r="163" spans="1:16" x14ac:dyDescent="0.35">
      <c r="A163" s="33" t="str">
        <f t="shared" ref="A163:C163" si="159">A162</f>
        <v>2024 JAN-DEC DISC 75%</v>
      </c>
      <c r="B163" s="34">
        <f t="shared" si="159"/>
        <v>46104</v>
      </c>
      <c r="C163" s="34">
        <f t="shared" si="159"/>
        <v>46113</v>
      </c>
      <c r="D163" s="33">
        <v>3281</v>
      </c>
      <c r="E163" s="33">
        <v>337</v>
      </c>
      <c r="F163" s="33">
        <v>4</v>
      </c>
      <c r="G163" s="55">
        <v>4</v>
      </c>
      <c r="H163" s="24">
        <v>190</v>
      </c>
      <c r="I163" s="50" t="s">
        <v>17</v>
      </c>
      <c r="J163" s="70">
        <v>17457531</v>
      </c>
      <c r="K163" s="70" t="s">
        <v>928</v>
      </c>
      <c r="L163" s="70" t="s">
        <v>930</v>
      </c>
      <c r="M163" s="69">
        <v>259900</v>
      </c>
      <c r="N163" s="36">
        <f t="shared" si="128"/>
        <v>0.75</v>
      </c>
      <c r="O163" s="35">
        <f t="shared" si="116"/>
        <v>64975</v>
      </c>
      <c r="P163" s="33" t="s">
        <v>16</v>
      </c>
    </row>
    <row r="164" spans="1:16" x14ac:dyDescent="0.35">
      <c r="A164" s="33" t="str">
        <f t="shared" ref="A164:C164" si="160">A163</f>
        <v>2024 JAN-DEC DISC 75%</v>
      </c>
      <c r="B164" s="34">
        <f t="shared" si="160"/>
        <v>46104</v>
      </c>
      <c r="C164" s="34">
        <f t="shared" si="160"/>
        <v>46113</v>
      </c>
      <c r="D164" s="33">
        <v>3281</v>
      </c>
      <c r="E164" s="33">
        <v>337</v>
      </c>
      <c r="F164" s="33">
        <v>4</v>
      </c>
      <c r="G164" s="55">
        <v>4</v>
      </c>
      <c r="H164" s="24">
        <v>190</v>
      </c>
      <c r="I164" s="50" t="s">
        <v>17</v>
      </c>
      <c r="J164" s="70">
        <v>17457540</v>
      </c>
      <c r="K164" s="70" t="s">
        <v>928</v>
      </c>
      <c r="L164" s="70" t="s">
        <v>931</v>
      </c>
      <c r="M164" s="69">
        <v>259900</v>
      </c>
      <c r="N164" s="36">
        <f t="shared" si="128"/>
        <v>0.75</v>
      </c>
      <c r="O164" s="35">
        <f t="shared" si="116"/>
        <v>64975</v>
      </c>
      <c r="P164" s="33" t="s">
        <v>16</v>
      </c>
    </row>
    <row r="165" spans="1:16" x14ac:dyDescent="0.35">
      <c r="A165" s="33" t="str">
        <f t="shared" ref="A165:C165" si="161">A164</f>
        <v>2024 JAN-DEC DISC 75%</v>
      </c>
      <c r="B165" s="34">
        <f t="shared" si="161"/>
        <v>46104</v>
      </c>
      <c r="C165" s="34">
        <f t="shared" si="161"/>
        <v>46113</v>
      </c>
      <c r="D165" s="33">
        <v>3281</v>
      </c>
      <c r="E165" s="33">
        <v>337</v>
      </c>
      <c r="F165" s="33">
        <v>4</v>
      </c>
      <c r="G165" s="55">
        <v>5</v>
      </c>
      <c r="H165" s="24">
        <v>190</v>
      </c>
      <c r="I165" s="50" t="s">
        <v>17</v>
      </c>
      <c r="J165" s="70">
        <v>17457559</v>
      </c>
      <c r="K165" s="70" t="s">
        <v>928</v>
      </c>
      <c r="L165" s="70" t="s">
        <v>932</v>
      </c>
      <c r="M165" s="69">
        <v>259900</v>
      </c>
      <c r="N165" s="36">
        <f t="shared" si="128"/>
        <v>0.75</v>
      </c>
      <c r="O165" s="35">
        <f t="shared" si="116"/>
        <v>64975</v>
      </c>
      <c r="P165" s="33" t="s">
        <v>16</v>
      </c>
    </row>
    <row r="166" spans="1:16" x14ac:dyDescent="0.35">
      <c r="A166" s="33" t="str">
        <f t="shared" ref="A166:C166" si="162">A165</f>
        <v>2024 JAN-DEC DISC 75%</v>
      </c>
      <c r="B166" s="34">
        <f t="shared" si="162"/>
        <v>46104</v>
      </c>
      <c r="C166" s="34">
        <f t="shared" si="162"/>
        <v>46113</v>
      </c>
      <c r="D166" s="33">
        <v>3281</v>
      </c>
      <c r="E166" s="33">
        <v>337</v>
      </c>
      <c r="F166" s="33">
        <v>4</v>
      </c>
      <c r="G166" s="55">
        <v>5</v>
      </c>
      <c r="H166" s="24">
        <v>190</v>
      </c>
      <c r="I166" s="50" t="s">
        <v>17</v>
      </c>
      <c r="J166" s="70">
        <v>17457488</v>
      </c>
      <c r="K166" s="70" t="s">
        <v>923</v>
      </c>
      <c r="L166" s="70" t="s">
        <v>924</v>
      </c>
      <c r="M166" s="69">
        <v>249900</v>
      </c>
      <c r="N166" s="36">
        <f t="shared" si="128"/>
        <v>0.75</v>
      </c>
      <c r="O166" s="35">
        <f t="shared" si="116"/>
        <v>62475</v>
      </c>
      <c r="P166" s="33" t="s">
        <v>16</v>
      </c>
    </row>
    <row r="167" spans="1:16" x14ac:dyDescent="0.35">
      <c r="A167" s="33" t="str">
        <f t="shared" ref="A167:C167" si="163">A166</f>
        <v>2024 JAN-DEC DISC 75%</v>
      </c>
      <c r="B167" s="34">
        <f t="shared" si="163"/>
        <v>46104</v>
      </c>
      <c r="C167" s="34">
        <f t="shared" si="163"/>
        <v>46113</v>
      </c>
      <c r="D167" s="33">
        <v>3281</v>
      </c>
      <c r="E167" s="33">
        <v>337</v>
      </c>
      <c r="F167" s="33">
        <v>4</v>
      </c>
      <c r="G167" s="55">
        <v>5</v>
      </c>
      <c r="H167" s="24">
        <v>190</v>
      </c>
      <c r="I167" s="50" t="s">
        <v>17</v>
      </c>
      <c r="J167" s="70">
        <v>17457497</v>
      </c>
      <c r="K167" s="70" t="s">
        <v>923</v>
      </c>
      <c r="L167" s="70" t="s">
        <v>925</v>
      </c>
      <c r="M167" s="69">
        <v>249900</v>
      </c>
      <c r="N167" s="36">
        <f t="shared" si="128"/>
        <v>0.75</v>
      </c>
      <c r="O167" s="35">
        <f t="shared" si="116"/>
        <v>62475</v>
      </c>
      <c r="P167" s="33" t="s">
        <v>16</v>
      </c>
    </row>
    <row r="168" spans="1:16" x14ac:dyDescent="0.35">
      <c r="A168" s="33" t="str">
        <f t="shared" ref="A168:C168" si="164">A167</f>
        <v>2024 JAN-DEC DISC 75%</v>
      </c>
      <c r="B168" s="34">
        <f t="shared" si="164"/>
        <v>46104</v>
      </c>
      <c r="C168" s="34">
        <f t="shared" si="164"/>
        <v>46113</v>
      </c>
      <c r="D168" s="33">
        <v>3281</v>
      </c>
      <c r="E168" s="33">
        <v>337</v>
      </c>
      <c r="F168" s="33">
        <v>4</v>
      </c>
      <c r="G168" s="55">
        <v>5</v>
      </c>
      <c r="H168" s="24">
        <v>190</v>
      </c>
      <c r="I168" s="50" t="s">
        <v>17</v>
      </c>
      <c r="J168" s="70">
        <v>17457504</v>
      </c>
      <c r="K168" s="70" t="s">
        <v>923</v>
      </c>
      <c r="L168" s="70" t="s">
        <v>926</v>
      </c>
      <c r="M168" s="69">
        <v>249900</v>
      </c>
      <c r="N168" s="36">
        <f t="shared" si="128"/>
        <v>0.75</v>
      </c>
      <c r="O168" s="35">
        <f t="shared" si="116"/>
        <v>62475</v>
      </c>
      <c r="P168" s="33" t="s">
        <v>16</v>
      </c>
    </row>
    <row r="169" spans="1:16" x14ac:dyDescent="0.35">
      <c r="A169" s="33" t="str">
        <f t="shared" ref="A169:C169" si="165">A168</f>
        <v>2024 JAN-DEC DISC 75%</v>
      </c>
      <c r="B169" s="34">
        <f t="shared" si="165"/>
        <v>46104</v>
      </c>
      <c r="C169" s="34">
        <f t="shared" si="165"/>
        <v>46113</v>
      </c>
      <c r="D169" s="33">
        <v>3281</v>
      </c>
      <c r="E169" s="33">
        <v>337</v>
      </c>
      <c r="F169" s="33">
        <v>4</v>
      </c>
      <c r="G169" s="55">
        <v>5</v>
      </c>
      <c r="H169" s="24">
        <v>190</v>
      </c>
      <c r="I169" s="50" t="s">
        <v>17</v>
      </c>
      <c r="J169" s="70">
        <v>17457513</v>
      </c>
      <c r="K169" s="70" t="s">
        <v>923</v>
      </c>
      <c r="L169" s="70" t="s">
        <v>927</v>
      </c>
      <c r="M169" s="69">
        <v>249900</v>
      </c>
      <c r="N169" s="36">
        <f t="shared" si="128"/>
        <v>0.75</v>
      </c>
      <c r="O169" s="35">
        <f t="shared" si="116"/>
        <v>62475</v>
      </c>
      <c r="P169" s="33" t="s">
        <v>16</v>
      </c>
    </row>
    <row r="170" spans="1:16" x14ac:dyDescent="0.35">
      <c r="A170" s="33" t="str">
        <f t="shared" ref="A170:C170" si="166">A169</f>
        <v>2024 JAN-DEC DISC 75%</v>
      </c>
      <c r="B170" s="34">
        <f t="shared" si="166"/>
        <v>46104</v>
      </c>
      <c r="C170" s="34">
        <f t="shared" si="166"/>
        <v>46113</v>
      </c>
      <c r="D170" s="33">
        <v>3281</v>
      </c>
      <c r="E170" s="33">
        <v>337</v>
      </c>
      <c r="F170" s="33">
        <v>4</v>
      </c>
      <c r="G170" s="55">
        <v>5</v>
      </c>
      <c r="H170" s="24">
        <v>190</v>
      </c>
      <c r="I170" s="50" t="s">
        <v>17</v>
      </c>
      <c r="J170" s="70">
        <v>18353749</v>
      </c>
      <c r="K170" s="70" t="s">
        <v>867</v>
      </c>
      <c r="L170" s="70" t="s">
        <v>868</v>
      </c>
      <c r="M170" s="69">
        <v>149900</v>
      </c>
      <c r="N170" s="36">
        <f t="shared" si="128"/>
        <v>0.75</v>
      </c>
      <c r="O170" s="35">
        <f t="shared" si="116"/>
        <v>37475</v>
      </c>
      <c r="P170" s="33" t="s">
        <v>16</v>
      </c>
    </row>
    <row r="171" spans="1:16" x14ac:dyDescent="0.35">
      <c r="A171" s="33" t="str">
        <f t="shared" ref="A171:C171" si="167">A170</f>
        <v>2024 JAN-DEC DISC 75%</v>
      </c>
      <c r="B171" s="34">
        <f t="shared" si="167"/>
        <v>46104</v>
      </c>
      <c r="C171" s="34">
        <f t="shared" si="167"/>
        <v>46113</v>
      </c>
      <c r="D171" s="33">
        <v>3281</v>
      </c>
      <c r="E171" s="33">
        <v>337</v>
      </c>
      <c r="F171" s="33">
        <v>4</v>
      </c>
      <c r="G171" s="55">
        <v>5</v>
      </c>
      <c r="H171" s="24">
        <v>190</v>
      </c>
      <c r="I171" s="50" t="s">
        <v>17</v>
      </c>
      <c r="J171" s="70">
        <v>18353758</v>
      </c>
      <c r="K171" s="70" t="s">
        <v>867</v>
      </c>
      <c r="L171" s="70" t="s">
        <v>869</v>
      </c>
      <c r="M171" s="69">
        <v>149900</v>
      </c>
      <c r="N171" s="36">
        <f t="shared" si="128"/>
        <v>0.75</v>
      </c>
      <c r="O171" s="35">
        <f t="shared" si="116"/>
        <v>37475</v>
      </c>
      <c r="P171" s="33" t="s">
        <v>16</v>
      </c>
    </row>
    <row r="172" spans="1:16" x14ac:dyDescent="0.35">
      <c r="A172" s="33" t="str">
        <f t="shared" ref="A172:C172" si="168">A171</f>
        <v>2024 JAN-DEC DISC 75%</v>
      </c>
      <c r="B172" s="34">
        <f t="shared" si="168"/>
        <v>46104</v>
      </c>
      <c r="C172" s="34">
        <f t="shared" si="168"/>
        <v>46113</v>
      </c>
      <c r="D172" s="33">
        <v>3281</v>
      </c>
      <c r="E172" s="33">
        <v>337</v>
      </c>
      <c r="F172" s="33">
        <v>4</v>
      </c>
      <c r="G172" s="55">
        <v>5</v>
      </c>
      <c r="H172" s="24">
        <v>190</v>
      </c>
      <c r="I172" s="50" t="s">
        <v>17</v>
      </c>
      <c r="J172" s="70">
        <v>18353767</v>
      </c>
      <c r="K172" s="70" t="s">
        <v>867</v>
      </c>
      <c r="L172" s="70" t="s">
        <v>870</v>
      </c>
      <c r="M172" s="69">
        <v>149900</v>
      </c>
      <c r="N172" s="36">
        <f t="shared" si="128"/>
        <v>0.75</v>
      </c>
      <c r="O172" s="35">
        <f t="shared" si="116"/>
        <v>37475</v>
      </c>
      <c r="P172" s="33" t="s">
        <v>16</v>
      </c>
    </row>
    <row r="173" spans="1:16" x14ac:dyDescent="0.35">
      <c r="A173" s="33" t="str">
        <f t="shared" ref="A173:C173" si="169">A172</f>
        <v>2024 JAN-DEC DISC 75%</v>
      </c>
      <c r="B173" s="34">
        <f t="shared" si="169"/>
        <v>46104</v>
      </c>
      <c r="C173" s="34">
        <f t="shared" si="169"/>
        <v>46113</v>
      </c>
      <c r="D173" s="33">
        <v>3281</v>
      </c>
      <c r="E173" s="33">
        <v>337</v>
      </c>
      <c r="F173" s="33">
        <v>4</v>
      </c>
      <c r="G173" s="55">
        <v>1</v>
      </c>
      <c r="H173" s="24">
        <v>190</v>
      </c>
      <c r="I173" s="50" t="s">
        <v>17</v>
      </c>
      <c r="J173" s="70">
        <v>18353776</v>
      </c>
      <c r="K173" s="70" t="s">
        <v>867</v>
      </c>
      <c r="L173" s="70" t="s">
        <v>871</v>
      </c>
      <c r="M173" s="69">
        <v>149900</v>
      </c>
      <c r="N173" s="36">
        <f t="shared" si="128"/>
        <v>0.75</v>
      </c>
      <c r="O173" s="35">
        <f t="shared" si="116"/>
        <v>37475</v>
      </c>
      <c r="P173" s="33" t="s">
        <v>16</v>
      </c>
    </row>
    <row r="174" spans="1:16" x14ac:dyDescent="0.35">
      <c r="A174" s="33" t="str">
        <f t="shared" ref="A174:C174" si="170">A173</f>
        <v>2024 JAN-DEC DISC 75%</v>
      </c>
      <c r="B174" s="34">
        <f t="shared" si="170"/>
        <v>46104</v>
      </c>
      <c r="C174" s="34">
        <f t="shared" si="170"/>
        <v>46113</v>
      </c>
      <c r="D174" s="33">
        <v>3281</v>
      </c>
      <c r="E174" s="33">
        <v>337</v>
      </c>
      <c r="F174" s="33">
        <v>4</v>
      </c>
      <c r="G174" s="55">
        <v>1</v>
      </c>
      <c r="H174" s="24">
        <v>81506</v>
      </c>
      <c r="I174" s="50" t="s">
        <v>17</v>
      </c>
      <c r="J174" s="70">
        <v>17076014</v>
      </c>
      <c r="K174" s="70" t="s">
        <v>939</v>
      </c>
      <c r="L174" s="70" t="s">
        <v>940</v>
      </c>
      <c r="M174" s="69">
        <v>259900</v>
      </c>
      <c r="N174" s="36">
        <f t="shared" si="128"/>
        <v>0.75</v>
      </c>
      <c r="O174" s="35">
        <f t="shared" si="116"/>
        <v>64975</v>
      </c>
      <c r="P174" s="33" t="s">
        <v>16</v>
      </c>
    </row>
    <row r="175" spans="1:16" x14ac:dyDescent="0.35">
      <c r="A175" s="33" t="str">
        <f t="shared" ref="A175:C175" si="171">A174</f>
        <v>2024 JAN-DEC DISC 75%</v>
      </c>
      <c r="B175" s="34">
        <f t="shared" si="171"/>
        <v>46104</v>
      </c>
      <c r="C175" s="34">
        <f t="shared" si="171"/>
        <v>46113</v>
      </c>
      <c r="D175" s="33">
        <v>3281</v>
      </c>
      <c r="E175" s="33">
        <v>337</v>
      </c>
      <c r="F175" s="33">
        <v>4</v>
      </c>
      <c r="G175" s="55">
        <v>1</v>
      </c>
      <c r="H175" s="24">
        <v>81506</v>
      </c>
      <c r="I175" s="50" t="s">
        <v>17</v>
      </c>
      <c r="J175" s="70">
        <v>17076023</v>
      </c>
      <c r="K175" s="70" t="s">
        <v>939</v>
      </c>
      <c r="L175" s="70" t="s">
        <v>941</v>
      </c>
      <c r="M175" s="69">
        <v>259900</v>
      </c>
      <c r="N175" s="36">
        <f t="shared" si="128"/>
        <v>0.75</v>
      </c>
      <c r="O175" s="35">
        <f t="shared" si="116"/>
        <v>64975</v>
      </c>
      <c r="P175" s="33" t="s">
        <v>16</v>
      </c>
    </row>
    <row r="176" spans="1:16" x14ac:dyDescent="0.35">
      <c r="A176" s="33" t="str">
        <f t="shared" ref="A176:C176" si="172">A175</f>
        <v>2024 JAN-DEC DISC 75%</v>
      </c>
      <c r="B176" s="34">
        <f t="shared" si="172"/>
        <v>46104</v>
      </c>
      <c r="C176" s="34">
        <f t="shared" si="172"/>
        <v>46113</v>
      </c>
      <c r="D176" s="33">
        <v>3281</v>
      </c>
      <c r="E176" s="33">
        <v>337</v>
      </c>
      <c r="F176" s="33">
        <v>4</v>
      </c>
      <c r="G176" s="55">
        <v>1</v>
      </c>
      <c r="H176" s="24">
        <v>81506</v>
      </c>
      <c r="I176" s="50" t="s">
        <v>17</v>
      </c>
      <c r="J176" s="70">
        <v>17076032</v>
      </c>
      <c r="K176" s="70" t="s">
        <v>939</v>
      </c>
      <c r="L176" s="70" t="s">
        <v>942</v>
      </c>
      <c r="M176" s="69">
        <v>259900</v>
      </c>
      <c r="N176" s="36">
        <f t="shared" si="128"/>
        <v>0.75</v>
      </c>
      <c r="O176" s="35">
        <f t="shared" si="116"/>
        <v>64975</v>
      </c>
      <c r="P176" s="33" t="s">
        <v>16</v>
      </c>
    </row>
    <row r="177" spans="1:16" x14ac:dyDescent="0.35">
      <c r="A177" s="33" t="str">
        <f t="shared" ref="A177:C177" si="173">A176</f>
        <v>2024 JAN-DEC DISC 75%</v>
      </c>
      <c r="B177" s="34">
        <f t="shared" si="173"/>
        <v>46104</v>
      </c>
      <c r="C177" s="34">
        <f t="shared" si="173"/>
        <v>46113</v>
      </c>
      <c r="D177" s="33">
        <v>3281</v>
      </c>
      <c r="E177" s="33">
        <v>337</v>
      </c>
      <c r="F177" s="33">
        <v>4</v>
      </c>
      <c r="G177" s="55">
        <v>5</v>
      </c>
      <c r="H177" s="24">
        <v>81506</v>
      </c>
      <c r="I177" s="50" t="s">
        <v>17</v>
      </c>
      <c r="J177" s="70">
        <v>17076041</v>
      </c>
      <c r="K177" s="70" t="s">
        <v>939</v>
      </c>
      <c r="L177" s="70" t="s">
        <v>943</v>
      </c>
      <c r="M177" s="69">
        <v>259900</v>
      </c>
      <c r="N177" s="36">
        <f t="shared" si="128"/>
        <v>0.75</v>
      </c>
      <c r="O177" s="35">
        <f t="shared" si="116"/>
        <v>64975</v>
      </c>
      <c r="P177" s="33" t="s">
        <v>16</v>
      </c>
    </row>
    <row r="178" spans="1:16" x14ac:dyDescent="0.35">
      <c r="A178" s="33" t="str">
        <f t="shared" ref="A178:C178" si="174">A177</f>
        <v>2024 JAN-DEC DISC 75%</v>
      </c>
      <c r="B178" s="34">
        <f t="shared" si="174"/>
        <v>46104</v>
      </c>
      <c r="C178" s="34">
        <f t="shared" si="174"/>
        <v>46113</v>
      </c>
      <c r="D178" s="33">
        <v>3281</v>
      </c>
      <c r="E178" s="33">
        <v>337</v>
      </c>
      <c r="F178" s="33">
        <v>4</v>
      </c>
      <c r="G178" s="55">
        <v>5</v>
      </c>
      <c r="H178" s="24">
        <v>81419</v>
      </c>
      <c r="I178" s="50" t="s">
        <v>17</v>
      </c>
      <c r="J178" s="70">
        <v>18353641</v>
      </c>
      <c r="K178" s="70" t="s">
        <v>893</v>
      </c>
      <c r="L178" s="70" t="s">
        <v>894</v>
      </c>
      <c r="M178" s="69">
        <v>299900</v>
      </c>
      <c r="N178" s="36">
        <f t="shared" si="128"/>
        <v>0.75</v>
      </c>
      <c r="O178" s="35">
        <f t="shared" si="116"/>
        <v>74975</v>
      </c>
      <c r="P178" s="33" t="s">
        <v>16</v>
      </c>
    </row>
    <row r="179" spans="1:16" x14ac:dyDescent="0.35">
      <c r="A179" s="33" t="str">
        <f t="shared" ref="A179:C179" si="175">A178</f>
        <v>2024 JAN-DEC DISC 75%</v>
      </c>
      <c r="B179" s="34">
        <f t="shared" si="175"/>
        <v>46104</v>
      </c>
      <c r="C179" s="34">
        <f t="shared" si="175"/>
        <v>46113</v>
      </c>
      <c r="D179" s="33">
        <v>3281</v>
      </c>
      <c r="E179" s="33">
        <v>337</v>
      </c>
      <c r="F179" s="33">
        <v>4</v>
      </c>
      <c r="G179" s="55">
        <v>5</v>
      </c>
      <c r="H179" s="24">
        <v>81419</v>
      </c>
      <c r="I179" s="50" t="s">
        <v>17</v>
      </c>
      <c r="J179" s="70">
        <v>18353669</v>
      </c>
      <c r="K179" s="70" t="s">
        <v>893</v>
      </c>
      <c r="L179" s="70" t="s">
        <v>895</v>
      </c>
      <c r="M179" s="69">
        <v>299900</v>
      </c>
      <c r="N179" s="36">
        <f t="shared" si="128"/>
        <v>0.75</v>
      </c>
      <c r="O179" s="35">
        <f t="shared" si="116"/>
        <v>74975</v>
      </c>
      <c r="P179" s="33" t="s">
        <v>16</v>
      </c>
    </row>
    <row r="180" spans="1:16" x14ac:dyDescent="0.35">
      <c r="A180" s="33" t="str">
        <f t="shared" ref="A180:C180" si="176">A179</f>
        <v>2024 JAN-DEC DISC 75%</v>
      </c>
      <c r="B180" s="34">
        <f t="shared" si="176"/>
        <v>46104</v>
      </c>
      <c r="C180" s="34">
        <f t="shared" si="176"/>
        <v>46113</v>
      </c>
      <c r="D180" s="33">
        <v>3281</v>
      </c>
      <c r="E180" s="33">
        <v>337</v>
      </c>
      <c r="F180" s="33">
        <v>4</v>
      </c>
      <c r="G180" s="55">
        <v>5</v>
      </c>
      <c r="H180" s="24">
        <v>81419</v>
      </c>
      <c r="I180" s="50" t="s">
        <v>17</v>
      </c>
      <c r="J180" s="70">
        <v>18353678</v>
      </c>
      <c r="K180" s="70" t="s">
        <v>893</v>
      </c>
      <c r="L180" s="70" t="s">
        <v>896</v>
      </c>
      <c r="M180" s="69">
        <v>299900</v>
      </c>
      <c r="N180" s="36">
        <f t="shared" si="128"/>
        <v>0.75</v>
      </c>
      <c r="O180" s="35">
        <f t="shared" ref="O180:O242" si="177">M180-((75*M180))/100</f>
        <v>74975</v>
      </c>
      <c r="P180" s="33" t="s">
        <v>16</v>
      </c>
    </row>
    <row r="181" spans="1:16" x14ac:dyDescent="0.35">
      <c r="A181" s="33" t="str">
        <f t="shared" ref="A181:C181" si="178">A180</f>
        <v>2024 JAN-DEC DISC 75%</v>
      </c>
      <c r="B181" s="34">
        <f t="shared" si="178"/>
        <v>46104</v>
      </c>
      <c r="C181" s="34">
        <f t="shared" si="178"/>
        <v>46113</v>
      </c>
      <c r="D181" s="33">
        <v>3281</v>
      </c>
      <c r="E181" s="33">
        <v>337</v>
      </c>
      <c r="F181" s="33">
        <v>4</v>
      </c>
      <c r="G181" s="55">
        <v>3</v>
      </c>
      <c r="H181" s="24">
        <v>81419</v>
      </c>
      <c r="I181" s="50" t="s">
        <v>17</v>
      </c>
      <c r="J181" s="70">
        <v>18353687</v>
      </c>
      <c r="K181" s="70" t="s">
        <v>893</v>
      </c>
      <c r="L181" s="70" t="s">
        <v>897</v>
      </c>
      <c r="M181" s="69">
        <v>299900</v>
      </c>
      <c r="N181" s="36">
        <f t="shared" si="128"/>
        <v>0.75</v>
      </c>
      <c r="O181" s="35">
        <f t="shared" si="177"/>
        <v>74975</v>
      </c>
      <c r="P181" s="33" t="s">
        <v>16</v>
      </c>
    </row>
    <row r="182" spans="1:16" x14ac:dyDescent="0.35">
      <c r="A182" s="33" t="str">
        <f t="shared" ref="A182:C182" si="179">A181</f>
        <v>2024 JAN-DEC DISC 75%</v>
      </c>
      <c r="B182" s="34">
        <f t="shared" si="179"/>
        <v>46104</v>
      </c>
      <c r="C182" s="34">
        <f t="shared" si="179"/>
        <v>46113</v>
      </c>
      <c r="D182" s="33">
        <v>3281</v>
      </c>
      <c r="E182" s="33">
        <v>337</v>
      </c>
      <c r="F182" s="33">
        <v>4</v>
      </c>
      <c r="G182" s="55">
        <v>3</v>
      </c>
      <c r="H182" s="24">
        <v>81419</v>
      </c>
      <c r="I182" s="50" t="s">
        <v>17</v>
      </c>
      <c r="J182" s="70">
        <v>18353525</v>
      </c>
      <c r="K182" s="70" t="s">
        <v>857</v>
      </c>
      <c r="L182" s="70" t="s">
        <v>858</v>
      </c>
      <c r="M182" s="69">
        <v>189900</v>
      </c>
      <c r="N182" s="36">
        <f t="shared" si="128"/>
        <v>0.75</v>
      </c>
      <c r="O182" s="35">
        <f t="shared" si="177"/>
        <v>47475</v>
      </c>
      <c r="P182" s="33" t="s">
        <v>16</v>
      </c>
    </row>
    <row r="183" spans="1:16" x14ac:dyDescent="0.35">
      <c r="A183" s="33" t="str">
        <f t="shared" ref="A183:C183" si="180">A182</f>
        <v>2024 JAN-DEC DISC 75%</v>
      </c>
      <c r="B183" s="34">
        <f t="shared" si="180"/>
        <v>46104</v>
      </c>
      <c r="C183" s="34">
        <f t="shared" si="180"/>
        <v>46113</v>
      </c>
      <c r="D183" s="33">
        <v>3281</v>
      </c>
      <c r="E183" s="33">
        <v>337</v>
      </c>
      <c r="F183" s="33">
        <v>4</v>
      </c>
      <c r="G183" s="55">
        <v>3</v>
      </c>
      <c r="H183" s="24">
        <v>81419</v>
      </c>
      <c r="I183" s="50" t="s">
        <v>17</v>
      </c>
      <c r="J183" s="70">
        <v>18353614</v>
      </c>
      <c r="K183" s="70" t="s">
        <v>857</v>
      </c>
      <c r="L183" s="70" t="s">
        <v>859</v>
      </c>
      <c r="M183" s="69">
        <v>189900</v>
      </c>
      <c r="N183" s="36">
        <f t="shared" si="128"/>
        <v>0.75</v>
      </c>
      <c r="O183" s="35">
        <f t="shared" si="177"/>
        <v>47475</v>
      </c>
      <c r="P183" s="33" t="s">
        <v>16</v>
      </c>
    </row>
    <row r="184" spans="1:16" x14ac:dyDescent="0.35">
      <c r="A184" s="33" t="str">
        <f t="shared" ref="A184:C184" si="181">A183</f>
        <v>2024 JAN-DEC DISC 75%</v>
      </c>
      <c r="B184" s="34">
        <f t="shared" si="181"/>
        <v>46104</v>
      </c>
      <c r="C184" s="34">
        <f t="shared" si="181"/>
        <v>46113</v>
      </c>
      <c r="D184" s="33">
        <v>3281</v>
      </c>
      <c r="E184" s="33">
        <v>337</v>
      </c>
      <c r="F184" s="33">
        <v>4</v>
      </c>
      <c r="G184" s="55">
        <v>3</v>
      </c>
      <c r="H184" s="24">
        <v>81419</v>
      </c>
      <c r="I184" s="50" t="s">
        <v>17</v>
      </c>
      <c r="J184" s="70">
        <v>18353623</v>
      </c>
      <c r="K184" s="70" t="s">
        <v>857</v>
      </c>
      <c r="L184" s="70" t="s">
        <v>860</v>
      </c>
      <c r="M184" s="69">
        <v>189900</v>
      </c>
      <c r="N184" s="36">
        <f t="shared" si="128"/>
        <v>0.75</v>
      </c>
      <c r="O184" s="35">
        <f t="shared" si="177"/>
        <v>47475</v>
      </c>
      <c r="P184" s="33" t="s">
        <v>16</v>
      </c>
    </row>
    <row r="185" spans="1:16" x14ac:dyDescent="0.35">
      <c r="A185" s="33" t="str">
        <f t="shared" ref="A185:C185" si="182">A184</f>
        <v>2024 JAN-DEC DISC 75%</v>
      </c>
      <c r="B185" s="34">
        <f t="shared" si="182"/>
        <v>46104</v>
      </c>
      <c r="C185" s="34">
        <f t="shared" si="182"/>
        <v>46113</v>
      </c>
      <c r="D185" s="33">
        <v>3281</v>
      </c>
      <c r="E185" s="33">
        <v>337</v>
      </c>
      <c r="F185" s="33">
        <v>4</v>
      </c>
      <c r="G185" s="55">
        <v>1</v>
      </c>
      <c r="H185" s="24">
        <v>81419</v>
      </c>
      <c r="I185" s="50" t="s">
        <v>17</v>
      </c>
      <c r="J185" s="70">
        <v>18353632</v>
      </c>
      <c r="K185" s="70" t="s">
        <v>857</v>
      </c>
      <c r="L185" s="70" t="s">
        <v>861</v>
      </c>
      <c r="M185" s="69">
        <v>189900</v>
      </c>
      <c r="N185" s="36">
        <f t="shared" si="128"/>
        <v>0.75</v>
      </c>
      <c r="O185" s="35">
        <f t="shared" si="177"/>
        <v>47475</v>
      </c>
      <c r="P185" s="33" t="s">
        <v>16</v>
      </c>
    </row>
    <row r="186" spans="1:16" x14ac:dyDescent="0.35">
      <c r="A186" s="33" t="str">
        <f t="shared" ref="A186:C186" si="183">A185</f>
        <v>2024 JAN-DEC DISC 75%</v>
      </c>
      <c r="B186" s="34">
        <f t="shared" si="183"/>
        <v>46104</v>
      </c>
      <c r="C186" s="34">
        <f t="shared" si="183"/>
        <v>46113</v>
      </c>
      <c r="D186" s="33">
        <v>3281</v>
      </c>
      <c r="E186" s="33">
        <v>337</v>
      </c>
      <c r="F186" s="33">
        <v>4</v>
      </c>
      <c r="G186" s="55">
        <v>1</v>
      </c>
      <c r="H186" s="24">
        <v>81419</v>
      </c>
      <c r="I186" s="50" t="s">
        <v>17</v>
      </c>
      <c r="J186" s="70">
        <v>18353696</v>
      </c>
      <c r="K186" s="70" t="s">
        <v>908</v>
      </c>
      <c r="L186" s="70" t="s">
        <v>909</v>
      </c>
      <c r="M186" s="69">
        <v>269900</v>
      </c>
      <c r="N186" s="36">
        <f t="shared" si="128"/>
        <v>0.75</v>
      </c>
      <c r="O186" s="35">
        <f t="shared" si="177"/>
        <v>67475</v>
      </c>
      <c r="P186" s="33" t="s">
        <v>16</v>
      </c>
    </row>
    <row r="187" spans="1:16" x14ac:dyDescent="0.35">
      <c r="A187" s="33" t="str">
        <f t="shared" ref="A187:C187" si="184">A186</f>
        <v>2024 JAN-DEC DISC 75%</v>
      </c>
      <c r="B187" s="34">
        <f t="shared" si="184"/>
        <v>46104</v>
      </c>
      <c r="C187" s="34">
        <f t="shared" si="184"/>
        <v>46113</v>
      </c>
      <c r="D187" s="33">
        <v>3281</v>
      </c>
      <c r="E187" s="33">
        <v>337</v>
      </c>
      <c r="F187" s="33">
        <v>4</v>
      </c>
      <c r="G187" s="55">
        <v>1</v>
      </c>
      <c r="H187" s="24">
        <v>81419</v>
      </c>
      <c r="I187" s="50" t="s">
        <v>17</v>
      </c>
      <c r="J187" s="70">
        <v>18353703</v>
      </c>
      <c r="K187" s="70" t="s">
        <v>908</v>
      </c>
      <c r="L187" s="70" t="s">
        <v>910</v>
      </c>
      <c r="M187" s="69">
        <v>269900</v>
      </c>
      <c r="N187" s="36">
        <f t="shared" si="128"/>
        <v>0.75</v>
      </c>
      <c r="O187" s="35">
        <f t="shared" si="177"/>
        <v>67475</v>
      </c>
      <c r="P187" s="33" t="s">
        <v>16</v>
      </c>
    </row>
    <row r="188" spans="1:16" x14ac:dyDescent="0.35">
      <c r="A188" s="33" t="str">
        <f t="shared" ref="A188:C188" si="185">A187</f>
        <v>2024 JAN-DEC DISC 75%</v>
      </c>
      <c r="B188" s="34">
        <f t="shared" si="185"/>
        <v>46104</v>
      </c>
      <c r="C188" s="34">
        <f t="shared" si="185"/>
        <v>46113</v>
      </c>
      <c r="D188" s="33">
        <v>3281</v>
      </c>
      <c r="E188" s="33">
        <v>337</v>
      </c>
      <c r="F188" s="33">
        <v>4</v>
      </c>
      <c r="G188" s="55">
        <v>1</v>
      </c>
      <c r="H188" s="24">
        <v>81419</v>
      </c>
      <c r="I188" s="50" t="s">
        <v>17</v>
      </c>
      <c r="J188" s="70">
        <v>18353712</v>
      </c>
      <c r="K188" s="70" t="s">
        <v>908</v>
      </c>
      <c r="L188" s="70" t="s">
        <v>911</v>
      </c>
      <c r="M188" s="69">
        <v>269900</v>
      </c>
      <c r="N188" s="36">
        <f t="shared" si="128"/>
        <v>0.75</v>
      </c>
      <c r="O188" s="35">
        <f t="shared" si="177"/>
        <v>67475</v>
      </c>
      <c r="P188" s="33" t="s">
        <v>16</v>
      </c>
    </row>
    <row r="189" spans="1:16" x14ac:dyDescent="0.35">
      <c r="A189" s="33" t="str">
        <f t="shared" ref="A189:C189" si="186">A188</f>
        <v>2024 JAN-DEC DISC 75%</v>
      </c>
      <c r="B189" s="34">
        <f t="shared" si="186"/>
        <v>46104</v>
      </c>
      <c r="C189" s="34">
        <f t="shared" si="186"/>
        <v>46113</v>
      </c>
      <c r="D189" s="33">
        <v>3281</v>
      </c>
      <c r="E189" s="33">
        <v>337</v>
      </c>
      <c r="F189" s="33">
        <v>4</v>
      </c>
      <c r="G189" s="55">
        <v>5</v>
      </c>
      <c r="H189" s="24">
        <v>81419</v>
      </c>
      <c r="I189" s="50" t="s">
        <v>17</v>
      </c>
      <c r="J189" s="70">
        <v>18353721</v>
      </c>
      <c r="K189" s="70" t="s">
        <v>908</v>
      </c>
      <c r="L189" s="70" t="s">
        <v>912</v>
      </c>
      <c r="M189" s="69">
        <v>269900</v>
      </c>
      <c r="N189" s="36">
        <f t="shared" si="128"/>
        <v>0.75</v>
      </c>
      <c r="O189" s="35">
        <f t="shared" si="177"/>
        <v>67475</v>
      </c>
      <c r="P189" s="33" t="s">
        <v>16</v>
      </c>
    </row>
    <row r="190" spans="1:16" x14ac:dyDescent="0.35">
      <c r="A190" s="33" t="str">
        <f t="shared" ref="A190:C190" si="187">A189</f>
        <v>2024 JAN-DEC DISC 75%</v>
      </c>
      <c r="B190" s="34">
        <f t="shared" si="187"/>
        <v>46104</v>
      </c>
      <c r="C190" s="34">
        <f t="shared" si="187"/>
        <v>46113</v>
      </c>
      <c r="D190" s="33">
        <v>3281</v>
      </c>
      <c r="E190" s="33">
        <v>337</v>
      </c>
      <c r="F190" s="33">
        <v>4</v>
      </c>
      <c r="G190" s="55">
        <v>5</v>
      </c>
      <c r="H190" s="24">
        <v>81676</v>
      </c>
      <c r="I190" s="50" t="s">
        <v>17</v>
      </c>
      <c r="J190" s="70">
        <v>18767445</v>
      </c>
      <c r="K190" s="70" t="s">
        <v>873</v>
      </c>
      <c r="L190" s="70" t="s">
        <v>874</v>
      </c>
      <c r="M190" s="69">
        <v>149900</v>
      </c>
      <c r="N190" s="36">
        <f t="shared" si="128"/>
        <v>0.75</v>
      </c>
      <c r="O190" s="35">
        <f t="shared" si="177"/>
        <v>37475</v>
      </c>
      <c r="P190" s="33" t="s">
        <v>16</v>
      </c>
    </row>
    <row r="191" spans="1:16" x14ac:dyDescent="0.35">
      <c r="A191" s="33" t="str">
        <f t="shared" ref="A191:C191" si="188">A190</f>
        <v>2024 JAN-DEC DISC 75%</v>
      </c>
      <c r="B191" s="34">
        <f t="shared" si="188"/>
        <v>46104</v>
      </c>
      <c r="C191" s="34">
        <f t="shared" si="188"/>
        <v>46113</v>
      </c>
      <c r="D191" s="33">
        <v>3281</v>
      </c>
      <c r="E191" s="33">
        <v>337</v>
      </c>
      <c r="F191" s="33">
        <v>4</v>
      </c>
      <c r="G191" s="55">
        <v>5</v>
      </c>
      <c r="H191" s="24">
        <v>81676</v>
      </c>
      <c r="I191" s="50" t="s">
        <v>17</v>
      </c>
      <c r="J191" s="70">
        <v>18767454</v>
      </c>
      <c r="K191" s="70" t="s">
        <v>873</v>
      </c>
      <c r="L191" s="70" t="s">
        <v>875</v>
      </c>
      <c r="M191" s="69">
        <v>149900</v>
      </c>
      <c r="N191" s="36">
        <f t="shared" si="128"/>
        <v>0.75</v>
      </c>
      <c r="O191" s="35">
        <f t="shared" si="177"/>
        <v>37475</v>
      </c>
      <c r="P191" s="33" t="s">
        <v>16</v>
      </c>
    </row>
    <row r="192" spans="1:16" x14ac:dyDescent="0.35">
      <c r="A192" s="33" t="str">
        <f t="shared" ref="A192:C192" si="189">A191</f>
        <v>2024 JAN-DEC DISC 75%</v>
      </c>
      <c r="B192" s="34">
        <f t="shared" si="189"/>
        <v>46104</v>
      </c>
      <c r="C192" s="34">
        <f t="shared" si="189"/>
        <v>46113</v>
      </c>
      <c r="D192" s="33">
        <v>3281</v>
      </c>
      <c r="E192" s="33">
        <v>337</v>
      </c>
      <c r="F192" s="33">
        <v>4</v>
      </c>
      <c r="G192" s="55">
        <v>5</v>
      </c>
      <c r="H192" s="24">
        <v>81676</v>
      </c>
      <c r="I192" s="50" t="s">
        <v>17</v>
      </c>
      <c r="J192" s="70">
        <v>18767463</v>
      </c>
      <c r="K192" s="70" t="s">
        <v>873</v>
      </c>
      <c r="L192" s="70" t="s">
        <v>876</v>
      </c>
      <c r="M192" s="69">
        <v>149900</v>
      </c>
      <c r="N192" s="36">
        <f t="shared" si="128"/>
        <v>0.75</v>
      </c>
      <c r="O192" s="35">
        <f t="shared" si="177"/>
        <v>37475</v>
      </c>
      <c r="P192" s="33" t="s">
        <v>16</v>
      </c>
    </row>
    <row r="193" spans="1:16" x14ac:dyDescent="0.35">
      <c r="A193" s="33" t="str">
        <f t="shared" ref="A193:C193" si="190">A192</f>
        <v>2024 JAN-DEC DISC 75%</v>
      </c>
      <c r="B193" s="34">
        <f t="shared" si="190"/>
        <v>46104</v>
      </c>
      <c r="C193" s="34">
        <f t="shared" si="190"/>
        <v>46113</v>
      </c>
      <c r="D193" s="33">
        <v>3281</v>
      </c>
      <c r="E193" s="33">
        <v>337</v>
      </c>
      <c r="F193" s="33">
        <v>4</v>
      </c>
      <c r="G193" s="55">
        <v>1</v>
      </c>
      <c r="H193" s="24">
        <v>81676</v>
      </c>
      <c r="I193" s="50" t="s">
        <v>17</v>
      </c>
      <c r="J193" s="70">
        <v>18767472</v>
      </c>
      <c r="K193" s="70" t="s">
        <v>873</v>
      </c>
      <c r="L193" s="70" t="s">
        <v>877</v>
      </c>
      <c r="M193" s="69">
        <v>149900</v>
      </c>
      <c r="N193" s="36">
        <f t="shared" si="128"/>
        <v>0.75</v>
      </c>
      <c r="O193" s="35">
        <f t="shared" si="177"/>
        <v>37475</v>
      </c>
      <c r="P193" s="33" t="s">
        <v>16</v>
      </c>
    </row>
    <row r="194" spans="1:16" x14ac:dyDescent="0.35">
      <c r="A194" s="33" t="str">
        <f t="shared" ref="A194:C194" si="191">A193</f>
        <v>2024 JAN-DEC DISC 75%</v>
      </c>
      <c r="B194" s="34">
        <f t="shared" si="191"/>
        <v>46104</v>
      </c>
      <c r="C194" s="34">
        <f t="shared" si="191"/>
        <v>46113</v>
      </c>
      <c r="D194" s="33">
        <v>3281</v>
      </c>
      <c r="E194" s="33">
        <v>337</v>
      </c>
      <c r="F194" s="33">
        <v>4</v>
      </c>
      <c r="G194" s="55">
        <v>1</v>
      </c>
      <c r="H194" s="24">
        <v>81676</v>
      </c>
      <c r="I194" s="50" t="s">
        <v>17</v>
      </c>
      <c r="J194" s="70">
        <v>18767481</v>
      </c>
      <c r="K194" s="70" t="s">
        <v>878</v>
      </c>
      <c r="L194" s="70" t="s">
        <v>879</v>
      </c>
      <c r="M194" s="69">
        <v>149900</v>
      </c>
      <c r="N194" s="36">
        <f t="shared" si="128"/>
        <v>0.75</v>
      </c>
      <c r="O194" s="35">
        <f t="shared" si="177"/>
        <v>37475</v>
      </c>
      <c r="P194" s="33" t="s">
        <v>16</v>
      </c>
    </row>
    <row r="195" spans="1:16" x14ac:dyDescent="0.35">
      <c r="A195" s="33" t="str">
        <f t="shared" ref="A195:C195" si="192">A194</f>
        <v>2024 JAN-DEC DISC 75%</v>
      </c>
      <c r="B195" s="34">
        <f t="shared" si="192"/>
        <v>46104</v>
      </c>
      <c r="C195" s="34">
        <f t="shared" si="192"/>
        <v>46113</v>
      </c>
      <c r="D195" s="33">
        <v>3281</v>
      </c>
      <c r="E195" s="33">
        <v>337</v>
      </c>
      <c r="F195" s="33">
        <v>4</v>
      </c>
      <c r="G195" s="55">
        <v>1</v>
      </c>
      <c r="H195" s="24">
        <v>81676</v>
      </c>
      <c r="I195" s="50" t="s">
        <v>17</v>
      </c>
      <c r="J195" s="70">
        <v>18767490</v>
      </c>
      <c r="K195" s="70" t="s">
        <v>878</v>
      </c>
      <c r="L195" s="70" t="s">
        <v>880</v>
      </c>
      <c r="M195" s="69">
        <v>149900</v>
      </c>
      <c r="N195" s="36">
        <f t="shared" si="128"/>
        <v>0.75</v>
      </c>
      <c r="O195" s="35">
        <f t="shared" si="177"/>
        <v>37475</v>
      </c>
      <c r="P195" s="33" t="s">
        <v>16</v>
      </c>
    </row>
    <row r="196" spans="1:16" x14ac:dyDescent="0.35">
      <c r="A196" s="33" t="str">
        <f t="shared" ref="A196:C196" si="193">A195</f>
        <v>2024 JAN-DEC DISC 75%</v>
      </c>
      <c r="B196" s="34">
        <f t="shared" si="193"/>
        <v>46104</v>
      </c>
      <c r="C196" s="34">
        <f t="shared" si="193"/>
        <v>46113</v>
      </c>
      <c r="D196" s="33">
        <v>3281</v>
      </c>
      <c r="E196" s="33">
        <v>337</v>
      </c>
      <c r="F196" s="33">
        <v>4</v>
      </c>
      <c r="G196" s="55">
        <v>1</v>
      </c>
      <c r="H196" s="24">
        <v>81676</v>
      </c>
      <c r="I196" s="50" t="s">
        <v>17</v>
      </c>
      <c r="J196" s="70">
        <v>18767507</v>
      </c>
      <c r="K196" s="70" t="s">
        <v>878</v>
      </c>
      <c r="L196" s="70" t="s">
        <v>881</v>
      </c>
      <c r="M196" s="69">
        <v>149900</v>
      </c>
      <c r="N196" s="36">
        <f t="shared" ref="N196:N259" si="194">N195</f>
        <v>0.75</v>
      </c>
      <c r="O196" s="35">
        <f t="shared" si="177"/>
        <v>37475</v>
      </c>
      <c r="P196" s="33" t="s">
        <v>16</v>
      </c>
    </row>
    <row r="197" spans="1:16" x14ac:dyDescent="0.35">
      <c r="A197" s="33" t="str">
        <f t="shared" ref="A197:C197" si="195">A196</f>
        <v>2024 JAN-DEC DISC 75%</v>
      </c>
      <c r="B197" s="34">
        <f t="shared" si="195"/>
        <v>46104</v>
      </c>
      <c r="C197" s="34">
        <f t="shared" si="195"/>
        <v>46113</v>
      </c>
      <c r="D197" s="33">
        <v>3281</v>
      </c>
      <c r="E197" s="33">
        <v>337</v>
      </c>
      <c r="F197" s="33">
        <v>4</v>
      </c>
      <c r="G197" s="55">
        <v>1</v>
      </c>
      <c r="H197" s="24">
        <v>81676</v>
      </c>
      <c r="I197" s="50" t="s">
        <v>17</v>
      </c>
      <c r="J197" s="70">
        <v>18767516</v>
      </c>
      <c r="K197" s="70" t="s">
        <v>878</v>
      </c>
      <c r="L197" s="70" t="s">
        <v>882</v>
      </c>
      <c r="M197" s="69">
        <v>149900</v>
      </c>
      <c r="N197" s="36">
        <f t="shared" si="194"/>
        <v>0.75</v>
      </c>
      <c r="O197" s="35">
        <f t="shared" si="177"/>
        <v>37475</v>
      </c>
      <c r="P197" s="33" t="s">
        <v>16</v>
      </c>
    </row>
    <row r="198" spans="1:16" x14ac:dyDescent="0.35">
      <c r="A198" s="33" t="str">
        <f t="shared" ref="A198:C198" si="196">A197</f>
        <v>2024 JAN-DEC DISC 75%</v>
      </c>
      <c r="B198" s="34">
        <f t="shared" si="196"/>
        <v>46104</v>
      </c>
      <c r="C198" s="34">
        <f t="shared" si="196"/>
        <v>46113</v>
      </c>
      <c r="D198" s="33">
        <v>3281</v>
      </c>
      <c r="E198" s="33">
        <v>337</v>
      </c>
      <c r="F198" s="33">
        <v>4</v>
      </c>
      <c r="G198" s="55">
        <v>1</v>
      </c>
      <c r="H198" s="24">
        <v>81419</v>
      </c>
      <c r="I198" s="50" t="s">
        <v>17</v>
      </c>
      <c r="J198" s="70">
        <v>18767605</v>
      </c>
      <c r="K198" s="70" t="s">
        <v>913</v>
      </c>
      <c r="L198" s="70" t="s">
        <v>914</v>
      </c>
      <c r="M198" s="69">
        <v>259900</v>
      </c>
      <c r="N198" s="36">
        <f t="shared" si="194"/>
        <v>0.75</v>
      </c>
      <c r="O198" s="35">
        <f t="shared" si="177"/>
        <v>64975</v>
      </c>
      <c r="P198" s="33" t="s">
        <v>16</v>
      </c>
    </row>
    <row r="199" spans="1:16" x14ac:dyDescent="0.35">
      <c r="A199" s="33" t="str">
        <f t="shared" ref="A199:C199" si="197">A198</f>
        <v>2024 JAN-DEC DISC 75%</v>
      </c>
      <c r="B199" s="34">
        <f t="shared" si="197"/>
        <v>46104</v>
      </c>
      <c r="C199" s="34">
        <f t="shared" si="197"/>
        <v>46113</v>
      </c>
      <c r="D199" s="33">
        <v>3281</v>
      </c>
      <c r="E199" s="33">
        <v>337</v>
      </c>
      <c r="F199" s="33">
        <v>4</v>
      </c>
      <c r="G199" s="55">
        <v>1</v>
      </c>
      <c r="H199" s="24">
        <v>81419</v>
      </c>
      <c r="I199" s="50" t="s">
        <v>17</v>
      </c>
      <c r="J199" s="70">
        <v>18767614</v>
      </c>
      <c r="K199" s="70" t="s">
        <v>913</v>
      </c>
      <c r="L199" s="70" t="s">
        <v>915</v>
      </c>
      <c r="M199" s="69">
        <v>259900</v>
      </c>
      <c r="N199" s="36">
        <f t="shared" si="194"/>
        <v>0.75</v>
      </c>
      <c r="O199" s="35">
        <f t="shared" si="177"/>
        <v>64975</v>
      </c>
      <c r="P199" s="33" t="s">
        <v>16</v>
      </c>
    </row>
    <row r="200" spans="1:16" x14ac:dyDescent="0.35">
      <c r="A200" s="33" t="str">
        <f t="shared" ref="A200:C200" si="198">A199</f>
        <v>2024 JAN-DEC DISC 75%</v>
      </c>
      <c r="B200" s="34">
        <f t="shared" si="198"/>
        <v>46104</v>
      </c>
      <c r="C200" s="34">
        <f t="shared" si="198"/>
        <v>46113</v>
      </c>
      <c r="D200" s="33">
        <v>3281</v>
      </c>
      <c r="E200" s="33">
        <v>337</v>
      </c>
      <c r="F200" s="33">
        <v>4</v>
      </c>
      <c r="G200" s="55">
        <v>1</v>
      </c>
      <c r="H200" s="24">
        <v>81419</v>
      </c>
      <c r="I200" s="50" t="s">
        <v>17</v>
      </c>
      <c r="J200" s="70">
        <v>18767641</v>
      </c>
      <c r="K200" s="70" t="s">
        <v>913</v>
      </c>
      <c r="L200" s="70" t="s">
        <v>916</v>
      </c>
      <c r="M200" s="69">
        <v>259900</v>
      </c>
      <c r="N200" s="36">
        <f t="shared" si="194"/>
        <v>0.75</v>
      </c>
      <c r="O200" s="35">
        <f t="shared" si="177"/>
        <v>64975</v>
      </c>
      <c r="P200" s="33" t="s">
        <v>16</v>
      </c>
    </row>
    <row r="201" spans="1:16" x14ac:dyDescent="0.35">
      <c r="A201" s="33" t="str">
        <f t="shared" ref="A201:C201" si="199">A200</f>
        <v>2024 JAN-DEC DISC 75%</v>
      </c>
      <c r="B201" s="34">
        <f t="shared" si="199"/>
        <v>46104</v>
      </c>
      <c r="C201" s="34">
        <f t="shared" si="199"/>
        <v>46113</v>
      </c>
      <c r="D201" s="33">
        <v>3281</v>
      </c>
      <c r="E201" s="33">
        <v>337</v>
      </c>
      <c r="F201" s="33">
        <v>4</v>
      </c>
      <c r="G201" s="55">
        <v>5</v>
      </c>
      <c r="H201" s="24">
        <v>81419</v>
      </c>
      <c r="I201" s="50" t="s">
        <v>17</v>
      </c>
      <c r="J201" s="70">
        <v>18767650</v>
      </c>
      <c r="K201" s="70" t="s">
        <v>913</v>
      </c>
      <c r="L201" s="70" t="s">
        <v>917</v>
      </c>
      <c r="M201" s="69">
        <v>259900</v>
      </c>
      <c r="N201" s="36">
        <f t="shared" si="194"/>
        <v>0.75</v>
      </c>
      <c r="O201" s="35">
        <f t="shared" si="177"/>
        <v>64975</v>
      </c>
      <c r="P201" s="33" t="s">
        <v>16</v>
      </c>
    </row>
    <row r="202" spans="1:16" x14ac:dyDescent="0.35">
      <c r="A202" s="33" t="str">
        <f t="shared" ref="A202:C202" si="200">A201</f>
        <v>2024 JAN-DEC DISC 75%</v>
      </c>
      <c r="B202" s="34">
        <f t="shared" si="200"/>
        <v>46104</v>
      </c>
      <c r="C202" s="34">
        <f t="shared" si="200"/>
        <v>46113</v>
      </c>
      <c r="D202" s="33">
        <v>3281</v>
      </c>
      <c r="E202" s="33">
        <v>337</v>
      </c>
      <c r="F202" s="33">
        <v>4</v>
      </c>
      <c r="G202" s="55">
        <v>5</v>
      </c>
      <c r="H202" s="24">
        <v>81146</v>
      </c>
      <c r="I202" s="50" t="s">
        <v>17</v>
      </c>
      <c r="J202" s="70">
        <v>18767525</v>
      </c>
      <c r="K202" s="70" t="s">
        <v>898</v>
      </c>
      <c r="L202" s="70" t="s">
        <v>899</v>
      </c>
      <c r="M202" s="69">
        <v>239900</v>
      </c>
      <c r="N202" s="36">
        <f t="shared" si="194"/>
        <v>0.75</v>
      </c>
      <c r="O202" s="35">
        <f t="shared" si="177"/>
        <v>59975</v>
      </c>
      <c r="P202" s="33" t="s">
        <v>16</v>
      </c>
    </row>
    <row r="203" spans="1:16" x14ac:dyDescent="0.35">
      <c r="A203" s="33" t="str">
        <f t="shared" ref="A203:C203" si="201">A202</f>
        <v>2024 JAN-DEC DISC 75%</v>
      </c>
      <c r="B203" s="34">
        <f t="shared" si="201"/>
        <v>46104</v>
      </c>
      <c r="C203" s="34">
        <f t="shared" si="201"/>
        <v>46113</v>
      </c>
      <c r="D203" s="33">
        <v>3281</v>
      </c>
      <c r="E203" s="33">
        <v>337</v>
      </c>
      <c r="F203" s="33">
        <v>4</v>
      </c>
      <c r="G203" s="55">
        <v>5</v>
      </c>
      <c r="H203" s="24">
        <v>81146</v>
      </c>
      <c r="I203" s="50" t="s">
        <v>17</v>
      </c>
      <c r="J203" s="70">
        <v>18767534</v>
      </c>
      <c r="K203" s="70" t="s">
        <v>898</v>
      </c>
      <c r="L203" s="70" t="s">
        <v>900</v>
      </c>
      <c r="M203" s="69">
        <v>239900</v>
      </c>
      <c r="N203" s="36">
        <f t="shared" si="194"/>
        <v>0.75</v>
      </c>
      <c r="O203" s="35">
        <f t="shared" si="177"/>
        <v>59975</v>
      </c>
      <c r="P203" s="33" t="s">
        <v>16</v>
      </c>
    </row>
    <row r="204" spans="1:16" x14ac:dyDescent="0.35">
      <c r="A204" s="33" t="str">
        <f t="shared" ref="A204:C204" si="202">A203</f>
        <v>2024 JAN-DEC DISC 75%</v>
      </c>
      <c r="B204" s="34">
        <f t="shared" si="202"/>
        <v>46104</v>
      </c>
      <c r="C204" s="34">
        <f t="shared" si="202"/>
        <v>46113</v>
      </c>
      <c r="D204" s="33">
        <v>3281</v>
      </c>
      <c r="E204" s="33">
        <v>337</v>
      </c>
      <c r="F204" s="33">
        <v>4</v>
      </c>
      <c r="G204" s="55">
        <v>5</v>
      </c>
      <c r="H204" s="24">
        <v>81146</v>
      </c>
      <c r="I204" s="50" t="s">
        <v>17</v>
      </c>
      <c r="J204" s="70">
        <v>18767552</v>
      </c>
      <c r="K204" s="70" t="s">
        <v>898</v>
      </c>
      <c r="L204" s="70" t="s">
        <v>901</v>
      </c>
      <c r="M204" s="69">
        <v>239900</v>
      </c>
      <c r="N204" s="36">
        <f t="shared" si="194"/>
        <v>0.75</v>
      </c>
      <c r="O204" s="35">
        <f t="shared" si="177"/>
        <v>59975</v>
      </c>
      <c r="P204" s="33" t="s">
        <v>16</v>
      </c>
    </row>
    <row r="205" spans="1:16" x14ac:dyDescent="0.35">
      <c r="A205" s="33" t="str">
        <f t="shared" ref="A205:C205" si="203">A204</f>
        <v>2024 JAN-DEC DISC 75%</v>
      </c>
      <c r="B205" s="34">
        <f t="shared" si="203"/>
        <v>46104</v>
      </c>
      <c r="C205" s="34">
        <f t="shared" si="203"/>
        <v>46113</v>
      </c>
      <c r="D205" s="33">
        <v>3281</v>
      </c>
      <c r="E205" s="33">
        <v>337</v>
      </c>
      <c r="F205" s="33">
        <v>4</v>
      </c>
      <c r="G205" s="55">
        <v>3</v>
      </c>
      <c r="H205" s="24">
        <v>81146</v>
      </c>
      <c r="I205" s="50" t="s">
        <v>17</v>
      </c>
      <c r="J205" s="70">
        <v>18767598</v>
      </c>
      <c r="K205" s="70" t="s">
        <v>898</v>
      </c>
      <c r="L205" s="70" t="s">
        <v>902</v>
      </c>
      <c r="M205" s="69">
        <v>239900</v>
      </c>
      <c r="N205" s="36">
        <f t="shared" si="194"/>
        <v>0.75</v>
      </c>
      <c r="O205" s="35">
        <f t="shared" si="177"/>
        <v>59975</v>
      </c>
      <c r="P205" s="33" t="s">
        <v>16</v>
      </c>
    </row>
    <row r="206" spans="1:16" x14ac:dyDescent="0.35">
      <c r="A206" s="33" t="str">
        <f t="shared" ref="A206:C206" si="204">A205</f>
        <v>2024 JAN-DEC DISC 75%</v>
      </c>
      <c r="B206" s="34">
        <f t="shared" si="204"/>
        <v>46104</v>
      </c>
      <c r="C206" s="34">
        <f t="shared" si="204"/>
        <v>46113</v>
      </c>
      <c r="D206" s="33">
        <v>3281</v>
      </c>
      <c r="E206" s="33">
        <v>337</v>
      </c>
      <c r="F206" s="33">
        <v>4</v>
      </c>
      <c r="G206" s="55">
        <v>3</v>
      </c>
      <c r="H206" s="24">
        <v>81146</v>
      </c>
      <c r="I206" s="50" t="s">
        <v>17</v>
      </c>
      <c r="J206" s="70">
        <v>18767669</v>
      </c>
      <c r="K206" s="70" t="s">
        <v>918</v>
      </c>
      <c r="L206" s="70" t="s">
        <v>919</v>
      </c>
      <c r="M206" s="69">
        <v>259900</v>
      </c>
      <c r="N206" s="36">
        <f t="shared" si="194"/>
        <v>0.75</v>
      </c>
      <c r="O206" s="35">
        <f t="shared" si="177"/>
        <v>64975</v>
      </c>
      <c r="P206" s="33" t="s">
        <v>16</v>
      </c>
    </row>
    <row r="207" spans="1:16" x14ac:dyDescent="0.35">
      <c r="A207" s="33" t="str">
        <f t="shared" ref="A207:C207" si="205">A206</f>
        <v>2024 JAN-DEC DISC 75%</v>
      </c>
      <c r="B207" s="34">
        <f t="shared" si="205"/>
        <v>46104</v>
      </c>
      <c r="C207" s="34">
        <f t="shared" si="205"/>
        <v>46113</v>
      </c>
      <c r="D207" s="33">
        <v>3281</v>
      </c>
      <c r="E207" s="33">
        <v>337</v>
      </c>
      <c r="F207" s="33">
        <v>4</v>
      </c>
      <c r="G207" s="55">
        <v>3</v>
      </c>
      <c r="H207" s="24">
        <v>81146</v>
      </c>
      <c r="I207" s="50" t="s">
        <v>17</v>
      </c>
      <c r="J207" s="70">
        <v>18767678</v>
      </c>
      <c r="K207" s="70" t="s">
        <v>918</v>
      </c>
      <c r="L207" s="70" t="s">
        <v>920</v>
      </c>
      <c r="M207" s="69">
        <v>259900</v>
      </c>
      <c r="N207" s="36">
        <f t="shared" si="194"/>
        <v>0.75</v>
      </c>
      <c r="O207" s="35">
        <f t="shared" si="177"/>
        <v>64975</v>
      </c>
      <c r="P207" s="33" t="s">
        <v>16</v>
      </c>
    </row>
    <row r="208" spans="1:16" x14ac:dyDescent="0.35">
      <c r="A208" s="33" t="str">
        <f t="shared" ref="A208:C208" si="206">A207</f>
        <v>2024 JAN-DEC DISC 75%</v>
      </c>
      <c r="B208" s="34">
        <f t="shared" si="206"/>
        <v>46104</v>
      </c>
      <c r="C208" s="34">
        <f t="shared" si="206"/>
        <v>46113</v>
      </c>
      <c r="D208" s="33">
        <v>3281</v>
      </c>
      <c r="E208" s="33">
        <v>337</v>
      </c>
      <c r="F208" s="33">
        <v>4</v>
      </c>
      <c r="G208" s="55">
        <v>3</v>
      </c>
      <c r="H208" s="24">
        <v>81146</v>
      </c>
      <c r="I208" s="50" t="s">
        <v>17</v>
      </c>
      <c r="J208" s="70">
        <v>18767687</v>
      </c>
      <c r="K208" s="70" t="s">
        <v>918</v>
      </c>
      <c r="L208" s="70" t="s">
        <v>921</v>
      </c>
      <c r="M208" s="69">
        <v>259900</v>
      </c>
      <c r="N208" s="36">
        <f t="shared" si="194"/>
        <v>0.75</v>
      </c>
      <c r="O208" s="35">
        <f t="shared" si="177"/>
        <v>64975</v>
      </c>
      <c r="P208" s="33" t="s">
        <v>16</v>
      </c>
    </row>
    <row r="209" spans="1:16" x14ac:dyDescent="0.35">
      <c r="A209" s="33" t="str">
        <f t="shared" ref="A209:C209" si="207">A208</f>
        <v>2024 JAN-DEC DISC 75%</v>
      </c>
      <c r="B209" s="34">
        <f t="shared" si="207"/>
        <v>46104</v>
      </c>
      <c r="C209" s="34">
        <f t="shared" si="207"/>
        <v>46113</v>
      </c>
      <c r="D209" s="33">
        <v>3281</v>
      </c>
      <c r="E209" s="33">
        <v>337</v>
      </c>
      <c r="F209" s="33">
        <v>4</v>
      </c>
      <c r="G209" s="55">
        <v>5</v>
      </c>
      <c r="H209" s="24">
        <v>81146</v>
      </c>
      <c r="I209" s="50" t="s">
        <v>17</v>
      </c>
      <c r="J209" s="70">
        <v>18767696</v>
      </c>
      <c r="K209" s="70" t="s">
        <v>918</v>
      </c>
      <c r="L209" s="70" t="s">
        <v>922</v>
      </c>
      <c r="M209" s="69">
        <v>259900</v>
      </c>
      <c r="N209" s="36">
        <f t="shared" si="194"/>
        <v>0.75</v>
      </c>
      <c r="O209" s="35">
        <f t="shared" si="177"/>
        <v>64975</v>
      </c>
      <c r="P209" s="33" t="s">
        <v>16</v>
      </c>
    </row>
    <row r="210" spans="1:16" x14ac:dyDescent="0.35">
      <c r="A210" s="33" t="str">
        <f t="shared" ref="A210:C210" si="208">A209</f>
        <v>2024 JAN-DEC DISC 75%</v>
      </c>
      <c r="B210" s="34">
        <f t="shared" si="208"/>
        <v>46104</v>
      </c>
      <c r="C210" s="34">
        <f t="shared" si="208"/>
        <v>46113</v>
      </c>
      <c r="D210" s="33">
        <v>3281</v>
      </c>
      <c r="E210" s="33">
        <v>337</v>
      </c>
      <c r="F210" s="33">
        <v>4</v>
      </c>
      <c r="G210" s="55">
        <v>5</v>
      </c>
      <c r="H210" s="24">
        <v>81676</v>
      </c>
      <c r="I210" s="50" t="s">
        <v>17</v>
      </c>
      <c r="J210" s="70">
        <v>19754877</v>
      </c>
      <c r="K210" s="70" t="s">
        <v>883</v>
      </c>
      <c r="L210" s="70" t="s">
        <v>884</v>
      </c>
      <c r="M210" s="69">
        <v>139900</v>
      </c>
      <c r="N210" s="36">
        <f t="shared" si="194"/>
        <v>0.75</v>
      </c>
      <c r="O210" s="35">
        <f t="shared" si="177"/>
        <v>34975</v>
      </c>
      <c r="P210" s="33" t="s">
        <v>16</v>
      </c>
    </row>
    <row r="211" spans="1:16" x14ac:dyDescent="0.35">
      <c r="A211" s="33" t="str">
        <f t="shared" ref="A211:C211" si="209">A210</f>
        <v>2024 JAN-DEC DISC 75%</v>
      </c>
      <c r="B211" s="34">
        <f t="shared" si="209"/>
        <v>46104</v>
      </c>
      <c r="C211" s="34">
        <f t="shared" si="209"/>
        <v>46113</v>
      </c>
      <c r="D211" s="33">
        <v>3281</v>
      </c>
      <c r="E211" s="33">
        <v>337</v>
      </c>
      <c r="F211" s="33">
        <v>4</v>
      </c>
      <c r="G211" s="55">
        <v>5</v>
      </c>
      <c r="H211" s="24">
        <v>81676</v>
      </c>
      <c r="I211" s="50" t="s">
        <v>17</v>
      </c>
      <c r="J211" s="70">
        <v>19754886</v>
      </c>
      <c r="K211" s="70" t="s">
        <v>883</v>
      </c>
      <c r="L211" s="70" t="s">
        <v>885</v>
      </c>
      <c r="M211" s="69">
        <v>139900</v>
      </c>
      <c r="N211" s="36">
        <f t="shared" si="194"/>
        <v>0.75</v>
      </c>
      <c r="O211" s="35">
        <f t="shared" si="177"/>
        <v>34975</v>
      </c>
      <c r="P211" s="33" t="s">
        <v>16</v>
      </c>
    </row>
    <row r="212" spans="1:16" x14ac:dyDescent="0.35">
      <c r="A212" s="33" t="str">
        <f t="shared" ref="A212:C212" si="210">A211</f>
        <v>2024 JAN-DEC DISC 75%</v>
      </c>
      <c r="B212" s="34">
        <f t="shared" si="210"/>
        <v>46104</v>
      </c>
      <c r="C212" s="34">
        <f t="shared" si="210"/>
        <v>46113</v>
      </c>
      <c r="D212" s="33">
        <v>3281</v>
      </c>
      <c r="E212" s="33">
        <v>337</v>
      </c>
      <c r="F212" s="33">
        <v>4</v>
      </c>
      <c r="G212" s="55">
        <v>5</v>
      </c>
      <c r="H212" s="24">
        <v>81676</v>
      </c>
      <c r="I212" s="50" t="s">
        <v>17</v>
      </c>
      <c r="J212" s="70">
        <v>19754895</v>
      </c>
      <c r="K212" s="70" t="s">
        <v>883</v>
      </c>
      <c r="L212" s="70" t="s">
        <v>886</v>
      </c>
      <c r="M212" s="69">
        <v>139900</v>
      </c>
      <c r="N212" s="36">
        <f t="shared" si="194"/>
        <v>0.75</v>
      </c>
      <c r="O212" s="35">
        <f t="shared" si="177"/>
        <v>34975</v>
      </c>
      <c r="P212" s="33" t="s">
        <v>16</v>
      </c>
    </row>
    <row r="213" spans="1:16" x14ac:dyDescent="0.35">
      <c r="A213" s="33" t="str">
        <f t="shared" ref="A213:C213" si="211">A212</f>
        <v>2024 JAN-DEC DISC 75%</v>
      </c>
      <c r="B213" s="34">
        <f t="shared" si="211"/>
        <v>46104</v>
      </c>
      <c r="C213" s="34">
        <f t="shared" si="211"/>
        <v>46113</v>
      </c>
      <c r="D213" s="33">
        <v>3281</v>
      </c>
      <c r="E213" s="33">
        <v>337</v>
      </c>
      <c r="F213" s="33">
        <v>4</v>
      </c>
      <c r="G213" s="55">
        <v>1</v>
      </c>
      <c r="H213" s="24">
        <v>81676</v>
      </c>
      <c r="I213" s="50" t="s">
        <v>17</v>
      </c>
      <c r="J213" s="70">
        <v>19754911</v>
      </c>
      <c r="K213" s="70" t="s">
        <v>883</v>
      </c>
      <c r="L213" s="70" t="s">
        <v>887</v>
      </c>
      <c r="M213" s="69">
        <v>139900</v>
      </c>
      <c r="N213" s="36">
        <f t="shared" si="194"/>
        <v>0.75</v>
      </c>
      <c r="O213" s="35">
        <f t="shared" si="177"/>
        <v>34975</v>
      </c>
      <c r="P213" s="33" t="s">
        <v>16</v>
      </c>
    </row>
    <row r="214" spans="1:16" x14ac:dyDescent="0.35">
      <c r="A214" s="33" t="str">
        <f t="shared" ref="A214:C214" si="212">A213</f>
        <v>2024 JAN-DEC DISC 75%</v>
      </c>
      <c r="B214" s="34">
        <f t="shared" si="212"/>
        <v>46104</v>
      </c>
      <c r="C214" s="34">
        <f t="shared" si="212"/>
        <v>46113</v>
      </c>
      <c r="D214" s="33">
        <v>3281</v>
      </c>
      <c r="E214" s="33">
        <v>337</v>
      </c>
      <c r="F214" s="33">
        <v>4</v>
      </c>
      <c r="G214" s="55">
        <v>1</v>
      </c>
      <c r="H214" s="24">
        <v>81676</v>
      </c>
      <c r="I214" s="50" t="s">
        <v>17</v>
      </c>
      <c r="J214" s="70">
        <v>20562223</v>
      </c>
      <c r="K214" s="70" t="s">
        <v>888</v>
      </c>
      <c r="L214" s="70" t="s">
        <v>889</v>
      </c>
      <c r="M214" s="69">
        <v>129900</v>
      </c>
      <c r="N214" s="36">
        <f t="shared" si="194"/>
        <v>0.75</v>
      </c>
      <c r="O214" s="35">
        <f t="shared" si="177"/>
        <v>32475</v>
      </c>
      <c r="P214" s="33" t="s">
        <v>16</v>
      </c>
    </row>
    <row r="215" spans="1:16" x14ac:dyDescent="0.35">
      <c r="A215" s="33" t="str">
        <f t="shared" ref="A215:C215" si="213">A214</f>
        <v>2024 JAN-DEC DISC 75%</v>
      </c>
      <c r="B215" s="34">
        <f t="shared" si="213"/>
        <v>46104</v>
      </c>
      <c r="C215" s="34">
        <f t="shared" si="213"/>
        <v>46113</v>
      </c>
      <c r="D215" s="33">
        <v>3281</v>
      </c>
      <c r="E215" s="33">
        <v>337</v>
      </c>
      <c r="F215" s="33">
        <v>4</v>
      </c>
      <c r="G215" s="55">
        <v>1</v>
      </c>
      <c r="H215" s="24">
        <v>81676</v>
      </c>
      <c r="I215" s="50" t="s">
        <v>17</v>
      </c>
      <c r="J215" s="70">
        <v>20562232</v>
      </c>
      <c r="K215" s="70" t="s">
        <v>888</v>
      </c>
      <c r="L215" s="70" t="s">
        <v>890</v>
      </c>
      <c r="M215" s="69">
        <v>129900</v>
      </c>
      <c r="N215" s="36">
        <f t="shared" si="194"/>
        <v>0.75</v>
      </c>
      <c r="O215" s="35">
        <f t="shared" si="177"/>
        <v>32475</v>
      </c>
      <c r="P215" s="33" t="s">
        <v>16</v>
      </c>
    </row>
    <row r="216" spans="1:16" x14ac:dyDescent="0.35">
      <c r="A216" s="33" t="str">
        <f t="shared" ref="A216:C216" si="214">A215</f>
        <v>2024 JAN-DEC DISC 75%</v>
      </c>
      <c r="B216" s="34">
        <f t="shared" si="214"/>
        <v>46104</v>
      </c>
      <c r="C216" s="34">
        <f t="shared" si="214"/>
        <v>46113</v>
      </c>
      <c r="D216" s="33">
        <v>3281</v>
      </c>
      <c r="E216" s="33">
        <v>337</v>
      </c>
      <c r="F216" s="33">
        <v>4</v>
      </c>
      <c r="G216" s="55">
        <v>1</v>
      </c>
      <c r="H216" s="24">
        <v>81676</v>
      </c>
      <c r="I216" s="50" t="s">
        <v>17</v>
      </c>
      <c r="J216" s="70">
        <v>20562269</v>
      </c>
      <c r="K216" s="70" t="s">
        <v>888</v>
      </c>
      <c r="L216" s="70" t="s">
        <v>891</v>
      </c>
      <c r="M216" s="69">
        <v>129900</v>
      </c>
      <c r="N216" s="36">
        <f t="shared" si="194"/>
        <v>0.75</v>
      </c>
      <c r="O216" s="35">
        <f t="shared" si="177"/>
        <v>32475</v>
      </c>
      <c r="P216" s="33" t="s">
        <v>16</v>
      </c>
    </row>
    <row r="217" spans="1:16" x14ac:dyDescent="0.35">
      <c r="A217" s="33" t="str">
        <f t="shared" ref="A217:C217" si="215">A216</f>
        <v>2024 JAN-DEC DISC 75%</v>
      </c>
      <c r="B217" s="34">
        <f t="shared" si="215"/>
        <v>46104</v>
      </c>
      <c r="C217" s="34">
        <f t="shared" si="215"/>
        <v>46113</v>
      </c>
      <c r="D217" s="33">
        <v>3281</v>
      </c>
      <c r="E217" s="33">
        <v>337</v>
      </c>
      <c r="F217" s="33">
        <v>4</v>
      </c>
      <c r="G217" s="55">
        <v>1</v>
      </c>
      <c r="H217" s="24">
        <v>81676</v>
      </c>
      <c r="I217" s="50" t="s">
        <v>17</v>
      </c>
      <c r="J217" s="70">
        <v>20562321</v>
      </c>
      <c r="K217" s="70" t="s">
        <v>888</v>
      </c>
      <c r="L217" s="70" t="s">
        <v>892</v>
      </c>
      <c r="M217" s="69">
        <v>129900</v>
      </c>
      <c r="N217" s="36">
        <f t="shared" si="194"/>
        <v>0.75</v>
      </c>
      <c r="O217" s="35">
        <f t="shared" si="177"/>
        <v>32475</v>
      </c>
      <c r="P217" s="33" t="s">
        <v>16</v>
      </c>
    </row>
    <row r="218" spans="1:16" x14ac:dyDescent="0.35">
      <c r="A218" s="33" t="str">
        <f t="shared" ref="A218:C218" si="216">A217</f>
        <v>2024 JAN-DEC DISC 75%</v>
      </c>
      <c r="B218" s="34">
        <f t="shared" si="216"/>
        <v>46104</v>
      </c>
      <c r="C218" s="34">
        <f t="shared" si="216"/>
        <v>46113</v>
      </c>
      <c r="D218" s="33">
        <v>3281</v>
      </c>
      <c r="E218" s="33">
        <v>337</v>
      </c>
      <c r="F218" s="33">
        <v>4</v>
      </c>
      <c r="G218" s="55">
        <v>1</v>
      </c>
      <c r="H218" s="24">
        <v>81506</v>
      </c>
      <c r="I218" s="50" t="s">
        <v>17</v>
      </c>
      <c r="J218" s="70">
        <v>21190392</v>
      </c>
      <c r="K218" s="70" t="s">
        <v>3315</v>
      </c>
      <c r="L218" s="70" t="s">
        <v>3316</v>
      </c>
      <c r="M218" s="69">
        <v>249900</v>
      </c>
      <c r="N218" s="36">
        <f t="shared" si="194"/>
        <v>0.75</v>
      </c>
      <c r="O218" s="35">
        <f t="shared" si="177"/>
        <v>62475</v>
      </c>
      <c r="P218" s="33" t="s">
        <v>16</v>
      </c>
    </row>
    <row r="219" spans="1:16" x14ac:dyDescent="0.35">
      <c r="A219" s="33" t="str">
        <f t="shared" ref="A219:C219" si="217">A218</f>
        <v>2024 JAN-DEC DISC 75%</v>
      </c>
      <c r="B219" s="34">
        <f t="shared" si="217"/>
        <v>46104</v>
      </c>
      <c r="C219" s="34">
        <f t="shared" si="217"/>
        <v>46113</v>
      </c>
      <c r="D219" s="33">
        <v>3281</v>
      </c>
      <c r="E219" s="33">
        <v>337</v>
      </c>
      <c r="F219" s="33">
        <v>4</v>
      </c>
      <c r="G219" s="55">
        <v>1</v>
      </c>
      <c r="H219" s="24">
        <v>81506</v>
      </c>
      <c r="I219" s="50" t="s">
        <v>17</v>
      </c>
      <c r="J219" s="70">
        <v>21190409</v>
      </c>
      <c r="K219" s="70" t="s">
        <v>3315</v>
      </c>
      <c r="L219" s="70" t="s">
        <v>3317</v>
      </c>
      <c r="M219" s="69">
        <v>249900</v>
      </c>
      <c r="N219" s="36">
        <f t="shared" si="194"/>
        <v>0.75</v>
      </c>
      <c r="O219" s="35">
        <f t="shared" si="177"/>
        <v>62475</v>
      </c>
      <c r="P219" s="33" t="s">
        <v>16</v>
      </c>
    </row>
    <row r="220" spans="1:16" x14ac:dyDescent="0.35">
      <c r="A220" s="33" t="str">
        <f t="shared" ref="A220:C220" si="218">A219</f>
        <v>2024 JAN-DEC DISC 75%</v>
      </c>
      <c r="B220" s="34">
        <f t="shared" si="218"/>
        <v>46104</v>
      </c>
      <c r="C220" s="34">
        <f t="shared" si="218"/>
        <v>46113</v>
      </c>
      <c r="D220" s="33">
        <v>3281</v>
      </c>
      <c r="E220" s="33">
        <v>337</v>
      </c>
      <c r="F220" s="33">
        <v>4</v>
      </c>
      <c r="G220" s="55">
        <v>1</v>
      </c>
      <c r="H220" s="24">
        <v>81506</v>
      </c>
      <c r="I220" s="50" t="s">
        <v>17</v>
      </c>
      <c r="J220" s="70">
        <v>21190418</v>
      </c>
      <c r="K220" s="70" t="s">
        <v>3315</v>
      </c>
      <c r="L220" s="70" t="s">
        <v>3318</v>
      </c>
      <c r="M220" s="69">
        <v>249900</v>
      </c>
      <c r="N220" s="36">
        <f t="shared" si="194"/>
        <v>0.75</v>
      </c>
      <c r="O220" s="35">
        <f t="shared" si="177"/>
        <v>62475</v>
      </c>
      <c r="P220" s="33" t="s">
        <v>16</v>
      </c>
    </row>
    <row r="221" spans="1:16" x14ac:dyDescent="0.35">
      <c r="A221" s="33" t="str">
        <f t="shared" ref="A221:C221" si="219">A220</f>
        <v>2024 JAN-DEC DISC 75%</v>
      </c>
      <c r="B221" s="34">
        <f t="shared" si="219"/>
        <v>46104</v>
      </c>
      <c r="C221" s="34">
        <f t="shared" si="219"/>
        <v>46113</v>
      </c>
      <c r="D221" s="33">
        <v>3281</v>
      </c>
      <c r="E221" s="33">
        <v>337</v>
      </c>
      <c r="F221" s="33">
        <v>4</v>
      </c>
      <c r="G221" s="55">
        <v>5</v>
      </c>
      <c r="H221" s="24">
        <v>81506</v>
      </c>
      <c r="I221" s="50" t="s">
        <v>17</v>
      </c>
      <c r="J221" s="70">
        <v>21190427</v>
      </c>
      <c r="K221" s="70" t="s">
        <v>3315</v>
      </c>
      <c r="L221" s="70" t="s">
        <v>3319</v>
      </c>
      <c r="M221" s="69">
        <v>249900</v>
      </c>
      <c r="N221" s="36">
        <f t="shared" si="194"/>
        <v>0.75</v>
      </c>
      <c r="O221" s="35">
        <f t="shared" si="177"/>
        <v>62475</v>
      </c>
      <c r="P221" s="33" t="s">
        <v>16</v>
      </c>
    </row>
    <row r="222" spans="1:16" x14ac:dyDescent="0.35">
      <c r="A222" s="33" t="str">
        <f t="shared" ref="A222:C222" si="220">A221</f>
        <v>2024 JAN-DEC DISC 75%</v>
      </c>
      <c r="B222" s="34">
        <f t="shared" si="220"/>
        <v>46104</v>
      </c>
      <c r="C222" s="34">
        <f t="shared" si="220"/>
        <v>46113</v>
      </c>
      <c r="D222" s="33">
        <v>3281</v>
      </c>
      <c r="E222" s="33">
        <v>337</v>
      </c>
      <c r="F222" s="33">
        <v>4</v>
      </c>
      <c r="G222" s="55">
        <v>5</v>
      </c>
      <c r="H222" s="24">
        <v>81506</v>
      </c>
      <c r="I222" s="50" t="s">
        <v>17</v>
      </c>
      <c r="J222" s="70">
        <v>20562330</v>
      </c>
      <c r="K222" s="70" t="s">
        <v>3320</v>
      </c>
      <c r="L222" s="70" t="s">
        <v>3321</v>
      </c>
      <c r="M222" s="69">
        <v>269900</v>
      </c>
      <c r="N222" s="36">
        <f t="shared" si="194"/>
        <v>0.75</v>
      </c>
      <c r="O222" s="35">
        <f t="shared" si="177"/>
        <v>67475</v>
      </c>
      <c r="P222" s="33" t="s">
        <v>16</v>
      </c>
    </row>
    <row r="223" spans="1:16" x14ac:dyDescent="0.35">
      <c r="A223" s="33" t="str">
        <f t="shared" ref="A223:C223" si="221">A222</f>
        <v>2024 JAN-DEC DISC 75%</v>
      </c>
      <c r="B223" s="34">
        <f t="shared" si="221"/>
        <v>46104</v>
      </c>
      <c r="C223" s="34">
        <f t="shared" si="221"/>
        <v>46113</v>
      </c>
      <c r="D223" s="33">
        <v>3281</v>
      </c>
      <c r="E223" s="33">
        <v>337</v>
      </c>
      <c r="F223" s="33">
        <v>4</v>
      </c>
      <c r="G223" s="55">
        <v>5</v>
      </c>
      <c r="H223" s="24">
        <v>81506</v>
      </c>
      <c r="I223" s="50" t="s">
        <v>17</v>
      </c>
      <c r="J223" s="70">
        <v>20562349</v>
      </c>
      <c r="K223" s="70" t="s">
        <v>3320</v>
      </c>
      <c r="L223" s="70" t="s">
        <v>3322</v>
      </c>
      <c r="M223" s="69">
        <v>269900</v>
      </c>
      <c r="N223" s="36">
        <f t="shared" si="194"/>
        <v>0.75</v>
      </c>
      <c r="O223" s="35">
        <f t="shared" si="177"/>
        <v>67475</v>
      </c>
      <c r="P223" s="33" t="s">
        <v>16</v>
      </c>
    </row>
    <row r="224" spans="1:16" x14ac:dyDescent="0.35">
      <c r="A224" s="33" t="str">
        <f t="shared" ref="A224:C224" si="222">A223</f>
        <v>2024 JAN-DEC DISC 75%</v>
      </c>
      <c r="B224" s="34">
        <f t="shared" si="222"/>
        <v>46104</v>
      </c>
      <c r="C224" s="34">
        <f t="shared" si="222"/>
        <v>46113</v>
      </c>
      <c r="D224" s="33">
        <v>3281</v>
      </c>
      <c r="E224" s="33">
        <v>337</v>
      </c>
      <c r="F224" s="33">
        <v>4</v>
      </c>
      <c r="G224" s="55">
        <v>5</v>
      </c>
      <c r="H224" s="24">
        <v>81506</v>
      </c>
      <c r="I224" s="50" t="s">
        <v>17</v>
      </c>
      <c r="J224" s="70">
        <v>20562358</v>
      </c>
      <c r="K224" s="70" t="s">
        <v>3320</v>
      </c>
      <c r="L224" s="70" t="s">
        <v>3323</v>
      </c>
      <c r="M224" s="69">
        <v>269900</v>
      </c>
      <c r="N224" s="36">
        <f t="shared" si="194"/>
        <v>0.75</v>
      </c>
      <c r="O224" s="35">
        <f t="shared" si="177"/>
        <v>67475</v>
      </c>
      <c r="P224" s="33" t="s">
        <v>16</v>
      </c>
    </row>
    <row r="225" spans="1:16" x14ac:dyDescent="0.35">
      <c r="A225" s="33" t="str">
        <f t="shared" ref="A225:C225" si="223">A224</f>
        <v>2024 JAN-DEC DISC 75%</v>
      </c>
      <c r="B225" s="34">
        <f t="shared" si="223"/>
        <v>46104</v>
      </c>
      <c r="C225" s="34">
        <f t="shared" si="223"/>
        <v>46113</v>
      </c>
      <c r="D225" s="33">
        <v>3281</v>
      </c>
      <c r="E225" s="33">
        <v>337</v>
      </c>
      <c r="F225" s="33">
        <v>4</v>
      </c>
      <c r="G225" s="55">
        <v>5</v>
      </c>
      <c r="H225" s="24">
        <v>81506</v>
      </c>
      <c r="I225" s="50" t="s">
        <v>17</v>
      </c>
      <c r="J225" s="70">
        <v>20562367</v>
      </c>
      <c r="K225" s="70" t="s">
        <v>3320</v>
      </c>
      <c r="L225" s="70" t="s">
        <v>3324</v>
      </c>
      <c r="M225" s="69">
        <v>269900</v>
      </c>
      <c r="N225" s="36">
        <f t="shared" si="194"/>
        <v>0.75</v>
      </c>
      <c r="O225" s="35">
        <f t="shared" si="177"/>
        <v>67475</v>
      </c>
      <c r="P225" s="33" t="s">
        <v>16</v>
      </c>
    </row>
    <row r="226" spans="1:16" x14ac:dyDescent="0.35">
      <c r="A226" s="33" t="str">
        <f t="shared" ref="A226:C226" si="224">A225</f>
        <v>2024 JAN-DEC DISC 75%</v>
      </c>
      <c r="B226" s="34">
        <f t="shared" si="224"/>
        <v>46104</v>
      </c>
      <c r="C226" s="34">
        <f t="shared" si="224"/>
        <v>46113</v>
      </c>
      <c r="D226" s="33">
        <v>3281</v>
      </c>
      <c r="E226" s="33">
        <v>337</v>
      </c>
      <c r="F226" s="33">
        <v>4</v>
      </c>
      <c r="G226" s="55">
        <v>5</v>
      </c>
      <c r="H226" s="24">
        <v>81676</v>
      </c>
      <c r="I226" s="50" t="s">
        <v>17</v>
      </c>
      <c r="J226" s="70">
        <v>20806013</v>
      </c>
      <c r="K226" s="70" t="s">
        <v>3325</v>
      </c>
      <c r="L226" s="70" t="s">
        <v>3326</v>
      </c>
      <c r="M226" s="69">
        <v>129900</v>
      </c>
      <c r="N226" s="36">
        <f t="shared" si="194"/>
        <v>0.75</v>
      </c>
      <c r="O226" s="35">
        <f t="shared" si="177"/>
        <v>32475</v>
      </c>
      <c r="P226" s="33" t="s">
        <v>16</v>
      </c>
    </row>
    <row r="227" spans="1:16" x14ac:dyDescent="0.35">
      <c r="A227" s="33" t="str">
        <f t="shared" ref="A227:C227" si="225">A226</f>
        <v>2024 JAN-DEC DISC 75%</v>
      </c>
      <c r="B227" s="34">
        <f t="shared" si="225"/>
        <v>46104</v>
      </c>
      <c r="C227" s="34">
        <f t="shared" si="225"/>
        <v>46113</v>
      </c>
      <c r="D227" s="33">
        <v>3281</v>
      </c>
      <c r="E227" s="33">
        <v>337</v>
      </c>
      <c r="F227" s="33">
        <v>4</v>
      </c>
      <c r="G227" s="55">
        <v>5</v>
      </c>
      <c r="H227" s="24">
        <v>81676</v>
      </c>
      <c r="I227" s="50" t="s">
        <v>17</v>
      </c>
      <c r="J227" s="70">
        <v>20806166</v>
      </c>
      <c r="K227" s="70" t="s">
        <v>3325</v>
      </c>
      <c r="L227" s="70" t="s">
        <v>3327</v>
      </c>
      <c r="M227" s="69">
        <v>129900</v>
      </c>
      <c r="N227" s="36">
        <f t="shared" si="194"/>
        <v>0.75</v>
      </c>
      <c r="O227" s="35">
        <f t="shared" si="177"/>
        <v>32475</v>
      </c>
      <c r="P227" s="33" t="s">
        <v>16</v>
      </c>
    </row>
    <row r="228" spans="1:16" x14ac:dyDescent="0.35">
      <c r="A228" s="33" t="str">
        <f t="shared" ref="A228:C228" si="226">A227</f>
        <v>2024 JAN-DEC DISC 75%</v>
      </c>
      <c r="B228" s="34">
        <f t="shared" si="226"/>
        <v>46104</v>
      </c>
      <c r="C228" s="34">
        <f t="shared" si="226"/>
        <v>46113</v>
      </c>
      <c r="D228" s="33">
        <v>3281</v>
      </c>
      <c r="E228" s="33">
        <v>337</v>
      </c>
      <c r="F228" s="33">
        <v>4</v>
      </c>
      <c r="G228" s="55">
        <v>5</v>
      </c>
      <c r="H228" s="24">
        <v>81676</v>
      </c>
      <c r="I228" s="50" t="s">
        <v>17</v>
      </c>
      <c r="J228" s="70">
        <v>20806175</v>
      </c>
      <c r="K228" s="70" t="s">
        <v>3325</v>
      </c>
      <c r="L228" s="70" t="s">
        <v>3328</v>
      </c>
      <c r="M228" s="69">
        <v>129900</v>
      </c>
      <c r="N228" s="36">
        <f t="shared" si="194"/>
        <v>0.75</v>
      </c>
      <c r="O228" s="35">
        <f t="shared" si="177"/>
        <v>32475</v>
      </c>
      <c r="P228" s="33" t="s">
        <v>16</v>
      </c>
    </row>
    <row r="229" spans="1:16" x14ac:dyDescent="0.35">
      <c r="A229" s="33" t="str">
        <f t="shared" ref="A229:C229" si="227">A228</f>
        <v>2024 JAN-DEC DISC 75%</v>
      </c>
      <c r="B229" s="34">
        <f t="shared" si="227"/>
        <v>46104</v>
      </c>
      <c r="C229" s="34">
        <f t="shared" si="227"/>
        <v>46113</v>
      </c>
      <c r="D229" s="33">
        <v>3281</v>
      </c>
      <c r="E229" s="33">
        <v>337</v>
      </c>
      <c r="F229" s="33">
        <v>4</v>
      </c>
      <c r="G229" s="55">
        <v>1</v>
      </c>
      <c r="H229" s="24">
        <v>81676</v>
      </c>
      <c r="I229" s="50" t="s">
        <v>17</v>
      </c>
      <c r="J229" s="70">
        <v>20806184</v>
      </c>
      <c r="K229" s="70" t="s">
        <v>3325</v>
      </c>
      <c r="L229" s="70" t="s">
        <v>3329</v>
      </c>
      <c r="M229" s="69">
        <v>129900</v>
      </c>
      <c r="N229" s="36">
        <f t="shared" si="194"/>
        <v>0.75</v>
      </c>
      <c r="O229" s="35">
        <f t="shared" si="177"/>
        <v>32475</v>
      </c>
      <c r="P229" s="33" t="s">
        <v>16</v>
      </c>
    </row>
    <row r="230" spans="1:16" x14ac:dyDescent="0.35">
      <c r="A230" s="33" t="str">
        <f t="shared" ref="A230:C230" si="228">A229</f>
        <v>2024 JAN-DEC DISC 75%</v>
      </c>
      <c r="B230" s="34">
        <f t="shared" si="228"/>
        <v>46104</v>
      </c>
      <c r="C230" s="34">
        <f t="shared" si="228"/>
        <v>46113</v>
      </c>
      <c r="D230" s="33">
        <v>3281</v>
      </c>
      <c r="E230" s="33">
        <v>337</v>
      </c>
      <c r="F230" s="33">
        <v>4</v>
      </c>
      <c r="G230" s="55">
        <v>1</v>
      </c>
      <c r="H230" s="24">
        <v>81676</v>
      </c>
      <c r="I230" s="50" t="s">
        <v>17</v>
      </c>
      <c r="J230" s="70">
        <v>20805907</v>
      </c>
      <c r="K230" s="70" t="s">
        <v>3330</v>
      </c>
      <c r="L230" s="70" t="s">
        <v>3331</v>
      </c>
      <c r="M230" s="69">
        <v>129900</v>
      </c>
      <c r="N230" s="36">
        <f t="shared" si="194"/>
        <v>0.75</v>
      </c>
      <c r="O230" s="35">
        <f t="shared" si="177"/>
        <v>32475</v>
      </c>
      <c r="P230" s="33" t="s">
        <v>16</v>
      </c>
    </row>
    <row r="231" spans="1:16" x14ac:dyDescent="0.35">
      <c r="A231" s="33" t="str">
        <f t="shared" ref="A231:C231" si="229">A230</f>
        <v>2024 JAN-DEC DISC 75%</v>
      </c>
      <c r="B231" s="34">
        <f t="shared" si="229"/>
        <v>46104</v>
      </c>
      <c r="C231" s="34">
        <f t="shared" si="229"/>
        <v>46113</v>
      </c>
      <c r="D231" s="33">
        <v>3281</v>
      </c>
      <c r="E231" s="33">
        <v>337</v>
      </c>
      <c r="F231" s="33">
        <v>4</v>
      </c>
      <c r="G231" s="55">
        <v>1</v>
      </c>
      <c r="H231" s="24">
        <v>81676</v>
      </c>
      <c r="I231" s="50" t="s">
        <v>17</v>
      </c>
      <c r="J231" s="70">
        <v>20805943</v>
      </c>
      <c r="K231" s="70" t="s">
        <v>3330</v>
      </c>
      <c r="L231" s="70" t="s">
        <v>3332</v>
      </c>
      <c r="M231" s="69">
        <v>129900</v>
      </c>
      <c r="N231" s="36">
        <f t="shared" si="194"/>
        <v>0.75</v>
      </c>
      <c r="O231" s="35">
        <f t="shared" si="177"/>
        <v>32475</v>
      </c>
      <c r="P231" s="33" t="s">
        <v>16</v>
      </c>
    </row>
    <row r="232" spans="1:16" x14ac:dyDescent="0.35">
      <c r="A232" s="33" t="str">
        <f t="shared" ref="A232:C232" si="230">A231</f>
        <v>2024 JAN-DEC DISC 75%</v>
      </c>
      <c r="B232" s="34">
        <f t="shared" si="230"/>
        <v>46104</v>
      </c>
      <c r="C232" s="34">
        <f t="shared" si="230"/>
        <v>46113</v>
      </c>
      <c r="D232" s="33">
        <v>3281</v>
      </c>
      <c r="E232" s="33">
        <v>337</v>
      </c>
      <c r="F232" s="33">
        <v>4</v>
      </c>
      <c r="G232" s="55">
        <v>1</v>
      </c>
      <c r="H232" s="24">
        <v>81676</v>
      </c>
      <c r="I232" s="50" t="s">
        <v>17</v>
      </c>
      <c r="J232" s="70">
        <v>20805952</v>
      </c>
      <c r="K232" s="70" t="s">
        <v>3330</v>
      </c>
      <c r="L232" s="70" t="s">
        <v>3333</v>
      </c>
      <c r="M232" s="69">
        <v>129900</v>
      </c>
      <c r="N232" s="36">
        <f t="shared" si="194"/>
        <v>0.75</v>
      </c>
      <c r="O232" s="35">
        <f t="shared" si="177"/>
        <v>32475</v>
      </c>
      <c r="P232" s="33" t="s">
        <v>16</v>
      </c>
    </row>
    <row r="233" spans="1:16" x14ac:dyDescent="0.35">
      <c r="A233" s="33" t="str">
        <f t="shared" ref="A233:C233" si="231">A232</f>
        <v>2024 JAN-DEC DISC 75%</v>
      </c>
      <c r="B233" s="34">
        <f t="shared" si="231"/>
        <v>46104</v>
      </c>
      <c r="C233" s="34">
        <f t="shared" si="231"/>
        <v>46113</v>
      </c>
      <c r="D233" s="33">
        <v>3281</v>
      </c>
      <c r="E233" s="33">
        <v>337</v>
      </c>
      <c r="F233" s="33">
        <v>4</v>
      </c>
      <c r="G233" s="55">
        <v>1</v>
      </c>
      <c r="H233" s="24">
        <v>81676</v>
      </c>
      <c r="I233" s="50" t="s">
        <v>17</v>
      </c>
      <c r="J233" s="70">
        <v>20806004</v>
      </c>
      <c r="K233" s="70" t="s">
        <v>3330</v>
      </c>
      <c r="L233" s="70" t="s">
        <v>3334</v>
      </c>
      <c r="M233" s="69">
        <v>129900</v>
      </c>
      <c r="N233" s="36">
        <f t="shared" si="194"/>
        <v>0.75</v>
      </c>
      <c r="O233" s="35">
        <f t="shared" si="177"/>
        <v>32475</v>
      </c>
      <c r="P233" s="33" t="s">
        <v>16</v>
      </c>
    </row>
    <row r="234" spans="1:16" x14ac:dyDescent="0.35">
      <c r="A234" s="33" t="str">
        <f t="shared" ref="A234:C234" si="232">A233</f>
        <v>2024 JAN-DEC DISC 75%</v>
      </c>
      <c r="B234" s="34">
        <f t="shared" si="232"/>
        <v>46104</v>
      </c>
      <c r="C234" s="34">
        <f t="shared" si="232"/>
        <v>46113</v>
      </c>
      <c r="D234" s="33">
        <v>3281</v>
      </c>
      <c r="E234" s="33">
        <v>337</v>
      </c>
      <c r="F234" s="33">
        <v>4</v>
      </c>
      <c r="G234" s="55">
        <v>1</v>
      </c>
      <c r="H234" s="24">
        <v>81421</v>
      </c>
      <c r="I234" s="50" t="s">
        <v>17</v>
      </c>
      <c r="J234" s="70">
        <v>19755072</v>
      </c>
      <c r="K234" s="70" t="s">
        <v>1159</v>
      </c>
      <c r="L234" s="70" t="s">
        <v>1160</v>
      </c>
      <c r="M234" s="69">
        <v>259900</v>
      </c>
      <c r="N234" s="36">
        <f t="shared" si="194"/>
        <v>0.75</v>
      </c>
      <c r="O234" s="35">
        <f t="shared" si="177"/>
        <v>64975</v>
      </c>
      <c r="P234" s="33" t="s">
        <v>16</v>
      </c>
    </row>
    <row r="235" spans="1:16" x14ac:dyDescent="0.35">
      <c r="A235" s="33" t="str">
        <f t="shared" ref="A235:C235" si="233">A234</f>
        <v>2024 JAN-DEC DISC 75%</v>
      </c>
      <c r="B235" s="34">
        <f t="shared" si="233"/>
        <v>46104</v>
      </c>
      <c r="C235" s="34">
        <f t="shared" si="233"/>
        <v>46113</v>
      </c>
      <c r="D235" s="33">
        <v>3281</v>
      </c>
      <c r="E235" s="33">
        <v>337</v>
      </c>
      <c r="F235" s="33">
        <v>4</v>
      </c>
      <c r="G235" s="55">
        <v>1</v>
      </c>
      <c r="H235" s="24">
        <v>81421</v>
      </c>
      <c r="I235" s="50" t="s">
        <v>17</v>
      </c>
      <c r="J235" s="70">
        <v>19755081</v>
      </c>
      <c r="K235" s="70" t="s">
        <v>1159</v>
      </c>
      <c r="L235" s="70" t="s">
        <v>1161</v>
      </c>
      <c r="M235" s="69">
        <v>259900</v>
      </c>
      <c r="N235" s="36">
        <f t="shared" si="194"/>
        <v>0.75</v>
      </c>
      <c r="O235" s="35">
        <f t="shared" si="177"/>
        <v>64975</v>
      </c>
      <c r="P235" s="33" t="s">
        <v>16</v>
      </c>
    </row>
    <row r="236" spans="1:16" x14ac:dyDescent="0.35">
      <c r="A236" s="33" t="str">
        <f t="shared" ref="A236:C236" si="234">A235</f>
        <v>2024 JAN-DEC DISC 75%</v>
      </c>
      <c r="B236" s="34">
        <f t="shared" si="234"/>
        <v>46104</v>
      </c>
      <c r="C236" s="34">
        <f t="shared" si="234"/>
        <v>46113</v>
      </c>
      <c r="D236" s="33">
        <v>3281</v>
      </c>
      <c r="E236" s="33">
        <v>337</v>
      </c>
      <c r="F236" s="33">
        <v>4</v>
      </c>
      <c r="G236" s="55">
        <v>1</v>
      </c>
      <c r="H236" s="24">
        <v>81421</v>
      </c>
      <c r="I236" s="50" t="s">
        <v>17</v>
      </c>
      <c r="J236" s="70">
        <v>19755090</v>
      </c>
      <c r="K236" s="70" t="s">
        <v>1159</v>
      </c>
      <c r="L236" s="70" t="s">
        <v>1162</v>
      </c>
      <c r="M236" s="69">
        <v>259900</v>
      </c>
      <c r="N236" s="36">
        <f t="shared" si="194"/>
        <v>0.75</v>
      </c>
      <c r="O236" s="35">
        <f t="shared" si="177"/>
        <v>64975</v>
      </c>
      <c r="P236" s="33" t="s">
        <v>16</v>
      </c>
    </row>
    <row r="237" spans="1:16" x14ac:dyDescent="0.35">
      <c r="A237" s="33" t="str">
        <f t="shared" ref="A237:C237" si="235">A236</f>
        <v>2024 JAN-DEC DISC 75%</v>
      </c>
      <c r="B237" s="34">
        <f t="shared" si="235"/>
        <v>46104</v>
      </c>
      <c r="C237" s="34">
        <f t="shared" si="235"/>
        <v>46113</v>
      </c>
      <c r="D237" s="33">
        <v>3281</v>
      </c>
      <c r="E237" s="33">
        <v>337</v>
      </c>
      <c r="F237" s="33">
        <v>4</v>
      </c>
      <c r="G237" s="55">
        <v>5</v>
      </c>
      <c r="H237" s="24">
        <v>81421</v>
      </c>
      <c r="I237" s="50" t="s">
        <v>17</v>
      </c>
      <c r="J237" s="70">
        <v>19755107</v>
      </c>
      <c r="K237" s="70" t="s">
        <v>1159</v>
      </c>
      <c r="L237" s="70" t="s">
        <v>1163</v>
      </c>
      <c r="M237" s="69">
        <v>259900</v>
      </c>
      <c r="N237" s="36">
        <f t="shared" si="194"/>
        <v>0.75</v>
      </c>
      <c r="O237" s="35">
        <f t="shared" si="177"/>
        <v>64975</v>
      </c>
      <c r="P237" s="33" t="s">
        <v>16</v>
      </c>
    </row>
    <row r="238" spans="1:16" x14ac:dyDescent="0.35">
      <c r="A238" s="33" t="str">
        <f t="shared" ref="A238:C238" si="236">A237</f>
        <v>2024 JAN-DEC DISC 75%</v>
      </c>
      <c r="B238" s="34">
        <f t="shared" si="236"/>
        <v>46104</v>
      </c>
      <c r="C238" s="34">
        <f t="shared" si="236"/>
        <v>46113</v>
      </c>
      <c r="D238" s="33">
        <v>3281</v>
      </c>
      <c r="E238" s="33">
        <v>337</v>
      </c>
      <c r="F238" s="33">
        <v>4</v>
      </c>
      <c r="G238" s="55">
        <v>5</v>
      </c>
      <c r="H238" s="24">
        <v>81421</v>
      </c>
      <c r="I238" s="50" t="s">
        <v>17</v>
      </c>
      <c r="J238" s="70">
        <v>19755036</v>
      </c>
      <c r="K238" s="70" t="s">
        <v>1164</v>
      </c>
      <c r="L238" s="70" t="s">
        <v>1165</v>
      </c>
      <c r="M238" s="69">
        <v>259900</v>
      </c>
      <c r="N238" s="36">
        <f t="shared" si="194"/>
        <v>0.75</v>
      </c>
      <c r="O238" s="35">
        <f t="shared" si="177"/>
        <v>64975</v>
      </c>
      <c r="P238" s="33" t="s">
        <v>16</v>
      </c>
    </row>
    <row r="239" spans="1:16" x14ac:dyDescent="0.35">
      <c r="A239" s="33" t="str">
        <f t="shared" ref="A239:C239" si="237">A238</f>
        <v>2024 JAN-DEC DISC 75%</v>
      </c>
      <c r="B239" s="34">
        <f t="shared" si="237"/>
        <v>46104</v>
      </c>
      <c r="C239" s="34">
        <f t="shared" si="237"/>
        <v>46113</v>
      </c>
      <c r="D239" s="33">
        <v>3281</v>
      </c>
      <c r="E239" s="33">
        <v>337</v>
      </c>
      <c r="F239" s="33">
        <v>4</v>
      </c>
      <c r="G239" s="55">
        <v>5</v>
      </c>
      <c r="H239" s="24">
        <v>81421</v>
      </c>
      <c r="I239" s="50" t="s">
        <v>17</v>
      </c>
      <c r="J239" s="70">
        <v>19755045</v>
      </c>
      <c r="K239" s="70" t="s">
        <v>1164</v>
      </c>
      <c r="L239" s="70" t="s">
        <v>1166</v>
      </c>
      <c r="M239" s="69">
        <v>259900</v>
      </c>
      <c r="N239" s="36">
        <f t="shared" si="194"/>
        <v>0.75</v>
      </c>
      <c r="O239" s="35">
        <f t="shared" si="177"/>
        <v>64975</v>
      </c>
      <c r="P239" s="33" t="s">
        <v>16</v>
      </c>
    </row>
    <row r="240" spans="1:16" x14ac:dyDescent="0.35">
      <c r="A240" s="33" t="str">
        <f t="shared" ref="A240:C240" si="238">A239</f>
        <v>2024 JAN-DEC DISC 75%</v>
      </c>
      <c r="B240" s="34">
        <f t="shared" si="238"/>
        <v>46104</v>
      </c>
      <c r="C240" s="34">
        <f t="shared" si="238"/>
        <v>46113</v>
      </c>
      <c r="D240" s="33">
        <v>3281</v>
      </c>
      <c r="E240" s="33">
        <v>337</v>
      </c>
      <c r="F240" s="33">
        <v>4</v>
      </c>
      <c r="G240" s="55">
        <v>5</v>
      </c>
      <c r="H240" s="24">
        <v>81421</v>
      </c>
      <c r="I240" s="50" t="s">
        <v>17</v>
      </c>
      <c r="J240" s="70">
        <v>19755054</v>
      </c>
      <c r="K240" s="70" t="s">
        <v>1164</v>
      </c>
      <c r="L240" s="70" t="s">
        <v>1167</v>
      </c>
      <c r="M240" s="69">
        <v>259900</v>
      </c>
      <c r="N240" s="36">
        <f t="shared" si="194"/>
        <v>0.75</v>
      </c>
      <c r="O240" s="35">
        <f t="shared" si="177"/>
        <v>64975</v>
      </c>
      <c r="P240" s="33" t="s">
        <v>16</v>
      </c>
    </row>
    <row r="241" spans="1:16" x14ac:dyDescent="0.35">
      <c r="A241" s="33" t="str">
        <f t="shared" ref="A241:C241" si="239">A240</f>
        <v>2024 JAN-DEC DISC 75%</v>
      </c>
      <c r="B241" s="34">
        <f t="shared" si="239"/>
        <v>46104</v>
      </c>
      <c r="C241" s="34">
        <f t="shared" si="239"/>
        <v>46113</v>
      </c>
      <c r="D241" s="33">
        <v>3281</v>
      </c>
      <c r="E241" s="33">
        <v>337</v>
      </c>
      <c r="F241" s="33">
        <v>4</v>
      </c>
      <c r="G241" s="55">
        <v>5</v>
      </c>
      <c r="H241" s="24">
        <v>81421</v>
      </c>
      <c r="I241" s="50" t="s">
        <v>17</v>
      </c>
      <c r="J241" s="70">
        <v>19755063</v>
      </c>
      <c r="K241" s="70" t="s">
        <v>1164</v>
      </c>
      <c r="L241" s="70" t="s">
        <v>1168</v>
      </c>
      <c r="M241" s="69">
        <v>259900</v>
      </c>
      <c r="N241" s="36">
        <f t="shared" si="194"/>
        <v>0.75</v>
      </c>
      <c r="O241" s="35">
        <f t="shared" si="177"/>
        <v>64975</v>
      </c>
      <c r="P241" s="33" t="s">
        <v>16</v>
      </c>
    </row>
    <row r="242" spans="1:16" x14ac:dyDescent="0.35">
      <c r="A242" s="33" t="str">
        <f t="shared" ref="A242:C242" si="240">A241</f>
        <v>2024 JAN-DEC DISC 75%</v>
      </c>
      <c r="B242" s="34">
        <f t="shared" si="240"/>
        <v>46104</v>
      </c>
      <c r="C242" s="34">
        <f t="shared" si="240"/>
        <v>46113</v>
      </c>
      <c r="D242" s="33">
        <v>3281</v>
      </c>
      <c r="E242" s="33">
        <v>337</v>
      </c>
      <c r="F242" s="33">
        <v>4</v>
      </c>
      <c r="G242" s="55">
        <v>5</v>
      </c>
      <c r="H242" s="24">
        <v>81146</v>
      </c>
      <c r="I242" s="50" t="s">
        <v>17</v>
      </c>
      <c r="J242" s="70">
        <v>22774705</v>
      </c>
      <c r="K242" s="70" t="s">
        <v>1169</v>
      </c>
      <c r="L242" s="70" t="s">
        <v>1170</v>
      </c>
      <c r="M242" s="69">
        <v>249900</v>
      </c>
      <c r="N242" s="36">
        <f t="shared" si="194"/>
        <v>0.75</v>
      </c>
      <c r="O242" s="35">
        <f t="shared" si="177"/>
        <v>62475</v>
      </c>
      <c r="P242" s="33" t="s">
        <v>16</v>
      </c>
    </row>
    <row r="243" spans="1:16" x14ac:dyDescent="0.35">
      <c r="A243" s="33" t="str">
        <f t="shared" ref="A243:C243" si="241">A242</f>
        <v>2024 JAN-DEC DISC 75%</v>
      </c>
      <c r="B243" s="34">
        <f t="shared" si="241"/>
        <v>46104</v>
      </c>
      <c r="C243" s="34">
        <f t="shared" si="241"/>
        <v>46113</v>
      </c>
      <c r="D243" s="33">
        <v>3281</v>
      </c>
      <c r="E243" s="33">
        <v>337</v>
      </c>
      <c r="F243" s="33">
        <v>4</v>
      </c>
      <c r="G243" s="55">
        <v>5</v>
      </c>
      <c r="H243" s="24">
        <v>81146</v>
      </c>
      <c r="I243" s="50" t="s">
        <v>17</v>
      </c>
      <c r="J243" s="70">
        <v>22774714</v>
      </c>
      <c r="K243" s="70" t="s">
        <v>1169</v>
      </c>
      <c r="L243" s="70" t="s">
        <v>1171</v>
      </c>
      <c r="M243" s="69">
        <v>249900</v>
      </c>
      <c r="N243" s="36">
        <f t="shared" si="194"/>
        <v>0.75</v>
      </c>
      <c r="O243" s="35">
        <f t="shared" ref="O243:O303" si="242">M243-((75*M243))/100</f>
        <v>62475</v>
      </c>
      <c r="P243" s="33" t="s">
        <v>16</v>
      </c>
    </row>
    <row r="244" spans="1:16" x14ac:dyDescent="0.35">
      <c r="A244" s="33" t="str">
        <f t="shared" ref="A244:C244" si="243">A243</f>
        <v>2024 JAN-DEC DISC 75%</v>
      </c>
      <c r="B244" s="34">
        <f t="shared" si="243"/>
        <v>46104</v>
      </c>
      <c r="C244" s="34">
        <f t="shared" si="243"/>
        <v>46113</v>
      </c>
      <c r="D244" s="33">
        <v>3281</v>
      </c>
      <c r="E244" s="33">
        <v>337</v>
      </c>
      <c r="F244" s="33">
        <v>4</v>
      </c>
      <c r="G244" s="55">
        <v>5</v>
      </c>
      <c r="H244" s="24">
        <v>81146</v>
      </c>
      <c r="I244" s="50" t="s">
        <v>17</v>
      </c>
      <c r="J244" s="70">
        <v>22774723</v>
      </c>
      <c r="K244" s="70" t="s">
        <v>1169</v>
      </c>
      <c r="L244" s="70" t="s">
        <v>1172</v>
      </c>
      <c r="M244" s="69">
        <v>249900</v>
      </c>
      <c r="N244" s="36">
        <f t="shared" si="194"/>
        <v>0.75</v>
      </c>
      <c r="O244" s="35">
        <f t="shared" si="242"/>
        <v>62475</v>
      </c>
      <c r="P244" s="33" t="s">
        <v>16</v>
      </c>
    </row>
    <row r="245" spans="1:16" x14ac:dyDescent="0.35">
      <c r="A245" s="33" t="str">
        <f t="shared" ref="A245:C245" si="244">A244</f>
        <v>2024 JAN-DEC DISC 75%</v>
      </c>
      <c r="B245" s="34">
        <f t="shared" si="244"/>
        <v>46104</v>
      </c>
      <c r="C245" s="34">
        <f t="shared" si="244"/>
        <v>46113</v>
      </c>
      <c r="D245" s="33">
        <v>3281</v>
      </c>
      <c r="E245" s="33">
        <v>337</v>
      </c>
      <c r="F245" s="33">
        <v>4</v>
      </c>
      <c r="G245" s="55">
        <v>5</v>
      </c>
      <c r="H245" s="24">
        <v>81146</v>
      </c>
      <c r="I245" s="50" t="s">
        <v>17</v>
      </c>
      <c r="J245" s="70">
        <v>22774732</v>
      </c>
      <c r="K245" s="70" t="s">
        <v>1169</v>
      </c>
      <c r="L245" s="70" t="s">
        <v>1173</v>
      </c>
      <c r="M245" s="69">
        <v>249900</v>
      </c>
      <c r="N245" s="36">
        <f t="shared" si="194"/>
        <v>0.75</v>
      </c>
      <c r="O245" s="35">
        <f t="shared" si="242"/>
        <v>62475</v>
      </c>
      <c r="P245" s="33" t="s">
        <v>16</v>
      </c>
    </row>
    <row r="246" spans="1:16" x14ac:dyDescent="0.35">
      <c r="A246" s="33" t="str">
        <f t="shared" ref="A246:C246" si="245">A245</f>
        <v>2024 JAN-DEC DISC 75%</v>
      </c>
      <c r="B246" s="34">
        <f t="shared" si="245"/>
        <v>46104</v>
      </c>
      <c r="C246" s="34">
        <f t="shared" si="245"/>
        <v>46113</v>
      </c>
      <c r="D246" s="33">
        <v>3281</v>
      </c>
      <c r="E246" s="33">
        <v>337</v>
      </c>
      <c r="F246" s="33">
        <v>4</v>
      </c>
      <c r="G246" s="55">
        <v>5</v>
      </c>
      <c r="H246" s="24">
        <v>81506</v>
      </c>
      <c r="I246" s="50" t="s">
        <v>17</v>
      </c>
      <c r="J246" s="70">
        <v>26742723</v>
      </c>
      <c r="K246" s="70" t="s">
        <v>1229</v>
      </c>
      <c r="L246" s="70" t="s">
        <v>1230</v>
      </c>
      <c r="M246" s="69">
        <v>279900</v>
      </c>
      <c r="N246" s="36">
        <f t="shared" si="194"/>
        <v>0.75</v>
      </c>
      <c r="O246" s="35">
        <f t="shared" si="242"/>
        <v>69975</v>
      </c>
      <c r="P246" s="33" t="s">
        <v>16</v>
      </c>
    </row>
    <row r="247" spans="1:16" x14ac:dyDescent="0.35">
      <c r="A247" s="33" t="str">
        <f t="shared" ref="A247:C247" si="246">A246</f>
        <v>2024 JAN-DEC DISC 75%</v>
      </c>
      <c r="B247" s="34">
        <f t="shared" si="246"/>
        <v>46104</v>
      </c>
      <c r="C247" s="34">
        <f t="shared" si="246"/>
        <v>46113</v>
      </c>
      <c r="D247" s="33">
        <v>3281</v>
      </c>
      <c r="E247" s="33">
        <v>337</v>
      </c>
      <c r="F247" s="33">
        <v>4</v>
      </c>
      <c r="G247" s="55">
        <v>5</v>
      </c>
      <c r="H247" s="24">
        <v>81506</v>
      </c>
      <c r="I247" s="50" t="s">
        <v>17</v>
      </c>
      <c r="J247" s="70">
        <v>26742732</v>
      </c>
      <c r="K247" s="70" t="s">
        <v>1229</v>
      </c>
      <c r="L247" s="70" t="s">
        <v>1231</v>
      </c>
      <c r="M247" s="69">
        <v>279900</v>
      </c>
      <c r="N247" s="36">
        <f t="shared" si="194"/>
        <v>0.75</v>
      </c>
      <c r="O247" s="35">
        <f t="shared" si="242"/>
        <v>69975</v>
      </c>
      <c r="P247" s="33" t="s">
        <v>16</v>
      </c>
    </row>
    <row r="248" spans="1:16" x14ac:dyDescent="0.35">
      <c r="A248" s="33" t="str">
        <f t="shared" ref="A248:C248" si="247">A247</f>
        <v>2024 JAN-DEC DISC 75%</v>
      </c>
      <c r="B248" s="34">
        <f t="shared" si="247"/>
        <v>46104</v>
      </c>
      <c r="C248" s="34">
        <f t="shared" si="247"/>
        <v>46113</v>
      </c>
      <c r="D248" s="33">
        <v>3281</v>
      </c>
      <c r="E248" s="33">
        <v>337</v>
      </c>
      <c r="F248" s="33">
        <v>4</v>
      </c>
      <c r="G248" s="55">
        <v>5</v>
      </c>
      <c r="H248" s="24">
        <v>81506</v>
      </c>
      <c r="I248" s="50" t="s">
        <v>17</v>
      </c>
      <c r="J248" s="70">
        <v>26742741</v>
      </c>
      <c r="K248" s="70" t="s">
        <v>1229</v>
      </c>
      <c r="L248" s="70" t="s">
        <v>1232</v>
      </c>
      <c r="M248" s="69">
        <v>279900</v>
      </c>
      <c r="N248" s="36">
        <f t="shared" si="194"/>
        <v>0.75</v>
      </c>
      <c r="O248" s="35">
        <f t="shared" si="242"/>
        <v>69975</v>
      </c>
      <c r="P248" s="33" t="s">
        <v>16</v>
      </c>
    </row>
    <row r="249" spans="1:16" x14ac:dyDescent="0.35">
      <c r="A249" s="33" t="str">
        <f t="shared" ref="A249:C249" si="248">A248</f>
        <v>2024 JAN-DEC DISC 75%</v>
      </c>
      <c r="B249" s="34">
        <f t="shared" si="248"/>
        <v>46104</v>
      </c>
      <c r="C249" s="34">
        <f t="shared" si="248"/>
        <v>46113</v>
      </c>
      <c r="D249" s="33">
        <v>3281</v>
      </c>
      <c r="E249" s="33">
        <v>337</v>
      </c>
      <c r="F249" s="33">
        <v>4</v>
      </c>
      <c r="G249" s="55">
        <v>5</v>
      </c>
      <c r="H249" s="24">
        <v>81506</v>
      </c>
      <c r="I249" s="50" t="s">
        <v>17</v>
      </c>
      <c r="J249" s="70">
        <v>26742750</v>
      </c>
      <c r="K249" s="70" t="s">
        <v>1229</v>
      </c>
      <c r="L249" s="70" t="s">
        <v>1233</v>
      </c>
      <c r="M249" s="69">
        <v>279900</v>
      </c>
      <c r="N249" s="36">
        <f t="shared" si="194"/>
        <v>0.75</v>
      </c>
      <c r="O249" s="35">
        <f t="shared" si="242"/>
        <v>69975</v>
      </c>
      <c r="P249" s="33" t="s">
        <v>16</v>
      </c>
    </row>
    <row r="250" spans="1:16" x14ac:dyDescent="0.35">
      <c r="A250" s="33" t="str">
        <f t="shared" ref="A250:C250" si="249">A249</f>
        <v>2024 JAN-DEC DISC 75%</v>
      </c>
      <c r="B250" s="34">
        <f t="shared" si="249"/>
        <v>46104</v>
      </c>
      <c r="C250" s="34">
        <f t="shared" si="249"/>
        <v>46113</v>
      </c>
      <c r="D250" s="33">
        <v>3281</v>
      </c>
      <c r="E250" s="33">
        <v>337</v>
      </c>
      <c r="F250" s="33">
        <v>4</v>
      </c>
      <c r="G250" s="55">
        <v>5</v>
      </c>
      <c r="H250" s="24">
        <v>81506</v>
      </c>
      <c r="I250" s="50" t="s">
        <v>17</v>
      </c>
      <c r="J250" s="70">
        <v>45223212</v>
      </c>
      <c r="K250" s="70" t="s">
        <v>1425</v>
      </c>
      <c r="L250" s="70" t="s">
        <v>1426</v>
      </c>
      <c r="M250" s="69">
        <v>299900</v>
      </c>
      <c r="N250" s="36">
        <f t="shared" si="194"/>
        <v>0.75</v>
      </c>
      <c r="O250" s="35">
        <f t="shared" si="242"/>
        <v>74975</v>
      </c>
      <c r="P250" s="33" t="s">
        <v>16</v>
      </c>
    </row>
    <row r="251" spans="1:16" x14ac:dyDescent="0.35">
      <c r="A251" s="33" t="str">
        <f t="shared" ref="A251:C251" si="250">A250</f>
        <v>2024 JAN-DEC DISC 75%</v>
      </c>
      <c r="B251" s="34">
        <f t="shared" si="250"/>
        <v>46104</v>
      </c>
      <c r="C251" s="34">
        <f t="shared" si="250"/>
        <v>46113</v>
      </c>
      <c r="D251" s="33">
        <v>3281</v>
      </c>
      <c r="E251" s="33">
        <v>337</v>
      </c>
      <c r="F251" s="33">
        <v>4</v>
      </c>
      <c r="G251" s="55">
        <v>5</v>
      </c>
      <c r="H251" s="24">
        <v>81506</v>
      </c>
      <c r="I251" s="50" t="s">
        <v>17</v>
      </c>
      <c r="J251" s="70">
        <v>45223221</v>
      </c>
      <c r="K251" s="70" t="s">
        <v>1425</v>
      </c>
      <c r="L251" s="70" t="s">
        <v>1427</v>
      </c>
      <c r="M251" s="69">
        <v>299900</v>
      </c>
      <c r="N251" s="36">
        <f t="shared" si="194"/>
        <v>0.75</v>
      </c>
      <c r="O251" s="35">
        <f t="shared" si="242"/>
        <v>74975</v>
      </c>
      <c r="P251" s="33" t="s">
        <v>16</v>
      </c>
    </row>
    <row r="252" spans="1:16" x14ac:dyDescent="0.35">
      <c r="A252" s="33" t="str">
        <f t="shared" ref="A252:C252" si="251">A251</f>
        <v>2024 JAN-DEC DISC 75%</v>
      </c>
      <c r="B252" s="34">
        <f t="shared" si="251"/>
        <v>46104</v>
      </c>
      <c r="C252" s="34">
        <f t="shared" si="251"/>
        <v>46113</v>
      </c>
      <c r="D252" s="33">
        <v>3281</v>
      </c>
      <c r="E252" s="33">
        <v>337</v>
      </c>
      <c r="F252" s="33">
        <v>4</v>
      </c>
      <c r="G252" s="55">
        <v>5</v>
      </c>
      <c r="H252" s="24">
        <v>81506</v>
      </c>
      <c r="I252" s="50" t="s">
        <v>17</v>
      </c>
      <c r="J252" s="70">
        <v>45223230</v>
      </c>
      <c r="K252" s="70" t="s">
        <v>1425</v>
      </c>
      <c r="L252" s="70" t="s">
        <v>1428</v>
      </c>
      <c r="M252" s="69">
        <v>299900</v>
      </c>
      <c r="N252" s="36">
        <f t="shared" si="194"/>
        <v>0.75</v>
      </c>
      <c r="O252" s="35">
        <f t="shared" si="242"/>
        <v>74975</v>
      </c>
      <c r="P252" s="33" t="s">
        <v>16</v>
      </c>
    </row>
    <row r="253" spans="1:16" x14ac:dyDescent="0.35">
      <c r="A253" s="33" t="str">
        <f t="shared" ref="A253:C253" si="252">A252</f>
        <v>2024 JAN-DEC DISC 75%</v>
      </c>
      <c r="B253" s="34">
        <f t="shared" si="252"/>
        <v>46104</v>
      </c>
      <c r="C253" s="34">
        <f t="shared" si="252"/>
        <v>46113</v>
      </c>
      <c r="D253" s="33">
        <v>3281</v>
      </c>
      <c r="E253" s="33">
        <v>337</v>
      </c>
      <c r="F253" s="33">
        <v>4</v>
      </c>
      <c r="G253" s="55">
        <v>5</v>
      </c>
      <c r="H253" s="24">
        <v>81506</v>
      </c>
      <c r="I253" s="50" t="s">
        <v>17</v>
      </c>
      <c r="J253" s="70">
        <v>45223249</v>
      </c>
      <c r="K253" s="70" t="s">
        <v>1425</v>
      </c>
      <c r="L253" s="70" t="s">
        <v>1429</v>
      </c>
      <c r="M253" s="69">
        <v>299900</v>
      </c>
      <c r="N253" s="36">
        <f t="shared" si="194"/>
        <v>0.75</v>
      </c>
      <c r="O253" s="35">
        <f t="shared" si="242"/>
        <v>74975</v>
      </c>
      <c r="P253" s="33" t="s">
        <v>16</v>
      </c>
    </row>
    <row r="254" spans="1:16" x14ac:dyDescent="0.35">
      <c r="A254" s="33" t="str">
        <f t="shared" ref="A254:C254" si="253">A253</f>
        <v>2024 JAN-DEC DISC 75%</v>
      </c>
      <c r="B254" s="34">
        <f t="shared" si="253"/>
        <v>46104</v>
      </c>
      <c r="C254" s="34">
        <f t="shared" si="253"/>
        <v>46113</v>
      </c>
      <c r="D254" s="33">
        <v>3281</v>
      </c>
      <c r="E254" s="33">
        <v>337</v>
      </c>
      <c r="F254" s="33">
        <v>4</v>
      </c>
      <c r="G254" s="55">
        <v>5</v>
      </c>
      <c r="H254" s="24">
        <v>81574</v>
      </c>
      <c r="I254" s="50" t="s">
        <v>17</v>
      </c>
      <c r="J254" s="70">
        <v>45223258</v>
      </c>
      <c r="K254" s="70" t="s">
        <v>1430</v>
      </c>
      <c r="L254" s="70" t="s">
        <v>1431</v>
      </c>
      <c r="M254" s="69">
        <v>319900</v>
      </c>
      <c r="N254" s="36">
        <f t="shared" si="194"/>
        <v>0.75</v>
      </c>
      <c r="O254" s="35">
        <f t="shared" si="242"/>
        <v>79975</v>
      </c>
      <c r="P254" s="33" t="s">
        <v>16</v>
      </c>
    </row>
    <row r="255" spans="1:16" x14ac:dyDescent="0.35">
      <c r="A255" s="33" t="str">
        <f t="shared" ref="A255:C255" si="254">A254</f>
        <v>2024 JAN-DEC DISC 75%</v>
      </c>
      <c r="B255" s="34">
        <f t="shared" si="254"/>
        <v>46104</v>
      </c>
      <c r="C255" s="34">
        <f t="shared" si="254"/>
        <v>46113</v>
      </c>
      <c r="D255" s="33">
        <v>3281</v>
      </c>
      <c r="E255" s="33">
        <v>337</v>
      </c>
      <c r="F255" s="33">
        <v>4</v>
      </c>
      <c r="G255" s="55">
        <v>5</v>
      </c>
      <c r="H255" s="24">
        <v>81574</v>
      </c>
      <c r="I255" s="50" t="s">
        <v>17</v>
      </c>
      <c r="J255" s="70">
        <v>45223267</v>
      </c>
      <c r="K255" s="70" t="s">
        <v>1430</v>
      </c>
      <c r="L255" s="70" t="s">
        <v>1432</v>
      </c>
      <c r="M255" s="69">
        <v>319900</v>
      </c>
      <c r="N255" s="36">
        <f t="shared" si="194"/>
        <v>0.75</v>
      </c>
      <c r="O255" s="35">
        <f t="shared" si="242"/>
        <v>79975</v>
      </c>
      <c r="P255" s="33" t="s">
        <v>16</v>
      </c>
    </row>
    <row r="256" spans="1:16" x14ac:dyDescent="0.35">
      <c r="A256" s="33" t="str">
        <f t="shared" ref="A256:C256" si="255">A255</f>
        <v>2024 JAN-DEC DISC 75%</v>
      </c>
      <c r="B256" s="34">
        <f t="shared" si="255"/>
        <v>46104</v>
      </c>
      <c r="C256" s="34">
        <f t="shared" si="255"/>
        <v>46113</v>
      </c>
      <c r="D256" s="33">
        <v>3281</v>
      </c>
      <c r="E256" s="33">
        <v>337</v>
      </c>
      <c r="F256" s="33">
        <v>4</v>
      </c>
      <c r="G256" s="55">
        <v>5</v>
      </c>
      <c r="H256" s="24">
        <v>81574</v>
      </c>
      <c r="I256" s="50" t="s">
        <v>17</v>
      </c>
      <c r="J256" s="70">
        <v>45223276</v>
      </c>
      <c r="K256" s="70" t="s">
        <v>1430</v>
      </c>
      <c r="L256" s="70" t="s">
        <v>1433</v>
      </c>
      <c r="M256" s="69">
        <v>319900</v>
      </c>
      <c r="N256" s="36">
        <f t="shared" si="194"/>
        <v>0.75</v>
      </c>
      <c r="O256" s="35">
        <f t="shared" si="242"/>
        <v>79975</v>
      </c>
      <c r="P256" s="33" t="s">
        <v>16</v>
      </c>
    </row>
    <row r="257" spans="1:16" x14ac:dyDescent="0.35">
      <c r="A257" s="33" t="str">
        <f t="shared" ref="A257:C257" si="256">A256</f>
        <v>2024 JAN-DEC DISC 75%</v>
      </c>
      <c r="B257" s="34">
        <f t="shared" si="256"/>
        <v>46104</v>
      </c>
      <c r="C257" s="34">
        <f t="shared" si="256"/>
        <v>46113</v>
      </c>
      <c r="D257" s="33">
        <v>3281</v>
      </c>
      <c r="E257" s="33">
        <v>337</v>
      </c>
      <c r="F257" s="33">
        <v>4</v>
      </c>
      <c r="G257" s="55">
        <v>4</v>
      </c>
      <c r="H257" s="24">
        <v>81574</v>
      </c>
      <c r="I257" s="50" t="s">
        <v>17</v>
      </c>
      <c r="J257" s="70">
        <v>45223285</v>
      </c>
      <c r="K257" s="70" t="s">
        <v>1430</v>
      </c>
      <c r="L257" s="70" t="s">
        <v>1434</v>
      </c>
      <c r="M257" s="69">
        <v>319900</v>
      </c>
      <c r="N257" s="36">
        <f t="shared" si="194"/>
        <v>0.75</v>
      </c>
      <c r="O257" s="35">
        <f t="shared" si="242"/>
        <v>79975</v>
      </c>
      <c r="P257" s="33" t="s">
        <v>16</v>
      </c>
    </row>
    <row r="258" spans="1:16" x14ac:dyDescent="0.35">
      <c r="A258" s="33" t="str">
        <f t="shared" ref="A258:C258" si="257">A257</f>
        <v>2024 JAN-DEC DISC 75%</v>
      </c>
      <c r="B258" s="34">
        <f t="shared" si="257"/>
        <v>46104</v>
      </c>
      <c r="C258" s="34">
        <f t="shared" si="257"/>
        <v>46113</v>
      </c>
      <c r="D258" s="33">
        <v>3281</v>
      </c>
      <c r="E258" s="33">
        <v>337</v>
      </c>
      <c r="F258" s="33">
        <v>4</v>
      </c>
      <c r="G258" s="55">
        <v>4</v>
      </c>
      <c r="H258" s="24">
        <v>81146</v>
      </c>
      <c r="I258" s="50" t="s">
        <v>17</v>
      </c>
      <c r="J258" s="70">
        <v>45511777</v>
      </c>
      <c r="K258" s="70" t="s">
        <v>1415</v>
      </c>
      <c r="L258" s="70" t="s">
        <v>1416</v>
      </c>
      <c r="M258" s="69">
        <v>159900</v>
      </c>
      <c r="N258" s="36">
        <f t="shared" si="194"/>
        <v>0.75</v>
      </c>
      <c r="O258" s="35">
        <f t="shared" si="242"/>
        <v>39975</v>
      </c>
      <c r="P258" s="33" t="s">
        <v>16</v>
      </c>
    </row>
    <row r="259" spans="1:16" x14ac:dyDescent="0.35">
      <c r="A259" s="33" t="str">
        <f t="shared" ref="A259:C259" si="258">A258</f>
        <v>2024 JAN-DEC DISC 75%</v>
      </c>
      <c r="B259" s="34">
        <f t="shared" si="258"/>
        <v>46104</v>
      </c>
      <c r="C259" s="34">
        <f t="shared" si="258"/>
        <v>46113</v>
      </c>
      <c r="D259" s="33">
        <v>3281</v>
      </c>
      <c r="E259" s="33">
        <v>337</v>
      </c>
      <c r="F259" s="33">
        <v>4</v>
      </c>
      <c r="G259" s="55">
        <v>4</v>
      </c>
      <c r="H259" s="24">
        <v>81146</v>
      </c>
      <c r="I259" s="50" t="s">
        <v>17</v>
      </c>
      <c r="J259" s="70">
        <v>45511786</v>
      </c>
      <c r="K259" s="70" t="s">
        <v>1415</v>
      </c>
      <c r="L259" s="70" t="s">
        <v>1417</v>
      </c>
      <c r="M259" s="69">
        <v>159900</v>
      </c>
      <c r="N259" s="36">
        <f t="shared" si="194"/>
        <v>0.75</v>
      </c>
      <c r="O259" s="35">
        <f t="shared" si="242"/>
        <v>39975</v>
      </c>
      <c r="P259" s="33" t="s">
        <v>16</v>
      </c>
    </row>
    <row r="260" spans="1:16" x14ac:dyDescent="0.35">
      <c r="A260" s="33" t="str">
        <f t="shared" ref="A260:C260" si="259">A259</f>
        <v>2024 JAN-DEC DISC 75%</v>
      </c>
      <c r="B260" s="34">
        <f t="shared" si="259"/>
        <v>46104</v>
      </c>
      <c r="C260" s="34">
        <f t="shared" si="259"/>
        <v>46113</v>
      </c>
      <c r="D260" s="33">
        <v>3281</v>
      </c>
      <c r="E260" s="33">
        <v>337</v>
      </c>
      <c r="F260" s="33">
        <v>4</v>
      </c>
      <c r="G260" s="55">
        <v>4</v>
      </c>
      <c r="H260" s="24">
        <v>81146</v>
      </c>
      <c r="I260" s="50" t="s">
        <v>17</v>
      </c>
      <c r="J260" s="70">
        <v>45511795</v>
      </c>
      <c r="K260" s="70" t="s">
        <v>1415</v>
      </c>
      <c r="L260" s="70" t="s">
        <v>1418</v>
      </c>
      <c r="M260" s="69">
        <v>159900</v>
      </c>
      <c r="N260" s="36">
        <f t="shared" ref="N260:N323" si="260">N259</f>
        <v>0.75</v>
      </c>
      <c r="O260" s="35">
        <f t="shared" si="242"/>
        <v>39975</v>
      </c>
      <c r="P260" s="33" t="s">
        <v>16</v>
      </c>
    </row>
    <row r="261" spans="1:16" x14ac:dyDescent="0.35">
      <c r="A261" s="33" t="str">
        <f t="shared" ref="A261:C261" si="261">A260</f>
        <v>2024 JAN-DEC DISC 75%</v>
      </c>
      <c r="B261" s="34">
        <f t="shared" si="261"/>
        <v>46104</v>
      </c>
      <c r="C261" s="34">
        <f t="shared" si="261"/>
        <v>46113</v>
      </c>
      <c r="D261" s="33">
        <v>3281</v>
      </c>
      <c r="E261" s="33">
        <v>337</v>
      </c>
      <c r="F261" s="33">
        <v>4</v>
      </c>
      <c r="G261" s="55">
        <v>1</v>
      </c>
      <c r="H261" s="24">
        <v>81146</v>
      </c>
      <c r="I261" s="50" t="s">
        <v>17</v>
      </c>
      <c r="J261" s="70">
        <v>45511802</v>
      </c>
      <c r="K261" s="70" t="s">
        <v>1415</v>
      </c>
      <c r="L261" s="70" t="s">
        <v>1419</v>
      </c>
      <c r="M261" s="69">
        <v>159900</v>
      </c>
      <c r="N261" s="36">
        <f t="shared" si="260"/>
        <v>0.75</v>
      </c>
      <c r="O261" s="35">
        <f t="shared" si="242"/>
        <v>39975</v>
      </c>
      <c r="P261" s="33" t="s">
        <v>16</v>
      </c>
    </row>
    <row r="262" spans="1:16" x14ac:dyDescent="0.35">
      <c r="A262" s="33" t="str">
        <f t="shared" ref="A262:C262" si="262">A261</f>
        <v>2024 JAN-DEC DISC 75%</v>
      </c>
      <c r="B262" s="34">
        <f t="shared" si="262"/>
        <v>46104</v>
      </c>
      <c r="C262" s="34">
        <f t="shared" si="262"/>
        <v>46113</v>
      </c>
      <c r="D262" s="33">
        <v>3281</v>
      </c>
      <c r="E262" s="33">
        <v>337</v>
      </c>
      <c r="F262" s="33">
        <v>4</v>
      </c>
      <c r="G262" s="55">
        <v>1</v>
      </c>
      <c r="H262" s="24">
        <v>81506</v>
      </c>
      <c r="I262" s="50" t="s">
        <v>17</v>
      </c>
      <c r="J262" s="70">
        <v>45223132</v>
      </c>
      <c r="K262" s="70" t="s">
        <v>1420</v>
      </c>
      <c r="L262" s="70" t="s">
        <v>1421</v>
      </c>
      <c r="M262" s="69">
        <v>229900</v>
      </c>
      <c r="N262" s="36">
        <f t="shared" si="260"/>
        <v>0.75</v>
      </c>
      <c r="O262" s="35">
        <f t="shared" si="242"/>
        <v>57475</v>
      </c>
      <c r="P262" s="33" t="s">
        <v>16</v>
      </c>
    </row>
    <row r="263" spans="1:16" x14ac:dyDescent="0.35">
      <c r="A263" s="33" t="str">
        <f t="shared" ref="A263:C263" si="263">A262</f>
        <v>2024 JAN-DEC DISC 75%</v>
      </c>
      <c r="B263" s="34">
        <f t="shared" si="263"/>
        <v>46104</v>
      </c>
      <c r="C263" s="34">
        <f t="shared" si="263"/>
        <v>46113</v>
      </c>
      <c r="D263" s="33">
        <v>3281</v>
      </c>
      <c r="E263" s="33">
        <v>337</v>
      </c>
      <c r="F263" s="33">
        <v>4</v>
      </c>
      <c r="G263" s="55">
        <v>1</v>
      </c>
      <c r="H263" s="24">
        <v>81506</v>
      </c>
      <c r="I263" s="50" t="s">
        <v>17</v>
      </c>
      <c r="J263" s="70">
        <v>45223141</v>
      </c>
      <c r="K263" s="70" t="s">
        <v>1420</v>
      </c>
      <c r="L263" s="70" t="s">
        <v>1422</v>
      </c>
      <c r="M263" s="69">
        <v>229900</v>
      </c>
      <c r="N263" s="36">
        <f t="shared" si="260"/>
        <v>0.75</v>
      </c>
      <c r="O263" s="35">
        <f t="shared" si="242"/>
        <v>57475</v>
      </c>
      <c r="P263" s="33" t="s">
        <v>16</v>
      </c>
    </row>
    <row r="264" spans="1:16" x14ac:dyDescent="0.35">
      <c r="A264" s="33" t="str">
        <f t="shared" ref="A264:C264" si="264">A263</f>
        <v>2024 JAN-DEC DISC 75%</v>
      </c>
      <c r="B264" s="34">
        <f t="shared" si="264"/>
        <v>46104</v>
      </c>
      <c r="C264" s="34">
        <f t="shared" si="264"/>
        <v>46113</v>
      </c>
      <c r="D264" s="33">
        <v>3281</v>
      </c>
      <c r="E264" s="33">
        <v>337</v>
      </c>
      <c r="F264" s="33">
        <v>4</v>
      </c>
      <c r="G264" s="55">
        <v>1</v>
      </c>
      <c r="H264" s="24">
        <v>81506</v>
      </c>
      <c r="I264" s="50" t="s">
        <v>17</v>
      </c>
      <c r="J264" s="70">
        <v>45223150</v>
      </c>
      <c r="K264" s="70" t="s">
        <v>1420</v>
      </c>
      <c r="L264" s="70" t="s">
        <v>1423</v>
      </c>
      <c r="M264" s="69">
        <v>229900</v>
      </c>
      <c r="N264" s="36">
        <f t="shared" si="260"/>
        <v>0.75</v>
      </c>
      <c r="O264" s="35">
        <f t="shared" si="242"/>
        <v>57475</v>
      </c>
      <c r="P264" s="33" t="s">
        <v>16</v>
      </c>
    </row>
    <row r="265" spans="1:16" x14ac:dyDescent="0.35">
      <c r="A265" s="33" t="str">
        <f t="shared" ref="A265:C265" si="265">A264</f>
        <v>2024 JAN-DEC DISC 75%</v>
      </c>
      <c r="B265" s="34">
        <f t="shared" si="265"/>
        <v>46104</v>
      </c>
      <c r="C265" s="34">
        <f t="shared" si="265"/>
        <v>46113</v>
      </c>
      <c r="D265" s="33">
        <v>3281</v>
      </c>
      <c r="E265" s="33">
        <v>337</v>
      </c>
      <c r="F265" s="33">
        <v>4</v>
      </c>
      <c r="G265" s="55">
        <v>3</v>
      </c>
      <c r="H265" s="24">
        <v>81506</v>
      </c>
      <c r="I265" s="50" t="s">
        <v>17</v>
      </c>
      <c r="J265" s="70">
        <v>45223169</v>
      </c>
      <c r="K265" s="70" t="s">
        <v>1420</v>
      </c>
      <c r="L265" s="70" t="s">
        <v>1424</v>
      </c>
      <c r="M265" s="69">
        <v>229900</v>
      </c>
      <c r="N265" s="36">
        <f t="shared" si="260"/>
        <v>0.75</v>
      </c>
      <c r="O265" s="35">
        <f t="shared" si="242"/>
        <v>57475</v>
      </c>
      <c r="P265" s="33" t="s">
        <v>16</v>
      </c>
    </row>
    <row r="266" spans="1:16" x14ac:dyDescent="0.35">
      <c r="A266" s="33" t="str">
        <f t="shared" ref="A266:C266" si="266">A265</f>
        <v>2024 JAN-DEC DISC 75%</v>
      </c>
      <c r="B266" s="34">
        <f t="shared" si="266"/>
        <v>46104</v>
      </c>
      <c r="C266" s="34">
        <f t="shared" si="266"/>
        <v>46113</v>
      </c>
      <c r="D266" s="33">
        <v>3281</v>
      </c>
      <c r="E266" s="33">
        <v>337</v>
      </c>
      <c r="F266" s="33">
        <v>4</v>
      </c>
      <c r="G266" s="55">
        <v>3</v>
      </c>
      <c r="H266" s="24">
        <v>81506</v>
      </c>
      <c r="I266" s="50" t="s">
        <v>17</v>
      </c>
      <c r="J266" s="70">
        <v>45223294</v>
      </c>
      <c r="K266" s="70" t="s">
        <v>1435</v>
      </c>
      <c r="L266" s="70" t="s">
        <v>1436</v>
      </c>
      <c r="M266" s="69">
        <v>279900</v>
      </c>
      <c r="N266" s="36">
        <f t="shared" si="260"/>
        <v>0.75</v>
      </c>
      <c r="O266" s="35">
        <f t="shared" si="242"/>
        <v>69975</v>
      </c>
      <c r="P266" s="33" t="s">
        <v>16</v>
      </c>
    </row>
    <row r="267" spans="1:16" x14ac:dyDescent="0.35">
      <c r="A267" s="33" t="str">
        <f t="shared" ref="A267:C267" si="267">A266</f>
        <v>2024 JAN-DEC DISC 75%</v>
      </c>
      <c r="B267" s="34">
        <f t="shared" si="267"/>
        <v>46104</v>
      </c>
      <c r="C267" s="34">
        <f t="shared" si="267"/>
        <v>46113</v>
      </c>
      <c r="D267" s="33">
        <v>3281</v>
      </c>
      <c r="E267" s="33">
        <v>337</v>
      </c>
      <c r="F267" s="33">
        <v>4</v>
      </c>
      <c r="G267" s="55">
        <v>3</v>
      </c>
      <c r="H267" s="24">
        <v>81506</v>
      </c>
      <c r="I267" s="50" t="s">
        <v>17</v>
      </c>
      <c r="J267" s="70">
        <v>45223301</v>
      </c>
      <c r="K267" s="70" t="s">
        <v>1435</v>
      </c>
      <c r="L267" s="70" t="s">
        <v>1437</v>
      </c>
      <c r="M267" s="69">
        <v>279900</v>
      </c>
      <c r="N267" s="36">
        <f t="shared" si="260"/>
        <v>0.75</v>
      </c>
      <c r="O267" s="35">
        <f t="shared" si="242"/>
        <v>69975</v>
      </c>
      <c r="P267" s="33" t="s">
        <v>16</v>
      </c>
    </row>
    <row r="268" spans="1:16" x14ac:dyDescent="0.35">
      <c r="A268" s="33" t="str">
        <f t="shared" ref="A268:C268" si="268">A267</f>
        <v>2024 JAN-DEC DISC 75%</v>
      </c>
      <c r="B268" s="34">
        <f t="shared" si="268"/>
        <v>46104</v>
      </c>
      <c r="C268" s="34">
        <f t="shared" si="268"/>
        <v>46113</v>
      </c>
      <c r="D268" s="33">
        <v>3281</v>
      </c>
      <c r="E268" s="33">
        <v>337</v>
      </c>
      <c r="F268" s="33">
        <v>4</v>
      </c>
      <c r="G268" s="55">
        <v>3</v>
      </c>
      <c r="H268" s="24">
        <v>81506</v>
      </c>
      <c r="I268" s="50" t="s">
        <v>17</v>
      </c>
      <c r="J268" s="70">
        <v>45223310</v>
      </c>
      <c r="K268" s="70" t="s">
        <v>1435</v>
      </c>
      <c r="L268" s="70" t="s">
        <v>1438</v>
      </c>
      <c r="M268" s="69">
        <v>279900</v>
      </c>
      <c r="N268" s="36">
        <f t="shared" si="260"/>
        <v>0.75</v>
      </c>
      <c r="O268" s="35">
        <f t="shared" si="242"/>
        <v>69975</v>
      </c>
      <c r="P268" s="33" t="s">
        <v>16</v>
      </c>
    </row>
    <row r="269" spans="1:16" x14ac:dyDescent="0.35">
      <c r="A269" s="33" t="str">
        <f t="shared" ref="A269:C269" si="269">A268</f>
        <v>2024 JAN-DEC DISC 75%</v>
      </c>
      <c r="B269" s="34">
        <f t="shared" si="269"/>
        <v>46104</v>
      </c>
      <c r="C269" s="34">
        <f t="shared" si="269"/>
        <v>46113</v>
      </c>
      <c r="D269" s="33">
        <v>3281</v>
      </c>
      <c r="E269" s="33">
        <v>337</v>
      </c>
      <c r="F269" s="33">
        <v>4</v>
      </c>
      <c r="G269" s="55">
        <v>5</v>
      </c>
      <c r="H269" s="24">
        <v>81506</v>
      </c>
      <c r="I269" s="50" t="s">
        <v>17</v>
      </c>
      <c r="J269" s="70">
        <v>45223329</v>
      </c>
      <c r="K269" s="70" t="s">
        <v>1435</v>
      </c>
      <c r="L269" s="70" t="s">
        <v>1439</v>
      </c>
      <c r="M269" s="69">
        <v>279900</v>
      </c>
      <c r="N269" s="36">
        <f t="shared" si="260"/>
        <v>0.75</v>
      </c>
      <c r="O269" s="35">
        <f t="shared" si="242"/>
        <v>69975</v>
      </c>
      <c r="P269" s="33" t="s">
        <v>16</v>
      </c>
    </row>
    <row r="270" spans="1:16" x14ac:dyDescent="0.35">
      <c r="A270" s="33" t="str">
        <f t="shared" ref="A270:C270" si="270">A269</f>
        <v>2024 JAN-DEC DISC 75%</v>
      </c>
      <c r="B270" s="34">
        <f t="shared" si="270"/>
        <v>46104</v>
      </c>
      <c r="C270" s="34">
        <f t="shared" si="270"/>
        <v>46113</v>
      </c>
      <c r="D270" s="33">
        <v>3281</v>
      </c>
      <c r="E270" s="33">
        <v>337</v>
      </c>
      <c r="F270" s="33">
        <v>4</v>
      </c>
      <c r="G270" s="55">
        <v>5</v>
      </c>
      <c r="H270" s="24">
        <v>81506</v>
      </c>
      <c r="I270" s="50" t="s">
        <v>17</v>
      </c>
      <c r="J270" s="70">
        <v>45223178</v>
      </c>
      <c r="K270" s="70" t="s">
        <v>1440</v>
      </c>
      <c r="L270" s="70" t="s">
        <v>1441</v>
      </c>
      <c r="M270" s="69">
        <v>299900</v>
      </c>
      <c r="N270" s="36">
        <f t="shared" si="260"/>
        <v>0.75</v>
      </c>
      <c r="O270" s="35">
        <f t="shared" si="242"/>
        <v>74975</v>
      </c>
      <c r="P270" s="33" t="s">
        <v>16</v>
      </c>
    </row>
    <row r="271" spans="1:16" x14ac:dyDescent="0.35">
      <c r="A271" s="33" t="str">
        <f t="shared" ref="A271:C271" si="271">A270</f>
        <v>2024 JAN-DEC DISC 75%</v>
      </c>
      <c r="B271" s="34">
        <f t="shared" si="271"/>
        <v>46104</v>
      </c>
      <c r="C271" s="34">
        <f t="shared" si="271"/>
        <v>46113</v>
      </c>
      <c r="D271" s="33">
        <v>3281</v>
      </c>
      <c r="E271" s="33">
        <v>337</v>
      </c>
      <c r="F271" s="33">
        <v>4</v>
      </c>
      <c r="G271" s="55">
        <v>5</v>
      </c>
      <c r="H271" s="24">
        <v>81506</v>
      </c>
      <c r="I271" s="50" t="s">
        <v>17</v>
      </c>
      <c r="J271" s="70">
        <v>45223187</v>
      </c>
      <c r="K271" s="70" t="s">
        <v>1440</v>
      </c>
      <c r="L271" s="70" t="s">
        <v>1442</v>
      </c>
      <c r="M271" s="69">
        <v>299900</v>
      </c>
      <c r="N271" s="36">
        <f t="shared" si="260"/>
        <v>0.75</v>
      </c>
      <c r="O271" s="35">
        <f t="shared" si="242"/>
        <v>74975</v>
      </c>
      <c r="P271" s="33" t="s">
        <v>16</v>
      </c>
    </row>
    <row r="272" spans="1:16" x14ac:dyDescent="0.35">
      <c r="A272" s="33" t="str">
        <f t="shared" ref="A272:C272" si="272">A271</f>
        <v>2024 JAN-DEC DISC 75%</v>
      </c>
      <c r="B272" s="34">
        <f t="shared" si="272"/>
        <v>46104</v>
      </c>
      <c r="C272" s="34">
        <f t="shared" si="272"/>
        <v>46113</v>
      </c>
      <c r="D272" s="33">
        <v>3281</v>
      </c>
      <c r="E272" s="33">
        <v>337</v>
      </c>
      <c r="F272" s="33">
        <v>4</v>
      </c>
      <c r="G272" s="55">
        <v>5</v>
      </c>
      <c r="H272" s="24">
        <v>81506</v>
      </c>
      <c r="I272" s="50" t="s">
        <v>17</v>
      </c>
      <c r="J272" s="70">
        <v>45223196</v>
      </c>
      <c r="K272" s="70" t="s">
        <v>1440</v>
      </c>
      <c r="L272" s="70" t="s">
        <v>1443</v>
      </c>
      <c r="M272" s="69">
        <v>299900</v>
      </c>
      <c r="N272" s="36">
        <f t="shared" si="260"/>
        <v>0.75</v>
      </c>
      <c r="O272" s="35">
        <f t="shared" si="242"/>
        <v>74975</v>
      </c>
      <c r="P272" s="33" t="s">
        <v>16</v>
      </c>
    </row>
    <row r="273" spans="1:16" x14ac:dyDescent="0.35">
      <c r="A273" s="33" t="str">
        <f t="shared" ref="A273:C273" si="273">A272</f>
        <v>2024 JAN-DEC DISC 75%</v>
      </c>
      <c r="B273" s="34">
        <f t="shared" si="273"/>
        <v>46104</v>
      </c>
      <c r="C273" s="34">
        <f t="shared" si="273"/>
        <v>46113</v>
      </c>
      <c r="D273" s="33">
        <v>3281</v>
      </c>
      <c r="E273" s="33">
        <v>337</v>
      </c>
      <c r="F273" s="33">
        <v>4</v>
      </c>
      <c r="G273" s="55">
        <v>5</v>
      </c>
      <c r="H273" s="24">
        <v>81506</v>
      </c>
      <c r="I273" s="50" t="s">
        <v>17</v>
      </c>
      <c r="J273" s="70">
        <v>45223203</v>
      </c>
      <c r="K273" s="70" t="s">
        <v>1440</v>
      </c>
      <c r="L273" s="70" t="s">
        <v>1444</v>
      </c>
      <c r="M273" s="69">
        <v>299900</v>
      </c>
      <c r="N273" s="36">
        <f t="shared" si="260"/>
        <v>0.75</v>
      </c>
      <c r="O273" s="35">
        <f t="shared" si="242"/>
        <v>74975</v>
      </c>
      <c r="P273" s="33" t="s">
        <v>16</v>
      </c>
    </row>
    <row r="274" spans="1:16" x14ac:dyDescent="0.35">
      <c r="A274" s="33" t="str">
        <f t="shared" ref="A274:C274" si="274">A273</f>
        <v>2024 JAN-DEC DISC 75%</v>
      </c>
      <c r="B274" s="34">
        <f t="shared" si="274"/>
        <v>46104</v>
      </c>
      <c r="C274" s="34">
        <f t="shared" si="274"/>
        <v>46113</v>
      </c>
      <c r="D274" s="33">
        <v>3281</v>
      </c>
      <c r="E274" s="33">
        <v>337</v>
      </c>
      <c r="F274" s="33">
        <v>4</v>
      </c>
      <c r="G274" s="55">
        <v>5</v>
      </c>
      <c r="H274" s="24">
        <v>81506</v>
      </c>
      <c r="I274" s="50" t="s">
        <v>17</v>
      </c>
      <c r="J274" s="70">
        <v>45223338</v>
      </c>
      <c r="K274" s="70" t="s">
        <v>1445</v>
      </c>
      <c r="L274" s="70" t="s">
        <v>1446</v>
      </c>
      <c r="M274" s="69">
        <v>299900</v>
      </c>
      <c r="N274" s="36">
        <f t="shared" si="260"/>
        <v>0.75</v>
      </c>
      <c r="O274" s="35">
        <f t="shared" si="242"/>
        <v>74975</v>
      </c>
      <c r="P274" s="33" t="s">
        <v>16</v>
      </c>
    </row>
    <row r="275" spans="1:16" x14ac:dyDescent="0.35">
      <c r="A275" s="33" t="str">
        <f t="shared" ref="A275:C275" si="275">A274</f>
        <v>2024 JAN-DEC DISC 75%</v>
      </c>
      <c r="B275" s="34">
        <f t="shared" si="275"/>
        <v>46104</v>
      </c>
      <c r="C275" s="34">
        <f t="shared" si="275"/>
        <v>46113</v>
      </c>
      <c r="D275" s="33">
        <v>3281</v>
      </c>
      <c r="E275" s="33">
        <v>337</v>
      </c>
      <c r="F275" s="33">
        <v>4</v>
      </c>
      <c r="G275" s="55">
        <v>5</v>
      </c>
      <c r="H275" s="24">
        <v>81506</v>
      </c>
      <c r="I275" s="50" t="s">
        <v>17</v>
      </c>
      <c r="J275" s="70">
        <v>45223347</v>
      </c>
      <c r="K275" s="70" t="s">
        <v>1445</v>
      </c>
      <c r="L275" s="70" t="s">
        <v>1447</v>
      </c>
      <c r="M275" s="69">
        <v>299900</v>
      </c>
      <c r="N275" s="36">
        <f t="shared" si="260"/>
        <v>0.75</v>
      </c>
      <c r="O275" s="35">
        <f t="shared" si="242"/>
        <v>74975</v>
      </c>
      <c r="P275" s="33" t="s">
        <v>16</v>
      </c>
    </row>
    <row r="276" spans="1:16" x14ac:dyDescent="0.35">
      <c r="A276" s="33" t="str">
        <f t="shared" ref="A276:C276" si="276">A275</f>
        <v>2024 JAN-DEC DISC 75%</v>
      </c>
      <c r="B276" s="34">
        <f t="shared" si="276"/>
        <v>46104</v>
      </c>
      <c r="C276" s="34">
        <f t="shared" si="276"/>
        <v>46113</v>
      </c>
      <c r="D276" s="33">
        <v>3281</v>
      </c>
      <c r="E276" s="33">
        <v>337</v>
      </c>
      <c r="F276" s="33">
        <v>4</v>
      </c>
      <c r="G276" s="55">
        <v>5</v>
      </c>
      <c r="H276" s="24">
        <v>81506</v>
      </c>
      <c r="I276" s="50" t="s">
        <v>17</v>
      </c>
      <c r="J276" s="70">
        <v>45223356</v>
      </c>
      <c r="K276" s="70" t="s">
        <v>1445</v>
      </c>
      <c r="L276" s="70" t="s">
        <v>1448</v>
      </c>
      <c r="M276" s="69">
        <v>299900</v>
      </c>
      <c r="N276" s="36">
        <f t="shared" si="260"/>
        <v>0.75</v>
      </c>
      <c r="O276" s="35">
        <f t="shared" si="242"/>
        <v>74975</v>
      </c>
      <c r="P276" s="33" t="s">
        <v>16</v>
      </c>
    </row>
    <row r="277" spans="1:16" x14ac:dyDescent="0.35">
      <c r="A277" s="33" t="str">
        <f t="shared" ref="A277:C277" si="277">A276</f>
        <v>2024 JAN-DEC DISC 75%</v>
      </c>
      <c r="B277" s="34">
        <f t="shared" si="277"/>
        <v>46104</v>
      </c>
      <c r="C277" s="34">
        <f t="shared" si="277"/>
        <v>46113</v>
      </c>
      <c r="D277" s="33">
        <v>3281</v>
      </c>
      <c r="E277" s="33">
        <v>337</v>
      </c>
      <c r="F277" s="33">
        <v>4</v>
      </c>
      <c r="G277" s="55">
        <v>5</v>
      </c>
      <c r="H277" s="24">
        <v>81506</v>
      </c>
      <c r="I277" s="50" t="s">
        <v>17</v>
      </c>
      <c r="J277" s="70">
        <v>45223365</v>
      </c>
      <c r="K277" s="70" t="s">
        <v>1445</v>
      </c>
      <c r="L277" s="70" t="s">
        <v>1449</v>
      </c>
      <c r="M277" s="69">
        <v>299900</v>
      </c>
      <c r="N277" s="36">
        <f t="shared" si="260"/>
        <v>0.75</v>
      </c>
      <c r="O277" s="35">
        <f t="shared" si="242"/>
        <v>74975</v>
      </c>
      <c r="P277" s="33" t="s">
        <v>16</v>
      </c>
    </row>
    <row r="278" spans="1:16" x14ac:dyDescent="0.35">
      <c r="A278" s="33" t="str">
        <f t="shared" ref="A278:C278" si="278">A277</f>
        <v>2024 JAN-DEC DISC 75%</v>
      </c>
      <c r="B278" s="34">
        <f t="shared" si="278"/>
        <v>46104</v>
      </c>
      <c r="C278" s="34">
        <f t="shared" si="278"/>
        <v>46113</v>
      </c>
      <c r="D278" s="33">
        <v>3281</v>
      </c>
      <c r="E278" s="33">
        <v>337</v>
      </c>
      <c r="F278" s="33">
        <v>4</v>
      </c>
      <c r="G278" s="55">
        <v>5</v>
      </c>
      <c r="H278" s="24">
        <v>81506</v>
      </c>
      <c r="I278" s="50" t="s">
        <v>17</v>
      </c>
      <c r="J278" s="70">
        <v>45228557</v>
      </c>
      <c r="K278" s="70" t="s">
        <v>1450</v>
      </c>
      <c r="L278" s="70" t="s">
        <v>1451</v>
      </c>
      <c r="M278" s="69">
        <v>259900</v>
      </c>
      <c r="N278" s="36">
        <f t="shared" si="260"/>
        <v>0.75</v>
      </c>
      <c r="O278" s="35">
        <f t="shared" si="242"/>
        <v>64975</v>
      </c>
      <c r="P278" s="33" t="s">
        <v>16</v>
      </c>
    </row>
    <row r="279" spans="1:16" x14ac:dyDescent="0.35">
      <c r="A279" s="33" t="str">
        <f t="shared" ref="A279:C279" si="279">A278</f>
        <v>2024 JAN-DEC DISC 75%</v>
      </c>
      <c r="B279" s="34">
        <f t="shared" si="279"/>
        <v>46104</v>
      </c>
      <c r="C279" s="34">
        <f t="shared" si="279"/>
        <v>46113</v>
      </c>
      <c r="D279" s="33">
        <v>3281</v>
      </c>
      <c r="E279" s="33">
        <v>337</v>
      </c>
      <c r="F279" s="33">
        <v>4</v>
      </c>
      <c r="G279" s="55">
        <v>5</v>
      </c>
      <c r="H279" s="24">
        <v>81506</v>
      </c>
      <c r="I279" s="50" t="s">
        <v>17</v>
      </c>
      <c r="J279" s="70">
        <v>45228566</v>
      </c>
      <c r="K279" s="70" t="s">
        <v>1450</v>
      </c>
      <c r="L279" s="70" t="s">
        <v>1452</v>
      </c>
      <c r="M279" s="69">
        <v>259900</v>
      </c>
      <c r="N279" s="36">
        <f t="shared" si="260"/>
        <v>0.75</v>
      </c>
      <c r="O279" s="35">
        <f t="shared" si="242"/>
        <v>64975</v>
      </c>
      <c r="P279" s="33" t="s">
        <v>16</v>
      </c>
    </row>
    <row r="280" spans="1:16" x14ac:dyDescent="0.35">
      <c r="A280" s="33" t="str">
        <f t="shared" ref="A280:C280" si="280">A279</f>
        <v>2024 JAN-DEC DISC 75%</v>
      </c>
      <c r="B280" s="34">
        <f t="shared" si="280"/>
        <v>46104</v>
      </c>
      <c r="C280" s="34">
        <f t="shared" si="280"/>
        <v>46113</v>
      </c>
      <c r="D280" s="33">
        <v>3281</v>
      </c>
      <c r="E280" s="33">
        <v>337</v>
      </c>
      <c r="F280" s="33">
        <v>4</v>
      </c>
      <c r="G280" s="55">
        <v>5</v>
      </c>
      <c r="H280" s="24">
        <v>81506</v>
      </c>
      <c r="I280" s="50" t="s">
        <v>17</v>
      </c>
      <c r="J280" s="70">
        <v>45228575</v>
      </c>
      <c r="K280" s="70" t="s">
        <v>1450</v>
      </c>
      <c r="L280" s="70" t="s">
        <v>1453</v>
      </c>
      <c r="M280" s="69">
        <v>259900</v>
      </c>
      <c r="N280" s="36">
        <f t="shared" si="260"/>
        <v>0.75</v>
      </c>
      <c r="O280" s="35">
        <f t="shared" si="242"/>
        <v>64975</v>
      </c>
      <c r="P280" s="33" t="s">
        <v>16</v>
      </c>
    </row>
    <row r="281" spans="1:16" x14ac:dyDescent="0.35">
      <c r="A281" s="33" t="str">
        <f t="shared" ref="A281:C281" si="281">A280</f>
        <v>2024 JAN-DEC DISC 75%</v>
      </c>
      <c r="B281" s="34">
        <f t="shared" si="281"/>
        <v>46104</v>
      </c>
      <c r="C281" s="34">
        <f t="shared" si="281"/>
        <v>46113</v>
      </c>
      <c r="D281" s="33">
        <v>3281</v>
      </c>
      <c r="E281" s="33">
        <v>337</v>
      </c>
      <c r="F281" s="33">
        <v>4</v>
      </c>
      <c r="G281" s="55">
        <v>5</v>
      </c>
      <c r="H281" s="24">
        <v>81506</v>
      </c>
      <c r="I281" s="50" t="s">
        <v>17</v>
      </c>
      <c r="J281" s="70">
        <v>45228584</v>
      </c>
      <c r="K281" s="70" t="s">
        <v>1450</v>
      </c>
      <c r="L281" s="70" t="s">
        <v>1454</v>
      </c>
      <c r="M281" s="69">
        <v>259900</v>
      </c>
      <c r="N281" s="36">
        <f t="shared" si="260"/>
        <v>0.75</v>
      </c>
      <c r="O281" s="35">
        <f t="shared" si="242"/>
        <v>64975</v>
      </c>
      <c r="P281" s="33" t="s">
        <v>16</v>
      </c>
    </row>
    <row r="282" spans="1:16" x14ac:dyDescent="0.35">
      <c r="A282" s="33" t="str">
        <f t="shared" ref="A282:C282" si="282">A281</f>
        <v>2024 JAN-DEC DISC 75%</v>
      </c>
      <c r="B282" s="34">
        <f t="shared" si="282"/>
        <v>46104</v>
      </c>
      <c r="C282" s="34">
        <f t="shared" si="282"/>
        <v>46113</v>
      </c>
      <c r="D282" s="33">
        <v>3281</v>
      </c>
      <c r="E282" s="33">
        <v>337</v>
      </c>
      <c r="F282" s="33">
        <v>4</v>
      </c>
      <c r="G282" s="55">
        <v>5</v>
      </c>
      <c r="H282" s="24">
        <v>81421</v>
      </c>
      <c r="I282" s="50" t="s">
        <v>17</v>
      </c>
      <c r="J282" s="70">
        <v>45223016</v>
      </c>
      <c r="K282" s="70" t="s">
        <v>1593</v>
      </c>
      <c r="L282" s="70" t="s">
        <v>1596</v>
      </c>
      <c r="M282" s="69">
        <v>169900</v>
      </c>
      <c r="N282" s="36">
        <f t="shared" si="260"/>
        <v>0.75</v>
      </c>
      <c r="O282" s="35">
        <f t="shared" si="242"/>
        <v>42475</v>
      </c>
      <c r="P282" s="33" t="s">
        <v>16</v>
      </c>
    </row>
    <row r="283" spans="1:16" x14ac:dyDescent="0.35">
      <c r="A283" s="33" t="str">
        <f t="shared" ref="A283:C283" si="283">A282</f>
        <v>2024 JAN-DEC DISC 75%</v>
      </c>
      <c r="B283" s="34">
        <f t="shared" si="283"/>
        <v>46104</v>
      </c>
      <c r="C283" s="34">
        <f t="shared" si="283"/>
        <v>46113</v>
      </c>
      <c r="D283" s="33">
        <v>3281</v>
      </c>
      <c r="E283" s="33">
        <v>337</v>
      </c>
      <c r="F283" s="33">
        <v>4</v>
      </c>
      <c r="G283" s="55">
        <v>5</v>
      </c>
      <c r="H283" s="24">
        <v>81421</v>
      </c>
      <c r="I283" s="50" t="s">
        <v>17</v>
      </c>
      <c r="J283" s="70">
        <v>45223025</v>
      </c>
      <c r="K283" s="70" t="s">
        <v>1593</v>
      </c>
      <c r="L283" s="70" t="s">
        <v>1597</v>
      </c>
      <c r="M283" s="69">
        <v>169900</v>
      </c>
      <c r="N283" s="36">
        <f t="shared" si="260"/>
        <v>0.75</v>
      </c>
      <c r="O283" s="35">
        <f t="shared" si="242"/>
        <v>42475</v>
      </c>
      <c r="P283" s="33" t="s">
        <v>16</v>
      </c>
    </row>
    <row r="284" spans="1:16" x14ac:dyDescent="0.35">
      <c r="A284" s="33" t="str">
        <f t="shared" ref="A284:C284" si="284">A283</f>
        <v>2024 JAN-DEC DISC 75%</v>
      </c>
      <c r="B284" s="34">
        <f t="shared" si="284"/>
        <v>46104</v>
      </c>
      <c r="C284" s="34">
        <f t="shared" si="284"/>
        <v>46113</v>
      </c>
      <c r="D284" s="33">
        <v>3281</v>
      </c>
      <c r="E284" s="33">
        <v>337</v>
      </c>
      <c r="F284" s="33">
        <v>4</v>
      </c>
      <c r="G284" s="55">
        <v>5</v>
      </c>
      <c r="H284" s="24">
        <v>81421</v>
      </c>
      <c r="I284" s="50" t="s">
        <v>17</v>
      </c>
      <c r="J284" s="70">
        <v>45223034</v>
      </c>
      <c r="K284" s="70" t="s">
        <v>1593</v>
      </c>
      <c r="L284" s="70" t="s">
        <v>1594</v>
      </c>
      <c r="M284" s="69">
        <v>169900</v>
      </c>
      <c r="N284" s="36">
        <f t="shared" si="260"/>
        <v>0.75</v>
      </c>
      <c r="O284" s="35">
        <f t="shared" si="242"/>
        <v>42475</v>
      </c>
      <c r="P284" s="33" t="s">
        <v>16</v>
      </c>
    </row>
    <row r="285" spans="1:16" x14ac:dyDescent="0.35">
      <c r="A285" s="33" t="str">
        <f t="shared" ref="A285:C285" si="285">A284</f>
        <v>2024 JAN-DEC DISC 75%</v>
      </c>
      <c r="B285" s="34">
        <f t="shared" si="285"/>
        <v>46104</v>
      </c>
      <c r="C285" s="34">
        <f t="shared" si="285"/>
        <v>46113</v>
      </c>
      <c r="D285" s="33">
        <v>3281</v>
      </c>
      <c r="E285" s="33">
        <v>337</v>
      </c>
      <c r="F285" s="33">
        <v>4</v>
      </c>
      <c r="G285" s="55">
        <v>1</v>
      </c>
      <c r="H285" s="24">
        <v>81421</v>
      </c>
      <c r="I285" s="50" t="s">
        <v>17</v>
      </c>
      <c r="J285" s="70">
        <v>45223043</v>
      </c>
      <c r="K285" s="70" t="s">
        <v>1593</v>
      </c>
      <c r="L285" s="70" t="s">
        <v>1595</v>
      </c>
      <c r="M285" s="69">
        <v>169900</v>
      </c>
      <c r="N285" s="36">
        <f t="shared" si="260"/>
        <v>0.75</v>
      </c>
      <c r="O285" s="35">
        <f t="shared" si="242"/>
        <v>42475</v>
      </c>
      <c r="P285" s="33" t="s">
        <v>16</v>
      </c>
    </row>
    <row r="286" spans="1:16" x14ac:dyDescent="0.35">
      <c r="A286" s="33" t="str">
        <f t="shared" ref="A286:C286" si="286">A285</f>
        <v>2024 JAN-DEC DISC 75%</v>
      </c>
      <c r="B286" s="34">
        <f t="shared" si="286"/>
        <v>46104</v>
      </c>
      <c r="C286" s="34">
        <f t="shared" si="286"/>
        <v>46113</v>
      </c>
      <c r="D286" s="33">
        <v>3281</v>
      </c>
      <c r="E286" s="33">
        <v>337</v>
      </c>
      <c r="F286" s="33">
        <v>4</v>
      </c>
      <c r="G286" s="55">
        <v>1</v>
      </c>
      <c r="H286" s="24">
        <v>81146</v>
      </c>
      <c r="I286" s="50" t="s">
        <v>17</v>
      </c>
      <c r="J286" s="70">
        <v>45223374</v>
      </c>
      <c r="K286" s="70" t="s">
        <v>1588</v>
      </c>
      <c r="L286" s="70" t="s">
        <v>1589</v>
      </c>
      <c r="M286" s="69">
        <v>299900</v>
      </c>
      <c r="N286" s="36">
        <f t="shared" si="260"/>
        <v>0.75</v>
      </c>
      <c r="O286" s="35">
        <f t="shared" si="242"/>
        <v>74975</v>
      </c>
      <c r="P286" s="33" t="s">
        <v>16</v>
      </c>
    </row>
    <row r="287" spans="1:16" x14ac:dyDescent="0.35">
      <c r="A287" s="33" t="str">
        <f t="shared" ref="A287:C287" si="287">A286</f>
        <v>2024 JAN-DEC DISC 75%</v>
      </c>
      <c r="B287" s="34">
        <f t="shared" si="287"/>
        <v>46104</v>
      </c>
      <c r="C287" s="34">
        <f t="shared" si="287"/>
        <v>46113</v>
      </c>
      <c r="D287" s="33">
        <v>3281</v>
      </c>
      <c r="E287" s="33">
        <v>337</v>
      </c>
      <c r="F287" s="33">
        <v>4</v>
      </c>
      <c r="G287" s="55">
        <v>1</v>
      </c>
      <c r="H287" s="24">
        <v>81146</v>
      </c>
      <c r="I287" s="50" t="s">
        <v>17</v>
      </c>
      <c r="J287" s="70">
        <v>45223383</v>
      </c>
      <c r="K287" s="70" t="s">
        <v>1588</v>
      </c>
      <c r="L287" s="70" t="s">
        <v>1590</v>
      </c>
      <c r="M287" s="69">
        <v>299900</v>
      </c>
      <c r="N287" s="36">
        <f t="shared" si="260"/>
        <v>0.75</v>
      </c>
      <c r="O287" s="35">
        <f t="shared" si="242"/>
        <v>74975</v>
      </c>
      <c r="P287" s="33" t="s">
        <v>16</v>
      </c>
    </row>
    <row r="288" spans="1:16" x14ac:dyDescent="0.35">
      <c r="A288" s="33" t="str">
        <f t="shared" ref="A288:C288" si="288">A287</f>
        <v>2024 JAN-DEC DISC 75%</v>
      </c>
      <c r="B288" s="34">
        <f t="shared" si="288"/>
        <v>46104</v>
      </c>
      <c r="C288" s="34">
        <f t="shared" si="288"/>
        <v>46113</v>
      </c>
      <c r="D288" s="33">
        <v>3281</v>
      </c>
      <c r="E288" s="33">
        <v>337</v>
      </c>
      <c r="F288" s="33">
        <v>4</v>
      </c>
      <c r="G288" s="55">
        <v>1</v>
      </c>
      <c r="H288" s="24">
        <v>81146</v>
      </c>
      <c r="I288" s="50" t="s">
        <v>17</v>
      </c>
      <c r="J288" s="70">
        <v>45223392</v>
      </c>
      <c r="K288" s="70" t="s">
        <v>1588</v>
      </c>
      <c r="L288" s="70" t="s">
        <v>1591</v>
      </c>
      <c r="M288" s="69">
        <v>299900</v>
      </c>
      <c r="N288" s="36">
        <f t="shared" si="260"/>
        <v>0.75</v>
      </c>
      <c r="O288" s="35">
        <f t="shared" si="242"/>
        <v>74975</v>
      </c>
      <c r="P288" s="33" t="s">
        <v>16</v>
      </c>
    </row>
    <row r="289" spans="1:16" x14ac:dyDescent="0.35">
      <c r="A289" s="33" t="str">
        <f t="shared" ref="A289:C289" si="289">A288</f>
        <v>2024 JAN-DEC DISC 75%</v>
      </c>
      <c r="B289" s="34">
        <f t="shared" si="289"/>
        <v>46104</v>
      </c>
      <c r="C289" s="34">
        <f t="shared" si="289"/>
        <v>46113</v>
      </c>
      <c r="D289" s="33">
        <v>3281</v>
      </c>
      <c r="E289" s="33">
        <v>337</v>
      </c>
      <c r="F289" s="33">
        <v>4</v>
      </c>
      <c r="G289" s="55">
        <v>5</v>
      </c>
      <c r="H289" s="24">
        <v>81146</v>
      </c>
      <c r="I289" s="50" t="s">
        <v>17</v>
      </c>
      <c r="J289" s="70">
        <v>45223409</v>
      </c>
      <c r="K289" s="70" t="s">
        <v>1588</v>
      </c>
      <c r="L289" s="70" t="s">
        <v>1592</v>
      </c>
      <c r="M289" s="69">
        <v>299900</v>
      </c>
      <c r="N289" s="36">
        <f t="shared" si="260"/>
        <v>0.75</v>
      </c>
      <c r="O289" s="35">
        <f t="shared" si="242"/>
        <v>74975</v>
      </c>
      <c r="P289" s="33" t="s">
        <v>16</v>
      </c>
    </row>
    <row r="290" spans="1:16" x14ac:dyDescent="0.35">
      <c r="A290" s="33" t="str">
        <f t="shared" ref="A290:C290" si="290">A289</f>
        <v>2024 JAN-DEC DISC 75%</v>
      </c>
      <c r="B290" s="34">
        <f t="shared" si="290"/>
        <v>46104</v>
      </c>
      <c r="C290" s="34">
        <f t="shared" si="290"/>
        <v>46113</v>
      </c>
      <c r="D290" s="33">
        <v>3281</v>
      </c>
      <c r="E290" s="33">
        <v>337</v>
      </c>
      <c r="F290" s="33">
        <v>4</v>
      </c>
      <c r="G290" s="55">
        <v>5</v>
      </c>
      <c r="H290" s="24">
        <v>81506</v>
      </c>
      <c r="I290" s="50" t="s">
        <v>17</v>
      </c>
      <c r="J290" s="70">
        <v>45223418</v>
      </c>
      <c r="K290" s="70" t="s">
        <v>1603</v>
      </c>
      <c r="L290" s="70" t="s">
        <v>1604</v>
      </c>
      <c r="M290" s="69">
        <v>299900</v>
      </c>
      <c r="N290" s="36">
        <f t="shared" si="260"/>
        <v>0.75</v>
      </c>
      <c r="O290" s="35">
        <f t="shared" si="242"/>
        <v>74975</v>
      </c>
      <c r="P290" s="33" t="s">
        <v>16</v>
      </c>
    </row>
    <row r="291" spans="1:16" x14ac:dyDescent="0.35">
      <c r="A291" s="33" t="str">
        <f t="shared" ref="A291:C291" si="291">A290</f>
        <v>2024 JAN-DEC DISC 75%</v>
      </c>
      <c r="B291" s="34">
        <f t="shared" si="291"/>
        <v>46104</v>
      </c>
      <c r="C291" s="34">
        <f t="shared" si="291"/>
        <v>46113</v>
      </c>
      <c r="D291" s="33">
        <v>3281</v>
      </c>
      <c r="E291" s="33">
        <v>337</v>
      </c>
      <c r="F291" s="33">
        <v>4</v>
      </c>
      <c r="G291" s="55">
        <v>5</v>
      </c>
      <c r="H291" s="24">
        <v>81506</v>
      </c>
      <c r="I291" s="50" t="s">
        <v>17</v>
      </c>
      <c r="J291" s="70">
        <v>45223427</v>
      </c>
      <c r="K291" s="70" t="s">
        <v>1603</v>
      </c>
      <c r="L291" s="70" t="s">
        <v>1605</v>
      </c>
      <c r="M291" s="69">
        <v>299900</v>
      </c>
      <c r="N291" s="36">
        <f t="shared" si="260"/>
        <v>0.75</v>
      </c>
      <c r="O291" s="35">
        <f t="shared" si="242"/>
        <v>74975</v>
      </c>
      <c r="P291" s="33" t="s">
        <v>16</v>
      </c>
    </row>
    <row r="292" spans="1:16" x14ac:dyDescent="0.35">
      <c r="A292" s="33" t="str">
        <f t="shared" ref="A292:C292" si="292">A291</f>
        <v>2024 JAN-DEC DISC 75%</v>
      </c>
      <c r="B292" s="34">
        <f t="shared" si="292"/>
        <v>46104</v>
      </c>
      <c r="C292" s="34">
        <f t="shared" si="292"/>
        <v>46113</v>
      </c>
      <c r="D292" s="33">
        <v>3281</v>
      </c>
      <c r="E292" s="33">
        <v>337</v>
      </c>
      <c r="F292" s="33">
        <v>4</v>
      </c>
      <c r="G292" s="55">
        <v>5</v>
      </c>
      <c r="H292" s="24">
        <v>81506</v>
      </c>
      <c r="I292" s="50" t="s">
        <v>17</v>
      </c>
      <c r="J292" s="70">
        <v>45223436</v>
      </c>
      <c r="K292" s="70" t="s">
        <v>1603</v>
      </c>
      <c r="L292" s="70" t="s">
        <v>1606</v>
      </c>
      <c r="M292" s="69">
        <v>299900</v>
      </c>
      <c r="N292" s="36">
        <f t="shared" si="260"/>
        <v>0.75</v>
      </c>
      <c r="O292" s="35">
        <f t="shared" si="242"/>
        <v>74975</v>
      </c>
      <c r="P292" s="33" t="s">
        <v>16</v>
      </c>
    </row>
    <row r="293" spans="1:16" x14ac:dyDescent="0.35">
      <c r="A293" s="33" t="str">
        <f t="shared" ref="A293:C293" si="293">A292</f>
        <v>2024 JAN-DEC DISC 75%</v>
      </c>
      <c r="B293" s="34">
        <f t="shared" si="293"/>
        <v>46104</v>
      </c>
      <c r="C293" s="34">
        <f t="shared" si="293"/>
        <v>46113</v>
      </c>
      <c r="D293" s="33">
        <v>3281</v>
      </c>
      <c r="E293" s="33">
        <v>337</v>
      </c>
      <c r="F293" s="33">
        <v>4</v>
      </c>
      <c r="G293" s="55">
        <v>5</v>
      </c>
      <c r="H293" s="24">
        <v>81506</v>
      </c>
      <c r="I293" s="50" t="s">
        <v>17</v>
      </c>
      <c r="J293" s="70">
        <v>45223445</v>
      </c>
      <c r="K293" s="70" t="s">
        <v>1603</v>
      </c>
      <c r="L293" s="70" t="s">
        <v>1607</v>
      </c>
      <c r="M293" s="69">
        <v>299900</v>
      </c>
      <c r="N293" s="36">
        <f t="shared" si="260"/>
        <v>0.75</v>
      </c>
      <c r="O293" s="35">
        <f t="shared" si="242"/>
        <v>74975</v>
      </c>
      <c r="P293" s="33" t="s">
        <v>16</v>
      </c>
    </row>
    <row r="294" spans="1:16" x14ac:dyDescent="0.35">
      <c r="A294" s="33" t="str">
        <f t="shared" ref="A294:C294" si="294">A293</f>
        <v>2024 JAN-DEC DISC 75%</v>
      </c>
      <c r="B294" s="34">
        <f t="shared" si="294"/>
        <v>46104</v>
      </c>
      <c r="C294" s="34">
        <f t="shared" si="294"/>
        <v>46113</v>
      </c>
      <c r="D294" s="33">
        <v>3281</v>
      </c>
      <c r="E294" s="33">
        <v>337</v>
      </c>
      <c r="F294" s="33">
        <v>4</v>
      </c>
      <c r="G294" s="55">
        <v>5</v>
      </c>
      <c r="H294" s="24">
        <v>81421</v>
      </c>
      <c r="I294" s="50" t="s">
        <v>17</v>
      </c>
      <c r="J294" s="70">
        <v>45223052</v>
      </c>
      <c r="K294" s="70" t="s">
        <v>1598</v>
      </c>
      <c r="L294" s="70" t="s">
        <v>1599</v>
      </c>
      <c r="M294" s="69">
        <v>169900</v>
      </c>
      <c r="N294" s="36">
        <f t="shared" si="260"/>
        <v>0.75</v>
      </c>
      <c r="O294" s="35">
        <f t="shared" si="242"/>
        <v>42475</v>
      </c>
      <c r="P294" s="33" t="s">
        <v>16</v>
      </c>
    </row>
    <row r="295" spans="1:16" x14ac:dyDescent="0.35">
      <c r="A295" s="33" t="str">
        <f t="shared" ref="A295:C295" si="295">A294</f>
        <v>2024 JAN-DEC DISC 75%</v>
      </c>
      <c r="B295" s="34">
        <f t="shared" si="295"/>
        <v>46104</v>
      </c>
      <c r="C295" s="34">
        <f t="shared" si="295"/>
        <v>46113</v>
      </c>
      <c r="D295" s="33">
        <v>3281</v>
      </c>
      <c r="E295" s="33">
        <v>337</v>
      </c>
      <c r="F295" s="33">
        <v>4</v>
      </c>
      <c r="G295" s="55">
        <v>5</v>
      </c>
      <c r="H295" s="24">
        <v>81421</v>
      </c>
      <c r="I295" s="50" t="s">
        <v>17</v>
      </c>
      <c r="J295" s="70">
        <v>45223061</v>
      </c>
      <c r="K295" s="70" t="s">
        <v>1598</v>
      </c>
      <c r="L295" s="70" t="s">
        <v>1600</v>
      </c>
      <c r="M295" s="69">
        <v>169900</v>
      </c>
      <c r="N295" s="36">
        <f t="shared" si="260"/>
        <v>0.75</v>
      </c>
      <c r="O295" s="35">
        <f t="shared" si="242"/>
        <v>42475</v>
      </c>
      <c r="P295" s="33" t="s">
        <v>16</v>
      </c>
    </row>
    <row r="296" spans="1:16" x14ac:dyDescent="0.35">
      <c r="A296" s="33" t="str">
        <f t="shared" ref="A296:C296" si="296">A295</f>
        <v>2024 JAN-DEC DISC 75%</v>
      </c>
      <c r="B296" s="34">
        <f t="shared" si="296"/>
        <v>46104</v>
      </c>
      <c r="C296" s="34">
        <f t="shared" si="296"/>
        <v>46113</v>
      </c>
      <c r="D296" s="33">
        <v>3281</v>
      </c>
      <c r="E296" s="33">
        <v>337</v>
      </c>
      <c r="F296" s="33">
        <v>4</v>
      </c>
      <c r="G296" s="55">
        <v>5</v>
      </c>
      <c r="H296" s="24">
        <v>81421</v>
      </c>
      <c r="I296" s="50" t="s">
        <v>17</v>
      </c>
      <c r="J296" s="70">
        <v>45223070</v>
      </c>
      <c r="K296" s="70" t="s">
        <v>1598</v>
      </c>
      <c r="L296" s="70" t="s">
        <v>1601</v>
      </c>
      <c r="M296" s="69">
        <v>169900</v>
      </c>
      <c r="N296" s="36">
        <f t="shared" si="260"/>
        <v>0.75</v>
      </c>
      <c r="O296" s="35">
        <f t="shared" si="242"/>
        <v>42475</v>
      </c>
      <c r="P296" s="33" t="s">
        <v>16</v>
      </c>
    </row>
    <row r="297" spans="1:16" x14ac:dyDescent="0.35">
      <c r="A297" s="33" t="str">
        <f t="shared" ref="A297:C297" si="297">A296</f>
        <v>2024 JAN-DEC DISC 75%</v>
      </c>
      <c r="B297" s="34">
        <f t="shared" si="297"/>
        <v>46104</v>
      </c>
      <c r="C297" s="34">
        <f t="shared" si="297"/>
        <v>46113</v>
      </c>
      <c r="D297" s="33">
        <v>3281</v>
      </c>
      <c r="E297" s="33">
        <v>337</v>
      </c>
      <c r="F297" s="33">
        <v>4</v>
      </c>
      <c r="G297" s="55">
        <v>1</v>
      </c>
      <c r="H297" s="24">
        <v>81421</v>
      </c>
      <c r="I297" s="50" t="s">
        <v>17</v>
      </c>
      <c r="J297" s="70">
        <v>45223089</v>
      </c>
      <c r="K297" s="70" t="s">
        <v>1598</v>
      </c>
      <c r="L297" s="70" t="s">
        <v>1602</v>
      </c>
      <c r="M297" s="69">
        <v>169900</v>
      </c>
      <c r="N297" s="36">
        <f t="shared" si="260"/>
        <v>0.75</v>
      </c>
      <c r="O297" s="35">
        <f t="shared" si="242"/>
        <v>42475</v>
      </c>
      <c r="P297" s="33" t="s">
        <v>16</v>
      </c>
    </row>
    <row r="298" spans="1:16" x14ac:dyDescent="0.35">
      <c r="A298" s="33" t="str">
        <f t="shared" ref="A298:C298" si="298">A297</f>
        <v>2024 JAN-DEC DISC 75%</v>
      </c>
      <c r="B298" s="34">
        <f t="shared" si="298"/>
        <v>46104</v>
      </c>
      <c r="C298" s="34">
        <f t="shared" si="298"/>
        <v>46113</v>
      </c>
      <c r="D298" s="33">
        <v>3281</v>
      </c>
      <c r="E298" s="33">
        <v>337</v>
      </c>
      <c r="F298" s="33">
        <v>4</v>
      </c>
      <c r="G298" s="55">
        <v>1</v>
      </c>
      <c r="H298" s="24">
        <v>81506</v>
      </c>
      <c r="I298" s="50" t="s">
        <v>17</v>
      </c>
      <c r="J298" s="70">
        <v>50037539</v>
      </c>
      <c r="K298" s="70" t="s">
        <v>1608</v>
      </c>
      <c r="L298" s="70" t="s">
        <v>1610</v>
      </c>
      <c r="M298" s="69">
        <v>299900</v>
      </c>
      <c r="N298" s="36">
        <f t="shared" si="260"/>
        <v>0.75</v>
      </c>
      <c r="O298" s="35">
        <f t="shared" si="242"/>
        <v>74975</v>
      </c>
      <c r="P298" s="33" t="s">
        <v>16</v>
      </c>
    </row>
    <row r="299" spans="1:16" x14ac:dyDescent="0.35">
      <c r="A299" s="33" t="str">
        <f t="shared" ref="A299:C299" si="299">A298</f>
        <v>2024 JAN-DEC DISC 75%</v>
      </c>
      <c r="B299" s="34">
        <f t="shared" si="299"/>
        <v>46104</v>
      </c>
      <c r="C299" s="34">
        <f t="shared" si="299"/>
        <v>46113</v>
      </c>
      <c r="D299" s="33">
        <v>3281</v>
      </c>
      <c r="E299" s="33">
        <v>337</v>
      </c>
      <c r="F299" s="33">
        <v>4</v>
      </c>
      <c r="G299" s="55">
        <v>1</v>
      </c>
      <c r="H299" s="24">
        <v>81506</v>
      </c>
      <c r="I299" s="50" t="s">
        <v>17</v>
      </c>
      <c r="J299" s="70">
        <v>50037548</v>
      </c>
      <c r="K299" s="70" t="s">
        <v>1608</v>
      </c>
      <c r="L299" s="70" t="s">
        <v>1611</v>
      </c>
      <c r="M299" s="69">
        <v>299900</v>
      </c>
      <c r="N299" s="36">
        <f t="shared" si="260"/>
        <v>0.75</v>
      </c>
      <c r="O299" s="35">
        <f t="shared" si="242"/>
        <v>74975</v>
      </c>
      <c r="P299" s="33" t="s">
        <v>16</v>
      </c>
    </row>
    <row r="300" spans="1:16" x14ac:dyDescent="0.35">
      <c r="A300" s="33" t="str">
        <f t="shared" ref="A300:C300" si="300">A299</f>
        <v>2024 JAN-DEC DISC 75%</v>
      </c>
      <c r="B300" s="34">
        <f t="shared" si="300"/>
        <v>46104</v>
      </c>
      <c r="C300" s="34">
        <f t="shared" si="300"/>
        <v>46113</v>
      </c>
      <c r="D300" s="33">
        <v>3281</v>
      </c>
      <c r="E300" s="33">
        <v>337</v>
      </c>
      <c r="F300" s="33">
        <v>4</v>
      </c>
      <c r="G300" s="55">
        <v>1</v>
      </c>
      <c r="H300" s="24">
        <v>81506</v>
      </c>
      <c r="I300" s="50" t="s">
        <v>17</v>
      </c>
      <c r="J300" s="70">
        <v>50037557</v>
      </c>
      <c r="K300" s="70" t="s">
        <v>1608</v>
      </c>
      <c r="L300" s="70" t="s">
        <v>1612</v>
      </c>
      <c r="M300" s="69">
        <v>299900</v>
      </c>
      <c r="N300" s="36">
        <f t="shared" si="260"/>
        <v>0.75</v>
      </c>
      <c r="O300" s="35">
        <f t="shared" si="242"/>
        <v>74975</v>
      </c>
      <c r="P300" s="33" t="s">
        <v>16</v>
      </c>
    </row>
    <row r="301" spans="1:16" x14ac:dyDescent="0.35">
      <c r="A301" s="33" t="str">
        <f t="shared" ref="A301:C301" si="301">A300</f>
        <v>2024 JAN-DEC DISC 75%</v>
      </c>
      <c r="B301" s="34">
        <f t="shared" si="301"/>
        <v>46104</v>
      </c>
      <c r="C301" s="34">
        <f t="shared" si="301"/>
        <v>46113</v>
      </c>
      <c r="D301" s="33">
        <v>3281</v>
      </c>
      <c r="E301" s="33">
        <v>337</v>
      </c>
      <c r="F301" s="33">
        <v>4</v>
      </c>
      <c r="G301" s="55">
        <v>5</v>
      </c>
      <c r="H301" s="24">
        <v>81506</v>
      </c>
      <c r="I301" s="50" t="s">
        <v>17</v>
      </c>
      <c r="J301" s="70">
        <v>50037566</v>
      </c>
      <c r="K301" s="70" t="s">
        <v>1608</v>
      </c>
      <c r="L301" s="70" t="s">
        <v>1609</v>
      </c>
      <c r="M301" s="69">
        <v>299900</v>
      </c>
      <c r="N301" s="36">
        <f t="shared" si="260"/>
        <v>0.75</v>
      </c>
      <c r="O301" s="35">
        <f t="shared" si="242"/>
        <v>74975</v>
      </c>
      <c r="P301" s="33" t="s">
        <v>16</v>
      </c>
    </row>
    <row r="302" spans="1:16" x14ac:dyDescent="0.35">
      <c r="A302" s="33" t="str">
        <f t="shared" ref="A302:C302" si="302">A301</f>
        <v>2024 JAN-DEC DISC 75%</v>
      </c>
      <c r="B302" s="34">
        <f t="shared" si="302"/>
        <v>46104</v>
      </c>
      <c r="C302" s="34">
        <f t="shared" si="302"/>
        <v>46113</v>
      </c>
      <c r="D302" s="33">
        <v>3281</v>
      </c>
      <c r="E302" s="33">
        <v>337</v>
      </c>
      <c r="F302" s="33">
        <v>4</v>
      </c>
      <c r="G302" s="55">
        <v>5</v>
      </c>
      <c r="H302" s="24">
        <v>81421</v>
      </c>
      <c r="I302" s="50" t="s">
        <v>17</v>
      </c>
      <c r="J302" s="70">
        <v>50130473</v>
      </c>
      <c r="K302" s="70" t="s">
        <v>1613</v>
      </c>
      <c r="L302" s="70" t="s">
        <v>1620</v>
      </c>
      <c r="M302" s="69">
        <v>259900</v>
      </c>
      <c r="N302" s="36">
        <f t="shared" si="260"/>
        <v>0.75</v>
      </c>
      <c r="O302" s="35">
        <f t="shared" si="242"/>
        <v>64975</v>
      </c>
      <c r="P302" s="33" t="s">
        <v>16</v>
      </c>
    </row>
    <row r="303" spans="1:16" x14ac:dyDescent="0.35">
      <c r="A303" s="33" t="str">
        <f t="shared" ref="A303:C303" si="303">A302</f>
        <v>2024 JAN-DEC DISC 75%</v>
      </c>
      <c r="B303" s="34">
        <f t="shared" si="303"/>
        <v>46104</v>
      </c>
      <c r="C303" s="34">
        <f t="shared" si="303"/>
        <v>46113</v>
      </c>
      <c r="D303" s="33">
        <v>3281</v>
      </c>
      <c r="E303" s="33">
        <v>337</v>
      </c>
      <c r="F303" s="33">
        <v>4</v>
      </c>
      <c r="G303" s="55">
        <v>5</v>
      </c>
      <c r="H303" s="24">
        <v>81421</v>
      </c>
      <c r="I303" s="50" t="s">
        <v>17</v>
      </c>
      <c r="J303" s="70">
        <v>50130482</v>
      </c>
      <c r="K303" s="70" t="s">
        <v>1613</v>
      </c>
      <c r="L303" s="70" t="s">
        <v>1621</v>
      </c>
      <c r="M303" s="69">
        <v>259900</v>
      </c>
      <c r="N303" s="36">
        <f t="shared" si="260"/>
        <v>0.75</v>
      </c>
      <c r="O303" s="35">
        <f t="shared" si="242"/>
        <v>64975</v>
      </c>
      <c r="P303" s="33" t="s">
        <v>16</v>
      </c>
    </row>
    <row r="304" spans="1:16" x14ac:dyDescent="0.35">
      <c r="A304" s="33" t="str">
        <f t="shared" ref="A304:C304" si="304">A303</f>
        <v>2024 JAN-DEC DISC 75%</v>
      </c>
      <c r="B304" s="34">
        <f t="shared" si="304"/>
        <v>46104</v>
      </c>
      <c r="C304" s="34">
        <f t="shared" si="304"/>
        <v>46113</v>
      </c>
      <c r="D304" s="33">
        <v>3281</v>
      </c>
      <c r="E304" s="33">
        <v>337</v>
      </c>
      <c r="F304" s="33">
        <v>4</v>
      </c>
      <c r="G304" s="55">
        <v>5</v>
      </c>
      <c r="H304" s="24">
        <v>81421</v>
      </c>
      <c r="I304" s="50" t="s">
        <v>17</v>
      </c>
      <c r="J304" s="70">
        <v>50130491</v>
      </c>
      <c r="K304" s="70" t="s">
        <v>1613</v>
      </c>
      <c r="L304" s="70" t="s">
        <v>1622</v>
      </c>
      <c r="M304" s="69">
        <v>259900</v>
      </c>
      <c r="N304" s="36">
        <f t="shared" si="260"/>
        <v>0.75</v>
      </c>
      <c r="O304" s="35">
        <f t="shared" ref="O304:O310" si="305">M304-((75*M304))/100</f>
        <v>64975</v>
      </c>
      <c r="P304" s="33" t="s">
        <v>16</v>
      </c>
    </row>
    <row r="305" spans="1:16" x14ac:dyDescent="0.35">
      <c r="A305" s="33" t="str">
        <f t="shared" ref="A305:C305" si="306">A304</f>
        <v>2024 JAN-DEC DISC 75%</v>
      </c>
      <c r="B305" s="34">
        <f t="shared" si="306"/>
        <v>46104</v>
      </c>
      <c r="C305" s="34">
        <f t="shared" si="306"/>
        <v>46113</v>
      </c>
      <c r="D305" s="33">
        <v>3281</v>
      </c>
      <c r="E305" s="33">
        <v>337</v>
      </c>
      <c r="F305" s="33">
        <v>4</v>
      </c>
      <c r="G305" s="55">
        <v>5</v>
      </c>
      <c r="H305" s="24">
        <v>81421</v>
      </c>
      <c r="I305" s="50" t="s">
        <v>17</v>
      </c>
      <c r="J305" s="70">
        <v>50130508</v>
      </c>
      <c r="K305" s="70" t="s">
        <v>1613</v>
      </c>
      <c r="L305" s="70" t="s">
        <v>1614</v>
      </c>
      <c r="M305" s="69">
        <v>259900</v>
      </c>
      <c r="N305" s="36">
        <f t="shared" si="260"/>
        <v>0.75</v>
      </c>
      <c r="O305" s="35">
        <f t="shared" si="305"/>
        <v>64975</v>
      </c>
      <c r="P305" s="33" t="s">
        <v>16</v>
      </c>
    </row>
    <row r="306" spans="1:16" x14ac:dyDescent="0.35">
      <c r="A306" s="33" t="str">
        <f t="shared" ref="A306:C306" si="307">A305</f>
        <v>2024 JAN-DEC DISC 75%</v>
      </c>
      <c r="B306" s="34">
        <f t="shared" si="307"/>
        <v>46104</v>
      </c>
      <c r="C306" s="34">
        <f t="shared" si="307"/>
        <v>46113</v>
      </c>
      <c r="D306" s="33">
        <v>3281</v>
      </c>
      <c r="E306" s="33">
        <v>337</v>
      </c>
      <c r="F306" s="33">
        <v>4</v>
      </c>
      <c r="G306" s="55">
        <v>5</v>
      </c>
      <c r="H306" s="24">
        <v>81421</v>
      </c>
      <c r="I306" s="50" t="s">
        <v>17</v>
      </c>
      <c r="J306" s="70">
        <v>45223098</v>
      </c>
      <c r="K306" s="70" t="s">
        <v>1615</v>
      </c>
      <c r="L306" s="70" t="s">
        <v>1616</v>
      </c>
      <c r="M306" s="69">
        <v>259900</v>
      </c>
      <c r="N306" s="36">
        <f t="shared" si="260"/>
        <v>0.75</v>
      </c>
      <c r="O306" s="35">
        <f t="shared" si="305"/>
        <v>64975</v>
      </c>
      <c r="P306" s="33" t="s">
        <v>16</v>
      </c>
    </row>
    <row r="307" spans="1:16" x14ac:dyDescent="0.35">
      <c r="A307" s="33" t="str">
        <f t="shared" ref="A307:C307" si="308">A306</f>
        <v>2024 JAN-DEC DISC 75%</v>
      </c>
      <c r="B307" s="34">
        <f t="shared" si="308"/>
        <v>46104</v>
      </c>
      <c r="C307" s="34">
        <f t="shared" si="308"/>
        <v>46113</v>
      </c>
      <c r="D307" s="33">
        <v>3281</v>
      </c>
      <c r="E307" s="33">
        <v>337</v>
      </c>
      <c r="F307" s="33">
        <v>4</v>
      </c>
      <c r="G307" s="55">
        <v>5</v>
      </c>
      <c r="H307" s="24">
        <v>81421</v>
      </c>
      <c r="I307" s="50" t="s">
        <v>17</v>
      </c>
      <c r="J307" s="70">
        <v>45223105</v>
      </c>
      <c r="K307" s="70" t="s">
        <v>1615</v>
      </c>
      <c r="L307" s="70" t="s">
        <v>1617</v>
      </c>
      <c r="M307" s="69">
        <v>259900</v>
      </c>
      <c r="N307" s="36">
        <f t="shared" si="260"/>
        <v>0.75</v>
      </c>
      <c r="O307" s="35">
        <f t="shared" si="305"/>
        <v>64975</v>
      </c>
      <c r="P307" s="33" t="s">
        <v>16</v>
      </c>
    </row>
    <row r="308" spans="1:16" x14ac:dyDescent="0.35">
      <c r="A308" s="33" t="str">
        <f t="shared" ref="A308:C308" si="309">A307</f>
        <v>2024 JAN-DEC DISC 75%</v>
      </c>
      <c r="B308" s="34">
        <f t="shared" si="309"/>
        <v>46104</v>
      </c>
      <c r="C308" s="34">
        <f t="shared" si="309"/>
        <v>46113</v>
      </c>
      <c r="D308" s="33">
        <v>3281</v>
      </c>
      <c r="E308" s="33">
        <v>337</v>
      </c>
      <c r="F308" s="33">
        <v>4</v>
      </c>
      <c r="G308" s="55">
        <v>5</v>
      </c>
      <c r="H308" s="24">
        <v>81421</v>
      </c>
      <c r="I308" s="50" t="s">
        <v>17</v>
      </c>
      <c r="J308" s="70">
        <v>45223114</v>
      </c>
      <c r="K308" s="70" t="s">
        <v>1615</v>
      </c>
      <c r="L308" s="70" t="s">
        <v>1618</v>
      </c>
      <c r="M308" s="69">
        <v>259900</v>
      </c>
      <c r="N308" s="36">
        <f t="shared" si="260"/>
        <v>0.75</v>
      </c>
      <c r="O308" s="35">
        <f t="shared" si="305"/>
        <v>64975</v>
      </c>
      <c r="P308" s="33" t="s">
        <v>16</v>
      </c>
    </row>
    <row r="309" spans="1:16" x14ac:dyDescent="0.35">
      <c r="A309" s="33" t="str">
        <f t="shared" ref="A309:C309" si="310">A308</f>
        <v>2024 JAN-DEC DISC 75%</v>
      </c>
      <c r="B309" s="34">
        <f t="shared" si="310"/>
        <v>46104</v>
      </c>
      <c r="C309" s="34">
        <f t="shared" si="310"/>
        <v>46113</v>
      </c>
      <c r="D309" s="33">
        <v>3281</v>
      </c>
      <c r="E309" s="33">
        <v>337</v>
      </c>
      <c r="F309" s="33">
        <v>4</v>
      </c>
      <c r="G309" s="55">
        <v>5</v>
      </c>
      <c r="H309" s="24">
        <v>81421</v>
      </c>
      <c r="I309" s="50" t="s">
        <v>17</v>
      </c>
      <c r="J309" s="70">
        <v>45223123</v>
      </c>
      <c r="K309" s="70" t="s">
        <v>1615</v>
      </c>
      <c r="L309" s="70" t="s">
        <v>1619</v>
      </c>
      <c r="M309" s="69">
        <v>259900</v>
      </c>
      <c r="N309" s="36">
        <f t="shared" si="260"/>
        <v>0.75</v>
      </c>
      <c r="O309" s="35">
        <f t="shared" si="305"/>
        <v>64975</v>
      </c>
      <c r="P309" s="33" t="s">
        <v>16</v>
      </c>
    </row>
    <row r="310" spans="1:16" x14ac:dyDescent="0.35">
      <c r="A310" s="33" t="str">
        <f t="shared" ref="A310:C310" si="311">A309</f>
        <v>2024 JAN-DEC DISC 75%</v>
      </c>
      <c r="B310" s="34">
        <f t="shared" si="311"/>
        <v>46104</v>
      </c>
      <c r="C310" s="34">
        <f t="shared" si="311"/>
        <v>46113</v>
      </c>
      <c r="D310" s="33">
        <v>3281</v>
      </c>
      <c r="E310" s="33">
        <v>337</v>
      </c>
      <c r="F310" s="33">
        <v>4</v>
      </c>
      <c r="G310" s="55">
        <v>5</v>
      </c>
      <c r="H310" s="24">
        <v>81421</v>
      </c>
      <c r="I310" s="50" t="s">
        <v>17</v>
      </c>
      <c r="J310" s="70">
        <v>45511811</v>
      </c>
      <c r="K310" s="70" t="s">
        <v>1633</v>
      </c>
      <c r="L310" s="70" t="s">
        <v>1634</v>
      </c>
      <c r="M310" s="69">
        <v>279900</v>
      </c>
      <c r="N310" s="36">
        <f t="shared" si="260"/>
        <v>0.75</v>
      </c>
      <c r="O310" s="35">
        <f t="shared" si="305"/>
        <v>69975</v>
      </c>
      <c r="P310" s="33" t="s">
        <v>16</v>
      </c>
    </row>
    <row r="311" spans="1:16" x14ac:dyDescent="0.35">
      <c r="A311" s="33" t="str">
        <f t="shared" ref="A311:C311" si="312">A310</f>
        <v>2024 JAN-DEC DISC 75%</v>
      </c>
      <c r="B311" s="34">
        <f t="shared" si="312"/>
        <v>46104</v>
      </c>
      <c r="C311" s="34">
        <f t="shared" si="312"/>
        <v>46113</v>
      </c>
      <c r="D311" s="33">
        <v>3281</v>
      </c>
      <c r="E311" s="33">
        <v>337</v>
      </c>
      <c r="F311" s="33">
        <v>4</v>
      </c>
      <c r="G311" s="55">
        <v>5</v>
      </c>
      <c r="H311" s="24">
        <v>81421</v>
      </c>
      <c r="I311" s="50" t="s">
        <v>17</v>
      </c>
      <c r="J311" s="70">
        <v>45511820</v>
      </c>
      <c r="K311" s="70" t="s">
        <v>1633</v>
      </c>
      <c r="L311" s="70" t="s">
        <v>1635</v>
      </c>
      <c r="M311" s="69">
        <v>279900</v>
      </c>
      <c r="N311" s="36">
        <f t="shared" si="260"/>
        <v>0.75</v>
      </c>
      <c r="O311" s="35">
        <f t="shared" ref="O311:O345" si="313">M311-((75*M311))/100</f>
        <v>69975</v>
      </c>
      <c r="P311" s="33" t="s">
        <v>16</v>
      </c>
    </row>
    <row r="312" spans="1:16" x14ac:dyDescent="0.35">
      <c r="A312" s="33" t="str">
        <f t="shared" ref="A312:C312" si="314">A311</f>
        <v>2024 JAN-DEC DISC 75%</v>
      </c>
      <c r="B312" s="34">
        <f t="shared" si="314"/>
        <v>46104</v>
      </c>
      <c r="C312" s="34">
        <f t="shared" si="314"/>
        <v>46113</v>
      </c>
      <c r="D312" s="33">
        <v>3281</v>
      </c>
      <c r="E312" s="33">
        <v>337</v>
      </c>
      <c r="F312" s="33">
        <v>4</v>
      </c>
      <c r="G312" s="55">
        <v>5</v>
      </c>
      <c r="H312" s="24">
        <v>81421</v>
      </c>
      <c r="I312" s="50" t="s">
        <v>17</v>
      </c>
      <c r="J312" s="70">
        <v>45511839</v>
      </c>
      <c r="K312" s="70" t="s">
        <v>1633</v>
      </c>
      <c r="L312" s="70" t="s">
        <v>1636</v>
      </c>
      <c r="M312" s="69">
        <v>279900</v>
      </c>
      <c r="N312" s="36">
        <f t="shared" si="260"/>
        <v>0.75</v>
      </c>
      <c r="O312" s="35">
        <f t="shared" si="313"/>
        <v>69975</v>
      </c>
      <c r="P312" s="33" t="s">
        <v>16</v>
      </c>
    </row>
    <row r="313" spans="1:16" x14ac:dyDescent="0.35">
      <c r="A313" s="33" t="str">
        <f t="shared" ref="A313:C313" si="315">A312</f>
        <v>2024 JAN-DEC DISC 75%</v>
      </c>
      <c r="B313" s="34">
        <f t="shared" si="315"/>
        <v>46104</v>
      </c>
      <c r="C313" s="34">
        <f t="shared" si="315"/>
        <v>46113</v>
      </c>
      <c r="D313" s="33">
        <v>3281</v>
      </c>
      <c r="E313" s="33">
        <v>337</v>
      </c>
      <c r="F313" s="33">
        <v>4</v>
      </c>
      <c r="G313" s="55">
        <v>5</v>
      </c>
      <c r="H313" s="24">
        <v>81421</v>
      </c>
      <c r="I313" s="50" t="s">
        <v>17</v>
      </c>
      <c r="J313" s="70">
        <v>45511848</v>
      </c>
      <c r="K313" s="70" t="s">
        <v>1633</v>
      </c>
      <c r="L313" s="70" t="s">
        <v>1637</v>
      </c>
      <c r="M313" s="69">
        <v>279900</v>
      </c>
      <c r="N313" s="36">
        <f t="shared" si="260"/>
        <v>0.75</v>
      </c>
      <c r="O313" s="35">
        <f t="shared" si="313"/>
        <v>69975</v>
      </c>
      <c r="P313" s="33" t="s">
        <v>16</v>
      </c>
    </row>
    <row r="314" spans="1:16" x14ac:dyDescent="0.35">
      <c r="A314" s="33" t="str">
        <f t="shared" ref="A314:C314" si="316">A313</f>
        <v>2024 JAN-DEC DISC 75%</v>
      </c>
      <c r="B314" s="34">
        <f t="shared" si="316"/>
        <v>46104</v>
      </c>
      <c r="C314" s="34">
        <f t="shared" si="316"/>
        <v>46113</v>
      </c>
      <c r="D314" s="33">
        <v>3281</v>
      </c>
      <c r="E314" s="33">
        <v>337</v>
      </c>
      <c r="F314" s="33">
        <v>4</v>
      </c>
      <c r="G314" s="55">
        <v>5</v>
      </c>
      <c r="H314" s="24">
        <v>81421</v>
      </c>
      <c r="I314" s="50" t="s">
        <v>17</v>
      </c>
      <c r="J314" s="70">
        <v>45511857</v>
      </c>
      <c r="K314" s="70" t="s">
        <v>1638</v>
      </c>
      <c r="L314" s="70" t="s">
        <v>1639</v>
      </c>
      <c r="M314" s="69">
        <v>279900</v>
      </c>
      <c r="N314" s="36">
        <f t="shared" si="260"/>
        <v>0.75</v>
      </c>
      <c r="O314" s="35">
        <f t="shared" si="313"/>
        <v>69975</v>
      </c>
      <c r="P314" s="33" t="s">
        <v>16</v>
      </c>
    </row>
    <row r="315" spans="1:16" x14ac:dyDescent="0.35">
      <c r="A315" s="33" t="str">
        <f t="shared" ref="A315:C315" si="317">A314</f>
        <v>2024 JAN-DEC DISC 75%</v>
      </c>
      <c r="B315" s="34">
        <f t="shared" si="317"/>
        <v>46104</v>
      </c>
      <c r="C315" s="34">
        <f t="shared" si="317"/>
        <v>46113</v>
      </c>
      <c r="D315" s="33">
        <v>3281</v>
      </c>
      <c r="E315" s="33">
        <v>337</v>
      </c>
      <c r="F315" s="33">
        <v>4</v>
      </c>
      <c r="G315" s="55">
        <v>5</v>
      </c>
      <c r="H315" s="24">
        <v>81421</v>
      </c>
      <c r="I315" s="50" t="s">
        <v>17</v>
      </c>
      <c r="J315" s="70">
        <v>45511866</v>
      </c>
      <c r="K315" s="70" t="s">
        <v>1638</v>
      </c>
      <c r="L315" s="70" t="s">
        <v>1640</v>
      </c>
      <c r="M315" s="69">
        <v>279900</v>
      </c>
      <c r="N315" s="36">
        <f t="shared" si="260"/>
        <v>0.75</v>
      </c>
      <c r="O315" s="35">
        <f t="shared" si="313"/>
        <v>69975</v>
      </c>
      <c r="P315" s="33" t="s">
        <v>16</v>
      </c>
    </row>
    <row r="316" spans="1:16" x14ac:dyDescent="0.35">
      <c r="A316" s="33" t="str">
        <f t="shared" ref="A316:C316" si="318">A315</f>
        <v>2024 JAN-DEC DISC 75%</v>
      </c>
      <c r="B316" s="34">
        <f t="shared" si="318"/>
        <v>46104</v>
      </c>
      <c r="C316" s="34">
        <f t="shared" si="318"/>
        <v>46113</v>
      </c>
      <c r="D316" s="33">
        <v>3281</v>
      </c>
      <c r="E316" s="33">
        <v>337</v>
      </c>
      <c r="F316" s="33">
        <v>4</v>
      </c>
      <c r="G316" s="55">
        <v>5</v>
      </c>
      <c r="H316" s="24">
        <v>81421</v>
      </c>
      <c r="I316" s="50" t="s">
        <v>17</v>
      </c>
      <c r="J316" s="70">
        <v>45511875</v>
      </c>
      <c r="K316" s="70" t="s">
        <v>1638</v>
      </c>
      <c r="L316" s="70" t="s">
        <v>1641</v>
      </c>
      <c r="M316" s="69">
        <v>279900</v>
      </c>
      <c r="N316" s="36">
        <f t="shared" si="260"/>
        <v>0.75</v>
      </c>
      <c r="O316" s="35">
        <f t="shared" si="313"/>
        <v>69975</v>
      </c>
      <c r="P316" s="33" t="s">
        <v>16</v>
      </c>
    </row>
    <row r="317" spans="1:16" x14ac:dyDescent="0.35">
      <c r="A317" s="33" t="str">
        <f t="shared" ref="A317:C317" si="319">A316</f>
        <v>2024 JAN-DEC DISC 75%</v>
      </c>
      <c r="B317" s="34">
        <f t="shared" si="319"/>
        <v>46104</v>
      </c>
      <c r="C317" s="34">
        <f t="shared" si="319"/>
        <v>46113</v>
      </c>
      <c r="D317" s="33">
        <v>3281</v>
      </c>
      <c r="E317" s="33">
        <v>337</v>
      </c>
      <c r="F317" s="33">
        <v>4</v>
      </c>
      <c r="G317" s="55">
        <v>5</v>
      </c>
      <c r="H317" s="24">
        <v>81421</v>
      </c>
      <c r="I317" s="50" t="s">
        <v>17</v>
      </c>
      <c r="J317" s="70">
        <v>45511884</v>
      </c>
      <c r="K317" s="70" t="s">
        <v>1638</v>
      </c>
      <c r="L317" s="70" t="s">
        <v>1642</v>
      </c>
      <c r="M317" s="69">
        <v>279900</v>
      </c>
      <c r="N317" s="36">
        <f t="shared" si="260"/>
        <v>0.75</v>
      </c>
      <c r="O317" s="35">
        <f t="shared" si="313"/>
        <v>69975</v>
      </c>
      <c r="P317" s="33" t="s">
        <v>16</v>
      </c>
    </row>
    <row r="318" spans="1:16" x14ac:dyDescent="0.35">
      <c r="A318" s="33" t="str">
        <f t="shared" ref="A318:C318" si="320">A317</f>
        <v>2024 JAN-DEC DISC 75%</v>
      </c>
      <c r="B318" s="34">
        <f t="shared" si="320"/>
        <v>46104</v>
      </c>
      <c r="C318" s="34">
        <f t="shared" si="320"/>
        <v>46113</v>
      </c>
      <c r="D318" s="33">
        <v>3281</v>
      </c>
      <c r="E318" s="33">
        <v>337</v>
      </c>
      <c r="F318" s="33">
        <v>4</v>
      </c>
      <c r="G318" s="55">
        <v>5</v>
      </c>
      <c r="H318" s="24">
        <v>81146</v>
      </c>
      <c r="I318" s="50" t="s">
        <v>17</v>
      </c>
      <c r="J318" s="70">
        <v>50037333</v>
      </c>
      <c r="K318" s="70" t="s">
        <v>1749</v>
      </c>
      <c r="L318" s="70" t="s">
        <v>1750</v>
      </c>
      <c r="M318" s="69">
        <v>189900</v>
      </c>
      <c r="N318" s="36">
        <f t="shared" si="260"/>
        <v>0.75</v>
      </c>
      <c r="O318" s="35">
        <f t="shared" si="313"/>
        <v>47475</v>
      </c>
      <c r="P318" s="33" t="s">
        <v>16</v>
      </c>
    </row>
    <row r="319" spans="1:16" x14ac:dyDescent="0.35">
      <c r="A319" s="33" t="str">
        <f t="shared" ref="A319:C319" si="321">A318</f>
        <v>2024 JAN-DEC DISC 75%</v>
      </c>
      <c r="B319" s="34">
        <f t="shared" si="321"/>
        <v>46104</v>
      </c>
      <c r="C319" s="34">
        <f t="shared" si="321"/>
        <v>46113</v>
      </c>
      <c r="D319" s="33">
        <v>3281</v>
      </c>
      <c r="E319" s="33">
        <v>337</v>
      </c>
      <c r="F319" s="33">
        <v>4</v>
      </c>
      <c r="G319" s="55">
        <v>5</v>
      </c>
      <c r="H319" s="24">
        <v>81146</v>
      </c>
      <c r="I319" s="50" t="s">
        <v>17</v>
      </c>
      <c r="J319" s="70">
        <v>50037342</v>
      </c>
      <c r="K319" s="70" t="s">
        <v>1749</v>
      </c>
      <c r="L319" s="70" t="s">
        <v>1751</v>
      </c>
      <c r="M319" s="69">
        <v>189900</v>
      </c>
      <c r="N319" s="36">
        <f t="shared" si="260"/>
        <v>0.75</v>
      </c>
      <c r="O319" s="35">
        <f t="shared" si="313"/>
        <v>47475</v>
      </c>
      <c r="P319" s="33" t="s">
        <v>16</v>
      </c>
    </row>
    <row r="320" spans="1:16" x14ac:dyDescent="0.35">
      <c r="A320" s="33" t="str">
        <f t="shared" ref="A320:C320" si="322">A319</f>
        <v>2024 JAN-DEC DISC 75%</v>
      </c>
      <c r="B320" s="34">
        <f t="shared" si="322"/>
        <v>46104</v>
      </c>
      <c r="C320" s="34">
        <f t="shared" si="322"/>
        <v>46113</v>
      </c>
      <c r="D320" s="33">
        <v>3281</v>
      </c>
      <c r="E320" s="33">
        <v>337</v>
      </c>
      <c r="F320" s="33">
        <v>4</v>
      </c>
      <c r="G320" s="55">
        <v>5</v>
      </c>
      <c r="H320" s="24">
        <v>81146</v>
      </c>
      <c r="I320" s="50" t="s">
        <v>17</v>
      </c>
      <c r="J320" s="70">
        <v>50037351</v>
      </c>
      <c r="K320" s="70" t="s">
        <v>1749</v>
      </c>
      <c r="L320" s="70" t="s">
        <v>1753</v>
      </c>
      <c r="M320" s="69">
        <v>189900</v>
      </c>
      <c r="N320" s="36">
        <f t="shared" si="260"/>
        <v>0.75</v>
      </c>
      <c r="O320" s="35">
        <f t="shared" si="313"/>
        <v>47475</v>
      </c>
      <c r="P320" s="33" t="s">
        <v>16</v>
      </c>
    </row>
    <row r="321" spans="1:16" x14ac:dyDescent="0.35">
      <c r="A321" s="33" t="str">
        <f t="shared" ref="A321:C321" si="323">A320</f>
        <v>2024 JAN-DEC DISC 75%</v>
      </c>
      <c r="B321" s="34">
        <f t="shared" si="323"/>
        <v>46104</v>
      </c>
      <c r="C321" s="34">
        <f t="shared" si="323"/>
        <v>46113</v>
      </c>
      <c r="D321" s="33">
        <v>3281</v>
      </c>
      <c r="E321" s="33">
        <v>337</v>
      </c>
      <c r="F321" s="33">
        <v>4</v>
      </c>
      <c r="G321" s="55">
        <v>1</v>
      </c>
      <c r="H321" s="24">
        <v>81146</v>
      </c>
      <c r="I321" s="50" t="s">
        <v>17</v>
      </c>
      <c r="J321" s="70">
        <v>50037360</v>
      </c>
      <c r="K321" s="70" t="s">
        <v>1749</v>
      </c>
      <c r="L321" s="70" t="s">
        <v>1752</v>
      </c>
      <c r="M321" s="69">
        <v>189900</v>
      </c>
      <c r="N321" s="36">
        <f t="shared" si="260"/>
        <v>0.75</v>
      </c>
      <c r="O321" s="35">
        <f t="shared" si="313"/>
        <v>47475</v>
      </c>
      <c r="P321" s="33" t="s">
        <v>16</v>
      </c>
    </row>
    <row r="322" spans="1:16" x14ac:dyDescent="0.35">
      <c r="A322" s="33" t="str">
        <f t="shared" ref="A322:C322" si="324">A321</f>
        <v>2024 JAN-DEC DISC 75%</v>
      </c>
      <c r="B322" s="34">
        <f t="shared" si="324"/>
        <v>46104</v>
      </c>
      <c r="C322" s="34">
        <f t="shared" si="324"/>
        <v>46113</v>
      </c>
      <c r="D322" s="33">
        <v>3281</v>
      </c>
      <c r="E322" s="33">
        <v>337</v>
      </c>
      <c r="F322" s="33">
        <v>4</v>
      </c>
      <c r="G322" s="55">
        <v>1</v>
      </c>
      <c r="H322" s="24">
        <v>81146</v>
      </c>
      <c r="I322" s="50" t="s">
        <v>17</v>
      </c>
      <c r="J322" s="70">
        <v>50037379</v>
      </c>
      <c r="K322" s="70" t="s">
        <v>1754</v>
      </c>
      <c r="L322" s="70" t="s">
        <v>1755</v>
      </c>
      <c r="M322" s="69">
        <v>299900</v>
      </c>
      <c r="N322" s="36">
        <f t="shared" si="260"/>
        <v>0.75</v>
      </c>
      <c r="O322" s="35">
        <f t="shared" si="313"/>
        <v>74975</v>
      </c>
      <c r="P322" s="33" t="s">
        <v>16</v>
      </c>
    </row>
    <row r="323" spans="1:16" x14ac:dyDescent="0.35">
      <c r="A323" s="33" t="str">
        <f t="shared" ref="A323:C323" si="325">A322</f>
        <v>2024 JAN-DEC DISC 75%</v>
      </c>
      <c r="B323" s="34">
        <f t="shared" si="325"/>
        <v>46104</v>
      </c>
      <c r="C323" s="34">
        <f t="shared" si="325"/>
        <v>46113</v>
      </c>
      <c r="D323" s="33">
        <v>3281</v>
      </c>
      <c r="E323" s="33">
        <v>337</v>
      </c>
      <c r="F323" s="33">
        <v>4</v>
      </c>
      <c r="G323" s="55">
        <v>1</v>
      </c>
      <c r="H323" s="24">
        <v>81146</v>
      </c>
      <c r="I323" s="50" t="s">
        <v>17</v>
      </c>
      <c r="J323" s="70">
        <v>50037388</v>
      </c>
      <c r="K323" s="70" t="s">
        <v>1754</v>
      </c>
      <c r="L323" s="70" t="s">
        <v>1758</v>
      </c>
      <c r="M323" s="69">
        <v>299900</v>
      </c>
      <c r="N323" s="36">
        <f t="shared" si="260"/>
        <v>0.75</v>
      </c>
      <c r="O323" s="35">
        <f t="shared" si="313"/>
        <v>74975</v>
      </c>
      <c r="P323" s="33" t="s">
        <v>16</v>
      </c>
    </row>
    <row r="324" spans="1:16" x14ac:dyDescent="0.35">
      <c r="A324" s="33" t="str">
        <f t="shared" ref="A324:C324" si="326">A323</f>
        <v>2024 JAN-DEC DISC 75%</v>
      </c>
      <c r="B324" s="34">
        <f t="shared" si="326"/>
        <v>46104</v>
      </c>
      <c r="C324" s="34">
        <f t="shared" si="326"/>
        <v>46113</v>
      </c>
      <c r="D324" s="33">
        <v>3281</v>
      </c>
      <c r="E324" s="33">
        <v>337</v>
      </c>
      <c r="F324" s="33">
        <v>4</v>
      </c>
      <c r="G324" s="55">
        <v>1</v>
      </c>
      <c r="H324" s="24">
        <v>81146</v>
      </c>
      <c r="I324" s="50" t="s">
        <v>17</v>
      </c>
      <c r="J324" s="70">
        <v>50037397</v>
      </c>
      <c r="K324" s="70" t="s">
        <v>1754</v>
      </c>
      <c r="L324" s="70" t="s">
        <v>1756</v>
      </c>
      <c r="M324" s="69">
        <v>299900</v>
      </c>
      <c r="N324" s="36">
        <f t="shared" ref="N324:N345" si="327">N323</f>
        <v>0.75</v>
      </c>
      <c r="O324" s="35">
        <f t="shared" si="313"/>
        <v>74975</v>
      </c>
      <c r="P324" s="33" t="s">
        <v>16</v>
      </c>
    </row>
    <row r="325" spans="1:16" x14ac:dyDescent="0.35">
      <c r="A325" s="33" t="str">
        <f t="shared" ref="A325:C325" si="328">A324</f>
        <v>2024 JAN-DEC DISC 75%</v>
      </c>
      <c r="B325" s="34">
        <f t="shared" si="328"/>
        <v>46104</v>
      </c>
      <c r="C325" s="34">
        <f t="shared" si="328"/>
        <v>46113</v>
      </c>
      <c r="D325" s="33">
        <v>3281</v>
      </c>
      <c r="E325" s="33">
        <v>337</v>
      </c>
      <c r="F325" s="33">
        <v>4</v>
      </c>
      <c r="G325" s="55">
        <v>3</v>
      </c>
      <c r="H325" s="24">
        <v>81146</v>
      </c>
      <c r="I325" s="50" t="s">
        <v>17</v>
      </c>
      <c r="J325" s="70">
        <v>50037404</v>
      </c>
      <c r="K325" s="70" t="s">
        <v>1754</v>
      </c>
      <c r="L325" s="70" t="s">
        <v>1757</v>
      </c>
      <c r="M325" s="69">
        <v>299900</v>
      </c>
      <c r="N325" s="36">
        <f t="shared" si="327"/>
        <v>0.75</v>
      </c>
      <c r="O325" s="35">
        <f t="shared" si="313"/>
        <v>74975</v>
      </c>
      <c r="P325" s="33" t="s">
        <v>16</v>
      </c>
    </row>
    <row r="326" spans="1:16" x14ac:dyDescent="0.35">
      <c r="A326" s="33" t="str">
        <f t="shared" ref="A326:C326" si="329">A325</f>
        <v>2024 JAN-DEC DISC 75%</v>
      </c>
      <c r="B326" s="34">
        <f t="shared" si="329"/>
        <v>46104</v>
      </c>
      <c r="C326" s="34">
        <f t="shared" si="329"/>
        <v>46113</v>
      </c>
      <c r="D326" s="33">
        <v>3281</v>
      </c>
      <c r="E326" s="33">
        <v>337</v>
      </c>
      <c r="F326" s="33">
        <v>4</v>
      </c>
      <c r="G326" s="55">
        <v>3</v>
      </c>
      <c r="H326" s="24">
        <v>81146</v>
      </c>
      <c r="I326" s="50" t="s">
        <v>17</v>
      </c>
      <c r="J326" s="70">
        <v>50037413</v>
      </c>
      <c r="K326" s="70" t="s">
        <v>1623</v>
      </c>
      <c r="L326" s="70" t="s">
        <v>1626</v>
      </c>
      <c r="M326" s="69">
        <v>239900</v>
      </c>
      <c r="N326" s="36">
        <f t="shared" si="327"/>
        <v>0.75</v>
      </c>
      <c r="O326" s="35">
        <f t="shared" si="313"/>
        <v>59975</v>
      </c>
      <c r="P326" s="33" t="s">
        <v>16</v>
      </c>
    </row>
    <row r="327" spans="1:16" x14ac:dyDescent="0.35">
      <c r="A327" s="33" t="str">
        <f t="shared" ref="A327:C327" si="330">A326</f>
        <v>2024 JAN-DEC DISC 75%</v>
      </c>
      <c r="B327" s="34">
        <f t="shared" si="330"/>
        <v>46104</v>
      </c>
      <c r="C327" s="34">
        <f t="shared" si="330"/>
        <v>46113</v>
      </c>
      <c r="D327" s="33">
        <v>3281</v>
      </c>
      <c r="E327" s="33">
        <v>337</v>
      </c>
      <c r="F327" s="33">
        <v>4</v>
      </c>
      <c r="G327" s="55">
        <v>3</v>
      </c>
      <c r="H327" s="24">
        <v>81146</v>
      </c>
      <c r="I327" s="50" t="s">
        <v>17</v>
      </c>
      <c r="J327" s="70">
        <v>50037422</v>
      </c>
      <c r="K327" s="70" t="s">
        <v>1623</v>
      </c>
      <c r="L327" s="70" t="s">
        <v>1627</v>
      </c>
      <c r="M327" s="69">
        <v>239900</v>
      </c>
      <c r="N327" s="36">
        <f t="shared" si="327"/>
        <v>0.75</v>
      </c>
      <c r="O327" s="35">
        <f t="shared" si="313"/>
        <v>59975</v>
      </c>
      <c r="P327" s="33" t="s">
        <v>16</v>
      </c>
    </row>
    <row r="328" spans="1:16" x14ac:dyDescent="0.35">
      <c r="A328" s="33" t="str">
        <f t="shared" ref="A328:C328" si="331">A327</f>
        <v>2024 JAN-DEC DISC 75%</v>
      </c>
      <c r="B328" s="34">
        <f t="shared" si="331"/>
        <v>46104</v>
      </c>
      <c r="C328" s="34">
        <f t="shared" si="331"/>
        <v>46113</v>
      </c>
      <c r="D328" s="33">
        <v>3281</v>
      </c>
      <c r="E328" s="33">
        <v>337</v>
      </c>
      <c r="F328" s="33">
        <v>4</v>
      </c>
      <c r="G328" s="55">
        <v>3</v>
      </c>
      <c r="H328" s="24">
        <v>81146</v>
      </c>
      <c r="I328" s="50" t="s">
        <v>17</v>
      </c>
      <c r="J328" s="70">
        <v>50037431</v>
      </c>
      <c r="K328" s="70" t="s">
        <v>1623</v>
      </c>
      <c r="L328" s="70" t="s">
        <v>1625</v>
      </c>
      <c r="M328" s="69">
        <v>239900</v>
      </c>
      <c r="N328" s="36">
        <f t="shared" si="327"/>
        <v>0.75</v>
      </c>
      <c r="O328" s="35">
        <f t="shared" si="313"/>
        <v>59975</v>
      </c>
      <c r="P328" s="33" t="s">
        <v>16</v>
      </c>
    </row>
    <row r="329" spans="1:16" x14ac:dyDescent="0.35">
      <c r="A329" s="33" t="str">
        <f t="shared" ref="A329:C329" si="332">A328</f>
        <v>2024 JAN-DEC DISC 75%</v>
      </c>
      <c r="B329" s="34">
        <f t="shared" si="332"/>
        <v>46104</v>
      </c>
      <c r="C329" s="34">
        <f t="shared" si="332"/>
        <v>46113</v>
      </c>
      <c r="D329" s="33">
        <v>3281</v>
      </c>
      <c r="E329" s="33">
        <v>337</v>
      </c>
      <c r="F329" s="33">
        <v>4</v>
      </c>
      <c r="G329" s="55">
        <v>3</v>
      </c>
      <c r="H329" s="24">
        <v>81146</v>
      </c>
      <c r="I329" s="50" t="s">
        <v>17</v>
      </c>
      <c r="J329" s="70">
        <v>50037440</v>
      </c>
      <c r="K329" s="70" t="s">
        <v>1623</v>
      </c>
      <c r="L329" s="70" t="s">
        <v>1624</v>
      </c>
      <c r="M329" s="69">
        <v>239900</v>
      </c>
      <c r="N329" s="36">
        <f t="shared" si="327"/>
        <v>0.75</v>
      </c>
      <c r="O329" s="35">
        <f t="shared" si="313"/>
        <v>59975</v>
      </c>
      <c r="P329" s="33" t="s">
        <v>16</v>
      </c>
    </row>
    <row r="330" spans="1:16" x14ac:dyDescent="0.35">
      <c r="A330" s="33" t="str">
        <f t="shared" ref="A330:C330" si="333">A329</f>
        <v>2024 JAN-DEC DISC 75%</v>
      </c>
      <c r="B330" s="34">
        <f t="shared" si="333"/>
        <v>46104</v>
      </c>
      <c r="C330" s="34">
        <f t="shared" si="333"/>
        <v>46113</v>
      </c>
      <c r="D330" s="33">
        <v>3281</v>
      </c>
      <c r="E330" s="33">
        <v>337</v>
      </c>
      <c r="F330" s="33">
        <v>4</v>
      </c>
      <c r="G330" s="55">
        <v>3</v>
      </c>
      <c r="H330" s="24">
        <v>81146</v>
      </c>
      <c r="I330" s="50" t="s">
        <v>17</v>
      </c>
      <c r="J330" s="70">
        <v>50037459</v>
      </c>
      <c r="K330" s="70" t="s">
        <v>1628</v>
      </c>
      <c r="L330" s="70" t="s">
        <v>1632</v>
      </c>
      <c r="M330" s="69">
        <v>249900</v>
      </c>
      <c r="N330" s="36">
        <f t="shared" si="327"/>
        <v>0.75</v>
      </c>
      <c r="O330" s="35">
        <f t="shared" si="313"/>
        <v>62475</v>
      </c>
      <c r="P330" s="33" t="s">
        <v>16</v>
      </c>
    </row>
    <row r="331" spans="1:16" x14ac:dyDescent="0.35">
      <c r="A331" s="33" t="str">
        <f t="shared" ref="A331:C331" si="334">A330</f>
        <v>2024 JAN-DEC DISC 75%</v>
      </c>
      <c r="B331" s="34">
        <f t="shared" si="334"/>
        <v>46104</v>
      </c>
      <c r="C331" s="34">
        <f t="shared" si="334"/>
        <v>46113</v>
      </c>
      <c r="D331" s="33">
        <v>3281</v>
      </c>
      <c r="E331" s="33">
        <v>337</v>
      </c>
      <c r="F331" s="33">
        <v>4</v>
      </c>
      <c r="G331" s="55">
        <v>3</v>
      </c>
      <c r="H331" s="24">
        <v>81146</v>
      </c>
      <c r="I331" s="50" t="s">
        <v>17</v>
      </c>
      <c r="J331" s="70">
        <v>50037468</v>
      </c>
      <c r="K331" s="70" t="s">
        <v>1628</v>
      </c>
      <c r="L331" s="70" t="s">
        <v>1630</v>
      </c>
      <c r="M331" s="69">
        <v>249900</v>
      </c>
      <c r="N331" s="36">
        <f t="shared" si="327"/>
        <v>0.75</v>
      </c>
      <c r="O331" s="35">
        <f t="shared" si="313"/>
        <v>62475</v>
      </c>
      <c r="P331" s="33" t="s">
        <v>16</v>
      </c>
    </row>
    <row r="332" spans="1:16" x14ac:dyDescent="0.35">
      <c r="A332" s="33" t="str">
        <f t="shared" ref="A332:C332" si="335">A331</f>
        <v>2024 JAN-DEC DISC 75%</v>
      </c>
      <c r="B332" s="34">
        <f t="shared" si="335"/>
        <v>46104</v>
      </c>
      <c r="C332" s="34">
        <f t="shared" si="335"/>
        <v>46113</v>
      </c>
      <c r="D332" s="33">
        <v>3281</v>
      </c>
      <c r="E332" s="33">
        <v>337</v>
      </c>
      <c r="F332" s="33">
        <v>4</v>
      </c>
      <c r="G332" s="55">
        <v>3</v>
      </c>
      <c r="H332" s="24">
        <v>81146</v>
      </c>
      <c r="I332" s="50" t="s">
        <v>17</v>
      </c>
      <c r="J332" s="70">
        <v>50037477</v>
      </c>
      <c r="K332" s="70" t="s">
        <v>1628</v>
      </c>
      <c r="L332" s="70" t="s">
        <v>1631</v>
      </c>
      <c r="M332" s="69">
        <v>249900</v>
      </c>
      <c r="N332" s="36">
        <f t="shared" si="327"/>
        <v>0.75</v>
      </c>
      <c r="O332" s="35">
        <f t="shared" si="313"/>
        <v>62475</v>
      </c>
      <c r="P332" s="33" t="s">
        <v>16</v>
      </c>
    </row>
    <row r="333" spans="1:16" x14ac:dyDescent="0.35">
      <c r="A333" s="33" t="str">
        <f t="shared" ref="A333:C333" si="336">A332</f>
        <v>2024 JAN-DEC DISC 75%</v>
      </c>
      <c r="B333" s="34">
        <f t="shared" si="336"/>
        <v>46104</v>
      </c>
      <c r="C333" s="34">
        <f t="shared" si="336"/>
        <v>46113</v>
      </c>
      <c r="D333" s="33">
        <v>3281</v>
      </c>
      <c r="E333" s="33">
        <v>337</v>
      </c>
      <c r="F333" s="33">
        <v>4</v>
      </c>
      <c r="G333" s="55">
        <v>4</v>
      </c>
      <c r="H333" s="24">
        <v>81146</v>
      </c>
      <c r="I333" s="50" t="s">
        <v>17</v>
      </c>
      <c r="J333" s="70">
        <v>50037486</v>
      </c>
      <c r="K333" s="70" t="s">
        <v>1628</v>
      </c>
      <c r="L333" s="70" t="s">
        <v>1629</v>
      </c>
      <c r="M333" s="69">
        <v>249900</v>
      </c>
      <c r="N333" s="36">
        <f t="shared" si="327"/>
        <v>0.75</v>
      </c>
      <c r="O333" s="35">
        <f t="shared" si="313"/>
        <v>62475</v>
      </c>
      <c r="P333" s="33" t="s">
        <v>16</v>
      </c>
    </row>
    <row r="334" spans="1:16" x14ac:dyDescent="0.35">
      <c r="A334" s="33" t="str">
        <f t="shared" ref="A334:C334" si="337">A333</f>
        <v>2024 JAN-DEC DISC 75%</v>
      </c>
      <c r="B334" s="34">
        <f t="shared" si="337"/>
        <v>46104</v>
      </c>
      <c r="C334" s="34">
        <f t="shared" si="337"/>
        <v>46113</v>
      </c>
      <c r="D334" s="33">
        <v>3281</v>
      </c>
      <c r="E334" s="33">
        <v>337</v>
      </c>
      <c r="F334" s="33">
        <v>4</v>
      </c>
      <c r="G334" s="55">
        <v>4</v>
      </c>
      <c r="H334" s="24">
        <v>81506</v>
      </c>
      <c r="I334" s="50" t="s">
        <v>17</v>
      </c>
      <c r="J334" s="70">
        <v>50037495</v>
      </c>
      <c r="K334" s="70" t="s">
        <v>1759</v>
      </c>
      <c r="L334" s="70" t="s">
        <v>1761</v>
      </c>
      <c r="M334" s="69">
        <v>259900</v>
      </c>
      <c r="N334" s="36">
        <f t="shared" si="327"/>
        <v>0.75</v>
      </c>
      <c r="O334" s="35">
        <f t="shared" si="313"/>
        <v>64975</v>
      </c>
      <c r="P334" s="33" t="s">
        <v>16</v>
      </c>
    </row>
    <row r="335" spans="1:16" x14ac:dyDescent="0.35">
      <c r="A335" s="33" t="str">
        <f t="shared" ref="A335:C335" si="338">A334</f>
        <v>2024 JAN-DEC DISC 75%</v>
      </c>
      <c r="B335" s="34">
        <f t="shared" si="338"/>
        <v>46104</v>
      </c>
      <c r="C335" s="34">
        <f t="shared" si="338"/>
        <v>46113</v>
      </c>
      <c r="D335" s="33">
        <v>3281</v>
      </c>
      <c r="E335" s="33">
        <v>337</v>
      </c>
      <c r="F335" s="33">
        <v>4</v>
      </c>
      <c r="G335" s="55">
        <v>4</v>
      </c>
      <c r="H335" s="24">
        <v>81506</v>
      </c>
      <c r="I335" s="50" t="s">
        <v>17</v>
      </c>
      <c r="J335" s="70">
        <v>50037502</v>
      </c>
      <c r="K335" s="70" t="s">
        <v>1759</v>
      </c>
      <c r="L335" s="70" t="s">
        <v>1760</v>
      </c>
      <c r="M335" s="69">
        <v>259900</v>
      </c>
      <c r="N335" s="36">
        <f t="shared" si="327"/>
        <v>0.75</v>
      </c>
      <c r="O335" s="35">
        <f t="shared" si="313"/>
        <v>64975</v>
      </c>
      <c r="P335" s="33" t="s">
        <v>16</v>
      </c>
    </row>
    <row r="336" spans="1:16" x14ac:dyDescent="0.35">
      <c r="A336" s="33" t="str">
        <f t="shared" ref="A336:C336" si="339">A335</f>
        <v>2024 JAN-DEC DISC 75%</v>
      </c>
      <c r="B336" s="34">
        <f t="shared" si="339"/>
        <v>46104</v>
      </c>
      <c r="C336" s="34">
        <f t="shared" si="339"/>
        <v>46113</v>
      </c>
      <c r="D336" s="33">
        <v>3281</v>
      </c>
      <c r="E336" s="33">
        <v>337</v>
      </c>
      <c r="F336" s="33">
        <v>4</v>
      </c>
      <c r="G336" s="55">
        <v>4</v>
      </c>
      <c r="H336" s="24">
        <v>81506</v>
      </c>
      <c r="I336" s="50" t="s">
        <v>17</v>
      </c>
      <c r="J336" s="70">
        <v>50037511</v>
      </c>
      <c r="K336" s="70" t="s">
        <v>1759</v>
      </c>
      <c r="L336" s="70" t="s">
        <v>1762</v>
      </c>
      <c r="M336" s="69">
        <v>259900</v>
      </c>
      <c r="N336" s="36">
        <f t="shared" si="327"/>
        <v>0.75</v>
      </c>
      <c r="O336" s="35">
        <f t="shared" si="313"/>
        <v>64975</v>
      </c>
      <c r="P336" s="33" t="s">
        <v>16</v>
      </c>
    </row>
    <row r="337" spans="1:16" x14ac:dyDescent="0.35">
      <c r="A337" s="33" t="str">
        <f t="shared" ref="A337:C337" si="340">A336</f>
        <v>2024 JAN-DEC DISC 75%</v>
      </c>
      <c r="B337" s="34">
        <f t="shared" si="340"/>
        <v>46104</v>
      </c>
      <c r="C337" s="34">
        <f t="shared" si="340"/>
        <v>46113</v>
      </c>
      <c r="D337" s="33">
        <v>3281</v>
      </c>
      <c r="E337" s="33">
        <v>337</v>
      </c>
      <c r="F337" s="33">
        <v>4</v>
      </c>
      <c r="G337" s="55">
        <v>5</v>
      </c>
      <c r="H337" s="24">
        <v>81506</v>
      </c>
      <c r="I337" s="50" t="s">
        <v>17</v>
      </c>
      <c r="J337" s="70">
        <v>50037520</v>
      </c>
      <c r="K337" s="70" t="s">
        <v>1759</v>
      </c>
      <c r="L337" s="70" t="s">
        <v>1763</v>
      </c>
      <c r="M337" s="69">
        <v>259900</v>
      </c>
      <c r="N337" s="36">
        <f t="shared" si="327"/>
        <v>0.75</v>
      </c>
      <c r="O337" s="35">
        <f t="shared" si="313"/>
        <v>64975</v>
      </c>
      <c r="P337" s="33" t="s">
        <v>16</v>
      </c>
    </row>
    <row r="338" spans="1:16" x14ac:dyDescent="0.35">
      <c r="A338" s="33" t="str">
        <f t="shared" ref="A338:C338" si="341">A337</f>
        <v>2024 JAN-DEC DISC 75%</v>
      </c>
      <c r="B338" s="34">
        <f t="shared" si="341"/>
        <v>46104</v>
      </c>
      <c r="C338" s="34">
        <f t="shared" si="341"/>
        <v>46113</v>
      </c>
      <c r="D338" s="33">
        <v>3281</v>
      </c>
      <c r="E338" s="33">
        <v>337</v>
      </c>
      <c r="F338" s="33">
        <v>4</v>
      </c>
      <c r="G338" s="55">
        <v>5</v>
      </c>
      <c r="H338" s="24">
        <v>81506</v>
      </c>
      <c r="I338" s="50" t="s">
        <v>17</v>
      </c>
      <c r="J338" s="70">
        <v>22444455</v>
      </c>
      <c r="K338" s="70" t="s">
        <v>1764</v>
      </c>
      <c r="L338" s="70" t="s">
        <v>1765</v>
      </c>
      <c r="M338" s="69">
        <v>259900</v>
      </c>
      <c r="N338" s="36">
        <f t="shared" si="327"/>
        <v>0.75</v>
      </c>
      <c r="O338" s="35">
        <f t="shared" si="313"/>
        <v>64975</v>
      </c>
      <c r="P338" s="33" t="s">
        <v>16</v>
      </c>
    </row>
    <row r="339" spans="1:16" x14ac:dyDescent="0.35">
      <c r="A339" s="33" t="str">
        <f t="shared" ref="A339:C339" si="342">A338</f>
        <v>2024 JAN-DEC DISC 75%</v>
      </c>
      <c r="B339" s="34">
        <f t="shared" si="342"/>
        <v>46104</v>
      </c>
      <c r="C339" s="34">
        <f t="shared" si="342"/>
        <v>46113</v>
      </c>
      <c r="D339" s="33">
        <v>3281</v>
      </c>
      <c r="E339" s="33">
        <v>337</v>
      </c>
      <c r="F339" s="33">
        <v>4</v>
      </c>
      <c r="G339" s="55">
        <v>5</v>
      </c>
      <c r="H339" s="24">
        <v>81506</v>
      </c>
      <c r="I339" s="50" t="s">
        <v>17</v>
      </c>
      <c r="J339" s="70">
        <v>22444464</v>
      </c>
      <c r="K339" s="70" t="s">
        <v>1764</v>
      </c>
      <c r="L339" s="70" t="s">
        <v>1768</v>
      </c>
      <c r="M339" s="69">
        <v>259900</v>
      </c>
      <c r="N339" s="36">
        <f t="shared" si="327"/>
        <v>0.75</v>
      </c>
      <c r="O339" s="35">
        <f t="shared" si="313"/>
        <v>64975</v>
      </c>
      <c r="P339" s="33" t="s">
        <v>16</v>
      </c>
    </row>
    <row r="340" spans="1:16" x14ac:dyDescent="0.35">
      <c r="A340" s="33" t="str">
        <f t="shared" ref="A340:C340" si="343">A339</f>
        <v>2024 JAN-DEC DISC 75%</v>
      </c>
      <c r="B340" s="34">
        <f t="shared" si="343"/>
        <v>46104</v>
      </c>
      <c r="C340" s="34">
        <f t="shared" si="343"/>
        <v>46113</v>
      </c>
      <c r="D340" s="20">
        <v>3281</v>
      </c>
      <c r="E340" s="20">
        <v>337</v>
      </c>
      <c r="F340" s="20">
        <v>4</v>
      </c>
      <c r="G340" s="55">
        <v>5</v>
      </c>
      <c r="H340" s="48">
        <v>81506</v>
      </c>
      <c r="I340" s="60" t="s">
        <v>17</v>
      </c>
      <c r="J340" s="70">
        <v>22444473</v>
      </c>
      <c r="K340" s="70" t="s">
        <v>1764</v>
      </c>
      <c r="L340" s="70" t="s">
        <v>1766</v>
      </c>
      <c r="M340" s="69">
        <v>259900</v>
      </c>
      <c r="N340" s="36">
        <f t="shared" si="327"/>
        <v>0.75</v>
      </c>
      <c r="O340" s="21">
        <f t="shared" si="313"/>
        <v>64975</v>
      </c>
      <c r="P340" s="20" t="s">
        <v>16</v>
      </c>
    </row>
    <row r="341" spans="1:16" x14ac:dyDescent="0.35">
      <c r="A341" s="33" t="str">
        <f t="shared" ref="A341:C341" si="344">A340</f>
        <v>2024 JAN-DEC DISC 75%</v>
      </c>
      <c r="B341" s="34">
        <f t="shared" si="344"/>
        <v>46104</v>
      </c>
      <c r="C341" s="34">
        <f t="shared" si="344"/>
        <v>46113</v>
      </c>
      <c r="D341" s="33">
        <v>3281</v>
      </c>
      <c r="E341" s="33">
        <v>337</v>
      </c>
      <c r="F341" s="33">
        <v>4</v>
      </c>
      <c r="G341" s="24">
        <v>5</v>
      </c>
      <c r="H341" s="24">
        <v>81506</v>
      </c>
      <c r="I341" s="33" t="s">
        <v>17</v>
      </c>
      <c r="J341" s="23">
        <v>22444482</v>
      </c>
      <c r="K341" s="23" t="s">
        <v>1764</v>
      </c>
      <c r="L341" s="23" t="s">
        <v>1767</v>
      </c>
      <c r="M341" s="25">
        <v>259900</v>
      </c>
      <c r="N341" s="36">
        <f t="shared" si="327"/>
        <v>0.75</v>
      </c>
      <c r="O341" s="35">
        <f t="shared" si="313"/>
        <v>64975</v>
      </c>
      <c r="P341" s="33" t="s">
        <v>16</v>
      </c>
    </row>
    <row r="342" spans="1:16" x14ac:dyDescent="0.35">
      <c r="A342" s="33" t="str">
        <f t="shared" ref="A342:C342" si="345">A341</f>
        <v>2024 JAN-DEC DISC 75%</v>
      </c>
      <c r="B342" s="34">
        <f t="shared" si="345"/>
        <v>46104</v>
      </c>
      <c r="C342" s="34">
        <f t="shared" si="345"/>
        <v>46113</v>
      </c>
      <c r="D342" s="33">
        <v>3281</v>
      </c>
      <c r="E342" s="33">
        <v>337</v>
      </c>
      <c r="F342" s="33">
        <v>4</v>
      </c>
      <c r="G342" s="24">
        <v>5</v>
      </c>
      <c r="H342" s="24">
        <v>81146</v>
      </c>
      <c r="I342" s="33" t="s">
        <v>17</v>
      </c>
      <c r="J342" s="23">
        <v>50130517</v>
      </c>
      <c r="K342" s="23" t="s">
        <v>1769</v>
      </c>
      <c r="L342" s="23" t="s">
        <v>1772</v>
      </c>
      <c r="M342" s="25">
        <v>299900</v>
      </c>
      <c r="N342" s="36">
        <f t="shared" si="327"/>
        <v>0.75</v>
      </c>
      <c r="O342" s="35">
        <f t="shared" si="313"/>
        <v>74975</v>
      </c>
      <c r="P342" s="33" t="s">
        <v>16</v>
      </c>
    </row>
    <row r="343" spans="1:16" x14ac:dyDescent="0.35">
      <c r="A343" s="33" t="str">
        <f t="shared" ref="A343:C343" si="346">A342</f>
        <v>2024 JAN-DEC DISC 75%</v>
      </c>
      <c r="B343" s="34">
        <f t="shared" si="346"/>
        <v>46104</v>
      </c>
      <c r="C343" s="34">
        <f t="shared" si="346"/>
        <v>46113</v>
      </c>
      <c r="D343" s="33">
        <v>3281</v>
      </c>
      <c r="E343" s="33">
        <v>337</v>
      </c>
      <c r="F343" s="33">
        <v>4</v>
      </c>
      <c r="G343" s="24">
        <v>5</v>
      </c>
      <c r="H343" s="24">
        <v>81146</v>
      </c>
      <c r="I343" s="33" t="s">
        <v>17</v>
      </c>
      <c r="J343" s="23">
        <v>50130526</v>
      </c>
      <c r="K343" s="23" t="s">
        <v>1769</v>
      </c>
      <c r="L343" s="23" t="s">
        <v>1771</v>
      </c>
      <c r="M343" s="25">
        <v>299900</v>
      </c>
      <c r="N343" s="36">
        <f t="shared" si="327"/>
        <v>0.75</v>
      </c>
      <c r="O343" s="35">
        <f t="shared" si="313"/>
        <v>74975</v>
      </c>
      <c r="P343" s="33" t="s">
        <v>16</v>
      </c>
    </row>
    <row r="344" spans="1:16" x14ac:dyDescent="0.35">
      <c r="A344" s="33" t="str">
        <f t="shared" ref="A344:C344" si="347">A343</f>
        <v>2024 JAN-DEC DISC 75%</v>
      </c>
      <c r="B344" s="34">
        <f t="shared" si="347"/>
        <v>46104</v>
      </c>
      <c r="C344" s="34">
        <f t="shared" si="347"/>
        <v>46113</v>
      </c>
      <c r="D344" s="33">
        <v>3281</v>
      </c>
      <c r="E344" s="33">
        <v>337</v>
      </c>
      <c r="F344" s="33">
        <v>4</v>
      </c>
      <c r="G344" s="24">
        <v>5</v>
      </c>
      <c r="H344" s="24">
        <v>81146</v>
      </c>
      <c r="I344" s="33" t="s">
        <v>17</v>
      </c>
      <c r="J344" s="23">
        <v>50130535</v>
      </c>
      <c r="K344" s="23" t="s">
        <v>1769</v>
      </c>
      <c r="L344" s="23" t="s">
        <v>1770</v>
      </c>
      <c r="M344" s="25">
        <v>299900</v>
      </c>
      <c r="N344" s="36">
        <f t="shared" si="327"/>
        <v>0.75</v>
      </c>
      <c r="O344" s="35">
        <f t="shared" si="313"/>
        <v>74975</v>
      </c>
      <c r="P344" s="33" t="s">
        <v>16</v>
      </c>
    </row>
    <row r="345" spans="1:16" x14ac:dyDescent="0.35">
      <c r="A345" s="33" t="str">
        <f t="shared" ref="A345:C345" si="348">A344</f>
        <v>2024 JAN-DEC DISC 75%</v>
      </c>
      <c r="B345" s="34">
        <f t="shared" si="348"/>
        <v>46104</v>
      </c>
      <c r="C345" s="34">
        <f t="shared" si="348"/>
        <v>46113</v>
      </c>
      <c r="D345" s="33">
        <v>3281</v>
      </c>
      <c r="E345" s="33">
        <v>337</v>
      </c>
      <c r="F345" s="33">
        <v>4</v>
      </c>
      <c r="G345" s="24">
        <v>5</v>
      </c>
      <c r="H345" s="24">
        <v>81146</v>
      </c>
      <c r="I345" s="33" t="s">
        <v>17</v>
      </c>
      <c r="J345" s="23">
        <v>50130544</v>
      </c>
      <c r="K345" s="23" t="s">
        <v>1769</v>
      </c>
      <c r="L345" s="23" t="s">
        <v>1773</v>
      </c>
      <c r="M345" s="25">
        <v>299900</v>
      </c>
      <c r="N345" s="36">
        <f t="shared" si="327"/>
        <v>0.75</v>
      </c>
      <c r="O345" s="35">
        <f t="shared" si="313"/>
        <v>74975</v>
      </c>
      <c r="P345" s="33" t="s">
        <v>16</v>
      </c>
    </row>
  </sheetData>
  <autoFilter ref="A1:P1" xr:uid="{00000000-0009-0000-0000-000006000000}"/>
  <conditionalFormatting sqref="J1:J1048576">
    <cfRule type="duplicateValues" dxfId="6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ABA12-D14F-45EE-8F7D-50693FC2BF82}">
  <sheetPr>
    <tabColor rgb="FFFFFF00"/>
  </sheetPr>
  <dimension ref="A1:P25"/>
  <sheetViews>
    <sheetView topLeftCell="L1" zoomScale="80" zoomScaleNormal="80" workbookViewId="0">
      <pane ySplit="1" topLeftCell="A3" activePane="bottomLeft" state="frozen"/>
      <selection activeCell="M23" sqref="M23"/>
      <selection pane="bottomLeft" activeCell="I17" sqref="I17"/>
    </sheetView>
  </sheetViews>
  <sheetFormatPr defaultColWidth="8.81640625" defaultRowHeight="14.5" x14ac:dyDescent="0.35"/>
  <cols>
    <col min="1" max="1" width="20.1796875" style="32" customWidth="1"/>
    <col min="2" max="2" width="12.08984375" style="37" customWidth="1"/>
    <col min="3" max="3" width="11.1796875" style="37" customWidth="1"/>
    <col min="4" max="4" width="10" style="32" bestFit="1" customWidth="1"/>
    <col min="5" max="5" width="6.453125" style="32" customWidth="1"/>
    <col min="6" max="6" width="8.81640625" style="32" customWidth="1"/>
    <col min="7" max="7" width="6.81640625" style="32" customWidth="1"/>
    <col min="8" max="8" width="9.54296875" style="32" customWidth="1"/>
    <col min="9" max="9" width="9.81640625" style="32" customWidth="1"/>
    <col min="10" max="10" width="9.453125" style="32" bestFit="1" customWidth="1"/>
    <col min="11" max="11" width="12.453125" style="32" bestFit="1" customWidth="1"/>
    <col min="12" max="12" width="79.26953125" style="32" customWidth="1"/>
    <col min="13" max="13" width="15.6328125" style="38" customWidth="1"/>
    <col min="14" max="14" width="8.81640625" style="27" customWidth="1"/>
    <col min="15" max="15" width="13.81640625" style="38" customWidth="1"/>
    <col min="16" max="16" width="14.54296875" style="32" customWidth="1"/>
    <col min="17" max="16384" width="8.81640625" style="32"/>
  </cols>
  <sheetData>
    <row r="1" spans="1:16" ht="30.75" customHeight="1" x14ac:dyDescent="0.35">
      <c r="A1" s="28" t="s">
        <v>0</v>
      </c>
      <c r="B1" s="29" t="s">
        <v>15</v>
      </c>
      <c r="C1" s="29" t="s">
        <v>11</v>
      </c>
      <c r="D1" s="28" t="s">
        <v>1</v>
      </c>
      <c r="E1" s="28" t="s">
        <v>2</v>
      </c>
      <c r="F1" s="28" t="s">
        <v>12</v>
      </c>
      <c r="G1" s="30" t="s">
        <v>3</v>
      </c>
      <c r="H1" s="30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31" t="s">
        <v>14</v>
      </c>
      <c r="N1" s="26" t="s">
        <v>8</v>
      </c>
      <c r="O1" s="31" t="s">
        <v>9</v>
      </c>
      <c r="P1" s="28" t="s">
        <v>10</v>
      </c>
    </row>
    <row r="2" spans="1:16" x14ac:dyDescent="0.35">
      <c r="A2" s="33" t="s">
        <v>3268</v>
      </c>
      <c r="B2" s="34">
        <v>46104</v>
      </c>
      <c r="C2" s="34">
        <v>46113</v>
      </c>
      <c r="D2" s="33">
        <v>3284</v>
      </c>
      <c r="E2" s="33">
        <v>338</v>
      </c>
      <c r="F2" s="33">
        <v>4</v>
      </c>
      <c r="G2" s="24">
        <v>8</v>
      </c>
      <c r="H2" s="23">
        <v>80942</v>
      </c>
      <c r="I2" s="33" t="s">
        <v>17</v>
      </c>
      <c r="J2" s="24">
        <v>59173858</v>
      </c>
      <c r="K2" s="24" t="s">
        <v>2940</v>
      </c>
      <c r="L2" s="23" t="s">
        <v>2943</v>
      </c>
      <c r="M2" s="25">
        <v>129900</v>
      </c>
      <c r="N2" s="22" t="s">
        <v>19</v>
      </c>
      <c r="O2" s="33" t="s">
        <v>27</v>
      </c>
      <c r="P2" s="22" t="s">
        <v>19</v>
      </c>
    </row>
    <row r="3" spans="1:16" x14ac:dyDescent="0.35">
      <c r="A3" s="33" t="str">
        <f>A2</f>
        <v>2025 SEPT B1G1</v>
      </c>
      <c r="B3" s="34">
        <f t="shared" ref="B3:C4" si="0">B2</f>
        <v>46104</v>
      </c>
      <c r="C3" s="34">
        <f t="shared" si="0"/>
        <v>46113</v>
      </c>
      <c r="D3" s="33">
        <v>3284</v>
      </c>
      <c r="E3" s="33">
        <v>338</v>
      </c>
      <c r="F3" s="33">
        <v>4</v>
      </c>
      <c r="G3" s="24">
        <v>8</v>
      </c>
      <c r="H3" s="23">
        <v>80942</v>
      </c>
      <c r="I3" s="33" t="s">
        <v>17</v>
      </c>
      <c r="J3" s="24">
        <v>59173867</v>
      </c>
      <c r="K3" s="24" t="s">
        <v>2940</v>
      </c>
      <c r="L3" s="23" t="s">
        <v>2942</v>
      </c>
      <c r="M3" s="25">
        <v>129900</v>
      </c>
      <c r="N3" s="22" t="str">
        <f>N2</f>
        <v>BXGY</v>
      </c>
      <c r="O3" s="33" t="str">
        <f>O2</f>
        <v>B1G1</v>
      </c>
      <c r="P3" s="22" t="str">
        <f>P2</f>
        <v>BXGY</v>
      </c>
    </row>
    <row r="4" spans="1:16" x14ac:dyDescent="0.35">
      <c r="A4" s="33" t="str">
        <f t="shared" ref="A4:A25" si="1">A3</f>
        <v>2025 SEPT B1G1</v>
      </c>
      <c r="B4" s="34">
        <f t="shared" si="0"/>
        <v>46104</v>
      </c>
      <c r="C4" s="34">
        <f t="shared" si="0"/>
        <v>46113</v>
      </c>
      <c r="D4" s="33">
        <v>3284</v>
      </c>
      <c r="E4" s="33">
        <v>338</v>
      </c>
      <c r="F4" s="33">
        <v>4</v>
      </c>
      <c r="G4" s="24">
        <v>8</v>
      </c>
      <c r="H4" s="23">
        <v>80942</v>
      </c>
      <c r="I4" s="33" t="s">
        <v>17</v>
      </c>
      <c r="J4" s="24">
        <v>59173876</v>
      </c>
      <c r="K4" s="24" t="s">
        <v>2940</v>
      </c>
      <c r="L4" s="23" t="s">
        <v>2941</v>
      </c>
      <c r="M4" s="25">
        <v>129900</v>
      </c>
      <c r="N4" s="22" t="str">
        <f t="shared" ref="N4:O19" si="2">N3</f>
        <v>BXGY</v>
      </c>
      <c r="O4" s="33" t="str">
        <f t="shared" si="2"/>
        <v>B1G1</v>
      </c>
      <c r="P4" s="22" t="str">
        <f t="shared" ref="P4:P25" si="3">P3</f>
        <v>BXGY</v>
      </c>
    </row>
    <row r="5" spans="1:16" x14ac:dyDescent="0.35">
      <c r="A5" s="33" t="str">
        <f t="shared" si="1"/>
        <v>2025 SEPT B1G1</v>
      </c>
      <c r="B5" s="34">
        <f t="shared" ref="B5:C20" si="4">B4</f>
        <v>46104</v>
      </c>
      <c r="C5" s="34">
        <f t="shared" si="4"/>
        <v>46113</v>
      </c>
      <c r="D5" s="33">
        <v>3284</v>
      </c>
      <c r="E5" s="33">
        <v>338</v>
      </c>
      <c r="F5" s="33">
        <v>4</v>
      </c>
      <c r="G5" s="24">
        <v>8</v>
      </c>
      <c r="H5" s="23">
        <v>80942</v>
      </c>
      <c r="I5" s="33" t="s">
        <v>17</v>
      </c>
      <c r="J5" s="24">
        <v>59173885</v>
      </c>
      <c r="K5" s="24" t="s">
        <v>2940</v>
      </c>
      <c r="L5" s="23" t="s">
        <v>2944</v>
      </c>
      <c r="M5" s="25">
        <v>129900</v>
      </c>
      <c r="N5" s="22" t="str">
        <f t="shared" si="2"/>
        <v>BXGY</v>
      </c>
      <c r="O5" s="33" t="str">
        <f t="shared" si="2"/>
        <v>B1G1</v>
      </c>
      <c r="P5" s="22" t="str">
        <f t="shared" si="3"/>
        <v>BXGY</v>
      </c>
    </row>
    <row r="6" spans="1:16" x14ac:dyDescent="0.35">
      <c r="A6" s="33" t="str">
        <f t="shared" si="1"/>
        <v>2025 SEPT B1G1</v>
      </c>
      <c r="B6" s="34">
        <f t="shared" si="4"/>
        <v>46104</v>
      </c>
      <c r="C6" s="34">
        <f t="shared" si="4"/>
        <v>46113</v>
      </c>
      <c r="D6" s="33">
        <v>3284</v>
      </c>
      <c r="E6" s="33">
        <v>338</v>
      </c>
      <c r="F6" s="33">
        <v>4</v>
      </c>
      <c r="G6" s="24">
        <v>8</v>
      </c>
      <c r="H6" s="23">
        <v>80942</v>
      </c>
      <c r="I6" s="33" t="s">
        <v>17</v>
      </c>
      <c r="J6" s="24">
        <v>59173812</v>
      </c>
      <c r="K6" s="24" t="s">
        <v>2945</v>
      </c>
      <c r="L6" s="23" t="s">
        <v>2946</v>
      </c>
      <c r="M6" s="25">
        <v>149900</v>
      </c>
      <c r="N6" s="22" t="str">
        <f t="shared" si="2"/>
        <v>BXGY</v>
      </c>
      <c r="O6" s="33" t="str">
        <f t="shared" si="2"/>
        <v>B1G1</v>
      </c>
      <c r="P6" s="22" t="str">
        <f t="shared" si="3"/>
        <v>BXGY</v>
      </c>
    </row>
    <row r="7" spans="1:16" x14ac:dyDescent="0.35">
      <c r="A7" s="33" t="str">
        <f t="shared" si="1"/>
        <v>2025 SEPT B1G1</v>
      </c>
      <c r="B7" s="34">
        <f t="shared" si="4"/>
        <v>46104</v>
      </c>
      <c r="C7" s="34">
        <f t="shared" si="4"/>
        <v>46113</v>
      </c>
      <c r="D7" s="33">
        <v>3284</v>
      </c>
      <c r="E7" s="33">
        <v>338</v>
      </c>
      <c r="F7" s="33">
        <v>4</v>
      </c>
      <c r="G7" s="24">
        <v>8</v>
      </c>
      <c r="H7" s="23">
        <v>80942</v>
      </c>
      <c r="I7" s="33" t="s">
        <v>17</v>
      </c>
      <c r="J7" s="24">
        <v>59173821</v>
      </c>
      <c r="K7" s="24" t="s">
        <v>2945</v>
      </c>
      <c r="L7" s="23" t="s">
        <v>2947</v>
      </c>
      <c r="M7" s="25">
        <v>149900</v>
      </c>
      <c r="N7" s="22" t="str">
        <f t="shared" si="2"/>
        <v>BXGY</v>
      </c>
      <c r="O7" s="33" t="str">
        <f t="shared" si="2"/>
        <v>B1G1</v>
      </c>
      <c r="P7" s="22" t="str">
        <f t="shared" si="3"/>
        <v>BXGY</v>
      </c>
    </row>
    <row r="8" spans="1:16" x14ac:dyDescent="0.35">
      <c r="A8" s="33" t="str">
        <f t="shared" si="1"/>
        <v>2025 SEPT B1G1</v>
      </c>
      <c r="B8" s="34">
        <f t="shared" si="4"/>
        <v>46104</v>
      </c>
      <c r="C8" s="34">
        <f t="shared" si="4"/>
        <v>46113</v>
      </c>
      <c r="D8" s="33">
        <v>3284</v>
      </c>
      <c r="E8" s="33">
        <v>338</v>
      </c>
      <c r="F8" s="33">
        <v>4</v>
      </c>
      <c r="G8" s="24">
        <v>8</v>
      </c>
      <c r="H8" s="23">
        <v>80942</v>
      </c>
      <c r="I8" s="33" t="s">
        <v>17</v>
      </c>
      <c r="J8" s="24">
        <v>59173830</v>
      </c>
      <c r="K8" s="24" t="s">
        <v>2945</v>
      </c>
      <c r="L8" s="23" t="s">
        <v>2949</v>
      </c>
      <c r="M8" s="25">
        <v>149900</v>
      </c>
      <c r="N8" s="22" t="str">
        <f t="shared" si="2"/>
        <v>BXGY</v>
      </c>
      <c r="O8" s="33" t="str">
        <f t="shared" si="2"/>
        <v>B1G1</v>
      </c>
      <c r="P8" s="22" t="str">
        <f t="shared" si="3"/>
        <v>BXGY</v>
      </c>
    </row>
    <row r="9" spans="1:16" x14ac:dyDescent="0.35">
      <c r="A9" s="33" t="str">
        <f t="shared" si="1"/>
        <v>2025 SEPT B1G1</v>
      </c>
      <c r="B9" s="34">
        <f t="shared" si="4"/>
        <v>46104</v>
      </c>
      <c r="C9" s="34">
        <f t="shared" si="4"/>
        <v>46113</v>
      </c>
      <c r="D9" s="33">
        <v>3284</v>
      </c>
      <c r="E9" s="33">
        <v>338</v>
      </c>
      <c r="F9" s="33">
        <v>4</v>
      </c>
      <c r="G9" s="24">
        <v>8</v>
      </c>
      <c r="H9" s="23">
        <v>80942</v>
      </c>
      <c r="I9" s="33" t="s">
        <v>17</v>
      </c>
      <c r="J9" s="24">
        <v>59173849</v>
      </c>
      <c r="K9" s="24" t="s">
        <v>2945</v>
      </c>
      <c r="L9" s="23" t="s">
        <v>2948</v>
      </c>
      <c r="M9" s="25">
        <v>149900</v>
      </c>
      <c r="N9" s="22" t="str">
        <f t="shared" si="2"/>
        <v>BXGY</v>
      </c>
      <c r="O9" s="33" t="str">
        <f t="shared" si="2"/>
        <v>B1G1</v>
      </c>
      <c r="P9" s="22" t="str">
        <f t="shared" si="3"/>
        <v>BXGY</v>
      </c>
    </row>
    <row r="10" spans="1:16" x14ac:dyDescent="0.35">
      <c r="A10" s="33" t="str">
        <f t="shared" si="1"/>
        <v>2025 SEPT B1G1</v>
      </c>
      <c r="B10" s="34">
        <f t="shared" si="4"/>
        <v>46104</v>
      </c>
      <c r="C10" s="34">
        <f t="shared" si="4"/>
        <v>46113</v>
      </c>
      <c r="D10" s="33">
        <v>3284</v>
      </c>
      <c r="E10" s="33">
        <v>338</v>
      </c>
      <c r="F10" s="33">
        <v>4</v>
      </c>
      <c r="G10" s="24">
        <v>8</v>
      </c>
      <c r="H10" s="23">
        <v>80942</v>
      </c>
      <c r="I10" s="33" t="s">
        <v>17</v>
      </c>
      <c r="J10" s="24">
        <v>59173778</v>
      </c>
      <c r="K10" s="24" t="s">
        <v>2950</v>
      </c>
      <c r="L10" s="23" t="s">
        <v>2953</v>
      </c>
      <c r="M10" s="25">
        <v>79900</v>
      </c>
      <c r="N10" s="22" t="str">
        <f t="shared" si="2"/>
        <v>BXGY</v>
      </c>
      <c r="O10" s="33" t="str">
        <f t="shared" si="2"/>
        <v>B1G1</v>
      </c>
      <c r="P10" s="22" t="str">
        <f t="shared" si="3"/>
        <v>BXGY</v>
      </c>
    </row>
    <row r="11" spans="1:16" x14ac:dyDescent="0.35">
      <c r="A11" s="33" t="str">
        <f t="shared" si="1"/>
        <v>2025 SEPT B1G1</v>
      </c>
      <c r="B11" s="34">
        <f t="shared" si="4"/>
        <v>46104</v>
      </c>
      <c r="C11" s="34">
        <f t="shared" si="4"/>
        <v>46113</v>
      </c>
      <c r="D11" s="33">
        <v>3284</v>
      </c>
      <c r="E11" s="33">
        <v>338</v>
      </c>
      <c r="F11" s="33">
        <v>4</v>
      </c>
      <c r="G11" s="24">
        <v>8</v>
      </c>
      <c r="H11" s="23">
        <v>80942</v>
      </c>
      <c r="I11" s="33" t="s">
        <v>17</v>
      </c>
      <c r="J11" s="24">
        <v>59173787</v>
      </c>
      <c r="K11" s="24" t="s">
        <v>2950</v>
      </c>
      <c r="L11" s="23" t="s">
        <v>2951</v>
      </c>
      <c r="M11" s="25">
        <v>79900</v>
      </c>
      <c r="N11" s="22" t="str">
        <f t="shared" si="2"/>
        <v>BXGY</v>
      </c>
      <c r="O11" s="33" t="str">
        <f t="shared" si="2"/>
        <v>B1G1</v>
      </c>
      <c r="P11" s="22" t="str">
        <f t="shared" si="3"/>
        <v>BXGY</v>
      </c>
    </row>
    <row r="12" spans="1:16" x14ac:dyDescent="0.35">
      <c r="A12" s="33" t="str">
        <f t="shared" si="1"/>
        <v>2025 SEPT B1G1</v>
      </c>
      <c r="B12" s="34">
        <f t="shared" si="4"/>
        <v>46104</v>
      </c>
      <c r="C12" s="34">
        <f t="shared" si="4"/>
        <v>46113</v>
      </c>
      <c r="D12" s="33">
        <v>3284</v>
      </c>
      <c r="E12" s="33">
        <v>338</v>
      </c>
      <c r="F12" s="33">
        <v>4</v>
      </c>
      <c r="G12" s="24">
        <v>8</v>
      </c>
      <c r="H12" s="23">
        <v>80942</v>
      </c>
      <c r="I12" s="33" t="s">
        <v>17</v>
      </c>
      <c r="J12" s="24">
        <v>59173796</v>
      </c>
      <c r="K12" s="24" t="s">
        <v>2950</v>
      </c>
      <c r="L12" s="23" t="s">
        <v>2952</v>
      </c>
      <c r="M12" s="25">
        <v>79900</v>
      </c>
      <c r="N12" s="22" t="str">
        <f t="shared" si="2"/>
        <v>BXGY</v>
      </c>
      <c r="O12" s="33" t="str">
        <f t="shared" si="2"/>
        <v>B1G1</v>
      </c>
      <c r="P12" s="22" t="str">
        <f t="shared" si="3"/>
        <v>BXGY</v>
      </c>
    </row>
    <row r="13" spans="1:16" x14ac:dyDescent="0.35">
      <c r="A13" s="33" t="str">
        <f t="shared" si="1"/>
        <v>2025 SEPT B1G1</v>
      </c>
      <c r="B13" s="34">
        <f t="shared" si="4"/>
        <v>46104</v>
      </c>
      <c r="C13" s="34">
        <f t="shared" si="4"/>
        <v>46113</v>
      </c>
      <c r="D13" s="33">
        <v>3284</v>
      </c>
      <c r="E13" s="33">
        <v>338</v>
      </c>
      <c r="F13" s="33">
        <v>4</v>
      </c>
      <c r="G13" s="24">
        <v>8</v>
      </c>
      <c r="H13" s="23">
        <v>80942</v>
      </c>
      <c r="I13" s="33" t="s">
        <v>17</v>
      </c>
      <c r="J13" s="24">
        <v>59173803</v>
      </c>
      <c r="K13" s="24" t="s">
        <v>2950</v>
      </c>
      <c r="L13" s="23" t="s">
        <v>2954</v>
      </c>
      <c r="M13" s="25">
        <v>79900</v>
      </c>
      <c r="N13" s="22" t="str">
        <f t="shared" si="2"/>
        <v>BXGY</v>
      </c>
      <c r="O13" s="33" t="str">
        <f t="shared" si="2"/>
        <v>B1G1</v>
      </c>
      <c r="P13" s="22" t="str">
        <f t="shared" si="3"/>
        <v>BXGY</v>
      </c>
    </row>
    <row r="14" spans="1:16" x14ac:dyDescent="0.35">
      <c r="A14" s="33" t="str">
        <f t="shared" si="1"/>
        <v>2025 SEPT B1G1</v>
      </c>
      <c r="B14" s="34">
        <f t="shared" si="4"/>
        <v>46104</v>
      </c>
      <c r="C14" s="34">
        <f t="shared" si="4"/>
        <v>46113</v>
      </c>
      <c r="D14" s="33">
        <v>3284</v>
      </c>
      <c r="E14" s="33">
        <v>338</v>
      </c>
      <c r="F14" s="33">
        <v>4</v>
      </c>
      <c r="G14" s="24">
        <v>8</v>
      </c>
      <c r="H14" s="23">
        <v>81005</v>
      </c>
      <c r="I14" s="33" t="s">
        <v>17</v>
      </c>
      <c r="J14" s="24">
        <v>61301053</v>
      </c>
      <c r="K14" s="24" t="s">
        <v>2960</v>
      </c>
      <c r="L14" s="23" t="s">
        <v>2962</v>
      </c>
      <c r="M14" s="25">
        <v>129900</v>
      </c>
      <c r="N14" s="22" t="str">
        <f t="shared" si="2"/>
        <v>BXGY</v>
      </c>
      <c r="O14" s="33" t="str">
        <f t="shared" si="2"/>
        <v>B1G1</v>
      </c>
      <c r="P14" s="22" t="str">
        <f t="shared" si="3"/>
        <v>BXGY</v>
      </c>
    </row>
    <row r="15" spans="1:16" x14ac:dyDescent="0.35">
      <c r="A15" s="33" t="str">
        <f t="shared" si="1"/>
        <v>2025 SEPT B1G1</v>
      </c>
      <c r="B15" s="34">
        <f t="shared" si="4"/>
        <v>46104</v>
      </c>
      <c r="C15" s="34">
        <f t="shared" si="4"/>
        <v>46113</v>
      </c>
      <c r="D15" s="33">
        <v>3284</v>
      </c>
      <c r="E15" s="33">
        <v>338</v>
      </c>
      <c r="F15" s="33">
        <v>4</v>
      </c>
      <c r="G15" s="24">
        <v>8</v>
      </c>
      <c r="H15" s="23">
        <v>81005</v>
      </c>
      <c r="I15" s="33" t="s">
        <v>17</v>
      </c>
      <c r="J15" s="24">
        <v>61301062</v>
      </c>
      <c r="K15" s="24" t="s">
        <v>2960</v>
      </c>
      <c r="L15" s="23" t="s">
        <v>2961</v>
      </c>
      <c r="M15" s="25">
        <v>129900</v>
      </c>
      <c r="N15" s="22" t="str">
        <f t="shared" si="2"/>
        <v>BXGY</v>
      </c>
      <c r="O15" s="33" t="str">
        <f t="shared" si="2"/>
        <v>B1G1</v>
      </c>
      <c r="P15" s="22" t="str">
        <f t="shared" si="3"/>
        <v>BXGY</v>
      </c>
    </row>
    <row r="16" spans="1:16" x14ac:dyDescent="0.35">
      <c r="A16" s="33" t="str">
        <f t="shared" si="1"/>
        <v>2025 SEPT B1G1</v>
      </c>
      <c r="B16" s="34">
        <f t="shared" si="4"/>
        <v>46104</v>
      </c>
      <c r="C16" s="34">
        <f t="shared" si="4"/>
        <v>46113</v>
      </c>
      <c r="D16" s="33">
        <v>3284</v>
      </c>
      <c r="E16" s="33">
        <v>338</v>
      </c>
      <c r="F16" s="33">
        <v>4</v>
      </c>
      <c r="G16" s="24">
        <v>8</v>
      </c>
      <c r="H16" s="23">
        <v>81005</v>
      </c>
      <c r="I16" s="33" t="s">
        <v>17</v>
      </c>
      <c r="J16" s="24">
        <v>61301071</v>
      </c>
      <c r="K16" s="24" t="s">
        <v>2960</v>
      </c>
      <c r="L16" s="23" t="s">
        <v>2964</v>
      </c>
      <c r="M16" s="25">
        <v>129900</v>
      </c>
      <c r="N16" s="22" t="str">
        <f t="shared" si="2"/>
        <v>BXGY</v>
      </c>
      <c r="O16" s="33" t="str">
        <f t="shared" si="2"/>
        <v>B1G1</v>
      </c>
      <c r="P16" s="22" t="str">
        <f t="shared" si="3"/>
        <v>BXGY</v>
      </c>
    </row>
    <row r="17" spans="1:16" x14ac:dyDescent="0.35">
      <c r="A17" s="33" t="str">
        <f t="shared" si="1"/>
        <v>2025 SEPT B1G1</v>
      </c>
      <c r="B17" s="34">
        <f t="shared" si="4"/>
        <v>46104</v>
      </c>
      <c r="C17" s="34">
        <f t="shared" si="4"/>
        <v>46113</v>
      </c>
      <c r="D17" s="33">
        <v>3284</v>
      </c>
      <c r="E17" s="33">
        <v>338</v>
      </c>
      <c r="F17" s="33">
        <v>4</v>
      </c>
      <c r="G17" s="24">
        <v>8</v>
      </c>
      <c r="H17" s="23">
        <v>81005</v>
      </c>
      <c r="I17" s="33" t="s">
        <v>17</v>
      </c>
      <c r="J17" s="24">
        <v>61301080</v>
      </c>
      <c r="K17" s="24" t="s">
        <v>2960</v>
      </c>
      <c r="L17" s="23" t="s">
        <v>2963</v>
      </c>
      <c r="M17" s="25">
        <v>129900</v>
      </c>
      <c r="N17" s="22" t="str">
        <f t="shared" si="2"/>
        <v>BXGY</v>
      </c>
      <c r="O17" s="33" t="str">
        <f t="shared" si="2"/>
        <v>B1G1</v>
      </c>
      <c r="P17" s="22" t="str">
        <f t="shared" si="3"/>
        <v>BXGY</v>
      </c>
    </row>
    <row r="18" spans="1:16" x14ac:dyDescent="0.35">
      <c r="A18" s="33" t="str">
        <f t="shared" si="1"/>
        <v>2025 SEPT B1G1</v>
      </c>
      <c r="B18" s="34">
        <f t="shared" si="4"/>
        <v>46104</v>
      </c>
      <c r="C18" s="34">
        <f t="shared" si="4"/>
        <v>46113</v>
      </c>
      <c r="D18" s="33">
        <v>3284</v>
      </c>
      <c r="E18" s="33">
        <v>338</v>
      </c>
      <c r="F18" s="33">
        <v>4</v>
      </c>
      <c r="G18" s="24">
        <v>8</v>
      </c>
      <c r="H18" s="23">
        <v>81005</v>
      </c>
      <c r="I18" s="33" t="s">
        <v>17</v>
      </c>
      <c r="J18" s="24">
        <v>59174017</v>
      </c>
      <c r="K18" s="24" t="s">
        <v>2955</v>
      </c>
      <c r="L18" s="23" t="s">
        <v>2956</v>
      </c>
      <c r="M18" s="25">
        <v>149900</v>
      </c>
      <c r="N18" s="22" t="str">
        <f t="shared" si="2"/>
        <v>BXGY</v>
      </c>
      <c r="O18" s="33" t="str">
        <f t="shared" si="2"/>
        <v>B1G1</v>
      </c>
      <c r="P18" s="22" t="str">
        <f t="shared" si="3"/>
        <v>BXGY</v>
      </c>
    </row>
    <row r="19" spans="1:16" x14ac:dyDescent="0.35">
      <c r="A19" s="33" t="str">
        <f t="shared" si="1"/>
        <v>2025 SEPT B1G1</v>
      </c>
      <c r="B19" s="34">
        <f t="shared" si="4"/>
        <v>46104</v>
      </c>
      <c r="C19" s="34">
        <f t="shared" si="4"/>
        <v>46113</v>
      </c>
      <c r="D19" s="33">
        <v>3284</v>
      </c>
      <c r="E19" s="33">
        <v>338</v>
      </c>
      <c r="F19" s="33">
        <v>4</v>
      </c>
      <c r="G19" s="24">
        <v>8</v>
      </c>
      <c r="H19" s="23">
        <v>81005</v>
      </c>
      <c r="I19" s="33" t="s">
        <v>17</v>
      </c>
      <c r="J19" s="24">
        <v>59174026</v>
      </c>
      <c r="K19" s="24" t="s">
        <v>2955</v>
      </c>
      <c r="L19" s="23" t="s">
        <v>2959</v>
      </c>
      <c r="M19" s="25">
        <v>149900</v>
      </c>
      <c r="N19" s="22" t="str">
        <f t="shared" si="2"/>
        <v>BXGY</v>
      </c>
      <c r="O19" s="33" t="str">
        <f t="shared" si="2"/>
        <v>B1G1</v>
      </c>
      <c r="P19" s="22" t="str">
        <f t="shared" si="3"/>
        <v>BXGY</v>
      </c>
    </row>
    <row r="20" spans="1:16" x14ac:dyDescent="0.35">
      <c r="A20" s="33" t="str">
        <f t="shared" si="1"/>
        <v>2025 SEPT B1G1</v>
      </c>
      <c r="B20" s="34">
        <f t="shared" si="4"/>
        <v>46104</v>
      </c>
      <c r="C20" s="34">
        <f t="shared" si="4"/>
        <v>46113</v>
      </c>
      <c r="D20" s="33">
        <v>3284</v>
      </c>
      <c r="E20" s="33">
        <v>338</v>
      </c>
      <c r="F20" s="33">
        <v>4</v>
      </c>
      <c r="G20" s="24">
        <v>8</v>
      </c>
      <c r="H20" s="23">
        <v>81005</v>
      </c>
      <c r="I20" s="33" t="s">
        <v>17</v>
      </c>
      <c r="J20" s="24">
        <v>59174035</v>
      </c>
      <c r="K20" s="24" t="s">
        <v>2955</v>
      </c>
      <c r="L20" s="23" t="s">
        <v>2957</v>
      </c>
      <c r="M20" s="25">
        <v>149900</v>
      </c>
      <c r="N20" s="22" t="str">
        <f t="shared" ref="N20:O25" si="5">N19</f>
        <v>BXGY</v>
      </c>
      <c r="O20" s="33" t="str">
        <f t="shared" si="5"/>
        <v>B1G1</v>
      </c>
      <c r="P20" s="22" t="str">
        <f t="shared" si="3"/>
        <v>BXGY</v>
      </c>
    </row>
    <row r="21" spans="1:16" x14ac:dyDescent="0.35">
      <c r="A21" s="33" t="str">
        <f t="shared" si="1"/>
        <v>2025 SEPT B1G1</v>
      </c>
      <c r="B21" s="34">
        <f t="shared" ref="B21:C25" si="6">B20</f>
        <v>46104</v>
      </c>
      <c r="C21" s="34">
        <f t="shared" si="6"/>
        <v>46113</v>
      </c>
      <c r="D21" s="33">
        <v>3284</v>
      </c>
      <c r="E21" s="33">
        <v>338</v>
      </c>
      <c r="F21" s="33">
        <v>4</v>
      </c>
      <c r="G21" s="24">
        <v>8</v>
      </c>
      <c r="H21" s="23">
        <v>81005</v>
      </c>
      <c r="I21" s="33" t="s">
        <v>17</v>
      </c>
      <c r="J21" s="24">
        <v>59174044</v>
      </c>
      <c r="K21" s="24" t="s">
        <v>2955</v>
      </c>
      <c r="L21" s="23" t="s">
        <v>2958</v>
      </c>
      <c r="M21" s="25">
        <v>149900</v>
      </c>
      <c r="N21" s="22" t="str">
        <f t="shared" si="5"/>
        <v>BXGY</v>
      </c>
      <c r="O21" s="33" t="str">
        <f t="shared" si="5"/>
        <v>B1G1</v>
      </c>
      <c r="P21" s="22" t="str">
        <f t="shared" si="3"/>
        <v>BXGY</v>
      </c>
    </row>
    <row r="22" spans="1:16" x14ac:dyDescent="0.35">
      <c r="A22" s="33" t="str">
        <f t="shared" si="1"/>
        <v>2025 SEPT B1G1</v>
      </c>
      <c r="B22" s="34">
        <f t="shared" si="6"/>
        <v>46104</v>
      </c>
      <c r="C22" s="34">
        <f t="shared" si="6"/>
        <v>46113</v>
      </c>
      <c r="D22" s="33">
        <v>3284</v>
      </c>
      <c r="E22" s="33">
        <v>338</v>
      </c>
      <c r="F22" s="33">
        <v>4</v>
      </c>
      <c r="G22" s="24">
        <v>8</v>
      </c>
      <c r="H22" s="23">
        <v>81005</v>
      </c>
      <c r="I22" s="33" t="s">
        <v>17</v>
      </c>
      <c r="J22" s="24">
        <v>59173938</v>
      </c>
      <c r="K22" s="24" t="s">
        <v>3213</v>
      </c>
      <c r="L22" s="23" t="s">
        <v>3214</v>
      </c>
      <c r="M22" s="25">
        <v>129900</v>
      </c>
      <c r="N22" s="22" t="str">
        <f t="shared" si="5"/>
        <v>BXGY</v>
      </c>
      <c r="O22" s="33" t="str">
        <f t="shared" si="5"/>
        <v>B1G1</v>
      </c>
      <c r="P22" s="22" t="str">
        <f t="shared" si="3"/>
        <v>BXGY</v>
      </c>
    </row>
    <row r="23" spans="1:16" x14ac:dyDescent="0.35">
      <c r="A23" s="33" t="str">
        <f t="shared" si="1"/>
        <v>2025 SEPT B1G1</v>
      </c>
      <c r="B23" s="34">
        <f t="shared" si="6"/>
        <v>46104</v>
      </c>
      <c r="C23" s="34">
        <f t="shared" si="6"/>
        <v>46113</v>
      </c>
      <c r="D23" s="33">
        <v>3284</v>
      </c>
      <c r="E23" s="33">
        <v>338</v>
      </c>
      <c r="F23" s="33">
        <v>4</v>
      </c>
      <c r="G23" s="24">
        <v>8</v>
      </c>
      <c r="H23" s="23">
        <v>81005</v>
      </c>
      <c r="I23" s="33" t="s">
        <v>17</v>
      </c>
      <c r="J23" s="24">
        <v>59173947</v>
      </c>
      <c r="K23" s="24" t="s">
        <v>3213</v>
      </c>
      <c r="L23" s="23" t="s">
        <v>3215</v>
      </c>
      <c r="M23" s="25">
        <v>129900</v>
      </c>
      <c r="N23" s="22" t="str">
        <f t="shared" si="5"/>
        <v>BXGY</v>
      </c>
      <c r="O23" s="33" t="str">
        <f t="shared" si="5"/>
        <v>B1G1</v>
      </c>
      <c r="P23" s="22" t="str">
        <f t="shared" si="3"/>
        <v>BXGY</v>
      </c>
    </row>
    <row r="24" spans="1:16" x14ac:dyDescent="0.35">
      <c r="A24" s="33" t="str">
        <f t="shared" si="1"/>
        <v>2025 SEPT B1G1</v>
      </c>
      <c r="B24" s="34">
        <f t="shared" si="6"/>
        <v>46104</v>
      </c>
      <c r="C24" s="34">
        <f t="shared" si="6"/>
        <v>46113</v>
      </c>
      <c r="D24" s="33">
        <v>3284</v>
      </c>
      <c r="E24" s="33">
        <v>338</v>
      </c>
      <c r="F24" s="33">
        <v>4</v>
      </c>
      <c r="G24" s="24">
        <v>8</v>
      </c>
      <c r="H24" s="23">
        <v>81005</v>
      </c>
      <c r="I24" s="33" t="s">
        <v>17</v>
      </c>
      <c r="J24" s="24">
        <v>59173956</v>
      </c>
      <c r="K24" s="24" t="s">
        <v>3213</v>
      </c>
      <c r="L24" s="23" t="s">
        <v>3216</v>
      </c>
      <c r="M24" s="25">
        <v>129900</v>
      </c>
      <c r="N24" s="22" t="str">
        <f t="shared" si="5"/>
        <v>BXGY</v>
      </c>
      <c r="O24" s="33" t="str">
        <f t="shared" si="5"/>
        <v>B1G1</v>
      </c>
      <c r="P24" s="22" t="str">
        <f t="shared" si="3"/>
        <v>BXGY</v>
      </c>
    </row>
    <row r="25" spans="1:16" x14ac:dyDescent="0.35">
      <c r="A25" s="33" t="str">
        <f t="shared" si="1"/>
        <v>2025 SEPT B1G1</v>
      </c>
      <c r="B25" s="34">
        <f t="shared" si="6"/>
        <v>46104</v>
      </c>
      <c r="C25" s="34">
        <f t="shared" si="6"/>
        <v>46113</v>
      </c>
      <c r="D25" s="33">
        <v>3284</v>
      </c>
      <c r="E25" s="33">
        <v>338</v>
      </c>
      <c r="F25" s="33">
        <v>4</v>
      </c>
      <c r="G25" s="24">
        <v>8</v>
      </c>
      <c r="H25" s="23">
        <v>81005</v>
      </c>
      <c r="I25" s="33" t="s">
        <v>17</v>
      </c>
      <c r="J25" s="24">
        <v>59173965</v>
      </c>
      <c r="K25" s="24" t="s">
        <v>3213</v>
      </c>
      <c r="L25" s="23" t="s">
        <v>3217</v>
      </c>
      <c r="M25" s="25">
        <v>129900</v>
      </c>
      <c r="N25" s="22" t="str">
        <f t="shared" si="5"/>
        <v>BXGY</v>
      </c>
      <c r="O25" s="33" t="str">
        <f t="shared" si="5"/>
        <v>B1G1</v>
      </c>
      <c r="P25" s="22" t="str">
        <f t="shared" si="3"/>
        <v>BXGY</v>
      </c>
    </row>
  </sheetData>
  <autoFilter ref="A1:P1" xr:uid="{8D92AA74-7831-4B65-AC00-1F44DCDDEAF1}">
    <sortState xmlns:xlrd2="http://schemas.microsoft.com/office/spreadsheetml/2017/richdata2" ref="A2:P25">
      <sortCondition ref="J1"/>
    </sortState>
  </autoFilter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5E775-09EF-460A-B62E-522A53C95949}">
  <sheetPr>
    <tabColor rgb="FFFFFF00"/>
  </sheetPr>
  <dimension ref="A1:P130"/>
  <sheetViews>
    <sheetView topLeftCell="D1" zoomScale="65" zoomScaleNormal="100" workbookViewId="0">
      <pane ySplit="1" topLeftCell="A2" activePane="bottomLeft" state="frozen"/>
      <selection activeCell="M23" sqref="M23"/>
      <selection pane="bottomLeft" activeCell="B118" sqref="B118:C130"/>
    </sheetView>
  </sheetViews>
  <sheetFormatPr defaultColWidth="8.6328125" defaultRowHeight="14.5" x14ac:dyDescent="0.35"/>
  <cols>
    <col min="1" max="1" width="24.7265625" style="2" customWidth="1"/>
    <col min="2" max="2" width="16.08984375" style="3" bestFit="1" customWidth="1"/>
    <col min="3" max="3" width="13.36328125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0.90625" style="2" bestFit="1" customWidth="1"/>
    <col min="8" max="8" width="13.90625" style="2" bestFit="1" customWidth="1"/>
    <col min="9" max="9" width="16.54296875" style="2" bestFit="1" customWidth="1"/>
    <col min="10" max="10" width="9.54296875" style="2" bestFit="1" customWidth="1"/>
    <col min="11" max="11" width="11.81640625" style="2" customWidth="1"/>
    <col min="12" max="12" width="77.1796875" style="19" customWidth="1"/>
    <col min="13" max="13" width="20.90625" style="4" bestFit="1" customWidth="1"/>
    <col min="14" max="14" width="18.08984375" style="5" customWidth="1"/>
    <col min="15" max="15" width="19.90625" style="4" bestFit="1" customWidth="1"/>
    <col min="16" max="16" width="19.90625" style="2" bestFit="1" customWidth="1"/>
    <col min="17" max="16384" width="8.63281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14" t="s">
        <v>3343</v>
      </c>
      <c r="B2" s="34">
        <v>46104</v>
      </c>
      <c r="C2" s="34">
        <v>46113</v>
      </c>
      <c r="D2" s="6">
        <v>3284</v>
      </c>
      <c r="E2" s="14">
        <v>338</v>
      </c>
      <c r="F2" s="14">
        <v>4</v>
      </c>
      <c r="G2" s="6">
        <v>8</v>
      </c>
      <c r="H2" s="6">
        <v>190</v>
      </c>
      <c r="I2" s="6" t="s">
        <v>17</v>
      </c>
      <c r="J2" s="6">
        <v>51992522</v>
      </c>
      <c r="K2" s="6" t="s">
        <v>2575</v>
      </c>
      <c r="L2" s="17" t="s">
        <v>2584</v>
      </c>
      <c r="M2" s="8">
        <v>119900</v>
      </c>
      <c r="N2" s="71">
        <v>0.7</v>
      </c>
      <c r="O2" s="75">
        <f>M2-((70*M2)/100)</f>
        <v>35970</v>
      </c>
      <c r="P2" s="22" t="s">
        <v>16</v>
      </c>
    </row>
    <row r="3" spans="1:16" x14ac:dyDescent="0.35">
      <c r="A3" s="14" t="str">
        <f>A2</f>
        <v>2025 JAN-JUN DISC 70%</v>
      </c>
      <c r="B3" s="34">
        <f t="shared" ref="B3:B34" si="0">B2</f>
        <v>46104</v>
      </c>
      <c r="C3" s="34">
        <f t="shared" ref="C3:C34" si="1">C2</f>
        <v>46113</v>
      </c>
      <c r="D3" s="6">
        <v>3284</v>
      </c>
      <c r="E3" s="14">
        <v>338</v>
      </c>
      <c r="F3" s="14">
        <v>4</v>
      </c>
      <c r="G3" s="6">
        <v>8</v>
      </c>
      <c r="H3" s="6">
        <v>190</v>
      </c>
      <c r="I3" s="6" t="s">
        <v>17</v>
      </c>
      <c r="J3" s="6">
        <v>51992531</v>
      </c>
      <c r="K3" s="6" t="s">
        <v>2575</v>
      </c>
      <c r="L3" s="17" t="s">
        <v>2576</v>
      </c>
      <c r="M3" s="8">
        <v>119900</v>
      </c>
      <c r="N3" s="71">
        <f>N2</f>
        <v>0.7</v>
      </c>
      <c r="O3" s="75">
        <f t="shared" ref="O3:O66" si="2">M3-((70*M3)/100)</f>
        <v>35970</v>
      </c>
      <c r="P3" s="8" t="str">
        <f>P2</f>
        <v>PERCENTAGE</v>
      </c>
    </row>
    <row r="4" spans="1:16" x14ac:dyDescent="0.35">
      <c r="A4" s="14" t="str">
        <f t="shared" ref="A4:A67" si="3">A3</f>
        <v>2025 JAN-JUN DISC 70%</v>
      </c>
      <c r="B4" s="34">
        <f t="shared" si="0"/>
        <v>46104</v>
      </c>
      <c r="C4" s="34">
        <f t="shared" si="1"/>
        <v>46113</v>
      </c>
      <c r="D4" s="6">
        <v>3284</v>
      </c>
      <c r="E4" s="14">
        <v>338</v>
      </c>
      <c r="F4" s="14">
        <v>4</v>
      </c>
      <c r="G4" s="6">
        <v>8</v>
      </c>
      <c r="H4" s="6">
        <v>190</v>
      </c>
      <c r="I4" s="6" t="s">
        <v>17</v>
      </c>
      <c r="J4" s="6">
        <v>51992540</v>
      </c>
      <c r="K4" s="6" t="s">
        <v>2575</v>
      </c>
      <c r="L4" s="17" t="s">
        <v>2597</v>
      </c>
      <c r="M4" s="8">
        <v>119900</v>
      </c>
      <c r="N4" s="71">
        <f t="shared" ref="N4:N67" si="4">N3</f>
        <v>0.7</v>
      </c>
      <c r="O4" s="75">
        <f t="shared" si="2"/>
        <v>35970</v>
      </c>
      <c r="P4" s="35" t="str">
        <f t="shared" ref="P4:P67" si="5">P3</f>
        <v>PERCENTAGE</v>
      </c>
    </row>
    <row r="5" spans="1:16" x14ac:dyDescent="0.35">
      <c r="A5" s="14" t="str">
        <f t="shared" si="3"/>
        <v>2025 JAN-JUN DISC 70%</v>
      </c>
      <c r="B5" s="34">
        <f t="shared" si="0"/>
        <v>46104</v>
      </c>
      <c r="C5" s="34">
        <f t="shared" si="1"/>
        <v>46113</v>
      </c>
      <c r="D5" s="6">
        <v>3284</v>
      </c>
      <c r="E5" s="14">
        <v>338</v>
      </c>
      <c r="F5" s="14">
        <v>4</v>
      </c>
      <c r="G5" s="6">
        <v>8</v>
      </c>
      <c r="H5" s="6">
        <v>190</v>
      </c>
      <c r="I5" s="6" t="s">
        <v>17</v>
      </c>
      <c r="J5" s="6">
        <v>51992559</v>
      </c>
      <c r="K5" s="6" t="s">
        <v>2575</v>
      </c>
      <c r="L5" s="17" t="s">
        <v>2596</v>
      </c>
      <c r="M5" s="8">
        <v>119900</v>
      </c>
      <c r="N5" s="71">
        <f t="shared" si="4"/>
        <v>0.7</v>
      </c>
      <c r="O5" s="75">
        <f t="shared" si="2"/>
        <v>35970</v>
      </c>
      <c r="P5" s="35" t="str">
        <f t="shared" si="5"/>
        <v>PERCENTAGE</v>
      </c>
    </row>
    <row r="6" spans="1:16" x14ac:dyDescent="0.35">
      <c r="A6" s="14" t="str">
        <f t="shared" si="3"/>
        <v>2025 JAN-JUN DISC 70%</v>
      </c>
      <c r="B6" s="34">
        <f t="shared" si="0"/>
        <v>46104</v>
      </c>
      <c r="C6" s="34">
        <f t="shared" si="1"/>
        <v>46113</v>
      </c>
      <c r="D6" s="6">
        <v>3284</v>
      </c>
      <c r="E6" s="14">
        <v>338</v>
      </c>
      <c r="F6" s="14">
        <v>4</v>
      </c>
      <c r="G6" s="6">
        <v>8</v>
      </c>
      <c r="H6" s="6">
        <v>190</v>
      </c>
      <c r="I6" s="6" t="s">
        <v>17</v>
      </c>
      <c r="J6" s="6">
        <v>51992568</v>
      </c>
      <c r="K6" s="6" t="s">
        <v>2577</v>
      </c>
      <c r="L6" s="17" t="s">
        <v>2579</v>
      </c>
      <c r="M6" s="8">
        <v>119900</v>
      </c>
      <c r="N6" s="71">
        <f t="shared" si="4"/>
        <v>0.7</v>
      </c>
      <c r="O6" s="75">
        <f t="shared" si="2"/>
        <v>35970</v>
      </c>
      <c r="P6" s="35" t="str">
        <f t="shared" si="5"/>
        <v>PERCENTAGE</v>
      </c>
    </row>
    <row r="7" spans="1:16" x14ac:dyDescent="0.35">
      <c r="A7" s="14" t="str">
        <f t="shared" si="3"/>
        <v>2025 JAN-JUN DISC 70%</v>
      </c>
      <c r="B7" s="34">
        <f t="shared" si="0"/>
        <v>46104</v>
      </c>
      <c r="C7" s="34">
        <f t="shared" si="1"/>
        <v>46113</v>
      </c>
      <c r="D7" s="6">
        <v>3284</v>
      </c>
      <c r="E7" s="14">
        <v>338</v>
      </c>
      <c r="F7" s="14">
        <v>4</v>
      </c>
      <c r="G7" s="6">
        <v>8</v>
      </c>
      <c r="H7" s="6">
        <v>190</v>
      </c>
      <c r="I7" s="6" t="s">
        <v>17</v>
      </c>
      <c r="J7" s="6">
        <v>51992577</v>
      </c>
      <c r="K7" s="6" t="s">
        <v>2577</v>
      </c>
      <c r="L7" s="17" t="s">
        <v>2578</v>
      </c>
      <c r="M7" s="8">
        <v>119900</v>
      </c>
      <c r="N7" s="71">
        <f t="shared" si="4"/>
        <v>0.7</v>
      </c>
      <c r="O7" s="75">
        <f t="shared" si="2"/>
        <v>35970</v>
      </c>
      <c r="P7" s="35" t="str">
        <f t="shared" si="5"/>
        <v>PERCENTAGE</v>
      </c>
    </row>
    <row r="8" spans="1:16" x14ac:dyDescent="0.35">
      <c r="A8" s="14" t="str">
        <f t="shared" si="3"/>
        <v>2025 JAN-JUN DISC 70%</v>
      </c>
      <c r="B8" s="34">
        <f t="shared" si="0"/>
        <v>46104</v>
      </c>
      <c r="C8" s="34">
        <f t="shared" si="1"/>
        <v>46113</v>
      </c>
      <c r="D8" s="6">
        <v>3284</v>
      </c>
      <c r="E8" s="14">
        <v>338</v>
      </c>
      <c r="F8" s="14">
        <v>4</v>
      </c>
      <c r="G8" s="6">
        <v>8</v>
      </c>
      <c r="H8" s="6">
        <v>190</v>
      </c>
      <c r="I8" s="6" t="s">
        <v>17</v>
      </c>
      <c r="J8" s="6">
        <v>51992586</v>
      </c>
      <c r="K8" s="6" t="s">
        <v>2577</v>
      </c>
      <c r="L8" s="17" t="s">
        <v>2590</v>
      </c>
      <c r="M8" s="8">
        <v>119900</v>
      </c>
      <c r="N8" s="71">
        <f t="shared" si="4"/>
        <v>0.7</v>
      </c>
      <c r="O8" s="75">
        <f t="shared" si="2"/>
        <v>35970</v>
      </c>
      <c r="P8" s="35" t="str">
        <f t="shared" si="5"/>
        <v>PERCENTAGE</v>
      </c>
    </row>
    <row r="9" spans="1:16" x14ac:dyDescent="0.35">
      <c r="A9" s="14" t="str">
        <f t="shared" si="3"/>
        <v>2025 JAN-JUN DISC 70%</v>
      </c>
      <c r="B9" s="34">
        <f t="shared" si="0"/>
        <v>46104</v>
      </c>
      <c r="C9" s="34">
        <f t="shared" si="1"/>
        <v>46113</v>
      </c>
      <c r="D9" s="6">
        <v>3284</v>
      </c>
      <c r="E9" s="14">
        <v>338</v>
      </c>
      <c r="F9" s="14">
        <v>4</v>
      </c>
      <c r="G9" s="6">
        <v>8</v>
      </c>
      <c r="H9" s="6">
        <v>190</v>
      </c>
      <c r="I9" s="6" t="s">
        <v>17</v>
      </c>
      <c r="J9" s="6">
        <v>51992595</v>
      </c>
      <c r="K9" s="6" t="s">
        <v>2577</v>
      </c>
      <c r="L9" s="17" t="s">
        <v>2587</v>
      </c>
      <c r="M9" s="8">
        <v>119900</v>
      </c>
      <c r="N9" s="71">
        <f t="shared" si="4"/>
        <v>0.7</v>
      </c>
      <c r="O9" s="75">
        <f t="shared" si="2"/>
        <v>35970</v>
      </c>
      <c r="P9" s="35" t="str">
        <f t="shared" si="5"/>
        <v>PERCENTAGE</v>
      </c>
    </row>
    <row r="10" spans="1:16" s="16" customFormat="1" x14ac:dyDescent="0.35">
      <c r="A10" s="14" t="str">
        <f t="shared" si="3"/>
        <v>2025 JAN-JUN DISC 70%</v>
      </c>
      <c r="B10" s="40">
        <f t="shared" si="0"/>
        <v>46104</v>
      </c>
      <c r="C10" s="40">
        <f t="shared" si="1"/>
        <v>46113</v>
      </c>
      <c r="D10" s="14">
        <v>3284</v>
      </c>
      <c r="E10" s="14">
        <v>338</v>
      </c>
      <c r="F10" s="14">
        <v>4</v>
      </c>
      <c r="G10" s="14">
        <v>8</v>
      </c>
      <c r="H10" s="14">
        <v>190</v>
      </c>
      <c r="I10" s="14" t="s">
        <v>17</v>
      </c>
      <c r="J10" s="14">
        <v>51992602</v>
      </c>
      <c r="K10" s="14" t="s">
        <v>2582</v>
      </c>
      <c r="L10" s="18" t="s">
        <v>2583</v>
      </c>
      <c r="M10" s="15">
        <v>199900</v>
      </c>
      <c r="N10" s="71">
        <f t="shared" si="4"/>
        <v>0.7</v>
      </c>
      <c r="O10" s="75">
        <f t="shared" si="2"/>
        <v>59970</v>
      </c>
      <c r="P10" s="35" t="str">
        <f t="shared" si="5"/>
        <v>PERCENTAGE</v>
      </c>
    </row>
    <row r="11" spans="1:16" s="16" customFormat="1" x14ac:dyDescent="0.35">
      <c r="A11" s="14" t="str">
        <f t="shared" si="3"/>
        <v>2025 JAN-JUN DISC 70%</v>
      </c>
      <c r="B11" s="40">
        <f t="shared" si="0"/>
        <v>46104</v>
      </c>
      <c r="C11" s="40">
        <f t="shared" si="1"/>
        <v>46113</v>
      </c>
      <c r="D11" s="14">
        <v>3284</v>
      </c>
      <c r="E11" s="14">
        <v>338</v>
      </c>
      <c r="F11" s="14">
        <v>4</v>
      </c>
      <c r="G11" s="14">
        <v>8</v>
      </c>
      <c r="H11" s="14">
        <v>190</v>
      </c>
      <c r="I11" s="14" t="s">
        <v>17</v>
      </c>
      <c r="J11" s="14">
        <v>51992611</v>
      </c>
      <c r="K11" s="14" t="s">
        <v>2582</v>
      </c>
      <c r="L11" s="18" t="s">
        <v>2585</v>
      </c>
      <c r="M11" s="15">
        <v>199900</v>
      </c>
      <c r="N11" s="71">
        <f t="shared" si="4"/>
        <v>0.7</v>
      </c>
      <c r="O11" s="75">
        <f t="shared" si="2"/>
        <v>59970</v>
      </c>
      <c r="P11" s="35" t="str">
        <f t="shared" si="5"/>
        <v>PERCENTAGE</v>
      </c>
    </row>
    <row r="12" spans="1:16" s="16" customFormat="1" x14ac:dyDescent="0.35">
      <c r="A12" s="14" t="str">
        <f t="shared" si="3"/>
        <v>2025 JAN-JUN DISC 70%</v>
      </c>
      <c r="B12" s="40">
        <f t="shared" si="0"/>
        <v>46104</v>
      </c>
      <c r="C12" s="40">
        <f t="shared" si="1"/>
        <v>46113</v>
      </c>
      <c r="D12" s="14">
        <v>3284</v>
      </c>
      <c r="E12" s="14">
        <v>338</v>
      </c>
      <c r="F12" s="14">
        <v>4</v>
      </c>
      <c r="G12" s="14">
        <v>8</v>
      </c>
      <c r="H12" s="14">
        <v>190</v>
      </c>
      <c r="I12" s="14" t="s">
        <v>17</v>
      </c>
      <c r="J12" s="14">
        <v>51992620</v>
      </c>
      <c r="K12" s="14" t="s">
        <v>2582</v>
      </c>
      <c r="L12" s="18" t="s">
        <v>2592</v>
      </c>
      <c r="M12" s="15">
        <v>199900</v>
      </c>
      <c r="N12" s="71">
        <f t="shared" si="4"/>
        <v>0.7</v>
      </c>
      <c r="O12" s="75">
        <f t="shared" si="2"/>
        <v>59970</v>
      </c>
      <c r="P12" s="35" t="str">
        <f t="shared" si="5"/>
        <v>PERCENTAGE</v>
      </c>
    </row>
    <row r="13" spans="1:16" s="16" customFormat="1" x14ac:dyDescent="0.35">
      <c r="A13" s="14" t="str">
        <f t="shared" si="3"/>
        <v>2025 JAN-JUN DISC 70%</v>
      </c>
      <c r="B13" s="40">
        <f t="shared" si="0"/>
        <v>46104</v>
      </c>
      <c r="C13" s="40">
        <f t="shared" si="1"/>
        <v>46113</v>
      </c>
      <c r="D13" s="14">
        <v>3284</v>
      </c>
      <c r="E13" s="14">
        <v>338</v>
      </c>
      <c r="F13" s="14">
        <v>4</v>
      </c>
      <c r="G13" s="14">
        <v>8</v>
      </c>
      <c r="H13" s="14">
        <v>190</v>
      </c>
      <c r="I13" s="14" t="s">
        <v>17</v>
      </c>
      <c r="J13" s="14">
        <v>51992639</v>
      </c>
      <c r="K13" s="14" t="s">
        <v>2582</v>
      </c>
      <c r="L13" s="18" t="s">
        <v>2593</v>
      </c>
      <c r="M13" s="15">
        <v>199900</v>
      </c>
      <c r="N13" s="71">
        <f t="shared" si="4"/>
        <v>0.7</v>
      </c>
      <c r="O13" s="75">
        <f t="shared" si="2"/>
        <v>59970</v>
      </c>
      <c r="P13" s="35" t="str">
        <f t="shared" si="5"/>
        <v>PERCENTAGE</v>
      </c>
    </row>
    <row r="14" spans="1:16" x14ac:dyDescent="0.35">
      <c r="A14" s="14" t="str">
        <f t="shared" si="3"/>
        <v>2025 JAN-JUN DISC 70%</v>
      </c>
      <c r="B14" s="34">
        <f t="shared" si="0"/>
        <v>46104</v>
      </c>
      <c r="C14" s="34">
        <f t="shared" si="1"/>
        <v>46113</v>
      </c>
      <c r="D14" s="6">
        <v>3284</v>
      </c>
      <c r="E14" s="14">
        <v>338</v>
      </c>
      <c r="F14" s="14">
        <v>4</v>
      </c>
      <c r="G14" s="6">
        <v>8</v>
      </c>
      <c r="H14" s="6">
        <v>190</v>
      </c>
      <c r="I14" s="6" t="s">
        <v>17</v>
      </c>
      <c r="J14" s="6">
        <v>51992648</v>
      </c>
      <c r="K14" s="6" t="s">
        <v>2580</v>
      </c>
      <c r="L14" s="17" t="s">
        <v>2586</v>
      </c>
      <c r="M14" s="8">
        <v>199900</v>
      </c>
      <c r="N14" s="71">
        <f t="shared" si="4"/>
        <v>0.7</v>
      </c>
      <c r="O14" s="75">
        <f t="shared" si="2"/>
        <v>59970</v>
      </c>
      <c r="P14" s="35" t="str">
        <f t="shared" si="5"/>
        <v>PERCENTAGE</v>
      </c>
    </row>
    <row r="15" spans="1:16" x14ac:dyDescent="0.35">
      <c r="A15" s="14" t="str">
        <f t="shared" si="3"/>
        <v>2025 JAN-JUN DISC 70%</v>
      </c>
      <c r="B15" s="34">
        <f t="shared" si="0"/>
        <v>46104</v>
      </c>
      <c r="C15" s="34">
        <f t="shared" si="1"/>
        <v>46113</v>
      </c>
      <c r="D15" s="6">
        <v>3284</v>
      </c>
      <c r="E15" s="14">
        <v>338</v>
      </c>
      <c r="F15" s="14">
        <v>4</v>
      </c>
      <c r="G15" s="6">
        <v>8</v>
      </c>
      <c r="H15" s="6">
        <v>190</v>
      </c>
      <c r="I15" s="6" t="s">
        <v>17</v>
      </c>
      <c r="J15" s="6">
        <v>51992657</v>
      </c>
      <c r="K15" s="6" t="s">
        <v>2580</v>
      </c>
      <c r="L15" s="17" t="s">
        <v>2581</v>
      </c>
      <c r="M15" s="8">
        <v>199900</v>
      </c>
      <c r="N15" s="71">
        <f t="shared" si="4"/>
        <v>0.7</v>
      </c>
      <c r="O15" s="75">
        <f t="shared" si="2"/>
        <v>59970</v>
      </c>
      <c r="P15" s="35" t="str">
        <f t="shared" si="5"/>
        <v>PERCENTAGE</v>
      </c>
    </row>
    <row r="16" spans="1:16" x14ac:dyDescent="0.35">
      <c r="A16" s="14" t="str">
        <f t="shared" si="3"/>
        <v>2025 JAN-JUN DISC 70%</v>
      </c>
      <c r="B16" s="34">
        <f t="shared" si="0"/>
        <v>46104</v>
      </c>
      <c r="C16" s="34">
        <f t="shared" si="1"/>
        <v>46113</v>
      </c>
      <c r="D16" s="6">
        <v>3284</v>
      </c>
      <c r="E16" s="14">
        <v>338</v>
      </c>
      <c r="F16" s="14">
        <v>4</v>
      </c>
      <c r="G16" s="6">
        <v>8</v>
      </c>
      <c r="H16" s="6">
        <v>190</v>
      </c>
      <c r="I16" s="6" t="s">
        <v>17</v>
      </c>
      <c r="J16" s="6">
        <v>51992666</v>
      </c>
      <c r="K16" s="6" t="s">
        <v>2580</v>
      </c>
      <c r="L16" s="17" t="s">
        <v>2595</v>
      </c>
      <c r="M16" s="8">
        <v>199900</v>
      </c>
      <c r="N16" s="71">
        <f t="shared" si="4"/>
        <v>0.7</v>
      </c>
      <c r="O16" s="75">
        <f t="shared" si="2"/>
        <v>59970</v>
      </c>
      <c r="P16" s="35" t="str">
        <f t="shared" si="5"/>
        <v>PERCENTAGE</v>
      </c>
    </row>
    <row r="17" spans="1:16" x14ac:dyDescent="0.35">
      <c r="A17" s="14" t="str">
        <f t="shared" si="3"/>
        <v>2025 JAN-JUN DISC 70%</v>
      </c>
      <c r="B17" s="34">
        <f t="shared" si="0"/>
        <v>46104</v>
      </c>
      <c r="C17" s="34">
        <f t="shared" si="1"/>
        <v>46113</v>
      </c>
      <c r="D17" s="6">
        <v>3284</v>
      </c>
      <c r="E17" s="14">
        <v>338</v>
      </c>
      <c r="F17" s="14">
        <v>4</v>
      </c>
      <c r="G17" s="6">
        <v>8</v>
      </c>
      <c r="H17" s="6">
        <v>190</v>
      </c>
      <c r="I17" s="6" t="s">
        <v>17</v>
      </c>
      <c r="J17" s="6">
        <v>51992675</v>
      </c>
      <c r="K17" s="6" t="s">
        <v>2580</v>
      </c>
      <c r="L17" s="17" t="s">
        <v>2594</v>
      </c>
      <c r="M17" s="8">
        <v>199900</v>
      </c>
      <c r="N17" s="71">
        <f t="shared" si="4"/>
        <v>0.7</v>
      </c>
      <c r="O17" s="75">
        <f t="shared" si="2"/>
        <v>59970</v>
      </c>
      <c r="P17" s="35" t="str">
        <f t="shared" si="5"/>
        <v>PERCENTAGE</v>
      </c>
    </row>
    <row r="18" spans="1:16" x14ac:dyDescent="0.35">
      <c r="A18" s="14" t="str">
        <f t="shared" si="3"/>
        <v>2025 JAN-JUN DISC 70%</v>
      </c>
      <c r="B18" s="34">
        <f t="shared" si="0"/>
        <v>46104</v>
      </c>
      <c r="C18" s="34">
        <f t="shared" si="1"/>
        <v>46113</v>
      </c>
      <c r="D18" s="6">
        <v>3284</v>
      </c>
      <c r="E18" s="14">
        <v>338</v>
      </c>
      <c r="F18" s="14">
        <v>4</v>
      </c>
      <c r="G18" s="6">
        <v>8</v>
      </c>
      <c r="H18" s="6">
        <v>190</v>
      </c>
      <c r="I18" s="6" t="s">
        <v>17</v>
      </c>
      <c r="J18" s="6">
        <v>51992684</v>
      </c>
      <c r="K18" s="6" t="s">
        <v>2573</v>
      </c>
      <c r="L18" s="17" t="s">
        <v>2574</v>
      </c>
      <c r="M18" s="8">
        <v>199900</v>
      </c>
      <c r="N18" s="71">
        <f t="shared" si="4"/>
        <v>0.7</v>
      </c>
      <c r="O18" s="75">
        <f t="shared" si="2"/>
        <v>59970</v>
      </c>
      <c r="P18" s="35" t="str">
        <f t="shared" si="5"/>
        <v>PERCENTAGE</v>
      </c>
    </row>
    <row r="19" spans="1:16" x14ac:dyDescent="0.35">
      <c r="A19" s="14" t="str">
        <f t="shared" si="3"/>
        <v>2025 JAN-JUN DISC 70%</v>
      </c>
      <c r="B19" s="34">
        <f t="shared" si="0"/>
        <v>46104</v>
      </c>
      <c r="C19" s="34">
        <f t="shared" si="1"/>
        <v>46113</v>
      </c>
      <c r="D19" s="6">
        <v>3284</v>
      </c>
      <c r="E19" s="14">
        <v>338</v>
      </c>
      <c r="F19" s="14">
        <v>4</v>
      </c>
      <c r="G19" s="6">
        <v>8</v>
      </c>
      <c r="H19" s="6">
        <v>190</v>
      </c>
      <c r="I19" s="6" t="s">
        <v>17</v>
      </c>
      <c r="J19" s="6">
        <v>51992693</v>
      </c>
      <c r="K19" s="6" t="s">
        <v>2573</v>
      </c>
      <c r="L19" s="17" t="s">
        <v>2591</v>
      </c>
      <c r="M19" s="8">
        <v>199900</v>
      </c>
      <c r="N19" s="71">
        <f t="shared" si="4"/>
        <v>0.7</v>
      </c>
      <c r="O19" s="75">
        <f t="shared" si="2"/>
        <v>59970</v>
      </c>
      <c r="P19" s="35" t="str">
        <f t="shared" si="5"/>
        <v>PERCENTAGE</v>
      </c>
    </row>
    <row r="20" spans="1:16" x14ac:dyDescent="0.35">
      <c r="A20" s="14" t="str">
        <f t="shared" si="3"/>
        <v>2025 JAN-JUN DISC 70%</v>
      </c>
      <c r="B20" s="34">
        <f t="shared" si="0"/>
        <v>46104</v>
      </c>
      <c r="C20" s="34">
        <f t="shared" si="1"/>
        <v>46113</v>
      </c>
      <c r="D20" s="6">
        <v>3284</v>
      </c>
      <c r="E20" s="14">
        <v>338</v>
      </c>
      <c r="F20" s="14">
        <v>4</v>
      </c>
      <c r="G20" s="6">
        <v>8</v>
      </c>
      <c r="H20" s="6">
        <v>190</v>
      </c>
      <c r="I20" s="6" t="s">
        <v>17</v>
      </c>
      <c r="J20" s="6">
        <v>51992700</v>
      </c>
      <c r="K20" s="6" t="s">
        <v>2573</v>
      </c>
      <c r="L20" s="17" t="s">
        <v>2589</v>
      </c>
      <c r="M20" s="8">
        <v>199900</v>
      </c>
      <c r="N20" s="71">
        <f t="shared" si="4"/>
        <v>0.7</v>
      </c>
      <c r="O20" s="75">
        <f t="shared" si="2"/>
        <v>59970</v>
      </c>
      <c r="P20" s="35" t="str">
        <f t="shared" si="5"/>
        <v>PERCENTAGE</v>
      </c>
    </row>
    <row r="21" spans="1:16" x14ac:dyDescent="0.35">
      <c r="A21" s="14" t="str">
        <f t="shared" si="3"/>
        <v>2025 JAN-JUN DISC 70%</v>
      </c>
      <c r="B21" s="34">
        <f t="shared" si="0"/>
        <v>46104</v>
      </c>
      <c r="C21" s="34">
        <f t="shared" si="1"/>
        <v>46113</v>
      </c>
      <c r="D21" s="6">
        <v>3284</v>
      </c>
      <c r="E21" s="14">
        <v>338</v>
      </c>
      <c r="F21" s="14">
        <v>4</v>
      </c>
      <c r="G21" s="6">
        <v>8</v>
      </c>
      <c r="H21" s="6">
        <v>190</v>
      </c>
      <c r="I21" s="6" t="s">
        <v>17</v>
      </c>
      <c r="J21" s="6">
        <v>51992719</v>
      </c>
      <c r="K21" s="6" t="s">
        <v>2573</v>
      </c>
      <c r="L21" s="17" t="s">
        <v>2588</v>
      </c>
      <c r="M21" s="8">
        <v>199900</v>
      </c>
      <c r="N21" s="71">
        <f t="shared" si="4"/>
        <v>0.7</v>
      </c>
      <c r="O21" s="75">
        <f t="shared" si="2"/>
        <v>59970</v>
      </c>
      <c r="P21" s="35" t="str">
        <f t="shared" si="5"/>
        <v>PERCENTAGE</v>
      </c>
    </row>
    <row r="22" spans="1:16" x14ac:dyDescent="0.35">
      <c r="A22" s="14" t="str">
        <f t="shared" si="3"/>
        <v>2025 JAN-JUN DISC 70%</v>
      </c>
      <c r="B22" s="34">
        <f t="shared" si="0"/>
        <v>46104</v>
      </c>
      <c r="C22" s="34">
        <f t="shared" si="1"/>
        <v>46113</v>
      </c>
      <c r="D22" s="6">
        <v>3284</v>
      </c>
      <c r="E22" s="14">
        <v>338</v>
      </c>
      <c r="F22" s="14">
        <v>4</v>
      </c>
      <c r="G22" s="6">
        <v>8</v>
      </c>
      <c r="H22" s="6">
        <v>81698</v>
      </c>
      <c r="I22" s="6" t="s">
        <v>17</v>
      </c>
      <c r="J22" s="6">
        <v>52480449</v>
      </c>
      <c r="K22" s="6" t="s">
        <v>2598</v>
      </c>
      <c r="L22" s="17" t="s">
        <v>2603</v>
      </c>
      <c r="M22" s="8">
        <v>229900</v>
      </c>
      <c r="N22" s="71">
        <f t="shared" si="4"/>
        <v>0.7</v>
      </c>
      <c r="O22" s="75">
        <f t="shared" si="2"/>
        <v>68970</v>
      </c>
      <c r="P22" s="35" t="str">
        <f t="shared" si="5"/>
        <v>PERCENTAGE</v>
      </c>
    </row>
    <row r="23" spans="1:16" x14ac:dyDescent="0.35">
      <c r="A23" s="14" t="str">
        <f t="shared" si="3"/>
        <v>2025 JAN-JUN DISC 70%</v>
      </c>
      <c r="B23" s="34">
        <f t="shared" si="0"/>
        <v>46104</v>
      </c>
      <c r="C23" s="34">
        <f t="shared" si="1"/>
        <v>46113</v>
      </c>
      <c r="D23" s="6">
        <v>3284</v>
      </c>
      <c r="E23" s="14">
        <v>338</v>
      </c>
      <c r="F23" s="14">
        <v>4</v>
      </c>
      <c r="G23" s="6">
        <v>8</v>
      </c>
      <c r="H23" s="6">
        <v>81698</v>
      </c>
      <c r="I23" s="6" t="s">
        <v>17</v>
      </c>
      <c r="J23" s="6">
        <v>52480458</v>
      </c>
      <c r="K23" s="6" t="s">
        <v>2598</v>
      </c>
      <c r="L23" s="17" t="s">
        <v>2601</v>
      </c>
      <c r="M23" s="8">
        <v>229900</v>
      </c>
      <c r="N23" s="71">
        <f t="shared" si="4"/>
        <v>0.7</v>
      </c>
      <c r="O23" s="75">
        <f t="shared" si="2"/>
        <v>68970</v>
      </c>
      <c r="P23" s="35" t="str">
        <f t="shared" si="5"/>
        <v>PERCENTAGE</v>
      </c>
    </row>
    <row r="24" spans="1:16" x14ac:dyDescent="0.35">
      <c r="A24" s="14" t="str">
        <f t="shared" si="3"/>
        <v>2025 JAN-JUN DISC 70%</v>
      </c>
      <c r="B24" s="34">
        <f t="shared" si="0"/>
        <v>46104</v>
      </c>
      <c r="C24" s="34">
        <f t="shared" si="1"/>
        <v>46113</v>
      </c>
      <c r="D24" s="6">
        <v>3284</v>
      </c>
      <c r="E24" s="14">
        <v>338</v>
      </c>
      <c r="F24" s="14">
        <v>4</v>
      </c>
      <c r="G24" s="6">
        <v>8</v>
      </c>
      <c r="H24" s="6">
        <v>81698</v>
      </c>
      <c r="I24" s="6" t="s">
        <v>17</v>
      </c>
      <c r="J24" s="6">
        <v>52480467</v>
      </c>
      <c r="K24" s="6" t="s">
        <v>2598</v>
      </c>
      <c r="L24" s="17" t="s">
        <v>2599</v>
      </c>
      <c r="M24" s="8">
        <v>229900</v>
      </c>
      <c r="N24" s="71">
        <f t="shared" si="4"/>
        <v>0.7</v>
      </c>
      <c r="O24" s="75">
        <f t="shared" si="2"/>
        <v>68970</v>
      </c>
      <c r="P24" s="35" t="str">
        <f t="shared" si="5"/>
        <v>PERCENTAGE</v>
      </c>
    </row>
    <row r="25" spans="1:16" x14ac:dyDescent="0.35">
      <c r="A25" s="14" t="str">
        <f t="shared" si="3"/>
        <v>2025 JAN-JUN DISC 70%</v>
      </c>
      <c r="B25" s="34">
        <f t="shared" si="0"/>
        <v>46104</v>
      </c>
      <c r="C25" s="34">
        <f t="shared" si="1"/>
        <v>46113</v>
      </c>
      <c r="D25" s="6">
        <v>3284</v>
      </c>
      <c r="E25" s="14">
        <v>338</v>
      </c>
      <c r="F25" s="14">
        <v>4</v>
      </c>
      <c r="G25" s="6">
        <v>8</v>
      </c>
      <c r="H25" s="6">
        <v>81698</v>
      </c>
      <c r="I25" s="6" t="s">
        <v>17</v>
      </c>
      <c r="J25" s="6">
        <v>52480476</v>
      </c>
      <c r="K25" s="6" t="s">
        <v>2598</v>
      </c>
      <c r="L25" s="17" t="s">
        <v>2602</v>
      </c>
      <c r="M25" s="8">
        <v>229900</v>
      </c>
      <c r="N25" s="71">
        <f t="shared" si="4"/>
        <v>0.7</v>
      </c>
      <c r="O25" s="75">
        <f t="shared" si="2"/>
        <v>68970</v>
      </c>
      <c r="P25" s="35" t="str">
        <f t="shared" si="5"/>
        <v>PERCENTAGE</v>
      </c>
    </row>
    <row r="26" spans="1:16" x14ac:dyDescent="0.35">
      <c r="A26" s="14" t="str">
        <f t="shared" si="3"/>
        <v>2025 JAN-JUN DISC 70%</v>
      </c>
      <c r="B26" s="34">
        <f t="shared" si="0"/>
        <v>46104</v>
      </c>
      <c r="C26" s="34">
        <f t="shared" si="1"/>
        <v>46113</v>
      </c>
      <c r="D26" s="6">
        <v>3284</v>
      </c>
      <c r="E26" s="14">
        <v>338</v>
      </c>
      <c r="F26" s="14">
        <v>4</v>
      </c>
      <c r="G26" s="6">
        <v>8</v>
      </c>
      <c r="H26" s="6">
        <v>81698</v>
      </c>
      <c r="I26" s="6" t="s">
        <v>17</v>
      </c>
      <c r="J26" s="6">
        <v>52480485</v>
      </c>
      <c r="K26" s="6" t="s">
        <v>2598</v>
      </c>
      <c r="L26" s="17" t="s">
        <v>2600</v>
      </c>
      <c r="M26" s="8">
        <v>229900</v>
      </c>
      <c r="N26" s="71">
        <f t="shared" si="4"/>
        <v>0.7</v>
      </c>
      <c r="O26" s="75">
        <f t="shared" si="2"/>
        <v>68970</v>
      </c>
      <c r="P26" s="35" t="str">
        <f t="shared" si="5"/>
        <v>PERCENTAGE</v>
      </c>
    </row>
    <row r="27" spans="1:16" s="32" customFormat="1" x14ac:dyDescent="0.35">
      <c r="A27" s="14" t="str">
        <f t="shared" si="3"/>
        <v>2025 JAN-JUN DISC 70%</v>
      </c>
      <c r="B27" s="34">
        <f t="shared" si="0"/>
        <v>46104</v>
      </c>
      <c r="C27" s="34">
        <f t="shared" si="1"/>
        <v>46113</v>
      </c>
      <c r="D27" s="33">
        <v>3284</v>
      </c>
      <c r="E27" s="14">
        <v>338</v>
      </c>
      <c r="F27" s="14">
        <v>4</v>
      </c>
      <c r="G27" s="33">
        <v>4</v>
      </c>
      <c r="H27" s="33">
        <v>81146</v>
      </c>
      <c r="I27" s="33" t="s">
        <v>17</v>
      </c>
      <c r="J27" s="33">
        <v>51764911</v>
      </c>
      <c r="K27" s="33" t="s">
        <v>2121</v>
      </c>
      <c r="L27" s="39" t="s">
        <v>2123</v>
      </c>
      <c r="M27" s="35">
        <v>219900</v>
      </c>
      <c r="N27" s="71">
        <f t="shared" si="4"/>
        <v>0.7</v>
      </c>
      <c r="O27" s="75">
        <f t="shared" si="2"/>
        <v>65970</v>
      </c>
      <c r="P27" s="35" t="str">
        <f t="shared" si="5"/>
        <v>PERCENTAGE</v>
      </c>
    </row>
    <row r="28" spans="1:16" s="32" customFormat="1" x14ac:dyDescent="0.35">
      <c r="A28" s="14" t="str">
        <f t="shared" si="3"/>
        <v>2025 JAN-JUN DISC 70%</v>
      </c>
      <c r="B28" s="34">
        <f t="shared" si="0"/>
        <v>46104</v>
      </c>
      <c r="C28" s="34">
        <f t="shared" si="1"/>
        <v>46113</v>
      </c>
      <c r="D28" s="33">
        <v>3284</v>
      </c>
      <c r="E28" s="14">
        <v>338</v>
      </c>
      <c r="F28" s="14">
        <v>4</v>
      </c>
      <c r="G28" s="33">
        <v>4</v>
      </c>
      <c r="H28" s="33">
        <v>81146</v>
      </c>
      <c r="I28" s="33" t="s">
        <v>17</v>
      </c>
      <c r="J28" s="33">
        <v>51764920</v>
      </c>
      <c r="K28" s="33" t="s">
        <v>2121</v>
      </c>
      <c r="L28" s="39" t="s">
        <v>2124</v>
      </c>
      <c r="M28" s="35">
        <v>219900</v>
      </c>
      <c r="N28" s="71">
        <f t="shared" si="4"/>
        <v>0.7</v>
      </c>
      <c r="O28" s="75">
        <f t="shared" si="2"/>
        <v>65970</v>
      </c>
      <c r="P28" s="35" t="str">
        <f t="shared" si="5"/>
        <v>PERCENTAGE</v>
      </c>
    </row>
    <row r="29" spans="1:16" s="32" customFormat="1" x14ac:dyDescent="0.35">
      <c r="A29" s="14" t="str">
        <f t="shared" si="3"/>
        <v>2025 JAN-JUN DISC 70%</v>
      </c>
      <c r="B29" s="34">
        <f t="shared" si="0"/>
        <v>46104</v>
      </c>
      <c r="C29" s="34">
        <f t="shared" si="1"/>
        <v>46113</v>
      </c>
      <c r="D29" s="33">
        <v>3284</v>
      </c>
      <c r="E29" s="14">
        <v>338</v>
      </c>
      <c r="F29" s="14">
        <v>4</v>
      </c>
      <c r="G29" s="33">
        <v>4</v>
      </c>
      <c r="H29" s="33">
        <v>81146</v>
      </c>
      <c r="I29" s="33" t="s">
        <v>17</v>
      </c>
      <c r="J29" s="33">
        <v>51764939</v>
      </c>
      <c r="K29" s="33" t="s">
        <v>2121</v>
      </c>
      <c r="L29" s="39" t="s">
        <v>2125</v>
      </c>
      <c r="M29" s="35">
        <v>219900</v>
      </c>
      <c r="N29" s="71">
        <f t="shared" si="4"/>
        <v>0.7</v>
      </c>
      <c r="O29" s="75">
        <f t="shared" si="2"/>
        <v>65970</v>
      </c>
      <c r="P29" s="35" t="str">
        <f t="shared" si="5"/>
        <v>PERCENTAGE</v>
      </c>
    </row>
    <row r="30" spans="1:16" s="32" customFormat="1" x14ac:dyDescent="0.35">
      <c r="A30" s="14" t="str">
        <f t="shared" si="3"/>
        <v>2025 JAN-JUN DISC 70%</v>
      </c>
      <c r="B30" s="34">
        <f t="shared" si="0"/>
        <v>46104</v>
      </c>
      <c r="C30" s="34">
        <f t="shared" si="1"/>
        <v>46113</v>
      </c>
      <c r="D30" s="33">
        <v>3284</v>
      </c>
      <c r="E30" s="14">
        <v>338</v>
      </c>
      <c r="F30" s="14">
        <v>4</v>
      </c>
      <c r="G30" s="33">
        <v>4</v>
      </c>
      <c r="H30" s="33">
        <v>81146</v>
      </c>
      <c r="I30" s="33" t="s">
        <v>17</v>
      </c>
      <c r="J30" s="33">
        <v>51764948</v>
      </c>
      <c r="K30" s="33" t="s">
        <v>2121</v>
      </c>
      <c r="L30" s="39" t="s">
        <v>2122</v>
      </c>
      <c r="M30" s="35">
        <v>219900</v>
      </c>
      <c r="N30" s="71">
        <f t="shared" si="4"/>
        <v>0.7</v>
      </c>
      <c r="O30" s="75">
        <f t="shared" si="2"/>
        <v>65970</v>
      </c>
      <c r="P30" s="35" t="str">
        <f t="shared" si="5"/>
        <v>PERCENTAGE</v>
      </c>
    </row>
    <row r="31" spans="1:16" s="32" customFormat="1" x14ac:dyDescent="0.35">
      <c r="A31" s="14" t="str">
        <f t="shared" si="3"/>
        <v>2025 JAN-JUN DISC 70%</v>
      </c>
      <c r="B31" s="34">
        <f t="shared" si="0"/>
        <v>46104</v>
      </c>
      <c r="C31" s="34">
        <f t="shared" si="1"/>
        <v>46113</v>
      </c>
      <c r="D31" s="33">
        <v>3284</v>
      </c>
      <c r="E31" s="14">
        <v>338</v>
      </c>
      <c r="F31" s="14">
        <v>4</v>
      </c>
      <c r="G31" s="33">
        <v>5</v>
      </c>
      <c r="H31" s="33">
        <v>80920</v>
      </c>
      <c r="I31" s="33" t="s">
        <v>17</v>
      </c>
      <c r="J31" s="33">
        <v>51765036</v>
      </c>
      <c r="K31" s="33" t="s">
        <v>2041</v>
      </c>
      <c r="L31" s="39" t="s">
        <v>2045</v>
      </c>
      <c r="M31" s="35">
        <v>219900</v>
      </c>
      <c r="N31" s="71">
        <f t="shared" si="4"/>
        <v>0.7</v>
      </c>
      <c r="O31" s="75">
        <f t="shared" si="2"/>
        <v>65970</v>
      </c>
      <c r="P31" s="35" t="str">
        <f t="shared" si="5"/>
        <v>PERCENTAGE</v>
      </c>
    </row>
    <row r="32" spans="1:16" s="32" customFormat="1" x14ac:dyDescent="0.35">
      <c r="A32" s="14" t="str">
        <f t="shared" si="3"/>
        <v>2025 JAN-JUN DISC 70%</v>
      </c>
      <c r="B32" s="34">
        <f t="shared" si="0"/>
        <v>46104</v>
      </c>
      <c r="C32" s="34">
        <f t="shared" si="1"/>
        <v>46113</v>
      </c>
      <c r="D32" s="33">
        <v>3284</v>
      </c>
      <c r="E32" s="14">
        <v>338</v>
      </c>
      <c r="F32" s="14">
        <v>4</v>
      </c>
      <c r="G32" s="33">
        <v>5</v>
      </c>
      <c r="H32" s="33">
        <v>80920</v>
      </c>
      <c r="I32" s="33" t="s">
        <v>17</v>
      </c>
      <c r="J32" s="33">
        <v>51765045</v>
      </c>
      <c r="K32" s="33" t="s">
        <v>2041</v>
      </c>
      <c r="L32" s="39" t="s">
        <v>2043</v>
      </c>
      <c r="M32" s="35">
        <v>219900</v>
      </c>
      <c r="N32" s="71">
        <f t="shared" si="4"/>
        <v>0.7</v>
      </c>
      <c r="O32" s="75">
        <f t="shared" si="2"/>
        <v>65970</v>
      </c>
      <c r="P32" s="35" t="str">
        <f t="shared" si="5"/>
        <v>PERCENTAGE</v>
      </c>
    </row>
    <row r="33" spans="1:16" s="32" customFormat="1" x14ac:dyDescent="0.35">
      <c r="A33" s="14" t="str">
        <f t="shared" si="3"/>
        <v>2025 JAN-JUN DISC 70%</v>
      </c>
      <c r="B33" s="34">
        <f t="shared" si="0"/>
        <v>46104</v>
      </c>
      <c r="C33" s="34">
        <f t="shared" si="1"/>
        <v>46113</v>
      </c>
      <c r="D33" s="33">
        <v>3284</v>
      </c>
      <c r="E33" s="14">
        <v>338</v>
      </c>
      <c r="F33" s="14">
        <v>4</v>
      </c>
      <c r="G33" s="33">
        <v>5</v>
      </c>
      <c r="H33" s="33">
        <v>80920</v>
      </c>
      <c r="I33" s="33" t="s">
        <v>17</v>
      </c>
      <c r="J33" s="33">
        <v>51765054</v>
      </c>
      <c r="K33" s="33" t="s">
        <v>2041</v>
      </c>
      <c r="L33" s="39" t="s">
        <v>2044</v>
      </c>
      <c r="M33" s="35">
        <v>219900</v>
      </c>
      <c r="N33" s="71">
        <f t="shared" si="4"/>
        <v>0.7</v>
      </c>
      <c r="O33" s="75">
        <f t="shared" si="2"/>
        <v>65970</v>
      </c>
      <c r="P33" s="35" t="str">
        <f t="shared" si="5"/>
        <v>PERCENTAGE</v>
      </c>
    </row>
    <row r="34" spans="1:16" s="32" customFormat="1" x14ac:dyDescent="0.35">
      <c r="A34" s="14" t="str">
        <f t="shared" si="3"/>
        <v>2025 JAN-JUN DISC 70%</v>
      </c>
      <c r="B34" s="34">
        <f t="shared" si="0"/>
        <v>46104</v>
      </c>
      <c r="C34" s="34">
        <f t="shared" si="1"/>
        <v>46113</v>
      </c>
      <c r="D34" s="33">
        <v>3284</v>
      </c>
      <c r="E34" s="14">
        <v>338</v>
      </c>
      <c r="F34" s="14">
        <v>4</v>
      </c>
      <c r="G34" s="33">
        <v>5</v>
      </c>
      <c r="H34" s="33">
        <v>80920</v>
      </c>
      <c r="I34" s="33" t="s">
        <v>17</v>
      </c>
      <c r="J34" s="33">
        <v>51765063</v>
      </c>
      <c r="K34" s="33" t="s">
        <v>2041</v>
      </c>
      <c r="L34" s="39" t="s">
        <v>2042</v>
      </c>
      <c r="M34" s="35">
        <v>219900</v>
      </c>
      <c r="N34" s="71">
        <f t="shared" si="4"/>
        <v>0.7</v>
      </c>
      <c r="O34" s="75">
        <f t="shared" si="2"/>
        <v>65970</v>
      </c>
      <c r="P34" s="35" t="str">
        <f t="shared" si="5"/>
        <v>PERCENTAGE</v>
      </c>
    </row>
    <row r="35" spans="1:16" s="32" customFormat="1" x14ac:dyDescent="0.35">
      <c r="A35" s="14" t="str">
        <f t="shared" si="3"/>
        <v>2025 JAN-JUN DISC 70%</v>
      </c>
      <c r="B35" s="34">
        <f t="shared" ref="B35:B66" si="6">B34</f>
        <v>46104</v>
      </c>
      <c r="C35" s="34">
        <f t="shared" ref="C35:C66" si="7">C34</f>
        <v>46113</v>
      </c>
      <c r="D35" s="33">
        <v>3284</v>
      </c>
      <c r="E35" s="14">
        <v>338</v>
      </c>
      <c r="F35" s="14">
        <v>4</v>
      </c>
      <c r="G35" s="33">
        <v>5</v>
      </c>
      <c r="H35" s="33">
        <v>80920</v>
      </c>
      <c r="I35" s="33" t="s">
        <v>17</v>
      </c>
      <c r="J35" s="33">
        <v>51765072</v>
      </c>
      <c r="K35" s="33" t="s">
        <v>2046</v>
      </c>
      <c r="L35" s="39" t="s">
        <v>2049</v>
      </c>
      <c r="M35" s="35">
        <v>219900</v>
      </c>
      <c r="N35" s="71">
        <f t="shared" si="4"/>
        <v>0.7</v>
      </c>
      <c r="O35" s="75">
        <f t="shared" si="2"/>
        <v>65970</v>
      </c>
      <c r="P35" s="35" t="str">
        <f t="shared" si="5"/>
        <v>PERCENTAGE</v>
      </c>
    </row>
    <row r="36" spans="1:16" s="32" customFormat="1" x14ac:dyDescent="0.35">
      <c r="A36" s="14" t="str">
        <f t="shared" si="3"/>
        <v>2025 JAN-JUN DISC 70%</v>
      </c>
      <c r="B36" s="34">
        <f t="shared" si="6"/>
        <v>46104</v>
      </c>
      <c r="C36" s="34">
        <f t="shared" si="7"/>
        <v>46113</v>
      </c>
      <c r="D36" s="33">
        <v>3284</v>
      </c>
      <c r="E36" s="14">
        <v>338</v>
      </c>
      <c r="F36" s="14">
        <v>4</v>
      </c>
      <c r="G36" s="33">
        <v>5</v>
      </c>
      <c r="H36" s="33">
        <v>80920</v>
      </c>
      <c r="I36" s="33" t="s">
        <v>17</v>
      </c>
      <c r="J36" s="33">
        <v>51765081</v>
      </c>
      <c r="K36" s="33" t="s">
        <v>2046</v>
      </c>
      <c r="L36" s="39" t="s">
        <v>2050</v>
      </c>
      <c r="M36" s="35">
        <v>219900</v>
      </c>
      <c r="N36" s="71">
        <f t="shared" si="4"/>
        <v>0.7</v>
      </c>
      <c r="O36" s="75">
        <f t="shared" si="2"/>
        <v>65970</v>
      </c>
      <c r="P36" s="35" t="str">
        <f t="shared" si="5"/>
        <v>PERCENTAGE</v>
      </c>
    </row>
    <row r="37" spans="1:16" s="32" customFormat="1" x14ac:dyDescent="0.35">
      <c r="A37" s="14" t="str">
        <f t="shared" si="3"/>
        <v>2025 JAN-JUN DISC 70%</v>
      </c>
      <c r="B37" s="34">
        <f t="shared" si="6"/>
        <v>46104</v>
      </c>
      <c r="C37" s="34">
        <f t="shared" si="7"/>
        <v>46113</v>
      </c>
      <c r="D37" s="33">
        <v>3284</v>
      </c>
      <c r="E37" s="14">
        <v>338</v>
      </c>
      <c r="F37" s="14">
        <v>4</v>
      </c>
      <c r="G37" s="33">
        <v>5</v>
      </c>
      <c r="H37" s="33">
        <v>80920</v>
      </c>
      <c r="I37" s="33" t="s">
        <v>17</v>
      </c>
      <c r="J37" s="33">
        <v>51765090</v>
      </c>
      <c r="K37" s="33" t="s">
        <v>2046</v>
      </c>
      <c r="L37" s="39" t="s">
        <v>2047</v>
      </c>
      <c r="M37" s="35">
        <v>219900</v>
      </c>
      <c r="N37" s="71">
        <f t="shared" si="4"/>
        <v>0.7</v>
      </c>
      <c r="O37" s="75">
        <f t="shared" si="2"/>
        <v>65970</v>
      </c>
      <c r="P37" s="35" t="str">
        <f t="shared" si="5"/>
        <v>PERCENTAGE</v>
      </c>
    </row>
    <row r="38" spans="1:16" s="32" customFormat="1" x14ac:dyDescent="0.35">
      <c r="A38" s="14" t="str">
        <f t="shared" si="3"/>
        <v>2025 JAN-JUN DISC 70%</v>
      </c>
      <c r="B38" s="34">
        <f t="shared" si="6"/>
        <v>46104</v>
      </c>
      <c r="C38" s="34">
        <f t="shared" si="7"/>
        <v>46113</v>
      </c>
      <c r="D38" s="33">
        <v>3284</v>
      </c>
      <c r="E38" s="14">
        <v>338</v>
      </c>
      <c r="F38" s="14">
        <v>4</v>
      </c>
      <c r="G38" s="33">
        <v>5</v>
      </c>
      <c r="H38" s="33">
        <v>80920</v>
      </c>
      <c r="I38" s="33" t="s">
        <v>17</v>
      </c>
      <c r="J38" s="33">
        <v>51765107</v>
      </c>
      <c r="K38" s="33" t="s">
        <v>2046</v>
      </c>
      <c r="L38" s="39" t="s">
        <v>2048</v>
      </c>
      <c r="M38" s="35">
        <v>219900</v>
      </c>
      <c r="N38" s="71">
        <f t="shared" si="4"/>
        <v>0.7</v>
      </c>
      <c r="O38" s="75">
        <f t="shared" si="2"/>
        <v>65970</v>
      </c>
      <c r="P38" s="35" t="str">
        <f t="shared" si="5"/>
        <v>PERCENTAGE</v>
      </c>
    </row>
    <row r="39" spans="1:16" s="32" customFormat="1" x14ac:dyDescent="0.35">
      <c r="A39" s="14" t="str">
        <f t="shared" si="3"/>
        <v>2025 JAN-JUN DISC 70%</v>
      </c>
      <c r="B39" s="34">
        <f t="shared" si="6"/>
        <v>46104</v>
      </c>
      <c r="C39" s="34">
        <f t="shared" si="7"/>
        <v>46113</v>
      </c>
      <c r="D39" s="33">
        <v>3284</v>
      </c>
      <c r="E39" s="14">
        <v>338</v>
      </c>
      <c r="F39" s="14">
        <v>4</v>
      </c>
      <c r="G39" s="33">
        <v>3</v>
      </c>
      <c r="H39" s="33">
        <v>81146</v>
      </c>
      <c r="I39" s="33" t="s">
        <v>17</v>
      </c>
      <c r="J39" s="33">
        <v>51983934</v>
      </c>
      <c r="K39" s="33" t="s">
        <v>2126</v>
      </c>
      <c r="L39" s="39" t="s">
        <v>2130</v>
      </c>
      <c r="M39" s="35">
        <v>189900</v>
      </c>
      <c r="N39" s="71">
        <f t="shared" si="4"/>
        <v>0.7</v>
      </c>
      <c r="O39" s="75">
        <f t="shared" si="2"/>
        <v>56970</v>
      </c>
      <c r="P39" s="35" t="str">
        <f t="shared" si="5"/>
        <v>PERCENTAGE</v>
      </c>
    </row>
    <row r="40" spans="1:16" s="32" customFormat="1" x14ac:dyDescent="0.35">
      <c r="A40" s="14" t="str">
        <f t="shared" si="3"/>
        <v>2025 JAN-JUN DISC 70%</v>
      </c>
      <c r="B40" s="34">
        <f t="shared" si="6"/>
        <v>46104</v>
      </c>
      <c r="C40" s="34">
        <f t="shared" si="7"/>
        <v>46113</v>
      </c>
      <c r="D40" s="33">
        <v>3284</v>
      </c>
      <c r="E40" s="14">
        <v>338</v>
      </c>
      <c r="F40" s="14">
        <v>4</v>
      </c>
      <c r="G40" s="33">
        <v>3</v>
      </c>
      <c r="H40" s="33">
        <v>81146</v>
      </c>
      <c r="I40" s="33" t="s">
        <v>17</v>
      </c>
      <c r="J40" s="33">
        <v>51983943</v>
      </c>
      <c r="K40" s="33" t="s">
        <v>2126</v>
      </c>
      <c r="L40" s="39" t="s">
        <v>2127</v>
      </c>
      <c r="M40" s="35">
        <v>189900</v>
      </c>
      <c r="N40" s="71">
        <f t="shared" si="4"/>
        <v>0.7</v>
      </c>
      <c r="O40" s="75">
        <f t="shared" si="2"/>
        <v>56970</v>
      </c>
      <c r="P40" s="35" t="str">
        <f t="shared" si="5"/>
        <v>PERCENTAGE</v>
      </c>
    </row>
    <row r="41" spans="1:16" s="32" customFormat="1" x14ac:dyDescent="0.35">
      <c r="A41" s="14" t="str">
        <f t="shared" si="3"/>
        <v>2025 JAN-JUN DISC 70%</v>
      </c>
      <c r="B41" s="34">
        <f t="shared" si="6"/>
        <v>46104</v>
      </c>
      <c r="C41" s="34">
        <f t="shared" si="7"/>
        <v>46113</v>
      </c>
      <c r="D41" s="33">
        <v>3284</v>
      </c>
      <c r="E41" s="14">
        <v>338</v>
      </c>
      <c r="F41" s="14">
        <v>4</v>
      </c>
      <c r="G41" s="33">
        <v>3</v>
      </c>
      <c r="H41" s="33">
        <v>81146</v>
      </c>
      <c r="I41" s="33" t="s">
        <v>17</v>
      </c>
      <c r="J41" s="33">
        <v>51983952</v>
      </c>
      <c r="K41" s="33" t="s">
        <v>2126</v>
      </c>
      <c r="L41" s="39" t="s">
        <v>2128</v>
      </c>
      <c r="M41" s="35">
        <v>189900</v>
      </c>
      <c r="N41" s="71">
        <f t="shared" si="4"/>
        <v>0.7</v>
      </c>
      <c r="O41" s="75">
        <f t="shared" si="2"/>
        <v>56970</v>
      </c>
      <c r="P41" s="35" t="str">
        <f t="shared" si="5"/>
        <v>PERCENTAGE</v>
      </c>
    </row>
    <row r="42" spans="1:16" s="32" customFormat="1" x14ac:dyDescent="0.35">
      <c r="A42" s="14" t="str">
        <f t="shared" si="3"/>
        <v>2025 JAN-JUN DISC 70%</v>
      </c>
      <c r="B42" s="34">
        <f t="shared" si="6"/>
        <v>46104</v>
      </c>
      <c r="C42" s="34">
        <f t="shared" si="7"/>
        <v>46113</v>
      </c>
      <c r="D42" s="33">
        <v>3284</v>
      </c>
      <c r="E42" s="14">
        <v>338</v>
      </c>
      <c r="F42" s="14">
        <v>4</v>
      </c>
      <c r="G42" s="33">
        <v>3</v>
      </c>
      <c r="H42" s="33">
        <v>81146</v>
      </c>
      <c r="I42" s="33" t="s">
        <v>17</v>
      </c>
      <c r="J42" s="33">
        <v>51983961</v>
      </c>
      <c r="K42" s="33" t="s">
        <v>2126</v>
      </c>
      <c r="L42" s="39" t="s">
        <v>2129</v>
      </c>
      <c r="M42" s="35">
        <v>189900</v>
      </c>
      <c r="N42" s="71">
        <f t="shared" si="4"/>
        <v>0.7</v>
      </c>
      <c r="O42" s="75">
        <f t="shared" si="2"/>
        <v>56970</v>
      </c>
      <c r="P42" s="35" t="str">
        <f t="shared" si="5"/>
        <v>PERCENTAGE</v>
      </c>
    </row>
    <row r="43" spans="1:16" s="32" customFormat="1" x14ac:dyDescent="0.35">
      <c r="A43" s="14" t="str">
        <f t="shared" si="3"/>
        <v>2025 JAN-JUN DISC 70%</v>
      </c>
      <c r="B43" s="34">
        <f t="shared" si="6"/>
        <v>46104</v>
      </c>
      <c r="C43" s="34">
        <f t="shared" si="7"/>
        <v>46113</v>
      </c>
      <c r="D43" s="33">
        <v>3284</v>
      </c>
      <c r="E43" s="14">
        <v>338</v>
      </c>
      <c r="F43" s="14">
        <v>4</v>
      </c>
      <c r="G43" s="33">
        <v>3</v>
      </c>
      <c r="H43" s="33">
        <v>81146</v>
      </c>
      <c r="I43" s="33" t="s">
        <v>17</v>
      </c>
      <c r="J43" s="33">
        <v>51983970</v>
      </c>
      <c r="K43" s="33" t="s">
        <v>2061</v>
      </c>
      <c r="L43" s="39" t="s">
        <v>2065</v>
      </c>
      <c r="M43" s="35">
        <v>219900</v>
      </c>
      <c r="N43" s="71">
        <f t="shared" si="4"/>
        <v>0.7</v>
      </c>
      <c r="O43" s="75">
        <f t="shared" si="2"/>
        <v>65970</v>
      </c>
      <c r="P43" s="35" t="str">
        <f t="shared" si="5"/>
        <v>PERCENTAGE</v>
      </c>
    </row>
    <row r="44" spans="1:16" s="32" customFormat="1" x14ac:dyDescent="0.35">
      <c r="A44" s="14" t="str">
        <f t="shared" si="3"/>
        <v>2025 JAN-JUN DISC 70%</v>
      </c>
      <c r="B44" s="34">
        <f t="shared" si="6"/>
        <v>46104</v>
      </c>
      <c r="C44" s="34">
        <f t="shared" si="7"/>
        <v>46113</v>
      </c>
      <c r="D44" s="33">
        <v>3284</v>
      </c>
      <c r="E44" s="14">
        <v>338</v>
      </c>
      <c r="F44" s="14">
        <v>4</v>
      </c>
      <c r="G44" s="33">
        <v>3</v>
      </c>
      <c r="H44" s="33">
        <v>81146</v>
      </c>
      <c r="I44" s="33" t="s">
        <v>17</v>
      </c>
      <c r="J44" s="33">
        <v>51983989</v>
      </c>
      <c r="K44" s="33" t="s">
        <v>2061</v>
      </c>
      <c r="L44" s="39" t="s">
        <v>2062</v>
      </c>
      <c r="M44" s="35">
        <v>219900</v>
      </c>
      <c r="N44" s="71">
        <f t="shared" si="4"/>
        <v>0.7</v>
      </c>
      <c r="O44" s="75">
        <f t="shared" si="2"/>
        <v>65970</v>
      </c>
      <c r="P44" s="35" t="str">
        <f t="shared" si="5"/>
        <v>PERCENTAGE</v>
      </c>
    </row>
    <row r="45" spans="1:16" s="32" customFormat="1" x14ac:dyDescent="0.35">
      <c r="A45" s="14" t="str">
        <f t="shared" si="3"/>
        <v>2025 JAN-JUN DISC 70%</v>
      </c>
      <c r="B45" s="34">
        <f t="shared" si="6"/>
        <v>46104</v>
      </c>
      <c r="C45" s="34">
        <f t="shared" si="7"/>
        <v>46113</v>
      </c>
      <c r="D45" s="33">
        <v>3284</v>
      </c>
      <c r="E45" s="14">
        <v>338</v>
      </c>
      <c r="F45" s="14">
        <v>4</v>
      </c>
      <c r="G45" s="33">
        <v>3</v>
      </c>
      <c r="H45" s="33">
        <v>81146</v>
      </c>
      <c r="I45" s="33" t="s">
        <v>17</v>
      </c>
      <c r="J45" s="33">
        <v>51983998</v>
      </c>
      <c r="K45" s="33" t="s">
        <v>2061</v>
      </c>
      <c r="L45" s="39" t="s">
        <v>2064</v>
      </c>
      <c r="M45" s="35">
        <v>219900</v>
      </c>
      <c r="N45" s="71">
        <f t="shared" si="4"/>
        <v>0.7</v>
      </c>
      <c r="O45" s="75">
        <f t="shared" si="2"/>
        <v>65970</v>
      </c>
      <c r="P45" s="35" t="str">
        <f t="shared" si="5"/>
        <v>PERCENTAGE</v>
      </c>
    </row>
    <row r="46" spans="1:16" s="32" customFormat="1" x14ac:dyDescent="0.35">
      <c r="A46" s="14" t="str">
        <f t="shared" si="3"/>
        <v>2025 JAN-JUN DISC 70%</v>
      </c>
      <c r="B46" s="34">
        <f t="shared" si="6"/>
        <v>46104</v>
      </c>
      <c r="C46" s="34">
        <f t="shared" si="7"/>
        <v>46113</v>
      </c>
      <c r="D46" s="33">
        <v>3284</v>
      </c>
      <c r="E46" s="14">
        <v>338</v>
      </c>
      <c r="F46" s="14">
        <v>4</v>
      </c>
      <c r="G46" s="33">
        <v>3</v>
      </c>
      <c r="H46" s="33">
        <v>81146</v>
      </c>
      <c r="I46" s="33" t="s">
        <v>17</v>
      </c>
      <c r="J46" s="33">
        <v>51984004</v>
      </c>
      <c r="K46" s="33" t="s">
        <v>2061</v>
      </c>
      <c r="L46" s="39" t="s">
        <v>2063</v>
      </c>
      <c r="M46" s="35">
        <v>219900</v>
      </c>
      <c r="N46" s="71">
        <f t="shared" si="4"/>
        <v>0.7</v>
      </c>
      <c r="O46" s="75">
        <f t="shared" si="2"/>
        <v>65970</v>
      </c>
      <c r="P46" s="35" t="str">
        <f t="shared" si="5"/>
        <v>PERCENTAGE</v>
      </c>
    </row>
    <row r="47" spans="1:16" s="32" customFormat="1" x14ac:dyDescent="0.35">
      <c r="A47" s="14" t="str">
        <f t="shared" si="3"/>
        <v>2025 JAN-JUN DISC 70%</v>
      </c>
      <c r="B47" s="34">
        <f t="shared" si="6"/>
        <v>46104</v>
      </c>
      <c r="C47" s="34">
        <f t="shared" si="7"/>
        <v>46113</v>
      </c>
      <c r="D47" s="33">
        <v>3284</v>
      </c>
      <c r="E47" s="14">
        <v>338</v>
      </c>
      <c r="F47" s="14">
        <v>4</v>
      </c>
      <c r="G47" s="33">
        <v>3</v>
      </c>
      <c r="H47" s="33">
        <v>81146</v>
      </c>
      <c r="I47" s="33" t="s">
        <v>17</v>
      </c>
      <c r="J47" s="33">
        <v>51984013</v>
      </c>
      <c r="K47" s="33" t="s">
        <v>2051</v>
      </c>
      <c r="L47" s="39" t="s">
        <v>2052</v>
      </c>
      <c r="M47" s="35">
        <v>189900</v>
      </c>
      <c r="N47" s="71">
        <f t="shared" si="4"/>
        <v>0.7</v>
      </c>
      <c r="O47" s="75">
        <f t="shared" si="2"/>
        <v>56970</v>
      </c>
      <c r="P47" s="35" t="str">
        <f t="shared" si="5"/>
        <v>PERCENTAGE</v>
      </c>
    </row>
    <row r="48" spans="1:16" s="32" customFormat="1" x14ac:dyDescent="0.35">
      <c r="A48" s="14" t="str">
        <f t="shared" si="3"/>
        <v>2025 JAN-JUN DISC 70%</v>
      </c>
      <c r="B48" s="34">
        <f t="shared" si="6"/>
        <v>46104</v>
      </c>
      <c r="C48" s="34">
        <f t="shared" si="7"/>
        <v>46113</v>
      </c>
      <c r="D48" s="33">
        <v>3284</v>
      </c>
      <c r="E48" s="14">
        <v>338</v>
      </c>
      <c r="F48" s="14">
        <v>4</v>
      </c>
      <c r="G48" s="33">
        <v>3</v>
      </c>
      <c r="H48" s="33">
        <v>81146</v>
      </c>
      <c r="I48" s="33" t="s">
        <v>17</v>
      </c>
      <c r="J48" s="33">
        <v>51984022</v>
      </c>
      <c r="K48" s="33" t="s">
        <v>2051</v>
      </c>
      <c r="L48" s="39" t="s">
        <v>2055</v>
      </c>
      <c r="M48" s="35">
        <v>189900</v>
      </c>
      <c r="N48" s="71">
        <f t="shared" si="4"/>
        <v>0.7</v>
      </c>
      <c r="O48" s="75">
        <f t="shared" si="2"/>
        <v>56970</v>
      </c>
      <c r="P48" s="35" t="str">
        <f t="shared" si="5"/>
        <v>PERCENTAGE</v>
      </c>
    </row>
    <row r="49" spans="1:16" s="32" customFormat="1" x14ac:dyDescent="0.35">
      <c r="A49" s="14" t="str">
        <f t="shared" si="3"/>
        <v>2025 JAN-JUN DISC 70%</v>
      </c>
      <c r="B49" s="34">
        <f t="shared" si="6"/>
        <v>46104</v>
      </c>
      <c r="C49" s="34">
        <f t="shared" si="7"/>
        <v>46113</v>
      </c>
      <c r="D49" s="33">
        <v>3284</v>
      </c>
      <c r="E49" s="14">
        <v>338</v>
      </c>
      <c r="F49" s="14">
        <v>4</v>
      </c>
      <c r="G49" s="33">
        <v>3</v>
      </c>
      <c r="H49" s="33">
        <v>81146</v>
      </c>
      <c r="I49" s="33" t="s">
        <v>17</v>
      </c>
      <c r="J49" s="33">
        <v>51984031</v>
      </c>
      <c r="K49" s="33" t="s">
        <v>2051</v>
      </c>
      <c r="L49" s="39" t="s">
        <v>2054</v>
      </c>
      <c r="M49" s="35">
        <v>189900</v>
      </c>
      <c r="N49" s="71">
        <f t="shared" si="4"/>
        <v>0.7</v>
      </c>
      <c r="O49" s="75">
        <f t="shared" si="2"/>
        <v>56970</v>
      </c>
      <c r="P49" s="35" t="str">
        <f t="shared" si="5"/>
        <v>PERCENTAGE</v>
      </c>
    </row>
    <row r="50" spans="1:16" s="32" customFormat="1" x14ac:dyDescent="0.35">
      <c r="A50" s="14" t="str">
        <f t="shared" si="3"/>
        <v>2025 JAN-JUN DISC 70%</v>
      </c>
      <c r="B50" s="34">
        <f t="shared" si="6"/>
        <v>46104</v>
      </c>
      <c r="C50" s="34">
        <f t="shared" si="7"/>
        <v>46113</v>
      </c>
      <c r="D50" s="33">
        <v>3284</v>
      </c>
      <c r="E50" s="14">
        <v>338</v>
      </c>
      <c r="F50" s="14">
        <v>4</v>
      </c>
      <c r="G50" s="33">
        <v>3</v>
      </c>
      <c r="H50" s="33">
        <v>81146</v>
      </c>
      <c r="I50" s="33" t="s">
        <v>17</v>
      </c>
      <c r="J50" s="33">
        <v>51984040</v>
      </c>
      <c r="K50" s="33" t="s">
        <v>2051</v>
      </c>
      <c r="L50" s="39" t="s">
        <v>2053</v>
      </c>
      <c r="M50" s="35">
        <v>189900</v>
      </c>
      <c r="N50" s="71">
        <f t="shared" si="4"/>
        <v>0.7</v>
      </c>
      <c r="O50" s="75">
        <f t="shared" si="2"/>
        <v>56970</v>
      </c>
      <c r="P50" s="35" t="str">
        <f t="shared" si="5"/>
        <v>PERCENTAGE</v>
      </c>
    </row>
    <row r="51" spans="1:16" s="32" customFormat="1" x14ac:dyDescent="0.35">
      <c r="A51" s="14" t="str">
        <f t="shared" si="3"/>
        <v>2025 JAN-JUN DISC 70%</v>
      </c>
      <c r="B51" s="34">
        <f t="shared" si="6"/>
        <v>46104</v>
      </c>
      <c r="C51" s="34">
        <f t="shared" si="7"/>
        <v>46113</v>
      </c>
      <c r="D51" s="33">
        <v>3284</v>
      </c>
      <c r="E51" s="14">
        <v>338</v>
      </c>
      <c r="F51" s="14">
        <v>4</v>
      </c>
      <c r="G51" s="33">
        <v>3</v>
      </c>
      <c r="H51" s="33">
        <v>81146</v>
      </c>
      <c r="I51" s="33" t="s">
        <v>17</v>
      </c>
      <c r="J51" s="33">
        <v>51984059</v>
      </c>
      <c r="K51" s="33" t="s">
        <v>2056</v>
      </c>
      <c r="L51" s="39" t="s">
        <v>2058</v>
      </c>
      <c r="M51" s="35">
        <v>189900</v>
      </c>
      <c r="N51" s="71">
        <f t="shared" si="4"/>
        <v>0.7</v>
      </c>
      <c r="O51" s="75">
        <f t="shared" si="2"/>
        <v>56970</v>
      </c>
      <c r="P51" s="35" t="str">
        <f t="shared" si="5"/>
        <v>PERCENTAGE</v>
      </c>
    </row>
    <row r="52" spans="1:16" s="32" customFormat="1" x14ac:dyDescent="0.35">
      <c r="A52" s="14" t="str">
        <f t="shared" si="3"/>
        <v>2025 JAN-JUN DISC 70%</v>
      </c>
      <c r="B52" s="34">
        <f t="shared" si="6"/>
        <v>46104</v>
      </c>
      <c r="C52" s="34">
        <f t="shared" si="7"/>
        <v>46113</v>
      </c>
      <c r="D52" s="33">
        <v>3284</v>
      </c>
      <c r="E52" s="14">
        <v>338</v>
      </c>
      <c r="F52" s="14">
        <v>4</v>
      </c>
      <c r="G52" s="33">
        <v>3</v>
      </c>
      <c r="H52" s="33">
        <v>81146</v>
      </c>
      <c r="I52" s="33" t="s">
        <v>17</v>
      </c>
      <c r="J52" s="33">
        <v>51984068</v>
      </c>
      <c r="K52" s="33" t="s">
        <v>2056</v>
      </c>
      <c r="L52" s="39" t="s">
        <v>2060</v>
      </c>
      <c r="M52" s="35">
        <v>189900</v>
      </c>
      <c r="N52" s="71">
        <f t="shared" si="4"/>
        <v>0.7</v>
      </c>
      <c r="O52" s="75">
        <f t="shared" si="2"/>
        <v>56970</v>
      </c>
      <c r="P52" s="35" t="str">
        <f t="shared" si="5"/>
        <v>PERCENTAGE</v>
      </c>
    </row>
    <row r="53" spans="1:16" s="32" customFormat="1" x14ac:dyDescent="0.35">
      <c r="A53" s="14" t="str">
        <f t="shared" si="3"/>
        <v>2025 JAN-JUN DISC 70%</v>
      </c>
      <c r="B53" s="34">
        <f t="shared" si="6"/>
        <v>46104</v>
      </c>
      <c r="C53" s="34">
        <f t="shared" si="7"/>
        <v>46113</v>
      </c>
      <c r="D53" s="33">
        <v>3284</v>
      </c>
      <c r="E53" s="14">
        <v>338</v>
      </c>
      <c r="F53" s="14">
        <v>4</v>
      </c>
      <c r="G53" s="33">
        <v>3</v>
      </c>
      <c r="H53" s="33">
        <v>81146</v>
      </c>
      <c r="I53" s="33" t="s">
        <v>17</v>
      </c>
      <c r="J53" s="33">
        <v>51984077</v>
      </c>
      <c r="K53" s="33" t="s">
        <v>2056</v>
      </c>
      <c r="L53" s="39" t="s">
        <v>2057</v>
      </c>
      <c r="M53" s="35">
        <v>189900</v>
      </c>
      <c r="N53" s="71">
        <f t="shared" si="4"/>
        <v>0.7</v>
      </c>
      <c r="O53" s="75">
        <f t="shared" si="2"/>
        <v>56970</v>
      </c>
      <c r="P53" s="35" t="str">
        <f t="shared" si="5"/>
        <v>PERCENTAGE</v>
      </c>
    </row>
    <row r="54" spans="1:16" s="32" customFormat="1" x14ac:dyDescent="0.35">
      <c r="A54" s="14" t="str">
        <f t="shared" si="3"/>
        <v>2025 JAN-JUN DISC 70%</v>
      </c>
      <c r="B54" s="34">
        <f t="shared" si="6"/>
        <v>46104</v>
      </c>
      <c r="C54" s="34">
        <f t="shared" si="7"/>
        <v>46113</v>
      </c>
      <c r="D54" s="33">
        <v>3284</v>
      </c>
      <c r="E54" s="14">
        <v>338</v>
      </c>
      <c r="F54" s="14">
        <v>4</v>
      </c>
      <c r="G54" s="33">
        <v>3</v>
      </c>
      <c r="H54" s="33">
        <v>81146</v>
      </c>
      <c r="I54" s="33" t="s">
        <v>17</v>
      </c>
      <c r="J54" s="33">
        <v>51984086</v>
      </c>
      <c r="K54" s="33" t="s">
        <v>2056</v>
      </c>
      <c r="L54" s="39" t="s">
        <v>2059</v>
      </c>
      <c r="M54" s="35">
        <v>189900</v>
      </c>
      <c r="N54" s="71">
        <f t="shared" si="4"/>
        <v>0.7</v>
      </c>
      <c r="O54" s="75">
        <f t="shared" si="2"/>
        <v>56970</v>
      </c>
      <c r="P54" s="35" t="str">
        <f t="shared" si="5"/>
        <v>PERCENTAGE</v>
      </c>
    </row>
    <row r="55" spans="1:16" s="32" customFormat="1" x14ac:dyDescent="0.35">
      <c r="A55" s="14" t="str">
        <f t="shared" si="3"/>
        <v>2025 JAN-JUN DISC 70%</v>
      </c>
      <c r="B55" s="34">
        <f t="shared" si="6"/>
        <v>46104</v>
      </c>
      <c r="C55" s="34">
        <f t="shared" si="7"/>
        <v>46113</v>
      </c>
      <c r="D55" s="33">
        <v>3284</v>
      </c>
      <c r="E55" s="14">
        <v>338</v>
      </c>
      <c r="F55" s="14">
        <v>4</v>
      </c>
      <c r="G55" s="33">
        <v>3</v>
      </c>
      <c r="H55" s="33">
        <v>81506</v>
      </c>
      <c r="I55" s="33" t="s">
        <v>17</v>
      </c>
      <c r="J55" s="33">
        <v>52297611</v>
      </c>
      <c r="K55" s="33" t="s">
        <v>2116</v>
      </c>
      <c r="L55" s="39" t="s">
        <v>2117</v>
      </c>
      <c r="M55" s="35">
        <v>219900</v>
      </c>
      <c r="N55" s="71">
        <f t="shared" si="4"/>
        <v>0.7</v>
      </c>
      <c r="O55" s="75">
        <f t="shared" si="2"/>
        <v>65970</v>
      </c>
      <c r="P55" s="35" t="str">
        <f t="shared" si="5"/>
        <v>PERCENTAGE</v>
      </c>
    </row>
    <row r="56" spans="1:16" s="32" customFormat="1" x14ac:dyDescent="0.35">
      <c r="A56" s="14" t="str">
        <f t="shared" si="3"/>
        <v>2025 JAN-JUN DISC 70%</v>
      </c>
      <c r="B56" s="34">
        <f t="shared" si="6"/>
        <v>46104</v>
      </c>
      <c r="C56" s="34">
        <f t="shared" si="7"/>
        <v>46113</v>
      </c>
      <c r="D56" s="33">
        <v>3284</v>
      </c>
      <c r="E56" s="14">
        <v>338</v>
      </c>
      <c r="F56" s="14">
        <v>4</v>
      </c>
      <c r="G56" s="33">
        <v>3</v>
      </c>
      <c r="H56" s="33">
        <v>81506</v>
      </c>
      <c r="I56" s="33" t="s">
        <v>17</v>
      </c>
      <c r="J56" s="33">
        <v>52297620</v>
      </c>
      <c r="K56" s="33" t="s">
        <v>2116</v>
      </c>
      <c r="L56" s="39" t="s">
        <v>2119</v>
      </c>
      <c r="M56" s="35">
        <v>219900</v>
      </c>
      <c r="N56" s="71">
        <f t="shared" si="4"/>
        <v>0.7</v>
      </c>
      <c r="O56" s="75">
        <f t="shared" si="2"/>
        <v>65970</v>
      </c>
      <c r="P56" s="35" t="str">
        <f t="shared" si="5"/>
        <v>PERCENTAGE</v>
      </c>
    </row>
    <row r="57" spans="1:16" s="32" customFormat="1" x14ac:dyDescent="0.35">
      <c r="A57" s="14" t="str">
        <f t="shared" si="3"/>
        <v>2025 JAN-JUN DISC 70%</v>
      </c>
      <c r="B57" s="34">
        <f t="shared" si="6"/>
        <v>46104</v>
      </c>
      <c r="C57" s="34">
        <f t="shared" si="7"/>
        <v>46113</v>
      </c>
      <c r="D57" s="33">
        <v>3284</v>
      </c>
      <c r="E57" s="14">
        <v>338</v>
      </c>
      <c r="F57" s="14">
        <v>4</v>
      </c>
      <c r="G57" s="33">
        <v>3</v>
      </c>
      <c r="H57" s="33">
        <v>81506</v>
      </c>
      <c r="I57" s="33" t="s">
        <v>17</v>
      </c>
      <c r="J57" s="33">
        <v>52297639</v>
      </c>
      <c r="K57" s="33" t="s">
        <v>2116</v>
      </c>
      <c r="L57" s="39" t="s">
        <v>2120</v>
      </c>
      <c r="M57" s="35">
        <v>219900</v>
      </c>
      <c r="N57" s="71">
        <f t="shared" si="4"/>
        <v>0.7</v>
      </c>
      <c r="O57" s="75">
        <f t="shared" si="2"/>
        <v>65970</v>
      </c>
      <c r="P57" s="35" t="str">
        <f t="shared" si="5"/>
        <v>PERCENTAGE</v>
      </c>
    </row>
    <row r="58" spans="1:16" s="32" customFormat="1" x14ac:dyDescent="0.35">
      <c r="A58" s="14" t="str">
        <f t="shared" si="3"/>
        <v>2025 JAN-JUN DISC 70%</v>
      </c>
      <c r="B58" s="34">
        <f t="shared" si="6"/>
        <v>46104</v>
      </c>
      <c r="C58" s="34">
        <f t="shared" si="7"/>
        <v>46113</v>
      </c>
      <c r="D58" s="33">
        <v>3284</v>
      </c>
      <c r="E58" s="14">
        <v>338</v>
      </c>
      <c r="F58" s="14">
        <v>4</v>
      </c>
      <c r="G58" s="33">
        <v>3</v>
      </c>
      <c r="H58" s="33">
        <v>81506</v>
      </c>
      <c r="I58" s="33" t="s">
        <v>17</v>
      </c>
      <c r="J58" s="33">
        <v>52297648</v>
      </c>
      <c r="K58" s="33" t="s">
        <v>2116</v>
      </c>
      <c r="L58" s="39" t="s">
        <v>2118</v>
      </c>
      <c r="M58" s="35">
        <v>219900</v>
      </c>
      <c r="N58" s="71">
        <f t="shared" si="4"/>
        <v>0.7</v>
      </c>
      <c r="O58" s="75">
        <f t="shared" si="2"/>
        <v>65970</v>
      </c>
      <c r="P58" s="35" t="str">
        <f t="shared" si="5"/>
        <v>PERCENTAGE</v>
      </c>
    </row>
    <row r="59" spans="1:16" s="32" customFormat="1" x14ac:dyDescent="0.35">
      <c r="A59" s="14" t="str">
        <f t="shared" si="3"/>
        <v>2025 JAN-JUN DISC 70%</v>
      </c>
      <c r="B59" s="34">
        <f t="shared" si="6"/>
        <v>46104</v>
      </c>
      <c r="C59" s="34">
        <f t="shared" si="7"/>
        <v>46113</v>
      </c>
      <c r="D59" s="33">
        <v>3284</v>
      </c>
      <c r="E59" s="14">
        <v>338</v>
      </c>
      <c r="F59" s="14">
        <v>4</v>
      </c>
      <c r="G59" s="33">
        <v>3</v>
      </c>
      <c r="H59" s="33">
        <v>80920</v>
      </c>
      <c r="I59" s="33" t="s">
        <v>17</v>
      </c>
      <c r="J59" s="33">
        <v>51764797</v>
      </c>
      <c r="K59" s="33" t="s">
        <v>2558</v>
      </c>
      <c r="L59" s="39" t="s">
        <v>2562</v>
      </c>
      <c r="M59" s="35">
        <v>189900</v>
      </c>
      <c r="N59" s="71">
        <f t="shared" si="4"/>
        <v>0.7</v>
      </c>
      <c r="O59" s="75">
        <f t="shared" si="2"/>
        <v>56970</v>
      </c>
      <c r="P59" s="35" t="str">
        <f t="shared" si="5"/>
        <v>PERCENTAGE</v>
      </c>
    </row>
    <row r="60" spans="1:16" s="32" customFormat="1" x14ac:dyDescent="0.35">
      <c r="A60" s="14" t="str">
        <f t="shared" si="3"/>
        <v>2025 JAN-JUN DISC 70%</v>
      </c>
      <c r="B60" s="34">
        <f t="shared" si="6"/>
        <v>46104</v>
      </c>
      <c r="C60" s="34">
        <f t="shared" si="7"/>
        <v>46113</v>
      </c>
      <c r="D60" s="33">
        <v>3284</v>
      </c>
      <c r="E60" s="14">
        <v>338</v>
      </c>
      <c r="F60" s="14">
        <v>4</v>
      </c>
      <c r="G60" s="33">
        <v>3</v>
      </c>
      <c r="H60" s="33">
        <v>80920</v>
      </c>
      <c r="I60" s="33" t="s">
        <v>17</v>
      </c>
      <c r="J60" s="33">
        <v>51764804</v>
      </c>
      <c r="K60" s="33" t="s">
        <v>2558</v>
      </c>
      <c r="L60" s="39" t="s">
        <v>2560</v>
      </c>
      <c r="M60" s="35">
        <v>189900</v>
      </c>
      <c r="N60" s="71">
        <f t="shared" si="4"/>
        <v>0.7</v>
      </c>
      <c r="O60" s="75">
        <f t="shared" si="2"/>
        <v>56970</v>
      </c>
      <c r="P60" s="35" t="str">
        <f t="shared" si="5"/>
        <v>PERCENTAGE</v>
      </c>
    </row>
    <row r="61" spans="1:16" s="32" customFormat="1" x14ac:dyDescent="0.35">
      <c r="A61" s="14" t="str">
        <f t="shared" si="3"/>
        <v>2025 JAN-JUN DISC 70%</v>
      </c>
      <c r="B61" s="34">
        <f t="shared" si="6"/>
        <v>46104</v>
      </c>
      <c r="C61" s="34">
        <f t="shared" si="7"/>
        <v>46113</v>
      </c>
      <c r="D61" s="33">
        <v>3284</v>
      </c>
      <c r="E61" s="14">
        <v>338</v>
      </c>
      <c r="F61" s="14">
        <v>4</v>
      </c>
      <c r="G61" s="33">
        <v>3</v>
      </c>
      <c r="H61" s="33">
        <v>80920</v>
      </c>
      <c r="I61" s="33" t="s">
        <v>17</v>
      </c>
      <c r="J61" s="33">
        <v>51764813</v>
      </c>
      <c r="K61" s="33" t="s">
        <v>2558</v>
      </c>
      <c r="L61" s="39" t="s">
        <v>2561</v>
      </c>
      <c r="M61" s="35">
        <v>189900</v>
      </c>
      <c r="N61" s="71">
        <f t="shared" si="4"/>
        <v>0.7</v>
      </c>
      <c r="O61" s="75">
        <f t="shared" si="2"/>
        <v>56970</v>
      </c>
      <c r="P61" s="35" t="str">
        <f t="shared" si="5"/>
        <v>PERCENTAGE</v>
      </c>
    </row>
    <row r="62" spans="1:16" s="32" customFormat="1" x14ac:dyDescent="0.35">
      <c r="A62" s="14" t="str">
        <f t="shared" si="3"/>
        <v>2025 JAN-JUN DISC 70%</v>
      </c>
      <c r="B62" s="34">
        <f t="shared" si="6"/>
        <v>46104</v>
      </c>
      <c r="C62" s="34">
        <f t="shared" si="7"/>
        <v>46113</v>
      </c>
      <c r="D62" s="33">
        <v>3284</v>
      </c>
      <c r="E62" s="14">
        <v>338</v>
      </c>
      <c r="F62" s="14">
        <v>4</v>
      </c>
      <c r="G62" s="33">
        <v>3</v>
      </c>
      <c r="H62" s="33">
        <v>80920</v>
      </c>
      <c r="I62" s="33" t="s">
        <v>17</v>
      </c>
      <c r="J62" s="33">
        <v>51764822</v>
      </c>
      <c r="K62" s="33" t="s">
        <v>2558</v>
      </c>
      <c r="L62" s="39" t="s">
        <v>2559</v>
      </c>
      <c r="M62" s="35">
        <v>189900</v>
      </c>
      <c r="N62" s="71">
        <f t="shared" si="4"/>
        <v>0.7</v>
      </c>
      <c r="O62" s="75">
        <f t="shared" si="2"/>
        <v>56970</v>
      </c>
      <c r="P62" s="35" t="str">
        <f t="shared" si="5"/>
        <v>PERCENTAGE</v>
      </c>
    </row>
    <row r="63" spans="1:16" s="32" customFormat="1" x14ac:dyDescent="0.35">
      <c r="A63" s="14" t="str">
        <f t="shared" si="3"/>
        <v>2025 JAN-JUN DISC 70%</v>
      </c>
      <c r="B63" s="34">
        <f t="shared" si="6"/>
        <v>46104</v>
      </c>
      <c r="C63" s="34">
        <f t="shared" si="7"/>
        <v>46113</v>
      </c>
      <c r="D63" s="33">
        <v>3284</v>
      </c>
      <c r="E63" s="14">
        <v>338</v>
      </c>
      <c r="F63" s="14">
        <v>4</v>
      </c>
      <c r="G63" s="33">
        <v>4</v>
      </c>
      <c r="H63" s="33">
        <v>81146</v>
      </c>
      <c r="I63" s="33" t="s">
        <v>17</v>
      </c>
      <c r="J63" s="33">
        <v>51764877</v>
      </c>
      <c r="K63" s="33" t="s">
        <v>2141</v>
      </c>
      <c r="L63" s="39" t="s">
        <v>2145</v>
      </c>
      <c r="M63" s="35">
        <v>219900</v>
      </c>
      <c r="N63" s="71">
        <f t="shared" si="4"/>
        <v>0.7</v>
      </c>
      <c r="O63" s="75">
        <f t="shared" si="2"/>
        <v>65970</v>
      </c>
      <c r="P63" s="35" t="str">
        <f t="shared" si="5"/>
        <v>PERCENTAGE</v>
      </c>
    </row>
    <row r="64" spans="1:16" s="32" customFormat="1" x14ac:dyDescent="0.35">
      <c r="A64" s="14" t="str">
        <f t="shared" si="3"/>
        <v>2025 JAN-JUN DISC 70%</v>
      </c>
      <c r="B64" s="34">
        <f t="shared" si="6"/>
        <v>46104</v>
      </c>
      <c r="C64" s="34">
        <f t="shared" si="7"/>
        <v>46113</v>
      </c>
      <c r="D64" s="33">
        <v>3284</v>
      </c>
      <c r="E64" s="14">
        <v>338</v>
      </c>
      <c r="F64" s="14">
        <v>4</v>
      </c>
      <c r="G64" s="33">
        <v>4</v>
      </c>
      <c r="H64" s="33">
        <v>81146</v>
      </c>
      <c r="I64" s="33" t="s">
        <v>17</v>
      </c>
      <c r="J64" s="33">
        <v>51764886</v>
      </c>
      <c r="K64" s="33" t="s">
        <v>2141</v>
      </c>
      <c r="L64" s="39" t="s">
        <v>2143</v>
      </c>
      <c r="M64" s="35">
        <v>219900</v>
      </c>
      <c r="N64" s="71">
        <f t="shared" si="4"/>
        <v>0.7</v>
      </c>
      <c r="O64" s="75">
        <f t="shared" si="2"/>
        <v>65970</v>
      </c>
      <c r="P64" s="35" t="str">
        <f t="shared" si="5"/>
        <v>PERCENTAGE</v>
      </c>
    </row>
    <row r="65" spans="1:16" s="32" customFormat="1" x14ac:dyDescent="0.35">
      <c r="A65" s="14" t="str">
        <f t="shared" si="3"/>
        <v>2025 JAN-JUN DISC 70%</v>
      </c>
      <c r="B65" s="34">
        <f t="shared" si="6"/>
        <v>46104</v>
      </c>
      <c r="C65" s="34">
        <f t="shared" si="7"/>
        <v>46113</v>
      </c>
      <c r="D65" s="33">
        <v>3284</v>
      </c>
      <c r="E65" s="14">
        <v>338</v>
      </c>
      <c r="F65" s="14">
        <v>4</v>
      </c>
      <c r="G65" s="33">
        <v>4</v>
      </c>
      <c r="H65" s="33">
        <v>81146</v>
      </c>
      <c r="I65" s="33" t="s">
        <v>17</v>
      </c>
      <c r="J65" s="33">
        <v>51764895</v>
      </c>
      <c r="K65" s="33" t="s">
        <v>2141</v>
      </c>
      <c r="L65" s="39" t="s">
        <v>2142</v>
      </c>
      <c r="M65" s="35">
        <v>219900</v>
      </c>
      <c r="N65" s="71">
        <f t="shared" si="4"/>
        <v>0.7</v>
      </c>
      <c r="O65" s="75">
        <f t="shared" si="2"/>
        <v>65970</v>
      </c>
      <c r="P65" s="35" t="str">
        <f t="shared" si="5"/>
        <v>PERCENTAGE</v>
      </c>
    </row>
    <row r="66" spans="1:16" s="32" customFormat="1" x14ac:dyDescent="0.35">
      <c r="A66" s="14" t="str">
        <f t="shared" si="3"/>
        <v>2025 JAN-JUN DISC 70%</v>
      </c>
      <c r="B66" s="34">
        <f t="shared" si="6"/>
        <v>46104</v>
      </c>
      <c r="C66" s="34">
        <f t="shared" si="7"/>
        <v>46113</v>
      </c>
      <c r="D66" s="33">
        <v>3284</v>
      </c>
      <c r="E66" s="14">
        <v>338</v>
      </c>
      <c r="F66" s="14">
        <v>4</v>
      </c>
      <c r="G66" s="33">
        <v>4</v>
      </c>
      <c r="H66" s="33">
        <v>81146</v>
      </c>
      <c r="I66" s="33" t="s">
        <v>17</v>
      </c>
      <c r="J66" s="33">
        <v>51764902</v>
      </c>
      <c r="K66" s="33" t="s">
        <v>2141</v>
      </c>
      <c r="L66" s="39" t="s">
        <v>2144</v>
      </c>
      <c r="M66" s="35">
        <v>219900</v>
      </c>
      <c r="N66" s="71">
        <f t="shared" si="4"/>
        <v>0.7</v>
      </c>
      <c r="O66" s="75">
        <f t="shared" si="2"/>
        <v>65970</v>
      </c>
      <c r="P66" s="35" t="str">
        <f t="shared" si="5"/>
        <v>PERCENTAGE</v>
      </c>
    </row>
    <row r="67" spans="1:16" s="32" customFormat="1" x14ac:dyDescent="0.35">
      <c r="A67" s="14" t="str">
        <f t="shared" si="3"/>
        <v>2025 JAN-JUN DISC 70%</v>
      </c>
      <c r="B67" s="34">
        <f t="shared" ref="B67:B98" si="8">B66</f>
        <v>46104</v>
      </c>
      <c r="C67" s="34">
        <f t="shared" ref="C67:C98" si="9">C66</f>
        <v>46113</v>
      </c>
      <c r="D67" s="33">
        <v>3284</v>
      </c>
      <c r="E67" s="14">
        <v>338</v>
      </c>
      <c r="F67" s="14">
        <v>4</v>
      </c>
      <c r="G67" s="33">
        <v>4</v>
      </c>
      <c r="H67" s="33">
        <v>81146</v>
      </c>
      <c r="I67" s="33" t="s">
        <v>17</v>
      </c>
      <c r="J67" s="33">
        <v>51764957</v>
      </c>
      <c r="K67" s="33" t="s">
        <v>2136</v>
      </c>
      <c r="L67" s="39" t="s">
        <v>2138</v>
      </c>
      <c r="M67" s="35">
        <v>219900</v>
      </c>
      <c r="N67" s="71">
        <f t="shared" si="4"/>
        <v>0.7</v>
      </c>
      <c r="O67" s="75">
        <f t="shared" ref="O67:O130" si="10">M67-((70*M67)/100)</f>
        <v>65970</v>
      </c>
      <c r="P67" s="35" t="str">
        <f t="shared" si="5"/>
        <v>PERCENTAGE</v>
      </c>
    </row>
    <row r="68" spans="1:16" s="32" customFormat="1" x14ac:dyDescent="0.35">
      <c r="A68" s="14" t="str">
        <f t="shared" ref="A68:A130" si="11">A67</f>
        <v>2025 JAN-JUN DISC 70%</v>
      </c>
      <c r="B68" s="34">
        <f t="shared" si="8"/>
        <v>46104</v>
      </c>
      <c r="C68" s="34">
        <f t="shared" si="9"/>
        <v>46113</v>
      </c>
      <c r="D68" s="33">
        <v>3284</v>
      </c>
      <c r="E68" s="14">
        <v>338</v>
      </c>
      <c r="F68" s="14">
        <v>4</v>
      </c>
      <c r="G68" s="33">
        <v>4</v>
      </c>
      <c r="H68" s="33">
        <v>81146</v>
      </c>
      <c r="I68" s="33" t="s">
        <v>17</v>
      </c>
      <c r="J68" s="33">
        <v>51764966</v>
      </c>
      <c r="K68" s="33" t="s">
        <v>2136</v>
      </c>
      <c r="L68" s="39" t="s">
        <v>2140</v>
      </c>
      <c r="M68" s="35">
        <v>219900</v>
      </c>
      <c r="N68" s="71">
        <f t="shared" ref="N68:N130" si="12">N67</f>
        <v>0.7</v>
      </c>
      <c r="O68" s="75">
        <f t="shared" si="10"/>
        <v>65970</v>
      </c>
      <c r="P68" s="35" t="str">
        <f t="shared" ref="P68:P130" si="13">P67</f>
        <v>PERCENTAGE</v>
      </c>
    </row>
    <row r="69" spans="1:16" s="32" customFormat="1" x14ac:dyDescent="0.35">
      <c r="A69" s="14" t="str">
        <f t="shared" si="11"/>
        <v>2025 JAN-JUN DISC 70%</v>
      </c>
      <c r="B69" s="34">
        <f t="shared" si="8"/>
        <v>46104</v>
      </c>
      <c r="C69" s="34">
        <f t="shared" si="9"/>
        <v>46113</v>
      </c>
      <c r="D69" s="33">
        <v>3284</v>
      </c>
      <c r="E69" s="14">
        <v>338</v>
      </c>
      <c r="F69" s="14">
        <v>4</v>
      </c>
      <c r="G69" s="33">
        <v>4</v>
      </c>
      <c r="H69" s="33">
        <v>81146</v>
      </c>
      <c r="I69" s="33" t="s">
        <v>17</v>
      </c>
      <c r="J69" s="33">
        <v>51764975</v>
      </c>
      <c r="K69" s="33" t="s">
        <v>2136</v>
      </c>
      <c r="L69" s="39" t="s">
        <v>2137</v>
      </c>
      <c r="M69" s="35">
        <v>219900</v>
      </c>
      <c r="N69" s="71">
        <f t="shared" si="12"/>
        <v>0.7</v>
      </c>
      <c r="O69" s="75">
        <f t="shared" si="10"/>
        <v>65970</v>
      </c>
      <c r="P69" s="35" t="str">
        <f t="shared" si="13"/>
        <v>PERCENTAGE</v>
      </c>
    </row>
    <row r="70" spans="1:16" s="32" customFormat="1" x14ac:dyDescent="0.35">
      <c r="A70" s="14" t="str">
        <f t="shared" si="11"/>
        <v>2025 JAN-JUN DISC 70%</v>
      </c>
      <c r="B70" s="34">
        <f t="shared" si="8"/>
        <v>46104</v>
      </c>
      <c r="C70" s="34">
        <f t="shared" si="9"/>
        <v>46113</v>
      </c>
      <c r="D70" s="33">
        <v>3284</v>
      </c>
      <c r="E70" s="14">
        <v>338</v>
      </c>
      <c r="F70" s="14">
        <v>4</v>
      </c>
      <c r="G70" s="33">
        <v>4</v>
      </c>
      <c r="H70" s="33">
        <v>81146</v>
      </c>
      <c r="I70" s="33" t="s">
        <v>17</v>
      </c>
      <c r="J70" s="33">
        <v>51764984</v>
      </c>
      <c r="K70" s="33" t="s">
        <v>2136</v>
      </c>
      <c r="L70" s="39" t="s">
        <v>2139</v>
      </c>
      <c r="M70" s="35">
        <v>219900</v>
      </c>
      <c r="N70" s="71">
        <f t="shared" si="12"/>
        <v>0.7</v>
      </c>
      <c r="O70" s="75">
        <f t="shared" si="10"/>
        <v>65970</v>
      </c>
      <c r="P70" s="35" t="str">
        <f t="shared" si="13"/>
        <v>PERCENTAGE</v>
      </c>
    </row>
    <row r="71" spans="1:16" s="32" customFormat="1" x14ac:dyDescent="0.35">
      <c r="A71" s="14" t="str">
        <f t="shared" si="11"/>
        <v>2025 JAN-JUN DISC 70%</v>
      </c>
      <c r="B71" s="34">
        <f t="shared" si="8"/>
        <v>46104</v>
      </c>
      <c r="C71" s="34">
        <f t="shared" si="9"/>
        <v>46113</v>
      </c>
      <c r="D71" s="33">
        <v>3284</v>
      </c>
      <c r="E71" s="14">
        <v>338</v>
      </c>
      <c r="F71" s="14">
        <v>4</v>
      </c>
      <c r="G71" s="33">
        <v>5</v>
      </c>
      <c r="H71" s="33">
        <v>80920</v>
      </c>
      <c r="I71" s="33" t="s">
        <v>17</v>
      </c>
      <c r="J71" s="33">
        <v>51764993</v>
      </c>
      <c r="K71" s="33" t="s">
        <v>2131</v>
      </c>
      <c r="L71" s="39" t="s">
        <v>2135</v>
      </c>
      <c r="M71" s="35">
        <v>219900</v>
      </c>
      <c r="N71" s="71">
        <f t="shared" si="12"/>
        <v>0.7</v>
      </c>
      <c r="O71" s="75">
        <f t="shared" si="10"/>
        <v>65970</v>
      </c>
      <c r="P71" s="35" t="str">
        <f t="shared" si="13"/>
        <v>PERCENTAGE</v>
      </c>
    </row>
    <row r="72" spans="1:16" s="32" customFormat="1" x14ac:dyDescent="0.35">
      <c r="A72" s="14" t="str">
        <f t="shared" si="11"/>
        <v>2025 JAN-JUN DISC 70%</v>
      </c>
      <c r="B72" s="34">
        <f t="shared" si="8"/>
        <v>46104</v>
      </c>
      <c r="C72" s="34">
        <f t="shared" si="9"/>
        <v>46113</v>
      </c>
      <c r="D72" s="33">
        <v>3284</v>
      </c>
      <c r="E72" s="14">
        <v>338</v>
      </c>
      <c r="F72" s="14">
        <v>4</v>
      </c>
      <c r="G72" s="33">
        <v>5</v>
      </c>
      <c r="H72" s="33">
        <v>80920</v>
      </c>
      <c r="I72" s="33" t="s">
        <v>17</v>
      </c>
      <c r="J72" s="33">
        <v>51765009</v>
      </c>
      <c r="K72" s="33" t="s">
        <v>2131</v>
      </c>
      <c r="L72" s="39" t="s">
        <v>2134</v>
      </c>
      <c r="M72" s="35">
        <v>219900</v>
      </c>
      <c r="N72" s="71">
        <f t="shared" si="12"/>
        <v>0.7</v>
      </c>
      <c r="O72" s="75">
        <f t="shared" si="10"/>
        <v>65970</v>
      </c>
      <c r="P72" s="35" t="str">
        <f t="shared" si="13"/>
        <v>PERCENTAGE</v>
      </c>
    </row>
    <row r="73" spans="1:16" s="32" customFormat="1" x14ac:dyDescent="0.35">
      <c r="A73" s="14" t="str">
        <f t="shared" si="11"/>
        <v>2025 JAN-JUN DISC 70%</v>
      </c>
      <c r="B73" s="34">
        <f t="shared" si="8"/>
        <v>46104</v>
      </c>
      <c r="C73" s="34">
        <f t="shared" si="9"/>
        <v>46113</v>
      </c>
      <c r="D73" s="33">
        <v>3284</v>
      </c>
      <c r="E73" s="14">
        <v>338</v>
      </c>
      <c r="F73" s="14">
        <v>4</v>
      </c>
      <c r="G73" s="33">
        <v>5</v>
      </c>
      <c r="H73" s="33">
        <v>80920</v>
      </c>
      <c r="I73" s="33" t="s">
        <v>17</v>
      </c>
      <c r="J73" s="33">
        <v>51765018</v>
      </c>
      <c r="K73" s="33" t="s">
        <v>2131</v>
      </c>
      <c r="L73" s="39" t="s">
        <v>2132</v>
      </c>
      <c r="M73" s="35">
        <v>219900</v>
      </c>
      <c r="N73" s="71">
        <f t="shared" si="12"/>
        <v>0.7</v>
      </c>
      <c r="O73" s="75">
        <f t="shared" si="10"/>
        <v>65970</v>
      </c>
      <c r="P73" s="35" t="str">
        <f t="shared" si="13"/>
        <v>PERCENTAGE</v>
      </c>
    </row>
    <row r="74" spans="1:16" s="32" customFormat="1" x14ac:dyDescent="0.35">
      <c r="A74" s="14" t="str">
        <f t="shared" si="11"/>
        <v>2025 JAN-JUN DISC 70%</v>
      </c>
      <c r="B74" s="34">
        <f t="shared" si="8"/>
        <v>46104</v>
      </c>
      <c r="C74" s="34">
        <f t="shared" si="9"/>
        <v>46113</v>
      </c>
      <c r="D74" s="33">
        <v>3284</v>
      </c>
      <c r="E74" s="14">
        <v>338</v>
      </c>
      <c r="F74" s="14">
        <v>4</v>
      </c>
      <c r="G74" s="33">
        <v>5</v>
      </c>
      <c r="H74" s="33">
        <v>80920</v>
      </c>
      <c r="I74" s="33" t="s">
        <v>17</v>
      </c>
      <c r="J74" s="33">
        <v>51765027</v>
      </c>
      <c r="K74" s="33" t="s">
        <v>2131</v>
      </c>
      <c r="L74" s="39" t="s">
        <v>2133</v>
      </c>
      <c r="M74" s="35">
        <v>219900</v>
      </c>
      <c r="N74" s="71">
        <f t="shared" si="12"/>
        <v>0.7</v>
      </c>
      <c r="O74" s="75">
        <f t="shared" si="10"/>
        <v>65970</v>
      </c>
      <c r="P74" s="35" t="str">
        <f t="shared" si="13"/>
        <v>PERCENTAGE</v>
      </c>
    </row>
    <row r="75" spans="1:16" s="32" customFormat="1" x14ac:dyDescent="0.35">
      <c r="A75" s="14" t="str">
        <f t="shared" si="11"/>
        <v>2025 JAN-JUN DISC 70%</v>
      </c>
      <c r="B75" s="34">
        <f t="shared" si="8"/>
        <v>46104</v>
      </c>
      <c r="C75" s="34">
        <f t="shared" si="9"/>
        <v>46113</v>
      </c>
      <c r="D75" s="33">
        <v>3284</v>
      </c>
      <c r="E75" s="14">
        <v>338</v>
      </c>
      <c r="F75" s="14">
        <v>4</v>
      </c>
      <c r="G75" s="33">
        <v>3</v>
      </c>
      <c r="H75" s="33">
        <v>81146</v>
      </c>
      <c r="I75" s="33" t="s">
        <v>17</v>
      </c>
      <c r="J75" s="33">
        <v>51984139</v>
      </c>
      <c r="K75" s="33" t="s">
        <v>2151</v>
      </c>
      <c r="L75" s="39" t="s">
        <v>2152</v>
      </c>
      <c r="M75" s="35">
        <v>219900</v>
      </c>
      <c r="N75" s="71">
        <f t="shared" si="12"/>
        <v>0.7</v>
      </c>
      <c r="O75" s="75">
        <f t="shared" si="10"/>
        <v>65970</v>
      </c>
      <c r="P75" s="35" t="str">
        <f t="shared" si="13"/>
        <v>PERCENTAGE</v>
      </c>
    </row>
    <row r="76" spans="1:16" s="32" customFormat="1" x14ac:dyDescent="0.35">
      <c r="A76" s="14" t="str">
        <f t="shared" si="11"/>
        <v>2025 JAN-JUN DISC 70%</v>
      </c>
      <c r="B76" s="34">
        <f t="shared" si="8"/>
        <v>46104</v>
      </c>
      <c r="C76" s="34">
        <f t="shared" si="9"/>
        <v>46113</v>
      </c>
      <c r="D76" s="33">
        <v>3284</v>
      </c>
      <c r="E76" s="14">
        <v>338</v>
      </c>
      <c r="F76" s="14">
        <v>4</v>
      </c>
      <c r="G76" s="33">
        <v>3</v>
      </c>
      <c r="H76" s="33">
        <v>81146</v>
      </c>
      <c r="I76" s="33" t="s">
        <v>17</v>
      </c>
      <c r="J76" s="33">
        <v>51984148</v>
      </c>
      <c r="K76" s="33" t="s">
        <v>2151</v>
      </c>
      <c r="L76" s="39" t="s">
        <v>2155</v>
      </c>
      <c r="M76" s="35">
        <v>219900</v>
      </c>
      <c r="N76" s="71">
        <f t="shared" si="12"/>
        <v>0.7</v>
      </c>
      <c r="O76" s="75">
        <f t="shared" si="10"/>
        <v>65970</v>
      </c>
      <c r="P76" s="35" t="str">
        <f t="shared" si="13"/>
        <v>PERCENTAGE</v>
      </c>
    </row>
    <row r="77" spans="1:16" s="32" customFormat="1" x14ac:dyDescent="0.35">
      <c r="A77" s="14" t="str">
        <f t="shared" si="11"/>
        <v>2025 JAN-JUN DISC 70%</v>
      </c>
      <c r="B77" s="34">
        <f t="shared" si="8"/>
        <v>46104</v>
      </c>
      <c r="C77" s="34">
        <f t="shared" si="9"/>
        <v>46113</v>
      </c>
      <c r="D77" s="33">
        <v>3284</v>
      </c>
      <c r="E77" s="14">
        <v>338</v>
      </c>
      <c r="F77" s="14">
        <v>4</v>
      </c>
      <c r="G77" s="33">
        <v>3</v>
      </c>
      <c r="H77" s="33">
        <v>81146</v>
      </c>
      <c r="I77" s="33" t="s">
        <v>17</v>
      </c>
      <c r="J77" s="33">
        <v>51984157</v>
      </c>
      <c r="K77" s="33" t="s">
        <v>2151</v>
      </c>
      <c r="L77" s="39" t="s">
        <v>2153</v>
      </c>
      <c r="M77" s="35">
        <v>219900</v>
      </c>
      <c r="N77" s="71">
        <f t="shared" si="12"/>
        <v>0.7</v>
      </c>
      <c r="O77" s="75">
        <f t="shared" si="10"/>
        <v>65970</v>
      </c>
      <c r="P77" s="35" t="str">
        <f t="shared" si="13"/>
        <v>PERCENTAGE</v>
      </c>
    </row>
    <row r="78" spans="1:16" s="32" customFormat="1" x14ac:dyDescent="0.35">
      <c r="A78" s="14" t="str">
        <f t="shared" si="11"/>
        <v>2025 JAN-JUN DISC 70%</v>
      </c>
      <c r="B78" s="34">
        <f t="shared" si="8"/>
        <v>46104</v>
      </c>
      <c r="C78" s="34">
        <f t="shared" si="9"/>
        <v>46113</v>
      </c>
      <c r="D78" s="33">
        <v>3284</v>
      </c>
      <c r="E78" s="14">
        <v>338</v>
      </c>
      <c r="F78" s="14">
        <v>4</v>
      </c>
      <c r="G78" s="33">
        <v>3</v>
      </c>
      <c r="H78" s="33">
        <v>81146</v>
      </c>
      <c r="I78" s="33" t="s">
        <v>17</v>
      </c>
      <c r="J78" s="33">
        <v>51984166</v>
      </c>
      <c r="K78" s="33" t="s">
        <v>2151</v>
      </c>
      <c r="L78" s="39" t="s">
        <v>2154</v>
      </c>
      <c r="M78" s="35">
        <v>219900</v>
      </c>
      <c r="N78" s="71">
        <f t="shared" si="12"/>
        <v>0.7</v>
      </c>
      <c r="O78" s="75">
        <f t="shared" si="10"/>
        <v>65970</v>
      </c>
      <c r="P78" s="35" t="str">
        <f t="shared" si="13"/>
        <v>PERCENTAGE</v>
      </c>
    </row>
    <row r="79" spans="1:16" s="32" customFormat="1" x14ac:dyDescent="0.35">
      <c r="A79" s="14" t="str">
        <f t="shared" si="11"/>
        <v>2025 JAN-JUN DISC 70%</v>
      </c>
      <c r="B79" s="34">
        <f t="shared" si="8"/>
        <v>46104</v>
      </c>
      <c r="C79" s="34">
        <f t="shared" si="9"/>
        <v>46113</v>
      </c>
      <c r="D79" s="33">
        <v>3284</v>
      </c>
      <c r="E79" s="14">
        <v>338</v>
      </c>
      <c r="F79" s="14">
        <v>4</v>
      </c>
      <c r="G79" s="33">
        <v>4</v>
      </c>
      <c r="H79" s="33">
        <v>81506</v>
      </c>
      <c r="I79" s="33" t="s">
        <v>17</v>
      </c>
      <c r="J79" s="33">
        <v>52297693</v>
      </c>
      <c r="K79" s="33" t="s">
        <v>2563</v>
      </c>
      <c r="L79" s="39" t="s">
        <v>2566</v>
      </c>
      <c r="M79" s="35">
        <v>219900</v>
      </c>
      <c r="N79" s="71">
        <f t="shared" si="12"/>
        <v>0.7</v>
      </c>
      <c r="O79" s="75">
        <f t="shared" si="10"/>
        <v>65970</v>
      </c>
      <c r="P79" s="35" t="str">
        <f t="shared" si="13"/>
        <v>PERCENTAGE</v>
      </c>
    </row>
    <row r="80" spans="1:16" s="32" customFormat="1" x14ac:dyDescent="0.35">
      <c r="A80" s="14" t="str">
        <f t="shared" si="11"/>
        <v>2025 JAN-JUN DISC 70%</v>
      </c>
      <c r="B80" s="34">
        <f t="shared" si="8"/>
        <v>46104</v>
      </c>
      <c r="C80" s="34">
        <f t="shared" si="9"/>
        <v>46113</v>
      </c>
      <c r="D80" s="33">
        <v>3284</v>
      </c>
      <c r="E80" s="14">
        <v>338</v>
      </c>
      <c r="F80" s="14">
        <v>4</v>
      </c>
      <c r="G80" s="33">
        <v>4</v>
      </c>
      <c r="H80" s="33">
        <v>81506</v>
      </c>
      <c r="I80" s="33" t="s">
        <v>17</v>
      </c>
      <c r="J80" s="33">
        <v>52297700</v>
      </c>
      <c r="K80" s="33" t="s">
        <v>2563</v>
      </c>
      <c r="L80" s="39" t="s">
        <v>2564</v>
      </c>
      <c r="M80" s="35">
        <v>219900</v>
      </c>
      <c r="N80" s="71">
        <f t="shared" si="12"/>
        <v>0.7</v>
      </c>
      <c r="O80" s="75">
        <f t="shared" si="10"/>
        <v>65970</v>
      </c>
      <c r="P80" s="35" t="str">
        <f t="shared" si="13"/>
        <v>PERCENTAGE</v>
      </c>
    </row>
    <row r="81" spans="1:16" s="32" customFormat="1" x14ac:dyDescent="0.35">
      <c r="A81" s="14" t="str">
        <f t="shared" si="11"/>
        <v>2025 JAN-JUN DISC 70%</v>
      </c>
      <c r="B81" s="34">
        <f t="shared" si="8"/>
        <v>46104</v>
      </c>
      <c r="C81" s="34">
        <f t="shared" si="9"/>
        <v>46113</v>
      </c>
      <c r="D81" s="33">
        <v>3284</v>
      </c>
      <c r="E81" s="14">
        <v>338</v>
      </c>
      <c r="F81" s="14">
        <v>4</v>
      </c>
      <c r="G81" s="33">
        <v>4</v>
      </c>
      <c r="H81" s="33">
        <v>81506</v>
      </c>
      <c r="I81" s="33" t="s">
        <v>17</v>
      </c>
      <c r="J81" s="33">
        <v>52297719</v>
      </c>
      <c r="K81" s="33" t="s">
        <v>2563</v>
      </c>
      <c r="L81" s="39" t="s">
        <v>2567</v>
      </c>
      <c r="M81" s="35">
        <v>219900</v>
      </c>
      <c r="N81" s="71">
        <f t="shared" si="12"/>
        <v>0.7</v>
      </c>
      <c r="O81" s="75">
        <f t="shared" si="10"/>
        <v>65970</v>
      </c>
      <c r="P81" s="35" t="str">
        <f t="shared" si="13"/>
        <v>PERCENTAGE</v>
      </c>
    </row>
    <row r="82" spans="1:16" s="32" customFormat="1" x14ac:dyDescent="0.35">
      <c r="A82" s="14" t="str">
        <f t="shared" si="11"/>
        <v>2025 JAN-JUN DISC 70%</v>
      </c>
      <c r="B82" s="34">
        <f t="shared" si="8"/>
        <v>46104</v>
      </c>
      <c r="C82" s="34">
        <f t="shared" si="9"/>
        <v>46113</v>
      </c>
      <c r="D82" s="33">
        <v>3284</v>
      </c>
      <c r="E82" s="14">
        <v>338</v>
      </c>
      <c r="F82" s="14">
        <v>4</v>
      </c>
      <c r="G82" s="33">
        <v>4</v>
      </c>
      <c r="H82" s="33">
        <v>81506</v>
      </c>
      <c r="I82" s="33" t="s">
        <v>17</v>
      </c>
      <c r="J82" s="33">
        <v>52297728</v>
      </c>
      <c r="K82" s="33" t="s">
        <v>2563</v>
      </c>
      <c r="L82" s="39" t="s">
        <v>2565</v>
      </c>
      <c r="M82" s="35">
        <v>219900</v>
      </c>
      <c r="N82" s="71">
        <f t="shared" si="12"/>
        <v>0.7</v>
      </c>
      <c r="O82" s="75">
        <f t="shared" si="10"/>
        <v>65970</v>
      </c>
      <c r="P82" s="35" t="str">
        <f t="shared" si="13"/>
        <v>PERCENTAGE</v>
      </c>
    </row>
    <row r="83" spans="1:16" s="32" customFormat="1" x14ac:dyDescent="0.35">
      <c r="A83" s="14" t="str">
        <f t="shared" si="11"/>
        <v>2025 JAN-JUN DISC 70%</v>
      </c>
      <c r="B83" s="34">
        <f t="shared" si="8"/>
        <v>46104</v>
      </c>
      <c r="C83" s="34">
        <f t="shared" si="9"/>
        <v>46113</v>
      </c>
      <c r="D83" s="33">
        <v>3284</v>
      </c>
      <c r="E83" s="14">
        <v>338</v>
      </c>
      <c r="F83" s="14">
        <v>4</v>
      </c>
      <c r="G83" s="33">
        <v>5</v>
      </c>
      <c r="H83" s="33">
        <v>81146</v>
      </c>
      <c r="I83" s="33" t="s">
        <v>17</v>
      </c>
      <c r="J83" s="33">
        <v>52297817</v>
      </c>
      <c r="K83" s="33" t="s">
        <v>2568</v>
      </c>
      <c r="L83" s="39" t="s">
        <v>2569</v>
      </c>
      <c r="M83" s="35">
        <v>219900</v>
      </c>
      <c r="N83" s="71">
        <f t="shared" si="12"/>
        <v>0.7</v>
      </c>
      <c r="O83" s="75">
        <f t="shared" si="10"/>
        <v>65970</v>
      </c>
      <c r="P83" s="35" t="str">
        <f t="shared" si="13"/>
        <v>PERCENTAGE</v>
      </c>
    </row>
    <row r="84" spans="1:16" s="32" customFormat="1" x14ac:dyDescent="0.35">
      <c r="A84" s="14" t="str">
        <f t="shared" si="11"/>
        <v>2025 JAN-JUN DISC 70%</v>
      </c>
      <c r="B84" s="34">
        <f t="shared" si="8"/>
        <v>46104</v>
      </c>
      <c r="C84" s="34">
        <f t="shared" si="9"/>
        <v>46113</v>
      </c>
      <c r="D84" s="33">
        <v>3284</v>
      </c>
      <c r="E84" s="14">
        <v>338</v>
      </c>
      <c r="F84" s="14">
        <v>4</v>
      </c>
      <c r="G84" s="33">
        <v>5</v>
      </c>
      <c r="H84" s="33">
        <v>81146</v>
      </c>
      <c r="I84" s="33" t="s">
        <v>17</v>
      </c>
      <c r="J84" s="33">
        <v>52297826</v>
      </c>
      <c r="K84" s="33" t="s">
        <v>2568</v>
      </c>
      <c r="L84" s="39" t="s">
        <v>2570</v>
      </c>
      <c r="M84" s="35">
        <v>219900</v>
      </c>
      <c r="N84" s="71">
        <f t="shared" si="12"/>
        <v>0.7</v>
      </c>
      <c r="O84" s="75">
        <f t="shared" si="10"/>
        <v>65970</v>
      </c>
      <c r="P84" s="35" t="str">
        <f t="shared" si="13"/>
        <v>PERCENTAGE</v>
      </c>
    </row>
    <row r="85" spans="1:16" s="32" customFormat="1" x14ac:dyDescent="0.35">
      <c r="A85" s="14" t="str">
        <f t="shared" si="11"/>
        <v>2025 JAN-JUN DISC 70%</v>
      </c>
      <c r="B85" s="34">
        <f t="shared" si="8"/>
        <v>46104</v>
      </c>
      <c r="C85" s="34">
        <f t="shared" si="9"/>
        <v>46113</v>
      </c>
      <c r="D85" s="33">
        <v>3284</v>
      </c>
      <c r="E85" s="14">
        <v>338</v>
      </c>
      <c r="F85" s="14">
        <v>4</v>
      </c>
      <c r="G85" s="33">
        <v>5</v>
      </c>
      <c r="H85" s="33">
        <v>81146</v>
      </c>
      <c r="I85" s="33" t="s">
        <v>17</v>
      </c>
      <c r="J85" s="33">
        <v>52297835</v>
      </c>
      <c r="K85" s="33" t="s">
        <v>2568</v>
      </c>
      <c r="L85" s="39" t="s">
        <v>2571</v>
      </c>
      <c r="M85" s="35">
        <v>219900</v>
      </c>
      <c r="N85" s="71">
        <f t="shared" si="12"/>
        <v>0.7</v>
      </c>
      <c r="O85" s="75">
        <f t="shared" si="10"/>
        <v>65970</v>
      </c>
      <c r="P85" s="35" t="str">
        <f t="shared" si="13"/>
        <v>PERCENTAGE</v>
      </c>
    </row>
    <row r="86" spans="1:16" s="32" customFormat="1" x14ac:dyDescent="0.35">
      <c r="A86" s="14" t="str">
        <f t="shared" si="11"/>
        <v>2025 JAN-JUN DISC 70%</v>
      </c>
      <c r="B86" s="34">
        <f t="shared" si="8"/>
        <v>46104</v>
      </c>
      <c r="C86" s="34">
        <f t="shared" si="9"/>
        <v>46113</v>
      </c>
      <c r="D86" s="33">
        <v>3284</v>
      </c>
      <c r="E86" s="14">
        <v>338</v>
      </c>
      <c r="F86" s="14">
        <v>4</v>
      </c>
      <c r="G86" s="33">
        <v>5</v>
      </c>
      <c r="H86" s="33">
        <v>81146</v>
      </c>
      <c r="I86" s="33" t="s">
        <v>17</v>
      </c>
      <c r="J86" s="33">
        <v>52297844</v>
      </c>
      <c r="K86" s="33" t="s">
        <v>2568</v>
      </c>
      <c r="L86" s="39" t="s">
        <v>2572</v>
      </c>
      <c r="M86" s="35">
        <v>219900</v>
      </c>
      <c r="N86" s="71">
        <f t="shared" si="12"/>
        <v>0.7</v>
      </c>
      <c r="O86" s="75">
        <f t="shared" si="10"/>
        <v>65970</v>
      </c>
      <c r="P86" s="35" t="str">
        <f t="shared" si="13"/>
        <v>PERCENTAGE</v>
      </c>
    </row>
    <row r="87" spans="1:16" s="32" customFormat="1" x14ac:dyDescent="0.35">
      <c r="A87" s="14" t="str">
        <f t="shared" si="11"/>
        <v>2025 JAN-JUN DISC 70%</v>
      </c>
      <c r="B87" s="34">
        <f t="shared" si="8"/>
        <v>46104</v>
      </c>
      <c r="C87" s="34">
        <f t="shared" si="9"/>
        <v>46113</v>
      </c>
      <c r="D87" s="33">
        <v>3284</v>
      </c>
      <c r="E87" s="14">
        <v>338</v>
      </c>
      <c r="F87" s="14">
        <v>4</v>
      </c>
      <c r="G87" s="33">
        <v>7</v>
      </c>
      <c r="H87" s="33">
        <v>81676</v>
      </c>
      <c r="I87" s="33" t="s">
        <v>17</v>
      </c>
      <c r="J87" s="33">
        <v>52297853</v>
      </c>
      <c r="K87" s="33" t="s">
        <v>2111</v>
      </c>
      <c r="L87" s="39" t="s">
        <v>2113</v>
      </c>
      <c r="M87" s="35">
        <v>99900</v>
      </c>
      <c r="N87" s="71">
        <f t="shared" si="12"/>
        <v>0.7</v>
      </c>
      <c r="O87" s="75">
        <f t="shared" si="10"/>
        <v>29970</v>
      </c>
      <c r="P87" s="35" t="str">
        <f t="shared" si="13"/>
        <v>PERCENTAGE</v>
      </c>
    </row>
    <row r="88" spans="1:16" s="32" customFormat="1" x14ac:dyDescent="0.35">
      <c r="A88" s="14" t="str">
        <f t="shared" si="11"/>
        <v>2025 JAN-JUN DISC 70%</v>
      </c>
      <c r="B88" s="34">
        <f t="shared" si="8"/>
        <v>46104</v>
      </c>
      <c r="C88" s="34">
        <f t="shared" si="9"/>
        <v>46113</v>
      </c>
      <c r="D88" s="33">
        <v>3284</v>
      </c>
      <c r="E88" s="14">
        <v>338</v>
      </c>
      <c r="F88" s="14">
        <v>4</v>
      </c>
      <c r="G88" s="33">
        <v>7</v>
      </c>
      <c r="H88" s="33">
        <v>81676</v>
      </c>
      <c r="I88" s="33" t="s">
        <v>17</v>
      </c>
      <c r="J88" s="33">
        <v>52297862</v>
      </c>
      <c r="K88" s="33" t="s">
        <v>2111</v>
      </c>
      <c r="L88" s="39" t="s">
        <v>2114</v>
      </c>
      <c r="M88" s="35">
        <v>99900</v>
      </c>
      <c r="N88" s="71">
        <f t="shared" si="12"/>
        <v>0.7</v>
      </c>
      <c r="O88" s="75">
        <f t="shared" si="10"/>
        <v>29970</v>
      </c>
      <c r="P88" s="35" t="str">
        <f t="shared" si="13"/>
        <v>PERCENTAGE</v>
      </c>
    </row>
    <row r="89" spans="1:16" s="32" customFormat="1" x14ac:dyDescent="0.35">
      <c r="A89" s="14" t="str">
        <f t="shared" si="11"/>
        <v>2025 JAN-JUN DISC 70%</v>
      </c>
      <c r="B89" s="34">
        <f t="shared" si="8"/>
        <v>46104</v>
      </c>
      <c r="C89" s="34">
        <f t="shared" si="9"/>
        <v>46113</v>
      </c>
      <c r="D89" s="33">
        <v>3284</v>
      </c>
      <c r="E89" s="14">
        <v>338</v>
      </c>
      <c r="F89" s="14">
        <v>4</v>
      </c>
      <c r="G89" s="33">
        <v>7</v>
      </c>
      <c r="H89" s="33">
        <v>81676</v>
      </c>
      <c r="I89" s="33" t="s">
        <v>17</v>
      </c>
      <c r="J89" s="33">
        <v>52297871</v>
      </c>
      <c r="K89" s="33" t="s">
        <v>2111</v>
      </c>
      <c r="L89" s="39" t="s">
        <v>2112</v>
      </c>
      <c r="M89" s="35">
        <v>99900</v>
      </c>
      <c r="N89" s="71">
        <f t="shared" si="12"/>
        <v>0.7</v>
      </c>
      <c r="O89" s="75">
        <f t="shared" si="10"/>
        <v>29970</v>
      </c>
      <c r="P89" s="35" t="str">
        <f t="shared" si="13"/>
        <v>PERCENTAGE</v>
      </c>
    </row>
    <row r="90" spans="1:16" s="32" customFormat="1" x14ac:dyDescent="0.35">
      <c r="A90" s="14" t="str">
        <f t="shared" si="11"/>
        <v>2025 JAN-JUN DISC 70%</v>
      </c>
      <c r="B90" s="34">
        <f t="shared" si="8"/>
        <v>46104</v>
      </c>
      <c r="C90" s="34">
        <f t="shared" si="9"/>
        <v>46113</v>
      </c>
      <c r="D90" s="33">
        <v>3284</v>
      </c>
      <c r="E90" s="14">
        <v>338</v>
      </c>
      <c r="F90" s="14">
        <v>4</v>
      </c>
      <c r="G90" s="33">
        <v>7</v>
      </c>
      <c r="H90" s="33">
        <v>81676</v>
      </c>
      <c r="I90" s="33" t="s">
        <v>17</v>
      </c>
      <c r="J90" s="33">
        <v>52297880</v>
      </c>
      <c r="K90" s="33" t="s">
        <v>2111</v>
      </c>
      <c r="L90" s="39" t="s">
        <v>2115</v>
      </c>
      <c r="M90" s="35">
        <v>99900</v>
      </c>
      <c r="N90" s="71">
        <f t="shared" si="12"/>
        <v>0.7</v>
      </c>
      <c r="O90" s="75">
        <f t="shared" si="10"/>
        <v>29970</v>
      </c>
      <c r="P90" s="35" t="str">
        <f t="shared" si="13"/>
        <v>PERCENTAGE</v>
      </c>
    </row>
    <row r="91" spans="1:16" s="32" customFormat="1" x14ac:dyDescent="0.35">
      <c r="A91" s="14" t="str">
        <f t="shared" si="11"/>
        <v>2025 JAN-JUN DISC 70%</v>
      </c>
      <c r="B91" s="34">
        <f t="shared" si="8"/>
        <v>46104</v>
      </c>
      <c r="C91" s="34">
        <f t="shared" si="9"/>
        <v>46113</v>
      </c>
      <c r="D91" s="33">
        <v>3284</v>
      </c>
      <c r="E91" s="14">
        <v>338</v>
      </c>
      <c r="F91" s="14">
        <v>4</v>
      </c>
      <c r="G91" s="33">
        <v>7</v>
      </c>
      <c r="H91" s="33">
        <v>81676</v>
      </c>
      <c r="I91" s="33" t="s">
        <v>17</v>
      </c>
      <c r="J91" s="33">
        <v>52297899</v>
      </c>
      <c r="K91" s="33" t="s">
        <v>2156</v>
      </c>
      <c r="L91" s="39" t="s">
        <v>2158</v>
      </c>
      <c r="M91" s="35">
        <v>169900</v>
      </c>
      <c r="N91" s="71">
        <f t="shared" si="12"/>
        <v>0.7</v>
      </c>
      <c r="O91" s="75">
        <f t="shared" si="10"/>
        <v>50970</v>
      </c>
      <c r="P91" s="35" t="str">
        <f t="shared" si="13"/>
        <v>PERCENTAGE</v>
      </c>
    </row>
    <row r="92" spans="1:16" s="32" customFormat="1" x14ac:dyDescent="0.35">
      <c r="A92" s="14" t="str">
        <f t="shared" si="11"/>
        <v>2025 JAN-JUN DISC 70%</v>
      </c>
      <c r="B92" s="34">
        <f t="shared" si="8"/>
        <v>46104</v>
      </c>
      <c r="C92" s="34">
        <f t="shared" si="9"/>
        <v>46113</v>
      </c>
      <c r="D92" s="33">
        <v>3284</v>
      </c>
      <c r="E92" s="14">
        <v>338</v>
      </c>
      <c r="F92" s="14">
        <v>4</v>
      </c>
      <c r="G92" s="33">
        <v>7</v>
      </c>
      <c r="H92" s="33">
        <v>81676</v>
      </c>
      <c r="I92" s="33" t="s">
        <v>17</v>
      </c>
      <c r="J92" s="33">
        <v>52297906</v>
      </c>
      <c r="K92" s="33" t="s">
        <v>2156</v>
      </c>
      <c r="L92" s="39" t="s">
        <v>2157</v>
      </c>
      <c r="M92" s="35">
        <v>169900</v>
      </c>
      <c r="N92" s="71">
        <f t="shared" si="12"/>
        <v>0.7</v>
      </c>
      <c r="O92" s="75">
        <f t="shared" si="10"/>
        <v>50970</v>
      </c>
      <c r="P92" s="35" t="str">
        <f t="shared" si="13"/>
        <v>PERCENTAGE</v>
      </c>
    </row>
    <row r="93" spans="1:16" s="32" customFormat="1" x14ac:dyDescent="0.35">
      <c r="A93" s="14" t="str">
        <f t="shared" si="11"/>
        <v>2025 JAN-JUN DISC 70%</v>
      </c>
      <c r="B93" s="34">
        <f t="shared" si="8"/>
        <v>46104</v>
      </c>
      <c r="C93" s="34">
        <f t="shared" si="9"/>
        <v>46113</v>
      </c>
      <c r="D93" s="33">
        <v>3284</v>
      </c>
      <c r="E93" s="14">
        <v>338</v>
      </c>
      <c r="F93" s="14">
        <v>4</v>
      </c>
      <c r="G93" s="33">
        <v>7</v>
      </c>
      <c r="H93" s="33">
        <v>81676</v>
      </c>
      <c r="I93" s="33" t="s">
        <v>17</v>
      </c>
      <c r="J93" s="33">
        <v>52297915</v>
      </c>
      <c r="K93" s="33" t="s">
        <v>2156</v>
      </c>
      <c r="L93" s="39" t="s">
        <v>2160</v>
      </c>
      <c r="M93" s="35">
        <v>169900</v>
      </c>
      <c r="N93" s="71">
        <f t="shared" si="12"/>
        <v>0.7</v>
      </c>
      <c r="O93" s="75">
        <f t="shared" si="10"/>
        <v>50970</v>
      </c>
      <c r="P93" s="35" t="str">
        <f t="shared" si="13"/>
        <v>PERCENTAGE</v>
      </c>
    </row>
    <row r="94" spans="1:16" s="32" customFormat="1" x14ac:dyDescent="0.35">
      <c r="A94" s="14" t="str">
        <f t="shared" si="11"/>
        <v>2025 JAN-JUN DISC 70%</v>
      </c>
      <c r="B94" s="34">
        <f t="shared" si="8"/>
        <v>46104</v>
      </c>
      <c r="C94" s="34">
        <f t="shared" si="9"/>
        <v>46113</v>
      </c>
      <c r="D94" s="33">
        <v>3284</v>
      </c>
      <c r="E94" s="14">
        <v>338</v>
      </c>
      <c r="F94" s="14">
        <v>4</v>
      </c>
      <c r="G94" s="33">
        <v>7</v>
      </c>
      <c r="H94" s="33">
        <v>81676</v>
      </c>
      <c r="I94" s="33" t="s">
        <v>17</v>
      </c>
      <c r="J94" s="33">
        <v>52297924</v>
      </c>
      <c r="K94" s="33" t="s">
        <v>2156</v>
      </c>
      <c r="L94" s="39" t="s">
        <v>2159</v>
      </c>
      <c r="M94" s="35">
        <v>169900</v>
      </c>
      <c r="N94" s="71">
        <f t="shared" si="12"/>
        <v>0.7</v>
      </c>
      <c r="O94" s="75">
        <f t="shared" si="10"/>
        <v>50970</v>
      </c>
      <c r="P94" s="35" t="str">
        <f t="shared" si="13"/>
        <v>PERCENTAGE</v>
      </c>
    </row>
    <row r="95" spans="1:16" s="16" customFormat="1" x14ac:dyDescent="0.35">
      <c r="A95" s="14" t="str">
        <f t="shared" si="11"/>
        <v>2025 JAN-JUN DISC 70%</v>
      </c>
      <c r="B95" s="40">
        <f t="shared" si="8"/>
        <v>46104</v>
      </c>
      <c r="C95" s="40">
        <f t="shared" si="9"/>
        <v>46113</v>
      </c>
      <c r="D95" s="14">
        <v>3284</v>
      </c>
      <c r="E95" s="14">
        <v>338</v>
      </c>
      <c r="F95" s="14">
        <v>4</v>
      </c>
      <c r="G95" s="14">
        <v>7</v>
      </c>
      <c r="H95" s="14">
        <v>81676</v>
      </c>
      <c r="I95" s="14" t="s">
        <v>17</v>
      </c>
      <c r="J95" s="14">
        <v>52297933</v>
      </c>
      <c r="K95" s="14" t="s">
        <v>2161</v>
      </c>
      <c r="L95" s="18" t="s">
        <v>2162</v>
      </c>
      <c r="M95" s="15">
        <v>139900</v>
      </c>
      <c r="N95" s="71">
        <f t="shared" si="12"/>
        <v>0.7</v>
      </c>
      <c r="O95" s="75">
        <f t="shared" si="10"/>
        <v>41970</v>
      </c>
      <c r="P95" s="35" t="str">
        <f t="shared" si="13"/>
        <v>PERCENTAGE</v>
      </c>
    </row>
    <row r="96" spans="1:16" s="16" customFormat="1" x14ac:dyDescent="0.35">
      <c r="A96" s="14" t="str">
        <f t="shared" si="11"/>
        <v>2025 JAN-JUN DISC 70%</v>
      </c>
      <c r="B96" s="40">
        <f t="shared" si="8"/>
        <v>46104</v>
      </c>
      <c r="C96" s="40">
        <f t="shared" si="9"/>
        <v>46113</v>
      </c>
      <c r="D96" s="14">
        <v>3284</v>
      </c>
      <c r="E96" s="14">
        <v>338</v>
      </c>
      <c r="F96" s="14">
        <v>4</v>
      </c>
      <c r="G96" s="14">
        <v>7</v>
      </c>
      <c r="H96" s="14">
        <v>81676</v>
      </c>
      <c r="I96" s="14" t="s">
        <v>17</v>
      </c>
      <c r="J96" s="14">
        <v>52297942</v>
      </c>
      <c r="K96" s="14" t="s">
        <v>2161</v>
      </c>
      <c r="L96" s="18" t="s">
        <v>2165</v>
      </c>
      <c r="M96" s="15">
        <v>139900</v>
      </c>
      <c r="N96" s="71">
        <f t="shared" si="12"/>
        <v>0.7</v>
      </c>
      <c r="O96" s="75">
        <f t="shared" si="10"/>
        <v>41970</v>
      </c>
      <c r="P96" s="35" t="str">
        <f t="shared" si="13"/>
        <v>PERCENTAGE</v>
      </c>
    </row>
    <row r="97" spans="1:16" s="16" customFormat="1" x14ac:dyDescent="0.35">
      <c r="A97" s="14" t="str">
        <f t="shared" si="11"/>
        <v>2025 JAN-JUN DISC 70%</v>
      </c>
      <c r="B97" s="40">
        <f t="shared" si="8"/>
        <v>46104</v>
      </c>
      <c r="C97" s="40">
        <f t="shared" si="9"/>
        <v>46113</v>
      </c>
      <c r="D97" s="14">
        <v>3284</v>
      </c>
      <c r="E97" s="14">
        <v>338</v>
      </c>
      <c r="F97" s="14">
        <v>4</v>
      </c>
      <c r="G97" s="14">
        <v>7</v>
      </c>
      <c r="H97" s="14">
        <v>81676</v>
      </c>
      <c r="I97" s="14" t="s">
        <v>17</v>
      </c>
      <c r="J97" s="14">
        <v>52297951</v>
      </c>
      <c r="K97" s="14" t="s">
        <v>2161</v>
      </c>
      <c r="L97" s="18" t="s">
        <v>2164</v>
      </c>
      <c r="M97" s="15">
        <v>139900</v>
      </c>
      <c r="N97" s="71">
        <f t="shared" si="12"/>
        <v>0.7</v>
      </c>
      <c r="O97" s="75">
        <f t="shared" si="10"/>
        <v>41970</v>
      </c>
      <c r="P97" s="35" t="str">
        <f t="shared" si="13"/>
        <v>PERCENTAGE</v>
      </c>
    </row>
    <row r="98" spans="1:16" s="16" customFormat="1" x14ac:dyDescent="0.35">
      <c r="A98" s="14" t="str">
        <f t="shared" si="11"/>
        <v>2025 JAN-JUN DISC 70%</v>
      </c>
      <c r="B98" s="40">
        <f t="shared" si="8"/>
        <v>46104</v>
      </c>
      <c r="C98" s="40">
        <f t="shared" si="9"/>
        <v>46113</v>
      </c>
      <c r="D98" s="14">
        <v>3284</v>
      </c>
      <c r="E98" s="14">
        <v>338</v>
      </c>
      <c r="F98" s="14">
        <v>4</v>
      </c>
      <c r="G98" s="14">
        <v>7</v>
      </c>
      <c r="H98" s="14">
        <v>81676</v>
      </c>
      <c r="I98" s="14" t="s">
        <v>17</v>
      </c>
      <c r="J98" s="14">
        <v>52297960</v>
      </c>
      <c r="K98" s="14" t="s">
        <v>2161</v>
      </c>
      <c r="L98" s="18" t="s">
        <v>2163</v>
      </c>
      <c r="M98" s="15">
        <v>139900</v>
      </c>
      <c r="N98" s="71">
        <f t="shared" si="12"/>
        <v>0.7</v>
      </c>
      <c r="O98" s="75">
        <f t="shared" si="10"/>
        <v>41970</v>
      </c>
      <c r="P98" s="35" t="str">
        <f t="shared" si="13"/>
        <v>PERCENTAGE</v>
      </c>
    </row>
    <row r="99" spans="1:16" s="32" customFormat="1" x14ac:dyDescent="0.35">
      <c r="A99" s="14" t="str">
        <f t="shared" si="11"/>
        <v>2025 JAN-JUN DISC 70%</v>
      </c>
      <c r="B99" s="34">
        <f t="shared" ref="B99:B130" si="14">B98</f>
        <v>46104</v>
      </c>
      <c r="C99" s="34">
        <f t="shared" ref="C99:C130" si="15">C98</f>
        <v>46113</v>
      </c>
      <c r="D99" s="33">
        <v>3284</v>
      </c>
      <c r="E99" s="14">
        <v>338</v>
      </c>
      <c r="F99" s="14">
        <v>4</v>
      </c>
      <c r="G99" s="33">
        <v>7</v>
      </c>
      <c r="H99" s="33">
        <v>81676</v>
      </c>
      <c r="I99" s="33" t="s">
        <v>17</v>
      </c>
      <c r="J99" s="33">
        <v>52297979</v>
      </c>
      <c r="K99" s="33" t="s">
        <v>2166</v>
      </c>
      <c r="L99" s="39" t="s">
        <v>2168</v>
      </c>
      <c r="M99" s="35">
        <v>189900</v>
      </c>
      <c r="N99" s="71">
        <f t="shared" si="12"/>
        <v>0.7</v>
      </c>
      <c r="O99" s="75">
        <f t="shared" si="10"/>
        <v>56970</v>
      </c>
      <c r="P99" s="35" t="str">
        <f t="shared" si="13"/>
        <v>PERCENTAGE</v>
      </c>
    </row>
    <row r="100" spans="1:16" s="32" customFormat="1" x14ac:dyDescent="0.35">
      <c r="A100" s="14" t="str">
        <f t="shared" si="11"/>
        <v>2025 JAN-JUN DISC 70%</v>
      </c>
      <c r="B100" s="34">
        <f t="shared" si="14"/>
        <v>46104</v>
      </c>
      <c r="C100" s="34">
        <f t="shared" si="15"/>
        <v>46113</v>
      </c>
      <c r="D100" s="33">
        <v>3284</v>
      </c>
      <c r="E100" s="14">
        <v>338</v>
      </c>
      <c r="F100" s="14">
        <v>4</v>
      </c>
      <c r="G100" s="33">
        <v>7</v>
      </c>
      <c r="H100" s="33">
        <v>81676</v>
      </c>
      <c r="I100" s="33" t="s">
        <v>17</v>
      </c>
      <c r="J100" s="33">
        <v>52297988</v>
      </c>
      <c r="K100" s="33" t="s">
        <v>2166</v>
      </c>
      <c r="L100" s="39" t="s">
        <v>2169</v>
      </c>
      <c r="M100" s="35">
        <v>189900</v>
      </c>
      <c r="N100" s="71">
        <f t="shared" si="12"/>
        <v>0.7</v>
      </c>
      <c r="O100" s="75">
        <f t="shared" si="10"/>
        <v>56970</v>
      </c>
      <c r="P100" s="35" t="str">
        <f t="shared" si="13"/>
        <v>PERCENTAGE</v>
      </c>
    </row>
    <row r="101" spans="1:16" s="32" customFormat="1" x14ac:dyDescent="0.35">
      <c r="A101" s="14" t="str">
        <f t="shared" si="11"/>
        <v>2025 JAN-JUN DISC 70%</v>
      </c>
      <c r="B101" s="34">
        <f t="shared" si="14"/>
        <v>46104</v>
      </c>
      <c r="C101" s="34">
        <f t="shared" si="15"/>
        <v>46113</v>
      </c>
      <c r="D101" s="33">
        <v>3284</v>
      </c>
      <c r="E101" s="14">
        <v>338</v>
      </c>
      <c r="F101" s="14">
        <v>4</v>
      </c>
      <c r="G101" s="33">
        <v>7</v>
      </c>
      <c r="H101" s="33">
        <v>81676</v>
      </c>
      <c r="I101" s="33" t="s">
        <v>17</v>
      </c>
      <c r="J101" s="33">
        <v>52297997</v>
      </c>
      <c r="K101" s="33" t="s">
        <v>2166</v>
      </c>
      <c r="L101" s="39" t="s">
        <v>2167</v>
      </c>
      <c r="M101" s="35">
        <v>189900</v>
      </c>
      <c r="N101" s="71">
        <f t="shared" si="12"/>
        <v>0.7</v>
      </c>
      <c r="O101" s="75">
        <f t="shared" si="10"/>
        <v>56970</v>
      </c>
      <c r="P101" s="35" t="str">
        <f t="shared" si="13"/>
        <v>PERCENTAGE</v>
      </c>
    </row>
    <row r="102" spans="1:16" s="32" customFormat="1" x14ac:dyDescent="0.35">
      <c r="A102" s="14" t="str">
        <f t="shared" si="11"/>
        <v>2025 JAN-JUN DISC 70%</v>
      </c>
      <c r="B102" s="34">
        <f t="shared" si="14"/>
        <v>46104</v>
      </c>
      <c r="C102" s="34">
        <f t="shared" si="15"/>
        <v>46113</v>
      </c>
      <c r="D102" s="33">
        <v>3284</v>
      </c>
      <c r="E102" s="14">
        <v>338</v>
      </c>
      <c r="F102" s="14">
        <v>4</v>
      </c>
      <c r="G102" s="33">
        <v>7</v>
      </c>
      <c r="H102" s="33">
        <v>81676</v>
      </c>
      <c r="I102" s="33" t="s">
        <v>17</v>
      </c>
      <c r="J102" s="33">
        <v>52298003</v>
      </c>
      <c r="K102" s="33" t="s">
        <v>2166</v>
      </c>
      <c r="L102" s="39" t="s">
        <v>2170</v>
      </c>
      <c r="M102" s="35">
        <v>189900</v>
      </c>
      <c r="N102" s="71">
        <f t="shared" si="12"/>
        <v>0.7</v>
      </c>
      <c r="O102" s="75">
        <f t="shared" si="10"/>
        <v>56970</v>
      </c>
      <c r="P102" s="35" t="str">
        <f t="shared" si="13"/>
        <v>PERCENTAGE</v>
      </c>
    </row>
    <row r="103" spans="1:16" s="32" customFormat="1" x14ac:dyDescent="0.35">
      <c r="A103" s="14" t="str">
        <f t="shared" si="11"/>
        <v>2025 JAN-JUN DISC 70%</v>
      </c>
      <c r="B103" s="34">
        <f t="shared" si="14"/>
        <v>46104</v>
      </c>
      <c r="C103" s="34">
        <f t="shared" si="15"/>
        <v>46113</v>
      </c>
      <c r="D103" s="33">
        <v>3284</v>
      </c>
      <c r="E103" s="14">
        <v>338</v>
      </c>
      <c r="F103" s="14">
        <v>4</v>
      </c>
      <c r="G103" s="33">
        <v>7</v>
      </c>
      <c r="H103" s="33">
        <v>81676</v>
      </c>
      <c r="I103" s="33" t="s">
        <v>17</v>
      </c>
      <c r="J103" s="33">
        <v>52298012</v>
      </c>
      <c r="K103" s="33" t="s">
        <v>2146</v>
      </c>
      <c r="L103" s="39" t="s">
        <v>2147</v>
      </c>
      <c r="M103" s="35">
        <v>189900</v>
      </c>
      <c r="N103" s="71">
        <f t="shared" si="12"/>
        <v>0.7</v>
      </c>
      <c r="O103" s="75">
        <f t="shared" si="10"/>
        <v>56970</v>
      </c>
      <c r="P103" s="35" t="str">
        <f t="shared" si="13"/>
        <v>PERCENTAGE</v>
      </c>
    </row>
    <row r="104" spans="1:16" s="32" customFormat="1" x14ac:dyDescent="0.35">
      <c r="A104" s="14" t="str">
        <f t="shared" si="11"/>
        <v>2025 JAN-JUN DISC 70%</v>
      </c>
      <c r="B104" s="34">
        <f t="shared" si="14"/>
        <v>46104</v>
      </c>
      <c r="C104" s="34">
        <f t="shared" si="15"/>
        <v>46113</v>
      </c>
      <c r="D104" s="33">
        <v>3284</v>
      </c>
      <c r="E104" s="14">
        <v>338</v>
      </c>
      <c r="F104" s="14">
        <v>4</v>
      </c>
      <c r="G104" s="33">
        <v>7</v>
      </c>
      <c r="H104" s="33">
        <v>81676</v>
      </c>
      <c r="I104" s="33" t="s">
        <v>17</v>
      </c>
      <c r="J104" s="33">
        <v>52298021</v>
      </c>
      <c r="K104" s="33" t="s">
        <v>2146</v>
      </c>
      <c r="L104" s="39" t="s">
        <v>2149</v>
      </c>
      <c r="M104" s="35">
        <v>189900</v>
      </c>
      <c r="N104" s="71">
        <f t="shared" si="12"/>
        <v>0.7</v>
      </c>
      <c r="O104" s="75">
        <f t="shared" si="10"/>
        <v>56970</v>
      </c>
      <c r="P104" s="35" t="str">
        <f t="shared" si="13"/>
        <v>PERCENTAGE</v>
      </c>
    </row>
    <row r="105" spans="1:16" s="32" customFormat="1" x14ac:dyDescent="0.35">
      <c r="A105" s="14" t="str">
        <f t="shared" si="11"/>
        <v>2025 JAN-JUN DISC 70%</v>
      </c>
      <c r="B105" s="34">
        <f t="shared" si="14"/>
        <v>46104</v>
      </c>
      <c r="C105" s="34">
        <f t="shared" si="15"/>
        <v>46113</v>
      </c>
      <c r="D105" s="33">
        <v>3284</v>
      </c>
      <c r="E105" s="14">
        <v>338</v>
      </c>
      <c r="F105" s="14">
        <v>4</v>
      </c>
      <c r="G105" s="33">
        <v>7</v>
      </c>
      <c r="H105" s="33">
        <v>81676</v>
      </c>
      <c r="I105" s="33" t="s">
        <v>17</v>
      </c>
      <c r="J105" s="33">
        <v>52298030</v>
      </c>
      <c r="K105" s="33" t="s">
        <v>2146</v>
      </c>
      <c r="L105" s="39" t="s">
        <v>2150</v>
      </c>
      <c r="M105" s="35">
        <v>189900</v>
      </c>
      <c r="N105" s="71">
        <f t="shared" si="12"/>
        <v>0.7</v>
      </c>
      <c r="O105" s="75">
        <f t="shared" si="10"/>
        <v>56970</v>
      </c>
      <c r="P105" s="35" t="str">
        <f t="shared" si="13"/>
        <v>PERCENTAGE</v>
      </c>
    </row>
    <row r="106" spans="1:16" s="32" customFormat="1" x14ac:dyDescent="0.35">
      <c r="A106" s="14" t="str">
        <f t="shared" si="11"/>
        <v>2025 JAN-JUN DISC 70%</v>
      </c>
      <c r="B106" s="34">
        <f t="shared" si="14"/>
        <v>46104</v>
      </c>
      <c r="C106" s="34">
        <f t="shared" si="15"/>
        <v>46113</v>
      </c>
      <c r="D106" s="33">
        <v>3284</v>
      </c>
      <c r="E106" s="14">
        <v>338</v>
      </c>
      <c r="F106" s="14">
        <v>4</v>
      </c>
      <c r="G106" s="33">
        <v>7</v>
      </c>
      <c r="H106" s="33">
        <v>81676</v>
      </c>
      <c r="I106" s="33" t="s">
        <v>17</v>
      </c>
      <c r="J106" s="33">
        <v>52298049</v>
      </c>
      <c r="K106" s="33" t="s">
        <v>2146</v>
      </c>
      <c r="L106" s="39" t="s">
        <v>2148</v>
      </c>
      <c r="M106" s="35">
        <v>189900</v>
      </c>
      <c r="N106" s="71">
        <f t="shared" si="12"/>
        <v>0.7</v>
      </c>
      <c r="O106" s="75">
        <f t="shared" si="10"/>
        <v>56970</v>
      </c>
      <c r="P106" s="35" t="str">
        <f t="shared" si="13"/>
        <v>PERCENTAGE</v>
      </c>
    </row>
    <row r="107" spans="1:16" s="32" customFormat="1" x14ac:dyDescent="0.35">
      <c r="A107" s="14" t="str">
        <f t="shared" si="11"/>
        <v>2025 JAN-JUN DISC 70%</v>
      </c>
      <c r="B107" s="34">
        <f t="shared" si="14"/>
        <v>46104</v>
      </c>
      <c r="C107" s="34">
        <f t="shared" si="15"/>
        <v>46113</v>
      </c>
      <c r="D107" s="33">
        <v>3284</v>
      </c>
      <c r="E107" s="14">
        <v>338</v>
      </c>
      <c r="F107" s="14">
        <v>4</v>
      </c>
      <c r="G107" s="33">
        <v>7</v>
      </c>
      <c r="H107" s="33">
        <v>81676</v>
      </c>
      <c r="I107" s="33" t="s">
        <v>17</v>
      </c>
      <c r="J107" s="33">
        <v>52298058</v>
      </c>
      <c r="K107" s="33" t="s">
        <v>2176</v>
      </c>
      <c r="L107" s="39" t="s">
        <v>2179</v>
      </c>
      <c r="M107" s="35">
        <v>219900</v>
      </c>
      <c r="N107" s="71">
        <f t="shared" si="12"/>
        <v>0.7</v>
      </c>
      <c r="O107" s="75">
        <f t="shared" si="10"/>
        <v>65970</v>
      </c>
      <c r="P107" s="35" t="str">
        <f t="shared" si="13"/>
        <v>PERCENTAGE</v>
      </c>
    </row>
    <row r="108" spans="1:16" s="32" customFormat="1" x14ac:dyDescent="0.35">
      <c r="A108" s="14" t="str">
        <f t="shared" si="11"/>
        <v>2025 JAN-JUN DISC 70%</v>
      </c>
      <c r="B108" s="34">
        <f t="shared" si="14"/>
        <v>46104</v>
      </c>
      <c r="C108" s="34">
        <f t="shared" si="15"/>
        <v>46113</v>
      </c>
      <c r="D108" s="33">
        <v>3284</v>
      </c>
      <c r="E108" s="14">
        <v>338</v>
      </c>
      <c r="F108" s="14">
        <v>4</v>
      </c>
      <c r="G108" s="33">
        <v>7</v>
      </c>
      <c r="H108" s="33">
        <v>81676</v>
      </c>
      <c r="I108" s="33" t="s">
        <v>17</v>
      </c>
      <c r="J108" s="33">
        <v>52298067</v>
      </c>
      <c r="K108" s="33" t="s">
        <v>2176</v>
      </c>
      <c r="L108" s="39" t="s">
        <v>2178</v>
      </c>
      <c r="M108" s="35">
        <v>219900</v>
      </c>
      <c r="N108" s="71">
        <f t="shared" si="12"/>
        <v>0.7</v>
      </c>
      <c r="O108" s="75">
        <f t="shared" si="10"/>
        <v>65970</v>
      </c>
      <c r="P108" s="35" t="str">
        <f t="shared" si="13"/>
        <v>PERCENTAGE</v>
      </c>
    </row>
    <row r="109" spans="1:16" s="32" customFormat="1" x14ac:dyDescent="0.35">
      <c r="A109" s="14" t="str">
        <f t="shared" si="11"/>
        <v>2025 JAN-JUN DISC 70%</v>
      </c>
      <c r="B109" s="34">
        <f t="shared" si="14"/>
        <v>46104</v>
      </c>
      <c r="C109" s="34">
        <f t="shared" si="15"/>
        <v>46113</v>
      </c>
      <c r="D109" s="33">
        <v>3284</v>
      </c>
      <c r="E109" s="14">
        <v>338</v>
      </c>
      <c r="F109" s="14">
        <v>4</v>
      </c>
      <c r="G109" s="33">
        <v>7</v>
      </c>
      <c r="H109" s="33">
        <v>81676</v>
      </c>
      <c r="I109" s="33" t="s">
        <v>17</v>
      </c>
      <c r="J109" s="33">
        <v>52298076</v>
      </c>
      <c r="K109" s="33" t="s">
        <v>2176</v>
      </c>
      <c r="L109" s="39" t="s">
        <v>2177</v>
      </c>
      <c r="M109" s="35">
        <v>219900</v>
      </c>
      <c r="N109" s="71">
        <f t="shared" si="12"/>
        <v>0.7</v>
      </c>
      <c r="O109" s="75">
        <f t="shared" si="10"/>
        <v>65970</v>
      </c>
      <c r="P109" s="35" t="str">
        <f t="shared" si="13"/>
        <v>PERCENTAGE</v>
      </c>
    </row>
    <row r="110" spans="1:16" s="32" customFormat="1" x14ac:dyDescent="0.35">
      <c r="A110" s="14" t="str">
        <f t="shared" si="11"/>
        <v>2025 JAN-JUN DISC 70%</v>
      </c>
      <c r="B110" s="34">
        <f t="shared" si="14"/>
        <v>46104</v>
      </c>
      <c r="C110" s="34">
        <f t="shared" si="15"/>
        <v>46113</v>
      </c>
      <c r="D110" s="33">
        <v>3284</v>
      </c>
      <c r="E110" s="14">
        <v>338</v>
      </c>
      <c r="F110" s="14">
        <v>4</v>
      </c>
      <c r="G110" s="33">
        <v>7</v>
      </c>
      <c r="H110" s="33">
        <v>81676</v>
      </c>
      <c r="I110" s="33" t="s">
        <v>17</v>
      </c>
      <c r="J110" s="33">
        <v>52298085</v>
      </c>
      <c r="K110" s="33" t="s">
        <v>2176</v>
      </c>
      <c r="L110" s="39" t="s">
        <v>2180</v>
      </c>
      <c r="M110" s="35">
        <v>219900</v>
      </c>
      <c r="N110" s="71">
        <f t="shared" si="12"/>
        <v>0.7</v>
      </c>
      <c r="O110" s="75">
        <f t="shared" si="10"/>
        <v>65970</v>
      </c>
      <c r="P110" s="35" t="str">
        <f t="shared" si="13"/>
        <v>PERCENTAGE</v>
      </c>
    </row>
    <row r="111" spans="1:16" s="32" customFormat="1" x14ac:dyDescent="0.35">
      <c r="A111" s="14" t="str">
        <f t="shared" si="11"/>
        <v>2025 JAN-JUN DISC 70%</v>
      </c>
      <c r="B111" s="34">
        <f t="shared" si="14"/>
        <v>46104</v>
      </c>
      <c r="C111" s="34">
        <f t="shared" si="15"/>
        <v>46113</v>
      </c>
      <c r="D111" s="33">
        <v>3284</v>
      </c>
      <c r="E111" s="14">
        <v>338</v>
      </c>
      <c r="F111" s="14">
        <v>4</v>
      </c>
      <c r="G111" s="33">
        <v>7</v>
      </c>
      <c r="H111" s="33">
        <v>81676</v>
      </c>
      <c r="I111" s="33" t="s">
        <v>17</v>
      </c>
      <c r="J111" s="33">
        <v>52298094</v>
      </c>
      <c r="K111" s="33" t="s">
        <v>2171</v>
      </c>
      <c r="L111" s="39" t="s">
        <v>2174</v>
      </c>
      <c r="M111" s="35">
        <v>219900</v>
      </c>
      <c r="N111" s="71">
        <f t="shared" si="12"/>
        <v>0.7</v>
      </c>
      <c r="O111" s="75">
        <f t="shared" si="10"/>
        <v>65970</v>
      </c>
      <c r="P111" s="35" t="str">
        <f t="shared" si="13"/>
        <v>PERCENTAGE</v>
      </c>
    </row>
    <row r="112" spans="1:16" s="32" customFormat="1" x14ac:dyDescent="0.35">
      <c r="A112" s="14" t="str">
        <f t="shared" si="11"/>
        <v>2025 JAN-JUN DISC 70%</v>
      </c>
      <c r="B112" s="34">
        <f t="shared" si="14"/>
        <v>46104</v>
      </c>
      <c r="C112" s="34">
        <f t="shared" si="15"/>
        <v>46113</v>
      </c>
      <c r="D112" s="33">
        <v>3284</v>
      </c>
      <c r="E112" s="14">
        <v>338</v>
      </c>
      <c r="F112" s="14">
        <v>4</v>
      </c>
      <c r="G112" s="33">
        <v>7</v>
      </c>
      <c r="H112" s="33">
        <v>81676</v>
      </c>
      <c r="I112" s="33" t="s">
        <v>17</v>
      </c>
      <c r="J112" s="33">
        <v>52298101</v>
      </c>
      <c r="K112" s="33" t="s">
        <v>2171</v>
      </c>
      <c r="L112" s="39" t="s">
        <v>2175</v>
      </c>
      <c r="M112" s="35">
        <v>219900</v>
      </c>
      <c r="N112" s="71">
        <f t="shared" si="12"/>
        <v>0.7</v>
      </c>
      <c r="O112" s="75">
        <f t="shared" si="10"/>
        <v>65970</v>
      </c>
      <c r="P112" s="35" t="str">
        <f t="shared" si="13"/>
        <v>PERCENTAGE</v>
      </c>
    </row>
    <row r="113" spans="1:16" s="32" customFormat="1" x14ac:dyDescent="0.35">
      <c r="A113" s="14" t="str">
        <f t="shared" si="11"/>
        <v>2025 JAN-JUN DISC 70%</v>
      </c>
      <c r="B113" s="34">
        <f t="shared" si="14"/>
        <v>46104</v>
      </c>
      <c r="C113" s="34">
        <f t="shared" si="15"/>
        <v>46113</v>
      </c>
      <c r="D113" s="33">
        <v>3284</v>
      </c>
      <c r="E113" s="14">
        <v>338</v>
      </c>
      <c r="F113" s="14">
        <v>4</v>
      </c>
      <c r="G113" s="33">
        <v>7</v>
      </c>
      <c r="H113" s="33">
        <v>81676</v>
      </c>
      <c r="I113" s="33" t="s">
        <v>17</v>
      </c>
      <c r="J113" s="33">
        <v>52298110</v>
      </c>
      <c r="K113" s="33" t="s">
        <v>2171</v>
      </c>
      <c r="L113" s="39" t="s">
        <v>2173</v>
      </c>
      <c r="M113" s="35">
        <v>219900</v>
      </c>
      <c r="N113" s="71">
        <f t="shared" si="12"/>
        <v>0.7</v>
      </c>
      <c r="O113" s="75">
        <f t="shared" si="10"/>
        <v>65970</v>
      </c>
      <c r="P113" s="35" t="str">
        <f t="shared" si="13"/>
        <v>PERCENTAGE</v>
      </c>
    </row>
    <row r="114" spans="1:16" s="32" customFormat="1" x14ac:dyDescent="0.35">
      <c r="A114" s="14" t="str">
        <f t="shared" si="11"/>
        <v>2025 JAN-JUN DISC 70%</v>
      </c>
      <c r="B114" s="34">
        <f t="shared" si="14"/>
        <v>46104</v>
      </c>
      <c r="C114" s="34">
        <f t="shared" si="15"/>
        <v>46113</v>
      </c>
      <c r="D114" s="33">
        <v>3284</v>
      </c>
      <c r="E114" s="14">
        <v>338</v>
      </c>
      <c r="F114" s="14">
        <v>4</v>
      </c>
      <c r="G114" s="33">
        <v>7</v>
      </c>
      <c r="H114" s="33">
        <v>81676</v>
      </c>
      <c r="I114" s="33" t="s">
        <v>17</v>
      </c>
      <c r="J114" s="33">
        <v>52298129</v>
      </c>
      <c r="K114" s="33" t="s">
        <v>2171</v>
      </c>
      <c r="L114" s="39" t="s">
        <v>2172</v>
      </c>
      <c r="M114" s="35">
        <v>219900</v>
      </c>
      <c r="N114" s="71">
        <f t="shared" si="12"/>
        <v>0.7</v>
      </c>
      <c r="O114" s="75">
        <f t="shared" si="10"/>
        <v>65970</v>
      </c>
      <c r="P114" s="35" t="str">
        <f t="shared" si="13"/>
        <v>PERCENTAGE</v>
      </c>
    </row>
    <row r="115" spans="1:16" s="32" customFormat="1" x14ac:dyDescent="0.35">
      <c r="A115" s="14" t="str">
        <f t="shared" si="11"/>
        <v>2025 JAN-JUN DISC 70%</v>
      </c>
      <c r="B115" s="34">
        <f t="shared" si="14"/>
        <v>46104</v>
      </c>
      <c r="C115" s="34">
        <f t="shared" si="15"/>
        <v>46113</v>
      </c>
      <c r="D115" s="33">
        <v>3284</v>
      </c>
      <c r="E115" s="14">
        <v>338</v>
      </c>
      <c r="F115" s="14">
        <v>4</v>
      </c>
      <c r="G115" s="33">
        <v>4</v>
      </c>
      <c r="H115" s="33">
        <v>80920</v>
      </c>
      <c r="I115" s="33" t="s">
        <v>17</v>
      </c>
      <c r="J115" s="33">
        <v>53168599</v>
      </c>
      <c r="K115" s="33" t="s">
        <v>2604</v>
      </c>
      <c r="L115" s="39" t="s">
        <v>2606</v>
      </c>
      <c r="M115" s="35">
        <v>219900</v>
      </c>
      <c r="N115" s="71">
        <f t="shared" si="12"/>
        <v>0.7</v>
      </c>
      <c r="O115" s="75">
        <f t="shared" si="10"/>
        <v>65970</v>
      </c>
      <c r="P115" s="35" t="str">
        <f t="shared" si="13"/>
        <v>PERCENTAGE</v>
      </c>
    </row>
    <row r="116" spans="1:16" s="32" customFormat="1" x14ac:dyDescent="0.35">
      <c r="A116" s="14" t="str">
        <f t="shared" si="11"/>
        <v>2025 JAN-JUN DISC 70%</v>
      </c>
      <c r="B116" s="34">
        <f t="shared" si="14"/>
        <v>46104</v>
      </c>
      <c r="C116" s="34">
        <f t="shared" si="15"/>
        <v>46113</v>
      </c>
      <c r="D116" s="33">
        <v>3284</v>
      </c>
      <c r="E116" s="14">
        <v>338</v>
      </c>
      <c r="F116" s="14">
        <v>4</v>
      </c>
      <c r="G116" s="33">
        <v>4</v>
      </c>
      <c r="H116" s="33">
        <v>80920</v>
      </c>
      <c r="I116" s="33" t="s">
        <v>17</v>
      </c>
      <c r="J116" s="33">
        <v>53168606</v>
      </c>
      <c r="K116" s="33" t="s">
        <v>2604</v>
      </c>
      <c r="L116" s="39" t="s">
        <v>2608</v>
      </c>
      <c r="M116" s="35">
        <v>219900</v>
      </c>
      <c r="N116" s="71">
        <f t="shared" si="12"/>
        <v>0.7</v>
      </c>
      <c r="O116" s="75">
        <f t="shared" si="10"/>
        <v>65970</v>
      </c>
      <c r="P116" s="35" t="str">
        <f t="shared" si="13"/>
        <v>PERCENTAGE</v>
      </c>
    </row>
    <row r="117" spans="1:16" s="32" customFormat="1" x14ac:dyDescent="0.35">
      <c r="A117" s="14" t="str">
        <f t="shared" si="11"/>
        <v>2025 JAN-JUN DISC 70%</v>
      </c>
      <c r="B117" s="34">
        <f t="shared" si="14"/>
        <v>46104</v>
      </c>
      <c r="C117" s="34">
        <f t="shared" si="15"/>
        <v>46113</v>
      </c>
      <c r="D117" s="33">
        <v>3284</v>
      </c>
      <c r="E117" s="14">
        <v>338</v>
      </c>
      <c r="F117" s="14">
        <v>4</v>
      </c>
      <c r="G117" s="33">
        <v>4</v>
      </c>
      <c r="H117" s="33">
        <v>80920</v>
      </c>
      <c r="I117" s="33" t="s">
        <v>17</v>
      </c>
      <c r="J117" s="33">
        <v>53168615</v>
      </c>
      <c r="K117" s="33" t="s">
        <v>2604</v>
      </c>
      <c r="L117" s="39" t="s">
        <v>2607</v>
      </c>
      <c r="M117" s="35">
        <v>219900</v>
      </c>
      <c r="N117" s="71">
        <f t="shared" si="12"/>
        <v>0.7</v>
      </c>
      <c r="O117" s="75">
        <f t="shared" si="10"/>
        <v>65970</v>
      </c>
      <c r="P117" s="35" t="str">
        <f t="shared" si="13"/>
        <v>PERCENTAGE</v>
      </c>
    </row>
    <row r="118" spans="1:16" s="32" customFormat="1" x14ac:dyDescent="0.35">
      <c r="A118" s="14" t="str">
        <f t="shared" si="11"/>
        <v>2025 JAN-JUN DISC 70%</v>
      </c>
      <c r="B118" s="34">
        <f t="shared" si="14"/>
        <v>46104</v>
      </c>
      <c r="C118" s="34">
        <f t="shared" si="15"/>
        <v>46113</v>
      </c>
      <c r="D118" s="33">
        <v>3284</v>
      </c>
      <c r="E118" s="14">
        <v>338</v>
      </c>
      <c r="F118" s="14">
        <v>4</v>
      </c>
      <c r="G118" s="33">
        <v>4</v>
      </c>
      <c r="H118" s="33">
        <v>80920</v>
      </c>
      <c r="I118" s="33" t="s">
        <v>17</v>
      </c>
      <c r="J118" s="33">
        <v>53168624</v>
      </c>
      <c r="K118" s="33" t="s">
        <v>2604</v>
      </c>
      <c r="L118" s="39" t="s">
        <v>2605</v>
      </c>
      <c r="M118" s="35">
        <v>219900</v>
      </c>
      <c r="N118" s="71">
        <f t="shared" si="12"/>
        <v>0.7</v>
      </c>
      <c r="O118" s="75">
        <f t="shared" si="10"/>
        <v>65970</v>
      </c>
      <c r="P118" s="35" t="str">
        <f t="shared" si="13"/>
        <v>PERCENTAGE</v>
      </c>
    </row>
    <row r="119" spans="1:16" s="32" customFormat="1" x14ac:dyDescent="0.35">
      <c r="A119" s="14" t="str">
        <f t="shared" si="11"/>
        <v>2025 JAN-JUN DISC 70%</v>
      </c>
      <c r="B119" s="34">
        <f t="shared" si="14"/>
        <v>46104</v>
      </c>
      <c r="C119" s="34">
        <f t="shared" si="15"/>
        <v>46113</v>
      </c>
      <c r="D119" s="33">
        <v>3284</v>
      </c>
      <c r="E119" s="33">
        <v>338</v>
      </c>
      <c r="F119" s="33">
        <v>4</v>
      </c>
      <c r="G119" s="33">
        <v>4</v>
      </c>
      <c r="H119" s="33">
        <v>81506</v>
      </c>
      <c r="I119" s="33" t="s">
        <v>17</v>
      </c>
      <c r="J119" s="14">
        <v>53168473</v>
      </c>
      <c r="K119" s="33" t="s">
        <v>2619</v>
      </c>
      <c r="L119" s="39" t="s">
        <v>2621</v>
      </c>
      <c r="M119" s="35">
        <v>199900</v>
      </c>
      <c r="N119" s="71">
        <f t="shared" si="12"/>
        <v>0.7</v>
      </c>
      <c r="O119" s="75">
        <f t="shared" si="10"/>
        <v>59970</v>
      </c>
      <c r="P119" s="35" t="str">
        <f t="shared" si="13"/>
        <v>PERCENTAGE</v>
      </c>
    </row>
    <row r="120" spans="1:16" s="32" customFormat="1" x14ac:dyDescent="0.35">
      <c r="A120" s="14" t="str">
        <f t="shared" si="11"/>
        <v>2025 JAN-JUN DISC 70%</v>
      </c>
      <c r="B120" s="34">
        <f t="shared" si="14"/>
        <v>46104</v>
      </c>
      <c r="C120" s="34">
        <f t="shared" si="15"/>
        <v>46113</v>
      </c>
      <c r="D120" s="33">
        <v>3284</v>
      </c>
      <c r="E120" s="33">
        <v>338</v>
      </c>
      <c r="F120" s="33">
        <v>4</v>
      </c>
      <c r="G120" s="33">
        <v>4</v>
      </c>
      <c r="H120" s="33">
        <v>81506</v>
      </c>
      <c r="I120" s="33" t="s">
        <v>17</v>
      </c>
      <c r="J120" s="14">
        <v>53168482</v>
      </c>
      <c r="K120" s="33" t="s">
        <v>2619</v>
      </c>
      <c r="L120" s="39" t="s">
        <v>2622</v>
      </c>
      <c r="M120" s="35">
        <v>199900</v>
      </c>
      <c r="N120" s="71">
        <f t="shared" si="12"/>
        <v>0.7</v>
      </c>
      <c r="O120" s="75">
        <f t="shared" si="10"/>
        <v>59970</v>
      </c>
      <c r="P120" s="35" t="str">
        <f t="shared" si="13"/>
        <v>PERCENTAGE</v>
      </c>
    </row>
    <row r="121" spans="1:16" s="32" customFormat="1" x14ac:dyDescent="0.35">
      <c r="A121" s="14" t="str">
        <f t="shared" si="11"/>
        <v>2025 JAN-JUN DISC 70%</v>
      </c>
      <c r="B121" s="34">
        <f t="shared" si="14"/>
        <v>46104</v>
      </c>
      <c r="C121" s="34">
        <f t="shared" si="15"/>
        <v>46113</v>
      </c>
      <c r="D121" s="33">
        <v>3284</v>
      </c>
      <c r="E121" s="33">
        <v>338</v>
      </c>
      <c r="F121" s="33">
        <v>4</v>
      </c>
      <c r="G121" s="33">
        <v>4</v>
      </c>
      <c r="H121" s="33">
        <v>81506</v>
      </c>
      <c r="I121" s="33" t="s">
        <v>17</v>
      </c>
      <c r="J121" s="14">
        <v>53168491</v>
      </c>
      <c r="K121" s="33" t="s">
        <v>2619</v>
      </c>
      <c r="L121" s="39" t="s">
        <v>2620</v>
      </c>
      <c r="M121" s="35">
        <v>199900</v>
      </c>
      <c r="N121" s="71">
        <f t="shared" si="12"/>
        <v>0.7</v>
      </c>
      <c r="O121" s="75">
        <f t="shared" si="10"/>
        <v>59970</v>
      </c>
      <c r="P121" s="35" t="str">
        <f t="shared" si="13"/>
        <v>PERCENTAGE</v>
      </c>
    </row>
    <row r="122" spans="1:16" s="32" customFormat="1" x14ac:dyDescent="0.35">
      <c r="A122" s="14" t="str">
        <f t="shared" si="11"/>
        <v>2025 JAN-JUN DISC 70%</v>
      </c>
      <c r="B122" s="34">
        <f t="shared" si="14"/>
        <v>46104</v>
      </c>
      <c r="C122" s="34">
        <f t="shared" si="15"/>
        <v>46113</v>
      </c>
      <c r="D122" s="33">
        <v>3284</v>
      </c>
      <c r="E122" s="33">
        <v>338</v>
      </c>
      <c r="F122" s="33">
        <v>4</v>
      </c>
      <c r="G122" s="33">
        <v>4</v>
      </c>
      <c r="H122" s="33">
        <v>81506</v>
      </c>
      <c r="I122" s="33" t="s">
        <v>17</v>
      </c>
      <c r="J122" s="14">
        <v>53168508</v>
      </c>
      <c r="K122" s="33" t="s">
        <v>2619</v>
      </c>
      <c r="L122" s="39" t="s">
        <v>2623</v>
      </c>
      <c r="M122" s="35">
        <v>199900</v>
      </c>
      <c r="N122" s="71">
        <f t="shared" si="12"/>
        <v>0.7</v>
      </c>
      <c r="O122" s="75">
        <f t="shared" si="10"/>
        <v>59970</v>
      </c>
      <c r="P122" s="35" t="str">
        <f t="shared" si="13"/>
        <v>PERCENTAGE</v>
      </c>
    </row>
    <row r="123" spans="1:16" s="32" customFormat="1" x14ac:dyDescent="0.35">
      <c r="A123" s="14" t="str">
        <f t="shared" si="11"/>
        <v>2025 JAN-JUN DISC 70%</v>
      </c>
      <c r="B123" s="34">
        <f t="shared" si="14"/>
        <v>46104</v>
      </c>
      <c r="C123" s="34">
        <f t="shared" si="15"/>
        <v>46113</v>
      </c>
      <c r="D123" s="33">
        <v>3284</v>
      </c>
      <c r="E123" s="33">
        <v>338</v>
      </c>
      <c r="F123" s="33">
        <v>4</v>
      </c>
      <c r="G123" s="33">
        <v>5</v>
      </c>
      <c r="H123" s="33">
        <v>81146</v>
      </c>
      <c r="I123" s="33" t="s">
        <v>17</v>
      </c>
      <c r="J123" s="33">
        <v>53168517</v>
      </c>
      <c r="K123" s="33" t="s">
        <v>2614</v>
      </c>
      <c r="L123" s="39" t="s">
        <v>2617</v>
      </c>
      <c r="M123" s="35">
        <v>219900</v>
      </c>
      <c r="N123" s="71">
        <f t="shared" si="12"/>
        <v>0.7</v>
      </c>
      <c r="O123" s="75">
        <f t="shared" si="10"/>
        <v>65970</v>
      </c>
      <c r="P123" s="35" t="str">
        <f t="shared" si="13"/>
        <v>PERCENTAGE</v>
      </c>
    </row>
    <row r="124" spans="1:16" s="32" customFormat="1" x14ac:dyDescent="0.35">
      <c r="A124" s="14" t="str">
        <f t="shared" si="11"/>
        <v>2025 JAN-JUN DISC 70%</v>
      </c>
      <c r="B124" s="34">
        <f t="shared" si="14"/>
        <v>46104</v>
      </c>
      <c r="C124" s="34">
        <f t="shared" si="15"/>
        <v>46113</v>
      </c>
      <c r="D124" s="33">
        <v>3284</v>
      </c>
      <c r="E124" s="33">
        <v>338</v>
      </c>
      <c r="F124" s="33">
        <v>4</v>
      </c>
      <c r="G124" s="33">
        <v>5</v>
      </c>
      <c r="H124" s="33">
        <v>81146</v>
      </c>
      <c r="I124" s="33" t="s">
        <v>17</v>
      </c>
      <c r="J124" s="33">
        <v>53168526</v>
      </c>
      <c r="K124" s="33" t="s">
        <v>2614</v>
      </c>
      <c r="L124" s="39" t="s">
        <v>2618</v>
      </c>
      <c r="M124" s="35">
        <v>219900</v>
      </c>
      <c r="N124" s="71">
        <f t="shared" si="12"/>
        <v>0.7</v>
      </c>
      <c r="O124" s="75">
        <f t="shared" si="10"/>
        <v>65970</v>
      </c>
      <c r="P124" s="35" t="str">
        <f t="shared" si="13"/>
        <v>PERCENTAGE</v>
      </c>
    </row>
    <row r="125" spans="1:16" s="32" customFormat="1" x14ac:dyDescent="0.35">
      <c r="A125" s="14" t="str">
        <f t="shared" si="11"/>
        <v>2025 JAN-JUN DISC 70%</v>
      </c>
      <c r="B125" s="34">
        <f t="shared" si="14"/>
        <v>46104</v>
      </c>
      <c r="C125" s="34">
        <f t="shared" si="15"/>
        <v>46113</v>
      </c>
      <c r="D125" s="33">
        <v>3284</v>
      </c>
      <c r="E125" s="33">
        <v>338</v>
      </c>
      <c r="F125" s="33">
        <v>4</v>
      </c>
      <c r="G125" s="33">
        <v>5</v>
      </c>
      <c r="H125" s="33">
        <v>81146</v>
      </c>
      <c r="I125" s="33" t="s">
        <v>17</v>
      </c>
      <c r="J125" s="33">
        <v>53168535</v>
      </c>
      <c r="K125" s="33" t="s">
        <v>2614</v>
      </c>
      <c r="L125" s="39" t="s">
        <v>2616</v>
      </c>
      <c r="M125" s="35">
        <v>219900</v>
      </c>
      <c r="N125" s="71">
        <f t="shared" si="12"/>
        <v>0.7</v>
      </c>
      <c r="O125" s="75">
        <f t="shared" si="10"/>
        <v>65970</v>
      </c>
      <c r="P125" s="35" t="str">
        <f t="shared" si="13"/>
        <v>PERCENTAGE</v>
      </c>
    </row>
    <row r="126" spans="1:16" s="32" customFormat="1" x14ac:dyDescent="0.35">
      <c r="A126" s="14" t="str">
        <f t="shared" si="11"/>
        <v>2025 JAN-JUN DISC 70%</v>
      </c>
      <c r="B126" s="34">
        <f t="shared" si="14"/>
        <v>46104</v>
      </c>
      <c r="C126" s="34">
        <f t="shared" si="15"/>
        <v>46113</v>
      </c>
      <c r="D126" s="33">
        <v>3284</v>
      </c>
      <c r="E126" s="33">
        <v>338</v>
      </c>
      <c r="F126" s="33">
        <v>4</v>
      </c>
      <c r="G126" s="33">
        <v>5</v>
      </c>
      <c r="H126" s="33">
        <v>81146</v>
      </c>
      <c r="I126" s="33" t="s">
        <v>17</v>
      </c>
      <c r="J126" s="33">
        <v>53168544</v>
      </c>
      <c r="K126" s="33" t="s">
        <v>2614</v>
      </c>
      <c r="L126" s="39" t="s">
        <v>2615</v>
      </c>
      <c r="M126" s="35">
        <v>219900</v>
      </c>
      <c r="N126" s="71">
        <f t="shared" si="12"/>
        <v>0.7</v>
      </c>
      <c r="O126" s="75">
        <f t="shared" si="10"/>
        <v>65970</v>
      </c>
      <c r="P126" s="35" t="str">
        <f t="shared" si="13"/>
        <v>PERCENTAGE</v>
      </c>
    </row>
    <row r="127" spans="1:16" s="32" customFormat="1" x14ac:dyDescent="0.35">
      <c r="A127" s="14" t="str">
        <f t="shared" si="11"/>
        <v>2025 JAN-JUN DISC 70%</v>
      </c>
      <c r="B127" s="34">
        <f t="shared" si="14"/>
        <v>46104</v>
      </c>
      <c r="C127" s="34">
        <f t="shared" si="15"/>
        <v>46113</v>
      </c>
      <c r="D127" s="33">
        <v>3284</v>
      </c>
      <c r="E127" s="33">
        <v>338</v>
      </c>
      <c r="F127" s="33">
        <v>4</v>
      </c>
      <c r="G127" s="33">
        <v>3</v>
      </c>
      <c r="H127" s="33">
        <v>80920</v>
      </c>
      <c r="I127" s="33" t="s">
        <v>17</v>
      </c>
      <c r="J127" s="14">
        <v>53168553</v>
      </c>
      <c r="K127" s="33" t="s">
        <v>2609</v>
      </c>
      <c r="L127" s="39" t="s">
        <v>2613</v>
      </c>
      <c r="M127" s="35">
        <v>189900</v>
      </c>
      <c r="N127" s="71">
        <f t="shared" si="12"/>
        <v>0.7</v>
      </c>
      <c r="O127" s="75">
        <f t="shared" si="10"/>
        <v>56970</v>
      </c>
      <c r="P127" s="35" t="str">
        <f t="shared" si="13"/>
        <v>PERCENTAGE</v>
      </c>
    </row>
    <row r="128" spans="1:16" s="32" customFormat="1" x14ac:dyDescent="0.35">
      <c r="A128" s="14" t="str">
        <f t="shared" si="11"/>
        <v>2025 JAN-JUN DISC 70%</v>
      </c>
      <c r="B128" s="34">
        <f t="shared" si="14"/>
        <v>46104</v>
      </c>
      <c r="C128" s="34">
        <f t="shared" si="15"/>
        <v>46113</v>
      </c>
      <c r="D128" s="33">
        <v>3284</v>
      </c>
      <c r="E128" s="33">
        <v>338</v>
      </c>
      <c r="F128" s="33">
        <v>4</v>
      </c>
      <c r="G128" s="33">
        <v>3</v>
      </c>
      <c r="H128" s="33">
        <v>80920</v>
      </c>
      <c r="I128" s="33" t="s">
        <v>17</v>
      </c>
      <c r="J128" s="14">
        <v>53168562</v>
      </c>
      <c r="K128" s="33" t="s">
        <v>2609</v>
      </c>
      <c r="L128" s="39" t="s">
        <v>2610</v>
      </c>
      <c r="M128" s="35">
        <v>189900</v>
      </c>
      <c r="N128" s="71">
        <f t="shared" si="12"/>
        <v>0.7</v>
      </c>
      <c r="O128" s="75">
        <f t="shared" si="10"/>
        <v>56970</v>
      </c>
      <c r="P128" s="35" t="str">
        <f t="shared" si="13"/>
        <v>PERCENTAGE</v>
      </c>
    </row>
    <row r="129" spans="1:16" s="32" customFormat="1" x14ac:dyDescent="0.35">
      <c r="A129" s="14" t="str">
        <f t="shared" si="11"/>
        <v>2025 JAN-JUN DISC 70%</v>
      </c>
      <c r="B129" s="34">
        <f t="shared" si="14"/>
        <v>46104</v>
      </c>
      <c r="C129" s="34">
        <f t="shared" si="15"/>
        <v>46113</v>
      </c>
      <c r="D129" s="33">
        <v>3284</v>
      </c>
      <c r="E129" s="33">
        <v>338</v>
      </c>
      <c r="F129" s="33">
        <v>4</v>
      </c>
      <c r="G129" s="33">
        <v>3</v>
      </c>
      <c r="H129" s="33">
        <v>80920</v>
      </c>
      <c r="I129" s="33" t="s">
        <v>17</v>
      </c>
      <c r="J129" s="14">
        <v>53168571</v>
      </c>
      <c r="K129" s="33" t="s">
        <v>2609</v>
      </c>
      <c r="L129" s="39" t="s">
        <v>2612</v>
      </c>
      <c r="M129" s="35">
        <v>189900</v>
      </c>
      <c r="N129" s="71">
        <f t="shared" si="12"/>
        <v>0.7</v>
      </c>
      <c r="O129" s="75">
        <f t="shared" si="10"/>
        <v>56970</v>
      </c>
      <c r="P129" s="35" t="str">
        <f t="shared" si="13"/>
        <v>PERCENTAGE</v>
      </c>
    </row>
    <row r="130" spans="1:16" s="32" customFormat="1" x14ac:dyDescent="0.35">
      <c r="A130" s="14" t="str">
        <f t="shared" si="11"/>
        <v>2025 JAN-JUN DISC 70%</v>
      </c>
      <c r="B130" s="34">
        <f t="shared" si="14"/>
        <v>46104</v>
      </c>
      <c r="C130" s="34">
        <f t="shared" si="15"/>
        <v>46113</v>
      </c>
      <c r="D130" s="33">
        <v>3284</v>
      </c>
      <c r="E130" s="33">
        <v>338</v>
      </c>
      <c r="F130" s="33">
        <v>4</v>
      </c>
      <c r="G130" s="33">
        <v>3</v>
      </c>
      <c r="H130" s="33">
        <v>80920</v>
      </c>
      <c r="I130" s="33" t="s">
        <v>17</v>
      </c>
      <c r="J130" s="14">
        <v>53168580</v>
      </c>
      <c r="K130" s="33" t="s">
        <v>2609</v>
      </c>
      <c r="L130" s="39" t="s">
        <v>2611</v>
      </c>
      <c r="M130" s="35">
        <v>189900</v>
      </c>
      <c r="N130" s="71">
        <f t="shared" si="12"/>
        <v>0.7</v>
      </c>
      <c r="O130" s="75">
        <f t="shared" si="10"/>
        <v>56970</v>
      </c>
      <c r="P130" s="35" t="str">
        <f t="shared" si="13"/>
        <v>PERCENTAGE</v>
      </c>
    </row>
  </sheetData>
  <autoFilter ref="A1:P1" xr:uid="{00000000-0009-0000-0000-00000E000000}">
    <sortState xmlns:xlrd2="http://schemas.microsoft.com/office/spreadsheetml/2017/richdata2" ref="A2:P130">
      <sortCondition ref="J1"/>
    </sortState>
  </autoFilter>
  <phoneticPr fontId="8" type="noConversion"/>
  <conditionalFormatting sqref="J1:J1048576">
    <cfRule type="duplicateValues" dxfId="5" priority="1"/>
  </conditionalFormatting>
  <pageMargins left="0.7" right="0.7" top="0.75" bottom="0.75" header="0.3" footer="0.3"/>
  <pageSetup paperSize="9" orientation="portrait" horizontalDpi="0" verticalDpi="0"/>
  <ignoredErrors>
    <ignoredError sqref="O3:O130" formula="1"/>
  </ignoredErrors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D51CC-A37E-4F64-881F-43750E20BE2C}">
  <sheetPr>
    <tabColor rgb="FFFFFF00"/>
  </sheetPr>
  <dimension ref="A1:P351"/>
  <sheetViews>
    <sheetView topLeftCell="H1" zoomScale="82" zoomScaleNormal="100" workbookViewId="0">
      <pane ySplit="1" topLeftCell="A330" activePane="bottomLeft" state="frozen"/>
      <selection activeCell="C13" sqref="C13"/>
      <selection pane="bottomLeft" activeCell="B2" sqref="B2:C2"/>
    </sheetView>
  </sheetViews>
  <sheetFormatPr defaultColWidth="8.6328125" defaultRowHeight="14.5" x14ac:dyDescent="0.35"/>
  <cols>
    <col min="1" max="1" width="35.54296875" style="2" customWidth="1"/>
    <col min="2" max="2" width="16.08984375" style="3" bestFit="1" customWidth="1"/>
    <col min="3" max="3" width="13.36328125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0.90625" style="2" bestFit="1" customWidth="1"/>
    <col min="8" max="8" width="13.90625" style="2" bestFit="1" customWidth="1"/>
    <col min="9" max="9" width="16.54296875" style="2" bestFit="1" customWidth="1"/>
    <col min="10" max="10" width="9.54296875" style="2" bestFit="1" customWidth="1"/>
    <col min="11" max="11" width="10" style="2" customWidth="1"/>
    <col min="12" max="12" width="80.1796875" style="19" customWidth="1"/>
    <col min="13" max="13" width="17.6328125" style="4" customWidth="1"/>
    <col min="14" max="14" width="9.6328125" style="5" customWidth="1"/>
    <col min="15" max="15" width="18.08984375" style="4" customWidth="1"/>
    <col min="16" max="16" width="18.08984375" style="2" customWidth="1"/>
    <col min="17" max="16384" width="8.63281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14" t="s">
        <v>3336</v>
      </c>
      <c r="B2" s="34">
        <v>46104</v>
      </c>
      <c r="C2" s="34">
        <v>46113</v>
      </c>
      <c r="D2" s="6">
        <v>3284</v>
      </c>
      <c r="E2" s="6">
        <v>338</v>
      </c>
      <c r="F2" s="6">
        <v>4</v>
      </c>
      <c r="G2" s="6">
        <v>1</v>
      </c>
      <c r="H2" s="6">
        <v>81421</v>
      </c>
      <c r="I2" s="6" t="s">
        <v>17</v>
      </c>
      <c r="J2" s="6">
        <v>15617620</v>
      </c>
      <c r="K2" s="6" t="s">
        <v>224</v>
      </c>
      <c r="L2" s="17" t="s">
        <v>225</v>
      </c>
      <c r="M2" s="8">
        <v>149900</v>
      </c>
      <c r="N2" s="9">
        <v>0.75</v>
      </c>
      <c r="O2" s="8">
        <f>M2-((75*M2)/100)</f>
        <v>37475</v>
      </c>
      <c r="P2" s="22" t="s">
        <v>16</v>
      </c>
    </row>
    <row r="3" spans="1:16" x14ac:dyDescent="0.35">
      <c r="A3" s="14" t="str">
        <f>A2</f>
        <v xml:space="preserve"> 2024 JAN-DEC D75 LICENSE BABY</v>
      </c>
      <c r="B3" s="7">
        <f>B2</f>
        <v>46104</v>
      </c>
      <c r="C3" s="7">
        <f>C2</f>
        <v>46113</v>
      </c>
      <c r="D3" s="6">
        <v>3284</v>
      </c>
      <c r="E3" s="6">
        <v>338</v>
      </c>
      <c r="F3" s="6">
        <v>4</v>
      </c>
      <c r="G3" s="6">
        <v>1</v>
      </c>
      <c r="H3" s="6">
        <v>81421</v>
      </c>
      <c r="I3" s="6" t="s">
        <v>17</v>
      </c>
      <c r="J3" s="6">
        <v>15617639</v>
      </c>
      <c r="K3" s="6" t="s">
        <v>224</v>
      </c>
      <c r="L3" s="17" t="s">
        <v>590</v>
      </c>
      <c r="M3" s="8">
        <v>149900</v>
      </c>
      <c r="N3" s="36">
        <f>N2</f>
        <v>0.75</v>
      </c>
      <c r="O3" s="35">
        <f t="shared" ref="O3:O66" si="0">M3-((75*M3)/100)</f>
        <v>37475</v>
      </c>
      <c r="P3" s="22" t="s">
        <v>16</v>
      </c>
    </row>
    <row r="4" spans="1:16" x14ac:dyDescent="0.35">
      <c r="A4" s="14" t="str">
        <f t="shared" ref="A4:A67" si="1">A3</f>
        <v xml:space="preserve"> 2024 JAN-DEC D75 LICENSE BABY</v>
      </c>
      <c r="B4" s="7">
        <f t="shared" ref="B4:C19" si="2">B3</f>
        <v>46104</v>
      </c>
      <c r="C4" s="7">
        <f t="shared" si="2"/>
        <v>46113</v>
      </c>
      <c r="D4" s="6">
        <v>3284</v>
      </c>
      <c r="E4" s="6">
        <v>338</v>
      </c>
      <c r="F4" s="6">
        <v>4</v>
      </c>
      <c r="G4" s="6">
        <v>1</v>
      </c>
      <c r="H4" s="6">
        <v>81421</v>
      </c>
      <c r="I4" s="6" t="s">
        <v>17</v>
      </c>
      <c r="J4" s="6">
        <v>15617648</v>
      </c>
      <c r="K4" s="6" t="s">
        <v>224</v>
      </c>
      <c r="L4" s="17" t="s">
        <v>226</v>
      </c>
      <c r="M4" s="8">
        <v>149900</v>
      </c>
      <c r="N4" s="36">
        <f t="shared" ref="N4:N67" si="3">N3</f>
        <v>0.75</v>
      </c>
      <c r="O4" s="35">
        <f t="shared" si="0"/>
        <v>37475</v>
      </c>
      <c r="P4" s="22" t="s">
        <v>16</v>
      </c>
    </row>
    <row r="5" spans="1:16" x14ac:dyDescent="0.35">
      <c r="A5" s="14" t="str">
        <f t="shared" si="1"/>
        <v xml:space="preserve"> 2024 JAN-DEC D75 LICENSE BABY</v>
      </c>
      <c r="B5" s="7">
        <f t="shared" si="2"/>
        <v>46104</v>
      </c>
      <c r="C5" s="7">
        <f t="shared" si="2"/>
        <v>46113</v>
      </c>
      <c r="D5" s="6">
        <v>3284</v>
      </c>
      <c r="E5" s="6">
        <v>338</v>
      </c>
      <c r="F5" s="6">
        <v>4</v>
      </c>
      <c r="G5" s="6">
        <v>1</v>
      </c>
      <c r="H5" s="6">
        <v>81421</v>
      </c>
      <c r="I5" s="6" t="s">
        <v>17</v>
      </c>
      <c r="J5" s="6">
        <v>15617657</v>
      </c>
      <c r="K5" s="6" t="s">
        <v>224</v>
      </c>
      <c r="L5" s="17" t="s">
        <v>227</v>
      </c>
      <c r="M5" s="8">
        <v>149900</v>
      </c>
      <c r="N5" s="36">
        <f t="shared" si="3"/>
        <v>0.75</v>
      </c>
      <c r="O5" s="35">
        <f t="shared" si="0"/>
        <v>37475</v>
      </c>
      <c r="P5" s="22" t="s">
        <v>16</v>
      </c>
    </row>
    <row r="6" spans="1:16" x14ac:dyDescent="0.35">
      <c r="A6" s="14" t="str">
        <f t="shared" si="1"/>
        <v xml:space="preserve"> 2024 JAN-DEC D75 LICENSE BABY</v>
      </c>
      <c r="B6" s="7">
        <f t="shared" si="2"/>
        <v>46104</v>
      </c>
      <c r="C6" s="7">
        <f t="shared" si="2"/>
        <v>46113</v>
      </c>
      <c r="D6" s="6">
        <v>3284</v>
      </c>
      <c r="E6" s="6">
        <v>338</v>
      </c>
      <c r="F6" s="6">
        <v>4</v>
      </c>
      <c r="G6" s="6">
        <v>1</v>
      </c>
      <c r="H6" s="6">
        <v>81421</v>
      </c>
      <c r="I6" s="6" t="s">
        <v>17</v>
      </c>
      <c r="J6" s="6">
        <v>16621444</v>
      </c>
      <c r="K6" s="6" t="s">
        <v>591</v>
      </c>
      <c r="L6" s="17" t="s">
        <v>592</v>
      </c>
      <c r="M6" s="8">
        <v>199900</v>
      </c>
      <c r="N6" s="36">
        <f t="shared" si="3"/>
        <v>0.75</v>
      </c>
      <c r="O6" s="35">
        <f t="shared" si="0"/>
        <v>49975</v>
      </c>
      <c r="P6" s="22" t="s">
        <v>16</v>
      </c>
    </row>
    <row r="7" spans="1:16" x14ac:dyDescent="0.35">
      <c r="A7" s="14" t="str">
        <f t="shared" si="1"/>
        <v xml:space="preserve"> 2024 JAN-DEC D75 LICENSE BABY</v>
      </c>
      <c r="B7" s="7">
        <f t="shared" si="2"/>
        <v>46104</v>
      </c>
      <c r="C7" s="7">
        <f t="shared" si="2"/>
        <v>46113</v>
      </c>
      <c r="D7" s="6">
        <v>3284</v>
      </c>
      <c r="E7" s="6">
        <v>338</v>
      </c>
      <c r="F7" s="6">
        <v>4</v>
      </c>
      <c r="G7" s="6">
        <v>1</v>
      </c>
      <c r="H7" s="6">
        <v>81421</v>
      </c>
      <c r="I7" s="6" t="s">
        <v>17</v>
      </c>
      <c r="J7" s="6">
        <v>16621453</v>
      </c>
      <c r="K7" s="6" t="s">
        <v>591</v>
      </c>
      <c r="L7" s="17" t="s">
        <v>593</v>
      </c>
      <c r="M7" s="8">
        <v>199900</v>
      </c>
      <c r="N7" s="36">
        <f t="shared" si="3"/>
        <v>0.75</v>
      </c>
      <c r="O7" s="35">
        <f t="shared" si="0"/>
        <v>49975</v>
      </c>
      <c r="P7" s="22" t="s">
        <v>16</v>
      </c>
    </row>
    <row r="8" spans="1:16" x14ac:dyDescent="0.35">
      <c r="A8" s="14" t="str">
        <f t="shared" si="1"/>
        <v xml:space="preserve"> 2024 JAN-DEC D75 LICENSE BABY</v>
      </c>
      <c r="B8" s="7">
        <f t="shared" si="2"/>
        <v>46104</v>
      </c>
      <c r="C8" s="7">
        <f t="shared" si="2"/>
        <v>46113</v>
      </c>
      <c r="D8" s="6">
        <v>3284</v>
      </c>
      <c r="E8" s="6">
        <v>338</v>
      </c>
      <c r="F8" s="6">
        <v>4</v>
      </c>
      <c r="G8" s="6">
        <v>1</v>
      </c>
      <c r="H8" s="6">
        <v>81421</v>
      </c>
      <c r="I8" s="6" t="s">
        <v>17</v>
      </c>
      <c r="J8" s="6">
        <v>16621462</v>
      </c>
      <c r="K8" s="6" t="s">
        <v>591</v>
      </c>
      <c r="L8" s="17" t="s">
        <v>594</v>
      </c>
      <c r="M8" s="8">
        <v>199900</v>
      </c>
      <c r="N8" s="36">
        <f t="shared" si="3"/>
        <v>0.75</v>
      </c>
      <c r="O8" s="35">
        <f t="shared" si="0"/>
        <v>49975</v>
      </c>
      <c r="P8" s="22" t="s">
        <v>16</v>
      </c>
    </row>
    <row r="9" spans="1:16" x14ac:dyDescent="0.35">
      <c r="A9" s="14" t="str">
        <f t="shared" si="1"/>
        <v xml:space="preserve"> 2024 JAN-DEC D75 LICENSE BABY</v>
      </c>
      <c r="B9" s="7">
        <f t="shared" si="2"/>
        <v>46104</v>
      </c>
      <c r="C9" s="7">
        <f t="shared" si="2"/>
        <v>46113</v>
      </c>
      <c r="D9" s="6">
        <v>3284</v>
      </c>
      <c r="E9" s="6">
        <v>338</v>
      </c>
      <c r="F9" s="6">
        <v>4</v>
      </c>
      <c r="G9" s="6">
        <v>1</v>
      </c>
      <c r="H9" s="6">
        <v>81421</v>
      </c>
      <c r="I9" s="6" t="s">
        <v>17</v>
      </c>
      <c r="J9" s="6">
        <v>16621471</v>
      </c>
      <c r="K9" s="6" t="s">
        <v>591</v>
      </c>
      <c r="L9" s="17" t="s">
        <v>595</v>
      </c>
      <c r="M9" s="8">
        <v>199900</v>
      </c>
      <c r="N9" s="36">
        <f t="shared" si="3"/>
        <v>0.75</v>
      </c>
      <c r="O9" s="35">
        <f t="shared" si="0"/>
        <v>49975</v>
      </c>
      <c r="P9" s="22" t="s">
        <v>16</v>
      </c>
    </row>
    <row r="10" spans="1:16" x14ac:dyDescent="0.35">
      <c r="A10" s="14" t="str">
        <f t="shared" si="1"/>
        <v xml:space="preserve"> 2024 JAN-DEC D75 LICENSE BABY</v>
      </c>
      <c r="B10" s="7">
        <f t="shared" si="2"/>
        <v>46104</v>
      </c>
      <c r="C10" s="7">
        <f t="shared" si="2"/>
        <v>46113</v>
      </c>
      <c r="D10" s="6">
        <v>3284</v>
      </c>
      <c r="E10" s="6">
        <v>338</v>
      </c>
      <c r="F10" s="6">
        <v>4</v>
      </c>
      <c r="G10" s="6">
        <v>1</v>
      </c>
      <c r="H10" s="6">
        <v>80920</v>
      </c>
      <c r="I10" s="6" t="s">
        <v>17</v>
      </c>
      <c r="J10" s="6">
        <v>15617988</v>
      </c>
      <c r="K10" s="6" t="s">
        <v>228</v>
      </c>
      <c r="L10" s="17" t="s">
        <v>229</v>
      </c>
      <c r="M10" s="8">
        <v>129900</v>
      </c>
      <c r="N10" s="36">
        <f t="shared" si="3"/>
        <v>0.75</v>
      </c>
      <c r="O10" s="35">
        <f t="shared" si="0"/>
        <v>32475</v>
      </c>
      <c r="P10" s="22" t="s">
        <v>16</v>
      </c>
    </row>
    <row r="11" spans="1:16" x14ac:dyDescent="0.35">
      <c r="A11" s="14" t="str">
        <f t="shared" si="1"/>
        <v xml:space="preserve"> 2024 JAN-DEC D75 LICENSE BABY</v>
      </c>
      <c r="B11" s="7">
        <f t="shared" si="2"/>
        <v>46104</v>
      </c>
      <c r="C11" s="7">
        <f t="shared" si="2"/>
        <v>46113</v>
      </c>
      <c r="D11" s="6">
        <v>3284</v>
      </c>
      <c r="E11" s="6">
        <v>338</v>
      </c>
      <c r="F11" s="6">
        <v>4</v>
      </c>
      <c r="G11" s="6">
        <v>1</v>
      </c>
      <c r="H11" s="6">
        <v>80920</v>
      </c>
      <c r="I11" s="6" t="s">
        <v>17</v>
      </c>
      <c r="J11" s="6">
        <v>15617997</v>
      </c>
      <c r="K11" s="6" t="s">
        <v>228</v>
      </c>
      <c r="L11" s="17" t="s">
        <v>230</v>
      </c>
      <c r="M11" s="8">
        <v>129900</v>
      </c>
      <c r="N11" s="36">
        <f t="shared" si="3"/>
        <v>0.75</v>
      </c>
      <c r="O11" s="35">
        <f t="shared" si="0"/>
        <v>32475</v>
      </c>
      <c r="P11" s="22" t="s">
        <v>16</v>
      </c>
    </row>
    <row r="12" spans="1:16" x14ac:dyDescent="0.35">
      <c r="A12" s="14" t="str">
        <f t="shared" si="1"/>
        <v xml:space="preserve"> 2024 JAN-DEC D75 LICENSE BABY</v>
      </c>
      <c r="B12" s="7">
        <f t="shared" si="2"/>
        <v>46104</v>
      </c>
      <c r="C12" s="7">
        <f t="shared" si="2"/>
        <v>46113</v>
      </c>
      <c r="D12" s="6">
        <v>3284</v>
      </c>
      <c r="E12" s="6">
        <v>338</v>
      </c>
      <c r="F12" s="6">
        <v>4</v>
      </c>
      <c r="G12" s="6">
        <v>1</v>
      </c>
      <c r="H12" s="6">
        <v>80920</v>
      </c>
      <c r="I12" s="6" t="s">
        <v>17</v>
      </c>
      <c r="J12" s="6">
        <v>15618003</v>
      </c>
      <c r="K12" s="6" t="s">
        <v>228</v>
      </c>
      <c r="L12" s="17" t="s">
        <v>231</v>
      </c>
      <c r="M12" s="8">
        <v>129900</v>
      </c>
      <c r="N12" s="36">
        <f t="shared" si="3"/>
        <v>0.75</v>
      </c>
      <c r="O12" s="35">
        <f t="shared" si="0"/>
        <v>32475</v>
      </c>
      <c r="P12" s="22" t="s">
        <v>16</v>
      </c>
    </row>
    <row r="13" spans="1:16" x14ac:dyDescent="0.35">
      <c r="A13" s="14" t="str">
        <f t="shared" si="1"/>
        <v xml:space="preserve"> 2024 JAN-DEC D75 LICENSE BABY</v>
      </c>
      <c r="B13" s="7">
        <f t="shared" si="2"/>
        <v>46104</v>
      </c>
      <c r="C13" s="7">
        <f t="shared" si="2"/>
        <v>46113</v>
      </c>
      <c r="D13" s="6">
        <v>3284</v>
      </c>
      <c r="E13" s="6">
        <v>338</v>
      </c>
      <c r="F13" s="6">
        <v>4</v>
      </c>
      <c r="G13" s="6">
        <v>1</v>
      </c>
      <c r="H13" s="6">
        <v>80920</v>
      </c>
      <c r="I13" s="6" t="s">
        <v>17</v>
      </c>
      <c r="J13" s="6">
        <v>15618012</v>
      </c>
      <c r="K13" s="6" t="s">
        <v>228</v>
      </c>
      <c r="L13" s="17" t="s">
        <v>232</v>
      </c>
      <c r="M13" s="8">
        <v>129900</v>
      </c>
      <c r="N13" s="36">
        <f t="shared" si="3"/>
        <v>0.75</v>
      </c>
      <c r="O13" s="35">
        <f t="shared" si="0"/>
        <v>32475</v>
      </c>
      <c r="P13" s="22" t="s">
        <v>16</v>
      </c>
    </row>
    <row r="14" spans="1:16" x14ac:dyDescent="0.35">
      <c r="A14" s="14" t="str">
        <f t="shared" si="1"/>
        <v xml:space="preserve"> 2024 JAN-DEC D75 LICENSE BABY</v>
      </c>
      <c r="B14" s="7">
        <f t="shared" si="2"/>
        <v>46104</v>
      </c>
      <c r="C14" s="7">
        <f t="shared" si="2"/>
        <v>46113</v>
      </c>
      <c r="D14" s="6">
        <v>3284</v>
      </c>
      <c r="E14" s="6">
        <v>338</v>
      </c>
      <c r="F14" s="6">
        <v>4</v>
      </c>
      <c r="G14" s="6">
        <v>1</v>
      </c>
      <c r="H14" s="6">
        <v>80920</v>
      </c>
      <c r="I14" s="6" t="s">
        <v>17</v>
      </c>
      <c r="J14" s="6">
        <v>15618021</v>
      </c>
      <c r="K14" s="6" t="s">
        <v>596</v>
      </c>
      <c r="L14" s="17" t="s">
        <v>597</v>
      </c>
      <c r="M14" s="8">
        <v>99900</v>
      </c>
      <c r="N14" s="36">
        <f t="shared" si="3"/>
        <v>0.75</v>
      </c>
      <c r="O14" s="35">
        <f t="shared" si="0"/>
        <v>24975</v>
      </c>
      <c r="P14" s="22" t="s">
        <v>16</v>
      </c>
    </row>
    <row r="15" spans="1:16" x14ac:dyDescent="0.35">
      <c r="A15" s="14" t="str">
        <f t="shared" si="1"/>
        <v xml:space="preserve"> 2024 JAN-DEC D75 LICENSE BABY</v>
      </c>
      <c r="B15" s="7">
        <f t="shared" si="2"/>
        <v>46104</v>
      </c>
      <c r="C15" s="7">
        <f t="shared" si="2"/>
        <v>46113</v>
      </c>
      <c r="D15" s="6">
        <v>3284</v>
      </c>
      <c r="E15" s="6">
        <v>338</v>
      </c>
      <c r="F15" s="6">
        <v>4</v>
      </c>
      <c r="G15" s="6">
        <v>1</v>
      </c>
      <c r="H15" s="6">
        <v>80920</v>
      </c>
      <c r="I15" s="6" t="s">
        <v>17</v>
      </c>
      <c r="J15" s="6">
        <v>15618030</v>
      </c>
      <c r="K15" s="6" t="s">
        <v>596</v>
      </c>
      <c r="L15" s="17" t="s">
        <v>598</v>
      </c>
      <c r="M15" s="8">
        <v>99900</v>
      </c>
      <c r="N15" s="36">
        <f t="shared" si="3"/>
        <v>0.75</v>
      </c>
      <c r="O15" s="35">
        <f t="shared" si="0"/>
        <v>24975</v>
      </c>
      <c r="P15" s="22" t="s">
        <v>16</v>
      </c>
    </row>
    <row r="16" spans="1:16" x14ac:dyDescent="0.35">
      <c r="A16" s="14" t="str">
        <f t="shared" si="1"/>
        <v xml:space="preserve"> 2024 JAN-DEC D75 LICENSE BABY</v>
      </c>
      <c r="B16" s="7">
        <f t="shared" si="2"/>
        <v>46104</v>
      </c>
      <c r="C16" s="7">
        <f t="shared" si="2"/>
        <v>46113</v>
      </c>
      <c r="D16" s="6">
        <v>3284</v>
      </c>
      <c r="E16" s="6">
        <v>338</v>
      </c>
      <c r="F16" s="6">
        <v>4</v>
      </c>
      <c r="G16" s="6">
        <v>1</v>
      </c>
      <c r="H16" s="6">
        <v>80920</v>
      </c>
      <c r="I16" s="6" t="s">
        <v>17</v>
      </c>
      <c r="J16" s="6">
        <v>15618049</v>
      </c>
      <c r="K16" s="6" t="s">
        <v>596</v>
      </c>
      <c r="L16" s="17" t="s">
        <v>599</v>
      </c>
      <c r="M16" s="8">
        <v>99900</v>
      </c>
      <c r="N16" s="36">
        <f t="shared" si="3"/>
        <v>0.75</v>
      </c>
      <c r="O16" s="35">
        <f t="shared" si="0"/>
        <v>24975</v>
      </c>
      <c r="P16" s="22" t="s">
        <v>16</v>
      </c>
    </row>
    <row r="17" spans="1:16" x14ac:dyDescent="0.35">
      <c r="A17" s="14" t="str">
        <f t="shared" si="1"/>
        <v xml:space="preserve"> 2024 JAN-DEC D75 LICENSE BABY</v>
      </c>
      <c r="B17" s="7">
        <f t="shared" si="2"/>
        <v>46104</v>
      </c>
      <c r="C17" s="7">
        <f t="shared" si="2"/>
        <v>46113</v>
      </c>
      <c r="D17" s="6">
        <v>3284</v>
      </c>
      <c r="E17" s="6">
        <v>338</v>
      </c>
      <c r="F17" s="6">
        <v>4</v>
      </c>
      <c r="G17" s="6">
        <v>1</v>
      </c>
      <c r="H17" s="6">
        <v>80920</v>
      </c>
      <c r="I17" s="6" t="s">
        <v>17</v>
      </c>
      <c r="J17" s="6">
        <v>15618058</v>
      </c>
      <c r="K17" s="6" t="s">
        <v>596</v>
      </c>
      <c r="L17" s="17" t="s">
        <v>600</v>
      </c>
      <c r="M17" s="8">
        <v>99900</v>
      </c>
      <c r="N17" s="36">
        <f t="shared" si="3"/>
        <v>0.75</v>
      </c>
      <c r="O17" s="35">
        <f t="shared" si="0"/>
        <v>24975</v>
      </c>
      <c r="P17" s="22" t="s">
        <v>16</v>
      </c>
    </row>
    <row r="18" spans="1:16" x14ac:dyDescent="0.35">
      <c r="A18" s="14" t="str">
        <f t="shared" si="1"/>
        <v xml:space="preserve"> 2024 JAN-DEC D75 LICENSE BABY</v>
      </c>
      <c r="B18" s="7">
        <f t="shared" si="2"/>
        <v>46104</v>
      </c>
      <c r="C18" s="7">
        <f t="shared" si="2"/>
        <v>46113</v>
      </c>
      <c r="D18" s="6">
        <v>3284</v>
      </c>
      <c r="E18" s="6">
        <v>338</v>
      </c>
      <c r="F18" s="6">
        <v>4</v>
      </c>
      <c r="G18" s="6">
        <v>1</v>
      </c>
      <c r="H18" s="6">
        <v>81676</v>
      </c>
      <c r="I18" s="6" t="s">
        <v>17</v>
      </c>
      <c r="J18" s="6">
        <v>15743369</v>
      </c>
      <c r="K18" s="6" t="s">
        <v>233</v>
      </c>
      <c r="L18" s="17" t="s">
        <v>234</v>
      </c>
      <c r="M18" s="8">
        <v>99900</v>
      </c>
      <c r="N18" s="36">
        <f t="shared" si="3"/>
        <v>0.75</v>
      </c>
      <c r="O18" s="35">
        <f t="shared" si="0"/>
        <v>24975</v>
      </c>
      <c r="P18" s="22" t="s">
        <v>16</v>
      </c>
    </row>
    <row r="19" spans="1:16" x14ac:dyDescent="0.35">
      <c r="A19" s="14" t="str">
        <f t="shared" si="1"/>
        <v xml:space="preserve"> 2024 JAN-DEC D75 LICENSE BABY</v>
      </c>
      <c r="B19" s="7">
        <f t="shared" si="2"/>
        <v>46104</v>
      </c>
      <c r="C19" s="7">
        <f t="shared" si="2"/>
        <v>46113</v>
      </c>
      <c r="D19" s="6">
        <v>3284</v>
      </c>
      <c r="E19" s="6">
        <v>338</v>
      </c>
      <c r="F19" s="6">
        <v>4</v>
      </c>
      <c r="G19" s="6">
        <v>1</v>
      </c>
      <c r="H19" s="6">
        <v>81676</v>
      </c>
      <c r="I19" s="6" t="s">
        <v>17</v>
      </c>
      <c r="J19" s="6">
        <v>15743378</v>
      </c>
      <c r="K19" s="6" t="s">
        <v>233</v>
      </c>
      <c r="L19" s="17" t="s">
        <v>601</v>
      </c>
      <c r="M19" s="8">
        <v>99900</v>
      </c>
      <c r="N19" s="36">
        <f t="shared" si="3"/>
        <v>0.75</v>
      </c>
      <c r="O19" s="35">
        <f t="shared" si="0"/>
        <v>24975</v>
      </c>
      <c r="P19" s="22" t="s">
        <v>16</v>
      </c>
    </row>
    <row r="20" spans="1:16" x14ac:dyDescent="0.35">
      <c r="A20" s="14" t="str">
        <f t="shared" si="1"/>
        <v xml:space="preserve"> 2024 JAN-DEC D75 LICENSE BABY</v>
      </c>
      <c r="B20" s="7">
        <f t="shared" ref="B20:C29" si="4">B19</f>
        <v>46104</v>
      </c>
      <c r="C20" s="7">
        <f t="shared" si="4"/>
        <v>46113</v>
      </c>
      <c r="D20" s="6">
        <v>3284</v>
      </c>
      <c r="E20" s="6">
        <v>338</v>
      </c>
      <c r="F20" s="6">
        <v>4</v>
      </c>
      <c r="G20" s="6">
        <v>1</v>
      </c>
      <c r="H20" s="6">
        <v>81676</v>
      </c>
      <c r="I20" s="6" t="s">
        <v>17</v>
      </c>
      <c r="J20" s="6">
        <v>15743387</v>
      </c>
      <c r="K20" s="6" t="s">
        <v>233</v>
      </c>
      <c r="L20" s="17" t="s">
        <v>235</v>
      </c>
      <c r="M20" s="8">
        <v>99900</v>
      </c>
      <c r="N20" s="36">
        <f t="shared" si="3"/>
        <v>0.75</v>
      </c>
      <c r="O20" s="35">
        <f t="shared" si="0"/>
        <v>24975</v>
      </c>
      <c r="P20" s="22" t="s">
        <v>16</v>
      </c>
    </row>
    <row r="21" spans="1:16" x14ac:dyDescent="0.35">
      <c r="A21" s="14" t="str">
        <f t="shared" si="1"/>
        <v xml:space="preserve"> 2024 JAN-DEC D75 LICENSE BABY</v>
      </c>
      <c r="B21" s="7">
        <f t="shared" si="4"/>
        <v>46104</v>
      </c>
      <c r="C21" s="7">
        <f t="shared" si="4"/>
        <v>46113</v>
      </c>
      <c r="D21" s="6">
        <v>3284</v>
      </c>
      <c r="E21" s="6">
        <v>338</v>
      </c>
      <c r="F21" s="6">
        <v>4</v>
      </c>
      <c r="G21" s="6">
        <v>1</v>
      </c>
      <c r="H21" s="6">
        <v>81676</v>
      </c>
      <c r="I21" s="6" t="s">
        <v>17</v>
      </c>
      <c r="J21" s="6">
        <v>15743396</v>
      </c>
      <c r="K21" s="6" t="s">
        <v>233</v>
      </c>
      <c r="L21" s="17" t="s">
        <v>236</v>
      </c>
      <c r="M21" s="8">
        <v>99900</v>
      </c>
      <c r="N21" s="36">
        <f t="shared" si="3"/>
        <v>0.75</v>
      </c>
      <c r="O21" s="35">
        <f t="shared" si="0"/>
        <v>24975</v>
      </c>
      <c r="P21" s="22" t="s">
        <v>16</v>
      </c>
    </row>
    <row r="22" spans="1:16" x14ac:dyDescent="0.35">
      <c r="A22" s="14" t="str">
        <f t="shared" si="1"/>
        <v xml:space="preserve"> 2024 JAN-DEC D75 LICENSE BABY</v>
      </c>
      <c r="B22" s="7">
        <f t="shared" si="4"/>
        <v>46104</v>
      </c>
      <c r="C22" s="7">
        <f t="shared" si="4"/>
        <v>46113</v>
      </c>
      <c r="D22" s="6">
        <v>3284</v>
      </c>
      <c r="E22" s="6">
        <v>338</v>
      </c>
      <c r="F22" s="6">
        <v>4</v>
      </c>
      <c r="G22" s="6">
        <v>2</v>
      </c>
      <c r="H22" s="6">
        <v>81574</v>
      </c>
      <c r="I22" s="6" t="s">
        <v>17</v>
      </c>
      <c r="J22" s="6">
        <v>16621480</v>
      </c>
      <c r="K22" s="6" t="s">
        <v>18</v>
      </c>
      <c r="L22" s="17" t="s">
        <v>602</v>
      </c>
      <c r="M22" s="8">
        <v>229900</v>
      </c>
      <c r="N22" s="36">
        <f t="shared" si="3"/>
        <v>0.75</v>
      </c>
      <c r="O22" s="35">
        <f t="shared" si="0"/>
        <v>57475</v>
      </c>
      <c r="P22" s="22" t="s">
        <v>16</v>
      </c>
    </row>
    <row r="23" spans="1:16" x14ac:dyDescent="0.35">
      <c r="A23" s="14" t="str">
        <f t="shared" si="1"/>
        <v xml:space="preserve"> 2024 JAN-DEC D75 LICENSE BABY</v>
      </c>
      <c r="B23" s="7">
        <f t="shared" si="4"/>
        <v>46104</v>
      </c>
      <c r="C23" s="7">
        <f t="shared" si="4"/>
        <v>46113</v>
      </c>
      <c r="D23" s="6">
        <v>3284</v>
      </c>
      <c r="E23" s="6">
        <v>338</v>
      </c>
      <c r="F23" s="6">
        <v>4</v>
      </c>
      <c r="G23" s="6">
        <v>2</v>
      </c>
      <c r="H23" s="6">
        <v>81574</v>
      </c>
      <c r="I23" s="6" t="s">
        <v>17</v>
      </c>
      <c r="J23" s="6">
        <v>16621499</v>
      </c>
      <c r="K23" s="6" t="s">
        <v>18</v>
      </c>
      <c r="L23" s="17" t="s">
        <v>603</v>
      </c>
      <c r="M23" s="8">
        <v>229900</v>
      </c>
      <c r="N23" s="36">
        <f t="shared" si="3"/>
        <v>0.75</v>
      </c>
      <c r="O23" s="35">
        <f t="shared" si="0"/>
        <v>57475</v>
      </c>
      <c r="P23" s="22" t="s">
        <v>16</v>
      </c>
    </row>
    <row r="24" spans="1:16" x14ac:dyDescent="0.35">
      <c r="A24" s="14" t="str">
        <f t="shared" si="1"/>
        <v xml:space="preserve"> 2024 JAN-DEC D75 LICENSE BABY</v>
      </c>
      <c r="B24" s="7">
        <f t="shared" si="4"/>
        <v>46104</v>
      </c>
      <c r="C24" s="7">
        <f t="shared" si="4"/>
        <v>46113</v>
      </c>
      <c r="D24" s="6">
        <v>3284</v>
      </c>
      <c r="E24" s="6">
        <v>338</v>
      </c>
      <c r="F24" s="6">
        <v>4</v>
      </c>
      <c r="G24" s="6">
        <v>2</v>
      </c>
      <c r="H24" s="6">
        <v>81574</v>
      </c>
      <c r="I24" s="6" t="s">
        <v>17</v>
      </c>
      <c r="J24" s="6">
        <v>16621506</v>
      </c>
      <c r="K24" s="6" t="s">
        <v>18</v>
      </c>
      <c r="L24" s="17" t="s">
        <v>604</v>
      </c>
      <c r="M24" s="8">
        <v>229900</v>
      </c>
      <c r="N24" s="36">
        <f t="shared" si="3"/>
        <v>0.75</v>
      </c>
      <c r="O24" s="35">
        <f t="shared" si="0"/>
        <v>57475</v>
      </c>
      <c r="P24" s="22" t="s">
        <v>16</v>
      </c>
    </row>
    <row r="25" spans="1:16" x14ac:dyDescent="0.35">
      <c r="A25" s="14" t="str">
        <f t="shared" si="1"/>
        <v xml:space="preserve"> 2024 JAN-DEC D75 LICENSE BABY</v>
      </c>
      <c r="B25" s="7">
        <f t="shared" si="4"/>
        <v>46104</v>
      </c>
      <c r="C25" s="7">
        <f t="shared" si="4"/>
        <v>46113</v>
      </c>
      <c r="D25" s="6">
        <v>3284</v>
      </c>
      <c r="E25" s="6">
        <v>338</v>
      </c>
      <c r="F25" s="6">
        <v>4</v>
      </c>
      <c r="G25" s="6">
        <v>2</v>
      </c>
      <c r="H25" s="6">
        <v>81574</v>
      </c>
      <c r="I25" s="6" t="s">
        <v>17</v>
      </c>
      <c r="J25" s="6">
        <v>16621515</v>
      </c>
      <c r="K25" s="6" t="s">
        <v>18</v>
      </c>
      <c r="L25" s="17" t="s">
        <v>605</v>
      </c>
      <c r="M25" s="8">
        <v>229900</v>
      </c>
      <c r="N25" s="36">
        <f t="shared" si="3"/>
        <v>0.75</v>
      </c>
      <c r="O25" s="35">
        <f t="shared" si="0"/>
        <v>57475</v>
      </c>
      <c r="P25" s="22" t="s">
        <v>16</v>
      </c>
    </row>
    <row r="26" spans="1:16" x14ac:dyDescent="0.35">
      <c r="A26" s="14" t="str">
        <f t="shared" si="1"/>
        <v xml:space="preserve"> 2024 JAN-DEC D75 LICENSE BABY</v>
      </c>
      <c r="B26" s="7">
        <f t="shared" si="4"/>
        <v>46104</v>
      </c>
      <c r="C26" s="7">
        <f t="shared" si="4"/>
        <v>46113</v>
      </c>
      <c r="D26" s="6">
        <v>3284</v>
      </c>
      <c r="E26" s="6">
        <v>338</v>
      </c>
      <c r="F26" s="6">
        <v>4</v>
      </c>
      <c r="G26" s="6">
        <v>3</v>
      </c>
      <c r="H26" s="6">
        <v>81146</v>
      </c>
      <c r="I26" s="6" t="s">
        <v>17</v>
      </c>
      <c r="J26" s="6">
        <v>16621686</v>
      </c>
      <c r="K26" s="6" t="s">
        <v>606</v>
      </c>
      <c r="L26" s="17" t="s">
        <v>607</v>
      </c>
      <c r="M26" s="8">
        <v>179900</v>
      </c>
      <c r="N26" s="36">
        <f t="shared" si="3"/>
        <v>0.75</v>
      </c>
      <c r="O26" s="35">
        <f t="shared" si="0"/>
        <v>44975</v>
      </c>
      <c r="P26" s="22" t="s">
        <v>16</v>
      </c>
    </row>
    <row r="27" spans="1:16" x14ac:dyDescent="0.35">
      <c r="A27" s="14" t="str">
        <f t="shared" si="1"/>
        <v xml:space="preserve"> 2024 JAN-DEC D75 LICENSE BABY</v>
      </c>
      <c r="B27" s="7">
        <f t="shared" si="4"/>
        <v>46104</v>
      </c>
      <c r="C27" s="7">
        <f t="shared" si="4"/>
        <v>46113</v>
      </c>
      <c r="D27" s="6">
        <v>3284</v>
      </c>
      <c r="E27" s="6">
        <v>338</v>
      </c>
      <c r="F27" s="6">
        <v>4</v>
      </c>
      <c r="G27" s="6">
        <v>3</v>
      </c>
      <c r="H27" s="6">
        <v>81146</v>
      </c>
      <c r="I27" s="6" t="s">
        <v>17</v>
      </c>
      <c r="J27" s="6">
        <v>16621695</v>
      </c>
      <c r="K27" s="6" t="s">
        <v>606</v>
      </c>
      <c r="L27" s="17" t="s">
        <v>608</v>
      </c>
      <c r="M27" s="8">
        <v>179900</v>
      </c>
      <c r="N27" s="36">
        <f t="shared" si="3"/>
        <v>0.75</v>
      </c>
      <c r="O27" s="35">
        <f t="shared" si="0"/>
        <v>44975</v>
      </c>
      <c r="P27" s="22" t="s">
        <v>16</v>
      </c>
    </row>
    <row r="28" spans="1:16" x14ac:dyDescent="0.35">
      <c r="A28" s="14" t="str">
        <f t="shared" si="1"/>
        <v xml:space="preserve"> 2024 JAN-DEC D75 LICENSE BABY</v>
      </c>
      <c r="B28" s="7">
        <f t="shared" si="4"/>
        <v>46104</v>
      </c>
      <c r="C28" s="7">
        <f t="shared" si="4"/>
        <v>46113</v>
      </c>
      <c r="D28" s="6">
        <v>3284</v>
      </c>
      <c r="E28" s="6">
        <v>338</v>
      </c>
      <c r="F28" s="6">
        <v>4</v>
      </c>
      <c r="G28" s="6">
        <v>3</v>
      </c>
      <c r="H28" s="6">
        <v>81146</v>
      </c>
      <c r="I28" s="6" t="s">
        <v>17</v>
      </c>
      <c r="J28" s="6">
        <v>16621702</v>
      </c>
      <c r="K28" s="6" t="s">
        <v>606</v>
      </c>
      <c r="L28" s="17" t="s">
        <v>609</v>
      </c>
      <c r="M28" s="8">
        <v>179900</v>
      </c>
      <c r="N28" s="36">
        <f t="shared" si="3"/>
        <v>0.75</v>
      </c>
      <c r="O28" s="35">
        <f t="shared" si="0"/>
        <v>44975</v>
      </c>
      <c r="P28" s="22" t="s">
        <v>16</v>
      </c>
    </row>
    <row r="29" spans="1:16" x14ac:dyDescent="0.35">
      <c r="A29" s="14" t="str">
        <f t="shared" si="1"/>
        <v xml:space="preserve"> 2024 JAN-DEC D75 LICENSE BABY</v>
      </c>
      <c r="B29" s="7">
        <f t="shared" si="4"/>
        <v>46104</v>
      </c>
      <c r="C29" s="7">
        <f t="shared" si="4"/>
        <v>46113</v>
      </c>
      <c r="D29" s="6">
        <v>3284</v>
      </c>
      <c r="E29" s="6">
        <v>338</v>
      </c>
      <c r="F29" s="6">
        <v>4</v>
      </c>
      <c r="G29" s="6">
        <v>3</v>
      </c>
      <c r="H29" s="6">
        <v>81146</v>
      </c>
      <c r="I29" s="6" t="s">
        <v>17</v>
      </c>
      <c r="J29" s="6">
        <v>16621711</v>
      </c>
      <c r="K29" s="6" t="s">
        <v>606</v>
      </c>
      <c r="L29" s="17" t="s">
        <v>610</v>
      </c>
      <c r="M29" s="8">
        <v>179900</v>
      </c>
      <c r="N29" s="36">
        <f t="shared" si="3"/>
        <v>0.75</v>
      </c>
      <c r="O29" s="35">
        <f t="shared" si="0"/>
        <v>44975</v>
      </c>
      <c r="P29" s="22" t="s">
        <v>16</v>
      </c>
    </row>
    <row r="30" spans="1:16" x14ac:dyDescent="0.35">
      <c r="A30" s="14" t="str">
        <f t="shared" si="1"/>
        <v xml:space="preserve"> 2024 JAN-DEC D75 LICENSE BABY</v>
      </c>
      <c r="B30" s="7">
        <f t="shared" ref="B30:B61" si="5">B29</f>
        <v>46104</v>
      </c>
      <c r="C30" s="7">
        <f t="shared" ref="C30:C61" si="6">C29</f>
        <v>46113</v>
      </c>
      <c r="D30" s="6">
        <v>3284</v>
      </c>
      <c r="E30" s="6">
        <v>338</v>
      </c>
      <c r="F30" s="6">
        <v>4</v>
      </c>
      <c r="G30" s="6">
        <v>3</v>
      </c>
      <c r="H30" s="6">
        <v>81421</v>
      </c>
      <c r="I30" s="6" t="s">
        <v>17</v>
      </c>
      <c r="J30" s="6">
        <v>15617675</v>
      </c>
      <c r="K30" s="6" t="s">
        <v>237</v>
      </c>
      <c r="L30" s="17" t="s">
        <v>238</v>
      </c>
      <c r="M30" s="8">
        <v>179900</v>
      </c>
      <c r="N30" s="36">
        <f t="shared" si="3"/>
        <v>0.75</v>
      </c>
      <c r="O30" s="35">
        <f t="shared" si="0"/>
        <v>44975</v>
      </c>
      <c r="P30" s="22" t="s">
        <v>16</v>
      </c>
    </row>
    <row r="31" spans="1:16" x14ac:dyDescent="0.35">
      <c r="A31" s="14" t="str">
        <f t="shared" si="1"/>
        <v xml:space="preserve"> 2024 JAN-DEC D75 LICENSE BABY</v>
      </c>
      <c r="B31" s="7">
        <f t="shared" si="5"/>
        <v>46104</v>
      </c>
      <c r="C31" s="7">
        <f t="shared" si="6"/>
        <v>46113</v>
      </c>
      <c r="D31" s="6">
        <v>3284</v>
      </c>
      <c r="E31" s="6">
        <v>338</v>
      </c>
      <c r="F31" s="6">
        <v>4</v>
      </c>
      <c r="G31" s="6">
        <v>3</v>
      </c>
      <c r="H31" s="6">
        <v>81421</v>
      </c>
      <c r="I31" s="6" t="s">
        <v>17</v>
      </c>
      <c r="J31" s="6">
        <v>15617684</v>
      </c>
      <c r="K31" s="6" t="s">
        <v>237</v>
      </c>
      <c r="L31" s="17" t="s">
        <v>611</v>
      </c>
      <c r="M31" s="8">
        <v>179900</v>
      </c>
      <c r="N31" s="36">
        <f t="shared" si="3"/>
        <v>0.75</v>
      </c>
      <c r="O31" s="35">
        <f t="shared" si="0"/>
        <v>44975</v>
      </c>
      <c r="P31" s="22" t="s">
        <v>16</v>
      </c>
    </row>
    <row r="32" spans="1:16" x14ac:dyDescent="0.35">
      <c r="A32" s="14" t="str">
        <f t="shared" si="1"/>
        <v xml:space="preserve"> 2024 JAN-DEC D75 LICENSE BABY</v>
      </c>
      <c r="B32" s="7">
        <f t="shared" si="5"/>
        <v>46104</v>
      </c>
      <c r="C32" s="7">
        <f t="shared" si="6"/>
        <v>46113</v>
      </c>
      <c r="D32" s="6">
        <v>3284</v>
      </c>
      <c r="E32" s="6">
        <v>338</v>
      </c>
      <c r="F32" s="6">
        <v>4</v>
      </c>
      <c r="G32" s="6">
        <v>3</v>
      </c>
      <c r="H32" s="6">
        <v>81421</v>
      </c>
      <c r="I32" s="6" t="s">
        <v>17</v>
      </c>
      <c r="J32" s="6">
        <v>15617693</v>
      </c>
      <c r="K32" s="6" t="s">
        <v>237</v>
      </c>
      <c r="L32" s="17" t="s">
        <v>239</v>
      </c>
      <c r="M32" s="8">
        <v>179900</v>
      </c>
      <c r="N32" s="36">
        <f t="shared" si="3"/>
        <v>0.75</v>
      </c>
      <c r="O32" s="35">
        <f t="shared" si="0"/>
        <v>44975</v>
      </c>
      <c r="P32" s="22" t="s">
        <v>16</v>
      </c>
    </row>
    <row r="33" spans="1:16" x14ac:dyDescent="0.35">
      <c r="A33" s="14" t="str">
        <f t="shared" si="1"/>
        <v xml:space="preserve"> 2024 JAN-DEC D75 LICENSE BABY</v>
      </c>
      <c r="B33" s="7">
        <f t="shared" si="5"/>
        <v>46104</v>
      </c>
      <c r="C33" s="7">
        <f t="shared" si="6"/>
        <v>46113</v>
      </c>
      <c r="D33" s="6">
        <v>3284</v>
      </c>
      <c r="E33" s="6">
        <v>338</v>
      </c>
      <c r="F33" s="6">
        <v>4</v>
      </c>
      <c r="G33" s="6">
        <v>3</v>
      </c>
      <c r="H33" s="6">
        <v>81421</v>
      </c>
      <c r="I33" s="6" t="s">
        <v>17</v>
      </c>
      <c r="J33" s="6">
        <v>15743332</v>
      </c>
      <c r="K33" s="6" t="s">
        <v>237</v>
      </c>
      <c r="L33" s="17" t="s">
        <v>240</v>
      </c>
      <c r="M33" s="8">
        <v>179900</v>
      </c>
      <c r="N33" s="36">
        <f t="shared" si="3"/>
        <v>0.75</v>
      </c>
      <c r="O33" s="35">
        <f t="shared" si="0"/>
        <v>44975</v>
      </c>
      <c r="P33" s="22" t="s">
        <v>16</v>
      </c>
    </row>
    <row r="34" spans="1:16" x14ac:dyDescent="0.35">
      <c r="A34" s="14" t="str">
        <f t="shared" si="1"/>
        <v xml:space="preserve"> 2024 JAN-DEC D75 LICENSE BABY</v>
      </c>
      <c r="B34" s="7">
        <f t="shared" si="5"/>
        <v>46104</v>
      </c>
      <c r="C34" s="7">
        <f t="shared" si="6"/>
        <v>46113</v>
      </c>
      <c r="D34" s="6">
        <v>3284</v>
      </c>
      <c r="E34" s="6">
        <v>338</v>
      </c>
      <c r="F34" s="6">
        <v>4</v>
      </c>
      <c r="G34" s="6">
        <v>3</v>
      </c>
      <c r="H34" s="6">
        <v>81421</v>
      </c>
      <c r="I34" s="6" t="s">
        <v>17</v>
      </c>
      <c r="J34" s="6">
        <v>16859635</v>
      </c>
      <c r="K34" s="6" t="s">
        <v>612</v>
      </c>
      <c r="L34" s="17" t="s">
        <v>613</v>
      </c>
      <c r="M34" s="8">
        <v>179900</v>
      </c>
      <c r="N34" s="36">
        <f t="shared" si="3"/>
        <v>0.75</v>
      </c>
      <c r="O34" s="35">
        <f t="shared" si="0"/>
        <v>44975</v>
      </c>
      <c r="P34" s="22" t="s">
        <v>16</v>
      </c>
    </row>
    <row r="35" spans="1:16" x14ac:dyDescent="0.35">
      <c r="A35" s="14" t="str">
        <f t="shared" si="1"/>
        <v xml:space="preserve"> 2024 JAN-DEC D75 LICENSE BABY</v>
      </c>
      <c r="B35" s="7">
        <f t="shared" si="5"/>
        <v>46104</v>
      </c>
      <c r="C35" s="7">
        <f t="shared" si="6"/>
        <v>46113</v>
      </c>
      <c r="D35" s="6">
        <v>3284</v>
      </c>
      <c r="E35" s="6">
        <v>338</v>
      </c>
      <c r="F35" s="6">
        <v>4</v>
      </c>
      <c r="G35" s="6">
        <v>3</v>
      </c>
      <c r="H35" s="6">
        <v>81421</v>
      </c>
      <c r="I35" s="6" t="s">
        <v>17</v>
      </c>
      <c r="J35" s="6">
        <v>16859644</v>
      </c>
      <c r="K35" s="6" t="s">
        <v>612</v>
      </c>
      <c r="L35" s="17" t="s">
        <v>614</v>
      </c>
      <c r="M35" s="8">
        <v>179900</v>
      </c>
      <c r="N35" s="36">
        <f t="shared" si="3"/>
        <v>0.75</v>
      </c>
      <c r="O35" s="35">
        <f t="shared" si="0"/>
        <v>44975</v>
      </c>
      <c r="P35" s="22" t="s">
        <v>16</v>
      </c>
    </row>
    <row r="36" spans="1:16" x14ac:dyDescent="0.35">
      <c r="A36" s="14" t="str">
        <f t="shared" si="1"/>
        <v xml:space="preserve"> 2024 JAN-DEC D75 LICENSE BABY</v>
      </c>
      <c r="B36" s="7">
        <f t="shared" si="5"/>
        <v>46104</v>
      </c>
      <c r="C36" s="7">
        <f t="shared" si="6"/>
        <v>46113</v>
      </c>
      <c r="D36" s="6">
        <v>3284</v>
      </c>
      <c r="E36" s="6">
        <v>338</v>
      </c>
      <c r="F36" s="6">
        <v>4</v>
      </c>
      <c r="G36" s="6">
        <v>3</v>
      </c>
      <c r="H36" s="6">
        <v>81421</v>
      </c>
      <c r="I36" s="6" t="s">
        <v>17</v>
      </c>
      <c r="J36" s="6">
        <v>16859653</v>
      </c>
      <c r="K36" s="6" t="s">
        <v>612</v>
      </c>
      <c r="L36" s="17" t="s">
        <v>615</v>
      </c>
      <c r="M36" s="8">
        <v>179900</v>
      </c>
      <c r="N36" s="36">
        <f t="shared" si="3"/>
        <v>0.75</v>
      </c>
      <c r="O36" s="35">
        <f t="shared" si="0"/>
        <v>44975</v>
      </c>
      <c r="P36" s="22" t="s">
        <v>16</v>
      </c>
    </row>
    <row r="37" spans="1:16" x14ac:dyDescent="0.35">
      <c r="A37" s="14" t="str">
        <f t="shared" si="1"/>
        <v xml:space="preserve"> 2024 JAN-DEC D75 LICENSE BABY</v>
      </c>
      <c r="B37" s="7">
        <f t="shared" si="5"/>
        <v>46104</v>
      </c>
      <c r="C37" s="7">
        <f t="shared" si="6"/>
        <v>46113</v>
      </c>
      <c r="D37" s="6">
        <v>3284</v>
      </c>
      <c r="E37" s="6">
        <v>338</v>
      </c>
      <c r="F37" s="6">
        <v>4</v>
      </c>
      <c r="G37" s="6">
        <v>3</v>
      </c>
      <c r="H37" s="6">
        <v>81421</v>
      </c>
      <c r="I37" s="6" t="s">
        <v>17</v>
      </c>
      <c r="J37" s="6">
        <v>16859662</v>
      </c>
      <c r="K37" s="6" t="s">
        <v>612</v>
      </c>
      <c r="L37" s="17" t="s">
        <v>616</v>
      </c>
      <c r="M37" s="8">
        <v>179900</v>
      </c>
      <c r="N37" s="36">
        <f t="shared" si="3"/>
        <v>0.75</v>
      </c>
      <c r="O37" s="35">
        <f t="shared" si="0"/>
        <v>44975</v>
      </c>
      <c r="P37" s="22" t="s">
        <v>16</v>
      </c>
    </row>
    <row r="38" spans="1:16" x14ac:dyDescent="0.35">
      <c r="A38" s="14" t="str">
        <f t="shared" si="1"/>
        <v xml:space="preserve"> 2024 JAN-DEC D75 LICENSE BABY</v>
      </c>
      <c r="B38" s="7">
        <f t="shared" si="5"/>
        <v>46104</v>
      </c>
      <c r="C38" s="7">
        <f t="shared" si="6"/>
        <v>46113</v>
      </c>
      <c r="D38" s="6">
        <v>3284</v>
      </c>
      <c r="E38" s="6">
        <v>338</v>
      </c>
      <c r="F38" s="6">
        <v>4</v>
      </c>
      <c r="G38" s="6">
        <v>3</v>
      </c>
      <c r="H38" s="6">
        <v>81421</v>
      </c>
      <c r="I38" s="6" t="s">
        <v>17</v>
      </c>
      <c r="J38" s="6">
        <v>18757278</v>
      </c>
      <c r="K38" s="6" t="s">
        <v>944</v>
      </c>
      <c r="L38" s="17" t="s">
        <v>945</v>
      </c>
      <c r="M38" s="8">
        <v>179900</v>
      </c>
      <c r="N38" s="36">
        <f t="shared" si="3"/>
        <v>0.75</v>
      </c>
      <c r="O38" s="35">
        <f t="shared" si="0"/>
        <v>44975</v>
      </c>
      <c r="P38" s="22" t="s">
        <v>16</v>
      </c>
    </row>
    <row r="39" spans="1:16" x14ac:dyDescent="0.35">
      <c r="A39" s="14" t="str">
        <f t="shared" si="1"/>
        <v xml:space="preserve"> 2024 JAN-DEC D75 LICENSE BABY</v>
      </c>
      <c r="B39" s="7">
        <f t="shared" si="5"/>
        <v>46104</v>
      </c>
      <c r="C39" s="7">
        <f t="shared" si="6"/>
        <v>46113</v>
      </c>
      <c r="D39" s="6">
        <v>3284</v>
      </c>
      <c r="E39" s="6">
        <v>338</v>
      </c>
      <c r="F39" s="6">
        <v>4</v>
      </c>
      <c r="G39" s="6">
        <v>3</v>
      </c>
      <c r="H39" s="6">
        <v>81421</v>
      </c>
      <c r="I39" s="6" t="s">
        <v>17</v>
      </c>
      <c r="J39" s="6">
        <v>18757296</v>
      </c>
      <c r="K39" s="6" t="s">
        <v>944</v>
      </c>
      <c r="L39" s="17" t="s">
        <v>946</v>
      </c>
      <c r="M39" s="8">
        <v>179900</v>
      </c>
      <c r="N39" s="36">
        <f t="shared" si="3"/>
        <v>0.75</v>
      </c>
      <c r="O39" s="35">
        <f t="shared" si="0"/>
        <v>44975</v>
      </c>
      <c r="P39" s="22" t="s">
        <v>16</v>
      </c>
    </row>
    <row r="40" spans="1:16" x14ac:dyDescent="0.35">
      <c r="A40" s="14" t="str">
        <f t="shared" si="1"/>
        <v xml:space="preserve"> 2024 JAN-DEC D75 LICENSE BABY</v>
      </c>
      <c r="B40" s="7">
        <f t="shared" si="5"/>
        <v>46104</v>
      </c>
      <c r="C40" s="7">
        <f t="shared" si="6"/>
        <v>46113</v>
      </c>
      <c r="D40" s="6">
        <v>3284</v>
      </c>
      <c r="E40" s="6">
        <v>338</v>
      </c>
      <c r="F40" s="6">
        <v>4</v>
      </c>
      <c r="G40" s="6">
        <v>3</v>
      </c>
      <c r="H40" s="6">
        <v>81421</v>
      </c>
      <c r="I40" s="6" t="s">
        <v>17</v>
      </c>
      <c r="J40" s="6">
        <v>18757303</v>
      </c>
      <c r="K40" s="6" t="s">
        <v>944</v>
      </c>
      <c r="L40" s="17" t="s">
        <v>947</v>
      </c>
      <c r="M40" s="8">
        <v>179900</v>
      </c>
      <c r="N40" s="36">
        <f t="shared" si="3"/>
        <v>0.75</v>
      </c>
      <c r="O40" s="35">
        <f t="shared" si="0"/>
        <v>44975</v>
      </c>
      <c r="P40" s="22" t="s">
        <v>16</v>
      </c>
    </row>
    <row r="41" spans="1:16" x14ac:dyDescent="0.35">
      <c r="A41" s="14" t="str">
        <f t="shared" si="1"/>
        <v xml:space="preserve"> 2024 JAN-DEC D75 LICENSE BABY</v>
      </c>
      <c r="B41" s="7">
        <f t="shared" si="5"/>
        <v>46104</v>
      </c>
      <c r="C41" s="7">
        <f t="shared" si="6"/>
        <v>46113</v>
      </c>
      <c r="D41" s="6">
        <v>3284</v>
      </c>
      <c r="E41" s="6">
        <v>338</v>
      </c>
      <c r="F41" s="6">
        <v>4</v>
      </c>
      <c r="G41" s="6">
        <v>3</v>
      </c>
      <c r="H41" s="6">
        <v>81421</v>
      </c>
      <c r="I41" s="6" t="s">
        <v>17</v>
      </c>
      <c r="J41" s="6">
        <v>18757312</v>
      </c>
      <c r="K41" s="6" t="s">
        <v>944</v>
      </c>
      <c r="L41" s="17" t="s">
        <v>948</v>
      </c>
      <c r="M41" s="8">
        <v>179900</v>
      </c>
      <c r="N41" s="36">
        <f t="shared" si="3"/>
        <v>0.75</v>
      </c>
      <c r="O41" s="35">
        <f t="shared" si="0"/>
        <v>44975</v>
      </c>
      <c r="P41" s="22" t="s">
        <v>16</v>
      </c>
    </row>
    <row r="42" spans="1:16" x14ac:dyDescent="0.35">
      <c r="A42" s="14" t="str">
        <f t="shared" si="1"/>
        <v xml:space="preserve"> 2024 JAN-DEC D75 LICENSE BABY</v>
      </c>
      <c r="B42" s="7">
        <f t="shared" si="5"/>
        <v>46104</v>
      </c>
      <c r="C42" s="7">
        <f t="shared" si="6"/>
        <v>46113</v>
      </c>
      <c r="D42" s="6">
        <v>3284</v>
      </c>
      <c r="E42" s="6">
        <v>338</v>
      </c>
      <c r="F42" s="6">
        <v>4</v>
      </c>
      <c r="G42" s="6">
        <v>3</v>
      </c>
      <c r="H42" s="6">
        <v>80920</v>
      </c>
      <c r="I42" s="6" t="s">
        <v>17</v>
      </c>
      <c r="J42" s="6">
        <v>15617906</v>
      </c>
      <c r="K42" s="6" t="s">
        <v>241</v>
      </c>
      <c r="L42" s="17" t="s">
        <v>242</v>
      </c>
      <c r="M42" s="8">
        <v>179900</v>
      </c>
      <c r="N42" s="36">
        <f t="shared" si="3"/>
        <v>0.75</v>
      </c>
      <c r="O42" s="35">
        <f t="shared" si="0"/>
        <v>44975</v>
      </c>
      <c r="P42" s="22" t="s">
        <v>16</v>
      </c>
    </row>
    <row r="43" spans="1:16" x14ac:dyDescent="0.35">
      <c r="A43" s="14" t="str">
        <f t="shared" si="1"/>
        <v xml:space="preserve"> 2024 JAN-DEC D75 LICENSE BABY</v>
      </c>
      <c r="B43" s="7">
        <f t="shared" si="5"/>
        <v>46104</v>
      </c>
      <c r="C43" s="7">
        <f t="shared" si="6"/>
        <v>46113</v>
      </c>
      <c r="D43" s="6">
        <v>3284</v>
      </c>
      <c r="E43" s="6">
        <v>338</v>
      </c>
      <c r="F43" s="6">
        <v>4</v>
      </c>
      <c r="G43" s="6">
        <v>3</v>
      </c>
      <c r="H43" s="6">
        <v>80920</v>
      </c>
      <c r="I43" s="6" t="s">
        <v>17</v>
      </c>
      <c r="J43" s="6">
        <v>15617915</v>
      </c>
      <c r="K43" s="6" t="s">
        <v>241</v>
      </c>
      <c r="L43" s="17" t="s">
        <v>243</v>
      </c>
      <c r="M43" s="8">
        <v>179900</v>
      </c>
      <c r="N43" s="36">
        <f t="shared" si="3"/>
        <v>0.75</v>
      </c>
      <c r="O43" s="35">
        <f t="shared" si="0"/>
        <v>44975</v>
      </c>
      <c r="P43" s="22" t="s">
        <v>16</v>
      </c>
    </row>
    <row r="44" spans="1:16" x14ac:dyDescent="0.35">
      <c r="A44" s="14" t="str">
        <f t="shared" si="1"/>
        <v xml:space="preserve"> 2024 JAN-DEC D75 LICENSE BABY</v>
      </c>
      <c r="B44" s="7">
        <f t="shared" si="5"/>
        <v>46104</v>
      </c>
      <c r="C44" s="7">
        <f t="shared" si="6"/>
        <v>46113</v>
      </c>
      <c r="D44" s="6">
        <v>3284</v>
      </c>
      <c r="E44" s="6">
        <v>338</v>
      </c>
      <c r="F44" s="6">
        <v>4</v>
      </c>
      <c r="G44" s="6">
        <v>3</v>
      </c>
      <c r="H44" s="6">
        <v>80920</v>
      </c>
      <c r="I44" s="6" t="s">
        <v>17</v>
      </c>
      <c r="J44" s="6">
        <v>15617924</v>
      </c>
      <c r="K44" s="6" t="s">
        <v>241</v>
      </c>
      <c r="L44" s="17" t="s">
        <v>244</v>
      </c>
      <c r="M44" s="8">
        <v>179900</v>
      </c>
      <c r="N44" s="36">
        <f t="shared" si="3"/>
        <v>0.75</v>
      </c>
      <c r="O44" s="35">
        <f t="shared" si="0"/>
        <v>44975</v>
      </c>
      <c r="P44" s="22" t="s">
        <v>16</v>
      </c>
    </row>
    <row r="45" spans="1:16" x14ac:dyDescent="0.35">
      <c r="A45" s="14" t="str">
        <f t="shared" si="1"/>
        <v xml:space="preserve"> 2024 JAN-DEC D75 LICENSE BABY</v>
      </c>
      <c r="B45" s="7">
        <f t="shared" si="5"/>
        <v>46104</v>
      </c>
      <c r="C45" s="7">
        <f t="shared" si="6"/>
        <v>46113</v>
      </c>
      <c r="D45" s="6">
        <v>3284</v>
      </c>
      <c r="E45" s="6">
        <v>338</v>
      </c>
      <c r="F45" s="6">
        <v>4</v>
      </c>
      <c r="G45" s="6">
        <v>3</v>
      </c>
      <c r="H45" s="6">
        <v>80920</v>
      </c>
      <c r="I45" s="6" t="s">
        <v>17</v>
      </c>
      <c r="J45" s="6">
        <v>15617933</v>
      </c>
      <c r="K45" s="6" t="s">
        <v>241</v>
      </c>
      <c r="L45" s="17" t="s">
        <v>245</v>
      </c>
      <c r="M45" s="8">
        <v>179900</v>
      </c>
      <c r="N45" s="36">
        <f t="shared" si="3"/>
        <v>0.75</v>
      </c>
      <c r="O45" s="35">
        <f t="shared" si="0"/>
        <v>44975</v>
      </c>
      <c r="P45" s="22" t="s">
        <v>16</v>
      </c>
    </row>
    <row r="46" spans="1:16" x14ac:dyDescent="0.35">
      <c r="A46" s="14" t="str">
        <f t="shared" si="1"/>
        <v xml:space="preserve"> 2024 JAN-DEC D75 LICENSE BABY</v>
      </c>
      <c r="B46" s="7">
        <f t="shared" si="5"/>
        <v>46104</v>
      </c>
      <c r="C46" s="7">
        <f t="shared" si="6"/>
        <v>46113</v>
      </c>
      <c r="D46" s="6">
        <v>3284</v>
      </c>
      <c r="E46" s="6">
        <v>338</v>
      </c>
      <c r="F46" s="6">
        <v>4</v>
      </c>
      <c r="G46" s="6">
        <v>3</v>
      </c>
      <c r="H46" s="6">
        <v>80920</v>
      </c>
      <c r="I46" s="6" t="s">
        <v>17</v>
      </c>
      <c r="J46" s="6">
        <v>15618067</v>
      </c>
      <c r="K46" s="6" t="s">
        <v>246</v>
      </c>
      <c r="L46" s="17" t="s">
        <v>247</v>
      </c>
      <c r="M46" s="8">
        <v>179900</v>
      </c>
      <c r="N46" s="36">
        <f t="shared" si="3"/>
        <v>0.75</v>
      </c>
      <c r="O46" s="35">
        <f t="shared" si="0"/>
        <v>44975</v>
      </c>
      <c r="P46" s="22" t="s">
        <v>16</v>
      </c>
    </row>
    <row r="47" spans="1:16" x14ac:dyDescent="0.35">
      <c r="A47" s="14" t="str">
        <f t="shared" si="1"/>
        <v xml:space="preserve"> 2024 JAN-DEC D75 LICENSE BABY</v>
      </c>
      <c r="B47" s="7">
        <f t="shared" si="5"/>
        <v>46104</v>
      </c>
      <c r="C47" s="7">
        <f t="shared" si="6"/>
        <v>46113</v>
      </c>
      <c r="D47" s="6">
        <v>3284</v>
      </c>
      <c r="E47" s="6">
        <v>338</v>
      </c>
      <c r="F47" s="6">
        <v>4</v>
      </c>
      <c r="G47" s="6">
        <v>3</v>
      </c>
      <c r="H47" s="6">
        <v>80920</v>
      </c>
      <c r="I47" s="6" t="s">
        <v>17</v>
      </c>
      <c r="J47" s="6">
        <v>15618076</v>
      </c>
      <c r="K47" s="6" t="s">
        <v>246</v>
      </c>
      <c r="L47" s="17" t="s">
        <v>248</v>
      </c>
      <c r="M47" s="8">
        <v>179900</v>
      </c>
      <c r="N47" s="36">
        <f t="shared" si="3"/>
        <v>0.75</v>
      </c>
      <c r="O47" s="35">
        <f t="shared" si="0"/>
        <v>44975</v>
      </c>
      <c r="P47" s="22" t="s">
        <v>16</v>
      </c>
    </row>
    <row r="48" spans="1:16" x14ac:dyDescent="0.35">
      <c r="A48" s="14" t="str">
        <f t="shared" si="1"/>
        <v xml:space="preserve"> 2024 JAN-DEC D75 LICENSE BABY</v>
      </c>
      <c r="B48" s="7">
        <f t="shared" si="5"/>
        <v>46104</v>
      </c>
      <c r="C48" s="7">
        <f t="shared" si="6"/>
        <v>46113</v>
      </c>
      <c r="D48" s="6">
        <v>3284</v>
      </c>
      <c r="E48" s="6">
        <v>338</v>
      </c>
      <c r="F48" s="6">
        <v>4</v>
      </c>
      <c r="G48" s="6">
        <v>3</v>
      </c>
      <c r="H48" s="6">
        <v>80920</v>
      </c>
      <c r="I48" s="6" t="s">
        <v>17</v>
      </c>
      <c r="J48" s="6">
        <v>15618085</v>
      </c>
      <c r="K48" s="6" t="s">
        <v>246</v>
      </c>
      <c r="L48" s="17" t="s">
        <v>249</v>
      </c>
      <c r="M48" s="8">
        <v>179900</v>
      </c>
      <c r="N48" s="36">
        <f t="shared" si="3"/>
        <v>0.75</v>
      </c>
      <c r="O48" s="35">
        <f t="shared" si="0"/>
        <v>44975</v>
      </c>
      <c r="P48" s="22" t="s">
        <v>16</v>
      </c>
    </row>
    <row r="49" spans="1:16" x14ac:dyDescent="0.35">
      <c r="A49" s="14" t="str">
        <f t="shared" si="1"/>
        <v xml:space="preserve"> 2024 JAN-DEC D75 LICENSE BABY</v>
      </c>
      <c r="B49" s="7">
        <f t="shared" si="5"/>
        <v>46104</v>
      </c>
      <c r="C49" s="7">
        <f t="shared" si="6"/>
        <v>46113</v>
      </c>
      <c r="D49" s="6">
        <v>3284</v>
      </c>
      <c r="E49" s="6">
        <v>338</v>
      </c>
      <c r="F49" s="6">
        <v>4</v>
      </c>
      <c r="G49" s="6">
        <v>3</v>
      </c>
      <c r="H49" s="6">
        <v>80920</v>
      </c>
      <c r="I49" s="6" t="s">
        <v>17</v>
      </c>
      <c r="J49" s="6">
        <v>15618094</v>
      </c>
      <c r="K49" s="6" t="s">
        <v>246</v>
      </c>
      <c r="L49" s="17" t="s">
        <v>250</v>
      </c>
      <c r="M49" s="8">
        <v>179900</v>
      </c>
      <c r="N49" s="36">
        <f t="shared" si="3"/>
        <v>0.75</v>
      </c>
      <c r="O49" s="35">
        <f t="shared" si="0"/>
        <v>44975</v>
      </c>
      <c r="P49" s="22" t="s">
        <v>16</v>
      </c>
    </row>
    <row r="50" spans="1:16" x14ac:dyDescent="0.35">
      <c r="A50" s="14" t="str">
        <f t="shared" si="1"/>
        <v xml:space="preserve"> 2024 JAN-DEC D75 LICENSE BABY</v>
      </c>
      <c r="B50" s="7">
        <f t="shared" si="5"/>
        <v>46104</v>
      </c>
      <c r="C50" s="7">
        <f t="shared" si="6"/>
        <v>46113</v>
      </c>
      <c r="D50" s="6">
        <v>3284</v>
      </c>
      <c r="E50" s="6">
        <v>338</v>
      </c>
      <c r="F50" s="6">
        <v>4</v>
      </c>
      <c r="G50" s="6">
        <v>3</v>
      </c>
      <c r="H50" s="6">
        <v>80920</v>
      </c>
      <c r="I50" s="6" t="s">
        <v>17</v>
      </c>
      <c r="J50" s="6">
        <v>18757321</v>
      </c>
      <c r="K50" s="6" t="s">
        <v>954</v>
      </c>
      <c r="L50" s="17" t="s">
        <v>955</v>
      </c>
      <c r="M50" s="8">
        <v>189900</v>
      </c>
      <c r="N50" s="36">
        <f t="shared" si="3"/>
        <v>0.75</v>
      </c>
      <c r="O50" s="35">
        <f t="shared" si="0"/>
        <v>47475</v>
      </c>
      <c r="P50" s="22" t="s">
        <v>16</v>
      </c>
    </row>
    <row r="51" spans="1:16" x14ac:dyDescent="0.35">
      <c r="A51" s="14" t="str">
        <f t="shared" si="1"/>
        <v xml:space="preserve"> 2024 JAN-DEC D75 LICENSE BABY</v>
      </c>
      <c r="B51" s="7">
        <f t="shared" si="5"/>
        <v>46104</v>
      </c>
      <c r="C51" s="7">
        <f t="shared" si="6"/>
        <v>46113</v>
      </c>
      <c r="D51" s="6">
        <v>3284</v>
      </c>
      <c r="E51" s="6">
        <v>338</v>
      </c>
      <c r="F51" s="6">
        <v>4</v>
      </c>
      <c r="G51" s="6">
        <v>3</v>
      </c>
      <c r="H51" s="6">
        <v>80920</v>
      </c>
      <c r="I51" s="6" t="s">
        <v>17</v>
      </c>
      <c r="J51" s="6">
        <v>18757330</v>
      </c>
      <c r="K51" s="6" t="s">
        <v>954</v>
      </c>
      <c r="L51" s="17" t="s">
        <v>956</v>
      </c>
      <c r="M51" s="8">
        <v>189900</v>
      </c>
      <c r="N51" s="36">
        <f t="shared" si="3"/>
        <v>0.75</v>
      </c>
      <c r="O51" s="35">
        <f t="shared" si="0"/>
        <v>47475</v>
      </c>
      <c r="P51" s="22" t="s">
        <v>16</v>
      </c>
    </row>
    <row r="52" spans="1:16" x14ac:dyDescent="0.35">
      <c r="A52" s="14" t="str">
        <f t="shared" si="1"/>
        <v xml:space="preserve"> 2024 JAN-DEC D75 LICENSE BABY</v>
      </c>
      <c r="B52" s="7">
        <f t="shared" si="5"/>
        <v>46104</v>
      </c>
      <c r="C52" s="7">
        <f t="shared" si="6"/>
        <v>46113</v>
      </c>
      <c r="D52" s="6">
        <v>3284</v>
      </c>
      <c r="E52" s="6">
        <v>338</v>
      </c>
      <c r="F52" s="6">
        <v>4</v>
      </c>
      <c r="G52" s="6">
        <v>3</v>
      </c>
      <c r="H52" s="6">
        <v>80920</v>
      </c>
      <c r="I52" s="6" t="s">
        <v>17</v>
      </c>
      <c r="J52" s="6">
        <v>18757349</v>
      </c>
      <c r="K52" s="6" t="s">
        <v>954</v>
      </c>
      <c r="L52" s="17" t="s">
        <v>957</v>
      </c>
      <c r="M52" s="8">
        <v>189900</v>
      </c>
      <c r="N52" s="36">
        <f t="shared" si="3"/>
        <v>0.75</v>
      </c>
      <c r="O52" s="35">
        <f t="shared" si="0"/>
        <v>47475</v>
      </c>
      <c r="P52" s="22" t="s">
        <v>16</v>
      </c>
    </row>
    <row r="53" spans="1:16" x14ac:dyDescent="0.35">
      <c r="A53" s="14" t="str">
        <f t="shared" si="1"/>
        <v xml:space="preserve"> 2024 JAN-DEC D75 LICENSE BABY</v>
      </c>
      <c r="B53" s="7">
        <f t="shared" si="5"/>
        <v>46104</v>
      </c>
      <c r="C53" s="7">
        <f t="shared" si="6"/>
        <v>46113</v>
      </c>
      <c r="D53" s="6">
        <v>3284</v>
      </c>
      <c r="E53" s="6">
        <v>338</v>
      </c>
      <c r="F53" s="6">
        <v>4</v>
      </c>
      <c r="G53" s="6">
        <v>3</v>
      </c>
      <c r="H53" s="6">
        <v>80920</v>
      </c>
      <c r="I53" s="6" t="s">
        <v>17</v>
      </c>
      <c r="J53" s="6">
        <v>18757358</v>
      </c>
      <c r="K53" s="6" t="s">
        <v>954</v>
      </c>
      <c r="L53" s="17" t="s">
        <v>958</v>
      </c>
      <c r="M53" s="8">
        <v>189900</v>
      </c>
      <c r="N53" s="36">
        <f t="shared" si="3"/>
        <v>0.75</v>
      </c>
      <c r="O53" s="35">
        <f t="shared" si="0"/>
        <v>47475</v>
      </c>
      <c r="P53" s="22" t="s">
        <v>16</v>
      </c>
    </row>
    <row r="54" spans="1:16" x14ac:dyDescent="0.35">
      <c r="A54" s="14" t="str">
        <f t="shared" si="1"/>
        <v xml:space="preserve"> 2024 JAN-DEC D75 LICENSE BABY</v>
      </c>
      <c r="B54" s="7">
        <f t="shared" si="5"/>
        <v>46104</v>
      </c>
      <c r="C54" s="7">
        <f t="shared" si="6"/>
        <v>46113</v>
      </c>
      <c r="D54" s="6">
        <v>3284</v>
      </c>
      <c r="E54" s="6">
        <v>338</v>
      </c>
      <c r="F54" s="6">
        <v>4</v>
      </c>
      <c r="G54" s="6">
        <v>3</v>
      </c>
      <c r="H54" s="6">
        <v>81506</v>
      </c>
      <c r="I54" s="6" t="s">
        <v>17</v>
      </c>
      <c r="J54" s="6">
        <v>16859671</v>
      </c>
      <c r="K54" s="6" t="s">
        <v>617</v>
      </c>
      <c r="L54" s="17" t="s">
        <v>618</v>
      </c>
      <c r="M54" s="8">
        <v>219900</v>
      </c>
      <c r="N54" s="36">
        <f t="shared" si="3"/>
        <v>0.75</v>
      </c>
      <c r="O54" s="35">
        <f t="shared" si="0"/>
        <v>54975</v>
      </c>
      <c r="P54" s="22" t="s">
        <v>16</v>
      </c>
    </row>
    <row r="55" spans="1:16" x14ac:dyDescent="0.35">
      <c r="A55" s="14" t="str">
        <f t="shared" si="1"/>
        <v xml:space="preserve"> 2024 JAN-DEC D75 LICENSE BABY</v>
      </c>
      <c r="B55" s="7">
        <f t="shared" si="5"/>
        <v>46104</v>
      </c>
      <c r="C55" s="7">
        <f t="shared" si="6"/>
        <v>46113</v>
      </c>
      <c r="D55" s="6">
        <v>3284</v>
      </c>
      <c r="E55" s="6">
        <v>338</v>
      </c>
      <c r="F55" s="6">
        <v>4</v>
      </c>
      <c r="G55" s="6">
        <v>3</v>
      </c>
      <c r="H55" s="6">
        <v>81506</v>
      </c>
      <c r="I55" s="6" t="s">
        <v>17</v>
      </c>
      <c r="J55" s="6">
        <v>16859680</v>
      </c>
      <c r="K55" s="6" t="s">
        <v>617</v>
      </c>
      <c r="L55" s="17" t="s">
        <v>619</v>
      </c>
      <c r="M55" s="8">
        <v>219900</v>
      </c>
      <c r="N55" s="36">
        <f t="shared" si="3"/>
        <v>0.75</v>
      </c>
      <c r="O55" s="35">
        <f t="shared" si="0"/>
        <v>54975</v>
      </c>
      <c r="P55" s="22" t="s">
        <v>16</v>
      </c>
    </row>
    <row r="56" spans="1:16" x14ac:dyDescent="0.35">
      <c r="A56" s="14" t="str">
        <f t="shared" si="1"/>
        <v xml:space="preserve"> 2024 JAN-DEC D75 LICENSE BABY</v>
      </c>
      <c r="B56" s="7">
        <f t="shared" si="5"/>
        <v>46104</v>
      </c>
      <c r="C56" s="7">
        <f t="shared" si="6"/>
        <v>46113</v>
      </c>
      <c r="D56" s="6">
        <v>3284</v>
      </c>
      <c r="E56" s="6">
        <v>338</v>
      </c>
      <c r="F56" s="6">
        <v>4</v>
      </c>
      <c r="G56" s="6">
        <v>3</v>
      </c>
      <c r="H56" s="6">
        <v>81506</v>
      </c>
      <c r="I56" s="6" t="s">
        <v>17</v>
      </c>
      <c r="J56" s="6">
        <v>16859699</v>
      </c>
      <c r="K56" s="6" t="s">
        <v>617</v>
      </c>
      <c r="L56" s="17" t="s">
        <v>620</v>
      </c>
      <c r="M56" s="8">
        <v>219900</v>
      </c>
      <c r="N56" s="36">
        <f t="shared" si="3"/>
        <v>0.75</v>
      </c>
      <c r="O56" s="35">
        <f t="shared" si="0"/>
        <v>54975</v>
      </c>
      <c r="P56" s="22" t="s">
        <v>16</v>
      </c>
    </row>
    <row r="57" spans="1:16" x14ac:dyDescent="0.35">
      <c r="A57" s="14" t="str">
        <f t="shared" si="1"/>
        <v xml:space="preserve"> 2024 JAN-DEC D75 LICENSE BABY</v>
      </c>
      <c r="B57" s="7">
        <f t="shared" si="5"/>
        <v>46104</v>
      </c>
      <c r="C57" s="7">
        <f t="shared" si="6"/>
        <v>46113</v>
      </c>
      <c r="D57" s="6">
        <v>3284</v>
      </c>
      <c r="E57" s="6">
        <v>338</v>
      </c>
      <c r="F57" s="6">
        <v>4</v>
      </c>
      <c r="G57" s="6">
        <v>3</v>
      </c>
      <c r="H57" s="6">
        <v>81506</v>
      </c>
      <c r="I57" s="6" t="s">
        <v>17</v>
      </c>
      <c r="J57" s="6">
        <v>16859706</v>
      </c>
      <c r="K57" s="6" t="s">
        <v>617</v>
      </c>
      <c r="L57" s="17" t="s">
        <v>621</v>
      </c>
      <c r="M57" s="8">
        <v>219900</v>
      </c>
      <c r="N57" s="36">
        <f t="shared" si="3"/>
        <v>0.75</v>
      </c>
      <c r="O57" s="35">
        <f t="shared" si="0"/>
        <v>54975</v>
      </c>
      <c r="P57" s="22" t="s">
        <v>16</v>
      </c>
    </row>
    <row r="58" spans="1:16" x14ac:dyDescent="0.35">
      <c r="A58" s="14" t="str">
        <f t="shared" si="1"/>
        <v xml:space="preserve"> 2024 JAN-DEC D75 LICENSE BABY</v>
      </c>
      <c r="B58" s="7">
        <f t="shared" si="5"/>
        <v>46104</v>
      </c>
      <c r="C58" s="7">
        <f t="shared" si="6"/>
        <v>46113</v>
      </c>
      <c r="D58" s="6">
        <v>3284</v>
      </c>
      <c r="E58" s="6">
        <v>338</v>
      </c>
      <c r="F58" s="6">
        <v>4</v>
      </c>
      <c r="G58" s="6">
        <v>3</v>
      </c>
      <c r="H58" s="6">
        <v>81506</v>
      </c>
      <c r="I58" s="6" t="s">
        <v>17</v>
      </c>
      <c r="J58" s="6">
        <v>16859715</v>
      </c>
      <c r="K58" s="6" t="s">
        <v>622</v>
      </c>
      <c r="L58" s="17" t="s">
        <v>623</v>
      </c>
      <c r="M58" s="8">
        <v>189900</v>
      </c>
      <c r="N58" s="36">
        <f t="shared" si="3"/>
        <v>0.75</v>
      </c>
      <c r="O58" s="35">
        <f t="shared" si="0"/>
        <v>47475</v>
      </c>
      <c r="P58" s="22" t="s">
        <v>16</v>
      </c>
    </row>
    <row r="59" spans="1:16" x14ac:dyDescent="0.35">
      <c r="A59" s="14" t="str">
        <f t="shared" si="1"/>
        <v xml:space="preserve"> 2024 JAN-DEC D75 LICENSE BABY</v>
      </c>
      <c r="B59" s="7">
        <f t="shared" si="5"/>
        <v>46104</v>
      </c>
      <c r="C59" s="7">
        <f t="shared" si="6"/>
        <v>46113</v>
      </c>
      <c r="D59" s="6">
        <v>3284</v>
      </c>
      <c r="E59" s="6">
        <v>338</v>
      </c>
      <c r="F59" s="6">
        <v>4</v>
      </c>
      <c r="G59" s="6">
        <v>3</v>
      </c>
      <c r="H59" s="6">
        <v>81506</v>
      </c>
      <c r="I59" s="6" t="s">
        <v>17</v>
      </c>
      <c r="J59" s="6">
        <v>16859724</v>
      </c>
      <c r="K59" s="6" t="s">
        <v>622</v>
      </c>
      <c r="L59" s="17" t="s">
        <v>624</v>
      </c>
      <c r="M59" s="8">
        <v>189900</v>
      </c>
      <c r="N59" s="36">
        <f t="shared" si="3"/>
        <v>0.75</v>
      </c>
      <c r="O59" s="35">
        <f t="shared" si="0"/>
        <v>47475</v>
      </c>
      <c r="P59" s="22" t="s">
        <v>16</v>
      </c>
    </row>
    <row r="60" spans="1:16" x14ac:dyDescent="0.35">
      <c r="A60" s="14" t="str">
        <f t="shared" si="1"/>
        <v xml:space="preserve"> 2024 JAN-DEC D75 LICENSE BABY</v>
      </c>
      <c r="B60" s="7">
        <f t="shared" si="5"/>
        <v>46104</v>
      </c>
      <c r="C60" s="7">
        <f t="shared" si="6"/>
        <v>46113</v>
      </c>
      <c r="D60" s="6">
        <v>3284</v>
      </c>
      <c r="E60" s="6">
        <v>338</v>
      </c>
      <c r="F60" s="6">
        <v>4</v>
      </c>
      <c r="G60" s="6">
        <v>3</v>
      </c>
      <c r="H60" s="6">
        <v>81506</v>
      </c>
      <c r="I60" s="6" t="s">
        <v>17</v>
      </c>
      <c r="J60" s="6">
        <v>16859733</v>
      </c>
      <c r="K60" s="6" t="s">
        <v>622</v>
      </c>
      <c r="L60" s="17" t="s">
        <v>625</v>
      </c>
      <c r="M60" s="8">
        <v>189900</v>
      </c>
      <c r="N60" s="36">
        <f t="shared" si="3"/>
        <v>0.75</v>
      </c>
      <c r="O60" s="35">
        <f t="shared" si="0"/>
        <v>47475</v>
      </c>
      <c r="P60" s="22" t="s">
        <v>16</v>
      </c>
    </row>
    <row r="61" spans="1:16" x14ac:dyDescent="0.35">
      <c r="A61" s="14" t="str">
        <f t="shared" si="1"/>
        <v xml:space="preserve"> 2024 JAN-DEC D75 LICENSE BABY</v>
      </c>
      <c r="B61" s="7">
        <f t="shared" si="5"/>
        <v>46104</v>
      </c>
      <c r="C61" s="7">
        <f t="shared" si="6"/>
        <v>46113</v>
      </c>
      <c r="D61" s="6">
        <v>3284</v>
      </c>
      <c r="E61" s="6">
        <v>338</v>
      </c>
      <c r="F61" s="6">
        <v>4</v>
      </c>
      <c r="G61" s="6">
        <v>3</v>
      </c>
      <c r="H61" s="6">
        <v>81506</v>
      </c>
      <c r="I61" s="6" t="s">
        <v>17</v>
      </c>
      <c r="J61" s="6">
        <v>16859742</v>
      </c>
      <c r="K61" s="6" t="s">
        <v>622</v>
      </c>
      <c r="L61" s="17" t="s">
        <v>626</v>
      </c>
      <c r="M61" s="8">
        <v>189900</v>
      </c>
      <c r="N61" s="36">
        <f t="shared" si="3"/>
        <v>0.75</v>
      </c>
      <c r="O61" s="35">
        <f t="shared" si="0"/>
        <v>47475</v>
      </c>
      <c r="P61" s="22" t="s">
        <v>16</v>
      </c>
    </row>
    <row r="62" spans="1:16" x14ac:dyDescent="0.35">
      <c r="A62" s="14" t="str">
        <f t="shared" si="1"/>
        <v xml:space="preserve"> 2024 JAN-DEC D75 LICENSE BABY</v>
      </c>
      <c r="B62" s="7">
        <f t="shared" ref="B62:B93" si="7">B61</f>
        <v>46104</v>
      </c>
      <c r="C62" s="7">
        <f t="shared" ref="C62:C93" si="8">C61</f>
        <v>46113</v>
      </c>
      <c r="D62" s="6">
        <v>3284</v>
      </c>
      <c r="E62" s="6">
        <v>338</v>
      </c>
      <c r="F62" s="6">
        <v>4</v>
      </c>
      <c r="G62" s="6">
        <v>3</v>
      </c>
      <c r="H62" s="6">
        <v>81506</v>
      </c>
      <c r="I62" s="6" t="s">
        <v>17</v>
      </c>
      <c r="J62" s="6">
        <v>18761192</v>
      </c>
      <c r="K62" s="6" t="s">
        <v>964</v>
      </c>
      <c r="L62" s="17" t="s">
        <v>965</v>
      </c>
      <c r="M62" s="8">
        <v>219900</v>
      </c>
      <c r="N62" s="36">
        <f t="shared" si="3"/>
        <v>0.75</v>
      </c>
      <c r="O62" s="35">
        <f t="shared" si="0"/>
        <v>54975</v>
      </c>
      <c r="P62" s="22" t="s">
        <v>16</v>
      </c>
    </row>
    <row r="63" spans="1:16" x14ac:dyDescent="0.35">
      <c r="A63" s="14" t="str">
        <f t="shared" si="1"/>
        <v xml:space="preserve"> 2024 JAN-DEC D75 LICENSE BABY</v>
      </c>
      <c r="B63" s="7">
        <f t="shared" si="7"/>
        <v>46104</v>
      </c>
      <c r="C63" s="7">
        <f t="shared" si="8"/>
        <v>46113</v>
      </c>
      <c r="D63" s="6">
        <v>3284</v>
      </c>
      <c r="E63" s="6">
        <v>338</v>
      </c>
      <c r="F63" s="6">
        <v>4</v>
      </c>
      <c r="G63" s="6">
        <v>3</v>
      </c>
      <c r="H63" s="6">
        <v>81506</v>
      </c>
      <c r="I63" s="6" t="s">
        <v>17</v>
      </c>
      <c r="J63" s="6">
        <v>18761209</v>
      </c>
      <c r="K63" s="6" t="s">
        <v>964</v>
      </c>
      <c r="L63" s="17" t="s">
        <v>966</v>
      </c>
      <c r="M63" s="8">
        <v>219900</v>
      </c>
      <c r="N63" s="36">
        <f t="shared" si="3"/>
        <v>0.75</v>
      </c>
      <c r="O63" s="35">
        <f t="shared" si="0"/>
        <v>54975</v>
      </c>
      <c r="P63" s="22" t="s">
        <v>16</v>
      </c>
    </row>
    <row r="64" spans="1:16" x14ac:dyDescent="0.35">
      <c r="A64" s="14" t="str">
        <f t="shared" si="1"/>
        <v xml:space="preserve"> 2024 JAN-DEC D75 LICENSE BABY</v>
      </c>
      <c r="B64" s="7">
        <f t="shared" si="7"/>
        <v>46104</v>
      </c>
      <c r="C64" s="7">
        <f t="shared" si="8"/>
        <v>46113</v>
      </c>
      <c r="D64" s="6">
        <v>3284</v>
      </c>
      <c r="E64" s="6">
        <v>338</v>
      </c>
      <c r="F64" s="6">
        <v>4</v>
      </c>
      <c r="G64" s="6">
        <v>3</v>
      </c>
      <c r="H64" s="6">
        <v>81506</v>
      </c>
      <c r="I64" s="6" t="s">
        <v>17</v>
      </c>
      <c r="J64" s="6">
        <v>18761218</v>
      </c>
      <c r="K64" s="6" t="s">
        <v>964</v>
      </c>
      <c r="L64" s="17" t="s">
        <v>967</v>
      </c>
      <c r="M64" s="8">
        <v>219900</v>
      </c>
      <c r="N64" s="36">
        <f t="shared" si="3"/>
        <v>0.75</v>
      </c>
      <c r="O64" s="35">
        <f t="shared" si="0"/>
        <v>54975</v>
      </c>
      <c r="P64" s="22" t="s">
        <v>16</v>
      </c>
    </row>
    <row r="65" spans="1:16" x14ac:dyDescent="0.35">
      <c r="A65" s="14" t="str">
        <f t="shared" si="1"/>
        <v xml:space="preserve"> 2024 JAN-DEC D75 LICENSE BABY</v>
      </c>
      <c r="B65" s="7">
        <f t="shared" si="7"/>
        <v>46104</v>
      </c>
      <c r="C65" s="7">
        <f t="shared" si="8"/>
        <v>46113</v>
      </c>
      <c r="D65" s="6">
        <v>3284</v>
      </c>
      <c r="E65" s="6">
        <v>338</v>
      </c>
      <c r="F65" s="6">
        <v>4</v>
      </c>
      <c r="G65" s="6">
        <v>3</v>
      </c>
      <c r="H65" s="6">
        <v>81506</v>
      </c>
      <c r="I65" s="6" t="s">
        <v>17</v>
      </c>
      <c r="J65" s="6">
        <v>18761227</v>
      </c>
      <c r="K65" s="6" t="s">
        <v>964</v>
      </c>
      <c r="L65" s="17" t="s">
        <v>968</v>
      </c>
      <c r="M65" s="8">
        <v>219900</v>
      </c>
      <c r="N65" s="36">
        <f t="shared" si="3"/>
        <v>0.75</v>
      </c>
      <c r="O65" s="35">
        <f t="shared" si="0"/>
        <v>54975</v>
      </c>
      <c r="P65" s="22" t="s">
        <v>16</v>
      </c>
    </row>
    <row r="66" spans="1:16" x14ac:dyDescent="0.35">
      <c r="A66" s="14" t="str">
        <f t="shared" si="1"/>
        <v xml:space="preserve"> 2024 JAN-DEC D75 LICENSE BABY</v>
      </c>
      <c r="B66" s="7">
        <f t="shared" si="7"/>
        <v>46104</v>
      </c>
      <c r="C66" s="7">
        <f t="shared" si="8"/>
        <v>46113</v>
      </c>
      <c r="D66" s="6">
        <v>3284</v>
      </c>
      <c r="E66" s="6">
        <v>338</v>
      </c>
      <c r="F66" s="6">
        <v>4</v>
      </c>
      <c r="G66" s="6">
        <v>3</v>
      </c>
      <c r="H66" s="6">
        <v>81676</v>
      </c>
      <c r="I66" s="6" t="s">
        <v>17</v>
      </c>
      <c r="J66" s="6">
        <v>16621408</v>
      </c>
      <c r="K66" s="6" t="s">
        <v>251</v>
      </c>
      <c r="L66" s="17" t="s">
        <v>252</v>
      </c>
      <c r="M66" s="8">
        <v>179900</v>
      </c>
      <c r="N66" s="36">
        <f t="shared" si="3"/>
        <v>0.75</v>
      </c>
      <c r="O66" s="35">
        <f t="shared" si="0"/>
        <v>44975</v>
      </c>
      <c r="P66" s="22" t="s">
        <v>16</v>
      </c>
    </row>
    <row r="67" spans="1:16" x14ac:dyDescent="0.35">
      <c r="A67" s="14" t="str">
        <f t="shared" si="1"/>
        <v xml:space="preserve"> 2024 JAN-DEC D75 LICENSE BABY</v>
      </c>
      <c r="B67" s="7">
        <f t="shared" si="7"/>
        <v>46104</v>
      </c>
      <c r="C67" s="7">
        <f t="shared" si="8"/>
        <v>46113</v>
      </c>
      <c r="D67" s="6">
        <v>3284</v>
      </c>
      <c r="E67" s="6">
        <v>338</v>
      </c>
      <c r="F67" s="6">
        <v>4</v>
      </c>
      <c r="G67" s="6">
        <v>3</v>
      </c>
      <c r="H67" s="6">
        <v>81676</v>
      </c>
      <c r="I67" s="6" t="s">
        <v>17</v>
      </c>
      <c r="J67" s="6">
        <v>16621417</v>
      </c>
      <c r="K67" s="6" t="s">
        <v>251</v>
      </c>
      <c r="L67" s="17" t="s">
        <v>253</v>
      </c>
      <c r="M67" s="8">
        <v>179900</v>
      </c>
      <c r="N67" s="36">
        <f t="shared" si="3"/>
        <v>0.75</v>
      </c>
      <c r="O67" s="35">
        <f t="shared" ref="O67:O130" si="9">M67-((75*M67)/100)</f>
        <v>44975</v>
      </c>
      <c r="P67" s="22" t="s">
        <v>16</v>
      </c>
    </row>
    <row r="68" spans="1:16" x14ac:dyDescent="0.35">
      <c r="A68" s="14" t="str">
        <f t="shared" ref="A68:A131" si="10">A67</f>
        <v xml:space="preserve"> 2024 JAN-DEC D75 LICENSE BABY</v>
      </c>
      <c r="B68" s="7">
        <f t="shared" si="7"/>
        <v>46104</v>
      </c>
      <c r="C68" s="7">
        <f t="shared" si="8"/>
        <v>46113</v>
      </c>
      <c r="D68" s="6">
        <v>3284</v>
      </c>
      <c r="E68" s="6">
        <v>338</v>
      </c>
      <c r="F68" s="6">
        <v>4</v>
      </c>
      <c r="G68" s="6">
        <v>3</v>
      </c>
      <c r="H68" s="6">
        <v>81676</v>
      </c>
      <c r="I68" s="6" t="s">
        <v>17</v>
      </c>
      <c r="J68" s="6">
        <v>16621426</v>
      </c>
      <c r="K68" s="6" t="s">
        <v>251</v>
      </c>
      <c r="L68" s="17" t="s">
        <v>254</v>
      </c>
      <c r="M68" s="8">
        <v>179900</v>
      </c>
      <c r="N68" s="36">
        <f t="shared" ref="N68:N131" si="11">N67</f>
        <v>0.75</v>
      </c>
      <c r="O68" s="35">
        <f t="shared" si="9"/>
        <v>44975</v>
      </c>
      <c r="P68" s="22" t="s">
        <v>16</v>
      </c>
    </row>
    <row r="69" spans="1:16" x14ac:dyDescent="0.35">
      <c r="A69" s="14" t="str">
        <f t="shared" si="10"/>
        <v xml:space="preserve"> 2024 JAN-DEC D75 LICENSE BABY</v>
      </c>
      <c r="B69" s="7">
        <f t="shared" si="7"/>
        <v>46104</v>
      </c>
      <c r="C69" s="7">
        <f t="shared" si="8"/>
        <v>46113</v>
      </c>
      <c r="D69" s="6">
        <v>3284</v>
      </c>
      <c r="E69" s="6">
        <v>338</v>
      </c>
      <c r="F69" s="6">
        <v>4</v>
      </c>
      <c r="G69" s="6">
        <v>3</v>
      </c>
      <c r="H69" s="6">
        <v>81676</v>
      </c>
      <c r="I69" s="6" t="s">
        <v>17</v>
      </c>
      <c r="J69" s="6">
        <v>16621435</v>
      </c>
      <c r="K69" s="6" t="s">
        <v>251</v>
      </c>
      <c r="L69" s="17" t="s">
        <v>255</v>
      </c>
      <c r="M69" s="8">
        <v>179900</v>
      </c>
      <c r="N69" s="36">
        <f t="shared" si="11"/>
        <v>0.75</v>
      </c>
      <c r="O69" s="35">
        <f t="shared" si="9"/>
        <v>44975</v>
      </c>
      <c r="P69" s="22" t="s">
        <v>16</v>
      </c>
    </row>
    <row r="70" spans="1:16" x14ac:dyDescent="0.35">
      <c r="A70" s="14" t="str">
        <f t="shared" si="10"/>
        <v xml:space="preserve"> 2024 JAN-DEC D75 LICENSE BABY</v>
      </c>
      <c r="B70" s="7">
        <f t="shared" si="7"/>
        <v>46104</v>
      </c>
      <c r="C70" s="7">
        <f t="shared" si="8"/>
        <v>46113</v>
      </c>
      <c r="D70" s="6">
        <v>3284</v>
      </c>
      <c r="E70" s="6">
        <v>338</v>
      </c>
      <c r="F70" s="6">
        <v>4</v>
      </c>
      <c r="G70" s="6">
        <v>3</v>
      </c>
      <c r="H70" s="6">
        <v>81676</v>
      </c>
      <c r="I70" s="6" t="s">
        <v>17</v>
      </c>
      <c r="J70" s="6">
        <v>16621524</v>
      </c>
      <c r="K70" s="6" t="s">
        <v>627</v>
      </c>
      <c r="L70" s="17" t="s">
        <v>628</v>
      </c>
      <c r="M70" s="8">
        <v>179900</v>
      </c>
      <c r="N70" s="36">
        <f t="shared" si="11"/>
        <v>0.75</v>
      </c>
      <c r="O70" s="35">
        <f t="shared" si="9"/>
        <v>44975</v>
      </c>
      <c r="P70" s="22" t="s">
        <v>16</v>
      </c>
    </row>
    <row r="71" spans="1:16" x14ac:dyDescent="0.35">
      <c r="A71" s="14" t="str">
        <f t="shared" si="10"/>
        <v xml:space="preserve"> 2024 JAN-DEC D75 LICENSE BABY</v>
      </c>
      <c r="B71" s="7">
        <f t="shared" si="7"/>
        <v>46104</v>
      </c>
      <c r="C71" s="7">
        <f t="shared" si="8"/>
        <v>46113</v>
      </c>
      <c r="D71" s="6">
        <v>3284</v>
      </c>
      <c r="E71" s="6">
        <v>338</v>
      </c>
      <c r="F71" s="6">
        <v>4</v>
      </c>
      <c r="G71" s="6">
        <v>3</v>
      </c>
      <c r="H71" s="6">
        <v>81676</v>
      </c>
      <c r="I71" s="6" t="s">
        <v>17</v>
      </c>
      <c r="J71" s="6">
        <v>16621533</v>
      </c>
      <c r="K71" s="6" t="s">
        <v>627</v>
      </c>
      <c r="L71" s="17" t="s">
        <v>629</v>
      </c>
      <c r="M71" s="8">
        <v>179900</v>
      </c>
      <c r="N71" s="36">
        <f t="shared" si="11"/>
        <v>0.75</v>
      </c>
      <c r="O71" s="35">
        <f t="shared" si="9"/>
        <v>44975</v>
      </c>
      <c r="P71" s="22" t="s">
        <v>16</v>
      </c>
    </row>
    <row r="72" spans="1:16" x14ac:dyDescent="0.35">
      <c r="A72" s="14" t="str">
        <f t="shared" si="10"/>
        <v xml:space="preserve"> 2024 JAN-DEC D75 LICENSE BABY</v>
      </c>
      <c r="B72" s="7">
        <f t="shared" si="7"/>
        <v>46104</v>
      </c>
      <c r="C72" s="7">
        <f t="shared" si="8"/>
        <v>46113</v>
      </c>
      <c r="D72" s="6">
        <v>3284</v>
      </c>
      <c r="E72" s="6">
        <v>338</v>
      </c>
      <c r="F72" s="6">
        <v>4</v>
      </c>
      <c r="G72" s="6">
        <v>3</v>
      </c>
      <c r="H72" s="6">
        <v>81676</v>
      </c>
      <c r="I72" s="6" t="s">
        <v>17</v>
      </c>
      <c r="J72" s="6">
        <v>16621542</v>
      </c>
      <c r="K72" s="6" t="s">
        <v>627</v>
      </c>
      <c r="L72" s="17" t="s">
        <v>630</v>
      </c>
      <c r="M72" s="8">
        <v>179900</v>
      </c>
      <c r="N72" s="36">
        <f t="shared" si="11"/>
        <v>0.75</v>
      </c>
      <c r="O72" s="35">
        <f t="shared" si="9"/>
        <v>44975</v>
      </c>
      <c r="P72" s="22" t="s">
        <v>16</v>
      </c>
    </row>
    <row r="73" spans="1:16" x14ac:dyDescent="0.35">
      <c r="A73" s="14" t="str">
        <f t="shared" si="10"/>
        <v xml:space="preserve"> 2024 JAN-DEC D75 LICENSE BABY</v>
      </c>
      <c r="B73" s="7">
        <f t="shared" si="7"/>
        <v>46104</v>
      </c>
      <c r="C73" s="7">
        <f t="shared" si="8"/>
        <v>46113</v>
      </c>
      <c r="D73" s="6">
        <v>3284</v>
      </c>
      <c r="E73" s="6">
        <v>338</v>
      </c>
      <c r="F73" s="6">
        <v>4</v>
      </c>
      <c r="G73" s="6">
        <v>3</v>
      </c>
      <c r="H73" s="6">
        <v>81676</v>
      </c>
      <c r="I73" s="6" t="s">
        <v>17</v>
      </c>
      <c r="J73" s="6">
        <v>16621551</v>
      </c>
      <c r="K73" s="6" t="s">
        <v>627</v>
      </c>
      <c r="L73" s="17" t="s">
        <v>631</v>
      </c>
      <c r="M73" s="8">
        <v>179900</v>
      </c>
      <c r="N73" s="36">
        <f t="shared" si="11"/>
        <v>0.75</v>
      </c>
      <c r="O73" s="35">
        <f t="shared" si="9"/>
        <v>44975</v>
      </c>
      <c r="P73" s="22" t="s">
        <v>16</v>
      </c>
    </row>
    <row r="74" spans="1:16" x14ac:dyDescent="0.35">
      <c r="A74" s="14" t="str">
        <f t="shared" si="10"/>
        <v xml:space="preserve"> 2024 JAN-DEC D75 LICENSE BABY</v>
      </c>
      <c r="B74" s="7">
        <f t="shared" si="7"/>
        <v>46104</v>
      </c>
      <c r="C74" s="7">
        <f t="shared" si="8"/>
        <v>46113</v>
      </c>
      <c r="D74" s="6">
        <v>3284</v>
      </c>
      <c r="E74" s="6">
        <v>338</v>
      </c>
      <c r="F74" s="6">
        <v>4</v>
      </c>
      <c r="G74" s="6">
        <v>3</v>
      </c>
      <c r="H74" s="6">
        <v>81676</v>
      </c>
      <c r="I74" s="6" t="s">
        <v>17</v>
      </c>
      <c r="J74" s="6">
        <v>17059962</v>
      </c>
      <c r="K74" s="6" t="s">
        <v>969</v>
      </c>
      <c r="L74" s="17" t="s">
        <v>970</v>
      </c>
      <c r="M74" s="8">
        <v>169900</v>
      </c>
      <c r="N74" s="36">
        <f t="shared" si="11"/>
        <v>0.75</v>
      </c>
      <c r="O74" s="35">
        <f t="shared" si="9"/>
        <v>42475</v>
      </c>
      <c r="P74" s="22" t="s">
        <v>16</v>
      </c>
    </row>
    <row r="75" spans="1:16" x14ac:dyDescent="0.35">
      <c r="A75" s="14" t="str">
        <f t="shared" si="10"/>
        <v xml:space="preserve"> 2024 JAN-DEC D75 LICENSE BABY</v>
      </c>
      <c r="B75" s="7">
        <f t="shared" si="7"/>
        <v>46104</v>
      </c>
      <c r="C75" s="7">
        <f t="shared" si="8"/>
        <v>46113</v>
      </c>
      <c r="D75" s="6">
        <v>3284</v>
      </c>
      <c r="E75" s="6">
        <v>338</v>
      </c>
      <c r="F75" s="6">
        <v>4</v>
      </c>
      <c r="G75" s="6">
        <v>3</v>
      </c>
      <c r="H75" s="6">
        <v>81676</v>
      </c>
      <c r="I75" s="6" t="s">
        <v>17</v>
      </c>
      <c r="J75" s="6">
        <v>17059971</v>
      </c>
      <c r="K75" s="6" t="s">
        <v>969</v>
      </c>
      <c r="L75" s="17" t="s">
        <v>971</v>
      </c>
      <c r="M75" s="8">
        <v>169900</v>
      </c>
      <c r="N75" s="36">
        <f t="shared" si="11"/>
        <v>0.75</v>
      </c>
      <c r="O75" s="35">
        <f t="shared" si="9"/>
        <v>42475</v>
      </c>
      <c r="P75" s="22" t="s">
        <v>16</v>
      </c>
    </row>
    <row r="76" spans="1:16" x14ac:dyDescent="0.35">
      <c r="A76" s="14" t="str">
        <f t="shared" si="10"/>
        <v xml:space="preserve"> 2024 JAN-DEC D75 LICENSE BABY</v>
      </c>
      <c r="B76" s="7">
        <f t="shared" si="7"/>
        <v>46104</v>
      </c>
      <c r="C76" s="7">
        <f t="shared" si="8"/>
        <v>46113</v>
      </c>
      <c r="D76" s="6">
        <v>3284</v>
      </c>
      <c r="E76" s="6">
        <v>338</v>
      </c>
      <c r="F76" s="6">
        <v>4</v>
      </c>
      <c r="G76" s="6">
        <v>3</v>
      </c>
      <c r="H76" s="6">
        <v>81676</v>
      </c>
      <c r="I76" s="6" t="s">
        <v>17</v>
      </c>
      <c r="J76" s="6">
        <v>17059980</v>
      </c>
      <c r="K76" s="6" t="s">
        <v>969</v>
      </c>
      <c r="L76" s="17" t="s">
        <v>972</v>
      </c>
      <c r="M76" s="8">
        <v>169900</v>
      </c>
      <c r="N76" s="36">
        <f t="shared" si="11"/>
        <v>0.75</v>
      </c>
      <c r="O76" s="35">
        <f t="shared" si="9"/>
        <v>42475</v>
      </c>
      <c r="P76" s="22" t="s">
        <v>16</v>
      </c>
    </row>
    <row r="77" spans="1:16" x14ac:dyDescent="0.35">
      <c r="A77" s="14" t="str">
        <f t="shared" si="10"/>
        <v xml:space="preserve"> 2024 JAN-DEC D75 LICENSE BABY</v>
      </c>
      <c r="B77" s="7">
        <f t="shared" si="7"/>
        <v>46104</v>
      </c>
      <c r="C77" s="7">
        <f t="shared" si="8"/>
        <v>46113</v>
      </c>
      <c r="D77" s="6">
        <v>3284</v>
      </c>
      <c r="E77" s="6">
        <v>338</v>
      </c>
      <c r="F77" s="6">
        <v>4</v>
      </c>
      <c r="G77" s="6">
        <v>3</v>
      </c>
      <c r="H77" s="6">
        <v>81676</v>
      </c>
      <c r="I77" s="6" t="s">
        <v>17</v>
      </c>
      <c r="J77" s="6">
        <v>17059999</v>
      </c>
      <c r="K77" s="6" t="s">
        <v>969</v>
      </c>
      <c r="L77" s="17" t="s">
        <v>973</v>
      </c>
      <c r="M77" s="8">
        <v>169900</v>
      </c>
      <c r="N77" s="36">
        <f t="shared" si="11"/>
        <v>0.75</v>
      </c>
      <c r="O77" s="35">
        <f t="shared" si="9"/>
        <v>42475</v>
      </c>
      <c r="P77" s="22" t="s">
        <v>16</v>
      </c>
    </row>
    <row r="78" spans="1:16" x14ac:dyDescent="0.35">
      <c r="A78" s="14" t="str">
        <f t="shared" si="10"/>
        <v xml:space="preserve"> 2024 JAN-DEC D75 LICENSE BABY</v>
      </c>
      <c r="B78" s="7">
        <f t="shared" si="7"/>
        <v>46104</v>
      </c>
      <c r="C78" s="7">
        <f t="shared" si="8"/>
        <v>46113</v>
      </c>
      <c r="D78" s="6">
        <v>3284</v>
      </c>
      <c r="E78" s="6">
        <v>338</v>
      </c>
      <c r="F78" s="6">
        <v>4</v>
      </c>
      <c r="G78" s="6">
        <v>3</v>
      </c>
      <c r="H78" s="6">
        <v>81574</v>
      </c>
      <c r="I78" s="6" t="s">
        <v>17</v>
      </c>
      <c r="J78" s="6">
        <v>15617344</v>
      </c>
      <c r="K78" s="6" t="s">
        <v>256</v>
      </c>
      <c r="L78" s="17" t="s">
        <v>257</v>
      </c>
      <c r="M78" s="8">
        <v>179900</v>
      </c>
      <c r="N78" s="36">
        <f t="shared" si="11"/>
        <v>0.75</v>
      </c>
      <c r="O78" s="35">
        <f t="shared" si="9"/>
        <v>44975</v>
      </c>
      <c r="P78" s="22" t="s">
        <v>16</v>
      </c>
    </row>
    <row r="79" spans="1:16" x14ac:dyDescent="0.35">
      <c r="A79" s="14" t="str">
        <f t="shared" si="10"/>
        <v xml:space="preserve"> 2024 JAN-DEC D75 LICENSE BABY</v>
      </c>
      <c r="B79" s="7">
        <f t="shared" si="7"/>
        <v>46104</v>
      </c>
      <c r="C79" s="7">
        <f t="shared" si="8"/>
        <v>46113</v>
      </c>
      <c r="D79" s="6">
        <v>3284</v>
      </c>
      <c r="E79" s="6">
        <v>338</v>
      </c>
      <c r="F79" s="6">
        <v>4</v>
      </c>
      <c r="G79" s="6">
        <v>3</v>
      </c>
      <c r="H79" s="6">
        <v>81574</v>
      </c>
      <c r="I79" s="6" t="s">
        <v>17</v>
      </c>
      <c r="J79" s="6">
        <v>15617353</v>
      </c>
      <c r="K79" s="6" t="s">
        <v>256</v>
      </c>
      <c r="L79" s="17" t="s">
        <v>258</v>
      </c>
      <c r="M79" s="8">
        <v>179900</v>
      </c>
      <c r="N79" s="36">
        <f t="shared" si="11"/>
        <v>0.75</v>
      </c>
      <c r="O79" s="35">
        <f t="shared" si="9"/>
        <v>44975</v>
      </c>
      <c r="P79" s="22" t="s">
        <v>16</v>
      </c>
    </row>
    <row r="80" spans="1:16" x14ac:dyDescent="0.35">
      <c r="A80" s="14" t="str">
        <f t="shared" si="10"/>
        <v xml:space="preserve"> 2024 JAN-DEC D75 LICENSE BABY</v>
      </c>
      <c r="B80" s="7">
        <f t="shared" si="7"/>
        <v>46104</v>
      </c>
      <c r="C80" s="7">
        <f t="shared" si="8"/>
        <v>46113</v>
      </c>
      <c r="D80" s="6">
        <v>3284</v>
      </c>
      <c r="E80" s="6">
        <v>338</v>
      </c>
      <c r="F80" s="6">
        <v>4</v>
      </c>
      <c r="G80" s="6">
        <v>3</v>
      </c>
      <c r="H80" s="6">
        <v>81574</v>
      </c>
      <c r="I80" s="6" t="s">
        <v>17</v>
      </c>
      <c r="J80" s="6">
        <v>15617362</v>
      </c>
      <c r="K80" s="6" t="s">
        <v>256</v>
      </c>
      <c r="L80" s="17" t="s">
        <v>259</v>
      </c>
      <c r="M80" s="8">
        <v>179900</v>
      </c>
      <c r="N80" s="36">
        <f t="shared" si="11"/>
        <v>0.75</v>
      </c>
      <c r="O80" s="35">
        <f t="shared" si="9"/>
        <v>44975</v>
      </c>
      <c r="P80" s="22" t="s">
        <v>16</v>
      </c>
    </row>
    <row r="81" spans="1:16" x14ac:dyDescent="0.35">
      <c r="A81" s="14" t="str">
        <f t="shared" si="10"/>
        <v xml:space="preserve"> 2024 JAN-DEC D75 LICENSE BABY</v>
      </c>
      <c r="B81" s="7">
        <f t="shared" si="7"/>
        <v>46104</v>
      </c>
      <c r="C81" s="7">
        <f t="shared" si="8"/>
        <v>46113</v>
      </c>
      <c r="D81" s="6">
        <v>3284</v>
      </c>
      <c r="E81" s="6">
        <v>338</v>
      </c>
      <c r="F81" s="6">
        <v>4</v>
      </c>
      <c r="G81" s="6">
        <v>3</v>
      </c>
      <c r="H81" s="6">
        <v>81574</v>
      </c>
      <c r="I81" s="6" t="s">
        <v>17</v>
      </c>
      <c r="J81" s="6">
        <v>15617371</v>
      </c>
      <c r="K81" s="6" t="s">
        <v>256</v>
      </c>
      <c r="L81" s="17" t="s">
        <v>260</v>
      </c>
      <c r="M81" s="8">
        <v>179900</v>
      </c>
      <c r="N81" s="36">
        <f t="shared" si="11"/>
        <v>0.75</v>
      </c>
      <c r="O81" s="35">
        <f t="shared" si="9"/>
        <v>44975</v>
      </c>
      <c r="P81" s="22" t="s">
        <v>16</v>
      </c>
    </row>
    <row r="82" spans="1:16" x14ac:dyDescent="0.35">
      <c r="A82" s="14" t="str">
        <f t="shared" si="10"/>
        <v xml:space="preserve"> 2024 JAN-DEC D75 LICENSE BABY</v>
      </c>
      <c r="B82" s="7">
        <f t="shared" si="7"/>
        <v>46104</v>
      </c>
      <c r="C82" s="7">
        <f t="shared" si="8"/>
        <v>46113</v>
      </c>
      <c r="D82" s="6">
        <v>3284</v>
      </c>
      <c r="E82" s="6">
        <v>338</v>
      </c>
      <c r="F82" s="6">
        <v>4</v>
      </c>
      <c r="G82" s="6">
        <v>4</v>
      </c>
      <c r="H82" s="6">
        <v>81421</v>
      </c>
      <c r="I82" s="6" t="s">
        <v>17</v>
      </c>
      <c r="J82" s="6">
        <v>81802279</v>
      </c>
      <c r="K82" s="6" t="s">
        <v>261</v>
      </c>
      <c r="L82" s="17" t="s">
        <v>262</v>
      </c>
      <c r="M82" s="8">
        <v>199900</v>
      </c>
      <c r="N82" s="36">
        <f t="shared" si="11"/>
        <v>0.75</v>
      </c>
      <c r="O82" s="35">
        <f t="shared" si="9"/>
        <v>49975</v>
      </c>
      <c r="P82" s="22" t="s">
        <v>16</v>
      </c>
    </row>
    <row r="83" spans="1:16" x14ac:dyDescent="0.35">
      <c r="A83" s="14" t="str">
        <f t="shared" si="10"/>
        <v xml:space="preserve"> 2024 JAN-DEC D75 LICENSE BABY</v>
      </c>
      <c r="B83" s="7">
        <f t="shared" si="7"/>
        <v>46104</v>
      </c>
      <c r="C83" s="7">
        <f t="shared" si="8"/>
        <v>46113</v>
      </c>
      <c r="D83" s="6">
        <v>3284</v>
      </c>
      <c r="E83" s="6">
        <v>338</v>
      </c>
      <c r="F83" s="6">
        <v>4</v>
      </c>
      <c r="G83" s="6">
        <v>4</v>
      </c>
      <c r="H83" s="6">
        <v>81421</v>
      </c>
      <c r="I83" s="6" t="s">
        <v>17</v>
      </c>
      <c r="J83" s="6">
        <v>81802288</v>
      </c>
      <c r="K83" s="6" t="s">
        <v>261</v>
      </c>
      <c r="L83" s="17" t="s">
        <v>263</v>
      </c>
      <c r="M83" s="8">
        <v>199900</v>
      </c>
      <c r="N83" s="36">
        <f t="shared" si="11"/>
        <v>0.75</v>
      </c>
      <c r="O83" s="35">
        <f t="shared" si="9"/>
        <v>49975</v>
      </c>
      <c r="P83" s="22" t="s">
        <v>16</v>
      </c>
    </row>
    <row r="84" spans="1:16" x14ac:dyDescent="0.35">
      <c r="A84" s="14" t="str">
        <f t="shared" si="10"/>
        <v xml:space="preserve"> 2024 JAN-DEC D75 LICENSE BABY</v>
      </c>
      <c r="B84" s="7">
        <f t="shared" si="7"/>
        <v>46104</v>
      </c>
      <c r="C84" s="7">
        <f t="shared" si="8"/>
        <v>46113</v>
      </c>
      <c r="D84" s="6">
        <v>3284</v>
      </c>
      <c r="E84" s="6">
        <v>338</v>
      </c>
      <c r="F84" s="6">
        <v>4</v>
      </c>
      <c r="G84" s="6">
        <v>4</v>
      </c>
      <c r="H84" s="6">
        <v>81421</v>
      </c>
      <c r="I84" s="6" t="s">
        <v>17</v>
      </c>
      <c r="J84" s="6">
        <v>81802297</v>
      </c>
      <c r="K84" s="6" t="s">
        <v>261</v>
      </c>
      <c r="L84" s="17" t="s">
        <v>264</v>
      </c>
      <c r="M84" s="8">
        <v>199900</v>
      </c>
      <c r="N84" s="36">
        <f t="shared" si="11"/>
        <v>0.75</v>
      </c>
      <c r="O84" s="35">
        <f t="shared" si="9"/>
        <v>49975</v>
      </c>
      <c r="P84" s="22" t="s">
        <v>16</v>
      </c>
    </row>
    <row r="85" spans="1:16" x14ac:dyDescent="0.35">
      <c r="A85" s="14" t="str">
        <f t="shared" si="10"/>
        <v xml:space="preserve"> 2024 JAN-DEC D75 LICENSE BABY</v>
      </c>
      <c r="B85" s="7">
        <f t="shared" si="7"/>
        <v>46104</v>
      </c>
      <c r="C85" s="7">
        <f t="shared" si="8"/>
        <v>46113</v>
      </c>
      <c r="D85" s="6">
        <v>3284</v>
      </c>
      <c r="E85" s="6">
        <v>338</v>
      </c>
      <c r="F85" s="6">
        <v>4</v>
      </c>
      <c r="G85" s="6">
        <v>4</v>
      </c>
      <c r="H85" s="6">
        <v>81421</v>
      </c>
      <c r="I85" s="6" t="s">
        <v>17</v>
      </c>
      <c r="J85" s="6">
        <v>81802304</v>
      </c>
      <c r="K85" s="6" t="s">
        <v>261</v>
      </c>
      <c r="L85" s="17" t="s">
        <v>265</v>
      </c>
      <c r="M85" s="8">
        <v>199900</v>
      </c>
      <c r="N85" s="36">
        <f t="shared" si="11"/>
        <v>0.75</v>
      </c>
      <c r="O85" s="35">
        <f t="shared" si="9"/>
        <v>49975</v>
      </c>
      <c r="P85" s="22" t="s">
        <v>16</v>
      </c>
    </row>
    <row r="86" spans="1:16" x14ac:dyDescent="0.35">
      <c r="A86" s="14" t="str">
        <f t="shared" si="10"/>
        <v xml:space="preserve"> 2024 JAN-DEC D75 LICENSE BABY</v>
      </c>
      <c r="B86" s="7">
        <f t="shared" si="7"/>
        <v>46104</v>
      </c>
      <c r="C86" s="7">
        <f t="shared" si="8"/>
        <v>46113</v>
      </c>
      <c r="D86" s="6">
        <v>3284</v>
      </c>
      <c r="E86" s="6">
        <v>338</v>
      </c>
      <c r="F86" s="6">
        <v>4</v>
      </c>
      <c r="G86" s="6">
        <v>4</v>
      </c>
      <c r="H86" s="6">
        <v>81421</v>
      </c>
      <c r="I86" s="6" t="s">
        <v>17</v>
      </c>
      <c r="J86" s="6">
        <v>15617719</v>
      </c>
      <c r="K86" s="6" t="s">
        <v>266</v>
      </c>
      <c r="L86" s="17" t="s">
        <v>267</v>
      </c>
      <c r="M86" s="8">
        <v>199900</v>
      </c>
      <c r="N86" s="36">
        <f t="shared" si="11"/>
        <v>0.75</v>
      </c>
      <c r="O86" s="35">
        <f t="shared" si="9"/>
        <v>49975</v>
      </c>
      <c r="P86" s="22" t="s">
        <v>16</v>
      </c>
    </row>
    <row r="87" spans="1:16" x14ac:dyDescent="0.35">
      <c r="A87" s="14" t="str">
        <f t="shared" si="10"/>
        <v xml:space="preserve"> 2024 JAN-DEC D75 LICENSE BABY</v>
      </c>
      <c r="B87" s="7">
        <f t="shared" si="7"/>
        <v>46104</v>
      </c>
      <c r="C87" s="7">
        <f t="shared" si="8"/>
        <v>46113</v>
      </c>
      <c r="D87" s="6">
        <v>3284</v>
      </c>
      <c r="E87" s="6">
        <v>338</v>
      </c>
      <c r="F87" s="6">
        <v>4</v>
      </c>
      <c r="G87" s="6">
        <v>4</v>
      </c>
      <c r="H87" s="6">
        <v>81421</v>
      </c>
      <c r="I87" s="6" t="s">
        <v>17</v>
      </c>
      <c r="J87" s="6">
        <v>15617728</v>
      </c>
      <c r="K87" s="6" t="s">
        <v>266</v>
      </c>
      <c r="L87" s="17" t="s">
        <v>632</v>
      </c>
      <c r="M87" s="8">
        <v>199900</v>
      </c>
      <c r="N87" s="36">
        <f t="shared" si="11"/>
        <v>0.75</v>
      </c>
      <c r="O87" s="35">
        <f t="shared" si="9"/>
        <v>49975</v>
      </c>
      <c r="P87" s="22" t="s">
        <v>16</v>
      </c>
    </row>
    <row r="88" spans="1:16" x14ac:dyDescent="0.35">
      <c r="A88" s="14" t="str">
        <f t="shared" si="10"/>
        <v xml:space="preserve"> 2024 JAN-DEC D75 LICENSE BABY</v>
      </c>
      <c r="B88" s="7">
        <f t="shared" si="7"/>
        <v>46104</v>
      </c>
      <c r="C88" s="7">
        <f t="shared" si="8"/>
        <v>46113</v>
      </c>
      <c r="D88" s="6">
        <v>3284</v>
      </c>
      <c r="E88" s="6">
        <v>338</v>
      </c>
      <c r="F88" s="6">
        <v>4</v>
      </c>
      <c r="G88" s="6">
        <v>4</v>
      </c>
      <c r="H88" s="6">
        <v>81421</v>
      </c>
      <c r="I88" s="6" t="s">
        <v>17</v>
      </c>
      <c r="J88" s="6">
        <v>15617737</v>
      </c>
      <c r="K88" s="6" t="s">
        <v>266</v>
      </c>
      <c r="L88" s="17" t="s">
        <v>268</v>
      </c>
      <c r="M88" s="8">
        <v>199900</v>
      </c>
      <c r="N88" s="36">
        <f t="shared" si="11"/>
        <v>0.75</v>
      </c>
      <c r="O88" s="35">
        <f t="shared" si="9"/>
        <v>49975</v>
      </c>
      <c r="P88" s="22" t="s">
        <v>16</v>
      </c>
    </row>
    <row r="89" spans="1:16" x14ac:dyDescent="0.35">
      <c r="A89" s="14" t="str">
        <f t="shared" si="10"/>
        <v xml:space="preserve"> 2024 JAN-DEC D75 LICENSE BABY</v>
      </c>
      <c r="B89" s="7">
        <f t="shared" si="7"/>
        <v>46104</v>
      </c>
      <c r="C89" s="7">
        <f t="shared" si="8"/>
        <v>46113</v>
      </c>
      <c r="D89" s="6">
        <v>3284</v>
      </c>
      <c r="E89" s="6">
        <v>338</v>
      </c>
      <c r="F89" s="6">
        <v>4</v>
      </c>
      <c r="G89" s="6">
        <v>4</v>
      </c>
      <c r="H89" s="6">
        <v>81421</v>
      </c>
      <c r="I89" s="6" t="s">
        <v>17</v>
      </c>
      <c r="J89" s="6">
        <v>15743341</v>
      </c>
      <c r="K89" s="6" t="s">
        <v>266</v>
      </c>
      <c r="L89" s="17" t="s">
        <v>269</v>
      </c>
      <c r="M89" s="8">
        <v>199900</v>
      </c>
      <c r="N89" s="36">
        <f t="shared" si="11"/>
        <v>0.75</v>
      </c>
      <c r="O89" s="35">
        <f t="shared" si="9"/>
        <v>49975</v>
      </c>
      <c r="P89" s="22" t="s">
        <v>16</v>
      </c>
    </row>
    <row r="90" spans="1:16" x14ac:dyDescent="0.35">
      <c r="A90" s="14" t="str">
        <f t="shared" si="10"/>
        <v xml:space="preserve"> 2024 JAN-DEC D75 LICENSE BABY</v>
      </c>
      <c r="B90" s="7">
        <f t="shared" si="7"/>
        <v>46104</v>
      </c>
      <c r="C90" s="7">
        <f t="shared" si="8"/>
        <v>46113</v>
      </c>
      <c r="D90" s="6">
        <v>3284</v>
      </c>
      <c r="E90" s="6">
        <v>338</v>
      </c>
      <c r="F90" s="6">
        <v>4</v>
      </c>
      <c r="G90" s="6">
        <v>4</v>
      </c>
      <c r="H90" s="6">
        <v>81421</v>
      </c>
      <c r="I90" s="6" t="s">
        <v>17</v>
      </c>
      <c r="J90" s="6">
        <v>15617826</v>
      </c>
      <c r="K90" s="6" t="s">
        <v>270</v>
      </c>
      <c r="L90" s="17" t="s">
        <v>271</v>
      </c>
      <c r="M90" s="8">
        <v>219900</v>
      </c>
      <c r="N90" s="36">
        <f t="shared" si="11"/>
        <v>0.75</v>
      </c>
      <c r="O90" s="35">
        <f t="shared" si="9"/>
        <v>54975</v>
      </c>
      <c r="P90" s="22" t="s">
        <v>16</v>
      </c>
    </row>
    <row r="91" spans="1:16" x14ac:dyDescent="0.35">
      <c r="A91" s="14" t="str">
        <f t="shared" si="10"/>
        <v xml:space="preserve"> 2024 JAN-DEC D75 LICENSE BABY</v>
      </c>
      <c r="B91" s="7">
        <f t="shared" si="7"/>
        <v>46104</v>
      </c>
      <c r="C91" s="7">
        <f t="shared" si="8"/>
        <v>46113</v>
      </c>
      <c r="D91" s="6">
        <v>3284</v>
      </c>
      <c r="E91" s="6">
        <v>338</v>
      </c>
      <c r="F91" s="6">
        <v>4</v>
      </c>
      <c r="G91" s="6">
        <v>4</v>
      </c>
      <c r="H91" s="6">
        <v>81421</v>
      </c>
      <c r="I91" s="6" t="s">
        <v>17</v>
      </c>
      <c r="J91" s="6">
        <v>15617835</v>
      </c>
      <c r="K91" s="6" t="s">
        <v>270</v>
      </c>
      <c r="L91" s="17" t="s">
        <v>272</v>
      </c>
      <c r="M91" s="8">
        <v>219900</v>
      </c>
      <c r="N91" s="36">
        <f t="shared" si="11"/>
        <v>0.75</v>
      </c>
      <c r="O91" s="35">
        <f t="shared" si="9"/>
        <v>54975</v>
      </c>
      <c r="P91" s="22" t="s">
        <v>16</v>
      </c>
    </row>
    <row r="92" spans="1:16" x14ac:dyDescent="0.35">
      <c r="A92" s="14" t="str">
        <f t="shared" si="10"/>
        <v xml:space="preserve"> 2024 JAN-DEC D75 LICENSE BABY</v>
      </c>
      <c r="B92" s="7">
        <f t="shared" si="7"/>
        <v>46104</v>
      </c>
      <c r="C92" s="7">
        <f t="shared" si="8"/>
        <v>46113</v>
      </c>
      <c r="D92" s="6">
        <v>3284</v>
      </c>
      <c r="E92" s="6">
        <v>338</v>
      </c>
      <c r="F92" s="6">
        <v>4</v>
      </c>
      <c r="G92" s="6">
        <v>4</v>
      </c>
      <c r="H92" s="6">
        <v>81421</v>
      </c>
      <c r="I92" s="6" t="s">
        <v>17</v>
      </c>
      <c r="J92" s="6">
        <v>15617844</v>
      </c>
      <c r="K92" s="6" t="s">
        <v>270</v>
      </c>
      <c r="L92" s="17" t="s">
        <v>273</v>
      </c>
      <c r="M92" s="8">
        <v>219900</v>
      </c>
      <c r="N92" s="36">
        <f t="shared" si="11"/>
        <v>0.75</v>
      </c>
      <c r="O92" s="35">
        <f t="shared" si="9"/>
        <v>54975</v>
      </c>
      <c r="P92" s="22" t="s">
        <v>16</v>
      </c>
    </row>
    <row r="93" spans="1:16" x14ac:dyDescent="0.35">
      <c r="A93" s="14" t="str">
        <f t="shared" si="10"/>
        <v xml:space="preserve"> 2024 JAN-DEC D75 LICENSE BABY</v>
      </c>
      <c r="B93" s="7">
        <f t="shared" si="7"/>
        <v>46104</v>
      </c>
      <c r="C93" s="7">
        <f t="shared" si="8"/>
        <v>46113</v>
      </c>
      <c r="D93" s="6">
        <v>3284</v>
      </c>
      <c r="E93" s="6">
        <v>338</v>
      </c>
      <c r="F93" s="6">
        <v>4</v>
      </c>
      <c r="G93" s="6">
        <v>4</v>
      </c>
      <c r="H93" s="6">
        <v>81421</v>
      </c>
      <c r="I93" s="6" t="s">
        <v>17</v>
      </c>
      <c r="J93" s="6">
        <v>15617853</v>
      </c>
      <c r="K93" s="6" t="s">
        <v>270</v>
      </c>
      <c r="L93" s="17" t="s">
        <v>274</v>
      </c>
      <c r="M93" s="8">
        <v>219900</v>
      </c>
      <c r="N93" s="36">
        <f t="shared" si="11"/>
        <v>0.75</v>
      </c>
      <c r="O93" s="35">
        <f t="shared" si="9"/>
        <v>54975</v>
      </c>
      <c r="P93" s="22" t="s">
        <v>16</v>
      </c>
    </row>
    <row r="94" spans="1:16" x14ac:dyDescent="0.35">
      <c r="A94" s="14" t="str">
        <f t="shared" si="10"/>
        <v xml:space="preserve"> 2024 JAN-DEC D75 LICENSE BABY</v>
      </c>
      <c r="B94" s="7">
        <f t="shared" ref="B94:B125" si="12">B93</f>
        <v>46104</v>
      </c>
      <c r="C94" s="7">
        <f t="shared" ref="C94:C125" si="13">C93</f>
        <v>46113</v>
      </c>
      <c r="D94" s="6">
        <v>3284</v>
      </c>
      <c r="E94" s="6">
        <v>338</v>
      </c>
      <c r="F94" s="6">
        <v>4</v>
      </c>
      <c r="G94" s="6">
        <v>4</v>
      </c>
      <c r="H94" s="6">
        <v>81421</v>
      </c>
      <c r="I94" s="6" t="s">
        <v>17</v>
      </c>
      <c r="J94" s="6">
        <v>15617862</v>
      </c>
      <c r="K94" s="6" t="s">
        <v>275</v>
      </c>
      <c r="L94" s="17" t="s">
        <v>276</v>
      </c>
      <c r="M94" s="8">
        <v>199900</v>
      </c>
      <c r="N94" s="36">
        <f t="shared" si="11"/>
        <v>0.75</v>
      </c>
      <c r="O94" s="35">
        <f t="shared" si="9"/>
        <v>49975</v>
      </c>
      <c r="P94" s="22" t="s">
        <v>16</v>
      </c>
    </row>
    <row r="95" spans="1:16" x14ac:dyDescent="0.35">
      <c r="A95" s="14" t="str">
        <f t="shared" si="10"/>
        <v xml:space="preserve"> 2024 JAN-DEC D75 LICENSE BABY</v>
      </c>
      <c r="B95" s="7">
        <f t="shared" si="12"/>
        <v>46104</v>
      </c>
      <c r="C95" s="7">
        <f t="shared" si="13"/>
        <v>46113</v>
      </c>
      <c r="D95" s="6">
        <v>3284</v>
      </c>
      <c r="E95" s="6">
        <v>338</v>
      </c>
      <c r="F95" s="6">
        <v>4</v>
      </c>
      <c r="G95" s="6">
        <v>4</v>
      </c>
      <c r="H95" s="6">
        <v>81421</v>
      </c>
      <c r="I95" s="6" t="s">
        <v>17</v>
      </c>
      <c r="J95" s="6">
        <v>15617871</v>
      </c>
      <c r="K95" s="6" t="s">
        <v>275</v>
      </c>
      <c r="L95" s="17" t="s">
        <v>277</v>
      </c>
      <c r="M95" s="8">
        <v>199900</v>
      </c>
      <c r="N95" s="36">
        <f t="shared" si="11"/>
        <v>0.75</v>
      </c>
      <c r="O95" s="35">
        <f t="shared" si="9"/>
        <v>49975</v>
      </c>
      <c r="P95" s="22" t="s">
        <v>16</v>
      </c>
    </row>
    <row r="96" spans="1:16" x14ac:dyDescent="0.35">
      <c r="A96" s="14" t="str">
        <f t="shared" si="10"/>
        <v xml:space="preserve"> 2024 JAN-DEC D75 LICENSE BABY</v>
      </c>
      <c r="B96" s="7">
        <f t="shared" si="12"/>
        <v>46104</v>
      </c>
      <c r="C96" s="7">
        <f t="shared" si="13"/>
        <v>46113</v>
      </c>
      <c r="D96" s="6">
        <v>3284</v>
      </c>
      <c r="E96" s="6">
        <v>338</v>
      </c>
      <c r="F96" s="6">
        <v>4</v>
      </c>
      <c r="G96" s="6">
        <v>4</v>
      </c>
      <c r="H96" s="6">
        <v>81421</v>
      </c>
      <c r="I96" s="6" t="s">
        <v>17</v>
      </c>
      <c r="J96" s="6">
        <v>15617880</v>
      </c>
      <c r="K96" s="6" t="s">
        <v>275</v>
      </c>
      <c r="L96" s="17" t="s">
        <v>278</v>
      </c>
      <c r="M96" s="8">
        <v>199900</v>
      </c>
      <c r="N96" s="36">
        <f t="shared" si="11"/>
        <v>0.75</v>
      </c>
      <c r="O96" s="35">
        <f t="shared" si="9"/>
        <v>49975</v>
      </c>
      <c r="P96" s="22" t="s">
        <v>16</v>
      </c>
    </row>
    <row r="97" spans="1:16" x14ac:dyDescent="0.35">
      <c r="A97" s="14" t="str">
        <f t="shared" si="10"/>
        <v xml:space="preserve"> 2024 JAN-DEC D75 LICENSE BABY</v>
      </c>
      <c r="B97" s="7">
        <f t="shared" si="12"/>
        <v>46104</v>
      </c>
      <c r="C97" s="7">
        <f t="shared" si="13"/>
        <v>46113</v>
      </c>
      <c r="D97" s="6">
        <v>3284</v>
      </c>
      <c r="E97" s="6">
        <v>338</v>
      </c>
      <c r="F97" s="6">
        <v>4</v>
      </c>
      <c r="G97" s="6">
        <v>4</v>
      </c>
      <c r="H97" s="6">
        <v>81421</v>
      </c>
      <c r="I97" s="6" t="s">
        <v>17</v>
      </c>
      <c r="J97" s="6">
        <v>15617899</v>
      </c>
      <c r="K97" s="6" t="s">
        <v>275</v>
      </c>
      <c r="L97" s="17" t="s">
        <v>279</v>
      </c>
      <c r="M97" s="8">
        <v>199900</v>
      </c>
      <c r="N97" s="36">
        <f t="shared" si="11"/>
        <v>0.75</v>
      </c>
      <c r="O97" s="35">
        <f t="shared" si="9"/>
        <v>49975</v>
      </c>
      <c r="P97" s="22" t="s">
        <v>16</v>
      </c>
    </row>
    <row r="98" spans="1:16" x14ac:dyDescent="0.35">
      <c r="A98" s="14" t="str">
        <f t="shared" si="10"/>
        <v xml:space="preserve"> 2024 JAN-DEC D75 LICENSE BABY</v>
      </c>
      <c r="B98" s="7">
        <f t="shared" si="12"/>
        <v>46104</v>
      </c>
      <c r="C98" s="7">
        <f t="shared" si="13"/>
        <v>46113</v>
      </c>
      <c r="D98" s="6">
        <v>3284</v>
      </c>
      <c r="E98" s="6">
        <v>338</v>
      </c>
      <c r="F98" s="6">
        <v>4</v>
      </c>
      <c r="G98" s="6">
        <v>4</v>
      </c>
      <c r="H98" s="6">
        <v>81421</v>
      </c>
      <c r="I98" s="6" t="s">
        <v>17</v>
      </c>
      <c r="J98" s="6">
        <v>16859751</v>
      </c>
      <c r="K98" s="6" t="s">
        <v>633</v>
      </c>
      <c r="L98" s="17" t="s">
        <v>634</v>
      </c>
      <c r="M98" s="8">
        <v>219900</v>
      </c>
      <c r="N98" s="36">
        <f t="shared" si="11"/>
        <v>0.75</v>
      </c>
      <c r="O98" s="35">
        <f t="shared" si="9"/>
        <v>54975</v>
      </c>
      <c r="P98" s="22" t="s">
        <v>16</v>
      </c>
    </row>
    <row r="99" spans="1:16" x14ac:dyDescent="0.35">
      <c r="A99" s="14" t="str">
        <f t="shared" si="10"/>
        <v xml:space="preserve"> 2024 JAN-DEC D75 LICENSE BABY</v>
      </c>
      <c r="B99" s="7">
        <f t="shared" si="12"/>
        <v>46104</v>
      </c>
      <c r="C99" s="7">
        <f t="shared" si="13"/>
        <v>46113</v>
      </c>
      <c r="D99" s="6">
        <v>3284</v>
      </c>
      <c r="E99" s="6">
        <v>338</v>
      </c>
      <c r="F99" s="6">
        <v>4</v>
      </c>
      <c r="G99" s="6">
        <v>4</v>
      </c>
      <c r="H99" s="6">
        <v>81421</v>
      </c>
      <c r="I99" s="6" t="s">
        <v>17</v>
      </c>
      <c r="J99" s="6">
        <v>16859760</v>
      </c>
      <c r="K99" s="6" t="s">
        <v>633</v>
      </c>
      <c r="L99" s="17" t="s">
        <v>635</v>
      </c>
      <c r="M99" s="8">
        <v>219900</v>
      </c>
      <c r="N99" s="36">
        <f t="shared" si="11"/>
        <v>0.75</v>
      </c>
      <c r="O99" s="35">
        <f t="shared" si="9"/>
        <v>54975</v>
      </c>
      <c r="P99" s="22" t="s">
        <v>16</v>
      </c>
    </row>
    <row r="100" spans="1:16" x14ac:dyDescent="0.35">
      <c r="A100" s="14" t="str">
        <f t="shared" si="10"/>
        <v xml:space="preserve"> 2024 JAN-DEC D75 LICENSE BABY</v>
      </c>
      <c r="B100" s="7">
        <f t="shared" si="12"/>
        <v>46104</v>
      </c>
      <c r="C100" s="7">
        <f t="shared" si="13"/>
        <v>46113</v>
      </c>
      <c r="D100" s="6">
        <v>3284</v>
      </c>
      <c r="E100" s="6">
        <v>338</v>
      </c>
      <c r="F100" s="6">
        <v>4</v>
      </c>
      <c r="G100" s="6">
        <v>4</v>
      </c>
      <c r="H100" s="6">
        <v>81421</v>
      </c>
      <c r="I100" s="6" t="s">
        <v>17</v>
      </c>
      <c r="J100" s="6">
        <v>16859779</v>
      </c>
      <c r="K100" s="6" t="s">
        <v>633</v>
      </c>
      <c r="L100" s="17" t="s">
        <v>636</v>
      </c>
      <c r="M100" s="8">
        <v>219900</v>
      </c>
      <c r="N100" s="36">
        <f t="shared" si="11"/>
        <v>0.75</v>
      </c>
      <c r="O100" s="35">
        <f t="shared" si="9"/>
        <v>54975</v>
      </c>
      <c r="P100" s="22" t="s">
        <v>16</v>
      </c>
    </row>
    <row r="101" spans="1:16" x14ac:dyDescent="0.35">
      <c r="A101" s="14" t="str">
        <f t="shared" si="10"/>
        <v xml:space="preserve"> 2024 JAN-DEC D75 LICENSE BABY</v>
      </c>
      <c r="B101" s="7">
        <f t="shared" si="12"/>
        <v>46104</v>
      </c>
      <c r="C101" s="7">
        <f t="shared" si="13"/>
        <v>46113</v>
      </c>
      <c r="D101" s="6">
        <v>3284</v>
      </c>
      <c r="E101" s="6">
        <v>338</v>
      </c>
      <c r="F101" s="6">
        <v>4</v>
      </c>
      <c r="G101" s="6">
        <v>4</v>
      </c>
      <c r="H101" s="6">
        <v>81421</v>
      </c>
      <c r="I101" s="6" t="s">
        <v>17</v>
      </c>
      <c r="J101" s="6">
        <v>16859788</v>
      </c>
      <c r="K101" s="6" t="s">
        <v>633</v>
      </c>
      <c r="L101" s="17" t="s">
        <v>637</v>
      </c>
      <c r="M101" s="8">
        <v>219900</v>
      </c>
      <c r="N101" s="36">
        <f t="shared" si="11"/>
        <v>0.75</v>
      </c>
      <c r="O101" s="35">
        <f t="shared" si="9"/>
        <v>54975</v>
      </c>
      <c r="P101" s="22" t="s">
        <v>16</v>
      </c>
    </row>
    <row r="102" spans="1:16" x14ac:dyDescent="0.35">
      <c r="A102" s="14" t="str">
        <f t="shared" si="10"/>
        <v xml:space="preserve"> 2024 JAN-DEC D75 LICENSE BABY</v>
      </c>
      <c r="B102" s="7">
        <f t="shared" si="12"/>
        <v>46104</v>
      </c>
      <c r="C102" s="7">
        <f t="shared" si="13"/>
        <v>46113</v>
      </c>
      <c r="D102" s="6">
        <v>3284</v>
      </c>
      <c r="E102" s="6">
        <v>338</v>
      </c>
      <c r="F102" s="6">
        <v>4</v>
      </c>
      <c r="G102" s="6">
        <v>4</v>
      </c>
      <c r="H102" s="6">
        <v>81421</v>
      </c>
      <c r="I102" s="6" t="s">
        <v>17</v>
      </c>
      <c r="J102" s="6">
        <v>18757367</v>
      </c>
      <c r="K102" s="6" t="s">
        <v>974</v>
      </c>
      <c r="L102" s="17" t="s">
        <v>975</v>
      </c>
      <c r="M102" s="8">
        <v>199900</v>
      </c>
      <c r="N102" s="36">
        <f t="shared" si="11"/>
        <v>0.75</v>
      </c>
      <c r="O102" s="35">
        <f t="shared" si="9"/>
        <v>49975</v>
      </c>
      <c r="P102" s="22" t="s">
        <v>16</v>
      </c>
    </row>
    <row r="103" spans="1:16" x14ac:dyDescent="0.35">
      <c r="A103" s="14" t="str">
        <f t="shared" si="10"/>
        <v xml:space="preserve"> 2024 JAN-DEC D75 LICENSE BABY</v>
      </c>
      <c r="B103" s="7">
        <f t="shared" si="12"/>
        <v>46104</v>
      </c>
      <c r="C103" s="7">
        <f t="shared" si="13"/>
        <v>46113</v>
      </c>
      <c r="D103" s="6">
        <v>3284</v>
      </c>
      <c r="E103" s="6">
        <v>338</v>
      </c>
      <c r="F103" s="6">
        <v>4</v>
      </c>
      <c r="G103" s="6">
        <v>4</v>
      </c>
      <c r="H103" s="6">
        <v>81421</v>
      </c>
      <c r="I103" s="6" t="s">
        <v>17</v>
      </c>
      <c r="J103" s="6">
        <v>18757376</v>
      </c>
      <c r="K103" s="6" t="s">
        <v>974</v>
      </c>
      <c r="L103" s="17" t="s">
        <v>976</v>
      </c>
      <c r="M103" s="8">
        <v>199900</v>
      </c>
      <c r="N103" s="36">
        <f t="shared" si="11"/>
        <v>0.75</v>
      </c>
      <c r="O103" s="35">
        <f t="shared" si="9"/>
        <v>49975</v>
      </c>
      <c r="P103" s="22" t="s">
        <v>16</v>
      </c>
    </row>
    <row r="104" spans="1:16" x14ac:dyDescent="0.35">
      <c r="A104" s="14" t="str">
        <f t="shared" si="10"/>
        <v xml:space="preserve"> 2024 JAN-DEC D75 LICENSE BABY</v>
      </c>
      <c r="B104" s="7">
        <f t="shared" si="12"/>
        <v>46104</v>
      </c>
      <c r="C104" s="7">
        <f t="shared" si="13"/>
        <v>46113</v>
      </c>
      <c r="D104" s="6">
        <v>3284</v>
      </c>
      <c r="E104" s="6">
        <v>338</v>
      </c>
      <c r="F104" s="6">
        <v>4</v>
      </c>
      <c r="G104" s="6">
        <v>4</v>
      </c>
      <c r="H104" s="6">
        <v>81421</v>
      </c>
      <c r="I104" s="6" t="s">
        <v>17</v>
      </c>
      <c r="J104" s="6">
        <v>18757385</v>
      </c>
      <c r="K104" s="6" t="s">
        <v>974</v>
      </c>
      <c r="L104" s="17" t="s">
        <v>977</v>
      </c>
      <c r="M104" s="8">
        <v>199900</v>
      </c>
      <c r="N104" s="36">
        <f t="shared" si="11"/>
        <v>0.75</v>
      </c>
      <c r="O104" s="35">
        <f t="shared" si="9"/>
        <v>49975</v>
      </c>
      <c r="P104" s="22" t="s">
        <v>16</v>
      </c>
    </row>
    <row r="105" spans="1:16" x14ac:dyDescent="0.35">
      <c r="A105" s="14" t="str">
        <f t="shared" si="10"/>
        <v xml:space="preserve"> 2024 JAN-DEC D75 LICENSE BABY</v>
      </c>
      <c r="B105" s="7">
        <f t="shared" si="12"/>
        <v>46104</v>
      </c>
      <c r="C105" s="7">
        <f t="shared" si="13"/>
        <v>46113</v>
      </c>
      <c r="D105" s="6">
        <v>3284</v>
      </c>
      <c r="E105" s="6">
        <v>338</v>
      </c>
      <c r="F105" s="6">
        <v>4</v>
      </c>
      <c r="G105" s="6">
        <v>4</v>
      </c>
      <c r="H105" s="6">
        <v>81421</v>
      </c>
      <c r="I105" s="6" t="s">
        <v>17</v>
      </c>
      <c r="J105" s="6">
        <v>18757394</v>
      </c>
      <c r="K105" s="6" t="s">
        <v>974</v>
      </c>
      <c r="L105" s="17" t="s">
        <v>978</v>
      </c>
      <c r="M105" s="8">
        <v>199900</v>
      </c>
      <c r="N105" s="36">
        <f t="shared" si="11"/>
        <v>0.75</v>
      </c>
      <c r="O105" s="35">
        <f t="shared" si="9"/>
        <v>49975</v>
      </c>
      <c r="P105" s="22" t="s">
        <v>16</v>
      </c>
    </row>
    <row r="106" spans="1:16" x14ac:dyDescent="0.35">
      <c r="A106" s="14" t="str">
        <f t="shared" si="10"/>
        <v xml:space="preserve"> 2024 JAN-DEC D75 LICENSE BABY</v>
      </c>
      <c r="B106" s="7">
        <f t="shared" si="12"/>
        <v>46104</v>
      </c>
      <c r="C106" s="7">
        <f t="shared" si="13"/>
        <v>46113</v>
      </c>
      <c r="D106" s="6">
        <v>3284</v>
      </c>
      <c r="E106" s="6">
        <v>338</v>
      </c>
      <c r="F106" s="6">
        <v>4</v>
      </c>
      <c r="G106" s="6">
        <v>4</v>
      </c>
      <c r="H106" s="6">
        <v>80920</v>
      </c>
      <c r="I106" s="6" t="s">
        <v>17</v>
      </c>
      <c r="J106" s="6">
        <v>15617399</v>
      </c>
      <c r="K106" s="6" t="s">
        <v>280</v>
      </c>
      <c r="L106" s="17" t="s">
        <v>281</v>
      </c>
      <c r="M106" s="8">
        <v>199900</v>
      </c>
      <c r="N106" s="36">
        <f t="shared" si="11"/>
        <v>0.75</v>
      </c>
      <c r="O106" s="35">
        <f t="shared" si="9"/>
        <v>49975</v>
      </c>
      <c r="P106" s="22" t="s">
        <v>16</v>
      </c>
    </row>
    <row r="107" spans="1:16" x14ac:dyDescent="0.35">
      <c r="A107" s="14" t="str">
        <f t="shared" si="10"/>
        <v xml:space="preserve"> 2024 JAN-DEC D75 LICENSE BABY</v>
      </c>
      <c r="B107" s="7">
        <f t="shared" si="12"/>
        <v>46104</v>
      </c>
      <c r="C107" s="7">
        <f t="shared" si="13"/>
        <v>46113</v>
      </c>
      <c r="D107" s="6">
        <v>3284</v>
      </c>
      <c r="E107" s="6">
        <v>338</v>
      </c>
      <c r="F107" s="6">
        <v>4</v>
      </c>
      <c r="G107" s="6">
        <v>4</v>
      </c>
      <c r="H107" s="6">
        <v>80920</v>
      </c>
      <c r="I107" s="6" t="s">
        <v>17</v>
      </c>
      <c r="J107" s="6">
        <v>15617406</v>
      </c>
      <c r="K107" s="6" t="s">
        <v>280</v>
      </c>
      <c r="L107" s="17" t="s">
        <v>282</v>
      </c>
      <c r="M107" s="8">
        <v>199900</v>
      </c>
      <c r="N107" s="36">
        <f t="shared" si="11"/>
        <v>0.75</v>
      </c>
      <c r="O107" s="35">
        <f t="shared" si="9"/>
        <v>49975</v>
      </c>
      <c r="P107" s="22" t="s">
        <v>16</v>
      </c>
    </row>
    <row r="108" spans="1:16" x14ac:dyDescent="0.35">
      <c r="A108" s="14" t="str">
        <f t="shared" si="10"/>
        <v xml:space="preserve"> 2024 JAN-DEC D75 LICENSE BABY</v>
      </c>
      <c r="B108" s="7">
        <f t="shared" si="12"/>
        <v>46104</v>
      </c>
      <c r="C108" s="7">
        <f t="shared" si="13"/>
        <v>46113</v>
      </c>
      <c r="D108" s="6">
        <v>3284</v>
      </c>
      <c r="E108" s="6">
        <v>338</v>
      </c>
      <c r="F108" s="6">
        <v>4</v>
      </c>
      <c r="G108" s="6">
        <v>4</v>
      </c>
      <c r="H108" s="6">
        <v>80920</v>
      </c>
      <c r="I108" s="6" t="s">
        <v>17</v>
      </c>
      <c r="J108" s="6">
        <v>15617415</v>
      </c>
      <c r="K108" s="6" t="s">
        <v>280</v>
      </c>
      <c r="L108" s="17" t="s">
        <v>283</v>
      </c>
      <c r="M108" s="8">
        <v>199900</v>
      </c>
      <c r="N108" s="36">
        <f t="shared" si="11"/>
        <v>0.75</v>
      </c>
      <c r="O108" s="35">
        <f t="shared" si="9"/>
        <v>49975</v>
      </c>
      <c r="P108" s="22" t="s">
        <v>16</v>
      </c>
    </row>
    <row r="109" spans="1:16" x14ac:dyDescent="0.35">
      <c r="A109" s="14" t="str">
        <f t="shared" si="10"/>
        <v xml:space="preserve"> 2024 JAN-DEC D75 LICENSE BABY</v>
      </c>
      <c r="B109" s="7">
        <f t="shared" si="12"/>
        <v>46104</v>
      </c>
      <c r="C109" s="7">
        <f t="shared" si="13"/>
        <v>46113</v>
      </c>
      <c r="D109" s="6">
        <v>3284</v>
      </c>
      <c r="E109" s="6">
        <v>338</v>
      </c>
      <c r="F109" s="6">
        <v>4</v>
      </c>
      <c r="G109" s="6">
        <v>4</v>
      </c>
      <c r="H109" s="6">
        <v>80920</v>
      </c>
      <c r="I109" s="6" t="s">
        <v>17</v>
      </c>
      <c r="J109" s="6">
        <v>15743350</v>
      </c>
      <c r="K109" s="6" t="s">
        <v>280</v>
      </c>
      <c r="L109" s="17" t="s">
        <v>284</v>
      </c>
      <c r="M109" s="8">
        <v>199900</v>
      </c>
      <c r="N109" s="36">
        <f t="shared" si="11"/>
        <v>0.75</v>
      </c>
      <c r="O109" s="35">
        <f t="shared" si="9"/>
        <v>49975</v>
      </c>
      <c r="P109" s="22" t="s">
        <v>16</v>
      </c>
    </row>
    <row r="110" spans="1:16" x14ac:dyDescent="0.35">
      <c r="A110" s="14" t="str">
        <f t="shared" si="10"/>
        <v xml:space="preserve"> 2024 JAN-DEC D75 LICENSE BABY</v>
      </c>
      <c r="B110" s="7">
        <f t="shared" si="12"/>
        <v>46104</v>
      </c>
      <c r="C110" s="7">
        <f t="shared" si="13"/>
        <v>46113</v>
      </c>
      <c r="D110" s="6">
        <v>3284</v>
      </c>
      <c r="E110" s="6">
        <v>338</v>
      </c>
      <c r="F110" s="6">
        <v>4</v>
      </c>
      <c r="G110" s="6">
        <v>4</v>
      </c>
      <c r="H110" s="6">
        <v>80920</v>
      </c>
      <c r="I110" s="6" t="s">
        <v>17</v>
      </c>
      <c r="J110" s="6">
        <v>15617942</v>
      </c>
      <c r="K110" s="6" t="s">
        <v>285</v>
      </c>
      <c r="L110" s="17" t="s">
        <v>286</v>
      </c>
      <c r="M110" s="8">
        <v>219900</v>
      </c>
      <c r="N110" s="36">
        <f t="shared" si="11"/>
        <v>0.75</v>
      </c>
      <c r="O110" s="35">
        <f t="shared" si="9"/>
        <v>54975</v>
      </c>
      <c r="P110" s="22" t="s">
        <v>16</v>
      </c>
    </row>
    <row r="111" spans="1:16" x14ac:dyDescent="0.35">
      <c r="A111" s="14" t="str">
        <f t="shared" si="10"/>
        <v xml:space="preserve"> 2024 JAN-DEC D75 LICENSE BABY</v>
      </c>
      <c r="B111" s="7">
        <f t="shared" si="12"/>
        <v>46104</v>
      </c>
      <c r="C111" s="7">
        <f t="shared" si="13"/>
        <v>46113</v>
      </c>
      <c r="D111" s="6">
        <v>3284</v>
      </c>
      <c r="E111" s="6">
        <v>338</v>
      </c>
      <c r="F111" s="6">
        <v>4</v>
      </c>
      <c r="G111" s="6">
        <v>4</v>
      </c>
      <c r="H111" s="6">
        <v>80920</v>
      </c>
      <c r="I111" s="6" t="s">
        <v>17</v>
      </c>
      <c r="J111" s="6">
        <v>15617951</v>
      </c>
      <c r="K111" s="6" t="s">
        <v>285</v>
      </c>
      <c r="L111" s="17" t="s">
        <v>287</v>
      </c>
      <c r="M111" s="8">
        <v>219900</v>
      </c>
      <c r="N111" s="36">
        <f t="shared" si="11"/>
        <v>0.75</v>
      </c>
      <c r="O111" s="35">
        <f t="shared" si="9"/>
        <v>54975</v>
      </c>
      <c r="P111" s="22" t="s">
        <v>16</v>
      </c>
    </row>
    <row r="112" spans="1:16" x14ac:dyDescent="0.35">
      <c r="A112" s="14" t="str">
        <f t="shared" si="10"/>
        <v xml:space="preserve"> 2024 JAN-DEC D75 LICENSE BABY</v>
      </c>
      <c r="B112" s="7">
        <f t="shared" si="12"/>
        <v>46104</v>
      </c>
      <c r="C112" s="7">
        <f t="shared" si="13"/>
        <v>46113</v>
      </c>
      <c r="D112" s="6">
        <v>3284</v>
      </c>
      <c r="E112" s="6">
        <v>338</v>
      </c>
      <c r="F112" s="6">
        <v>4</v>
      </c>
      <c r="G112" s="6">
        <v>4</v>
      </c>
      <c r="H112" s="6">
        <v>80920</v>
      </c>
      <c r="I112" s="6" t="s">
        <v>17</v>
      </c>
      <c r="J112" s="6">
        <v>15617960</v>
      </c>
      <c r="K112" s="6" t="s">
        <v>285</v>
      </c>
      <c r="L112" s="17" t="s">
        <v>288</v>
      </c>
      <c r="M112" s="8">
        <v>219900</v>
      </c>
      <c r="N112" s="36">
        <f t="shared" si="11"/>
        <v>0.75</v>
      </c>
      <c r="O112" s="35">
        <f t="shared" si="9"/>
        <v>54975</v>
      </c>
      <c r="P112" s="22" t="s">
        <v>16</v>
      </c>
    </row>
    <row r="113" spans="1:16" x14ac:dyDescent="0.35">
      <c r="A113" s="14" t="str">
        <f t="shared" si="10"/>
        <v xml:space="preserve"> 2024 JAN-DEC D75 LICENSE BABY</v>
      </c>
      <c r="B113" s="7">
        <f t="shared" si="12"/>
        <v>46104</v>
      </c>
      <c r="C113" s="7">
        <f t="shared" si="13"/>
        <v>46113</v>
      </c>
      <c r="D113" s="6">
        <v>3284</v>
      </c>
      <c r="E113" s="6">
        <v>338</v>
      </c>
      <c r="F113" s="6">
        <v>4</v>
      </c>
      <c r="G113" s="6">
        <v>4</v>
      </c>
      <c r="H113" s="6">
        <v>80920</v>
      </c>
      <c r="I113" s="6" t="s">
        <v>17</v>
      </c>
      <c r="J113" s="6">
        <v>15617979</v>
      </c>
      <c r="K113" s="6" t="s">
        <v>285</v>
      </c>
      <c r="L113" s="17" t="s">
        <v>289</v>
      </c>
      <c r="M113" s="8">
        <v>219900</v>
      </c>
      <c r="N113" s="36">
        <f t="shared" si="11"/>
        <v>0.75</v>
      </c>
      <c r="O113" s="35">
        <f t="shared" si="9"/>
        <v>54975</v>
      </c>
      <c r="P113" s="22" t="s">
        <v>16</v>
      </c>
    </row>
    <row r="114" spans="1:16" x14ac:dyDescent="0.35">
      <c r="A114" s="14" t="str">
        <f t="shared" si="10"/>
        <v xml:space="preserve"> 2024 JAN-DEC D75 LICENSE BABY</v>
      </c>
      <c r="B114" s="7">
        <f t="shared" si="12"/>
        <v>46104</v>
      </c>
      <c r="C114" s="7">
        <f t="shared" si="13"/>
        <v>46113</v>
      </c>
      <c r="D114" s="6">
        <v>3284</v>
      </c>
      <c r="E114" s="6">
        <v>338</v>
      </c>
      <c r="F114" s="6">
        <v>4</v>
      </c>
      <c r="G114" s="6">
        <v>4</v>
      </c>
      <c r="H114" s="6">
        <v>81506</v>
      </c>
      <c r="I114" s="6" t="s">
        <v>17</v>
      </c>
      <c r="J114" s="6">
        <v>16859797</v>
      </c>
      <c r="K114" s="6" t="s">
        <v>638</v>
      </c>
      <c r="L114" s="17" t="s">
        <v>639</v>
      </c>
      <c r="M114" s="8">
        <v>229900</v>
      </c>
      <c r="N114" s="36">
        <f t="shared" si="11"/>
        <v>0.75</v>
      </c>
      <c r="O114" s="35">
        <f t="shared" si="9"/>
        <v>57475</v>
      </c>
      <c r="P114" s="22" t="s">
        <v>16</v>
      </c>
    </row>
    <row r="115" spans="1:16" x14ac:dyDescent="0.35">
      <c r="A115" s="14" t="str">
        <f t="shared" si="10"/>
        <v xml:space="preserve"> 2024 JAN-DEC D75 LICENSE BABY</v>
      </c>
      <c r="B115" s="7">
        <f t="shared" si="12"/>
        <v>46104</v>
      </c>
      <c r="C115" s="7">
        <f t="shared" si="13"/>
        <v>46113</v>
      </c>
      <c r="D115" s="6">
        <v>3284</v>
      </c>
      <c r="E115" s="6">
        <v>338</v>
      </c>
      <c r="F115" s="6">
        <v>4</v>
      </c>
      <c r="G115" s="6">
        <v>4</v>
      </c>
      <c r="H115" s="6">
        <v>81506</v>
      </c>
      <c r="I115" s="6" t="s">
        <v>17</v>
      </c>
      <c r="J115" s="6">
        <v>16859804</v>
      </c>
      <c r="K115" s="6" t="s">
        <v>638</v>
      </c>
      <c r="L115" s="17" t="s">
        <v>640</v>
      </c>
      <c r="M115" s="8">
        <v>229900</v>
      </c>
      <c r="N115" s="36">
        <f t="shared" si="11"/>
        <v>0.75</v>
      </c>
      <c r="O115" s="35">
        <f t="shared" si="9"/>
        <v>57475</v>
      </c>
      <c r="P115" s="22" t="s">
        <v>16</v>
      </c>
    </row>
    <row r="116" spans="1:16" x14ac:dyDescent="0.35">
      <c r="A116" s="14" t="str">
        <f t="shared" si="10"/>
        <v xml:space="preserve"> 2024 JAN-DEC D75 LICENSE BABY</v>
      </c>
      <c r="B116" s="7">
        <f t="shared" si="12"/>
        <v>46104</v>
      </c>
      <c r="C116" s="7">
        <f t="shared" si="13"/>
        <v>46113</v>
      </c>
      <c r="D116" s="6">
        <v>3284</v>
      </c>
      <c r="E116" s="6">
        <v>338</v>
      </c>
      <c r="F116" s="6">
        <v>4</v>
      </c>
      <c r="G116" s="6">
        <v>4</v>
      </c>
      <c r="H116" s="6">
        <v>81506</v>
      </c>
      <c r="I116" s="6" t="s">
        <v>17</v>
      </c>
      <c r="J116" s="6">
        <v>16859813</v>
      </c>
      <c r="K116" s="6" t="s">
        <v>638</v>
      </c>
      <c r="L116" s="17" t="s">
        <v>641</v>
      </c>
      <c r="M116" s="8">
        <v>229900</v>
      </c>
      <c r="N116" s="36">
        <f t="shared" si="11"/>
        <v>0.75</v>
      </c>
      <c r="O116" s="35">
        <f t="shared" si="9"/>
        <v>57475</v>
      </c>
      <c r="P116" s="22" t="s">
        <v>16</v>
      </c>
    </row>
    <row r="117" spans="1:16" x14ac:dyDescent="0.35">
      <c r="A117" s="14" t="str">
        <f t="shared" si="10"/>
        <v xml:space="preserve"> 2024 JAN-DEC D75 LICENSE BABY</v>
      </c>
      <c r="B117" s="7">
        <f t="shared" si="12"/>
        <v>46104</v>
      </c>
      <c r="C117" s="7">
        <f t="shared" si="13"/>
        <v>46113</v>
      </c>
      <c r="D117" s="6">
        <v>3284</v>
      </c>
      <c r="E117" s="6">
        <v>338</v>
      </c>
      <c r="F117" s="6">
        <v>4</v>
      </c>
      <c r="G117" s="6">
        <v>4</v>
      </c>
      <c r="H117" s="6">
        <v>81506</v>
      </c>
      <c r="I117" s="6" t="s">
        <v>17</v>
      </c>
      <c r="J117" s="6">
        <v>16859822</v>
      </c>
      <c r="K117" s="6" t="s">
        <v>638</v>
      </c>
      <c r="L117" s="17" t="s">
        <v>642</v>
      </c>
      <c r="M117" s="8">
        <v>229900</v>
      </c>
      <c r="N117" s="36">
        <f t="shared" si="11"/>
        <v>0.75</v>
      </c>
      <c r="O117" s="35">
        <f t="shared" si="9"/>
        <v>57475</v>
      </c>
      <c r="P117" s="22" t="s">
        <v>16</v>
      </c>
    </row>
    <row r="118" spans="1:16" x14ac:dyDescent="0.35">
      <c r="A118" s="14" t="str">
        <f t="shared" si="10"/>
        <v xml:space="preserve"> 2024 JAN-DEC D75 LICENSE BABY</v>
      </c>
      <c r="B118" s="7">
        <f t="shared" si="12"/>
        <v>46104</v>
      </c>
      <c r="C118" s="7">
        <f t="shared" si="13"/>
        <v>46113</v>
      </c>
      <c r="D118" s="6">
        <v>3284</v>
      </c>
      <c r="E118" s="6">
        <v>338</v>
      </c>
      <c r="F118" s="6">
        <v>4</v>
      </c>
      <c r="G118" s="6">
        <v>4</v>
      </c>
      <c r="H118" s="6">
        <v>81506</v>
      </c>
      <c r="I118" s="6" t="s">
        <v>17</v>
      </c>
      <c r="J118" s="6">
        <v>17035755</v>
      </c>
      <c r="K118" s="6" t="s">
        <v>643</v>
      </c>
      <c r="L118" s="17" t="s">
        <v>644</v>
      </c>
      <c r="M118" s="8">
        <v>219900</v>
      </c>
      <c r="N118" s="36">
        <f t="shared" si="11"/>
        <v>0.75</v>
      </c>
      <c r="O118" s="35">
        <f t="shared" si="9"/>
        <v>54975</v>
      </c>
      <c r="P118" s="22" t="s">
        <v>16</v>
      </c>
    </row>
    <row r="119" spans="1:16" x14ac:dyDescent="0.35">
      <c r="A119" s="14" t="str">
        <f t="shared" si="10"/>
        <v xml:space="preserve"> 2024 JAN-DEC D75 LICENSE BABY</v>
      </c>
      <c r="B119" s="7">
        <f t="shared" si="12"/>
        <v>46104</v>
      </c>
      <c r="C119" s="7">
        <f t="shared" si="13"/>
        <v>46113</v>
      </c>
      <c r="D119" s="6">
        <v>3284</v>
      </c>
      <c r="E119" s="6">
        <v>338</v>
      </c>
      <c r="F119" s="6">
        <v>4</v>
      </c>
      <c r="G119" s="6">
        <v>4</v>
      </c>
      <c r="H119" s="6">
        <v>81506</v>
      </c>
      <c r="I119" s="6" t="s">
        <v>17</v>
      </c>
      <c r="J119" s="6">
        <v>17035764</v>
      </c>
      <c r="K119" s="6" t="s">
        <v>643</v>
      </c>
      <c r="L119" s="17" t="s">
        <v>645</v>
      </c>
      <c r="M119" s="8">
        <v>219900</v>
      </c>
      <c r="N119" s="36">
        <f t="shared" si="11"/>
        <v>0.75</v>
      </c>
      <c r="O119" s="35">
        <f t="shared" si="9"/>
        <v>54975</v>
      </c>
      <c r="P119" s="22" t="s">
        <v>16</v>
      </c>
    </row>
    <row r="120" spans="1:16" x14ac:dyDescent="0.35">
      <c r="A120" s="14" t="str">
        <f t="shared" si="10"/>
        <v xml:space="preserve"> 2024 JAN-DEC D75 LICENSE BABY</v>
      </c>
      <c r="B120" s="7">
        <f t="shared" si="12"/>
        <v>46104</v>
      </c>
      <c r="C120" s="7">
        <f t="shared" si="13"/>
        <v>46113</v>
      </c>
      <c r="D120" s="6">
        <v>3284</v>
      </c>
      <c r="E120" s="6">
        <v>338</v>
      </c>
      <c r="F120" s="6">
        <v>4</v>
      </c>
      <c r="G120" s="6">
        <v>4</v>
      </c>
      <c r="H120" s="6">
        <v>81506</v>
      </c>
      <c r="I120" s="6" t="s">
        <v>17</v>
      </c>
      <c r="J120" s="6">
        <v>17035773</v>
      </c>
      <c r="K120" s="6" t="s">
        <v>643</v>
      </c>
      <c r="L120" s="17" t="s">
        <v>646</v>
      </c>
      <c r="M120" s="8">
        <v>219900</v>
      </c>
      <c r="N120" s="36">
        <f t="shared" si="11"/>
        <v>0.75</v>
      </c>
      <c r="O120" s="35">
        <f t="shared" si="9"/>
        <v>54975</v>
      </c>
      <c r="P120" s="22" t="s">
        <v>16</v>
      </c>
    </row>
    <row r="121" spans="1:16" x14ac:dyDescent="0.35">
      <c r="A121" s="14" t="str">
        <f t="shared" si="10"/>
        <v xml:space="preserve"> 2024 JAN-DEC D75 LICENSE BABY</v>
      </c>
      <c r="B121" s="7">
        <f t="shared" si="12"/>
        <v>46104</v>
      </c>
      <c r="C121" s="7">
        <f t="shared" si="13"/>
        <v>46113</v>
      </c>
      <c r="D121" s="6">
        <v>3284</v>
      </c>
      <c r="E121" s="6">
        <v>338</v>
      </c>
      <c r="F121" s="6">
        <v>4</v>
      </c>
      <c r="G121" s="6">
        <v>4</v>
      </c>
      <c r="H121" s="6">
        <v>81506</v>
      </c>
      <c r="I121" s="6" t="s">
        <v>17</v>
      </c>
      <c r="J121" s="6">
        <v>17035782</v>
      </c>
      <c r="K121" s="6" t="s">
        <v>643</v>
      </c>
      <c r="L121" s="17" t="s">
        <v>647</v>
      </c>
      <c r="M121" s="8">
        <v>219900</v>
      </c>
      <c r="N121" s="36">
        <f t="shared" si="11"/>
        <v>0.75</v>
      </c>
      <c r="O121" s="35">
        <f t="shared" si="9"/>
        <v>54975</v>
      </c>
      <c r="P121" s="22" t="s">
        <v>16</v>
      </c>
    </row>
    <row r="122" spans="1:16" x14ac:dyDescent="0.35">
      <c r="A122" s="14" t="str">
        <f t="shared" si="10"/>
        <v xml:space="preserve"> 2024 JAN-DEC D75 LICENSE BABY</v>
      </c>
      <c r="B122" s="7">
        <f t="shared" si="12"/>
        <v>46104</v>
      </c>
      <c r="C122" s="7">
        <f t="shared" si="13"/>
        <v>46113</v>
      </c>
      <c r="D122" s="6">
        <v>3284</v>
      </c>
      <c r="E122" s="6">
        <v>338</v>
      </c>
      <c r="F122" s="6">
        <v>4</v>
      </c>
      <c r="G122" s="6">
        <v>4</v>
      </c>
      <c r="H122" s="6">
        <v>81506</v>
      </c>
      <c r="I122" s="6" t="s">
        <v>17</v>
      </c>
      <c r="J122" s="6">
        <v>19068565</v>
      </c>
      <c r="K122" s="6" t="s">
        <v>979</v>
      </c>
      <c r="L122" s="17" t="s">
        <v>980</v>
      </c>
      <c r="M122" s="8">
        <v>239900</v>
      </c>
      <c r="N122" s="36">
        <f t="shared" si="11"/>
        <v>0.75</v>
      </c>
      <c r="O122" s="35">
        <f t="shared" si="9"/>
        <v>59975</v>
      </c>
      <c r="P122" s="22" t="s">
        <v>16</v>
      </c>
    </row>
    <row r="123" spans="1:16" x14ac:dyDescent="0.35">
      <c r="A123" s="14" t="str">
        <f t="shared" si="10"/>
        <v xml:space="preserve"> 2024 JAN-DEC D75 LICENSE BABY</v>
      </c>
      <c r="B123" s="7">
        <f t="shared" si="12"/>
        <v>46104</v>
      </c>
      <c r="C123" s="7">
        <f t="shared" si="13"/>
        <v>46113</v>
      </c>
      <c r="D123" s="6">
        <v>3284</v>
      </c>
      <c r="E123" s="6">
        <v>338</v>
      </c>
      <c r="F123" s="6">
        <v>4</v>
      </c>
      <c r="G123" s="6">
        <v>4</v>
      </c>
      <c r="H123" s="6">
        <v>81506</v>
      </c>
      <c r="I123" s="6" t="s">
        <v>17</v>
      </c>
      <c r="J123" s="6">
        <v>19068574</v>
      </c>
      <c r="K123" s="6" t="s">
        <v>979</v>
      </c>
      <c r="L123" s="17" t="s">
        <v>981</v>
      </c>
      <c r="M123" s="8">
        <v>239900</v>
      </c>
      <c r="N123" s="36">
        <f t="shared" si="11"/>
        <v>0.75</v>
      </c>
      <c r="O123" s="35">
        <f t="shared" si="9"/>
        <v>59975</v>
      </c>
      <c r="P123" s="22" t="s">
        <v>16</v>
      </c>
    </row>
    <row r="124" spans="1:16" x14ac:dyDescent="0.35">
      <c r="A124" s="14" t="str">
        <f t="shared" si="10"/>
        <v xml:space="preserve"> 2024 JAN-DEC D75 LICENSE BABY</v>
      </c>
      <c r="B124" s="7">
        <f t="shared" si="12"/>
        <v>46104</v>
      </c>
      <c r="C124" s="7">
        <f t="shared" si="13"/>
        <v>46113</v>
      </c>
      <c r="D124" s="6">
        <v>3284</v>
      </c>
      <c r="E124" s="6">
        <v>338</v>
      </c>
      <c r="F124" s="6">
        <v>4</v>
      </c>
      <c r="G124" s="6">
        <v>4</v>
      </c>
      <c r="H124" s="6">
        <v>81506</v>
      </c>
      <c r="I124" s="6" t="s">
        <v>17</v>
      </c>
      <c r="J124" s="6">
        <v>19068609</v>
      </c>
      <c r="K124" s="6" t="s">
        <v>979</v>
      </c>
      <c r="L124" s="17" t="s">
        <v>982</v>
      </c>
      <c r="M124" s="8">
        <v>239900</v>
      </c>
      <c r="N124" s="36">
        <f t="shared" si="11"/>
        <v>0.75</v>
      </c>
      <c r="O124" s="35">
        <f t="shared" si="9"/>
        <v>59975</v>
      </c>
      <c r="P124" s="22" t="s">
        <v>16</v>
      </c>
    </row>
    <row r="125" spans="1:16" x14ac:dyDescent="0.35">
      <c r="A125" s="14" t="str">
        <f t="shared" si="10"/>
        <v xml:space="preserve"> 2024 JAN-DEC D75 LICENSE BABY</v>
      </c>
      <c r="B125" s="7">
        <f t="shared" si="12"/>
        <v>46104</v>
      </c>
      <c r="C125" s="7">
        <f t="shared" si="13"/>
        <v>46113</v>
      </c>
      <c r="D125" s="6">
        <v>3284</v>
      </c>
      <c r="E125" s="6">
        <v>338</v>
      </c>
      <c r="F125" s="6">
        <v>4</v>
      </c>
      <c r="G125" s="6">
        <v>4</v>
      </c>
      <c r="H125" s="6">
        <v>81506</v>
      </c>
      <c r="I125" s="6" t="s">
        <v>17</v>
      </c>
      <c r="J125" s="6">
        <v>19068627</v>
      </c>
      <c r="K125" s="6" t="s">
        <v>979</v>
      </c>
      <c r="L125" s="17" t="s">
        <v>983</v>
      </c>
      <c r="M125" s="8">
        <v>239900</v>
      </c>
      <c r="N125" s="36">
        <f t="shared" si="11"/>
        <v>0.75</v>
      </c>
      <c r="O125" s="35">
        <f t="shared" si="9"/>
        <v>59975</v>
      </c>
      <c r="P125" s="22" t="s">
        <v>16</v>
      </c>
    </row>
    <row r="126" spans="1:16" x14ac:dyDescent="0.35">
      <c r="A126" s="14" t="str">
        <f t="shared" si="10"/>
        <v xml:space="preserve"> 2024 JAN-DEC D75 LICENSE BABY</v>
      </c>
      <c r="B126" s="7">
        <f t="shared" ref="B126:B157" si="14">B125</f>
        <v>46104</v>
      </c>
      <c r="C126" s="7">
        <f t="shared" ref="C126:C157" si="15">C125</f>
        <v>46113</v>
      </c>
      <c r="D126" s="6">
        <v>3284</v>
      </c>
      <c r="E126" s="6">
        <v>338</v>
      </c>
      <c r="F126" s="6">
        <v>4</v>
      </c>
      <c r="G126" s="6">
        <v>5</v>
      </c>
      <c r="H126" s="6">
        <v>81146</v>
      </c>
      <c r="I126" s="6" t="s">
        <v>17</v>
      </c>
      <c r="J126" s="6">
        <v>16621604</v>
      </c>
      <c r="K126" s="6" t="s">
        <v>648</v>
      </c>
      <c r="L126" s="17" t="s">
        <v>649</v>
      </c>
      <c r="M126" s="8">
        <v>199900</v>
      </c>
      <c r="N126" s="36">
        <f t="shared" si="11"/>
        <v>0.75</v>
      </c>
      <c r="O126" s="35">
        <f t="shared" si="9"/>
        <v>49975</v>
      </c>
      <c r="P126" s="22" t="s">
        <v>16</v>
      </c>
    </row>
    <row r="127" spans="1:16" x14ac:dyDescent="0.35">
      <c r="A127" s="14" t="str">
        <f t="shared" si="10"/>
        <v xml:space="preserve"> 2024 JAN-DEC D75 LICENSE BABY</v>
      </c>
      <c r="B127" s="7">
        <f t="shared" si="14"/>
        <v>46104</v>
      </c>
      <c r="C127" s="7">
        <f t="shared" si="15"/>
        <v>46113</v>
      </c>
      <c r="D127" s="6">
        <v>3284</v>
      </c>
      <c r="E127" s="6">
        <v>338</v>
      </c>
      <c r="F127" s="6">
        <v>4</v>
      </c>
      <c r="G127" s="6">
        <v>5</v>
      </c>
      <c r="H127" s="6">
        <v>81146</v>
      </c>
      <c r="I127" s="6" t="s">
        <v>17</v>
      </c>
      <c r="J127" s="6">
        <v>16621613</v>
      </c>
      <c r="K127" s="6" t="s">
        <v>648</v>
      </c>
      <c r="L127" s="17" t="s">
        <v>650</v>
      </c>
      <c r="M127" s="8">
        <v>199900</v>
      </c>
      <c r="N127" s="36">
        <f t="shared" si="11"/>
        <v>0.75</v>
      </c>
      <c r="O127" s="35">
        <f t="shared" si="9"/>
        <v>49975</v>
      </c>
      <c r="P127" s="22" t="s">
        <v>16</v>
      </c>
    </row>
    <row r="128" spans="1:16" x14ac:dyDescent="0.35">
      <c r="A128" s="14" t="str">
        <f t="shared" si="10"/>
        <v xml:space="preserve"> 2024 JAN-DEC D75 LICENSE BABY</v>
      </c>
      <c r="B128" s="7">
        <f t="shared" si="14"/>
        <v>46104</v>
      </c>
      <c r="C128" s="7">
        <f t="shared" si="15"/>
        <v>46113</v>
      </c>
      <c r="D128" s="6">
        <v>3284</v>
      </c>
      <c r="E128" s="6">
        <v>338</v>
      </c>
      <c r="F128" s="6">
        <v>4</v>
      </c>
      <c r="G128" s="6">
        <v>5</v>
      </c>
      <c r="H128" s="6">
        <v>81146</v>
      </c>
      <c r="I128" s="6" t="s">
        <v>17</v>
      </c>
      <c r="J128" s="6">
        <v>16621622</v>
      </c>
      <c r="K128" s="6" t="s">
        <v>648</v>
      </c>
      <c r="L128" s="17" t="s">
        <v>651</v>
      </c>
      <c r="M128" s="8">
        <v>199900</v>
      </c>
      <c r="N128" s="36">
        <f t="shared" si="11"/>
        <v>0.75</v>
      </c>
      <c r="O128" s="35">
        <f t="shared" si="9"/>
        <v>49975</v>
      </c>
      <c r="P128" s="22" t="s">
        <v>16</v>
      </c>
    </row>
    <row r="129" spans="1:16" x14ac:dyDescent="0.35">
      <c r="A129" s="14" t="str">
        <f t="shared" si="10"/>
        <v xml:space="preserve"> 2024 JAN-DEC D75 LICENSE BABY</v>
      </c>
      <c r="B129" s="7">
        <f t="shared" si="14"/>
        <v>46104</v>
      </c>
      <c r="C129" s="7">
        <f t="shared" si="15"/>
        <v>46113</v>
      </c>
      <c r="D129" s="6">
        <v>3284</v>
      </c>
      <c r="E129" s="6">
        <v>338</v>
      </c>
      <c r="F129" s="6">
        <v>4</v>
      </c>
      <c r="G129" s="6">
        <v>5</v>
      </c>
      <c r="H129" s="6">
        <v>81146</v>
      </c>
      <c r="I129" s="6" t="s">
        <v>17</v>
      </c>
      <c r="J129" s="6">
        <v>16621631</v>
      </c>
      <c r="K129" s="6" t="s">
        <v>648</v>
      </c>
      <c r="L129" s="17" t="s">
        <v>652</v>
      </c>
      <c r="M129" s="8">
        <v>199900</v>
      </c>
      <c r="N129" s="36">
        <f t="shared" si="11"/>
        <v>0.75</v>
      </c>
      <c r="O129" s="35">
        <f t="shared" si="9"/>
        <v>49975</v>
      </c>
      <c r="P129" s="22" t="s">
        <v>16</v>
      </c>
    </row>
    <row r="130" spans="1:16" x14ac:dyDescent="0.35">
      <c r="A130" s="14" t="str">
        <f t="shared" si="10"/>
        <v xml:space="preserve"> 2024 JAN-DEC D75 LICENSE BABY</v>
      </c>
      <c r="B130" s="7">
        <f t="shared" si="14"/>
        <v>46104</v>
      </c>
      <c r="C130" s="7">
        <f t="shared" si="15"/>
        <v>46113</v>
      </c>
      <c r="D130" s="6">
        <v>3284</v>
      </c>
      <c r="E130" s="6">
        <v>338</v>
      </c>
      <c r="F130" s="6">
        <v>4</v>
      </c>
      <c r="G130" s="6">
        <v>5</v>
      </c>
      <c r="H130" s="6">
        <v>81421</v>
      </c>
      <c r="I130" s="6" t="s">
        <v>17</v>
      </c>
      <c r="J130" s="6">
        <v>15617746</v>
      </c>
      <c r="K130" s="6" t="s">
        <v>290</v>
      </c>
      <c r="L130" s="17" t="s">
        <v>291</v>
      </c>
      <c r="M130" s="8">
        <v>219900</v>
      </c>
      <c r="N130" s="36">
        <f t="shared" si="11"/>
        <v>0.75</v>
      </c>
      <c r="O130" s="35">
        <f t="shared" si="9"/>
        <v>54975</v>
      </c>
      <c r="P130" s="22" t="s">
        <v>16</v>
      </c>
    </row>
    <row r="131" spans="1:16" x14ac:dyDescent="0.35">
      <c r="A131" s="14" t="str">
        <f t="shared" si="10"/>
        <v xml:space="preserve"> 2024 JAN-DEC D75 LICENSE BABY</v>
      </c>
      <c r="B131" s="7">
        <f t="shared" si="14"/>
        <v>46104</v>
      </c>
      <c r="C131" s="7">
        <f t="shared" si="15"/>
        <v>46113</v>
      </c>
      <c r="D131" s="6">
        <v>3284</v>
      </c>
      <c r="E131" s="6">
        <v>338</v>
      </c>
      <c r="F131" s="6">
        <v>4</v>
      </c>
      <c r="G131" s="6">
        <v>5</v>
      </c>
      <c r="H131" s="6">
        <v>81421</v>
      </c>
      <c r="I131" s="6" t="s">
        <v>17</v>
      </c>
      <c r="J131" s="6">
        <v>15617755</v>
      </c>
      <c r="K131" s="6" t="s">
        <v>290</v>
      </c>
      <c r="L131" s="17" t="s">
        <v>653</v>
      </c>
      <c r="M131" s="8">
        <v>219900</v>
      </c>
      <c r="N131" s="36">
        <f t="shared" si="11"/>
        <v>0.75</v>
      </c>
      <c r="O131" s="35">
        <f t="shared" ref="O131:O194" si="16">M131-((75*M131)/100)</f>
        <v>54975</v>
      </c>
      <c r="P131" s="22" t="s">
        <v>16</v>
      </c>
    </row>
    <row r="132" spans="1:16" x14ac:dyDescent="0.35">
      <c r="A132" s="14" t="str">
        <f t="shared" ref="A132:A195" si="17">A131</f>
        <v xml:space="preserve"> 2024 JAN-DEC D75 LICENSE BABY</v>
      </c>
      <c r="B132" s="7">
        <f t="shared" si="14"/>
        <v>46104</v>
      </c>
      <c r="C132" s="7">
        <f t="shared" si="15"/>
        <v>46113</v>
      </c>
      <c r="D132" s="6">
        <v>3284</v>
      </c>
      <c r="E132" s="6">
        <v>338</v>
      </c>
      <c r="F132" s="6">
        <v>4</v>
      </c>
      <c r="G132" s="6">
        <v>5</v>
      </c>
      <c r="H132" s="6">
        <v>81421</v>
      </c>
      <c r="I132" s="6" t="s">
        <v>17</v>
      </c>
      <c r="J132" s="6">
        <v>15617764</v>
      </c>
      <c r="K132" s="6" t="s">
        <v>290</v>
      </c>
      <c r="L132" s="17" t="s">
        <v>292</v>
      </c>
      <c r="M132" s="8">
        <v>219900</v>
      </c>
      <c r="N132" s="36">
        <f t="shared" ref="N132:N195" si="18">N131</f>
        <v>0.75</v>
      </c>
      <c r="O132" s="35">
        <f t="shared" si="16"/>
        <v>54975</v>
      </c>
      <c r="P132" s="22" t="s">
        <v>16</v>
      </c>
    </row>
    <row r="133" spans="1:16" x14ac:dyDescent="0.35">
      <c r="A133" s="14" t="str">
        <f t="shared" si="17"/>
        <v xml:space="preserve"> 2024 JAN-DEC D75 LICENSE BABY</v>
      </c>
      <c r="B133" s="7">
        <f t="shared" si="14"/>
        <v>46104</v>
      </c>
      <c r="C133" s="7">
        <f t="shared" si="15"/>
        <v>46113</v>
      </c>
      <c r="D133" s="6">
        <v>3284</v>
      </c>
      <c r="E133" s="6">
        <v>338</v>
      </c>
      <c r="F133" s="6">
        <v>4</v>
      </c>
      <c r="G133" s="6">
        <v>5</v>
      </c>
      <c r="H133" s="6">
        <v>81421</v>
      </c>
      <c r="I133" s="6" t="s">
        <v>17</v>
      </c>
      <c r="J133" s="6">
        <v>15617773</v>
      </c>
      <c r="K133" s="6" t="s">
        <v>290</v>
      </c>
      <c r="L133" s="17" t="s">
        <v>293</v>
      </c>
      <c r="M133" s="8">
        <v>219900</v>
      </c>
      <c r="N133" s="36">
        <f t="shared" si="18"/>
        <v>0.75</v>
      </c>
      <c r="O133" s="35">
        <f t="shared" si="16"/>
        <v>54975</v>
      </c>
      <c r="P133" s="22" t="s">
        <v>16</v>
      </c>
    </row>
    <row r="134" spans="1:16" x14ac:dyDescent="0.35">
      <c r="A134" s="14" t="str">
        <f t="shared" si="17"/>
        <v xml:space="preserve"> 2024 JAN-DEC D75 LICENSE BABY</v>
      </c>
      <c r="B134" s="7">
        <f t="shared" si="14"/>
        <v>46104</v>
      </c>
      <c r="C134" s="7">
        <f t="shared" si="15"/>
        <v>46113</v>
      </c>
      <c r="D134" s="6">
        <v>3284</v>
      </c>
      <c r="E134" s="6">
        <v>338</v>
      </c>
      <c r="F134" s="6">
        <v>4</v>
      </c>
      <c r="G134" s="6">
        <v>5</v>
      </c>
      <c r="H134" s="6">
        <v>81421</v>
      </c>
      <c r="I134" s="6" t="s">
        <v>17</v>
      </c>
      <c r="J134" s="6">
        <v>15618147</v>
      </c>
      <c r="K134" s="6" t="s">
        <v>294</v>
      </c>
      <c r="L134" s="17" t="s">
        <v>295</v>
      </c>
      <c r="M134" s="8">
        <v>199900</v>
      </c>
      <c r="N134" s="36">
        <f t="shared" si="18"/>
        <v>0.75</v>
      </c>
      <c r="O134" s="35">
        <f t="shared" si="16"/>
        <v>49975</v>
      </c>
      <c r="P134" s="22" t="s">
        <v>16</v>
      </c>
    </row>
    <row r="135" spans="1:16" x14ac:dyDescent="0.35">
      <c r="A135" s="14" t="str">
        <f t="shared" si="17"/>
        <v xml:space="preserve"> 2024 JAN-DEC D75 LICENSE BABY</v>
      </c>
      <c r="B135" s="7">
        <f t="shared" si="14"/>
        <v>46104</v>
      </c>
      <c r="C135" s="7">
        <f t="shared" si="15"/>
        <v>46113</v>
      </c>
      <c r="D135" s="6">
        <v>3284</v>
      </c>
      <c r="E135" s="6">
        <v>338</v>
      </c>
      <c r="F135" s="6">
        <v>4</v>
      </c>
      <c r="G135" s="6">
        <v>5</v>
      </c>
      <c r="H135" s="6">
        <v>81421</v>
      </c>
      <c r="I135" s="6" t="s">
        <v>17</v>
      </c>
      <c r="J135" s="6">
        <v>15618156</v>
      </c>
      <c r="K135" s="6" t="s">
        <v>294</v>
      </c>
      <c r="L135" s="17" t="s">
        <v>296</v>
      </c>
      <c r="M135" s="8">
        <v>199900</v>
      </c>
      <c r="N135" s="36">
        <f t="shared" si="18"/>
        <v>0.75</v>
      </c>
      <c r="O135" s="35">
        <f t="shared" si="16"/>
        <v>49975</v>
      </c>
      <c r="P135" s="22" t="s">
        <v>16</v>
      </c>
    </row>
    <row r="136" spans="1:16" x14ac:dyDescent="0.35">
      <c r="A136" s="14" t="str">
        <f t="shared" si="17"/>
        <v xml:space="preserve"> 2024 JAN-DEC D75 LICENSE BABY</v>
      </c>
      <c r="B136" s="7">
        <f t="shared" si="14"/>
        <v>46104</v>
      </c>
      <c r="C136" s="7">
        <f t="shared" si="15"/>
        <v>46113</v>
      </c>
      <c r="D136" s="6">
        <v>3284</v>
      </c>
      <c r="E136" s="6">
        <v>338</v>
      </c>
      <c r="F136" s="6">
        <v>4</v>
      </c>
      <c r="G136" s="6">
        <v>5</v>
      </c>
      <c r="H136" s="6">
        <v>81421</v>
      </c>
      <c r="I136" s="6" t="s">
        <v>17</v>
      </c>
      <c r="J136" s="6">
        <v>15618165</v>
      </c>
      <c r="K136" s="6" t="s">
        <v>294</v>
      </c>
      <c r="L136" s="17" t="s">
        <v>297</v>
      </c>
      <c r="M136" s="8">
        <v>199900</v>
      </c>
      <c r="N136" s="36">
        <f t="shared" si="18"/>
        <v>0.75</v>
      </c>
      <c r="O136" s="35">
        <f t="shared" si="16"/>
        <v>49975</v>
      </c>
      <c r="P136" s="22" t="s">
        <v>16</v>
      </c>
    </row>
    <row r="137" spans="1:16" x14ac:dyDescent="0.35">
      <c r="A137" s="14" t="str">
        <f t="shared" si="17"/>
        <v xml:space="preserve"> 2024 JAN-DEC D75 LICENSE BABY</v>
      </c>
      <c r="B137" s="7">
        <f t="shared" si="14"/>
        <v>46104</v>
      </c>
      <c r="C137" s="7">
        <f t="shared" si="15"/>
        <v>46113</v>
      </c>
      <c r="D137" s="6">
        <v>3284</v>
      </c>
      <c r="E137" s="6">
        <v>338</v>
      </c>
      <c r="F137" s="6">
        <v>4</v>
      </c>
      <c r="G137" s="6">
        <v>5</v>
      </c>
      <c r="H137" s="6">
        <v>81421</v>
      </c>
      <c r="I137" s="6" t="s">
        <v>17</v>
      </c>
      <c r="J137" s="6">
        <v>15618174</v>
      </c>
      <c r="K137" s="6" t="s">
        <v>294</v>
      </c>
      <c r="L137" s="17" t="s">
        <v>298</v>
      </c>
      <c r="M137" s="8">
        <v>199900</v>
      </c>
      <c r="N137" s="36">
        <f t="shared" si="18"/>
        <v>0.75</v>
      </c>
      <c r="O137" s="35">
        <f t="shared" si="16"/>
        <v>49975</v>
      </c>
      <c r="P137" s="22" t="s">
        <v>16</v>
      </c>
    </row>
    <row r="138" spans="1:16" x14ac:dyDescent="0.35">
      <c r="A138" s="14" t="str">
        <f t="shared" si="17"/>
        <v xml:space="preserve"> 2024 JAN-DEC D75 LICENSE BABY</v>
      </c>
      <c r="B138" s="7">
        <f t="shared" si="14"/>
        <v>46104</v>
      </c>
      <c r="C138" s="7">
        <f t="shared" si="15"/>
        <v>46113</v>
      </c>
      <c r="D138" s="6">
        <v>3284</v>
      </c>
      <c r="E138" s="6">
        <v>338</v>
      </c>
      <c r="F138" s="6">
        <v>4</v>
      </c>
      <c r="G138" s="6">
        <v>5</v>
      </c>
      <c r="H138" s="6">
        <v>80920</v>
      </c>
      <c r="I138" s="6" t="s">
        <v>17</v>
      </c>
      <c r="J138" s="6">
        <v>15617782</v>
      </c>
      <c r="K138" s="6" t="s">
        <v>299</v>
      </c>
      <c r="L138" s="17" t="s">
        <v>300</v>
      </c>
      <c r="M138" s="8">
        <v>199900</v>
      </c>
      <c r="N138" s="36">
        <f t="shared" si="18"/>
        <v>0.75</v>
      </c>
      <c r="O138" s="35">
        <f t="shared" si="16"/>
        <v>49975</v>
      </c>
      <c r="P138" s="22" t="s">
        <v>16</v>
      </c>
    </row>
    <row r="139" spans="1:16" x14ac:dyDescent="0.35">
      <c r="A139" s="14" t="str">
        <f t="shared" si="17"/>
        <v xml:space="preserve"> 2024 JAN-DEC D75 LICENSE BABY</v>
      </c>
      <c r="B139" s="7">
        <f t="shared" si="14"/>
        <v>46104</v>
      </c>
      <c r="C139" s="7">
        <f t="shared" si="15"/>
        <v>46113</v>
      </c>
      <c r="D139" s="6">
        <v>3284</v>
      </c>
      <c r="E139" s="6">
        <v>338</v>
      </c>
      <c r="F139" s="6">
        <v>4</v>
      </c>
      <c r="G139" s="6">
        <v>5</v>
      </c>
      <c r="H139" s="6">
        <v>80920</v>
      </c>
      <c r="I139" s="6" t="s">
        <v>17</v>
      </c>
      <c r="J139" s="6">
        <v>15617791</v>
      </c>
      <c r="K139" s="6" t="s">
        <v>299</v>
      </c>
      <c r="L139" s="17" t="s">
        <v>301</v>
      </c>
      <c r="M139" s="8">
        <v>199900</v>
      </c>
      <c r="N139" s="36">
        <f t="shared" si="18"/>
        <v>0.75</v>
      </c>
      <c r="O139" s="35">
        <f t="shared" si="16"/>
        <v>49975</v>
      </c>
      <c r="P139" s="22" t="s">
        <v>16</v>
      </c>
    </row>
    <row r="140" spans="1:16" x14ac:dyDescent="0.35">
      <c r="A140" s="14" t="str">
        <f t="shared" si="17"/>
        <v xml:space="preserve"> 2024 JAN-DEC D75 LICENSE BABY</v>
      </c>
      <c r="B140" s="7">
        <f t="shared" si="14"/>
        <v>46104</v>
      </c>
      <c r="C140" s="7">
        <f t="shared" si="15"/>
        <v>46113</v>
      </c>
      <c r="D140" s="6">
        <v>3284</v>
      </c>
      <c r="E140" s="6">
        <v>338</v>
      </c>
      <c r="F140" s="6">
        <v>4</v>
      </c>
      <c r="G140" s="6">
        <v>5</v>
      </c>
      <c r="H140" s="6">
        <v>80920</v>
      </c>
      <c r="I140" s="6" t="s">
        <v>17</v>
      </c>
      <c r="J140" s="6">
        <v>15617808</v>
      </c>
      <c r="K140" s="6" t="s">
        <v>299</v>
      </c>
      <c r="L140" s="17" t="s">
        <v>302</v>
      </c>
      <c r="M140" s="8">
        <v>199900</v>
      </c>
      <c r="N140" s="36">
        <f t="shared" si="18"/>
        <v>0.75</v>
      </c>
      <c r="O140" s="35">
        <f t="shared" si="16"/>
        <v>49975</v>
      </c>
      <c r="P140" s="22" t="s">
        <v>16</v>
      </c>
    </row>
    <row r="141" spans="1:16" x14ac:dyDescent="0.35">
      <c r="A141" s="14" t="str">
        <f t="shared" si="17"/>
        <v xml:space="preserve"> 2024 JAN-DEC D75 LICENSE BABY</v>
      </c>
      <c r="B141" s="7">
        <f t="shared" si="14"/>
        <v>46104</v>
      </c>
      <c r="C141" s="7">
        <f t="shared" si="15"/>
        <v>46113</v>
      </c>
      <c r="D141" s="6">
        <v>3284</v>
      </c>
      <c r="E141" s="6">
        <v>338</v>
      </c>
      <c r="F141" s="6">
        <v>4</v>
      </c>
      <c r="G141" s="6">
        <v>5</v>
      </c>
      <c r="H141" s="6">
        <v>80920</v>
      </c>
      <c r="I141" s="6" t="s">
        <v>17</v>
      </c>
      <c r="J141" s="6">
        <v>15617817</v>
      </c>
      <c r="K141" s="6" t="s">
        <v>299</v>
      </c>
      <c r="L141" s="17" t="s">
        <v>303</v>
      </c>
      <c r="M141" s="8">
        <v>199900</v>
      </c>
      <c r="N141" s="36">
        <f t="shared" si="18"/>
        <v>0.75</v>
      </c>
      <c r="O141" s="35">
        <f t="shared" si="16"/>
        <v>49975</v>
      </c>
      <c r="P141" s="22" t="s">
        <v>16</v>
      </c>
    </row>
    <row r="142" spans="1:16" x14ac:dyDescent="0.35">
      <c r="A142" s="14" t="str">
        <f t="shared" si="17"/>
        <v xml:space="preserve"> 2024 JAN-DEC D75 LICENSE BABY</v>
      </c>
      <c r="B142" s="7">
        <f t="shared" si="14"/>
        <v>46104</v>
      </c>
      <c r="C142" s="7">
        <f t="shared" si="15"/>
        <v>46113</v>
      </c>
      <c r="D142" s="6">
        <v>3284</v>
      </c>
      <c r="E142" s="6">
        <v>338</v>
      </c>
      <c r="F142" s="6">
        <v>4</v>
      </c>
      <c r="G142" s="6">
        <v>5</v>
      </c>
      <c r="H142" s="6">
        <v>80920</v>
      </c>
      <c r="I142" s="6" t="s">
        <v>17</v>
      </c>
      <c r="J142" s="6">
        <v>15617586</v>
      </c>
      <c r="K142" s="6" t="s">
        <v>654</v>
      </c>
      <c r="L142" s="17" t="s">
        <v>655</v>
      </c>
      <c r="M142" s="8">
        <v>199900</v>
      </c>
      <c r="N142" s="36">
        <f t="shared" si="18"/>
        <v>0.75</v>
      </c>
      <c r="O142" s="35">
        <f t="shared" si="16"/>
        <v>49975</v>
      </c>
      <c r="P142" s="22" t="s">
        <v>16</v>
      </c>
    </row>
    <row r="143" spans="1:16" x14ac:dyDescent="0.35">
      <c r="A143" s="14" t="str">
        <f t="shared" si="17"/>
        <v xml:space="preserve"> 2024 JAN-DEC D75 LICENSE BABY</v>
      </c>
      <c r="B143" s="7">
        <f t="shared" si="14"/>
        <v>46104</v>
      </c>
      <c r="C143" s="7">
        <f t="shared" si="15"/>
        <v>46113</v>
      </c>
      <c r="D143" s="6">
        <v>3284</v>
      </c>
      <c r="E143" s="6">
        <v>338</v>
      </c>
      <c r="F143" s="6">
        <v>4</v>
      </c>
      <c r="G143" s="6">
        <v>5</v>
      </c>
      <c r="H143" s="6">
        <v>80920</v>
      </c>
      <c r="I143" s="6" t="s">
        <v>17</v>
      </c>
      <c r="J143" s="6">
        <v>15617595</v>
      </c>
      <c r="K143" s="6" t="s">
        <v>654</v>
      </c>
      <c r="L143" s="17" t="s">
        <v>656</v>
      </c>
      <c r="M143" s="8">
        <v>199900</v>
      </c>
      <c r="N143" s="36">
        <f t="shared" si="18"/>
        <v>0.75</v>
      </c>
      <c r="O143" s="35">
        <f t="shared" si="16"/>
        <v>49975</v>
      </c>
      <c r="P143" s="22" t="s">
        <v>16</v>
      </c>
    </row>
    <row r="144" spans="1:16" x14ac:dyDescent="0.35">
      <c r="A144" s="14" t="str">
        <f t="shared" si="17"/>
        <v xml:space="preserve"> 2024 JAN-DEC D75 LICENSE BABY</v>
      </c>
      <c r="B144" s="7">
        <f t="shared" si="14"/>
        <v>46104</v>
      </c>
      <c r="C144" s="7">
        <f t="shared" si="15"/>
        <v>46113</v>
      </c>
      <c r="D144" s="6">
        <v>3284</v>
      </c>
      <c r="E144" s="6">
        <v>338</v>
      </c>
      <c r="F144" s="6">
        <v>4</v>
      </c>
      <c r="G144" s="6">
        <v>5</v>
      </c>
      <c r="H144" s="6">
        <v>80920</v>
      </c>
      <c r="I144" s="6" t="s">
        <v>17</v>
      </c>
      <c r="J144" s="6">
        <v>15617602</v>
      </c>
      <c r="K144" s="6" t="s">
        <v>654</v>
      </c>
      <c r="L144" s="17" t="s">
        <v>657</v>
      </c>
      <c r="M144" s="8">
        <v>199900</v>
      </c>
      <c r="N144" s="36">
        <f t="shared" si="18"/>
        <v>0.75</v>
      </c>
      <c r="O144" s="35">
        <f t="shared" si="16"/>
        <v>49975</v>
      </c>
      <c r="P144" s="22" t="s">
        <v>16</v>
      </c>
    </row>
    <row r="145" spans="1:16" x14ac:dyDescent="0.35">
      <c r="A145" s="14" t="str">
        <f t="shared" si="17"/>
        <v xml:space="preserve"> 2024 JAN-DEC D75 LICENSE BABY</v>
      </c>
      <c r="B145" s="7">
        <f t="shared" si="14"/>
        <v>46104</v>
      </c>
      <c r="C145" s="7">
        <f t="shared" si="15"/>
        <v>46113</v>
      </c>
      <c r="D145" s="6">
        <v>3284</v>
      </c>
      <c r="E145" s="6">
        <v>338</v>
      </c>
      <c r="F145" s="6">
        <v>4</v>
      </c>
      <c r="G145" s="6">
        <v>5</v>
      </c>
      <c r="H145" s="6">
        <v>80920</v>
      </c>
      <c r="I145" s="6" t="s">
        <v>17</v>
      </c>
      <c r="J145" s="6">
        <v>15617611</v>
      </c>
      <c r="K145" s="6" t="s">
        <v>654</v>
      </c>
      <c r="L145" s="17" t="s">
        <v>658</v>
      </c>
      <c r="M145" s="8">
        <v>199900</v>
      </c>
      <c r="N145" s="36">
        <f t="shared" si="18"/>
        <v>0.75</v>
      </c>
      <c r="O145" s="35">
        <f t="shared" si="16"/>
        <v>49975</v>
      </c>
      <c r="P145" s="22" t="s">
        <v>16</v>
      </c>
    </row>
    <row r="146" spans="1:16" x14ac:dyDescent="0.35">
      <c r="A146" s="14" t="str">
        <f t="shared" si="17"/>
        <v xml:space="preserve"> 2024 JAN-DEC D75 LICENSE BABY</v>
      </c>
      <c r="B146" s="7">
        <f t="shared" si="14"/>
        <v>46104</v>
      </c>
      <c r="C146" s="7">
        <f t="shared" si="15"/>
        <v>46113</v>
      </c>
      <c r="D146" s="6">
        <v>3284</v>
      </c>
      <c r="E146" s="6">
        <v>338</v>
      </c>
      <c r="F146" s="6">
        <v>4</v>
      </c>
      <c r="G146" s="6">
        <v>5</v>
      </c>
      <c r="H146" s="6">
        <v>80920</v>
      </c>
      <c r="I146" s="6" t="s">
        <v>17</v>
      </c>
      <c r="J146" s="6">
        <v>15618101</v>
      </c>
      <c r="K146" s="6" t="s">
        <v>659</v>
      </c>
      <c r="L146" s="17" t="s">
        <v>660</v>
      </c>
      <c r="M146" s="8">
        <v>219900</v>
      </c>
      <c r="N146" s="36">
        <f t="shared" si="18"/>
        <v>0.75</v>
      </c>
      <c r="O146" s="35">
        <f t="shared" si="16"/>
        <v>54975</v>
      </c>
      <c r="P146" s="22" t="s">
        <v>16</v>
      </c>
    </row>
    <row r="147" spans="1:16" x14ac:dyDescent="0.35">
      <c r="A147" s="14" t="str">
        <f t="shared" si="17"/>
        <v xml:space="preserve"> 2024 JAN-DEC D75 LICENSE BABY</v>
      </c>
      <c r="B147" s="7">
        <f t="shared" si="14"/>
        <v>46104</v>
      </c>
      <c r="C147" s="7">
        <f t="shared" si="15"/>
        <v>46113</v>
      </c>
      <c r="D147" s="6">
        <v>3284</v>
      </c>
      <c r="E147" s="6">
        <v>338</v>
      </c>
      <c r="F147" s="6">
        <v>4</v>
      </c>
      <c r="G147" s="6">
        <v>5</v>
      </c>
      <c r="H147" s="6">
        <v>80920</v>
      </c>
      <c r="I147" s="6" t="s">
        <v>17</v>
      </c>
      <c r="J147" s="6">
        <v>15618110</v>
      </c>
      <c r="K147" s="6" t="s">
        <v>659</v>
      </c>
      <c r="L147" s="17" t="s">
        <v>661</v>
      </c>
      <c r="M147" s="8">
        <v>219900</v>
      </c>
      <c r="N147" s="36">
        <f t="shared" si="18"/>
        <v>0.75</v>
      </c>
      <c r="O147" s="35">
        <f t="shared" si="16"/>
        <v>54975</v>
      </c>
      <c r="P147" s="22" t="s">
        <v>16</v>
      </c>
    </row>
    <row r="148" spans="1:16" x14ac:dyDescent="0.35">
      <c r="A148" s="14" t="str">
        <f t="shared" si="17"/>
        <v xml:space="preserve"> 2024 JAN-DEC D75 LICENSE BABY</v>
      </c>
      <c r="B148" s="7">
        <f t="shared" si="14"/>
        <v>46104</v>
      </c>
      <c r="C148" s="7">
        <f t="shared" si="15"/>
        <v>46113</v>
      </c>
      <c r="D148" s="6">
        <v>3284</v>
      </c>
      <c r="E148" s="6">
        <v>338</v>
      </c>
      <c r="F148" s="6">
        <v>4</v>
      </c>
      <c r="G148" s="6">
        <v>5</v>
      </c>
      <c r="H148" s="6">
        <v>80920</v>
      </c>
      <c r="I148" s="6" t="s">
        <v>17</v>
      </c>
      <c r="J148" s="6">
        <v>15618129</v>
      </c>
      <c r="K148" s="6" t="s">
        <v>659</v>
      </c>
      <c r="L148" s="17" t="s">
        <v>662</v>
      </c>
      <c r="M148" s="8">
        <v>219900</v>
      </c>
      <c r="N148" s="36">
        <f t="shared" si="18"/>
        <v>0.75</v>
      </c>
      <c r="O148" s="35">
        <f t="shared" si="16"/>
        <v>54975</v>
      </c>
      <c r="P148" s="22" t="s">
        <v>16</v>
      </c>
    </row>
    <row r="149" spans="1:16" x14ac:dyDescent="0.35">
      <c r="A149" s="14" t="str">
        <f t="shared" si="17"/>
        <v xml:space="preserve"> 2024 JAN-DEC D75 LICENSE BABY</v>
      </c>
      <c r="B149" s="7">
        <f t="shared" si="14"/>
        <v>46104</v>
      </c>
      <c r="C149" s="7">
        <f t="shared" si="15"/>
        <v>46113</v>
      </c>
      <c r="D149" s="6">
        <v>3284</v>
      </c>
      <c r="E149" s="6">
        <v>338</v>
      </c>
      <c r="F149" s="6">
        <v>4</v>
      </c>
      <c r="G149" s="6">
        <v>5</v>
      </c>
      <c r="H149" s="6">
        <v>80920</v>
      </c>
      <c r="I149" s="6" t="s">
        <v>17</v>
      </c>
      <c r="J149" s="6">
        <v>15618138</v>
      </c>
      <c r="K149" s="6" t="s">
        <v>659</v>
      </c>
      <c r="L149" s="17" t="s">
        <v>663</v>
      </c>
      <c r="M149" s="8">
        <v>219900</v>
      </c>
      <c r="N149" s="36">
        <f t="shared" si="18"/>
        <v>0.75</v>
      </c>
      <c r="O149" s="35">
        <f t="shared" si="16"/>
        <v>54975</v>
      </c>
      <c r="P149" s="22" t="s">
        <v>16</v>
      </c>
    </row>
    <row r="150" spans="1:16" x14ac:dyDescent="0.35">
      <c r="A150" s="14" t="str">
        <f t="shared" si="17"/>
        <v xml:space="preserve"> 2024 JAN-DEC D75 LICENSE BABY</v>
      </c>
      <c r="B150" s="7">
        <f t="shared" si="14"/>
        <v>46104</v>
      </c>
      <c r="C150" s="7">
        <f t="shared" si="15"/>
        <v>46113</v>
      </c>
      <c r="D150" s="6">
        <v>3284</v>
      </c>
      <c r="E150" s="6">
        <v>338</v>
      </c>
      <c r="F150" s="6">
        <v>4</v>
      </c>
      <c r="G150" s="6">
        <v>5</v>
      </c>
      <c r="H150" s="6">
        <v>81506</v>
      </c>
      <c r="I150" s="6" t="s">
        <v>17</v>
      </c>
      <c r="J150" s="6">
        <v>16621640</v>
      </c>
      <c r="K150" s="6" t="s">
        <v>664</v>
      </c>
      <c r="L150" s="17" t="s">
        <v>665</v>
      </c>
      <c r="M150" s="8">
        <v>219900</v>
      </c>
      <c r="N150" s="36">
        <f t="shared" si="18"/>
        <v>0.75</v>
      </c>
      <c r="O150" s="35">
        <f t="shared" si="16"/>
        <v>54975</v>
      </c>
      <c r="P150" s="22" t="s">
        <v>16</v>
      </c>
    </row>
    <row r="151" spans="1:16" x14ac:dyDescent="0.35">
      <c r="A151" s="14" t="str">
        <f t="shared" si="17"/>
        <v xml:space="preserve"> 2024 JAN-DEC D75 LICENSE BABY</v>
      </c>
      <c r="B151" s="7">
        <f t="shared" si="14"/>
        <v>46104</v>
      </c>
      <c r="C151" s="7">
        <f t="shared" si="15"/>
        <v>46113</v>
      </c>
      <c r="D151" s="6">
        <v>3284</v>
      </c>
      <c r="E151" s="6">
        <v>338</v>
      </c>
      <c r="F151" s="6">
        <v>4</v>
      </c>
      <c r="G151" s="6">
        <v>5</v>
      </c>
      <c r="H151" s="6">
        <v>81506</v>
      </c>
      <c r="I151" s="6" t="s">
        <v>17</v>
      </c>
      <c r="J151" s="6">
        <v>16621659</v>
      </c>
      <c r="K151" s="6" t="s">
        <v>664</v>
      </c>
      <c r="L151" s="17" t="s">
        <v>666</v>
      </c>
      <c r="M151" s="8">
        <v>219900</v>
      </c>
      <c r="N151" s="36">
        <f t="shared" si="18"/>
        <v>0.75</v>
      </c>
      <c r="O151" s="35">
        <f t="shared" si="16"/>
        <v>54975</v>
      </c>
      <c r="P151" s="22" t="s">
        <v>16</v>
      </c>
    </row>
    <row r="152" spans="1:16" x14ac:dyDescent="0.35">
      <c r="A152" s="14" t="str">
        <f t="shared" si="17"/>
        <v xml:space="preserve"> 2024 JAN-DEC D75 LICENSE BABY</v>
      </c>
      <c r="B152" s="7">
        <f t="shared" si="14"/>
        <v>46104</v>
      </c>
      <c r="C152" s="7">
        <f t="shared" si="15"/>
        <v>46113</v>
      </c>
      <c r="D152" s="6">
        <v>3284</v>
      </c>
      <c r="E152" s="6">
        <v>338</v>
      </c>
      <c r="F152" s="6">
        <v>4</v>
      </c>
      <c r="G152" s="6">
        <v>5</v>
      </c>
      <c r="H152" s="6">
        <v>81506</v>
      </c>
      <c r="I152" s="6" t="s">
        <v>17</v>
      </c>
      <c r="J152" s="6">
        <v>16621668</v>
      </c>
      <c r="K152" s="6" t="s">
        <v>664</v>
      </c>
      <c r="L152" s="17" t="s">
        <v>667</v>
      </c>
      <c r="M152" s="8">
        <v>219900</v>
      </c>
      <c r="N152" s="36">
        <f t="shared" si="18"/>
        <v>0.75</v>
      </c>
      <c r="O152" s="35">
        <f t="shared" si="16"/>
        <v>54975</v>
      </c>
      <c r="P152" s="22" t="s">
        <v>16</v>
      </c>
    </row>
    <row r="153" spans="1:16" x14ac:dyDescent="0.35">
      <c r="A153" s="14" t="str">
        <f t="shared" si="17"/>
        <v xml:space="preserve"> 2024 JAN-DEC D75 LICENSE BABY</v>
      </c>
      <c r="B153" s="7">
        <f t="shared" si="14"/>
        <v>46104</v>
      </c>
      <c r="C153" s="7">
        <f t="shared" si="15"/>
        <v>46113</v>
      </c>
      <c r="D153" s="6">
        <v>3284</v>
      </c>
      <c r="E153" s="6">
        <v>338</v>
      </c>
      <c r="F153" s="6">
        <v>4</v>
      </c>
      <c r="G153" s="6">
        <v>5</v>
      </c>
      <c r="H153" s="6">
        <v>81506</v>
      </c>
      <c r="I153" s="6" t="s">
        <v>17</v>
      </c>
      <c r="J153" s="6">
        <v>16621677</v>
      </c>
      <c r="K153" s="6" t="s">
        <v>664</v>
      </c>
      <c r="L153" s="17" t="s">
        <v>668</v>
      </c>
      <c r="M153" s="8">
        <v>219900</v>
      </c>
      <c r="N153" s="36">
        <f t="shared" si="18"/>
        <v>0.75</v>
      </c>
      <c r="O153" s="35">
        <f t="shared" si="16"/>
        <v>54975</v>
      </c>
      <c r="P153" s="22" t="s">
        <v>16</v>
      </c>
    </row>
    <row r="154" spans="1:16" x14ac:dyDescent="0.35">
      <c r="A154" s="14" t="str">
        <f t="shared" si="17"/>
        <v xml:space="preserve"> 2024 JAN-DEC D75 LICENSE BABY</v>
      </c>
      <c r="B154" s="7">
        <f t="shared" si="14"/>
        <v>46104</v>
      </c>
      <c r="C154" s="7">
        <f t="shared" si="15"/>
        <v>46113</v>
      </c>
      <c r="D154" s="6">
        <v>3284</v>
      </c>
      <c r="E154" s="6">
        <v>338</v>
      </c>
      <c r="F154" s="6">
        <v>4</v>
      </c>
      <c r="G154" s="6">
        <v>5</v>
      </c>
      <c r="H154" s="6">
        <v>81676</v>
      </c>
      <c r="I154" s="6" t="s">
        <v>17</v>
      </c>
      <c r="J154" s="6">
        <v>15617460</v>
      </c>
      <c r="K154" s="6" t="s">
        <v>304</v>
      </c>
      <c r="L154" s="17" t="s">
        <v>305</v>
      </c>
      <c r="M154" s="8">
        <v>199900</v>
      </c>
      <c r="N154" s="36">
        <f t="shared" si="18"/>
        <v>0.75</v>
      </c>
      <c r="O154" s="35">
        <f t="shared" si="16"/>
        <v>49975</v>
      </c>
      <c r="P154" s="22" t="s">
        <v>16</v>
      </c>
    </row>
    <row r="155" spans="1:16" x14ac:dyDescent="0.35">
      <c r="A155" s="14" t="str">
        <f t="shared" si="17"/>
        <v xml:space="preserve"> 2024 JAN-DEC D75 LICENSE BABY</v>
      </c>
      <c r="B155" s="7">
        <f t="shared" si="14"/>
        <v>46104</v>
      </c>
      <c r="C155" s="7">
        <f t="shared" si="15"/>
        <v>46113</v>
      </c>
      <c r="D155" s="6">
        <v>3284</v>
      </c>
      <c r="E155" s="6">
        <v>338</v>
      </c>
      <c r="F155" s="6">
        <v>4</v>
      </c>
      <c r="G155" s="6">
        <v>5</v>
      </c>
      <c r="H155" s="6">
        <v>81676</v>
      </c>
      <c r="I155" s="6" t="s">
        <v>17</v>
      </c>
      <c r="J155" s="6">
        <v>15617479</v>
      </c>
      <c r="K155" s="6" t="s">
        <v>304</v>
      </c>
      <c r="L155" s="17" t="s">
        <v>669</v>
      </c>
      <c r="M155" s="8">
        <v>199900</v>
      </c>
      <c r="N155" s="36">
        <f t="shared" si="18"/>
        <v>0.75</v>
      </c>
      <c r="O155" s="35">
        <f t="shared" si="16"/>
        <v>49975</v>
      </c>
      <c r="P155" s="22" t="s">
        <v>16</v>
      </c>
    </row>
    <row r="156" spans="1:16" x14ac:dyDescent="0.35">
      <c r="A156" s="14" t="str">
        <f t="shared" si="17"/>
        <v xml:space="preserve"> 2024 JAN-DEC D75 LICENSE BABY</v>
      </c>
      <c r="B156" s="7">
        <f t="shared" si="14"/>
        <v>46104</v>
      </c>
      <c r="C156" s="7">
        <f t="shared" si="15"/>
        <v>46113</v>
      </c>
      <c r="D156" s="6">
        <v>3284</v>
      </c>
      <c r="E156" s="6">
        <v>338</v>
      </c>
      <c r="F156" s="6">
        <v>4</v>
      </c>
      <c r="G156" s="6">
        <v>5</v>
      </c>
      <c r="H156" s="6">
        <v>81676</v>
      </c>
      <c r="I156" s="6" t="s">
        <v>17</v>
      </c>
      <c r="J156" s="6">
        <v>15617488</v>
      </c>
      <c r="K156" s="6" t="s">
        <v>304</v>
      </c>
      <c r="L156" s="17" t="s">
        <v>306</v>
      </c>
      <c r="M156" s="8">
        <v>199900</v>
      </c>
      <c r="N156" s="36">
        <f t="shared" si="18"/>
        <v>0.75</v>
      </c>
      <c r="O156" s="35">
        <f t="shared" si="16"/>
        <v>49975</v>
      </c>
      <c r="P156" s="22" t="s">
        <v>16</v>
      </c>
    </row>
    <row r="157" spans="1:16" x14ac:dyDescent="0.35">
      <c r="A157" s="14" t="str">
        <f t="shared" si="17"/>
        <v xml:space="preserve"> 2024 JAN-DEC D75 LICENSE BABY</v>
      </c>
      <c r="B157" s="7">
        <f t="shared" si="14"/>
        <v>46104</v>
      </c>
      <c r="C157" s="7">
        <f t="shared" si="15"/>
        <v>46113</v>
      </c>
      <c r="D157" s="6">
        <v>3284</v>
      </c>
      <c r="E157" s="6">
        <v>338</v>
      </c>
      <c r="F157" s="6">
        <v>4</v>
      </c>
      <c r="G157" s="6">
        <v>5</v>
      </c>
      <c r="H157" s="6">
        <v>81676</v>
      </c>
      <c r="I157" s="6" t="s">
        <v>17</v>
      </c>
      <c r="J157" s="6">
        <v>15617497</v>
      </c>
      <c r="K157" s="6" t="s">
        <v>304</v>
      </c>
      <c r="L157" s="17" t="s">
        <v>307</v>
      </c>
      <c r="M157" s="8">
        <v>199900</v>
      </c>
      <c r="N157" s="36">
        <f t="shared" si="18"/>
        <v>0.75</v>
      </c>
      <c r="O157" s="35">
        <f t="shared" si="16"/>
        <v>49975</v>
      </c>
      <c r="P157" s="22" t="s">
        <v>16</v>
      </c>
    </row>
    <row r="158" spans="1:16" x14ac:dyDescent="0.35">
      <c r="A158" s="14" t="str">
        <f t="shared" si="17"/>
        <v xml:space="preserve"> 2024 JAN-DEC D75 LICENSE BABY</v>
      </c>
      <c r="B158" s="7">
        <f t="shared" ref="B158:B189" si="19">B157</f>
        <v>46104</v>
      </c>
      <c r="C158" s="7">
        <f t="shared" ref="C158:C189" si="20">C157</f>
        <v>46113</v>
      </c>
      <c r="D158" s="6">
        <v>3284</v>
      </c>
      <c r="E158" s="6">
        <v>338</v>
      </c>
      <c r="F158" s="6">
        <v>4</v>
      </c>
      <c r="G158" s="6">
        <v>5</v>
      </c>
      <c r="H158" s="6">
        <v>81676</v>
      </c>
      <c r="I158" s="6" t="s">
        <v>17</v>
      </c>
      <c r="J158" s="6">
        <v>15617540</v>
      </c>
      <c r="K158" s="6" t="s">
        <v>308</v>
      </c>
      <c r="L158" s="17" t="s">
        <v>309</v>
      </c>
      <c r="M158" s="8">
        <v>199900</v>
      </c>
      <c r="N158" s="36">
        <f t="shared" si="18"/>
        <v>0.75</v>
      </c>
      <c r="O158" s="35">
        <f t="shared" si="16"/>
        <v>49975</v>
      </c>
      <c r="P158" s="22" t="s">
        <v>16</v>
      </c>
    </row>
    <row r="159" spans="1:16" x14ac:dyDescent="0.35">
      <c r="A159" s="14" t="str">
        <f t="shared" si="17"/>
        <v xml:space="preserve"> 2024 JAN-DEC D75 LICENSE BABY</v>
      </c>
      <c r="B159" s="7">
        <f t="shared" si="19"/>
        <v>46104</v>
      </c>
      <c r="C159" s="7">
        <f t="shared" si="20"/>
        <v>46113</v>
      </c>
      <c r="D159" s="6">
        <v>3284</v>
      </c>
      <c r="E159" s="6">
        <v>338</v>
      </c>
      <c r="F159" s="6">
        <v>4</v>
      </c>
      <c r="G159" s="6">
        <v>5</v>
      </c>
      <c r="H159" s="6">
        <v>81676</v>
      </c>
      <c r="I159" s="6" t="s">
        <v>17</v>
      </c>
      <c r="J159" s="6">
        <v>15617559</v>
      </c>
      <c r="K159" s="6" t="s">
        <v>308</v>
      </c>
      <c r="L159" s="17" t="s">
        <v>670</v>
      </c>
      <c r="M159" s="8">
        <v>199900</v>
      </c>
      <c r="N159" s="36">
        <f t="shared" si="18"/>
        <v>0.75</v>
      </c>
      <c r="O159" s="35">
        <f t="shared" si="16"/>
        <v>49975</v>
      </c>
      <c r="P159" s="22" t="s">
        <v>16</v>
      </c>
    </row>
    <row r="160" spans="1:16" x14ac:dyDescent="0.35">
      <c r="A160" s="14" t="str">
        <f t="shared" si="17"/>
        <v xml:space="preserve"> 2024 JAN-DEC D75 LICENSE BABY</v>
      </c>
      <c r="B160" s="7">
        <f t="shared" si="19"/>
        <v>46104</v>
      </c>
      <c r="C160" s="7">
        <f t="shared" si="20"/>
        <v>46113</v>
      </c>
      <c r="D160" s="6">
        <v>3284</v>
      </c>
      <c r="E160" s="6">
        <v>338</v>
      </c>
      <c r="F160" s="6">
        <v>4</v>
      </c>
      <c r="G160" s="6">
        <v>5</v>
      </c>
      <c r="H160" s="6">
        <v>81676</v>
      </c>
      <c r="I160" s="6" t="s">
        <v>17</v>
      </c>
      <c r="J160" s="6">
        <v>15617568</v>
      </c>
      <c r="K160" s="6" t="s">
        <v>308</v>
      </c>
      <c r="L160" s="17" t="s">
        <v>310</v>
      </c>
      <c r="M160" s="8">
        <v>199900</v>
      </c>
      <c r="N160" s="36">
        <f t="shared" si="18"/>
        <v>0.75</v>
      </c>
      <c r="O160" s="35">
        <f t="shared" si="16"/>
        <v>49975</v>
      </c>
      <c r="P160" s="22" t="s">
        <v>16</v>
      </c>
    </row>
    <row r="161" spans="1:16" x14ac:dyDescent="0.35">
      <c r="A161" s="14" t="str">
        <f t="shared" si="17"/>
        <v xml:space="preserve"> 2024 JAN-DEC D75 LICENSE BABY</v>
      </c>
      <c r="B161" s="7">
        <f t="shared" si="19"/>
        <v>46104</v>
      </c>
      <c r="C161" s="7">
        <f t="shared" si="20"/>
        <v>46113</v>
      </c>
      <c r="D161" s="6">
        <v>3284</v>
      </c>
      <c r="E161" s="6">
        <v>338</v>
      </c>
      <c r="F161" s="6">
        <v>4</v>
      </c>
      <c r="G161" s="6">
        <v>5</v>
      </c>
      <c r="H161" s="6">
        <v>81676</v>
      </c>
      <c r="I161" s="6" t="s">
        <v>17</v>
      </c>
      <c r="J161" s="6">
        <v>15617577</v>
      </c>
      <c r="K161" s="6" t="s">
        <v>308</v>
      </c>
      <c r="L161" s="17" t="s">
        <v>311</v>
      </c>
      <c r="M161" s="8">
        <v>199900</v>
      </c>
      <c r="N161" s="36">
        <f t="shared" si="18"/>
        <v>0.75</v>
      </c>
      <c r="O161" s="35">
        <f t="shared" si="16"/>
        <v>49975</v>
      </c>
      <c r="P161" s="22" t="s">
        <v>16</v>
      </c>
    </row>
    <row r="162" spans="1:16" x14ac:dyDescent="0.35">
      <c r="A162" s="14" t="str">
        <f t="shared" si="17"/>
        <v xml:space="preserve"> 2024 JAN-DEC D75 LICENSE BABY</v>
      </c>
      <c r="B162" s="7">
        <f t="shared" si="19"/>
        <v>46104</v>
      </c>
      <c r="C162" s="7">
        <f t="shared" si="20"/>
        <v>46113</v>
      </c>
      <c r="D162" s="6">
        <v>3284</v>
      </c>
      <c r="E162" s="6">
        <v>338</v>
      </c>
      <c r="F162" s="6">
        <v>4</v>
      </c>
      <c r="G162" s="6">
        <v>5</v>
      </c>
      <c r="H162" s="6">
        <v>81676</v>
      </c>
      <c r="I162" s="6" t="s">
        <v>17</v>
      </c>
      <c r="J162" s="6">
        <v>16621560</v>
      </c>
      <c r="K162" s="6" t="s">
        <v>671</v>
      </c>
      <c r="L162" s="17" t="s">
        <v>672</v>
      </c>
      <c r="M162" s="8">
        <v>199900</v>
      </c>
      <c r="N162" s="36">
        <f t="shared" si="18"/>
        <v>0.75</v>
      </c>
      <c r="O162" s="35">
        <f t="shared" si="16"/>
        <v>49975</v>
      </c>
      <c r="P162" s="22" t="s">
        <v>16</v>
      </c>
    </row>
    <row r="163" spans="1:16" x14ac:dyDescent="0.35">
      <c r="A163" s="14" t="str">
        <f t="shared" si="17"/>
        <v xml:space="preserve"> 2024 JAN-DEC D75 LICENSE BABY</v>
      </c>
      <c r="B163" s="7">
        <f t="shared" si="19"/>
        <v>46104</v>
      </c>
      <c r="C163" s="7">
        <f t="shared" si="20"/>
        <v>46113</v>
      </c>
      <c r="D163" s="6">
        <v>3284</v>
      </c>
      <c r="E163" s="6">
        <v>338</v>
      </c>
      <c r="F163" s="6">
        <v>4</v>
      </c>
      <c r="G163" s="6">
        <v>5</v>
      </c>
      <c r="H163" s="6">
        <v>81676</v>
      </c>
      <c r="I163" s="6" t="s">
        <v>17</v>
      </c>
      <c r="J163" s="6">
        <v>16621579</v>
      </c>
      <c r="K163" s="6" t="s">
        <v>671</v>
      </c>
      <c r="L163" s="17" t="s">
        <v>673</v>
      </c>
      <c r="M163" s="8">
        <v>199900</v>
      </c>
      <c r="N163" s="36">
        <f t="shared" si="18"/>
        <v>0.75</v>
      </c>
      <c r="O163" s="35">
        <f t="shared" si="16"/>
        <v>49975</v>
      </c>
      <c r="P163" s="22" t="s">
        <v>16</v>
      </c>
    </row>
    <row r="164" spans="1:16" x14ac:dyDescent="0.35">
      <c r="A164" s="14" t="str">
        <f t="shared" si="17"/>
        <v xml:space="preserve"> 2024 JAN-DEC D75 LICENSE BABY</v>
      </c>
      <c r="B164" s="7">
        <f t="shared" si="19"/>
        <v>46104</v>
      </c>
      <c r="C164" s="7">
        <f t="shared" si="20"/>
        <v>46113</v>
      </c>
      <c r="D164" s="6">
        <v>3284</v>
      </c>
      <c r="E164" s="6">
        <v>338</v>
      </c>
      <c r="F164" s="6">
        <v>4</v>
      </c>
      <c r="G164" s="6">
        <v>5</v>
      </c>
      <c r="H164" s="6">
        <v>81676</v>
      </c>
      <c r="I164" s="6" t="s">
        <v>17</v>
      </c>
      <c r="J164" s="6">
        <v>16621588</v>
      </c>
      <c r="K164" s="6" t="s">
        <v>671</v>
      </c>
      <c r="L164" s="17" t="s">
        <v>674</v>
      </c>
      <c r="M164" s="8">
        <v>199900</v>
      </c>
      <c r="N164" s="36">
        <f t="shared" si="18"/>
        <v>0.75</v>
      </c>
      <c r="O164" s="35">
        <f t="shared" si="16"/>
        <v>49975</v>
      </c>
      <c r="P164" s="22" t="s">
        <v>16</v>
      </c>
    </row>
    <row r="165" spans="1:16" x14ac:dyDescent="0.35">
      <c r="A165" s="14" t="str">
        <f t="shared" si="17"/>
        <v xml:space="preserve"> 2024 JAN-DEC D75 LICENSE BABY</v>
      </c>
      <c r="B165" s="7">
        <f t="shared" si="19"/>
        <v>46104</v>
      </c>
      <c r="C165" s="7">
        <f t="shared" si="20"/>
        <v>46113</v>
      </c>
      <c r="D165" s="6">
        <v>3284</v>
      </c>
      <c r="E165" s="6">
        <v>338</v>
      </c>
      <c r="F165" s="6">
        <v>4</v>
      </c>
      <c r="G165" s="6">
        <v>5</v>
      </c>
      <c r="H165" s="6">
        <v>81676</v>
      </c>
      <c r="I165" s="6" t="s">
        <v>17</v>
      </c>
      <c r="J165" s="6">
        <v>16621597</v>
      </c>
      <c r="K165" s="6" t="s">
        <v>671</v>
      </c>
      <c r="L165" s="17" t="s">
        <v>675</v>
      </c>
      <c r="M165" s="8">
        <v>199900</v>
      </c>
      <c r="N165" s="36">
        <f t="shared" si="18"/>
        <v>0.75</v>
      </c>
      <c r="O165" s="35">
        <f t="shared" si="16"/>
        <v>49975</v>
      </c>
      <c r="P165" s="22" t="s">
        <v>16</v>
      </c>
    </row>
    <row r="166" spans="1:16" x14ac:dyDescent="0.35">
      <c r="A166" s="14" t="str">
        <f t="shared" si="17"/>
        <v xml:space="preserve"> 2024 JAN-DEC D75 LICENSE BABY</v>
      </c>
      <c r="B166" s="7">
        <f t="shared" si="19"/>
        <v>46104</v>
      </c>
      <c r="C166" s="7">
        <f t="shared" si="20"/>
        <v>46113</v>
      </c>
      <c r="D166" s="6">
        <v>3284</v>
      </c>
      <c r="E166" s="6">
        <v>338</v>
      </c>
      <c r="F166" s="6">
        <v>4</v>
      </c>
      <c r="G166" s="6">
        <v>5</v>
      </c>
      <c r="H166" s="6">
        <v>81676</v>
      </c>
      <c r="I166" s="6" t="s">
        <v>17</v>
      </c>
      <c r="J166" s="6">
        <v>17060003</v>
      </c>
      <c r="K166" s="6" t="s">
        <v>676</v>
      </c>
      <c r="L166" s="17" t="s">
        <v>677</v>
      </c>
      <c r="M166" s="8">
        <v>199900</v>
      </c>
      <c r="N166" s="36">
        <f t="shared" si="18"/>
        <v>0.75</v>
      </c>
      <c r="O166" s="35">
        <f t="shared" si="16"/>
        <v>49975</v>
      </c>
      <c r="P166" s="22" t="s">
        <v>16</v>
      </c>
    </row>
    <row r="167" spans="1:16" x14ac:dyDescent="0.35">
      <c r="A167" s="14" t="str">
        <f t="shared" si="17"/>
        <v xml:space="preserve"> 2024 JAN-DEC D75 LICENSE BABY</v>
      </c>
      <c r="B167" s="7">
        <f t="shared" si="19"/>
        <v>46104</v>
      </c>
      <c r="C167" s="7">
        <f t="shared" si="20"/>
        <v>46113</v>
      </c>
      <c r="D167" s="6">
        <v>3284</v>
      </c>
      <c r="E167" s="6">
        <v>338</v>
      </c>
      <c r="F167" s="6">
        <v>4</v>
      </c>
      <c r="G167" s="6">
        <v>5</v>
      </c>
      <c r="H167" s="6">
        <v>81676</v>
      </c>
      <c r="I167" s="6" t="s">
        <v>17</v>
      </c>
      <c r="J167" s="6">
        <v>17060012</v>
      </c>
      <c r="K167" s="6" t="s">
        <v>676</v>
      </c>
      <c r="L167" s="17" t="s">
        <v>678</v>
      </c>
      <c r="M167" s="8">
        <v>199900</v>
      </c>
      <c r="N167" s="36">
        <f t="shared" si="18"/>
        <v>0.75</v>
      </c>
      <c r="O167" s="35">
        <f t="shared" si="16"/>
        <v>49975</v>
      </c>
      <c r="P167" s="22" t="s">
        <v>16</v>
      </c>
    </row>
    <row r="168" spans="1:16" x14ac:dyDescent="0.35">
      <c r="A168" s="14" t="str">
        <f t="shared" si="17"/>
        <v xml:space="preserve"> 2024 JAN-DEC D75 LICENSE BABY</v>
      </c>
      <c r="B168" s="7">
        <f t="shared" si="19"/>
        <v>46104</v>
      </c>
      <c r="C168" s="7">
        <f t="shared" si="20"/>
        <v>46113</v>
      </c>
      <c r="D168" s="6">
        <v>3284</v>
      </c>
      <c r="E168" s="6">
        <v>338</v>
      </c>
      <c r="F168" s="6">
        <v>4</v>
      </c>
      <c r="G168" s="6">
        <v>5</v>
      </c>
      <c r="H168" s="6">
        <v>81676</v>
      </c>
      <c r="I168" s="6" t="s">
        <v>17</v>
      </c>
      <c r="J168" s="6">
        <v>17060021</v>
      </c>
      <c r="K168" s="6" t="s">
        <v>676</v>
      </c>
      <c r="L168" s="17" t="s">
        <v>679</v>
      </c>
      <c r="M168" s="8">
        <v>199900</v>
      </c>
      <c r="N168" s="36">
        <f t="shared" si="18"/>
        <v>0.75</v>
      </c>
      <c r="O168" s="35">
        <f t="shared" si="16"/>
        <v>49975</v>
      </c>
      <c r="P168" s="22" t="s">
        <v>16</v>
      </c>
    </row>
    <row r="169" spans="1:16" x14ac:dyDescent="0.35">
      <c r="A169" s="14" t="str">
        <f t="shared" si="17"/>
        <v xml:space="preserve"> 2024 JAN-DEC D75 LICENSE BABY</v>
      </c>
      <c r="B169" s="7">
        <f t="shared" si="19"/>
        <v>46104</v>
      </c>
      <c r="C169" s="7">
        <f t="shared" si="20"/>
        <v>46113</v>
      </c>
      <c r="D169" s="6">
        <v>3284</v>
      </c>
      <c r="E169" s="6">
        <v>338</v>
      </c>
      <c r="F169" s="6">
        <v>4</v>
      </c>
      <c r="G169" s="6">
        <v>5</v>
      </c>
      <c r="H169" s="6">
        <v>81676</v>
      </c>
      <c r="I169" s="6" t="s">
        <v>17</v>
      </c>
      <c r="J169" s="6">
        <v>17060030</v>
      </c>
      <c r="K169" s="6" t="s">
        <v>676</v>
      </c>
      <c r="L169" s="17" t="s">
        <v>680</v>
      </c>
      <c r="M169" s="8">
        <v>199900</v>
      </c>
      <c r="N169" s="36">
        <f t="shared" si="18"/>
        <v>0.75</v>
      </c>
      <c r="O169" s="35">
        <f t="shared" si="16"/>
        <v>49975</v>
      </c>
      <c r="P169" s="22" t="s">
        <v>16</v>
      </c>
    </row>
    <row r="170" spans="1:16" x14ac:dyDescent="0.35">
      <c r="A170" s="14" t="str">
        <f t="shared" si="17"/>
        <v xml:space="preserve"> 2024 JAN-DEC D75 LICENSE BABY</v>
      </c>
      <c r="B170" s="7">
        <f t="shared" si="19"/>
        <v>46104</v>
      </c>
      <c r="C170" s="7">
        <f t="shared" si="20"/>
        <v>46113</v>
      </c>
      <c r="D170" s="6">
        <v>3284</v>
      </c>
      <c r="E170" s="6">
        <v>338</v>
      </c>
      <c r="F170" s="6">
        <v>4</v>
      </c>
      <c r="G170" s="6">
        <v>7</v>
      </c>
      <c r="H170" s="6">
        <v>81676</v>
      </c>
      <c r="I170" s="6" t="s">
        <v>17</v>
      </c>
      <c r="J170" s="6">
        <v>15743403</v>
      </c>
      <c r="K170" s="6" t="s">
        <v>312</v>
      </c>
      <c r="L170" s="17" t="s">
        <v>313</v>
      </c>
      <c r="M170" s="8">
        <v>99900</v>
      </c>
      <c r="N170" s="36">
        <f t="shared" si="18"/>
        <v>0.75</v>
      </c>
      <c r="O170" s="35">
        <f t="shared" si="16"/>
        <v>24975</v>
      </c>
      <c r="P170" s="22" t="s">
        <v>16</v>
      </c>
    </row>
    <row r="171" spans="1:16" x14ac:dyDescent="0.35">
      <c r="A171" s="14" t="str">
        <f t="shared" si="17"/>
        <v xml:space="preserve"> 2024 JAN-DEC D75 LICENSE BABY</v>
      </c>
      <c r="B171" s="7">
        <f t="shared" si="19"/>
        <v>46104</v>
      </c>
      <c r="C171" s="7">
        <f t="shared" si="20"/>
        <v>46113</v>
      </c>
      <c r="D171" s="6">
        <v>3284</v>
      </c>
      <c r="E171" s="6">
        <v>338</v>
      </c>
      <c r="F171" s="6">
        <v>4</v>
      </c>
      <c r="G171" s="6">
        <v>7</v>
      </c>
      <c r="H171" s="6">
        <v>81676</v>
      </c>
      <c r="I171" s="6" t="s">
        <v>17</v>
      </c>
      <c r="J171" s="6">
        <v>15743421</v>
      </c>
      <c r="K171" s="6" t="s">
        <v>312</v>
      </c>
      <c r="L171" s="17" t="s">
        <v>681</v>
      </c>
      <c r="M171" s="8">
        <v>99900</v>
      </c>
      <c r="N171" s="36">
        <f t="shared" si="18"/>
        <v>0.75</v>
      </c>
      <c r="O171" s="35">
        <f t="shared" si="16"/>
        <v>24975</v>
      </c>
      <c r="P171" s="22" t="s">
        <v>16</v>
      </c>
    </row>
    <row r="172" spans="1:16" x14ac:dyDescent="0.35">
      <c r="A172" s="14" t="str">
        <f t="shared" si="17"/>
        <v xml:space="preserve"> 2024 JAN-DEC D75 LICENSE BABY</v>
      </c>
      <c r="B172" s="7">
        <f t="shared" si="19"/>
        <v>46104</v>
      </c>
      <c r="C172" s="7">
        <f t="shared" si="20"/>
        <v>46113</v>
      </c>
      <c r="D172" s="6">
        <v>3284</v>
      </c>
      <c r="E172" s="6">
        <v>338</v>
      </c>
      <c r="F172" s="6">
        <v>4</v>
      </c>
      <c r="G172" s="6">
        <v>7</v>
      </c>
      <c r="H172" s="6">
        <v>81676</v>
      </c>
      <c r="I172" s="6" t="s">
        <v>17</v>
      </c>
      <c r="J172" s="6">
        <v>15743430</v>
      </c>
      <c r="K172" s="6" t="s">
        <v>312</v>
      </c>
      <c r="L172" s="17" t="s">
        <v>314</v>
      </c>
      <c r="M172" s="8">
        <v>99900</v>
      </c>
      <c r="N172" s="36">
        <f t="shared" si="18"/>
        <v>0.75</v>
      </c>
      <c r="O172" s="35">
        <f t="shared" si="16"/>
        <v>24975</v>
      </c>
      <c r="P172" s="22" t="s">
        <v>16</v>
      </c>
    </row>
    <row r="173" spans="1:16" x14ac:dyDescent="0.35">
      <c r="A173" s="14" t="str">
        <f t="shared" si="17"/>
        <v xml:space="preserve"> 2024 JAN-DEC D75 LICENSE BABY</v>
      </c>
      <c r="B173" s="7">
        <f t="shared" si="19"/>
        <v>46104</v>
      </c>
      <c r="C173" s="7">
        <f t="shared" si="20"/>
        <v>46113</v>
      </c>
      <c r="D173" s="6">
        <v>3284</v>
      </c>
      <c r="E173" s="6">
        <v>338</v>
      </c>
      <c r="F173" s="6">
        <v>4</v>
      </c>
      <c r="G173" s="6">
        <v>7</v>
      </c>
      <c r="H173" s="6">
        <v>81676</v>
      </c>
      <c r="I173" s="6" t="s">
        <v>17</v>
      </c>
      <c r="J173" s="6">
        <v>15743449</v>
      </c>
      <c r="K173" s="6" t="s">
        <v>312</v>
      </c>
      <c r="L173" s="17" t="s">
        <v>315</v>
      </c>
      <c r="M173" s="8">
        <v>99900</v>
      </c>
      <c r="N173" s="36">
        <f t="shared" si="18"/>
        <v>0.75</v>
      </c>
      <c r="O173" s="35">
        <f t="shared" si="16"/>
        <v>24975</v>
      </c>
      <c r="P173" s="22" t="s">
        <v>16</v>
      </c>
    </row>
    <row r="174" spans="1:16" x14ac:dyDescent="0.35">
      <c r="A174" s="14" t="str">
        <f t="shared" si="17"/>
        <v xml:space="preserve"> 2024 JAN-DEC D75 LICENSE BABY</v>
      </c>
      <c r="B174" s="7">
        <f t="shared" si="19"/>
        <v>46104</v>
      </c>
      <c r="C174" s="7">
        <f t="shared" si="20"/>
        <v>46113</v>
      </c>
      <c r="D174" s="6">
        <v>3284</v>
      </c>
      <c r="E174" s="6">
        <v>338</v>
      </c>
      <c r="F174" s="6">
        <v>4</v>
      </c>
      <c r="G174" s="6">
        <v>7</v>
      </c>
      <c r="H174" s="6">
        <v>81676</v>
      </c>
      <c r="I174" s="6" t="s">
        <v>17</v>
      </c>
      <c r="J174" s="6">
        <v>15743494</v>
      </c>
      <c r="K174" s="6" t="s">
        <v>316</v>
      </c>
      <c r="L174" s="17" t="s">
        <v>317</v>
      </c>
      <c r="M174" s="8">
        <v>169900</v>
      </c>
      <c r="N174" s="36">
        <f t="shared" si="18"/>
        <v>0.75</v>
      </c>
      <c r="O174" s="35">
        <f t="shared" si="16"/>
        <v>42475</v>
      </c>
      <c r="P174" s="22" t="s">
        <v>16</v>
      </c>
    </row>
    <row r="175" spans="1:16" x14ac:dyDescent="0.35">
      <c r="A175" s="14" t="str">
        <f t="shared" si="17"/>
        <v xml:space="preserve"> 2024 JAN-DEC D75 LICENSE BABY</v>
      </c>
      <c r="B175" s="7">
        <f t="shared" si="19"/>
        <v>46104</v>
      </c>
      <c r="C175" s="7">
        <f t="shared" si="20"/>
        <v>46113</v>
      </c>
      <c r="D175" s="6">
        <v>3284</v>
      </c>
      <c r="E175" s="6">
        <v>338</v>
      </c>
      <c r="F175" s="6">
        <v>4</v>
      </c>
      <c r="G175" s="6">
        <v>7</v>
      </c>
      <c r="H175" s="6">
        <v>81676</v>
      </c>
      <c r="I175" s="6" t="s">
        <v>17</v>
      </c>
      <c r="J175" s="6">
        <v>15743501</v>
      </c>
      <c r="K175" s="6" t="s">
        <v>316</v>
      </c>
      <c r="L175" s="17" t="s">
        <v>687</v>
      </c>
      <c r="M175" s="8">
        <v>169900</v>
      </c>
      <c r="N175" s="36">
        <f t="shared" si="18"/>
        <v>0.75</v>
      </c>
      <c r="O175" s="35">
        <f t="shared" si="16"/>
        <v>42475</v>
      </c>
      <c r="P175" s="22" t="s">
        <v>16</v>
      </c>
    </row>
    <row r="176" spans="1:16" x14ac:dyDescent="0.35">
      <c r="A176" s="14" t="str">
        <f t="shared" si="17"/>
        <v xml:space="preserve"> 2024 JAN-DEC D75 LICENSE BABY</v>
      </c>
      <c r="B176" s="7">
        <f t="shared" si="19"/>
        <v>46104</v>
      </c>
      <c r="C176" s="7">
        <f t="shared" si="20"/>
        <v>46113</v>
      </c>
      <c r="D176" s="6">
        <v>3284</v>
      </c>
      <c r="E176" s="6">
        <v>338</v>
      </c>
      <c r="F176" s="6">
        <v>4</v>
      </c>
      <c r="G176" s="6">
        <v>7</v>
      </c>
      <c r="H176" s="6">
        <v>81676</v>
      </c>
      <c r="I176" s="6" t="s">
        <v>17</v>
      </c>
      <c r="J176" s="6">
        <v>15743510</v>
      </c>
      <c r="K176" s="6" t="s">
        <v>316</v>
      </c>
      <c r="L176" s="17" t="s">
        <v>318</v>
      </c>
      <c r="M176" s="8">
        <v>169900</v>
      </c>
      <c r="N176" s="36">
        <f t="shared" si="18"/>
        <v>0.75</v>
      </c>
      <c r="O176" s="35">
        <f t="shared" si="16"/>
        <v>42475</v>
      </c>
      <c r="P176" s="22" t="s">
        <v>16</v>
      </c>
    </row>
    <row r="177" spans="1:16" x14ac:dyDescent="0.35">
      <c r="A177" s="14" t="str">
        <f t="shared" si="17"/>
        <v xml:space="preserve"> 2024 JAN-DEC D75 LICENSE BABY</v>
      </c>
      <c r="B177" s="7">
        <f t="shared" si="19"/>
        <v>46104</v>
      </c>
      <c r="C177" s="7">
        <f t="shared" si="20"/>
        <v>46113</v>
      </c>
      <c r="D177" s="6">
        <v>3284</v>
      </c>
      <c r="E177" s="6">
        <v>338</v>
      </c>
      <c r="F177" s="6">
        <v>4</v>
      </c>
      <c r="G177" s="6">
        <v>7</v>
      </c>
      <c r="H177" s="6">
        <v>81676</v>
      </c>
      <c r="I177" s="6" t="s">
        <v>17</v>
      </c>
      <c r="J177" s="6">
        <v>15743529</v>
      </c>
      <c r="K177" s="6" t="s">
        <v>316</v>
      </c>
      <c r="L177" s="17" t="s">
        <v>319</v>
      </c>
      <c r="M177" s="8">
        <v>169900</v>
      </c>
      <c r="N177" s="36">
        <f t="shared" si="18"/>
        <v>0.75</v>
      </c>
      <c r="O177" s="35">
        <f t="shared" si="16"/>
        <v>42475</v>
      </c>
      <c r="P177" s="22" t="s">
        <v>16</v>
      </c>
    </row>
    <row r="178" spans="1:16" x14ac:dyDescent="0.35">
      <c r="A178" s="14" t="str">
        <f t="shared" si="17"/>
        <v xml:space="preserve"> 2024 JAN-DEC D75 LICENSE BABY</v>
      </c>
      <c r="B178" s="7">
        <f t="shared" si="19"/>
        <v>46104</v>
      </c>
      <c r="C178" s="7">
        <f t="shared" si="20"/>
        <v>46113</v>
      </c>
      <c r="D178" s="6">
        <v>3284</v>
      </c>
      <c r="E178" s="6">
        <v>338</v>
      </c>
      <c r="F178" s="6">
        <v>4</v>
      </c>
      <c r="G178" s="6">
        <v>7</v>
      </c>
      <c r="H178" s="6">
        <v>81676</v>
      </c>
      <c r="I178" s="6" t="s">
        <v>17</v>
      </c>
      <c r="J178" s="6">
        <v>15743458</v>
      </c>
      <c r="K178" s="6" t="s">
        <v>682</v>
      </c>
      <c r="L178" s="17" t="s">
        <v>683</v>
      </c>
      <c r="M178" s="8">
        <v>199900</v>
      </c>
      <c r="N178" s="36">
        <f t="shared" si="18"/>
        <v>0.75</v>
      </c>
      <c r="O178" s="35">
        <f t="shared" si="16"/>
        <v>49975</v>
      </c>
      <c r="P178" s="22" t="s">
        <v>16</v>
      </c>
    </row>
    <row r="179" spans="1:16" x14ac:dyDescent="0.35">
      <c r="A179" s="14" t="str">
        <f t="shared" si="17"/>
        <v xml:space="preserve"> 2024 JAN-DEC D75 LICENSE BABY</v>
      </c>
      <c r="B179" s="7">
        <f t="shared" si="19"/>
        <v>46104</v>
      </c>
      <c r="C179" s="7">
        <f t="shared" si="20"/>
        <v>46113</v>
      </c>
      <c r="D179" s="6">
        <v>3284</v>
      </c>
      <c r="E179" s="6">
        <v>338</v>
      </c>
      <c r="F179" s="6">
        <v>4</v>
      </c>
      <c r="G179" s="6">
        <v>7</v>
      </c>
      <c r="H179" s="6">
        <v>81676</v>
      </c>
      <c r="I179" s="6" t="s">
        <v>17</v>
      </c>
      <c r="J179" s="6">
        <v>15743467</v>
      </c>
      <c r="K179" s="6" t="s">
        <v>682</v>
      </c>
      <c r="L179" s="17" t="s">
        <v>684</v>
      </c>
      <c r="M179" s="8">
        <v>199900</v>
      </c>
      <c r="N179" s="36">
        <f t="shared" si="18"/>
        <v>0.75</v>
      </c>
      <c r="O179" s="35">
        <f t="shared" si="16"/>
        <v>49975</v>
      </c>
      <c r="P179" s="22" t="s">
        <v>16</v>
      </c>
    </row>
    <row r="180" spans="1:16" x14ac:dyDescent="0.35">
      <c r="A180" s="14" t="str">
        <f t="shared" si="17"/>
        <v xml:space="preserve"> 2024 JAN-DEC D75 LICENSE BABY</v>
      </c>
      <c r="B180" s="7">
        <f t="shared" si="19"/>
        <v>46104</v>
      </c>
      <c r="C180" s="7">
        <f t="shared" si="20"/>
        <v>46113</v>
      </c>
      <c r="D180" s="6">
        <v>3284</v>
      </c>
      <c r="E180" s="6">
        <v>338</v>
      </c>
      <c r="F180" s="6">
        <v>4</v>
      </c>
      <c r="G180" s="6">
        <v>7</v>
      </c>
      <c r="H180" s="6">
        <v>81676</v>
      </c>
      <c r="I180" s="6" t="s">
        <v>17</v>
      </c>
      <c r="J180" s="6">
        <v>15743476</v>
      </c>
      <c r="K180" s="6" t="s">
        <v>682</v>
      </c>
      <c r="L180" s="17" t="s">
        <v>685</v>
      </c>
      <c r="M180" s="8">
        <v>199900</v>
      </c>
      <c r="N180" s="36">
        <f t="shared" si="18"/>
        <v>0.75</v>
      </c>
      <c r="O180" s="35">
        <f t="shared" si="16"/>
        <v>49975</v>
      </c>
      <c r="P180" s="22" t="s">
        <v>16</v>
      </c>
    </row>
    <row r="181" spans="1:16" x14ac:dyDescent="0.35">
      <c r="A181" s="14" t="str">
        <f t="shared" si="17"/>
        <v xml:space="preserve"> 2024 JAN-DEC D75 LICENSE BABY</v>
      </c>
      <c r="B181" s="7">
        <f t="shared" si="19"/>
        <v>46104</v>
      </c>
      <c r="C181" s="7">
        <f t="shared" si="20"/>
        <v>46113</v>
      </c>
      <c r="D181" s="6">
        <v>3284</v>
      </c>
      <c r="E181" s="6">
        <v>338</v>
      </c>
      <c r="F181" s="6">
        <v>4</v>
      </c>
      <c r="G181" s="6">
        <v>7</v>
      </c>
      <c r="H181" s="6">
        <v>81676</v>
      </c>
      <c r="I181" s="6" t="s">
        <v>17</v>
      </c>
      <c r="J181" s="6">
        <v>15743485</v>
      </c>
      <c r="K181" s="6" t="s">
        <v>682</v>
      </c>
      <c r="L181" s="17" t="s">
        <v>686</v>
      </c>
      <c r="M181" s="8">
        <v>199900</v>
      </c>
      <c r="N181" s="36">
        <f t="shared" si="18"/>
        <v>0.75</v>
      </c>
      <c r="O181" s="35">
        <f t="shared" si="16"/>
        <v>49975</v>
      </c>
      <c r="P181" s="22" t="s">
        <v>16</v>
      </c>
    </row>
    <row r="182" spans="1:16" x14ac:dyDescent="0.35">
      <c r="A182" s="14" t="str">
        <f t="shared" si="17"/>
        <v xml:space="preserve"> 2024 JAN-DEC D75 LICENSE BABY</v>
      </c>
      <c r="B182" s="7">
        <f t="shared" si="19"/>
        <v>46104</v>
      </c>
      <c r="C182" s="7">
        <f t="shared" si="20"/>
        <v>46113</v>
      </c>
      <c r="D182" s="6">
        <v>3284</v>
      </c>
      <c r="E182" s="6">
        <v>338</v>
      </c>
      <c r="F182" s="6">
        <v>4</v>
      </c>
      <c r="G182" s="6">
        <v>7</v>
      </c>
      <c r="H182" s="6">
        <v>81676</v>
      </c>
      <c r="I182" s="6" t="s">
        <v>17</v>
      </c>
      <c r="J182" s="6">
        <v>15743538</v>
      </c>
      <c r="K182" s="6" t="s">
        <v>688</v>
      </c>
      <c r="L182" s="17" t="s">
        <v>689</v>
      </c>
      <c r="M182" s="8">
        <v>199900</v>
      </c>
      <c r="N182" s="36">
        <f t="shared" si="18"/>
        <v>0.75</v>
      </c>
      <c r="O182" s="35">
        <f t="shared" si="16"/>
        <v>49975</v>
      </c>
      <c r="P182" s="22" t="s">
        <v>16</v>
      </c>
    </row>
    <row r="183" spans="1:16" x14ac:dyDescent="0.35">
      <c r="A183" s="14" t="str">
        <f t="shared" si="17"/>
        <v xml:space="preserve"> 2024 JAN-DEC D75 LICENSE BABY</v>
      </c>
      <c r="B183" s="7">
        <f t="shared" si="19"/>
        <v>46104</v>
      </c>
      <c r="C183" s="7">
        <f t="shared" si="20"/>
        <v>46113</v>
      </c>
      <c r="D183" s="6">
        <v>3284</v>
      </c>
      <c r="E183" s="6">
        <v>338</v>
      </c>
      <c r="F183" s="6">
        <v>4</v>
      </c>
      <c r="G183" s="6">
        <v>7</v>
      </c>
      <c r="H183" s="6">
        <v>81676</v>
      </c>
      <c r="I183" s="6" t="s">
        <v>17</v>
      </c>
      <c r="J183" s="6">
        <v>15743547</v>
      </c>
      <c r="K183" s="6" t="s">
        <v>688</v>
      </c>
      <c r="L183" s="17" t="s">
        <v>690</v>
      </c>
      <c r="M183" s="8">
        <v>199900</v>
      </c>
      <c r="N183" s="36">
        <f t="shared" si="18"/>
        <v>0.75</v>
      </c>
      <c r="O183" s="35">
        <f t="shared" si="16"/>
        <v>49975</v>
      </c>
      <c r="P183" s="22" t="s">
        <v>16</v>
      </c>
    </row>
    <row r="184" spans="1:16" x14ac:dyDescent="0.35">
      <c r="A184" s="14" t="str">
        <f t="shared" si="17"/>
        <v xml:space="preserve"> 2024 JAN-DEC D75 LICENSE BABY</v>
      </c>
      <c r="B184" s="7">
        <f t="shared" si="19"/>
        <v>46104</v>
      </c>
      <c r="C184" s="7">
        <f t="shared" si="20"/>
        <v>46113</v>
      </c>
      <c r="D184" s="6">
        <v>3284</v>
      </c>
      <c r="E184" s="6">
        <v>338</v>
      </c>
      <c r="F184" s="6">
        <v>4</v>
      </c>
      <c r="G184" s="6">
        <v>7</v>
      </c>
      <c r="H184" s="6">
        <v>81676</v>
      </c>
      <c r="I184" s="6" t="s">
        <v>17</v>
      </c>
      <c r="J184" s="6">
        <v>15743556</v>
      </c>
      <c r="K184" s="6" t="s">
        <v>688</v>
      </c>
      <c r="L184" s="17" t="s">
        <v>691</v>
      </c>
      <c r="M184" s="8">
        <v>199900</v>
      </c>
      <c r="N184" s="36">
        <f t="shared" si="18"/>
        <v>0.75</v>
      </c>
      <c r="O184" s="35">
        <f t="shared" si="16"/>
        <v>49975</v>
      </c>
      <c r="P184" s="22" t="s">
        <v>16</v>
      </c>
    </row>
    <row r="185" spans="1:16" x14ac:dyDescent="0.35">
      <c r="A185" s="14" t="str">
        <f t="shared" si="17"/>
        <v xml:space="preserve"> 2024 JAN-DEC D75 LICENSE BABY</v>
      </c>
      <c r="B185" s="7">
        <f t="shared" si="19"/>
        <v>46104</v>
      </c>
      <c r="C185" s="7">
        <f t="shared" si="20"/>
        <v>46113</v>
      </c>
      <c r="D185" s="6">
        <v>3284</v>
      </c>
      <c r="E185" s="6">
        <v>338</v>
      </c>
      <c r="F185" s="6">
        <v>4</v>
      </c>
      <c r="G185" s="6">
        <v>7</v>
      </c>
      <c r="H185" s="6">
        <v>81676</v>
      </c>
      <c r="I185" s="6" t="s">
        <v>17</v>
      </c>
      <c r="J185" s="6">
        <v>15743565</v>
      </c>
      <c r="K185" s="6" t="s">
        <v>688</v>
      </c>
      <c r="L185" s="17" t="s">
        <v>692</v>
      </c>
      <c r="M185" s="8">
        <v>199900</v>
      </c>
      <c r="N185" s="36">
        <f t="shared" si="18"/>
        <v>0.75</v>
      </c>
      <c r="O185" s="35">
        <f t="shared" si="16"/>
        <v>49975</v>
      </c>
      <c r="P185" s="22" t="s">
        <v>16</v>
      </c>
    </row>
    <row r="186" spans="1:16" x14ac:dyDescent="0.35">
      <c r="A186" s="14" t="str">
        <f t="shared" si="17"/>
        <v xml:space="preserve"> 2024 JAN-DEC D75 LICENSE BABY</v>
      </c>
      <c r="B186" s="7">
        <f t="shared" si="19"/>
        <v>46104</v>
      </c>
      <c r="C186" s="7">
        <f t="shared" si="20"/>
        <v>46113</v>
      </c>
      <c r="D186" s="6">
        <v>3284</v>
      </c>
      <c r="E186" s="6">
        <v>338</v>
      </c>
      <c r="F186" s="6">
        <v>4</v>
      </c>
      <c r="G186" s="6">
        <v>8</v>
      </c>
      <c r="H186" s="6">
        <v>80942</v>
      </c>
      <c r="I186" s="6" t="s">
        <v>17</v>
      </c>
      <c r="J186" s="6">
        <v>18358253</v>
      </c>
      <c r="K186" s="6" t="s">
        <v>2384</v>
      </c>
      <c r="L186" s="17" t="s">
        <v>2385</v>
      </c>
      <c r="M186" s="8">
        <v>189900</v>
      </c>
      <c r="N186" s="36">
        <f t="shared" si="18"/>
        <v>0.75</v>
      </c>
      <c r="O186" s="35">
        <f t="shared" si="16"/>
        <v>47475</v>
      </c>
      <c r="P186" s="22" t="s">
        <v>16</v>
      </c>
    </row>
    <row r="187" spans="1:16" x14ac:dyDescent="0.35">
      <c r="A187" s="14" t="str">
        <f t="shared" si="17"/>
        <v xml:space="preserve"> 2024 JAN-DEC D75 LICENSE BABY</v>
      </c>
      <c r="B187" s="7">
        <f t="shared" si="19"/>
        <v>46104</v>
      </c>
      <c r="C187" s="7">
        <f t="shared" si="20"/>
        <v>46113</v>
      </c>
      <c r="D187" s="6">
        <v>3284</v>
      </c>
      <c r="E187" s="6">
        <v>338</v>
      </c>
      <c r="F187" s="6">
        <v>4</v>
      </c>
      <c r="G187" s="6">
        <v>8</v>
      </c>
      <c r="H187" s="6">
        <v>80942</v>
      </c>
      <c r="I187" s="6" t="s">
        <v>17</v>
      </c>
      <c r="J187" s="6">
        <v>18358262</v>
      </c>
      <c r="K187" s="6" t="s">
        <v>2384</v>
      </c>
      <c r="L187" s="17" t="s">
        <v>2386</v>
      </c>
      <c r="M187" s="8">
        <v>189900</v>
      </c>
      <c r="N187" s="36">
        <f t="shared" si="18"/>
        <v>0.75</v>
      </c>
      <c r="O187" s="35">
        <f t="shared" si="16"/>
        <v>47475</v>
      </c>
      <c r="P187" s="22" t="s">
        <v>16</v>
      </c>
    </row>
    <row r="188" spans="1:16" x14ac:dyDescent="0.35">
      <c r="A188" s="14" t="str">
        <f t="shared" si="17"/>
        <v xml:space="preserve"> 2024 JAN-DEC D75 LICENSE BABY</v>
      </c>
      <c r="B188" s="7">
        <f t="shared" si="19"/>
        <v>46104</v>
      </c>
      <c r="C188" s="7">
        <f t="shared" si="20"/>
        <v>46113</v>
      </c>
      <c r="D188" s="6">
        <v>3284</v>
      </c>
      <c r="E188" s="6">
        <v>338</v>
      </c>
      <c r="F188" s="6">
        <v>4</v>
      </c>
      <c r="G188" s="6">
        <v>8</v>
      </c>
      <c r="H188" s="6">
        <v>80942</v>
      </c>
      <c r="I188" s="6" t="s">
        <v>17</v>
      </c>
      <c r="J188" s="6">
        <v>18358271</v>
      </c>
      <c r="K188" s="6" t="s">
        <v>2384</v>
      </c>
      <c r="L188" s="17" t="s">
        <v>2387</v>
      </c>
      <c r="M188" s="8">
        <v>189900</v>
      </c>
      <c r="N188" s="36">
        <f t="shared" si="18"/>
        <v>0.75</v>
      </c>
      <c r="O188" s="35">
        <f t="shared" si="16"/>
        <v>47475</v>
      </c>
      <c r="P188" s="22" t="s">
        <v>16</v>
      </c>
    </row>
    <row r="189" spans="1:16" x14ac:dyDescent="0.35">
      <c r="A189" s="14" t="str">
        <f t="shared" si="17"/>
        <v xml:space="preserve"> 2024 JAN-DEC D75 LICENSE BABY</v>
      </c>
      <c r="B189" s="7">
        <f t="shared" si="19"/>
        <v>46104</v>
      </c>
      <c r="C189" s="7">
        <f t="shared" si="20"/>
        <v>46113</v>
      </c>
      <c r="D189" s="6">
        <v>3284</v>
      </c>
      <c r="E189" s="6">
        <v>338</v>
      </c>
      <c r="F189" s="6">
        <v>4</v>
      </c>
      <c r="G189" s="6">
        <v>8</v>
      </c>
      <c r="H189" s="6">
        <v>80942</v>
      </c>
      <c r="I189" s="6" t="s">
        <v>17</v>
      </c>
      <c r="J189" s="6">
        <v>18358299</v>
      </c>
      <c r="K189" s="6" t="s">
        <v>2384</v>
      </c>
      <c r="L189" s="17" t="s">
        <v>2388</v>
      </c>
      <c r="M189" s="8">
        <v>189900</v>
      </c>
      <c r="N189" s="36">
        <f t="shared" si="18"/>
        <v>0.75</v>
      </c>
      <c r="O189" s="35">
        <f t="shared" si="16"/>
        <v>47475</v>
      </c>
      <c r="P189" s="22" t="s">
        <v>16</v>
      </c>
    </row>
    <row r="190" spans="1:16" x14ac:dyDescent="0.35">
      <c r="A190" s="14" t="str">
        <f t="shared" si="17"/>
        <v xml:space="preserve"> 2024 JAN-DEC D75 LICENSE BABY</v>
      </c>
      <c r="B190" s="7">
        <f t="shared" ref="B190:B253" si="21">B189</f>
        <v>46104</v>
      </c>
      <c r="C190" s="7">
        <f t="shared" ref="C190:C253" si="22">C189</f>
        <v>46113</v>
      </c>
      <c r="D190" s="6">
        <v>3284</v>
      </c>
      <c r="E190" s="6">
        <v>338</v>
      </c>
      <c r="F190" s="6">
        <v>4</v>
      </c>
      <c r="G190" s="6">
        <v>8</v>
      </c>
      <c r="H190" s="6">
        <v>80942</v>
      </c>
      <c r="I190" s="6" t="s">
        <v>17</v>
      </c>
      <c r="J190" s="6">
        <v>18358306</v>
      </c>
      <c r="K190" s="6" t="s">
        <v>2384</v>
      </c>
      <c r="L190" s="17" t="s">
        <v>2389</v>
      </c>
      <c r="M190" s="8">
        <v>189900</v>
      </c>
      <c r="N190" s="36">
        <f t="shared" si="18"/>
        <v>0.75</v>
      </c>
      <c r="O190" s="35">
        <f t="shared" si="16"/>
        <v>47475</v>
      </c>
      <c r="P190" s="22" t="s">
        <v>16</v>
      </c>
    </row>
    <row r="191" spans="1:16" x14ac:dyDescent="0.35">
      <c r="A191" s="14" t="str">
        <f t="shared" si="17"/>
        <v xml:space="preserve"> 2024 JAN-DEC D75 LICENSE BABY</v>
      </c>
      <c r="B191" s="7">
        <f t="shared" si="21"/>
        <v>46104</v>
      </c>
      <c r="C191" s="7">
        <f t="shared" si="22"/>
        <v>46113</v>
      </c>
      <c r="D191" s="6">
        <v>3284</v>
      </c>
      <c r="E191" s="6">
        <v>338</v>
      </c>
      <c r="F191" s="6">
        <v>4</v>
      </c>
      <c r="G191" s="6">
        <v>8</v>
      </c>
      <c r="H191" s="6">
        <v>80942</v>
      </c>
      <c r="I191" s="6" t="s">
        <v>17</v>
      </c>
      <c r="J191" s="6">
        <v>18358315</v>
      </c>
      <c r="K191" s="6" t="s">
        <v>2390</v>
      </c>
      <c r="L191" s="17" t="s">
        <v>2391</v>
      </c>
      <c r="M191" s="8">
        <v>189900</v>
      </c>
      <c r="N191" s="36">
        <f t="shared" si="18"/>
        <v>0.75</v>
      </c>
      <c r="O191" s="35">
        <f t="shared" si="16"/>
        <v>47475</v>
      </c>
      <c r="P191" s="22" t="s">
        <v>16</v>
      </c>
    </row>
    <row r="192" spans="1:16" x14ac:dyDescent="0.35">
      <c r="A192" s="14" t="str">
        <f t="shared" si="17"/>
        <v xml:space="preserve"> 2024 JAN-DEC D75 LICENSE BABY</v>
      </c>
      <c r="B192" s="7">
        <f t="shared" si="21"/>
        <v>46104</v>
      </c>
      <c r="C192" s="7">
        <f t="shared" si="22"/>
        <v>46113</v>
      </c>
      <c r="D192" s="6">
        <v>3284</v>
      </c>
      <c r="E192" s="6">
        <v>338</v>
      </c>
      <c r="F192" s="6">
        <v>4</v>
      </c>
      <c r="G192" s="6">
        <v>8</v>
      </c>
      <c r="H192" s="6">
        <v>80942</v>
      </c>
      <c r="I192" s="6" t="s">
        <v>17</v>
      </c>
      <c r="J192" s="6">
        <v>18358324</v>
      </c>
      <c r="K192" s="6" t="s">
        <v>2390</v>
      </c>
      <c r="L192" s="17" t="s">
        <v>2392</v>
      </c>
      <c r="M192" s="8">
        <v>189900</v>
      </c>
      <c r="N192" s="36">
        <f t="shared" si="18"/>
        <v>0.75</v>
      </c>
      <c r="O192" s="35">
        <f t="shared" si="16"/>
        <v>47475</v>
      </c>
      <c r="P192" s="22" t="s">
        <v>16</v>
      </c>
    </row>
    <row r="193" spans="1:16" x14ac:dyDescent="0.35">
      <c r="A193" s="14" t="str">
        <f t="shared" si="17"/>
        <v xml:space="preserve"> 2024 JAN-DEC D75 LICENSE BABY</v>
      </c>
      <c r="B193" s="7">
        <f t="shared" si="21"/>
        <v>46104</v>
      </c>
      <c r="C193" s="7">
        <f t="shared" si="22"/>
        <v>46113</v>
      </c>
      <c r="D193" s="6">
        <v>3284</v>
      </c>
      <c r="E193" s="6">
        <v>338</v>
      </c>
      <c r="F193" s="6">
        <v>4</v>
      </c>
      <c r="G193" s="6">
        <v>8</v>
      </c>
      <c r="H193" s="6">
        <v>80942</v>
      </c>
      <c r="I193" s="6" t="s">
        <v>17</v>
      </c>
      <c r="J193" s="6">
        <v>18358342</v>
      </c>
      <c r="K193" s="6" t="s">
        <v>2390</v>
      </c>
      <c r="L193" s="17" t="s">
        <v>2393</v>
      </c>
      <c r="M193" s="8">
        <v>189900</v>
      </c>
      <c r="N193" s="36">
        <f t="shared" si="18"/>
        <v>0.75</v>
      </c>
      <c r="O193" s="35">
        <f t="shared" si="16"/>
        <v>47475</v>
      </c>
      <c r="P193" s="22" t="s">
        <v>16</v>
      </c>
    </row>
    <row r="194" spans="1:16" x14ac:dyDescent="0.35">
      <c r="A194" s="14" t="str">
        <f t="shared" si="17"/>
        <v xml:space="preserve"> 2024 JAN-DEC D75 LICENSE BABY</v>
      </c>
      <c r="B194" s="7">
        <f t="shared" si="21"/>
        <v>46104</v>
      </c>
      <c r="C194" s="7">
        <f t="shared" si="22"/>
        <v>46113</v>
      </c>
      <c r="D194" s="6">
        <v>3284</v>
      </c>
      <c r="E194" s="6">
        <v>338</v>
      </c>
      <c r="F194" s="6">
        <v>4</v>
      </c>
      <c r="G194" s="6">
        <v>8</v>
      </c>
      <c r="H194" s="6">
        <v>80942</v>
      </c>
      <c r="I194" s="6" t="s">
        <v>17</v>
      </c>
      <c r="J194" s="6">
        <v>18358351</v>
      </c>
      <c r="K194" s="6" t="s">
        <v>2390</v>
      </c>
      <c r="L194" s="17" t="s">
        <v>2394</v>
      </c>
      <c r="M194" s="8">
        <v>189900</v>
      </c>
      <c r="N194" s="36">
        <f t="shared" si="18"/>
        <v>0.75</v>
      </c>
      <c r="O194" s="35">
        <f t="shared" si="16"/>
        <v>47475</v>
      </c>
      <c r="P194" s="22" t="s">
        <v>16</v>
      </c>
    </row>
    <row r="195" spans="1:16" x14ac:dyDescent="0.35">
      <c r="A195" s="14" t="str">
        <f t="shared" si="17"/>
        <v xml:space="preserve"> 2024 JAN-DEC D75 LICENSE BABY</v>
      </c>
      <c r="B195" s="7">
        <f t="shared" si="21"/>
        <v>46104</v>
      </c>
      <c r="C195" s="7">
        <f t="shared" si="22"/>
        <v>46113</v>
      </c>
      <c r="D195" s="6">
        <v>3284</v>
      </c>
      <c r="E195" s="6">
        <v>338</v>
      </c>
      <c r="F195" s="6">
        <v>4</v>
      </c>
      <c r="G195" s="6">
        <v>8</v>
      </c>
      <c r="H195" s="6">
        <v>80942</v>
      </c>
      <c r="I195" s="6" t="s">
        <v>17</v>
      </c>
      <c r="J195" s="6">
        <v>18358379</v>
      </c>
      <c r="K195" s="6" t="s">
        <v>2390</v>
      </c>
      <c r="L195" s="17" t="s">
        <v>2395</v>
      </c>
      <c r="M195" s="8">
        <v>189900</v>
      </c>
      <c r="N195" s="36">
        <f t="shared" si="18"/>
        <v>0.75</v>
      </c>
      <c r="O195" s="35">
        <f t="shared" ref="O195:O258" si="23">M195-((75*M195)/100)</f>
        <v>47475</v>
      </c>
      <c r="P195" s="22" t="s">
        <v>16</v>
      </c>
    </row>
    <row r="196" spans="1:16" x14ac:dyDescent="0.35">
      <c r="A196" s="14" t="str">
        <f t="shared" ref="A196:C259" si="24">A195</f>
        <v xml:space="preserve"> 2024 JAN-DEC D75 LICENSE BABY</v>
      </c>
      <c r="B196" s="7">
        <f t="shared" si="21"/>
        <v>46104</v>
      </c>
      <c r="C196" s="7">
        <f t="shared" si="22"/>
        <v>46113</v>
      </c>
      <c r="D196" s="6">
        <v>3284</v>
      </c>
      <c r="E196" s="6">
        <v>338</v>
      </c>
      <c r="F196" s="6">
        <v>4</v>
      </c>
      <c r="G196" s="6">
        <v>8</v>
      </c>
      <c r="H196" s="6">
        <v>80942</v>
      </c>
      <c r="I196" s="6" t="s">
        <v>17</v>
      </c>
      <c r="J196" s="6">
        <v>18358388</v>
      </c>
      <c r="K196" s="6" t="s">
        <v>2396</v>
      </c>
      <c r="L196" s="17" t="s">
        <v>2397</v>
      </c>
      <c r="M196" s="8">
        <v>189900</v>
      </c>
      <c r="N196" s="36">
        <f t="shared" ref="N196:N259" si="25">N195</f>
        <v>0.75</v>
      </c>
      <c r="O196" s="35">
        <f t="shared" si="23"/>
        <v>47475</v>
      </c>
      <c r="P196" s="22" t="s">
        <v>16</v>
      </c>
    </row>
    <row r="197" spans="1:16" x14ac:dyDescent="0.35">
      <c r="A197" s="14" t="str">
        <f t="shared" si="24"/>
        <v xml:space="preserve"> 2024 JAN-DEC D75 LICENSE BABY</v>
      </c>
      <c r="B197" s="34">
        <v>46104</v>
      </c>
      <c r="C197" s="34">
        <v>46113</v>
      </c>
      <c r="D197" s="6">
        <v>3284</v>
      </c>
      <c r="E197" s="6">
        <v>338</v>
      </c>
      <c r="F197" s="6">
        <v>4</v>
      </c>
      <c r="G197" s="6">
        <v>8</v>
      </c>
      <c r="H197" s="6">
        <v>80942</v>
      </c>
      <c r="I197" s="6" t="s">
        <v>17</v>
      </c>
      <c r="J197" s="6">
        <v>18358397</v>
      </c>
      <c r="K197" s="6" t="s">
        <v>2396</v>
      </c>
      <c r="L197" s="17" t="s">
        <v>2398</v>
      </c>
      <c r="M197" s="8">
        <v>189900</v>
      </c>
      <c r="N197" s="36">
        <f t="shared" si="25"/>
        <v>0.75</v>
      </c>
      <c r="O197" s="35">
        <f t="shared" si="23"/>
        <v>47475</v>
      </c>
      <c r="P197" s="22" t="s">
        <v>16</v>
      </c>
    </row>
    <row r="198" spans="1:16" x14ac:dyDescent="0.35">
      <c r="A198" s="14" t="str">
        <f t="shared" si="24"/>
        <v xml:space="preserve"> 2024 JAN-DEC D75 LICENSE BABY</v>
      </c>
      <c r="B198" s="7">
        <f t="shared" si="21"/>
        <v>46104</v>
      </c>
      <c r="C198" s="7">
        <f t="shared" si="22"/>
        <v>46113</v>
      </c>
      <c r="D198" s="6">
        <v>3284</v>
      </c>
      <c r="E198" s="6">
        <v>338</v>
      </c>
      <c r="F198" s="6">
        <v>4</v>
      </c>
      <c r="G198" s="6">
        <v>8</v>
      </c>
      <c r="H198" s="6">
        <v>80942</v>
      </c>
      <c r="I198" s="6" t="s">
        <v>17</v>
      </c>
      <c r="J198" s="6">
        <v>18358404</v>
      </c>
      <c r="K198" s="6" t="s">
        <v>2396</v>
      </c>
      <c r="L198" s="17" t="s">
        <v>2399</v>
      </c>
      <c r="M198" s="8">
        <v>189900</v>
      </c>
      <c r="N198" s="36">
        <f t="shared" si="25"/>
        <v>0.75</v>
      </c>
      <c r="O198" s="35">
        <f t="shared" si="23"/>
        <v>47475</v>
      </c>
      <c r="P198" s="22" t="s">
        <v>16</v>
      </c>
    </row>
    <row r="199" spans="1:16" x14ac:dyDescent="0.35">
      <c r="A199" s="14" t="str">
        <f t="shared" si="24"/>
        <v xml:space="preserve"> 2024 JAN-DEC D75 LICENSE BABY</v>
      </c>
      <c r="B199" s="7">
        <f t="shared" si="21"/>
        <v>46104</v>
      </c>
      <c r="C199" s="7">
        <f t="shared" si="22"/>
        <v>46113</v>
      </c>
      <c r="D199" s="6">
        <v>3284</v>
      </c>
      <c r="E199" s="6">
        <v>338</v>
      </c>
      <c r="F199" s="6">
        <v>4</v>
      </c>
      <c r="G199" s="6">
        <v>8</v>
      </c>
      <c r="H199" s="6">
        <v>80942</v>
      </c>
      <c r="I199" s="6" t="s">
        <v>17</v>
      </c>
      <c r="J199" s="6">
        <v>18358459</v>
      </c>
      <c r="K199" s="6" t="s">
        <v>2396</v>
      </c>
      <c r="L199" s="17" t="s">
        <v>2400</v>
      </c>
      <c r="M199" s="8">
        <v>189900</v>
      </c>
      <c r="N199" s="36">
        <f t="shared" si="25"/>
        <v>0.75</v>
      </c>
      <c r="O199" s="35">
        <f t="shared" si="23"/>
        <v>47475</v>
      </c>
      <c r="P199" s="22" t="s">
        <v>16</v>
      </c>
    </row>
    <row r="200" spans="1:16" x14ac:dyDescent="0.35">
      <c r="A200" s="14" t="str">
        <f t="shared" si="24"/>
        <v xml:space="preserve"> 2024 JAN-DEC D75 LICENSE BABY</v>
      </c>
      <c r="B200" s="7">
        <f t="shared" si="21"/>
        <v>46104</v>
      </c>
      <c r="C200" s="7">
        <f t="shared" si="22"/>
        <v>46113</v>
      </c>
      <c r="D200" s="6">
        <v>3284</v>
      </c>
      <c r="E200" s="6">
        <v>338</v>
      </c>
      <c r="F200" s="6">
        <v>4</v>
      </c>
      <c r="G200" s="6">
        <v>8</v>
      </c>
      <c r="H200" s="6">
        <v>80942</v>
      </c>
      <c r="I200" s="6" t="s">
        <v>17</v>
      </c>
      <c r="J200" s="6">
        <v>18358468</v>
      </c>
      <c r="K200" s="6" t="s">
        <v>2396</v>
      </c>
      <c r="L200" s="17" t="s">
        <v>2401</v>
      </c>
      <c r="M200" s="8">
        <v>189900</v>
      </c>
      <c r="N200" s="36">
        <f t="shared" si="25"/>
        <v>0.75</v>
      </c>
      <c r="O200" s="35">
        <f t="shared" si="23"/>
        <v>47475</v>
      </c>
      <c r="P200" s="22" t="s">
        <v>16</v>
      </c>
    </row>
    <row r="201" spans="1:16" x14ac:dyDescent="0.35">
      <c r="A201" s="14" t="str">
        <f t="shared" si="24"/>
        <v xml:space="preserve"> 2024 JAN-DEC D75 LICENSE BABY</v>
      </c>
      <c r="B201" s="7">
        <f t="shared" si="21"/>
        <v>46104</v>
      </c>
      <c r="C201" s="7">
        <f t="shared" si="22"/>
        <v>46113</v>
      </c>
      <c r="D201" s="6">
        <v>3284</v>
      </c>
      <c r="E201" s="6">
        <v>338</v>
      </c>
      <c r="F201" s="6">
        <v>4</v>
      </c>
      <c r="G201" s="6">
        <v>8</v>
      </c>
      <c r="H201" s="6">
        <v>80942</v>
      </c>
      <c r="I201" s="6" t="s">
        <v>17</v>
      </c>
      <c r="J201" s="6">
        <v>18358477</v>
      </c>
      <c r="K201" s="6" t="s">
        <v>2402</v>
      </c>
      <c r="L201" s="17" t="s">
        <v>2403</v>
      </c>
      <c r="M201" s="8">
        <v>219900</v>
      </c>
      <c r="N201" s="36">
        <f t="shared" si="25"/>
        <v>0.75</v>
      </c>
      <c r="O201" s="35">
        <f t="shared" si="23"/>
        <v>54975</v>
      </c>
      <c r="P201" s="22" t="s">
        <v>16</v>
      </c>
    </row>
    <row r="202" spans="1:16" x14ac:dyDescent="0.35">
      <c r="A202" s="14" t="str">
        <f t="shared" si="24"/>
        <v xml:space="preserve"> 2024 JAN-DEC D75 LICENSE BABY</v>
      </c>
      <c r="B202" s="7">
        <f t="shared" si="21"/>
        <v>46104</v>
      </c>
      <c r="C202" s="7">
        <f t="shared" si="22"/>
        <v>46113</v>
      </c>
      <c r="D202" s="6">
        <v>3284</v>
      </c>
      <c r="E202" s="6">
        <v>338</v>
      </c>
      <c r="F202" s="6">
        <v>4</v>
      </c>
      <c r="G202" s="6">
        <v>8</v>
      </c>
      <c r="H202" s="6">
        <v>80942</v>
      </c>
      <c r="I202" s="6" t="s">
        <v>17</v>
      </c>
      <c r="J202" s="6">
        <v>18358486</v>
      </c>
      <c r="K202" s="6" t="s">
        <v>2402</v>
      </c>
      <c r="L202" s="17" t="s">
        <v>2404</v>
      </c>
      <c r="M202" s="8">
        <v>219900</v>
      </c>
      <c r="N202" s="36">
        <f t="shared" si="25"/>
        <v>0.75</v>
      </c>
      <c r="O202" s="35">
        <f t="shared" si="23"/>
        <v>54975</v>
      </c>
      <c r="P202" s="22" t="s">
        <v>16</v>
      </c>
    </row>
    <row r="203" spans="1:16" x14ac:dyDescent="0.35">
      <c r="A203" s="14" t="str">
        <f t="shared" si="24"/>
        <v xml:space="preserve"> 2024 JAN-DEC D75 LICENSE BABY</v>
      </c>
      <c r="B203" s="7">
        <f t="shared" si="21"/>
        <v>46104</v>
      </c>
      <c r="C203" s="7">
        <f t="shared" si="22"/>
        <v>46113</v>
      </c>
      <c r="D203" s="6">
        <v>3284</v>
      </c>
      <c r="E203" s="6">
        <v>338</v>
      </c>
      <c r="F203" s="6">
        <v>4</v>
      </c>
      <c r="G203" s="6">
        <v>8</v>
      </c>
      <c r="H203" s="6">
        <v>80942</v>
      </c>
      <c r="I203" s="6" t="s">
        <v>17</v>
      </c>
      <c r="J203" s="6">
        <v>18358502</v>
      </c>
      <c r="K203" s="6" t="s">
        <v>2402</v>
      </c>
      <c r="L203" s="17" t="s">
        <v>2405</v>
      </c>
      <c r="M203" s="8">
        <v>219900</v>
      </c>
      <c r="N203" s="36">
        <f t="shared" si="25"/>
        <v>0.75</v>
      </c>
      <c r="O203" s="35">
        <f t="shared" si="23"/>
        <v>54975</v>
      </c>
      <c r="P203" s="22" t="s">
        <v>16</v>
      </c>
    </row>
    <row r="204" spans="1:16" x14ac:dyDescent="0.35">
      <c r="A204" s="14" t="str">
        <f t="shared" si="24"/>
        <v xml:space="preserve"> 2024 JAN-DEC D75 LICENSE BABY</v>
      </c>
      <c r="B204" s="7">
        <f t="shared" si="21"/>
        <v>46104</v>
      </c>
      <c r="C204" s="7">
        <f t="shared" si="22"/>
        <v>46113</v>
      </c>
      <c r="D204" s="6">
        <v>3284</v>
      </c>
      <c r="E204" s="6">
        <v>338</v>
      </c>
      <c r="F204" s="6">
        <v>4</v>
      </c>
      <c r="G204" s="6">
        <v>8</v>
      </c>
      <c r="H204" s="6">
        <v>80942</v>
      </c>
      <c r="I204" s="6" t="s">
        <v>17</v>
      </c>
      <c r="J204" s="6">
        <v>18358511</v>
      </c>
      <c r="K204" s="6" t="s">
        <v>2402</v>
      </c>
      <c r="L204" s="17" t="s">
        <v>2406</v>
      </c>
      <c r="M204" s="8">
        <v>219900</v>
      </c>
      <c r="N204" s="36">
        <f t="shared" si="25"/>
        <v>0.75</v>
      </c>
      <c r="O204" s="35">
        <f t="shared" si="23"/>
        <v>54975</v>
      </c>
      <c r="P204" s="22" t="s">
        <v>16</v>
      </c>
    </row>
    <row r="205" spans="1:16" x14ac:dyDescent="0.35">
      <c r="A205" s="14" t="str">
        <f t="shared" si="24"/>
        <v xml:space="preserve"> 2024 JAN-DEC D75 LICENSE BABY</v>
      </c>
      <c r="B205" s="7">
        <f t="shared" si="21"/>
        <v>46104</v>
      </c>
      <c r="C205" s="7">
        <f t="shared" si="22"/>
        <v>46113</v>
      </c>
      <c r="D205" s="6">
        <v>3284</v>
      </c>
      <c r="E205" s="6">
        <v>338</v>
      </c>
      <c r="F205" s="6">
        <v>4</v>
      </c>
      <c r="G205" s="6">
        <v>8</v>
      </c>
      <c r="H205" s="6">
        <v>80942</v>
      </c>
      <c r="I205" s="6" t="s">
        <v>17</v>
      </c>
      <c r="J205" s="6">
        <v>18358584</v>
      </c>
      <c r="K205" s="6" t="s">
        <v>2402</v>
      </c>
      <c r="L205" s="17" t="s">
        <v>2407</v>
      </c>
      <c r="M205" s="8">
        <v>219900</v>
      </c>
      <c r="N205" s="36">
        <f t="shared" si="25"/>
        <v>0.75</v>
      </c>
      <c r="O205" s="35">
        <f t="shared" si="23"/>
        <v>54975</v>
      </c>
      <c r="P205" s="22" t="s">
        <v>16</v>
      </c>
    </row>
    <row r="206" spans="1:16" s="32" customFormat="1" x14ac:dyDescent="0.35">
      <c r="A206" s="14" t="str">
        <f t="shared" si="24"/>
        <v xml:space="preserve"> 2024 JAN-DEC D75 LICENSE BABY</v>
      </c>
      <c r="B206" s="34">
        <f t="shared" si="21"/>
        <v>46104</v>
      </c>
      <c r="C206" s="34">
        <f t="shared" si="22"/>
        <v>46113</v>
      </c>
      <c r="D206" s="33">
        <v>3284</v>
      </c>
      <c r="E206" s="33">
        <v>338</v>
      </c>
      <c r="F206" s="33">
        <v>4</v>
      </c>
      <c r="G206" s="33">
        <v>3</v>
      </c>
      <c r="H206" s="33">
        <v>81146</v>
      </c>
      <c r="I206" s="33" t="s">
        <v>17</v>
      </c>
      <c r="J206" s="33">
        <v>22182292</v>
      </c>
      <c r="K206" s="33" t="s">
        <v>1234</v>
      </c>
      <c r="L206" s="39" t="s">
        <v>1235</v>
      </c>
      <c r="M206" s="35">
        <v>179900</v>
      </c>
      <c r="N206" s="36">
        <f t="shared" si="25"/>
        <v>0.75</v>
      </c>
      <c r="O206" s="35">
        <f t="shared" si="23"/>
        <v>44975</v>
      </c>
      <c r="P206" s="22" t="s">
        <v>16</v>
      </c>
    </row>
    <row r="207" spans="1:16" s="32" customFormat="1" x14ac:dyDescent="0.35">
      <c r="A207" s="14" t="str">
        <f t="shared" si="24"/>
        <v xml:space="preserve"> 2024 JAN-DEC D75 LICENSE BABY</v>
      </c>
      <c r="B207" s="34">
        <f t="shared" si="21"/>
        <v>46104</v>
      </c>
      <c r="C207" s="34">
        <f t="shared" si="22"/>
        <v>46113</v>
      </c>
      <c r="D207" s="33">
        <v>3284</v>
      </c>
      <c r="E207" s="33">
        <v>338</v>
      </c>
      <c r="F207" s="33">
        <v>4</v>
      </c>
      <c r="G207" s="33">
        <v>3</v>
      </c>
      <c r="H207" s="33">
        <v>81146</v>
      </c>
      <c r="I207" s="33" t="s">
        <v>17</v>
      </c>
      <c r="J207" s="33">
        <v>22182309</v>
      </c>
      <c r="K207" s="33" t="s">
        <v>1234</v>
      </c>
      <c r="L207" s="39" t="s">
        <v>1236</v>
      </c>
      <c r="M207" s="35">
        <v>179900</v>
      </c>
      <c r="N207" s="36">
        <f t="shared" si="25"/>
        <v>0.75</v>
      </c>
      <c r="O207" s="35">
        <f t="shared" si="23"/>
        <v>44975</v>
      </c>
      <c r="P207" s="22" t="s">
        <v>16</v>
      </c>
    </row>
    <row r="208" spans="1:16" s="32" customFormat="1" x14ac:dyDescent="0.35">
      <c r="A208" s="14" t="str">
        <f t="shared" si="24"/>
        <v xml:space="preserve"> 2024 JAN-DEC D75 LICENSE BABY</v>
      </c>
      <c r="B208" s="34">
        <f t="shared" si="21"/>
        <v>46104</v>
      </c>
      <c r="C208" s="34">
        <f t="shared" si="22"/>
        <v>46113</v>
      </c>
      <c r="D208" s="33">
        <v>3284</v>
      </c>
      <c r="E208" s="33">
        <v>338</v>
      </c>
      <c r="F208" s="33">
        <v>4</v>
      </c>
      <c r="G208" s="33">
        <v>3</v>
      </c>
      <c r="H208" s="33">
        <v>81146</v>
      </c>
      <c r="I208" s="33" t="s">
        <v>17</v>
      </c>
      <c r="J208" s="33">
        <v>22182318</v>
      </c>
      <c r="K208" s="33" t="s">
        <v>1234</v>
      </c>
      <c r="L208" s="39" t="s">
        <v>1237</v>
      </c>
      <c r="M208" s="35">
        <v>179900</v>
      </c>
      <c r="N208" s="36">
        <f t="shared" si="25"/>
        <v>0.75</v>
      </c>
      <c r="O208" s="35">
        <f t="shared" si="23"/>
        <v>44975</v>
      </c>
      <c r="P208" s="22" t="s">
        <v>16</v>
      </c>
    </row>
    <row r="209" spans="1:16" s="32" customFormat="1" x14ac:dyDescent="0.35">
      <c r="A209" s="14" t="str">
        <f t="shared" si="24"/>
        <v xml:space="preserve"> 2024 JAN-DEC D75 LICENSE BABY</v>
      </c>
      <c r="B209" s="34">
        <f t="shared" si="21"/>
        <v>46104</v>
      </c>
      <c r="C209" s="34">
        <f t="shared" si="22"/>
        <v>46113</v>
      </c>
      <c r="D209" s="33">
        <v>3284</v>
      </c>
      <c r="E209" s="33">
        <v>338</v>
      </c>
      <c r="F209" s="33">
        <v>4</v>
      </c>
      <c r="G209" s="33">
        <v>3</v>
      </c>
      <c r="H209" s="33">
        <v>81146</v>
      </c>
      <c r="I209" s="33" t="s">
        <v>17</v>
      </c>
      <c r="J209" s="33">
        <v>22182514</v>
      </c>
      <c r="K209" s="33" t="s">
        <v>1234</v>
      </c>
      <c r="L209" s="39" t="s">
        <v>1238</v>
      </c>
      <c r="M209" s="35">
        <v>179900</v>
      </c>
      <c r="N209" s="36">
        <f t="shared" si="25"/>
        <v>0.75</v>
      </c>
      <c r="O209" s="35">
        <f t="shared" si="23"/>
        <v>44975</v>
      </c>
      <c r="P209" s="22" t="s">
        <v>16</v>
      </c>
    </row>
    <row r="210" spans="1:16" s="32" customFormat="1" x14ac:dyDescent="0.35">
      <c r="A210" s="14" t="str">
        <f t="shared" si="24"/>
        <v xml:space="preserve"> 2024 JAN-DEC D75 LICENSE BABY</v>
      </c>
      <c r="B210" s="34">
        <f t="shared" si="21"/>
        <v>46104</v>
      </c>
      <c r="C210" s="34">
        <f t="shared" si="22"/>
        <v>46113</v>
      </c>
      <c r="D210" s="33">
        <v>3284</v>
      </c>
      <c r="E210" s="33">
        <v>338</v>
      </c>
      <c r="F210" s="33">
        <v>4</v>
      </c>
      <c r="G210" s="33">
        <v>3</v>
      </c>
      <c r="H210" s="33">
        <v>81421</v>
      </c>
      <c r="I210" s="33" t="s">
        <v>17</v>
      </c>
      <c r="J210" s="33">
        <v>20728527</v>
      </c>
      <c r="K210" s="33" t="s">
        <v>949</v>
      </c>
      <c r="L210" s="39" t="s">
        <v>950</v>
      </c>
      <c r="M210" s="35">
        <v>189900</v>
      </c>
      <c r="N210" s="36">
        <f t="shared" si="25"/>
        <v>0.75</v>
      </c>
      <c r="O210" s="35">
        <f t="shared" si="23"/>
        <v>47475</v>
      </c>
      <c r="P210" s="22" t="s">
        <v>16</v>
      </c>
    </row>
    <row r="211" spans="1:16" s="32" customFormat="1" x14ac:dyDescent="0.35">
      <c r="A211" s="14" t="str">
        <f t="shared" si="24"/>
        <v xml:space="preserve"> 2024 JAN-DEC D75 LICENSE BABY</v>
      </c>
      <c r="B211" s="34">
        <f t="shared" si="21"/>
        <v>46104</v>
      </c>
      <c r="C211" s="34">
        <f t="shared" si="22"/>
        <v>46113</v>
      </c>
      <c r="D211" s="33">
        <v>3284</v>
      </c>
      <c r="E211" s="33">
        <v>338</v>
      </c>
      <c r="F211" s="33">
        <v>4</v>
      </c>
      <c r="G211" s="33">
        <v>3</v>
      </c>
      <c r="H211" s="33">
        <v>81421</v>
      </c>
      <c r="I211" s="33" t="s">
        <v>17</v>
      </c>
      <c r="J211" s="33">
        <v>20728536</v>
      </c>
      <c r="K211" s="33" t="s">
        <v>949</v>
      </c>
      <c r="L211" s="39" t="s">
        <v>951</v>
      </c>
      <c r="M211" s="35">
        <v>189900</v>
      </c>
      <c r="N211" s="36">
        <f t="shared" si="25"/>
        <v>0.75</v>
      </c>
      <c r="O211" s="35">
        <f t="shared" si="23"/>
        <v>47475</v>
      </c>
      <c r="P211" s="22" t="s">
        <v>16</v>
      </c>
    </row>
    <row r="212" spans="1:16" s="32" customFormat="1" x14ac:dyDescent="0.35">
      <c r="A212" s="14" t="str">
        <f t="shared" si="24"/>
        <v xml:space="preserve"> 2024 JAN-DEC D75 LICENSE BABY</v>
      </c>
      <c r="B212" s="34">
        <f t="shared" si="21"/>
        <v>46104</v>
      </c>
      <c r="C212" s="34">
        <f t="shared" si="22"/>
        <v>46113</v>
      </c>
      <c r="D212" s="33">
        <v>3284</v>
      </c>
      <c r="E212" s="33">
        <v>338</v>
      </c>
      <c r="F212" s="33">
        <v>4</v>
      </c>
      <c r="G212" s="33">
        <v>3</v>
      </c>
      <c r="H212" s="33">
        <v>81421</v>
      </c>
      <c r="I212" s="33" t="s">
        <v>17</v>
      </c>
      <c r="J212" s="33">
        <v>20728545</v>
      </c>
      <c r="K212" s="33" t="s">
        <v>949</v>
      </c>
      <c r="L212" s="39" t="s">
        <v>952</v>
      </c>
      <c r="M212" s="35">
        <v>189900</v>
      </c>
      <c r="N212" s="36">
        <f t="shared" si="25"/>
        <v>0.75</v>
      </c>
      <c r="O212" s="35">
        <f t="shared" si="23"/>
        <v>47475</v>
      </c>
      <c r="P212" s="22" t="s">
        <v>16</v>
      </c>
    </row>
    <row r="213" spans="1:16" s="32" customFormat="1" x14ac:dyDescent="0.35">
      <c r="A213" s="14" t="str">
        <f t="shared" si="24"/>
        <v xml:space="preserve"> 2024 JAN-DEC D75 LICENSE BABY</v>
      </c>
      <c r="B213" s="34">
        <f t="shared" si="21"/>
        <v>46104</v>
      </c>
      <c r="C213" s="34">
        <f t="shared" si="22"/>
        <v>46113</v>
      </c>
      <c r="D213" s="33">
        <v>3284</v>
      </c>
      <c r="E213" s="33">
        <v>338</v>
      </c>
      <c r="F213" s="33">
        <v>4</v>
      </c>
      <c r="G213" s="33">
        <v>3</v>
      </c>
      <c r="H213" s="33">
        <v>81421</v>
      </c>
      <c r="I213" s="33" t="s">
        <v>17</v>
      </c>
      <c r="J213" s="33">
        <v>20728554</v>
      </c>
      <c r="K213" s="33" t="s">
        <v>949</v>
      </c>
      <c r="L213" s="39" t="s">
        <v>953</v>
      </c>
      <c r="M213" s="35">
        <v>189900</v>
      </c>
      <c r="N213" s="36">
        <f t="shared" si="25"/>
        <v>0.75</v>
      </c>
      <c r="O213" s="35">
        <f t="shared" si="23"/>
        <v>47475</v>
      </c>
      <c r="P213" s="22" t="s">
        <v>16</v>
      </c>
    </row>
    <row r="214" spans="1:16" s="32" customFormat="1" x14ac:dyDescent="0.35">
      <c r="A214" s="14" t="str">
        <f t="shared" si="24"/>
        <v xml:space="preserve"> 2024 JAN-DEC D75 LICENSE BABY</v>
      </c>
      <c r="B214" s="34">
        <f t="shared" si="21"/>
        <v>46104</v>
      </c>
      <c r="C214" s="34">
        <f t="shared" si="22"/>
        <v>46113</v>
      </c>
      <c r="D214" s="33">
        <v>3284</v>
      </c>
      <c r="E214" s="33">
        <v>338</v>
      </c>
      <c r="F214" s="33">
        <v>4</v>
      </c>
      <c r="G214" s="33">
        <v>3</v>
      </c>
      <c r="H214" s="33">
        <v>80920</v>
      </c>
      <c r="I214" s="33" t="s">
        <v>17</v>
      </c>
      <c r="J214" s="33">
        <v>19447664</v>
      </c>
      <c r="K214" s="33" t="s">
        <v>959</v>
      </c>
      <c r="L214" s="39" t="s">
        <v>960</v>
      </c>
      <c r="M214" s="35">
        <v>199900</v>
      </c>
      <c r="N214" s="36">
        <f t="shared" si="25"/>
        <v>0.75</v>
      </c>
      <c r="O214" s="35">
        <f t="shared" si="23"/>
        <v>49975</v>
      </c>
      <c r="P214" s="22" t="s">
        <v>16</v>
      </c>
    </row>
    <row r="215" spans="1:16" s="32" customFormat="1" x14ac:dyDescent="0.35">
      <c r="A215" s="14" t="str">
        <f t="shared" si="24"/>
        <v xml:space="preserve"> 2024 JAN-DEC D75 LICENSE BABY</v>
      </c>
      <c r="B215" s="34">
        <f t="shared" si="21"/>
        <v>46104</v>
      </c>
      <c r="C215" s="34">
        <f t="shared" si="22"/>
        <v>46113</v>
      </c>
      <c r="D215" s="33">
        <v>3284</v>
      </c>
      <c r="E215" s="33">
        <v>338</v>
      </c>
      <c r="F215" s="33">
        <v>4</v>
      </c>
      <c r="G215" s="33">
        <v>3</v>
      </c>
      <c r="H215" s="33">
        <v>80920</v>
      </c>
      <c r="I215" s="33" t="s">
        <v>17</v>
      </c>
      <c r="J215" s="33">
        <v>19447682</v>
      </c>
      <c r="K215" s="33" t="s">
        <v>959</v>
      </c>
      <c r="L215" s="39" t="s">
        <v>961</v>
      </c>
      <c r="M215" s="35">
        <v>199900</v>
      </c>
      <c r="N215" s="36">
        <f t="shared" si="25"/>
        <v>0.75</v>
      </c>
      <c r="O215" s="35">
        <f t="shared" si="23"/>
        <v>49975</v>
      </c>
      <c r="P215" s="22" t="s">
        <v>16</v>
      </c>
    </row>
    <row r="216" spans="1:16" s="32" customFormat="1" x14ac:dyDescent="0.35">
      <c r="A216" s="14" t="str">
        <f t="shared" si="24"/>
        <v xml:space="preserve"> 2024 JAN-DEC D75 LICENSE BABY</v>
      </c>
      <c r="B216" s="34">
        <f t="shared" si="21"/>
        <v>46104</v>
      </c>
      <c r="C216" s="34">
        <f t="shared" si="22"/>
        <v>46113</v>
      </c>
      <c r="D216" s="33">
        <v>3284</v>
      </c>
      <c r="E216" s="33">
        <v>338</v>
      </c>
      <c r="F216" s="33">
        <v>4</v>
      </c>
      <c r="G216" s="33">
        <v>3</v>
      </c>
      <c r="H216" s="33">
        <v>80920</v>
      </c>
      <c r="I216" s="33" t="s">
        <v>17</v>
      </c>
      <c r="J216" s="33">
        <v>19447691</v>
      </c>
      <c r="K216" s="33" t="s">
        <v>959</v>
      </c>
      <c r="L216" s="39" t="s">
        <v>962</v>
      </c>
      <c r="M216" s="35">
        <v>199900</v>
      </c>
      <c r="N216" s="36">
        <f t="shared" si="25"/>
        <v>0.75</v>
      </c>
      <c r="O216" s="35">
        <f t="shared" si="23"/>
        <v>49975</v>
      </c>
      <c r="P216" s="22" t="s">
        <v>16</v>
      </c>
    </row>
    <row r="217" spans="1:16" s="32" customFormat="1" x14ac:dyDescent="0.35">
      <c r="A217" s="14" t="str">
        <f t="shared" si="24"/>
        <v xml:space="preserve"> 2024 JAN-DEC D75 LICENSE BABY</v>
      </c>
      <c r="B217" s="34">
        <f t="shared" si="21"/>
        <v>46104</v>
      </c>
      <c r="C217" s="34">
        <f t="shared" si="22"/>
        <v>46113</v>
      </c>
      <c r="D217" s="33">
        <v>3284</v>
      </c>
      <c r="E217" s="33">
        <v>338</v>
      </c>
      <c r="F217" s="33">
        <v>4</v>
      </c>
      <c r="G217" s="33">
        <v>3</v>
      </c>
      <c r="H217" s="33">
        <v>80920</v>
      </c>
      <c r="I217" s="33" t="s">
        <v>17</v>
      </c>
      <c r="J217" s="33">
        <v>19447708</v>
      </c>
      <c r="K217" s="33" t="s">
        <v>959</v>
      </c>
      <c r="L217" s="39" t="s">
        <v>963</v>
      </c>
      <c r="M217" s="35">
        <v>199900</v>
      </c>
      <c r="N217" s="36">
        <f t="shared" si="25"/>
        <v>0.75</v>
      </c>
      <c r="O217" s="35">
        <f t="shared" si="23"/>
        <v>49975</v>
      </c>
      <c r="P217" s="22" t="s">
        <v>16</v>
      </c>
    </row>
    <row r="218" spans="1:16" s="32" customFormat="1" x14ac:dyDescent="0.35">
      <c r="A218" s="14" t="str">
        <f t="shared" si="24"/>
        <v xml:space="preserve"> 2024 JAN-DEC D75 LICENSE BABY</v>
      </c>
      <c r="B218" s="34">
        <f t="shared" si="21"/>
        <v>46104</v>
      </c>
      <c r="C218" s="34">
        <f t="shared" si="22"/>
        <v>46113</v>
      </c>
      <c r="D218" s="33">
        <v>3284</v>
      </c>
      <c r="E218" s="33">
        <v>338</v>
      </c>
      <c r="F218" s="33">
        <v>4</v>
      </c>
      <c r="G218" s="33">
        <v>3</v>
      </c>
      <c r="H218" s="33">
        <v>80920</v>
      </c>
      <c r="I218" s="33" t="s">
        <v>17</v>
      </c>
      <c r="J218" s="33">
        <v>23045214</v>
      </c>
      <c r="K218" s="33" t="s">
        <v>1239</v>
      </c>
      <c r="L218" s="39" t="s">
        <v>1240</v>
      </c>
      <c r="M218" s="35">
        <v>199900</v>
      </c>
      <c r="N218" s="36">
        <f t="shared" si="25"/>
        <v>0.75</v>
      </c>
      <c r="O218" s="35">
        <f t="shared" si="23"/>
        <v>49975</v>
      </c>
      <c r="P218" s="22" t="s">
        <v>16</v>
      </c>
    </row>
    <row r="219" spans="1:16" s="32" customFormat="1" x14ac:dyDescent="0.35">
      <c r="A219" s="14" t="str">
        <f t="shared" si="24"/>
        <v xml:space="preserve"> 2024 JAN-DEC D75 LICENSE BABY</v>
      </c>
      <c r="B219" s="34">
        <f t="shared" si="21"/>
        <v>46104</v>
      </c>
      <c r="C219" s="34">
        <f t="shared" si="22"/>
        <v>46113</v>
      </c>
      <c r="D219" s="33">
        <v>3284</v>
      </c>
      <c r="E219" s="33">
        <v>338</v>
      </c>
      <c r="F219" s="33">
        <v>4</v>
      </c>
      <c r="G219" s="33">
        <v>3</v>
      </c>
      <c r="H219" s="33">
        <v>80920</v>
      </c>
      <c r="I219" s="33" t="s">
        <v>17</v>
      </c>
      <c r="J219" s="33">
        <v>23045223</v>
      </c>
      <c r="K219" s="33" t="s">
        <v>1239</v>
      </c>
      <c r="L219" s="39" t="s">
        <v>1241</v>
      </c>
      <c r="M219" s="35">
        <v>199900</v>
      </c>
      <c r="N219" s="36">
        <f t="shared" si="25"/>
        <v>0.75</v>
      </c>
      <c r="O219" s="35">
        <f t="shared" si="23"/>
        <v>49975</v>
      </c>
      <c r="P219" s="22" t="s">
        <v>16</v>
      </c>
    </row>
    <row r="220" spans="1:16" s="32" customFormat="1" x14ac:dyDescent="0.35">
      <c r="A220" s="14" t="str">
        <f t="shared" si="24"/>
        <v xml:space="preserve"> 2024 JAN-DEC D75 LICENSE BABY</v>
      </c>
      <c r="B220" s="34">
        <f t="shared" si="21"/>
        <v>46104</v>
      </c>
      <c r="C220" s="34">
        <f t="shared" si="22"/>
        <v>46113</v>
      </c>
      <c r="D220" s="33">
        <v>3284</v>
      </c>
      <c r="E220" s="33">
        <v>338</v>
      </c>
      <c r="F220" s="33">
        <v>4</v>
      </c>
      <c r="G220" s="33">
        <v>3</v>
      </c>
      <c r="H220" s="33">
        <v>80920</v>
      </c>
      <c r="I220" s="33" t="s">
        <v>17</v>
      </c>
      <c r="J220" s="33">
        <v>23045232</v>
      </c>
      <c r="K220" s="33" t="s">
        <v>1239</v>
      </c>
      <c r="L220" s="39" t="s">
        <v>1242</v>
      </c>
      <c r="M220" s="35">
        <v>199900</v>
      </c>
      <c r="N220" s="36">
        <f t="shared" si="25"/>
        <v>0.75</v>
      </c>
      <c r="O220" s="35">
        <f t="shared" si="23"/>
        <v>49975</v>
      </c>
      <c r="P220" s="22" t="s">
        <v>16</v>
      </c>
    </row>
    <row r="221" spans="1:16" s="32" customFormat="1" x14ac:dyDescent="0.35">
      <c r="A221" s="14" t="str">
        <f t="shared" si="24"/>
        <v xml:space="preserve"> 2024 JAN-DEC D75 LICENSE BABY</v>
      </c>
      <c r="B221" s="34">
        <f t="shared" si="21"/>
        <v>46104</v>
      </c>
      <c r="C221" s="34">
        <f t="shared" si="22"/>
        <v>46113</v>
      </c>
      <c r="D221" s="33">
        <v>3284</v>
      </c>
      <c r="E221" s="33">
        <v>338</v>
      </c>
      <c r="F221" s="33">
        <v>4</v>
      </c>
      <c r="G221" s="33">
        <v>3</v>
      </c>
      <c r="H221" s="33">
        <v>80920</v>
      </c>
      <c r="I221" s="33" t="s">
        <v>17</v>
      </c>
      <c r="J221" s="33">
        <v>23045241</v>
      </c>
      <c r="K221" s="33" t="s">
        <v>1239</v>
      </c>
      <c r="L221" s="39" t="s">
        <v>1243</v>
      </c>
      <c r="M221" s="35">
        <v>199900</v>
      </c>
      <c r="N221" s="36">
        <f t="shared" si="25"/>
        <v>0.75</v>
      </c>
      <c r="O221" s="35">
        <f t="shared" si="23"/>
        <v>49975</v>
      </c>
      <c r="P221" s="22" t="s">
        <v>16</v>
      </c>
    </row>
    <row r="222" spans="1:16" s="32" customFormat="1" x14ac:dyDescent="0.35">
      <c r="A222" s="14" t="str">
        <f t="shared" si="24"/>
        <v xml:space="preserve"> 2024 JAN-DEC D75 LICENSE BABY</v>
      </c>
      <c r="B222" s="34">
        <f t="shared" si="21"/>
        <v>46104</v>
      </c>
      <c r="C222" s="34">
        <f t="shared" si="22"/>
        <v>46113</v>
      </c>
      <c r="D222" s="33">
        <v>3284</v>
      </c>
      <c r="E222" s="33">
        <v>338</v>
      </c>
      <c r="F222" s="33">
        <v>4</v>
      </c>
      <c r="G222" s="33">
        <v>5</v>
      </c>
      <c r="H222" s="33">
        <v>81146</v>
      </c>
      <c r="I222" s="33" t="s">
        <v>17</v>
      </c>
      <c r="J222" s="33">
        <v>22182765</v>
      </c>
      <c r="K222" s="33" t="s">
        <v>1179</v>
      </c>
      <c r="L222" s="39" t="s">
        <v>1180</v>
      </c>
      <c r="M222" s="35">
        <v>219900</v>
      </c>
      <c r="N222" s="36">
        <f t="shared" si="25"/>
        <v>0.75</v>
      </c>
      <c r="O222" s="35">
        <f t="shared" si="23"/>
        <v>54975</v>
      </c>
      <c r="P222" s="22" t="s">
        <v>16</v>
      </c>
    </row>
    <row r="223" spans="1:16" s="32" customFormat="1" x14ac:dyDescent="0.35">
      <c r="A223" s="14" t="str">
        <f t="shared" si="24"/>
        <v xml:space="preserve"> 2024 JAN-DEC D75 LICENSE BABY</v>
      </c>
      <c r="B223" s="34">
        <f t="shared" si="21"/>
        <v>46104</v>
      </c>
      <c r="C223" s="34">
        <f t="shared" si="22"/>
        <v>46113</v>
      </c>
      <c r="D223" s="33">
        <v>3284</v>
      </c>
      <c r="E223" s="33">
        <v>338</v>
      </c>
      <c r="F223" s="33">
        <v>4</v>
      </c>
      <c r="G223" s="33">
        <v>5</v>
      </c>
      <c r="H223" s="33">
        <v>81146</v>
      </c>
      <c r="I223" s="33" t="s">
        <v>17</v>
      </c>
      <c r="J223" s="33">
        <v>22182774</v>
      </c>
      <c r="K223" s="33" t="s">
        <v>1179</v>
      </c>
      <c r="L223" s="39" t="s">
        <v>1181</v>
      </c>
      <c r="M223" s="35">
        <v>219900</v>
      </c>
      <c r="N223" s="36">
        <f t="shared" si="25"/>
        <v>0.75</v>
      </c>
      <c r="O223" s="35">
        <f t="shared" si="23"/>
        <v>54975</v>
      </c>
      <c r="P223" s="22" t="s">
        <v>16</v>
      </c>
    </row>
    <row r="224" spans="1:16" s="32" customFormat="1" x14ac:dyDescent="0.35">
      <c r="A224" s="14" t="str">
        <f t="shared" si="24"/>
        <v xml:space="preserve"> 2024 JAN-DEC D75 LICENSE BABY</v>
      </c>
      <c r="B224" s="34">
        <f t="shared" si="21"/>
        <v>46104</v>
      </c>
      <c r="C224" s="34">
        <f t="shared" si="22"/>
        <v>46113</v>
      </c>
      <c r="D224" s="33">
        <v>3284</v>
      </c>
      <c r="E224" s="33">
        <v>338</v>
      </c>
      <c r="F224" s="33">
        <v>4</v>
      </c>
      <c r="G224" s="33">
        <v>5</v>
      </c>
      <c r="H224" s="33">
        <v>81146</v>
      </c>
      <c r="I224" s="33" t="s">
        <v>17</v>
      </c>
      <c r="J224" s="33">
        <v>22182783</v>
      </c>
      <c r="K224" s="33" t="s">
        <v>1179</v>
      </c>
      <c r="L224" s="39" t="s">
        <v>1182</v>
      </c>
      <c r="M224" s="35">
        <v>219900</v>
      </c>
      <c r="N224" s="36">
        <f t="shared" si="25"/>
        <v>0.75</v>
      </c>
      <c r="O224" s="35">
        <f t="shared" si="23"/>
        <v>54975</v>
      </c>
      <c r="P224" s="22" t="s">
        <v>16</v>
      </c>
    </row>
    <row r="225" spans="1:16" s="32" customFormat="1" x14ac:dyDescent="0.35">
      <c r="A225" s="14" t="str">
        <f t="shared" si="24"/>
        <v xml:space="preserve"> 2024 JAN-DEC D75 LICENSE BABY</v>
      </c>
      <c r="B225" s="34">
        <f t="shared" si="21"/>
        <v>46104</v>
      </c>
      <c r="C225" s="34">
        <f t="shared" si="22"/>
        <v>46113</v>
      </c>
      <c r="D225" s="33">
        <v>3284</v>
      </c>
      <c r="E225" s="33">
        <v>338</v>
      </c>
      <c r="F225" s="33">
        <v>4</v>
      </c>
      <c r="G225" s="33">
        <v>5</v>
      </c>
      <c r="H225" s="33">
        <v>81146</v>
      </c>
      <c r="I225" s="33" t="s">
        <v>17</v>
      </c>
      <c r="J225" s="33">
        <v>22182792</v>
      </c>
      <c r="K225" s="33" t="s">
        <v>1179</v>
      </c>
      <c r="L225" s="39" t="s">
        <v>1183</v>
      </c>
      <c r="M225" s="35">
        <v>219900</v>
      </c>
      <c r="N225" s="36">
        <f t="shared" si="25"/>
        <v>0.75</v>
      </c>
      <c r="O225" s="35">
        <f t="shared" si="23"/>
        <v>54975</v>
      </c>
      <c r="P225" s="22" t="s">
        <v>16</v>
      </c>
    </row>
    <row r="226" spans="1:16" s="32" customFormat="1" x14ac:dyDescent="0.35">
      <c r="A226" s="14" t="str">
        <f t="shared" si="24"/>
        <v xml:space="preserve"> 2024 JAN-DEC D75 LICENSE BABY</v>
      </c>
      <c r="B226" s="34">
        <f t="shared" si="21"/>
        <v>46104</v>
      </c>
      <c r="C226" s="34">
        <f t="shared" si="22"/>
        <v>46113</v>
      </c>
      <c r="D226" s="33">
        <v>3284</v>
      </c>
      <c r="E226" s="33">
        <v>338</v>
      </c>
      <c r="F226" s="33">
        <v>4</v>
      </c>
      <c r="G226" s="33">
        <v>5</v>
      </c>
      <c r="H226" s="33">
        <v>81421</v>
      </c>
      <c r="I226" s="33" t="s">
        <v>17</v>
      </c>
      <c r="J226" s="33">
        <v>18550026</v>
      </c>
      <c r="K226" s="33" t="s">
        <v>984</v>
      </c>
      <c r="L226" s="39" t="s">
        <v>985</v>
      </c>
      <c r="M226" s="35">
        <v>219900</v>
      </c>
      <c r="N226" s="36">
        <f t="shared" si="25"/>
        <v>0.75</v>
      </c>
      <c r="O226" s="35">
        <f t="shared" si="23"/>
        <v>54975</v>
      </c>
      <c r="P226" s="22" t="s">
        <v>16</v>
      </c>
    </row>
    <row r="227" spans="1:16" s="32" customFormat="1" x14ac:dyDescent="0.35">
      <c r="A227" s="14" t="str">
        <f t="shared" si="24"/>
        <v xml:space="preserve"> 2024 JAN-DEC D75 LICENSE BABY</v>
      </c>
      <c r="B227" s="34">
        <f t="shared" si="21"/>
        <v>46104</v>
      </c>
      <c r="C227" s="34">
        <f t="shared" si="22"/>
        <v>46113</v>
      </c>
      <c r="D227" s="33">
        <v>3284</v>
      </c>
      <c r="E227" s="33">
        <v>338</v>
      </c>
      <c r="F227" s="33">
        <v>4</v>
      </c>
      <c r="G227" s="33">
        <v>5</v>
      </c>
      <c r="H227" s="33">
        <v>81421</v>
      </c>
      <c r="I227" s="33" t="s">
        <v>17</v>
      </c>
      <c r="J227" s="33">
        <v>18550035</v>
      </c>
      <c r="K227" s="33" t="s">
        <v>984</v>
      </c>
      <c r="L227" s="39" t="s">
        <v>986</v>
      </c>
      <c r="M227" s="35">
        <v>219900</v>
      </c>
      <c r="N227" s="36">
        <f t="shared" si="25"/>
        <v>0.75</v>
      </c>
      <c r="O227" s="35">
        <f t="shared" si="23"/>
        <v>54975</v>
      </c>
      <c r="P227" s="22" t="s">
        <v>16</v>
      </c>
    </row>
    <row r="228" spans="1:16" s="32" customFormat="1" x14ac:dyDescent="0.35">
      <c r="A228" s="14" t="str">
        <f t="shared" si="24"/>
        <v xml:space="preserve"> 2024 JAN-DEC D75 LICENSE BABY</v>
      </c>
      <c r="B228" s="34">
        <f t="shared" si="21"/>
        <v>46104</v>
      </c>
      <c r="C228" s="34">
        <f t="shared" si="22"/>
        <v>46113</v>
      </c>
      <c r="D228" s="33">
        <v>3284</v>
      </c>
      <c r="E228" s="33">
        <v>338</v>
      </c>
      <c r="F228" s="33">
        <v>4</v>
      </c>
      <c r="G228" s="33">
        <v>5</v>
      </c>
      <c r="H228" s="33">
        <v>81421</v>
      </c>
      <c r="I228" s="33" t="s">
        <v>17</v>
      </c>
      <c r="J228" s="33">
        <v>18550044</v>
      </c>
      <c r="K228" s="33" t="s">
        <v>984</v>
      </c>
      <c r="L228" s="39" t="s">
        <v>987</v>
      </c>
      <c r="M228" s="35">
        <v>219900</v>
      </c>
      <c r="N228" s="36">
        <f t="shared" si="25"/>
        <v>0.75</v>
      </c>
      <c r="O228" s="35">
        <f t="shared" si="23"/>
        <v>54975</v>
      </c>
      <c r="P228" s="22" t="s">
        <v>16</v>
      </c>
    </row>
    <row r="229" spans="1:16" s="32" customFormat="1" x14ac:dyDescent="0.35">
      <c r="A229" s="14" t="str">
        <f t="shared" si="24"/>
        <v xml:space="preserve"> 2024 JAN-DEC D75 LICENSE BABY</v>
      </c>
      <c r="B229" s="34">
        <f t="shared" si="21"/>
        <v>46104</v>
      </c>
      <c r="C229" s="34">
        <f t="shared" si="22"/>
        <v>46113</v>
      </c>
      <c r="D229" s="33">
        <v>3284</v>
      </c>
      <c r="E229" s="33">
        <v>338</v>
      </c>
      <c r="F229" s="33">
        <v>4</v>
      </c>
      <c r="G229" s="33">
        <v>5</v>
      </c>
      <c r="H229" s="33">
        <v>81421</v>
      </c>
      <c r="I229" s="33" t="s">
        <v>17</v>
      </c>
      <c r="J229" s="33">
        <v>18550062</v>
      </c>
      <c r="K229" s="33" t="s">
        <v>984</v>
      </c>
      <c r="L229" s="39" t="s">
        <v>988</v>
      </c>
      <c r="M229" s="35">
        <v>219900</v>
      </c>
      <c r="N229" s="36">
        <f t="shared" si="25"/>
        <v>0.75</v>
      </c>
      <c r="O229" s="35">
        <f t="shared" si="23"/>
        <v>54975</v>
      </c>
      <c r="P229" s="22" t="s">
        <v>16</v>
      </c>
    </row>
    <row r="230" spans="1:16" s="32" customFormat="1" x14ac:dyDescent="0.35">
      <c r="A230" s="14" t="str">
        <f t="shared" si="24"/>
        <v xml:space="preserve"> 2024 JAN-DEC D75 LICENSE BABY</v>
      </c>
      <c r="B230" s="34">
        <f t="shared" si="21"/>
        <v>46104</v>
      </c>
      <c r="C230" s="34">
        <f t="shared" si="22"/>
        <v>46113</v>
      </c>
      <c r="D230" s="33">
        <v>3284</v>
      </c>
      <c r="E230" s="33">
        <v>338</v>
      </c>
      <c r="F230" s="33">
        <v>4</v>
      </c>
      <c r="G230" s="33">
        <v>5</v>
      </c>
      <c r="H230" s="33">
        <v>81506</v>
      </c>
      <c r="I230" s="33" t="s">
        <v>17</v>
      </c>
      <c r="J230" s="33">
        <v>22182649</v>
      </c>
      <c r="K230" s="33" t="s">
        <v>1174</v>
      </c>
      <c r="L230" s="39" t="s">
        <v>1175</v>
      </c>
      <c r="M230" s="35">
        <v>239900</v>
      </c>
      <c r="N230" s="36">
        <f t="shared" si="25"/>
        <v>0.75</v>
      </c>
      <c r="O230" s="35">
        <f t="shared" si="23"/>
        <v>59975</v>
      </c>
      <c r="P230" s="22" t="s">
        <v>16</v>
      </c>
    </row>
    <row r="231" spans="1:16" s="32" customFormat="1" x14ac:dyDescent="0.35">
      <c r="A231" s="14" t="str">
        <f t="shared" si="24"/>
        <v xml:space="preserve"> 2024 JAN-DEC D75 LICENSE BABY</v>
      </c>
      <c r="B231" s="34">
        <f t="shared" si="21"/>
        <v>46104</v>
      </c>
      <c r="C231" s="34">
        <f t="shared" si="22"/>
        <v>46113</v>
      </c>
      <c r="D231" s="33">
        <v>3284</v>
      </c>
      <c r="E231" s="33">
        <v>338</v>
      </c>
      <c r="F231" s="33">
        <v>4</v>
      </c>
      <c r="G231" s="33">
        <v>5</v>
      </c>
      <c r="H231" s="33">
        <v>81506</v>
      </c>
      <c r="I231" s="33" t="s">
        <v>17</v>
      </c>
      <c r="J231" s="33">
        <v>22182658</v>
      </c>
      <c r="K231" s="33" t="s">
        <v>1174</v>
      </c>
      <c r="L231" s="39" t="s">
        <v>1176</v>
      </c>
      <c r="M231" s="35">
        <v>239900</v>
      </c>
      <c r="N231" s="36">
        <f t="shared" si="25"/>
        <v>0.75</v>
      </c>
      <c r="O231" s="35">
        <f t="shared" si="23"/>
        <v>59975</v>
      </c>
      <c r="P231" s="22" t="s">
        <v>16</v>
      </c>
    </row>
    <row r="232" spans="1:16" s="32" customFormat="1" x14ac:dyDescent="0.35">
      <c r="A232" s="14" t="str">
        <f t="shared" si="24"/>
        <v xml:space="preserve"> 2024 JAN-DEC D75 LICENSE BABY</v>
      </c>
      <c r="B232" s="34">
        <f t="shared" si="21"/>
        <v>46104</v>
      </c>
      <c r="C232" s="34">
        <f t="shared" si="22"/>
        <v>46113</v>
      </c>
      <c r="D232" s="33">
        <v>3284</v>
      </c>
      <c r="E232" s="33">
        <v>338</v>
      </c>
      <c r="F232" s="33">
        <v>4</v>
      </c>
      <c r="G232" s="33">
        <v>5</v>
      </c>
      <c r="H232" s="33">
        <v>81506</v>
      </c>
      <c r="I232" s="33" t="s">
        <v>17</v>
      </c>
      <c r="J232" s="33">
        <v>22182667</v>
      </c>
      <c r="K232" s="33" t="s">
        <v>1174</v>
      </c>
      <c r="L232" s="39" t="s">
        <v>1178</v>
      </c>
      <c r="M232" s="35">
        <v>239900</v>
      </c>
      <c r="N232" s="36">
        <f t="shared" si="25"/>
        <v>0.75</v>
      </c>
      <c r="O232" s="35">
        <f t="shared" si="23"/>
        <v>59975</v>
      </c>
      <c r="P232" s="22" t="s">
        <v>16</v>
      </c>
    </row>
    <row r="233" spans="1:16" s="32" customFormat="1" x14ac:dyDescent="0.35">
      <c r="A233" s="14" t="str">
        <f t="shared" si="24"/>
        <v xml:space="preserve"> 2024 JAN-DEC D75 LICENSE BABY</v>
      </c>
      <c r="B233" s="34">
        <f t="shared" si="21"/>
        <v>46104</v>
      </c>
      <c r="C233" s="34">
        <f t="shared" si="22"/>
        <v>46113</v>
      </c>
      <c r="D233" s="33">
        <v>3284</v>
      </c>
      <c r="E233" s="33">
        <v>338</v>
      </c>
      <c r="F233" s="33">
        <v>4</v>
      </c>
      <c r="G233" s="33">
        <v>5</v>
      </c>
      <c r="H233" s="33">
        <v>81506</v>
      </c>
      <c r="I233" s="33" t="s">
        <v>17</v>
      </c>
      <c r="J233" s="33">
        <v>22182676</v>
      </c>
      <c r="K233" s="33" t="s">
        <v>1174</v>
      </c>
      <c r="L233" s="39" t="s">
        <v>1177</v>
      </c>
      <c r="M233" s="35">
        <v>239900</v>
      </c>
      <c r="N233" s="36">
        <f t="shared" si="25"/>
        <v>0.75</v>
      </c>
      <c r="O233" s="35">
        <f t="shared" si="23"/>
        <v>59975</v>
      </c>
      <c r="P233" s="22" t="s">
        <v>16</v>
      </c>
    </row>
    <row r="234" spans="1:16" s="32" customFormat="1" x14ac:dyDescent="0.35">
      <c r="A234" s="14" t="str">
        <f t="shared" si="24"/>
        <v xml:space="preserve"> 2024 JAN-DEC D75 LICENSE BABY</v>
      </c>
      <c r="B234" s="34">
        <f t="shared" si="21"/>
        <v>46104</v>
      </c>
      <c r="C234" s="34">
        <f t="shared" si="22"/>
        <v>46113</v>
      </c>
      <c r="D234" s="33">
        <v>3284</v>
      </c>
      <c r="E234" s="33">
        <v>338</v>
      </c>
      <c r="F234" s="33">
        <v>4</v>
      </c>
      <c r="G234" s="33">
        <v>8</v>
      </c>
      <c r="H234" s="33">
        <v>81676</v>
      </c>
      <c r="I234" s="33" t="s">
        <v>17</v>
      </c>
      <c r="J234" s="33">
        <v>17910764</v>
      </c>
      <c r="K234" s="33" t="s">
        <v>2408</v>
      </c>
      <c r="L234" s="39" t="s">
        <v>2409</v>
      </c>
      <c r="M234" s="35">
        <v>159900</v>
      </c>
      <c r="N234" s="36">
        <f t="shared" si="25"/>
        <v>0.75</v>
      </c>
      <c r="O234" s="35">
        <f t="shared" si="23"/>
        <v>39975</v>
      </c>
      <c r="P234" s="22" t="s">
        <v>16</v>
      </c>
    </row>
    <row r="235" spans="1:16" s="32" customFormat="1" x14ac:dyDescent="0.35">
      <c r="A235" s="14" t="str">
        <f t="shared" si="24"/>
        <v xml:space="preserve"> 2024 JAN-DEC D75 LICENSE BABY</v>
      </c>
      <c r="B235" s="34">
        <f t="shared" si="21"/>
        <v>46104</v>
      </c>
      <c r="C235" s="34">
        <f t="shared" si="22"/>
        <v>46113</v>
      </c>
      <c r="D235" s="33">
        <v>3284</v>
      </c>
      <c r="E235" s="33">
        <v>338</v>
      </c>
      <c r="F235" s="33">
        <v>4</v>
      </c>
      <c r="G235" s="33">
        <v>8</v>
      </c>
      <c r="H235" s="33">
        <v>81676</v>
      </c>
      <c r="I235" s="33" t="s">
        <v>17</v>
      </c>
      <c r="J235" s="33">
        <v>17910773</v>
      </c>
      <c r="K235" s="33" t="s">
        <v>2408</v>
      </c>
      <c r="L235" s="39" t="s">
        <v>2410</v>
      </c>
      <c r="M235" s="35">
        <v>159900</v>
      </c>
      <c r="N235" s="36">
        <f t="shared" si="25"/>
        <v>0.75</v>
      </c>
      <c r="O235" s="35">
        <f t="shared" si="23"/>
        <v>39975</v>
      </c>
      <c r="P235" s="22" t="s">
        <v>16</v>
      </c>
    </row>
    <row r="236" spans="1:16" s="32" customFormat="1" x14ac:dyDescent="0.35">
      <c r="A236" s="14" t="str">
        <f t="shared" si="24"/>
        <v xml:space="preserve"> 2024 JAN-DEC D75 LICENSE BABY</v>
      </c>
      <c r="B236" s="34">
        <f t="shared" si="21"/>
        <v>46104</v>
      </c>
      <c r="C236" s="34">
        <f t="shared" si="22"/>
        <v>46113</v>
      </c>
      <c r="D236" s="33">
        <v>3284</v>
      </c>
      <c r="E236" s="33">
        <v>338</v>
      </c>
      <c r="F236" s="33">
        <v>4</v>
      </c>
      <c r="G236" s="33">
        <v>8</v>
      </c>
      <c r="H236" s="33">
        <v>81676</v>
      </c>
      <c r="I236" s="33" t="s">
        <v>17</v>
      </c>
      <c r="J236" s="33">
        <v>17910782</v>
      </c>
      <c r="K236" s="33" t="s">
        <v>2408</v>
      </c>
      <c r="L236" s="39" t="s">
        <v>2411</v>
      </c>
      <c r="M236" s="35">
        <v>159900</v>
      </c>
      <c r="N236" s="36">
        <f t="shared" si="25"/>
        <v>0.75</v>
      </c>
      <c r="O236" s="35">
        <f t="shared" si="23"/>
        <v>39975</v>
      </c>
      <c r="P236" s="22" t="s">
        <v>16</v>
      </c>
    </row>
    <row r="237" spans="1:16" s="32" customFormat="1" x14ac:dyDescent="0.35">
      <c r="A237" s="14" t="str">
        <f t="shared" si="24"/>
        <v xml:space="preserve"> 2024 JAN-DEC D75 LICENSE BABY</v>
      </c>
      <c r="B237" s="34">
        <f t="shared" si="21"/>
        <v>46104</v>
      </c>
      <c r="C237" s="34">
        <f t="shared" si="22"/>
        <v>46113</v>
      </c>
      <c r="D237" s="33">
        <v>3284</v>
      </c>
      <c r="E237" s="33">
        <v>338</v>
      </c>
      <c r="F237" s="33">
        <v>4</v>
      </c>
      <c r="G237" s="33">
        <v>8</v>
      </c>
      <c r="H237" s="33">
        <v>81676</v>
      </c>
      <c r="I237" s="33" t="s">
        <v>17</v>
      </c>
      <c r="J237" s="33">
        <v>17910791</v>
      </c>
      <c r="K237" s="33" t="s">
        <v>2408</v>
      </c>
      <c r="L237" s="39" t="s">
        <v>2412</v>
      </c>
      <c r="M237" s="35">
        <v>159900</v>
      </c>
      <c r="N237" s="36">
        <f t="shared" si="25"/>
        <v>0.75</v>
      </c>
      <c r="O237" s="35">
        <f t="shared" si="23"/>
        <v>39975</v>
      </c>
      <c r="P237" s="22" t="s">
        <v>16</v>
      </c>
    </row>
    <row r="238" spans="1:16" s="32" customFormat="1" x14ac:dyDescent="0.35">
      <c r="A238" s="14" t="str">
        <f t="shared" si="24"/>
        <v xml:space="preserve"> 2024 JAN-DEC D75 LICENSE BABY</v>
      </c>
      <c r="B238" s="34">
        <f t="shared" si="21"/>
        <v>46104</v>
      </c>
      <c r="C238" s="34">
        <f t="shared" si="22"/>
        <v>46113</v>
      </c>
      <c r="D238" s="33">
        <v>3284</v>
      </c>
      <c r="E238" s="33">
        <v>338</v>
      </c>
      <c r="F238" s="33">
        <v>4</v>
      </c>
      <c r="G238" s="33">
        <v>8</v>
      </c>
      <c r="H238" s="33">
        <v>81676</v>
      </c>
      <c r="I238" s="33" t="s">
        <v>17</v>
      </c>
      <c r="J238" s="33">
        <v>17910808</v>
      </c>
      <c r="K238" s="33" t="s">
        <v>2408</v>
      </c>
      <c r="L238" s="39" t="s">
        <v>2413</v>
      </c>
      <c r="M238" s="35">
        <v>159900</v>
      </c>
      <c r="N238" s="36">
        <f t="shared" si="25"/>
        <v>0.75</v>
      </c>
      <c r="O238" s="35">
        <f t="shared" si="23"/>
        <v>39975</v>
      </c>
      <c r="P238" s="22" t="s">
        <v>16</v>
      </c>
    </row>
    <row r="239" spans="1:16" s="32" customFormat="1" x14ac:dyDescent="0.35">
      <c r="A239" s="14" t="str">
        <f t="shared" si="24"/>
        <v xml:space="preserve"> 2024 JAN-DEC D75 LICENSE BABY</v>
      </c>
      <c r="B239" s="34">
        <f t="shared" si="21"/>
        <v>46104</v>
      </c>
      <c r="C239" s="34">
        <f t="shared" si="22"/>
        <v>46113</v>
      </c>
      <c r="D239" s="33">
        <v>3284</v>
      </c>
      <c r="E239" s="33">
        <v>338</v>
      </c>
      <c r="F239" s="33">
        <v>4</v>
      </c>
      <c r="G239" s="33">
        <v>8</v>
      </c>
      <c r="H239" s="33">
        <v>81676</v>
      </c>
      <c r="I239" s="33" t="s">
        <v>17</v>
      </c>
      <c r="J239" s="33">
        <v>17910817</v>
      </c>
      <c r="K239" s="33" t="s">
        <v>2414</v>
      </c>
      <c r="L239" s="39" t="s">
        <v>2415</v>
      </c>
      <c r="M239" s="35">
        <v>159900</v>
      </c>
      <c r="N239" s="36">
        <f t="shared" si="25"/>
        <v>0.75</v>
      </c>
      <c r="O239" s="35">
        <f t="shared" si="23"/>
        <v>39975</v>
      </c>
      <c r="P239" s="22" t="s">
        <v>16</v>
      </c>
    </row>
    <row r="240" spans="1:16" s="32" customFormat="1" x14ac:dyDescent="0.35">
      <c r="A240" s="14" t="str">
        <f t="shared" si="24"/>
        <v xml:space="preserve"> 2024 JAN-DEC D75 LICENSE BABY</v>
      </c>
      <c r="B240" s="34">
        <f t="shared" si="21"/>
        <v>46104</v>
      </c>
      <c r="C240" s="34">
        <f t="shared" si="22"/>
        <v>46113</v>
      </c>
      <c r="D240" s="33">
        <v>3284</v>
      </c>
      <c r="E240" s="33">
        <v>338</v>
      </c>
      <c r="F240" s="33">
        <v>4</v>
      </c>
      <c r="G240" s="33">
        <v>8</v>
      </c>
      <c r="H240" s="33">
        <v>81676</v>
      </c>
      <c r="I240" s="33" t="s">
        <v>17</v>
      </c>
      <c r="J240" s="33">
        <v>17910826</v>
      </c>
      <c r="K240" s="33" t="s">
        <v>2414</v>
      </c>
      <c r="L240" s="39" t="s">
        <v>2416</v>
      </c>
      <c r="M240" s="35">
        <v>159900</v>
      </c>
      <c r="N240" s="36">
        <f t="shared" si="25"/>
        <v>0.75</v>
      </c>
      <c r="O240" s="35">
        <f t="shared" si="23"/>
        <v>39975</v>
      </c>
      <c r="P240" s="22" t="s">
        <v>16</v>
      </c>
    </row>
    <row r="241" spans="1:16" s="32" customFormat="1" x14ac:dyDescent="0.35">
      <c r="A241" s="14" t="str">
        <f t="shared" si="24"/>
        <v xml:space="preserve"> 2024 JAN-DEC D75 LICENSE BABY</v>
      </c>
      <c r="B241" s="34">
        <f t="shared" si="21"/>
        <v>46104</v>
      </c>
      <c r="C241" s="34">
        <f t="shared" si="22"/>
        <v>46113</v>
      </c>
      <c r="D241" s="33">
        <v>3284</v>
      </c>
      <c r="E241" s="33">
        <v>338</v>
      </c>
      <c r="F241" s="33">
        <v>4</v>
      </c>
      <c r="G241" s="33">
        <v>8</v>
      </c>
      <c r="H241" s="33">
        <v>81676</v>
      </c>
      <c r="I241" s="33" t="s">
        <v>17</v>
      </c>
      <c r="J241" s="33">
        <v>17910835</v>
      </c>
      <c r="K241" s="33" t="s">
        <v>2414</v>
      </c>
      <c r="L241" s="39" t="s">
        <v>2417</v>
      </c>
      <c r="M241" s="35">
        <v>159900</v>
      </c>
      <c r="N241" s="36">
        <f t="shared" si="25"/>
        <v>0.75</v>
      </c>
      <c r="O241" s="35">
        <f t="shared" si="23"/>
        <v>39975</v>
      </c>
      <c r="P241" s="22" t="s">
        <v>16</v>
      </c>
    </row>
    <row r="242" spans="1:16" s="32" customFormat="1" x14ac:dyDescent="0.35">
      <c r="A242" s="14" t="str">
        <f t="shared" si="24"/>
        <v xml:space="preserve"> 2024 JAN-DEC D75 LICENSE BABY</v>
      </c>
      <c r="B242" s="34">
        <f t="shared" si="21"/>
        <v>46104</v>
      </c>
      <c r="C242" s="34">
        <f t="shared" si="22"/>
        <v>46113</v>
      </c>
      <c r="D242" s="33">
        <v>3284</v>
      </c>
      <c r="E242" s="33">
        <v>338</v>
      </c>
      <c r="F242" s="33">
        <v>4</v>
      </c>
      <c r="G242" s="33">
        <v>8</v>
      </c>
      <c r="H242" s="33">
        <v>81676</v>
      </c>
      <c r="I242" s="33" t="s">
        <v>17</v>
      </c>
      <c r="J242" s="33">
        <v>17910844</v>
      </c>
      <c r="K242" s="33" t="s">
        <v>2414</v>
      </c>
      <c r="L242" s="39" t="s">
        <v>2418</v>
      </c>
      <c r="M242" s="35">
        <v>159900</v>
      </c>
      <c r="N242" s="36">
        <f t="shared" si="25"/>
        <v>0.75</v>
      </c>
      <c r="O242" s="35">
        <f t="shared" si="23"/>
        <v>39975</v>
      </c>
      <c r="P242" s="22" t="s">
        <v>16</v>
      </c>
    </row>
    <row r="243" spans="1:16" s="32" customFormat="1" x14ac:dyDescent="0.35">
      <c r="A243" s="14" t="str">
        <f t="shared" si="24"/>
        <v xml:space="preserve"> 2024 JAN-DEC D75 LICENSE BABY</v>
      </c>
      <c r="B243" s="34">
        <f t="shared" si="21"/>
        <v>46104</v>
      </c>
      <c r="C243" s="34">
        <f t="shared" si="22"/>
        <v>46113</v>
      </c>
      <c r="D243" s="33">
        <v>3284</v>
      </c>
      <c r="E243" s="33">
        <v>338</v>
      </c>
      <c r="F243" s="33">
        <v>4</v>
      </c>
      <c r="G243" s="33">
        <v>8</v>
      </c>
      <c r="H243" s="33">
        <v>81676</v>
      </c>
      <c r="I243" s="33" t="s">
        <v>17</v>
      </c>
      <c r="J243" s="33">
        <v>17910853</v>
      </c>
      <c r="K243" s="33" t="s">
        <v>2414</v>
      </c>
      <c r="L243" s="39" t="s">
        <v>2419</v>
      </c>
      <c r="M243" s="35">
        <v>159900</v>
      </c>
      <c r="N243" s="36">
        <f t="shared" si="25"/>
        <v>0.75</v>
      </c>
      <c r="O243" s="35">
        <f t="shared" si="23"/>
        <v>39975</v>
      </c>
      <c r="P243" s="22" t="s">
        <v>16</v>
      </c>
    </row>
    <row r="244" spans="1:16" s="32" customFormat="1" x14ac:dyDescent="0.35">
      <c r="A244" s="14" t="str">
        <f t="shared" si="24"/>
        <v xml:space="preserve"> 2024 JAN-DEC D75 LICENSE BABY</v>
      </c>
      <c r="B244" s="34">
        <f t="shared" si="21"/>
        <v>46104</v>
      </c>
      <c r="C244" s="34">
        <f t="shared" si="22"/>
        <v>46113</v>
      </c>
      <c r="D244" s="33">
        <v>3284</v>
      </c>
      <c r="E244" s="33">
        <v>338</v>
      </c>
      <c r="F244" s="33">
        <v>4</v>
      </c>
      <c r="G244" s="33">
        <v>8</v>
      </c>
      <c r="H244" s="33">
        <v>81676</v>
      </c>
      <c r="I244" s="33" t="s">
        <v>17</v>
      </c>
      <c r="J244" s="33">
        <v>17910862</v>
      </c>
      <c r="K244" s="33" t="s">
        <v>2420</v>
      </c>
      <c r="L244" s="39" t="s">
        <v>2421</v>
      </c>
      <c r="M244" s="35">
        <v>159900</v>
      </c>
      <c r="N244" s="36">
        <f t="shared" si="25"/>
        <v>0.75</v>
      </c>
      <c r="O244" s="35">
        <f t="shared" si="23"/>
        <v>39975</v>
      </c>
      <c r="P244" s="22" t="s">
        <v>16</v>
      </c>
    </row>
    <row r="245" spans="1:16" s="32" customFormat="1" x14ac:dyDescent="0.35">
      <c r="A245" s="14" t="str">
        <f t="shared" si="24"/>
        <v xml:space="preserve"> 2024 JAN-DEC D75 LICENSE BABY</v>
      </c>
      <c r="B245" s="34">
        <f t="shared" si="21"/>
        <v>46104</v>
      </c>
      <c r="C245" s="34">
        <f t="shared" si="22"/>
        <v>46113</v>
      </c>
      <c r="D245" s="33">
        <v>3284</v>
      </c>
      <c r="E245" s="33">
        <v>338</v>
      </c>
      <c r="F245" s="33">
        <v>4</v>
      </c>
      <c r="G245" s="33">
        <v>8</v>
      </c>
      <c r="H245" s="33">
        <v>81676</v>
      </c>
      <c r="I245" s="33" t="s">
        <v>17</v>
      </c>
      <c r="J245" s="33">
        <v>17910871</v>
      </c>
      <c r="K245" s="33" t="s">
        <v>2420</v>
      </c>
      <c r="L245" s="39" t="s">
        <v>2422</v>
      </c>
      <c r="M245" s="35">
        <v>159900</v>
      </c>
      <c r="N245" s="36">
        <f t="shared" si="25"/>
        <v>0.75</v>
      </c>
      <c r="O245" s="35">
        <f t="shared" si="23"/>
        <v>39975</v>
      </c>
      <c r="P245" s="22" t="s">
        <v>16</v>
      </c>
    </row>
    <row r="246" spans="1:16" s="32" customFormat="1" x14ac:dyDescent="0.35">
      <c r="A246" s="14" t="str">
        <f t="shared" si="24"/>
        <v xml:space="preserve"> 2024 JAN-DEC D75 LICENSE BABY</v>
      </c>
      <c r="B246" s="34">
        <f t="shared" si="21"/>
        <v>46104</v>
      </c>
      <c r="C246" s="34">
        <f t="shared" si="22"/>
        <v>46113</v>
      </c>
      <c r="D246" s="33">
        <v>3284</v>
      </c>
      <c r="E246" s="33">
        <v>338</v>
      </c>
      <c r="F246" s="33">
        <v>4</v>
      </c>
      <c r="G246" s="33">
        <v>8</v>
      </c>
      <c r="H246" s="33">
        <v>81676</v>
      </c>
      <c r="I246" s="33" t="s">
        <v>17</v>
      </c>
      <c r="J246" s="33">
        <v>17910880</v>
      </c>
      <c r="K246" s="33" t="s">
        <v>2420</v>
      </c>
      <c r="L246" s="39" t="s">
        <v>2423</v>
      </c>
      <c r="M246" s="35">
        <v>159900</v>
      </c>
      <c r="N246" s="36">
        <f t="shared" si="25"/>
        <v>0.75</v>
      </c>
      <c r="O246" s="35">
        <f t="shared" si="23"/>
        <v>39975</v>
      </c>
      <c r="P246" s="22" t="s">
        <v>16</v>
      </c>
    </row>
    <row r="247" spans="1:16" s="32" customFormat="1" x14ac:dyDescent="0.35">
      <c r="A247" s="14" t="str">
        <f t="shared" si="24"/>
        <v xml:space="preserve"> 2024 JAN-DEC D75 LICENSE BABY</v>
      </c>
      <c r="B247" s="34">
        <f t="shared" si="21"/>
        <v>46104</v>
      </c>
      <c r="C247" s="34">
        <f t="shared" si="22"/>
        <v>46113</v>
      </c>
      <c r="D247" s="33">
        <v>3284</v>
      </c>
      <c r="E247" s="33">
        <v>338</v>
      </c>
      <c r="F247" s="33">
        <v>4</v>
      </c>
      <c r="G247" s="33">
        <v>8</v>
      </c>
      <c r="H247" s="33">
        <v>81676</v>
      </c>
      <c r="I247" s="33" t="s">
        <v>17</v>
      </c>
      <c r="J247" s="33">
        <v>17910899</v>
      </c>
      <c r="K247" s="33" t="s">
        <v>2420</v>
      </c>
      <c r="L247" s="39" t="s">
        <v>2424</v>
      </c>
      <c r="M247" s="35">
        <v>159900</v>
      </c>
      <c r="N247" s="36">
        <f t="shared" si="25"/>
        <v>0.75</v>
      </c>
      <c r="O247" s="35">
        <f t="shared" si="23"/>
        <v>39975</v>
      </c>
      <c r="P247" s="22" t="s">
        <v>16</v>
      </c>
    </row>
    <row r="248" spans="1:16" s="32" customFormat="1" x14ac:dyDescent="0.35">
      <c r="A248" s="14" t="str">
        <f t="shared" si="24"/>
        <v xml:space="preserve"> 2024 JAN-DEC D75 LICENSE BABY</v>
      </c>
      <c r="B248" s="34">
        <f t="shared" si="21"/>
        <v>46104</v>
      </c>
      <c r="C248" s="34">
        <f t="shared" si="22"/>
        <v>46113</v>
      </c>
      <c r="D248" s="33">
        <v>3284</v>
      </c>
      <c r="E248" s="33">
        <v>338</v>
      </c>
      <c r="F248" s="33">
        <v>4</v>
      </c>
      <c r="G248" s="33">
        <v>8</v>
      </c>
      <c r="H248" s="33">
        <v>81676</v>
      </c>
      <c r="I248" s="33" t="s">
        <v>17</v>
      </c>
      <c r="J248" s="33">
        <v>17910906</v>
      </c>
      <c r="K248" s="33" t="s">
        <v>2420</v>
      </c>
      <c r="L248" s="39" t="s">
        <v>2425</v>
      </c>
      <c r="M248" s="35">
        <v>159900</v>
      </c>
      <c r="N248" s="36">
        <f t="shared" si="25"/>
        <v>0.75</v>
      </c>
      <c r="O248" s="35">
        <f t="shared" si="23"/>
        <v>39975</v>
      </c>
      <c r="P248" s="22" t="s">
        <v>16</v>
      </c>
    </row>
    <row r="249" spans="1:16" s="32" customFormat="1" x14ac:dyDescent="0.35">
      <c r="A249" s="14" t="str">
        <f t="shared" si="24"/>
        <v xml:space="preserve"> 2024 JAN-DEC D75 LICENSE BABY</v>
      </c>
      <c r="B249" s="34">
        <f t="shared" si="21"/>
        <v>46104</v>
      </c>
      <c r="C249" s="34">
        <f t="shared" si="22"/>
        <v>46113</v>
      </c>
      <c r="D249" s="33">
        <v>3284</v>
      </c>
      <c r="E249" s="33">
        <v>338</v>
      </c>
      <c r="F249" s="33">
        <v>4</v>
      </c>
      <c r="G249" s="33">
        <v>5</v>
      </c>
      <c r="H249" s="33">
        <v>81146</v>
      </c>
      <c r="I249" s="33" t="s">
        <v>17</v>
      </c>
      <c r="J249" s="33">
        <v>23045250</v>
      </c>
      <c r="K249" s="33" t="s">
        <v>1315</v>
      </c>
      <c r="L249" s="39" t="s">
        <v>1316</v>
      </c>
      <c r="M249" s="35">
        <v>219900</v>
      </c>
      <c r="N249" s="36">
        <f t="shared" si="25"/>
        <v>0.75</v>
      </c>
      <c r="O249" s="35">
        <f t="shared" si="23"/>
        <v>54975</v>
      </c>
      <c r="P249" s="22" t="s">
        <v>16</v>
      </c>
    </row>
    <row r="250" spans="1:16" s="32" customFormat="1" x14ac:dyDescent="0.35">
      <c r="A250" s="14" t="str">
        <f t="shared" si="24"/>
        <v xml:space="preserve"> 2024 JAN-DEC D75 LICENSE BABY</v>
      </c>
      <c r="B250" s="34">
        <f t="shared" si="21"/>
        <v>46104</v>
      </c>
      <c r="C250" s="34">
        <f t="shared" si="22"/>
        <v>46113</v>
      </c>
      <c r="D250" s="33">
        <v>3284</v>
      </c>
      <c r="E250" s="33">
        <v>338</v>
      </c>
      <c r="F250" s="33">
        <v>4</v>
      </c>
      <c r="G250" s="33">
        <v>5</v>
      </c>
      <c r="H250" s="33">
        <v>81146</v>
      </c>
      <c r="I250" s="33" t="s">
        <v>17</v>
      </c>
      <c r="J250" s="33">
        <v>23045527</v>
      </c>
      <c r="K250" s="33" t="s">
        <v>1315</v>
      </c>
      <c r="L250" s="39" t="s">
        <v>1317</v>
      </c>
      <c r="M250" s="35">
        <v>219900</v>
      </c>
      <c r="N250" s="36">
        <f t="shared" si="25"/>
        <v>0.75</v>
      </c>
      <c r="O250" s="35">
        <f t="shared" si="23"/>
        <v>54975</v>
      </c>
      <c r="P250" s="22" t="s">
        <v>16</v>
      </c>
    </row>
    <row r="251" spans="1:16" s="32" customFormat="1" x14ac:dyDescent="0.35">
      <c r="A251" s="14" t="str">
        <f t="shared" si="24"/>
        <v xml:space="preserve"> 2024 JAN-DEC D75 LICENSE BABY</v>
      </c>
      <c r="B251" s="34">
        <f t="shared" si="21"/>
        <v>46104</v>
      </c>
      <c r="C251" s="34">
        <f t="shared" si="22"/>
        <v>46113</v>
      </c>
      <c r="D251" s="33">
        <v>3284</v>
      </c>
      <c r="E251" s="33">
        <v>338</v>
      </c>
      <c r="F251" s="33">
        <v>4</v>
      </c>
      <c r="G251" s="33">
        <v>5</v>
      </c>
      <c r="H251" s="33">
        <v>81146</v>
      </c>
      <c r="I251" s="33" t="s">
        <v>17</v>
      </c>
      <c r="J251" s="33">
        <v>23045965</v>
      </c>
      <c r="K251" s="33" t="s">
        <v>1315</v>
      </c>
      <c r="L251" s="39" t="s">
        <v>1318</v>
      </c>
      <c r="M251" s="35">
        <v>219900</v>
      </c>
      <c r="N251" s="36">
        <f t="shared" si="25"/>
        <v>0.75</v>
      </c>
      <c r="O251" s="35">
        <f t="shared" si="23"/>
        <v>54975</v>
      </c>
      <c r="P251" s="22" t="s">
        <v>16</v>
      </c>
    </row>
    <row r="252" spans="1:16" s="32" customFormat="1" x14ac:dyDescent="0.35">
      <c r="A252" s="14" t="str">
        <f t="shared" si="24"/>
        <v xml:space="preserve"> 2024 JAN-DEC D75 LICENSE BABY</v>
      </c>
      <c r="B252" s="34">
        <f t="shared" si="21"/>
        <v>46104</v>
      </c>
      <c r="C252" s="34">
        <f t="shared" si="22"/>
        <v>46113</v>
      </c>
      <c r="D252" s="33">
        <v>3284</v>
      </c>
      <c r="E252" s="33">
        <v>338</v>
      </c>
      <c r="F252" s="33">
        <v>4</v>
      </c>
      <c r="G252" s="33">
        <v>5</v>
      </c>
      <c r="H252" s="33">
        <v>81146</v>
      </c>
      <c r="I252" s="33" t="s">
        <v>17</v>
      </c>
      <c r="J252" s="33">
        <v>23046606</v>
      </c>
      <c r="K252" s="33" t="s">
        <v>1315</v>
      </c>
      <c r="L252" s="39" t="s">
        <v>1319</v>
      </c>
      <c r="M252" s="35">
        <v>219900</v>
      </c>
      <c r="N252" s="36">
        <f t="shared" si="25"/>
        <v>0.75</v>
      </c>
      <c r="O252" s="35">
        <f t="shared" si="23"/>
        <v>54975</v>
      </c>
      <c r="P252" s="22" t="s">
        <v>16</v>
      </c>
    </row>
    <row r="253" spans="1:16" s="32" customFormat="1" x14ac:dyDescent="0.35">
      <c r="A253" s="14" t="str">
        <f t="shared" si="24"/>
        <v xml:space="preserve"> 2024 JAN-DEC D75 LICENSE BABY</v>
      </c>
      <c r="B253" s="34">
        <f t="shared" si="21"/>
        <v>46104</v>
      </c>
      <c r="C253" s="34">
        <f t="shared" si="22"/>
        <v>46113</v>
      </c>
      <c r="D253" s="33">
        <v>3284</v>
      </c>
      <c r="E253" s="33">
        <v>338</v>
      </c>
      <c r="F253" s="33">
        <v>4</v>
      </c>
      <c r="G253" s="33">
        <v>1</v>
      </c>
      <c r="H253" s="33">
        <v>81146</v>
      </c>
      <c r="I253" s="33" t="s">
        <v>17</v>
      </c>
      <c r="J253" s="33">
        <v>45456024</v>
      </c>
      <c r="K253" s="33" t="s">
        <v>1643</v>
      </c>
      <c r="L253" s="39" t="s">
        <v>1646</v>
      </c>
      <c r="M253" s="35">
        <v>119900</v>
      </c>
      <c r="N253" s="36">
        <f t="shared" si="25"/>
        <v>0.75</v>
      </c>
      <c r="O253" s="35">
        <f t="shared" si="23"/>
        <v>29975</v>
      </c>
      <c r="P253" s="22" t="s">
        <v>16</v>
      </c>
    </row>
    <row r="254" spans="1:16" s="32" customFormat="1" x14ac:dyDescent="0.35">
      <c r="A254" s="14" t="str">
        <f t="shared" si="24"/>
        <v xml:space="preserve"> 2024 JAN-DEC D75 LICENSE BABY</v>
      </c>
      <c r="B254" s="34">
        <f t="shared" si="24"/>
        <v>46104</v>
      </c>
      <c r="C254" s="34">
        <f t="shared" si="24"/>
        <v>46113</v>
      </c>
      <c r="D254" s="33">
        <v>3284</v>
      </c>
      <c r="E254" s="33">
        <v>338</v>
      </c>
      <c r="F254" s="33">
        <v>4</v>
      </c>
      <c r="G254" s="33">
        <v>1</v>
      </c>
      <c r="H254" s="33">
        <v>81146</v>
      </c>
      <c r="I254" s="33" t="s">
        <v>17</v>
      </c>
      <c r="J254" s="33">
        <v>45456033</v>
      </c>
      <c r="K254" s="33" t="s">
        <v>1643</v>
      </c>
      <c r="L254" s="39" t="s">
        <v>1647</v>
      </c>
      <c r="M254" s="35">
        <v>119900</v>
      </c>
      <c r="N254" s="36">
        <f t="shared" si="25"/>
        <v>0.75</v>
      </c>
      <c r="O254" s="35">
        <f t="shared" si="23"/>
        <v>29975</v>
      </c>
      <c r="P254" s="22" t="s">
        <v>16</v>
      </c>
    </row>
    <row r="255" spans="1:16" s="32" customFormat="1" x14ac:dyDescent="0.35">
      <c r="A255" s="14" t="str">
        <f t="shared" si="24"/>
        <v xml:space="preserve"> 2024 JAN-DEC D75 LICENSE BABY</v>
      </c>
      <c r="B255" s="34">
        <f t="shared" si="24"/>
        <v>46104</v>
      </c>
      <c r="C255" s="34">
        <f t="shared" si="24"/>
        <v>46113</v>
      </c>
      <c r="D255" s="33">
        <v>3284</v>
      </c>
      <c r="E255" s="33">
        <v>338</v>
      </c>
      <c r="F255" s="33">
        <v>4</v>
      </c>
      <c r="G255" s="33">
        <v>1</v>
      </c>
      <c r="H255" s="33">
        <v>81146</v>
      </c>
      <c r="I255" s="33" t="s">
        <v>17</v>
      </c>
      <c r="J255" s="33">
        <v>45456042</v>
      </c>
      <c r="K255" s="33" t="s">
        <v>1643</v>
      </c>
      <c r="L255" s="39" t="s">
        <v>1645</v>
      </c>
      <c r="M255" s="35">
        <v>119900</v>
      </c>
      <c r="N255" s="36">
        <f t="shared" si="25"/>
        <v>0.75</v>
      </c>
      <c r="O255" s="35">
        <f t="shared" si="23"/>
        <v>29975</v>
      </c>
      <c r="P255" s="22" t="s">
        <v>16</v>
      </c>
    </row>
    <row r="256" spans="1:16" s="32" customFormat="1" x14ac:dyDescent="0.35">
      <c r="A256" s="14" t="str">
        <f t="shared" si="24"/>
        <v xml:space="preserve"> 2024 JAN-DEC D75 LICENSE BABY</v>
      </c>
      <c r="B256" s="34">
        <f t="shared" si="24"/>
        <v>46104</v>
      </c>
      <c r="C256" s="34">
        <f t="shared" si="24"/>
        <v>46113</v>
      </c>
      <c r="D256" s="33">
        <v>3284</v>
      </c>
      <c r="E256" s="33">
        <v>338</v>
      </c>
      <c r="F256" s="33">
        <v>4</v>
      </c>
      <c r="G256" s="33">
        <v>1</v>
      </c>
      <c r="H256" s="33">
        <v>81146</v>
      </c>
      <c r="I256" s="33" t="s">
        <v>17</v>
      </c>
      <c r="J256" s="33">
        <v>45456051</v>
      </c>
      <c r="K256" s="33" t="s">
        <v>1643</v>
      </c>
      <c r="L256" s="39" t="s">
        <v>1644</v>
      </c>
      <c r="M256" s="35">
        <v>119900</v>
      </c>
      <c r="N256" s="36">
        <f t="shared" si="25"/>
        <v>0.75</v>
      </c>
      <c r="O256" s="35">
        <f t="shared" si="23"/>
        <v>29975</v>
      </c>
      <c r="P256" s="22" t="s">
        <v>16</v>
      </c>
    </row>
    <row r="257" spans="1:16" s="32" customFormat="1" x14ac:dyDescent="0.35">
      <c r="A257" s="14" t="str">
        <f t="shared" si="24"/>
        <v xml:space="preserve"> 2024 JAN-DEC D75 LICENSE BABY</v>
      </c>
      <c r="B257" s="34">
        <f t="shared" si="24"/>
        <v>46104</v>
      </c>
      <c r="C257" s="34">
        <f t="shared" si="24"/>
        <v>46113</v>
      </c>
      <c r="D257" s="33">
        <v>3284</v>
      </c>
      <c r="E257" s="33">
        <v>338</v>
      </c>
      <c r="F257" s="33">
        <v>4</v>
      </c>
      <c r="G257" s="33">
        <v>1</v>
      </c>
      <c r="H257" s="33">
        <v>81146</v>
      </c>
      <c r="I257" s="33" t="s">
        <v>17</v>
      </c>
      <c r="J257" s="33">
        <v>45456060</v>
      </c>
      <c r="K257" s="33" t="s">
        <v>1648</v>
      </c>
      <c r="L257" s="39" t="s">
        <v>1649</v>
      </c>
      <c r="M257" s="35">
        <v>199900</v>
      </c>
      <c r="N257" s="36">
        <f t="shared" si="25"/>
        <v>0.75</v>
      </c>
      <c r="O257" s="35">
        <f t="shared" si="23"/>
        <v>49975</v>
      </c>
      <c r="P257" s="22" t="s">
        <v>16</v>
      </c>
    </row>
    <row r="258" spans="1:16" s="32" customFormat="1" x14ac:dyDescent="0.35">
      <c r="A258" s="14" t="str">
        <f t="shared" si="24"/>
        <v xml:space="preserve"> 2024 JAN-DEC D75 LICENSE BABY</v>
      </c>
      <c r="B258" s="34">
        <f t="shared" si="24"/>
        <v>46104</v>
      </c>
      <c r="C258" s="34">
        <f t="shared" si="24"/>
        <v>46113</v>
      </c>
      <c r="D258" s="33">
        <v>3284</v>
      </c>
      <c r="E258" s="33">
        <v>338</v>
      </c>
      <c r="F258" s="33">
        <v>4</v>
      </c>
      <c r="G258" s="33">
        <v>1</v>
      </c>
      <c r="H258" s="33">
        <v>81146</v>
      </c>
      <c r="I258" s="33" t="s">
        <v>17</v>
      </c>
      <c r="J258" s="33">
        <v>45456079</v>
      </c>
      <c r="K258" s="33" t="s">
        <v>1648</v>
      </c>
      <c r="L258" s="39" t="s">
        <v>1650</v>
      </c>
      <c r="M258" s="35">
        <v>199900</v>
      </c>
      <c r="N258" s="36">
        <f t="shared" si="25"/>
        <v>0.75</v>
      </c>
      <c r="O258" s="35">
        <f t="shared" si="23"/>
        <v>49975</v>
      </c>
      <c r="P258" s="22" t="s">
        <v>16</v>
      </c>
    </row>
    <row r="259" spans="1:16" s="32" customFormat="1" x14ac:dyDescent="0.35">
      <c r="A259" s="14" t="str">
        <f t="shared" si="24"/>
        <v xml:space="preserve"> 2024 JAN-DEC D75 LICENSE BABY</v>
      </c>
      <c r="B259" s="34">
        <f t="shared" si="24"/>
        <v>46104</v>
      </c>
      <c r="C259" s="34">
        <f t="shared" si="24"/>
        <v>46113</v>
      </c>
      <c r="D259" s="33">
        <v>3284</v>
      </c>
      <c r="E259" s="33">
        <v>338</v>
      </c>
      <c r="F259" s="33">
        <v>4</v>
      </c>
      <c r="G259" s="33">
        <v>1</v>
      </c>
      <c r="H259" s="33">
        <v>81146</v>
      </c>
      <c r="I259" s="33" t="s">
        <v>17</v>
      </c>
      <c r="J259" s="33">
        <v>45456088</v>
      </c>
      <c r="K259" s="33" t="s">
        <v>1648</v>
      </c>
      <c r="L259" s="39" t="s">
        <v>1651</v>
      </c>
      <c r="M259" s="35">
        <v>199900</v>
      </c>
      <c r="N259" s="36">
        <f t="shared" si="25"/>
        <v>0.75</v>
      </c>
      <c r="O259" s="35">
        <f t="shared" ref="O259:O322" si="26">M259-((75*M259)/100)</f>
        <v>49975</v>
      </c>
      <c r="P259" s="22" t="s">
        <v>16</v>
      </c>
    </row>
    <row r="260" spans="1:16" s="32" customFormat="1" x14ac:dyDescent="0.35">
      <c r="A260" s="14" t="str">
        <f t="shared" ref="A260:C323" si="27">A259</f>
        <v xml:space="preserve"> 2024 JAN-DEC D75 LICENSE BABY</v>
      </c>
      <c r="B260" s="34">
        <f t="shared" si="27"/>
        <v>46104</v>
      </c>
      <c r="C260" s="34">
        <f t="shared" si="27"/>
        <v>46113</v>
      </c>
      <c r="D260" s="33">
        <v>3284</v>
      </c>
      <c r="E260" s="33">
        <v>338</v>
      </c>
      <c r="F260" s="33">
        <v>4</v>
      </c>
      <c r="G260" s="33">
        <v>1</v>
      </c>
      <c r="H260" s="33">
        <v>81146</v>
      </c>
      <c r="I260" s="33" t="s">
        <v>17</v>
      </c>
      <c r="J260" s="33">
        <v>45456097</v>
      </c>
      <c r="K260" s="33" t="s">
        <v>1648</v>
      </c>
      <c r="L260" s="39" t="s">
        <v>1652</v>
      </c>
      <c r="M260" s="35">
        <v>199900</v>
      </c>
      <c r="N260" s="36">
        <f t="shared" ref="N260:N323" si="28">N259</f>
        <v>0.75</v>
      </c>
      <c r="O260" s="35">
        <f t="shared" si="26"/>
        <v>49975</v>
      </c>
      <c r="P260" s="22" t="s">
        <v>16</v>
      </c>
    </row>
    <row r="261" spans="1:16" s="32" customFormat="1" x14ac:dyDescent="0.35">
      <c r="A261" s="14" t="str">
        <f t="shared" si="27"/>
        <v xml:space="preserve"> 2024 JAN-DEC D75 LICENSE BABY</v>
      </c>
      <c r="B261" s="34">
        <f t="shared" si="27"/>
        <v>46104</v>
      </c>
      <c r="C261" s="34">
        <f t="shared" si="27"/>
        <v>46113</v>
      </c>
      <c r="D261" s="33">
        <v>3284</v>
      </c>
      <c r="E261" s="33">
        <v>338</v>
      </c>
      <c r="F261" s="33">
        <v>4</v>
      </c>
      <c r="G261" s="33">
        <v>2</v>
      </c>
      <c r="H261" s="33">
        <v>81146</v>
      </c>
      <c r="I261" s="33" t="s">
        <v>17</v>
      </c>
      <c r="J261" s="33">
        <v>45456104</v>
      </c>
      <c r="K261" s="33" t="s">
        <v>1653</v>
      </c>
      <c r="L261" s="39" t="s">
        <v>1654</v>
      </c>
      <c r="M261" s="35">
        <v>139900</v>
      </c>
      <c r="N261" s="36">
        <f t="shared" si="28"/>
        <v>0.75</v>
      </c>
      <c r="O261" s="35">
        <f t="shared" si="26"/>
        <v>34975</v>
      </c>
      <c r="P261" s="22" t="s">
        <v>16</v>
      </c>
    </row>
    <row r="262" spans="1:16" s="32" customFormat="1" x14ac:dyDescent="0.35">
      <c r="A262" s="14" t="str">
        <f t="shared" si="27"/>
        <v xml:space="preserve"> 2024 JAN-DEC D75 LICENSE BABY</v>
      </c>
      <c r="B262" s="34">
        <f t="shared" si="27"/>
        <v>46104</v>
      </c>
      <c r="C262" s="34">
        <f t="shared" si="27"/>
        <v>46113</v>
      </c>
      <c r="D262" s="33">
        <v>3284</v>
      </c>
      <c r="E262" s="33">
        <v>338</v>
      </c>
      <c r="F262" s="33">
        <v>4</v>
      </c>
      <c r="G262" s="33">
        <v>2</v>
      </c>
      <c r="H262" s="33">
        <v>81146</v>
      </c>
      <c r="I262" s="33" t="s">
        <v>17</v>
      </c>
      <c r="J262" s="33">
        <v>45456113</v>
      </c>
      <c r="K262" s="33" t="s">
        <v>1653</v>
      </c>
      <c r="L262" s="39" t="s">
        <v>1655</v>
      </c>
      <c r="M262" s="35">
        <v>139900</v>
      </c>
      <c r="N262" s="36">
        <f t="shared" si="28"/>
        <v>0.75</v>
      </c>
      <c r="O262" s="35">
        <f t="shared" si="26"/>
        <v>34975</v>
      </c>
      <c r="P262" s="22" t="s">
        <v>16</v>
      </c>
    </row>
    <row r="263" spans="1:16" s="32" customFormat="1" x14ac:dyDescent="0.35">
      <c r="A263" s="14" t="str">
        <f t="shared" si="27"/>
        <v xml:space="preserve"> 2024 JAN-DEC D75 LICENSE BABY</v>
      </c>
      <c r="B263" s="34">
        <f t="shared" si="27"/>
        <v>46104</v>
      </c>
      <c r="C263" s="34">
        <f t="shared" si="27"/>
        <v>46113</v>
      </c>
      <c r="D263" s="33">
        <v>3284</v>
      </c>
      <c r="E263" s="33">
        <v>338</v>
      </c>
      <c r="F263" s="33">
        <v>4</v>
      </c>
      <c r="G263" s="33">
        <v>2</v>
      </c>
      <c r="H263" s="33">
        <v>81146</v>
      </c>
      <c r="I263" s="33" t="s">
        <v>17</v>
      </c>
      <c r="J263" s="33">
        <v>45456122</v>
      </c>
      <c r="K263" s="33" t="s">
        <v>1653</v>
      </c>
      <c r="L263" s="39" t="s">
        <v>1656</v>
      </c>
      <c r="M263" s="35">
        <v>139900</v>
      </c>
      <c r="N263" s="36">
        <f t="shared" si="28"/>
        <v>0.75</v>
      </c>
      <c r="O263" s="35">
        <f t="shared" si="26"/>
        <v>34975</v>
      </c>
      <c r="P263" s="22" t="s">
        <v>16</v>
      </c>
    </row>
    <row r="264" spans="1:16" s="32" customFormat="1" x14ac:dyDescent="0.35">
      <c r="A264" s="14" t="str">
        <f t="shared" si="27"/>
        <v xml:space="preserve"> 2024 JAN-DEC D75 LICENSE BABY</v>
      </c>
      <c r="B264" s="34">
        <f t="shared" si="27"/>
        <v>46104</v>
      </c>
      <c r="C264" s="34">
        <f t="shared" si="27"/>
        <v>46113</v>
      </c>
      <c r="D264" s="33">
        <v>3284</v>
      </c>
      <c r="E264" s="33">
        <v>338</v>
      </c>
      <c r="F264" s="33">
        <v>4</v>
      </c>
      <c r="G264" s="33">
        <v>2</v>
      </c>
      <c r="H264" s="33">
        <v>81146</v>
      </c>
      <c r="I264" s="33" t="s">
        <v>17</v>
      </c>
      <c r="J264" s="33">
        <v>45456131</v>
      </c>
      <c r="K264" s="33" t="s">
        <v>1653</v>
      </c>
      <c r="L264" s="39" t="s">
        <v>1657</v>
      </c>
      <c r="M264" s="35">
        <v>139900</v>
      </c>
      <c r="N264" s="36">
        <f t="shared" si="28"/>
        <v>0.75</v>
      </c>
      <c r="O264" s="35">
        <f t="shared" si="26"/>
        <v>34975</v>
      </c>
      <c r="P264" s="22" t="s">
        <v>16</v>
      </c>
    </row>
    <row r="265" spans="1:16" s="32" customFormat="1" x14ac:dyDescent="0.35">
      <c r="A265" s="14" t="str">
        <f t="shared" si="27"/>
        <v xml:space="preserve"> 2024 JAN-DEC D75 LICENSE BABY</v>
      </c>
      <c r="B265" s="34">
        <f t="shared" si="27"/>
        <v>46104</v>
      </c>
      <c r="C265" s="34">
        <f t="shared" si="27"/>
        <v>46113</v>
      </c>
      <c r="D265" s="33">
        <v>3284</v>
      </c>
      <c r="E265" s="33">
        <v>338</v>
      </c>
      <c r="F265" s="33">
        <v>4</v>
      </c>
      <c r="G265" s="33">
        <v>3</v>
      </c>
      <c r="H265" s="33">
        <v>81146</v>
      </c>
      <c r="I265" s="33" t="s">
        <v>17</v>
      </c>
      <c r="J265" s="33">
        <v>45456140</v>
      </c>
      <c r="K265" s="33" t="s">
        <v>1658</v>
      </c>
      <c r="L265" s="39" t="s">
        <v>1659</v>
      </c>
      <c r="M265" s="35">
        <v>189900</v>
      </c>
      <c r="N265" s="36">
        <f t="shared" si="28"/>
        <v>0.75</v>
      </c>
      <c r="O265" s="35">
        <f t="shared" si="26"/>
        <v>47475</v>
      </c>
      <c r="P265" s="22" t="s">
        <v>16</v>
      </c>
    </row>
    <row r="266" spans="1:16" s="32" customFormat="1" x14ac:dyDescent="0.35">
      <c r="A266" s="14" t="str">
        <f t="shared" si="27"/>
        <v xml:space="preserve"> 2024 JAN-DEC D75 LICENSE BABY</v>
      </c>
      <c r="B266" s="34">
        <f t="shared" si="27"/>
        <v>46104</v>
      </c>
      <c r="C266" s="34">
        <f t="shared" si="27"/>
        <v>46113</v>
      </c>
      <c r="D266" s="33">
        <v>3284</v>
      </c>
      <c r="E266" s="33">
        <v>338</v>
      </c>
      <c r="F266" s="33">
        <v>4</v>
      </c>
      <c r="G266" s="33">
        <v>3</v>
      </c>
      <c r="H266" s="33">
        <v>81146</v>
      </c>
      <c r="I266" s="33" t="s">
        <v>17</v>
      </c>
      <c r="J266" s="33">
        <v>45456159</v>
      </c>
      <c r="K266" s="33" t="s">
        <v>1658</v>
      </c>
      <c r="L266" s="39" t="s">
        <v>1660</v>
      </c>
      <c r="M266" s="35">
        <v>189900</v>
      </c>
      <c r="N266" s="36">
        <f t="shared" si="28"/>
        <v>0.75</v>
      </c>
      <c r="O266" s="35">
        <f t="shared" si="26"/>
        <v>47475</v>
      </c>
      <c r="P266" s="22" t="s">
        <v>16</v>
      </c>
    </row>
    <row r="267" spans="1:16" s="32" customFormat="1" x14ac:dyDescent="0.35">
      <c r="A267" s="14" t="str">
        <f t="shared" si="27"/>
        <v xml:space="preserve"> 2024 JAN-DEC D75 LICENSE BABY</v>
      </c>
      <c r="B267" s="34">
        <f t="shared" si="27"/>
        <v>46104</v>
      </c>
      <c r="C267" s="34">
        <f t="shared" si="27"/>
        <v>46113</v>
      </c>
      <c r="D267" s="33">
        <v>3284</v>
      </c>
      <c r="E267" s="33">
        <v>338</v>
      </c>
      <c r="F267" s="33">
        <v>4</v>
      </c>
      <c r="G267" s="33">
        <v>3</v>
      </c>
      <c r="H267" s="33">
        <v>81146</v>
      </c>
      <c r="I267" s="33" t="s">
        <v>17</v>
      </c>
      <c r="J267" s="33">
        <v>45456168</v>
      </c>
      <c r="K267" s="33" t="s">
        <v>1658</v>
      </c>
      <c r="L267" s="39" t="s">
        <v>1661</v>
      </c>
      <c r="M267" s="35">
        <v>189900</v>
      </c>
      <c r="N267" s="36">
        <f t="shared" si="28"/>
        <v>0.75</v>
      </c>
      <c r="O267" s="35">
        <f t="shared" si="26"/>
        <v>47475</v>
      </c>
      <c r="P267" s="22" t="s">
        <v>16</v>
      </c>
    </row>
    <row r="268" spans="1:16" s="32" customFormat="1" x14ac:dyDescent="0.35">
      <c r="A268" s="14" t="str">
        <f t="shared" si="27"/>
        <v xml:space="preserve"> 2024 JAN-DEC D75 LICENSE BABY</v>
      </c>
      <c r="B268" s="34">
        <f t="shared" si="27"/>
        <v>46104</v>
      </c>
      <c r="C268" s="34">
        <f t="shared" si="27"/>
        <v>46113</v>
      </c>
      <c r="D268" s="33">
        <v>3284</v>
      </c>
      <c r="E268" s="33">
        <v>338</v>
      </c>
      <c r="F268" s="33">
        <v>4</v>
      </c>
      <c r="G268" s="33">
        <v>3</v>
      </c>
      <c r="H268" s="33">
        <v>81146</v>
      </c>
      <c r="I268" s="33" t="s">
        <v>17</v>
      </c>
      <c r="J268" s="33">
        <v>45456177</v>
      </c>
      <c r="K268" s="33" t="s">
        <v>1658</v>
      </c>
      <c r="L268" s="39" t="s">
        <v>1662</v>
      </c>
      <c r="M268" s="35">
        <v>189900</v>
      </c>
      <c r="N268" s="36">
        <f t="shared" si="28"/>
        <v>0.75</v>
      </c>
      <c r="O268" s="35">
        <f t="shared" si="26"/>
        <v>47475</v>
      </c>
      <c r="P268" s="22" t="s">
        <v>16</v>
      </c>
    </row>
    <row r="269" spans="1:16" s="32" customFormat="1" x14ac:dyDescent="0.35">
      <c r="A269" s="14" t="str">
        <f t="shared" si="27"/>
        <v xml:space="preserve"> 2024 JAN-DEC D75 LICENSE BABY</v>
      </c>
      <c r="B269" s="34">
        <f t="shared" si="27"/>
        <v>46104</v>
      </c>
      <c r="C269" s="34">
        <f t="shared" si="27"/>
        <v>46113</v>
      </c>
      <c r="D269" s="33">
        <v>3284</v>
      </c>
      <c r="E269" s="33">
        <v>338</v>
      </c>
      <c r="F269" s="33">
        <v>4</v>
      </c>
      <c r="G269" s="33">
        <v>4</v>
      </c>
      <c r="H269" s="33">
        <v>81421</v>
      </c>
      <c r="I269" s="33" t="s">
        <v>17</v>
      </c>
      <c r="J269" s="33">
        <v>45483263</v>
      </c>
      <c r="K269" s="33" t="s">
        <v>1390</v>
      </c>
      <c r="L269" s="39" t="s">
        <v>1391</v>
      </c>
      <c r="M269" s="35">
        <v>219900</v>
      </c>
      <c r="N269" s="36">
        <f t="shared" si="28"/>
        <v>0.75</v>
      </c>
      <c r="O269" s="35">
        <f t="shared" si="26"/>
        <v>54975</v>
      </c>
      <c r="P269" s="22" t="s">
        <v>16</v>
      </c>
    </row>
    <row r="270" spans="1:16" s="32" customFormat="1" x14ac:dyDescent="0.35">
      <c r="A270" s="14" t="str">
        <f t="shared" si="27"/>
        <v xml:space="preserve"> 2024 JAN-DEC D75 LICENSE BABY</v>
      </c>
      <c r="B270" s="34">
        <f t="shared" si="27"/>
        <v>46104</v>
      </c>
      <c r="C270" s="34">
        <f t="shared" si="27"/>
        <v>46113</v>
      </c>
      <c r="D270" s="33">
        <v>3284</v>
      </c>
      <c r="E270" s="33">
        <v>338</v>
      </c>
      <c r="F270" s="33">
        <v>4</v>
      </c>
      <c r="G270" s="33">
        <v>4</v>
      </c>
      <c r="H270" s="33">
        <v>81421</v>
      </c>
      <c r="I270" s="33" t="s">
        <v>17</v>
      </c>
      <c r="J270" s="33">
        <v>45483272</v>
      </c>
      <c r="K270" s="33" t="s">
        <v>1390</v>
      </c>
      <c r="L270" s="39" t="s">
        <v>1392</v>
      </c>
      <c r="M270" s="35">
        <v>219900</v>
      </c>
      <c r="N270" s="36">
        <f t="shared" si="28"/>
        <v>0.75</v>
      </c>
      <c r="O270" s="35">
        <f t="shared" si="26"/>
        <v>54975</v>
      </c>
      <c r="P270" s="22" t="s">
        <v>16</v>
      </c>
    </row>
    <row r="271" spans="1:16" s="32" customFormat="1" x14ac:dyDescent="0.35">
      <c r="A271" s="14" t="str">
        <f t="shared" si="27"/>
        <v xml:space="preserve"> 2024 JAN-DEC D75 LICENSE BABY</v>
      </c>
      <c r="B271" s="34">
        <f t="shared" si="27"/>
        <v>46104</v>
      </c>
      <c r="C271" s="34">
        <f t="shared" si="27"/>
        <v>46113</v>
      </c>
      <c r="D271" s="33">
        <v>3284</v>
      </c>
      <c r="E271" s="33">
        <v>338</v>
      </c>
      <c r="F271" s="33">
        <v>4</v>
      </c>
      <c r="G271" s="33">
        <v>4</v>
      </c>
      <c r="H271" s="33">
        <v>81421</v>
      </c>
      <c r="I271" s="33" t="s">
        <v>17</v>
      </c>
      <c r="J271" s="33">
        <v>45483281</v>
      </c>
      <c r="K271" s="33" t="s">
        <v>1390</v>
      </c>
      <c r="L271" s="39" t="s">
        <v>1393</v>
      </c>
      <c r="M271" s="35">
        <v>219900</v>
      </c>
      <c r="N271" s="36">
        <f t="shared" si="28"/>
        <v>0.75</v>
      </c>
      <c r="O271" s="35">
        <f t="shared" si="26"/>
        <v>54975</v>
      </c>
      <c r="P271" s="22" t="s">
        <v>16</v>
      </c>
    </row>
    <row r="272" spans="1:16" s="32" customFormat="1" x14ac:dyDescent="0.35">
      <c r="A272" s="14" t="str">
        <f t="shared" si="27"/>
        <v xml:space="preserve"> 2024 JAN-DEC D75 LICENSE BABY</v>
      </c>
      <c r="B272" s="34">
        <f t="shared" si="27"/>
        <v>46104</v>
      </c>
      <c r="C272" s="34">
        <f t="shared" si="27"/>
        <v>46113</v>
      </c>
      <c r="D272" s="33">
        <v>3284</v>
      </c>
      <c r="E272" s="33">
        <v>338</v>
      </c>
      <c r="F272" s="33">
        <v>4</v>
      </c>
      <c r="G272" s="33">
        <v>4</v>
      </c>
      <c r="H272" s="33">
        <v>81421</v>
      </c>
      <c r="I272" s="33" t="s">
        <v>17</v>
      </c>
      <c r="J272" s="33">
        <v>45483290</v>
      </c>
      <c r="K272" s="33" t="s">
        <v>1390</v>
      </c>
      <c r="L272" s="39" t="s">
        <v>1394</v>
      </c>
      <c r="M272" s="35">
        <v>219900</v>
      </c>
      <c r="N272" s="36">
        <f t="shared" si="28"/>
        <v>0.75</v>
      </c>
      <c r="O272" s="35">
        <f t="shared" si="26"/>
        <v>54975</v>
      </c>
      <c r="P272" s="22" t="s">
        <v>16</v>
      </c>
    </row>
    <row r="273" spans="1:16" s="32" customFormat="1" x14ac:dyDescent="0.35">
      <c r="A273" s="14" t="str">
        <f t="shared" si="27"/>
        <v xml:space="preserve"> 2024 JAN-DEC D75 LICENSE BABY</v>
      </c>
      <c r="B273" s="34">
        <f t="shared" si="27"/>
        <v>46104</v>
      </c>
      <c r="C273" s="34">
        <f t="shared" si="27"/>
        <v>46113</v>
      </c>
      <c r="D273" s="33">
        <v>3284</v>
      </c>
      <c r="E273" s="33">
        <v>338</v>
      </c>
      <c r="F273" s="33">
        <v>4</v>
      </c>
      <c r="G273" s="33">
        <v>4</v>
      </c>
      <c r="H273" s="33">
        <v>80920</v>
      </c>
      <c r="I273" s="33" t="s">
        <v>17</v>
      </c>
      <c r="J273" s="33">
        <v>45456220</v>
      </c>
      <c r="K273" s="33" t="s">
        <v>1410</v>
      </c>
      <c r="L273" s="39" t="s">
        <v>1411</v>
      </c>
      <c r="M273" s="35">
        <v>219900</v>
      </c>
      <c r="N273" s="36">
        <f t="shared" si="28"/>
        <v>0.75</v>
      </c>
      <c r="O273" s="35">
        <f t="shared" si="26"/>
        <v>54975</v>
      </c>
      <c r="P273" s="22" t="s">
        <v>16</v>
      </c>
    </row>
    <row r="274" spans="1:16" s="32" customFormat="1" x14ac:dyDescent="0.35">
      <c r="A274" s="14" t="str">
        <f t="shared" si="27"/>
        <v xml:space="preserve"> 2024 JAN-DEC D75 LICENSE BABY</v>
      </c>
      <c r="B274" s="34">
        <f t="shared" si="27"/>
        <v>46104</v>
      </c>
      <c r="C274" s="34">
        <f t="shared" si="27"/>
        <v>46113</v>
      </c>
      <c r="D274" s="33">
        <v>3284</v>
      </c>
      <c r="E274" s="33">
        <v>338</v>
      </c>
      <c r="F274" s="33">
        <v>4</v>
      </c>
      <c r="G274" s="33">
        <v>4</v>
      </c>
      <c r="H274" s="33">
        <v>80920</v>
      </c>
      <c r="I274" s="33" t="s">
        <v>17</v>
      </c>
      <c r="J274" s="33">
        <v>45456239</v>
      </c>
      <c r="K274" s="33" t="s">
        <v>1410</v>
      </c>
      <c r="L274" s="39" t="s">
        <v>1412</v>
      </c>
      <c r="M274" s="35">
        <v>219900</v>
      </c>
      <c r="N274" s="36">
        <f t="shared" si="28"/>
        <v>0.75</v>
      </c>
      <c r="O274" s="35">
        <f t="shared" si="26"/>
        <v>54975</v>
      </c>
      <c r="P274" s="22" t="s">
        <v>16</v>
      </c>
    </row>
    <row r="275" spans="1:16" s="32" customFormat="1" x14ac:dyDescent="0.35">
      <c r="A275" s="14" t="str">
        <f t="shared" si="27"/>
        <v xml:space="preserve"> 2024 JAN-DEC D75 LICENSE BABY</v>
      </c>
      <c r="B275" s="34">
        <f t="shared" si="27"/>
        <v>46104</v>
      </c>
      <c r="C275" s="34">
        <f t="shared" si="27"/>
        <v>46113</v>
      </c>
      <c r="D275" s="33">
        <v>3284</v>
      </c>
      <c r="E275" s="33">
        <v>338</v>
      </c>
      <c r="F275" s="33">
        <v>4</v>
      </c>
      <c r="G275" s="33">
        <v>4</v>
      </c>
      <c r="H275" s="33">
        <v>80920</v>
      </c>
      <c r="I275" s="33" t="s">
        <v>17</v>
      </c>
      <c r="J275" s="33">
        <v>45456248</v>
      </c>
      <c r="K275" s="33" t="s">
        <v>1410</v>
      </c>
      <c r="L275" s="39" t="s">
        <v>1413</v>
      </c>
      <c r="M275" s="35">
        <v>219900</v>
      </c>
      <c r="N275" s="36">
        <f t="shared" si="28"/>
        <v>0.75</v>
      </c>
      <c r="O275" s="35">
        <f t="shared" si="26"/>
        <v>54975</v>
      </c>
      <c r="P275" s="22" t="s">
        <v>16</v>
      </c>
    </row>
    <row r="276" spans="1:16" s="32" customFormat="1" x14ac:dyDescent="0.35">
      <c r="A276" s="14" t="str">
        <f t="shared" si="27"/>
        <v xml:space="preserve"> 2024 JAN-DEC D75 LICENSE BABY</v>
      </c>
      <c r="B276" s="34">
        <f t="shared" si="27"/>
        <v>46104</v>
      </c>
      <c r="C276" s="34">
        <f t="shared" si="27"/>
        <v>46113</v>
      </c>
      <c r="D276" s="33">
        <v>3284</v>
      </c>
      <c r="E276" s="33">
        <v>338</v>
      </c>
      <c r="F276" s="33">
        <v>4</v>
      </c>
      <c r="G276" s="33">
        <v>4</v>
      </c>
      <c r="H276" s="33">
        <v>80920</v>
      </c>
      <c r="I276" s="33" t="s">
        <v>17</v>
      </c>
      <c r="J276" s="33">
        <v>45456257</v>
      </c>
      <c r="K276" s="33" t="s">
        <v>1410</v>
      </c>
      <c r="L276" s="39" t="s">
        <v>1414</v>
      </c>
      <c r="M276" s="35">
        <v>219900</v>
      </c>
      <c r="N276" s="36">
        <f t="shared" si="28"/>
        <v>0.75</v>
      </c>
      <c r="O276" s="35">
        <f t="shared" si="26"/>
        <v>54975</v>
      </c>
      <c r="P276" s="22" t="s">
        <v>16</v>
      </c>
    </row>
    <row r="277" spans="1:16" s="32" customFormat="1" x14ac:dyDescent="0.35">
      <c r="A277" s="14" t="str">
        <f t="shared" si="27"/>
        <v xml:space="preserve"> 2024 JAN-DEC D75 LICENSE BABY</v>
      </c>
      <c r="B277" s="34">
        <f t="shared" si="27"/>
        <v>46104</v>
      </c>
      <c r="C277" s="34">
        <f t="shared" si="27"/>
        <v>46113</v>
      </c>
      <c r="D277" s="33">
        <v>3284</v>
      </c>
      <c r="E277" s="33">
        <v>338</v>
      </c>
      <c r="F277" s="33">
        <v>4</v>
      </c>
      <c r="G277" s="33">
        <v>4</v>
      </c>
      <c r="H277" s="33">
        <v>80920</v>
      </c>
      <c r="I277" s="33" t="s">
        <v>17</v>
      </c>
      <c r="J277" s="33">
        <v>45456266</v>
      </c>
      <c r="K277" s="33" t="s">
        <v>1405</v>
      </c>
      <c r="L277" s="39" t="s">
        <v>1406</v>
      </c>
      <c r="M277" s="35">
        <v>219900</v>
      </c>
      <c r="N277" s="36">
        <f t="shared" si="28"/>
        <v>0.75</v>
      </c>
      <c r="O277" s="35">
        <f t="shared" si="26"/>
        <v>54975</v>
      </c>
      <c r="P277" s="22" t="s">
        <v>16</v>
      </c>
    </row>
    <row r="278" spans="1:16" s="32" customFormat="1" x14ac:dyDescent="0.35">
      <c r="A278" s="14" t="str">
        <f t="shared" si="27"/>
        <v xml:space="preserve"> 2024 JAN-DEC D75 LICENSE BABY</v>
      </c>
      <c r="B278" s="34">
        <f t="shared" si="27"/>
        <v>46104</v>
      </c>
      <c r="C278" s="34">
        <f t="shared" si="27"/>
        <v>46113</v>
      </c>
      <c r="D278" s="33">
        <v>3284</v>
      </c>
      <c r="E278" s="33">
        <v>338</v>
      </c>
      <c r="F278" s="33">
        <v>4</v>
      </c>
      <c r="G278" s="33">
        <v>4</v>
      </c>
      <c r="H278" s="33">
        <v>80920</v>
      </c>
      <c r="I278" s="33" t="s">
        <v>17</v>
      </c>
      <c r="J278" s="33">
        <v>45456275</v>
      </c>
      <c r="K278" s="33" t="s">
        <v>1405</v>
      </c>
      <c r="L278" s="39" t="s">
        <v>1407</v>
      </c>
      <c r="M278" s="35">
        <v>219900</v>
      </c>
      <c r="N278" s="36">
        <f t="shared" si="28"/>
        <v>0.75</v>
      </c>
      <c r="O278" s="35">
        <f t="shared" si="26"/>
        <v>54975</v>
      </c>
      <c r="P278" s="22" t="s">
        <v>16</v>
      </c>
    </row>
    <row r="279" spans="1:16" s="32" customFormat="1" x14ac:dyDescent="0.35">
      <c r="A279" s="14" t="str">
        <f t="shared" si="27"/>
        <v xml:space="preserve"> 2024 JAN-DEC D75 LICENSE BABY</v>
      </c>
      <c r="B279" s="34">
        <f t="shared" si="27"/>
        <v>46104</v>
      </c>
      <c r="C279" s="34">
        <f t="shared" si="27"/>
        <v>46113</v>
      </c>
      <c r="D279" s="33">
        <v>3284</v>
      </c>
      <c r="E279" s="33">
        <v>338</v>
      </c>
      <c r="F279" s="33">
        <v>4</v>
      </c>
      <c r="G279" s="33">
        <v>4</v>
      </c>
      <c r="H279" s="33">
        <v>80920</v>
      </c>
      <c r="I279" s="33" t="s">
        <v>17</v>
      </c>
      <c r="J279" s="33">
        <v>45456284</v>
      </c>
      <c r="K279" s="33" t="s">
        <v>1405</v>
      </c>
      <c r="L279" s="39" t="s">
        <v>1409</v>
      </c>
      <c r="M279" s="35">
        <v>219900</v>
      </c>
      <c r="N279" s="36">
        <f t="shared" si="28"/>
        <v>0.75</v>
      </c>
      <c r="O279" s="35">
        <f t="shared" si="26"/>
        <v>54975</v>
      </c>
      <c r="P279" s="22" t="s">
        <v>16</v>
      </c>
    </row>
    <row r="280" spans="1:16" s="32" customFormat="1" x14ac:dyDescent="0.35">
      <c r="A280" s="14" t="str">
        <f t="shared" si="27"/>
        <v xml:space="preserve"> 2024 JAN-DEC D75 LICENSE BABY</v>
      </c>
      <c r="B280" s="34">
        <f t="shared" si="27"/>
        <v>46104</v>
      </c>
      <c r="C280" s="34">
        <f t="shared" si="27"/>
        <v>46113</v>
      </c>
      <c r="D280" s="33">
        <v>3284</v>
      </c>
      <c r="E280" s="33">
        <v>338</v>
      </c>
      <c r="F280" s="33">
        <v>4</v>
      </c>
      <c r="G280" s="33">
        <v>4</v>
      </c>
      <c r="H280" s="33">
        <v>80920</v>
      </c>
      <c r="I280" s="33" t="s">
        <v>17</v>
      </c>
      <c r="J280" s="33">
        <v>45456293</v>
      </c>
      <c r="K280" s="33" t="s">
        <v>1405</v>
      </c>
      <c r="L280" s="39" t="s">
        <v>1408</v>
      </c>
      <c r="M280" s="35">
        <v>219900</v>
      </c>
      <c r="N280" s="36">
        <f t="shared" si="28"/>
        <v>0.75</v>
      </c>
      <c r="O280" s="35">
        <f t="shared" si="26"/>
        <v>54975</v>
      </c>
      <c r="P280" s="22" t="s">
        <v>16</v>
      </c>
    </row>
    <row r="281" spans="1:16" s="32" customFormat="1" x14ac:dyDescent="0.35">
      <c r="A281" s="14" t="str">
        <f t="shared" si="27"/>
        <v xml:space="preserve"> 2024 JAN-DEC D75 LICENSE BABY</v>
      </c>
      <c r="B281" s="34">
        <f t="shared" si="27"/>
        <v>46104</v>
      </c>
      <c r="C281" s="34">
        <f t="shared" si="27"/>
        <v>46113</v>
      </c>
      <c r="D281" s="33">
        <v>3284</v>
      </c>
      <c r="E281" s="33">
        <v>338</v>
      </c>
      <c r="F281" s="33">
        <v>4</v>
      </c>
      <c r="G281" s="33">
        <v>4</v>
      </c>
      <c r="H281" s="33">
        <v>81506</v>
      </c>
      <c r="I281" s="33" t="s">
        <v>17</v>
      </c>
      <c r="J281" s="33">
        <v>45456186</v>
      </c>
      <c r="K281" s="33" t="s">
        <v>1395</v>
      </c>
      <c r="L281" s="39" t="s">
        <v>1396</v>
      </c>
      <c r="M281" s="35">
        <v>229900</v>
      </c>
      <c r="N281" s="36">
        <f t="shared" si="28"/>
        <v>0.75</v>
      </c>
      <c r="O281" s="35">
        <f t="shared" si="26"/>
        <v>57475</v>
      </c>
      <c r="P281" s="22" t="s">
        <v>16</v>
      </c>
    </row>
    <row r="282" spans="1:16" s="32" customFormat="1" x14ac:dyDescent="0.35">
      <c r="A282" s="14" t="str">
        <f t="shared" si="27"/>
        <v xml:space="preserve"> 2024 JAN-DEC D75 LICENSE BABY</v>
      </c>
      <c r="B282" s="34">
        <f t="shared" si="27"/>
        <v>46104</v>
      </c>
      <c r="C282" s="34">
        <f t="shared" si="27"/>
        <v>46113</v>
      </c>
      <c r="D282" s="33">
        <v>3284</v>
      </c>
      <c r="E282" s="33">
        <v>338</v>
      </c>
      <c r="F282" s="33">
        <v>4</v>
      </c>
      <c r="G282" s="33">
        <v>4</v>
      </c>
      <c r="H282" s="33">
        <v>81506</v>
      </c>
      <c r="I282" s="33" t="s">
        <v>17</v>
      </c>
      <c r="J282" s="33">
        <v>45456195</v>
      </c>
      <c r="K282" s="33" t="s">
        <v>1395</v>
      </c>
      <c r="L282" s="39" t="s">
        <v>1397</v>
      </c>
      <c r="M282" s="35">
        <v>229900</v>
      </c>
      <c r="N282" s="36">
        <f t="shared" si="28"/>
        <v>0.75</v>
      </c>
      <c r="O282" s="35">
        <f t="shared" si="26"/>
        <v>57475</v>
      </c>
      <c r="P282" s="22" t="s">
        <v>16</v>
      </c>
    </row>
    <row r="283" spans="1:16" s="32" customFormat="1" x14ac:dyDescent="0.35">
      <c r="A283" s="14" t="str">
        <f t="shared" si="27"/>
        <v xml:space="preserve"> 2024 JAN-DEC D75 LICENSE BABY</v>
      </c>
      <c r="B283" s="34">
        <f t="shared" si="27"/>
        <v>46104</v>
      </c>
      <c r="C283" s="34">
        <f t="shared" si="27"/>
        <v>46113</v>
      </c>
      <c r="D283" s="33">
        <v>3284</v>
      </c>
      <c r="E283" s="33">
        <v>338</v>
      </c>
      <c r="F283" s="33">
        <v>4</v>
      </c>
      <c r="G283" s="33">
        <v>4</v>
      </c>
      <c r="H283" s="33">
        <v>81506</v>
      </c>
      <c r="I283" s="33" t="s">
        <v>17</v>
      </c>
      <c r="J283" s="33">
        <v>45456202</v>
      </c>
      <c r="K283" s="33" t="s">
        <v>1395</v>
      </c>
      <c r="L283" s="39" t="s">
        <v>1398</v>
      </c>
      <c r="M283" s="35">
        <v>229900</v>
      </c>
      <c r="N283" s="36">
        <f t="shared" si="28"/>
        <v>0.75</v>
      </c>
      <c r="O283" s="35">
        <f t="shared" si="26"/>
        <v>57475</v>
      </c>
      <c r="P283" s="22" t="s">
        <v>16</v>
      </c>
    </row>
    <row r="284" spans="1:16" s="32" customFormat="1" x14ac:dyDescent="0.35">
      <c r="A284" s="14" t="str">
        <f t="shared" si="27"/>
        <v xml:space="preserve"> 2024 JAN-DEC D75 LICENSE BABY</v>
      </c>
      <c r="B284" s="34">
        <f t="shared" si="27"/>
        <v>46104</v>
      </c>
      <c r="C284" s="34">
        <f t="shared" si="27"/>
        <v>46113</v>
      </c>
      <c r="D284" s="33">
        <v>3284</v>
      </c>
      <c r="E284" s="33">
        <v>338</v>
      </c>
      <c r="F284" s="33">
        <v>4</v>
      </c>
      <c r="G284" s="33">
        <v>4</v>
      </c>
      <c r="H284" s="33">
        <v>81506</v>
      </c>
      <c r="I284" s="33" t="s">
        <v>17</v>
      </c>
      <c r="J284" s="33">
        <v>45456211</v>
      </c>
      <c r="K284" s="33" t="s">
        <v>1395</v>
      </c>
      <c r="L284" s="39" t="s">
        <v>1399</v>
      </c>
      <c r="M284" s="35">
        <v>229900</v>
      </c>
      <c r="N284" s="36">
        <f t="shared" si="28"/>
        <v>0.75</v>
      </c>
      <c r="O284" s="35">
        <f t="shared" si="26"/>
        <v>57475</v>
      </c>
      <c r="P284" s="22" t="s">
        <v>16</v>
      </c>
    </row>
    <row r="285" spans="1:16" s="32" customFormat="1" x14ac:dyDescent="0.35">
      <c r="A285" s="14" t="str">
        <f t="shared" si="27"/>
        <v xml:space="preserve"> 2024 JAN-DEC D75 LICENSE BABY</v>
      </c>
      <c r="B285" s="34">
        <f t="shared" si="27"/>
        <v>46104</v>
      </c>
      <c r="C285" s="34">
        <f t="shared" si="27"/>
        <v>46113</v>
      </c>
      <c r="D285" s="33">
        <v>3284</v>
      </c>
      <c r="E285" s="33">
        <v>338</v>
      </c>
      <c r="F285" s="33">
        <v>4</v>
      </c>
      <c r="G285" s="33">
        <v>4</v>
      </c>
      <c r="H285" s="33">
        <v>81506</v>
      </c>
      <c r="I285" s="33" t="s">
        <v>17</v>
      </c>
      <c r="J285" s="33">
        <v>45456300</v>
      </c>
      <c r="K285" s="33" t="s">
        <v>1400</v>
      </c>
      <c r="L285" s="39" t="s">
        <v>1401</v>
      </c>
      <c r="M285" s="35">
        <v>239900</v>
      </c>
      <c r="N285" s="36">
        <f t="shared" si="28"/>
        <v>0.75</v>
      </c>
      <c r="O285" s="35">
        <f t="shared" si="26"/>
        <v>59975</v>
      </c>
      <c r="P285" s="22" t="s">
        <v>16</v>
      </c>
    </row>
    <row r="286" spans="1:16" s="32" customFormat="1" x14ac:dyDescent="0.35">
      <c r="A286" s="14" t="str">
        <f t="shared" si="27"/>
        <v xml:space="preserve"> 2024 JAN-DEC D75 LICENSE BABY</v>
      </c>
      <c r="B286" s="34">
        <f t="shared" si="27"/>
        <v>46104</v>
      </c>
      <c r="C286" s="34">
        <f t="shared" si="27"/>
        <v>46113</v>
      </c>
      <c r="D286" s="33">
        <v>3284</v>
      </c>
      <c r="E286" s="33">
        <v>338</v>
      </c>
      <c r="F286" s="33">
        <v>4</v>
      </c>
      <c r="G286" s="33">
        <v>4</v>
      </c>
      <c r="H286" s="33">
        <v>81506</v>
      </c>
      <c r="I286" s="33" t="s">
        <v>17</v>
      </c>
      <c r="J286" s="33">
        <v>45456319</v>
      </c>
      <c r="K286" s="33" t="s">
        <v>1400</v>
      </c>
      <c r="L286" s="39" t="s">
        <v>1402</v>
      </c>
      <c r="M286" s="35">
        <v>239900</v>
      </c>
      <c r="N286" s="36">
        <f t="shared" si="28"/>
        <v>0.75</v>
      </c>
      <c r="O286" s="35">
        <f t="shared" si="26"/>
        <v>59975</v>
      </c>
      <c r="P286" s="22" t="s">
        <v>16</v>
      </c>
    </row>
    <row r="287" spans="1:16" s="32" customFormat="1" x14ac:dyDescent="0.35">
      <c r="A287" s="14" t="str">
        <f t="shared" si="27"/>
        <v xml:space="preserve"> 2024 JAN-DEC D75 LICENSE BABY</v>
      </c>
      <c r="B287" s="34">
        <f t="shared" si="27"/>
        <v>46104</v>
      </c>
      <c r="C287" s="34">
        <f t="shared" si="27"/>
        <v>46113</v>
      </c>
      <c r="D287" s="33">
        <v>3284</v>
      </c>
      <c r="E287" s="33">
        <v>338</v>
      </c>
      <c r="F287" s="33">
        <v>4</v>
      </c>
      <c r="G287" s="33">
        <v>4</v>
      </c>
      <c r="H287" s="33">
        <v>81506</v>
      </c>
      <c r="I287" s="33" t="s">
        <v>17</v>
      </c>
      <c r="J287" s="33">
        <v>45456328</v>
      </c>
      <c r="K287" s="33" t="s">
        <v>1400</v>
      </c>
      <c r="L287" s="39" t="s">
        <v>1403</v>
      </c>
      <c r="M287" s="35">
        <v>239900</v>
      </c>
      <c r="N287" s="36">
        <f t="shared" si="28"/>
        <v>0.75</v>
      </c>
      <c r="O287" s="35">
        <f t="shared" si="26"/>
        <v>59975</v>
      </c>
      <c r="P287" s="22" t="s">
        <v>16</v>
      </c>
    </row>
    <row r="288" spans="1:16" s="32" customFormat="1" x14ac:dyDescent="0.35">
      <c r="A288" s="14" t="str">
        <f t="shared" si="27"/>
        <v xml:space="preserve"> 2024 JAN-DEC D75 LICENSE BABY</v>
      </c>
      <c r="B288" s="34">
        <f t="shared" si="27"/>
        <v>46104</v>
      </c>
      <c r="C288" s="34">
        <f t="shared" si="27"/>
        <v>46113</v>
      </c>
      <c r="D288" s="33">
        <v>3284</v>
      </c>
      <c r="E288" s="33">
        <v>338</v>
      </c>
      <c r="F288" s="33">
        <v>4</v>
      </c>
      <c r="G288" s="33">
        <v>4</v>
      </c>
      <c r="H288" s="33">
        <v>81506</v>
      </c>
      <c r="I288" s="33" t="s">
        <v>17</v>
      </c>
      <c r="J288" s="33">
        <v>45456337</v>
      </c>
      <c r="K288" s="33" t="s">
        <v>1400</v>
      </c>
      <c r="L288" s="39" t="s">
        <v>1404</v>
      </c>
      <c r="M288" s="35">
        <v>239900</v>
      </c>
      <c r="N288" s="36">
        <f t="shared" si="28"/>
        <v>0.75</v>
      </c>
      <c r="O288" s="35">
        <f t="shared" si="26"/>
        <v>59975</v>
      </c>
      <c r="P288" s="22" t="s">
        <v>16</v>
      </c>
    </row>
    <row r="289" spans="1:16" s="32" customFormat="1" x14ac:dyDescent="0.35">
      <c r="A289" s="14" t="str">
        <f t="shared" si="27"/>
        <v xml:space="preserve"> 2024 JAN-DEC D75 LICENSE BABY</v>
      </c>
      <c r="B289" s="34">
        <f t="shared" si="27"/>
        <v>46104</v>
      </c>
      <c r="C289" s="34">
        <f t="shared" si="27"/>
        <v>46113</v>
      </c>
      <c r="D289" s="33">
        <v>3284</v>
      </c>
      <c r="E289" s="33">
        <v>338</v>
      </c>
      <c r="F289" s="33">
        <v>4</v>
      </c>
      <c r="G289" s="33">
        <v>5</v>
      </c>
      <c r="H289" s="33">
        <v>81146</v>
      </c>
      <c r="I289" s="33" t="s">
        <v>17</v>
      </c>
      <c r="J289" s="33">
        <v>45456346</v>
      </c>
      <c r="K289" s="33" t="s">
        <v>1663</v>
      </c>
      <c r="L289" s="39" t="s">
        <v>1664</v>
      </c>
      <c r="M289" s="35">
        <v>219900</v>
      </c>
      <c r="N289" s="36">
        <f t="shared" si="28"/>
        <v>0.75</v>
      </c>
      <c r="O289" s="35">
        <f t="shared" si="26"/>
        <v>54975</v>
      </c>
      <c r="P289" s="22" t="s">
        <v>16</v>
      </c>
    </row>
    <row r="290" spans="1:16" s="32" customFormat="1" x14ac:dyDescent="0.35">
      <c r="A290" s="14" t="str">
        <f t="shared" si="27"/>
        <v xml:space="preserve"> 2024 JAN-DEC D75 LICENSE BABY</v>
      </c>
      <c r="B290" s="34">
        <f t="shared" si="27"/>
        <v>46104</v>
      </c>
      <c r="C290" s="34">
        <f t="shared" si="27"/>
        <v>46113</v>
      </c>
      <c r="D290" s="33">
        <v>3284</v>
      </c>
      <c r="E290" s="33">
        <v>338</v>
      </c>
      <c r="F290" s="33">
        <v>4</v>
      </c>
      <c r="G290" s="33">
        <v>5</v>
      </c>
      <c r="H290" s="33">
        <v>81146</v>
      </c>
      <c r="I290" s="33" t="s">
        <v>17</v>
      </c>
      <c r="J290" s="33">
        <v>45456355</v>
      </c>
      <c r="K290" s="33" t="s">
        <v>1663</v>
      </c>
      <c r="L290" s="39" t="s">
        <v>1665</v>
      </c>
      <c r="M290" s="35">
        <v>219900</v>
      </c>
      <c r="N290" s="36">
        <f t="shared" si="28"/>
        <v>0.75</v>
      </c>
      <c r="O290" s="35">
        <f t="shared" si="26"/>
        <v>54975</v>
      </c>
      <c r="P290" s="22" t="s">
        <v>16</v>
      </c>
    </row>
    <row r="291" spans="1:16" s="32" customFormat="1" x14ac:dyDescent="0.35">
      <c r="A291" s="14" t="str">
        <f t="shared" si="27"/>
        <v xml:space="preserve"> 2024 JAN-DEC D75 LICENSE BABY</v>
      </c>
      <c r="B291" s="34">
        <f t="shared" si="27"/>
        <v>46104</v>
      </c>
      <c r="C291" s="34">
        <f t="shared" si="27"/>
        <v>46113</v>
      </c>
      <c r="D291" s="33">
        <v>3284</v>
      </c>
      <c r="E291" s="33">
        <v>338</v>
      </c>
      <c r="F291" s="33">
        <v>4</v>
      </c>
      <c r="G291" s="33">
        <v>5</v>
      </c>
      <c r="H291" s="33">
        <v>81146</v>
      </c>
      <c r="I291" s="33" t="s">
        <v>17</v>
      </c>
      <c r="J291" s="33">
        <v>45456364</v>
      </c>
      <c r="K291" s="33" t="s">
        <v>1663</v>
      </c>
      <c r="L291" s="39" t="s">
        <v>1666</v>
      </c>
      <c r="M291" s="35">
        <v>219900</v>
      </c>
      <c r="N291" s="36">
        <f t="shared" si="28"/>
        <v>0.75</v>
      </c>
      <c r="O291" s="35">
        <f t="shared" si="26"/>
        <v>54975</v>
      </c>
      <c r="P291" s="22" t="s">
        <v>16</v>
      </c>
    </row>
    <row r="292" spans="1:16" s="32" customFormat="1" x14ac:dyDescent="0.35">
      <c r="A292" s="14" t="str">
        <f t="shared" si="27"/>
        <v xml:space="preserve"> 2024 JAN-DEC D75 LICENSE BABY</v>
      </c>
      <c r="B292" s="34">
        <f t="shared" si="27"/>
        <v>46104</v>
      </c>
      <c r="C292" s="34">
        <f t="shared" si="27"/>
        <v>46113</v>
      </c>
      <c r="D292" s="33">
        <v>3284</v>
      </c>
      <c r="E292" s="33">
        <v>338</v>
      </c>
      <c r="F292" s="33">
        <v>4</v>
      </c>
      <c r="G292" s="33">
        <v>5</v>
      </c>
      <c r="H292" s="33">
        <v>81146</v>
      </c>
      <c r="I292" s="33" t="s">
        <v>17</v>
      </c>
      <c r="J292" s="33">
        <v>45456373</v>
      </c>
      <c r="K292" s="33" t="s">
        <v>1663</v>
      </c>
      <c r="L292" s="39" t="s">
        <v>1667</v>
      </c>
      <c r="M292" s="35">
        <v>219900</v>
      </c>
      <c r="N292" s="36">
        <f t="shared" si="28"/>
        <v>0.75</v>
      </c>
      <c r="O292" s="35">
        <f t="shared" si="26"/>
        <v>54975</v>
      </c>
      <c r="P292" s="22" t="s">
        <v>16</v>
      </c>
    </row>
    <row r="293" spans="1:16" s="32" customFormat="1" x14ac:dyDescent="0.35">
      <c r="A293" s="14" t="str">
        <f t="shared" si="27"/>
        <v xml:space="preserve"> 2024 JAN-DEC D75 LICENSE BABY</v>
      </c>
      <c r="B293" s="34">
        <f t="shared" si="27"/>
        <v>46104</v>
      </c>
      <c r="C293" s="34">
        <f t="shared" si="27"/>
        <v>46113</v>
      </c>
      <c r="D293" s="33">
        <v>3284</v>
      </c>
      <c r="E293" s="33">
        <v>338</v>
      </c>
      <c r="F293" s="33">
        <v>4</v>
      </c>
      <c r="G293" s="33">
        <v>3</v>
      </c>
      <c r="H293" s="33">
        <v>80920</v>
      </c>
      <c r="I293" s="33" t="s">
        <v>17</v>
      </c>
      <c r="J293" s="33">
        <v>48228122</v>
      </c>
      <c r="K293" s="33" t="s">
        <v>1668</v>
      </c>
      <c r="L293" s="39" t="s">
        <v>1671</v>
      </c>
      <c r="M293" s="35">
        <v>179900</v>
      </c>
      <c r="N293" s="36">
        <f t="shared" si="28"/>
        <v>0.75</v>
      </c>
      <c r="O293" s="35">
        <f t="shared" si="26"/>
        <v>44975</v>
      </c>
      <c r="P293" s="22" t="s">
        <v>16</v>
      </c>
    </row>
    <row r="294" spans="1:16" s="32" customFormat="1" x14ac:dyDescent="0.35">
      <c r="A294" s="14" t="str">
        <f t="shared" si="27"/>
        <v xml:space="preserve"> 2024 JAN-DEC D75 LICENSE BABY</v>
      </c>
      <c r="B294" s="34">
        <f t="shared" si="27"/>
        <v>46104</v>
      </c>
      <c r="C294" s="34">
        <f t="shared" si="27"/>
        <v>46113</v>
      </c>
      <c r="D294" s="33">
        <v>3284</v>
      </c>
      <c r="E294" s="33">
        <v>338</v>
      </c>
      <c r="F294" s="33">
        <v>4</v>
      </c>
      <c r="G294" s="33">
        <v>3</v>
      </c>
      <c r="H294" s="33">
        <v>80920</v>
      </c>
      <c r="I294" s="33" t="s">
        <v>17</v>
      </c>
      <c r="J294" s="33">
        <v>48228131</v>
      </c>
      <c r="K294" s="33" t="s">
        <v>1668</v>
      </c>
      <c r="L294" s="39" t="s">
        <v>1672</v>
      </c>
      <c r="M294" s="35">
        <v>179900</v>
      </c>
      <c r="N294" s="36">
        <f t="shared" si="28"/>
        <v>0.75</v>
      </c>
      <c r="O294" s="35">
        <f t="shared" si="26"/>
        <v>44975</v>
      </c>
      <c r="P294" s="22" t="s">
        <v>16</v>
      </c>
    </row>
    <row r="295" spans="1:16" s="32" customFormat="1" x14ac:dyDescent="0.35">
      <c r="A295" s="14" t="str">
        <f t="shared" si="27"/>
        <v xml:space="preserve"> 2024 JAN-DEC D75 LICENSE BABY</v>
      </c>
      <c r="B295" s="34">
        <f t="shared" si="27"/>
        <v>46104</v>
      </c>
      <c r="C295" s="34">
        <f t="shared" si="27"/>
        <v>46113</v>
      </c>
      <c r="D295" s="33">
        <v>3284</v>
      </c>
      <c r="E295" s="33">
        <v>338</v>
      </c>
      <c r="F295" s="33">
        <v>4</v>
      </c>
      <c r="G295" s="33">
        <v>3</v>
      </c>
      <c r="H295" s="33">
        <v>80920</v>
      </c>
      <c r="I295" s="33" t="s">
        <v>17</v>
      </c>
      <c r="J295" s="33">
        <v>48228140</v>
      </c>
      <c r="K295" s="33" t="s">
        <v>1668</v>
      </c>
      <c r="L295" s="39" t="s">
        <v>1669</v>
      </c>
      <c r="M295" s="35">
        <v>179900</v>
      </c>
      <c r="N295" s="36">
        <f t="shared" si="28"/>
        <v>0.75</v>
      </c>
      <c r="O295" s="35">
        <f t="shared" si="26"/>
        <v>44975</v>
      </c>
      <c r="P295" s="22" t="s">
        <v>16</v>
      </c>
    </row>
    <row r="296" spans="1:16" s="32" customFormat="1" x14ac:dyDescent="0.35">
      <c r="A296" s="14" t="str">
        <f t="shared" si="27"/>
        <v xml:space="preserve"> 2024 JAN-DEC D75 LICENSE BABY</v>
      </c>
      <c r="B296" s="34">
        <f t="shared" si="27"/>
        <v>46104</v>
      </c>
      <c r="C296" s="34">
        <f t="shared" si="27"/>
        <v>46113</v>
      </c>
      <c r="D296" s="33">
        <v>3284</v>
      </c>
      <c r="E296" s="33">
        <v>338</v>
      </c>
      <c r="F296" s="33">
        <v>4</v>
      </c>
      <c r="G296" s="33">
        <v>3</v>
      </c>
      <c r="H296" s="33">
        <v>80920</v>
      </c>
      <c r="I296" s="33" t="s">
        <v>17</v>
      </c>
      <c r="J296" s="33">
        <v>48228159</v>
      </c>
      <c r="K296" s="33" t="s">
        <v>1668</v>
      </c>
      <c r="L296" s="39" t="s">
        <v>1670</v>
      </c>
      <c r="M296" s="35">
        <v>179900</v>
      </c>
      <c r="N296" s="36">
        <f t="shared" si="28"/>
        <v>0.75</v>
      </c>
      <c r="O296" s="35">
        <f t="shared" si="26"/>
        <v>44975</v>
      </c>
      <c r="P296" s="22" t="s">
        <v>16</v>
      </c>
    </row>
    <row r="297" spans="1:16" s="32" customFormat="1" x14ac:dyDescent="0.35">
      <c r="A297" s="14" t="str">
        <f t="shared" si="27"/>
        <v xml:space="preserve"> 2024 JAN-DEC D75 LICENSE BABY</v>
      </c>
      <c r="B297" s="34">
        <f t="shared" si="27"/>
        <v>46104</v>
      </c>
      <c r="C297" s="34">
        <f t="shared" si="27"/>
        <v>46113</v>
      </c>
      <c r="D297" s="33">
        <v>3284</v>
      </c>
      <c r="E297" s="33">
        <v>338</v>
      </c>
      <c r="F297" s="33">
        <v>4</v>
      </c>
      <c r="G297" s="33">
        <v>5</v>
      </c>
      <c r="H297" s="33">
        <v>80920</v>
      </c>
      <c r="I297" s="33" t="s">
        <v>17</v>
      </c>
      <c r="J297" s="33">
        <v>48228088</v>
      </c>
      <c r="K297" s="33" t="s">
        <v>1673</v>
      </c>
      <c r="L297" s="39" t="s">
        <v>1676</v>
      </c>
      <c r="M297" s="35">
        <v>219900</v>
      </c>
      <c r="N297" s="36">
        <f t="shared" si="28"/>
        <v>0.75</v>
      </c>
      <c r="O297" s="35">
        <f t="shared" si="26"/>
        <v>54975</v>
      </c>
      <c r="P297" s="22" t="s">
        <v>16</v>
      </c>
    </row>
    <row r="298" spans="1:16" s="32" customFormat="1" x14ac:dyDescent="0.35">
      <c r="A298" s="14" t="str">
        <f t="shared" si="27"/>
        <v xml:space="preserve"> 2024 JAN-DEC D75 LICENSE BABY</v>
      </c>
      <c r="B298" s="34">
        <f t="shared" si="27"/>
        <v>46104</v>
      </c>
      <c r="C298" s="34">
        <f t="shared" si="27"/>
        <v>46113</v>
      </c>
      <c r="D298" s="33">
        <v>3284</v>
      </c>
      <c r="E298" s="33">
        <v>338</v>
      </c>
      <c r="F298" s="33">
        <v>4</v>
      </c>
      <c r="G298" s="33">
        <v>5</v>
      </c>
      <c r="H298" s="33">
        <v>80920</v>
      </c>
      <c r="I298" s="33" t="s">
        <v>17</v>
      </c>
      <c r="J298" s="33">
        <v>48228097</v>
      </c>
      <c r="K298" s="33" t="s">
        <v>1673</v>
      </c>
      <c r="L298" s="39" t="s">
        <v>1677</v>
      </c>
      <c r="M298" s="35">
        <v>219900</v>
      </c>
      <c r="N298" s="36">
        <f t="shared" si="28"/>
        <v>0.75</v>
      </c>
      <c r="O298" s="35">
        <f t="shared" si="26"/>
        <v>54975</v>
      </c>
      <c r="P298" s="22" t="s">
        <v>16</v>
      </c>
    </row>
    <row r="299" spans="1:16" s="32" customFormat="1" x14ac:dyDescent="0.35">
      <c r="A299" s="14" t="str">
        <f t="shared" si="27"/>
        <v xml:space="preserve"> 2024 JAN-DEC D75 LICENSE BABY</v>
      </c>
      <c r="B299" s="34">
        <f t="shared" si="27"/>
        <v>46104</v>
      </c>
      <c r="C299" s="34">
        <f t="shared" si="27"/>
        <v>46113</v>
      </c>
      <c r="D299" s="33">
        <v>3284</v>
      </c>
      <c r="E299" s="33">
        <v>338</v>
      </c>
      <c r="F299" s="33">
        <v>4</v>
      </c>
      <c r="G299" s="33">
        <v>5</v>
      </c>
      <c r="H299" s="33">
        <v>80920</v>
      </c>
      <c r="I299" s="33" t="s">
        <v>17</v>
      </c>
      <c r="J299" s="33">
        <v>48228104</v>
      </c>
      <c r="K299" s="33" t="s">
        <v>1673</v>
      </c>
      <c r="L299" s="39" t="s">
        <v>1674</v>
      </c>
      <c r="M299" s="35">
        <v>219900</v>
      </c>
      <c r="N299" s="36">
        <f t="shared" si="28"/>
        <v>0.75</v>
      </c>
      <c r="O299" s="35">
        <f t="shared" si="26"/>
        <v>54975</v>
      </c>
      <c r="P299" s="22" t="s">
        <v>16</v>
      </c>
    </row>
    <row r="300" spans="1:16" s="32" customFormat="1" x14ac:dyDescent="0.35">
      <c r="A300" s="14" t="str">
        <f t="shared" si="27"/>
        <v xml:space="preserve"> 2024 JAN-DEC D75 LICENSE BABY</v>
      </c>
      <c r="B300" s="34">
        <f t="shared" si="27"/>
        <v>46104</v>
      </c>
      <c r="C300" s="34">
        <f t="shared" si="27"/>
        <v>46113</v>
      </c>
      <c r="D300" s="33">
        <v>3284</v>
      </c>
      <c r="E300" s="33">
        <v>338</v>
      </c>
      <c r="F300" s="33">
        <v>4</v>
      </c>
      <c r="G300" s="33">
        <v>5</v>
      </c>
      <c r="H300" s="33">
        <v>80920</v>
      </c>
      <c r="I300" s="33" t="s">
        <v>17</v>
      </c>
      <c r="J300" s="33">
        <v>48228113</v>
      </c>
      <c r="K300" s="33" t="s">
        <v>1673</v>
      </c>
      <c r="L300" s="39" t="s">
        <v>1675</v>
      </c>
      <c r="M300" s="35">
        <v>219900</v>
      </c>
      <c r="N300" s="36">
        <f t="shared" si="28"/>
        <v>0.75</v>
      </c>
      <c r="O300" s="35">
        <f t="shared" si="26"/>
        <v>54975</v>
      </c>
      <c r="P300" s="22" t="s">
        <v>16</v>
      </c>
    </row>
    <row r="301" spans="1:16" s="32" customFormat="1" x14ac:dyDescent="0.35">
      <c r="A301" s="14" t="str">
        <f t="shared" si="27"/>
        <v xml:space="preserve"> 2024 JAN-DEC D75 LICENSE BABY</v>
      </c>
      <c r="B301" s="34">
        <f t="shared" si="27"/>
        <v>46104</v>
      </c>
      <c r="C301" s="34">
        <f t="shared" si="27"/>
        <v>46113</v>
      </c>
      <c r="D301" s="33">
        <v>3284</v>
      </c>
      <c r="E301" s="33">
        <v>338</v>
      </c>
      <c r="F301" s="33">
        <v>4</v>
      </c>
      <c r="G301" s="33">
        <v>1</v>
      </c>
      <c r="H301" s="33">
        <v>81146</v>
      </c>
      <c r="I301" s="33" t="s">
        <v>17</v>
      </c>
      <c r="J301" s="33">
        <v>48224895</v>
      </c>
      <c r="K301" s="33" t="s">
        <v>1779</v>
      </c>
      <c r="L301" s="39" t="s">
        <v>1781</v>
      </c>
      <c r="M301" s="35">
        <v>129900</v>
      </c>
      <c r="N301" s="36">
        <f t="shared" si="28"/>
        <v>0.75</v>
      </c>
      <c r="O301" s="35">
        <f t="shared" si="26"/>
        <v>32475</v>
      </c>
      <c r="P301" s="22" t="s">
        <v>16</v>
      </c>
    </row>
    <row r="302" spans="1:16" s="32" customFormat="1" x14ac:dyDescent="0.35">
      <c r="A302" s="14" t="str">
        <f t="shared" si="27"/>
        <v xml:space="preserve"> 2024 JAN-DEC D75 LICENSE BABY</v>
      </c>
      <c r="B302" s="34">
        <f t="shared" si="27"/>
        <v>46104</v>
      </c>
      <c r="C302" s="34">
        <f t="shared" si="27"/>
        <v>46113</v>
      </c>
      <c r="D302" s="33">
        <v>3284</v>
      </c>
      <c r="E302" s="33">
        <v>338</v>
      </c>
      <c r="F302" s="33">
        <v>4</v>
      </c>
      <c r="G302" s="33">
        <v>1</v>
      </c>
      <c r="H302" s="33">
        <v>81146</v>
      </c>
      <c r="I302" s="33" t="s">
        <v>17</v>
      </c>
      <c r="J302" s="33">
        <v>48224902</v>
      </c>
      <c r="K302" s="33" t="s">
        <v>1779</v>
      </c>
      <c r="L302" s="39" t="s">
        <v>1782</v>
      </c>
      <c r="M302" s="35">
        <v>129900</v>
      </c>
      <c r="N302" s="36">
        <f t="shared" si="28"/>
        <v>0.75</v>
      </c>
      <c r="O302" s="35">
        <f t="shared" si="26"/>
        <v>32475</v>
      </c>
      <c r="P302" s="22" t="s">
        <v>16</v>
      </c>
    </row>
    <row r="303" spans="1:16" s="32" customFormat="1" x14ac:dyDescent="0.35">
      <c r="A303" s="14" t="str">
        <f t="shared" si="27"/>
        <v xml:space="preserve"> 2024 JAN-DEC D75 LICENSE BABY</v>
      </c>
      <c r="B303" s="34">
        <f t="shared" si="27"/>
        <v>46104</v>
      </c>
      <c r="C303" s="34">
        <f t="shared" si="27"/>
        <v>46113</v>
      </c>
      <c r="D303" s="33">
        <v>3284</v>
      </c>
      <c r="E303" s="33">
        <v>338</v>
      </c>
      <c r="F303" s="33">
        <v>4</v>
      </c>
      <c r="G303" s="33">
        <v>1</v>
      </c>
      <c r="H303" s="33">
        <v>81146</v>
      </c>
      <c r="I303" s="33" t="s">
        <v>17</v>
      </c>
      <c r="J303" s="33">
        <v>48224911</v>
      </c>
      <c r="K303" s="33" t="s">
        <v>1779</v>
      </c>
      <c r="L303" s="39" t="s">
        <v>1780</v>
      </c>
      <c r="M303" s="35">
        <v>129900</v>
      </c>
      <c r="N303" s="36">
        <f t="shared" si="28"/>
        <v>0.75</v>
      </c>
      <c r="O303" s="35">
        <f t="shared" si="26"/>
        <v>32475</v>
      </c>
      <c r="P303" s="22" t="s">
        <v>16</v>
      </c>
    </row>
    <row r="304" spans="1:16" s="32" customFormat="1" x14ac:dyDescent="0.35">
      <c r="A304" s="14" t="str">
        <f t="shared" si="27"/>
        <v xml:space="preserve"> 2024 JAN-DEC D75 LICENSE BABY</v>
      </c>
      <c r="B304" s="34">
        <f t="shared" si="27"/>
        <v>46104</v>
      </c>
      <c r="C304" s="34">
        <f t="shared" si="27"/>
        <v>46113</v>
      </c>
      <c r="D304" s="33">
        <v>3284</v>
      </c>
      <c r="E304" s="33">
        <v>338</v>
      </c>
      <c r="F304" s="33">
        <v>4</v>
      </c>
      <c r="G304" s="33">
        <v>1</v>
      </c>
      <c r="H304" s="33">
        <v>81146</v>
      </c>
      <c r="I304" s="33" t="s">
        <v>17</v>
      </c>
      <c r="J304" s="33">
        <v>48224920</v>
      </c>
      <c r="K304" s="33" t="s">
        <v>1779</v>
      </c>
      <c r="L304" s="39" t="s">
        <v>1783</v>
      </c>
      <c r="M304" s="35">
        <v>129900</v>
      </c>
      <c r="N304" s="36">
        <f t="shared" si="28"/>
        <v>0.75</v>
      </c>
      <c r="O304" s="35">
        <f t="shared" si="26"/>
        <v>32475</v>
      </c>
      <c r="P304" s="22" t="s">
        <v>16</v>
      </c>
    </row>
    <row r="305" spans="1:16" s="32" customFormat="1" x14ac:dyDescent="0.35">
      <c r="A305" s="14" t="str">
        <f t="shared" si="27"/>
        <v xml:space="preserve"> 2024 JAN-DEC D75 LICENSE BABY</v>
      </c>
      <c r="B305" s="34">
        <f t="shared" si="27"/>
        <v>46104</v>
      </c>
      <c r="C305" s="34">
        <f t="shared" si="27"/>
        <v>46113</v>
      </c>
      <c r="D305" s="33">
        <v>3284</v>
      </c>
      <c r="E305" s="33">
        <v>338</v>
      </c>
      <c r="F305" s="33">
        <v>4</v>
      </c>
      <c r="G305" s="33">
        <v>1</v>
      </c>
      <c r="H305" s="33">
        <v>81146</v>
      </c>
      <c r="I305" s="33" t="s">
        <v>17</v>
      </c>
      <c r="J305" s="33">
        <v>48224939</v>
      </c>
      <c r="K305" s="33" t="s">
        <v>1794</v>
      </c>
      <c r="L305" s="39" t="s">
        <v>1796</v>
      </c>
      <c r="M305" s="35">
        <v>199900</v>
      </c>
      <c r="N305" s="36">
        <f t="shared" si="28"/>
        <v>0.75</v>
      </c>
      <c r="O305" s="35">
        <f t="shared" si="26"/>
        <v>49975</v>
      </c>
      <c r="P305" s="22" t="s">
        <v>16</v>
      </c>
    </row>
    <row r="306" spans="1:16" s="32" customFormat="1" x14ac:dyDescent="0.35">
      <c r="A306" s="14" t="str">
        <f t="shared" si="27"/>
        <v xml:space="preserve"> 2024 JAN-DEC D75 LICENSE BABY</v>
      </c>
      <c r="B306" s="34">
        <f t="shared" si="27"/>
        <v>46104</v>
      </c>
      <c r="C306" s="34">
        <f t="shared" si="27"/>
        <v>46113</v>
      </c>
      <c r="D306" s="33">
        <v>3284</v>
      </c>
      <c r="E306" s="33">
        <v>338</v>
      </c>
      <c r="F306" s="33">
        <v>4</v>
      </c>
      <c r="G306" s="33">
        <v>1</v>
      </c>
      <c r="H306" s="33">
        <v>81146</v>
      </c>
      <c r="I306" s="33" t="s">
        <v>17</v>
      </c>
      <c r="J306" s="33">
        <v>48224948</v>
      </c>
      <c r="K306" s="33" t="s">
        <v>1794</v>
      </c>
      <c r="L306" s="39" t="s">
        <v>1798</v>
      </c>
      <c r="M306" s="35">
        <v>199900</v>
      </c>
      <c r="N306" s="36">
        <f t="shared" si="28"/>
        <v>0.75</v>
      </c>
      <c r="O306" s="35">
        <f t="shared" si="26"/>
        <v>49975</v>
      </c>
      <c r="P306" s="22" t="s">
        <v>16</v>
      </c>
    </row>
    <row r="307" spans="1:16" s="32" customFormat="1" x14ac:dyDescent="0.35">
      <c r="A307" s="14" t="str">
        <f t="shared" si="27"/>
        <v xml:space="preserve"> 2024 JAN-DEC D75 LICENSE BABY</v>
      </c>
      <c r="B307" s="34">
        <f t="shared" si="27"/>
        <v>46104</v>
      </c>
      <c r="C307" s="34">
        <f t="shared" si="27"/>
        <v>46113</v>
      </c>
      <c r="D307" s="33">
        <v>3284</v>
      </c>
      <c r="E307" s="33">
        <v>338</v>
      </c>
      <c r="F307" s="33">
        <v>4</v>
      </c>
      <c r="G307" s="33">
        <v>1</v>
      </c>
      <c r="H307" s="33">
        <v>81146</v>
      </c>
      <c r="I307" s="33" t="s">
        <v>17</v>
      </c>
      <c r="J307" s="33">
        <v>48224957</v>
      </c>
      <c r="K307" s="33" t="s">
        <v>1794</v>
      </c>
      <c r="L307" s="39" t="s">
        <v>1797</v>
      </c>
      <c r="M307" s="35">
        <v>199900</v>
      </c>
      <c r="N307" s="36">
        <f t="shared" si="28"/>
        <v>0.75</v>
      </c>
      <c r="O307" s="35">
        <f t="shared" si="26"/>
        <v>49975</v>
      </c>
      <c r="P307" s="22" t="s">
        <v>16</v>
      </c>
    </row>
    <row r="308" spans="1:16" s="32" customFormat="1" x14ac:dyDescent="0.35">
      <c r="A308" s="14" t="str">
        <f t="shared" si="27"/>
        <v xml:space="preserve"> 2024 JAN-DEC D75 LICENSE BABY</v>
      </c>
      <c r="B308" s="34">
        <f t="shared" si="27"/>
        <v>46104</v>
      </c>
      <c r="C308" s="34">
        <f t="shared" si="27"/>
        <v>46113</v>
      </c>
      <c r="D308" s="33">
        <v>3284</v>
      </c>
      <c r="E308" s="33">
        <v>338</v>
      </c>
      <c r="F308" s="33">
        <v>4</v>
      </c>
      <c r="G308" s="33">
        <v>1</v>
      </c>
      <c r="H308" s="33">
        <v>81146</v>
      </c>
      <c r="I308" s="33" t="s">
        <v>17</v>
      </c>
      <c r="J308" s="33">
        <v>48224966</v>
      </c>
      <c r="K308" s="33" t="s">
        <v>1794</v>
      </c>
      <c r="L308" s="39" t="s">
        <v>1795</v>
      </c>
      <c r="M308" s="35">
        <v>199900</v>
      </c>
      <c r="N308" s="36">
        <f t="shared" si="28"/>
        <v>0.75</v>
      </c>
      <c r="O308" s="35">
        <f t="shared" si="26"/>
        <v>49975</v>
      </c>
      <c r="P308" s="22" t="s">
        <v>16</v>
      </c>
    </row>
    <row r="309" spans="1:16" s="32" customFormat="1" x14ac:dyDescent="0.35">
      <c r="A309" s="14" t="str">
        <f t="shared" si="27"/>
        <v xml:space="preserve"> 2024 JAN-DEC D75 LICENSE BABY</v>
      </c>
      <c r="B309" s="34">
        <f t="shared" si="27"/>
        <v>46104</v>
      </c>
      <c r="C309" s="34">
        <f t="shared" si="27"/>
        <v>46113</v>
      </c>
      <c r="D309" s="33">
        <v>3284</v>
      </c>
      <c r="E309" s="33">
        <v>338</v>
      </c>
      <c r="F309" s="33">
        <v>4</v>
      </c>
      <c r="G309" s="33">
        <v>2</v>
      </c>
      <c r="H309" s="33">
        <v>81146</v>
      </c>
      <c r="I309" s="33" t="s">
        <v>17</v>
      </c>
      <c r="J309" s="33">
        <v>48224975</v>
      </c>
      <c r="K309" s="33" t="s">
        <v>1799</v>
      </c>
      <c r="L309" s="39" t="s">
        <v>1802</v>
      </c>
      <c r="M309" s="35">
        <v>139900</v>
      </c>
      <c r="N309" s="36">
        <f t="shared" si="28"/>
        <v>0.75</v>
      </c>
      <c r="O309" s="35">
        <f t="shared" si="26"/>
        <v>34975</v>
      </c>
      <c r="P309" s="22" t="s">
        <v>16</v>
      </c>
    </row>
    <row r="310" spans="1:16" s="32" customFormat="1" x14ac:dyDescent="0.35">
      <c r="A310" s="14" t="str">
        <f t="shared" si="27"/>
        <v xml:space="preserve"> 2024 JAN-DEC D75 LICENSE BABY</v>
      </c>
      <c r="B310" s="34">
        <f t="shared" si="27"/>
        <v>46104</v>
      </c>
      <c r="C310" s="34">
        <f t="shared" si="27"/>
        <v>46113</v>
      </c>
      <c r="D310" s="33">
        <v>3284</v>
      </c>
      <c r="E310" s="33">
        <v>338</v>
      </c>
      <c r="F310" s="33">
        <v>4</v>
      </c>
      <c r="G310" s="33">
        <v>2</v>
      </c>
      <c r="H310" s="33">
        <v>81146</v>
      </c>
      <c r="I310" s="33" t="s">
        <v>17</v>
      </c>
      <c r="J310" s="33">
        <v>48224984</v>
      </c>
      <c r="K310" s="33" t="s">
        <v>1799</v>
      </c>
      <c r="L310" s="39" t="s">
        <v>1801</v>
      </c>
      <c r="M310" s="35">
        <v>139900</v>
      </c>
      <c r="N310" s="36">
        <f t="shared" si="28"/>
        <v>0.75</v>
      </c>
      <c r="O310" s="35">
        <f t="shared" si="26"/>
        <v>34975</v>
      </c>
      <c r="P310" s="22" t="s">
        <v>16</v>
      </c>
    </row>
    <row r="311" spans="1:16" s="32" customFormat="1" x14ac:dyDescent="0.35">
      <c r="A311" s="14" t="str">
        <f t="shared" si="27"/>
        <v xml:space="preserve"> 2024 JAN-DEC D75 LICENSE BABY</v>
      </c>
      <c r="B311" s="34">
        <f t="shared" si="27"/>
        <v>46104</v>
      </c>
      <c r="C311" s="34">
        <f t="shared" si="27"/>
        <v>46113</v>
      </c>
      <c r="D311" s="33">
        <v>3284</v>
      </c>
      <c r="E311" s="33">
        <v>338</v>
      </c>
      <c r="F311" s="33">
        <v>4</v>
      </c>
      <c r="G311" s="33">
        <v>2</v>
      </c>
      <c r="H311" s="33">
        <v>81146</v>
      </c>
      <c r="I311" s="33" t="s">
        <v>17</v>
      </c>
      <c r="J311" s="33">
        <v>48224993</v>
      </c>
      <c r="K311" s="33" t="s">
        <v>1799</v>
      </c>
      <c r="L311" s="39" t="s">
        <v>1803</v>
      </c>
      <c r="M311" s="35">
        <v>139900</v>
      </c>
      <c r="N311" s="36">
        <f t="shared" si="28"/>
        <v>0.75</v>
      </c>
      <c r="O311" s="35">
        <f t="shared" si="26"/>
        <v>34975</v>
      </c>
      <c r="P311" s="22" t="s">
        <v>16</v>
      </c>
    </row>
    <row r="312" spans="1:16" s="32" customFormat="1" x14ac:dyDescent="0.35">
      <c r="A312" s="14" t="str">
        <f t="shared" si="27"/>
        <v xml:space="preserve"> 2024 JAN-DEC D75 LICENSE BABY</v>
      </c>
      <c r="B312" s="34">
        <f t="shared" si="27"/>
        <v>46104</v>
      </c>
      <c r="C312" s="34">
        <f t="shared" si="27"/>
        <v>46113</v>
      </c>
      <c r="D312" s="33">
        <v>3284</v>
      </c>
      <c r="E312" s="33">
        <v>338</v>
      </c>
      <c r="F312" s="33">
        <v>4</v>
      </c>
      <c r="G312" s="33">
        <v>2</v>
      </c>
      <c r="H312" s="33">
        <v>81146</v>
      </c>
      <c r="I312" s="33" t="s">
        <v>17</v>
      </c>
      <c r="J312" s="33">
        <v>48225009</v>
      </c>
      <c r="K312" s="33" t="s">
        <v>1799</v>
      </c>
      <c r="L312" s="39" t="s">
        <v>1800</v>
      </c>
      <c r="M312" s="35">
        <v>139900</v>
      </c>
      <c r="N312" s="36">
        <f t="shared" si="28"/>
        <v>0.75</v>
      </c>
      <c r="O312" s="35">
        <f t="shared" si="26"/>
        <v>34975</v>
      </c>
      <c r="P312" s="22" t="s">
        <v>16</v>
      </c>
    </row>
    <row r="313" spans="1:16" s="32" customFormat="1" x14ac:dyDescent="0.35">
      <c r="A313" s="14" t="str">
        <f t="shared" si="27"/>
        <v xml:space="preserve"> 2024 JAN-DEC D75 LICENSE BABY</v>
      </c>
      <c r="B313" s="34">
        <f t="shared" si="27"/>
        <v>46104</v>
      </c>
      <c r="C313" s="34">
        <f t="shared" si="27"/>
        <v>46113</v>
      </c>
      <c r="D313" s="33">
        <v>3284</v>
      </c>
      <c r="E313" s="33">
        <v>338</v>
      </c>
      <c r="F313" s="33">
        <v>4</v>
      </c>
      <c r="G313" s="33">
        <v>3</v>
      </c>
      <c r="H313" s="33">
        <v>81146</v>
      </c>
      <c r="I313" s="33" t="s">
        <v>17</v>
      </c>
      <c r="J313" s="33">
        <v>48225018</v>
      </c>
      <c r="K313" s="33" t="s">
        <v>1804</v>
      </c>
      <c r="L313" s="39" t="s">
        <v>1807</v>
      </c>
      <c r="M313" s="35">
        <v>199900</v>
      </c>
      <c r="N313" s="36">
        <f t="shared" si="28"/>
        <v>0.75</v>
      </c>
      <c r="O313" s="35">
        <f t="shared" si="26"/>
        <v>49975</v>
      </c>
      <c r="P313" s="22" t="s">
        <v>16</v>
      </c>
    </row>
    <row r="314" spans="1:16" s="32" customFormat="1" x14ac:dyDescent="0.35">
      <c r="A314" s="14" t="str">
        <f t="shared" si="27"/>
        <v xml:space="preserve"> 2024 JAN-DEC D75 LICENSE BABY</v>
      </c>
      <c r="B314" s="34">
        <f t="shared" si="27"/>
        <v>46104</v>
      </c>
      <c r="C314" s="34">
        <f t="shared" si="27"/>
        <v>46113</v>
      </c>
      <c r="D314" s="33">
        <v>3284</v>
      </c>
      <c r="E314" s="33">
        <v>338</v>
      </c>
      <c r="F314" s="33">
        <v>4</v>
      </c>
      <c r="G314" s="33">
        <v>3</v>
      </c>
      <c r="H314" s="33">
        <v>81146</v>
      </c>
      <c r="I314" s="33" t="s">
        <v>17</v>
      </c>
      <c r="J314" s="33">
        <v>48225027</v>
      </c>
      <c r="K314" s="33" t="s">
        <v>1804</v>
      </c>
      <c r="L314" s="39" t="s">
        <v>1808</v>
      </c>
      <c r="M314" s="35">
        <v>199900</v>
      </c>
      <c r="N314" s="36">
        <f t="shared" si="28"/>
        <v>0.75</v>
      </c>
      <c r="O314" s="35">
        <f t="shared" si="26"/>
        <v>49975</v>
      </c>
      <c r="P314" s="22" t="s">
        <v>16</v>
      </c>
    </row>
    <row r="315" spans="1:16" s="32" customFormat="1" x14ac:dyDescent="0.35">
      <c r="A315" s="14" t="str">
        <f t="shared" si="27"/>
        <v xml:space="preserve"> 2024 JAN-DEC D75 LICENSE BABY</v>
      </c>
      <c r="B315" s="34">
        <f t="shared" si="27"/>
        <v>46104</v>
      </c>
      <c r="C315" s="34">
        <f t="shared" si="27"/>
        <v>46113</v>
      </c>
      <c r="D315" s="33">
        <v>3284</v>
      </c>
      <c r="E315" s="33">
        <v>338</v>
      </c>
      <c r="F315" s="33">
        <v>4</v>
      </c>
      <c r="G315" s="33">
        <v>3</v>
      </c>
      <c r="H315" s="33">
        <v>81146</v>
      </c>
      <c r="I315" s="33" t="s">
        <v>17</v>
      </c>
      <c r="J315" s="33">
        <v>48225036</v>
      </c>
      <c r="K315" s="33" t="s">
        <v>1804</v>
      </c>
      <c r="L315" s="39" t="s">
        <v>1805</v>
      </c>
      <c r="M315" s="35">
        <v>199900</v>
      </c>
      <c r="N315" s="36">
        <f t="shared" si="28"/>
        <v>0.75</v>
      </c>
      <c r="O315" s="35">
        <f t="shared" si="26"/>
        <v>49975</v>
      </c>
      <c r="P315" s="22" t="s">
        <v>16</v>
      </c>
    </row>
    <row r="316" spans="1:16" s="32" customFormat="1" x14ac:dyDescent="0.35">
      <c r="A316" s="14" t="str">
        <f t="shared" si="27"/>
        <v xml:space="preserve"> 2024 JAN-DEC D75 LICENSE BABY</v>
      </c>
      <c r="B316" s="34">
        <f t="shared" si="27"/>
        <v>46104</v>
      </c>
      <c r="C316" s="34">
        <f t="shared" si="27"/>
        <v>46113</v>
      </c>
      <c r="D316" s="33">
        <v>3284</v>
      </c>
      <c r="E316" s="33">
        <v>338</v>
      </c>
      <c r="F316" s="33">
        <v>4</v>
      </c>
      <c r="G316" s="33">
        <v>3</v>
      </c>
      <c r="H316" s="33">
        <v>81146</v>
      </c>
      <c r="I316" s="33" t="s">
        <v>17</v>
      </c>
      <c r="J316" s="33">
        <v>48225045</v>
      </c>
      <c r="K316" s="33" t="s">
        <v>1804</v>
      </c>
      <c r="L316" s="39" t="s">
        <v>1806</v>
      </c>
      <c r="M316" s="35">
        <v>199900</v>
      </c>
      <c r="N316" s="36">
        <f t="shared" si="28"/>
        <v>0.75</v>
      </c>
      <c r="O316" s="35">
        <f t="shared" si="26"/>
        <v>49975</v>
      </c>
      <c r="P316" s="22" t="s">
        <v>16</v>
      </c>
    </row>
    <row r="317" spans="1:16" s="32" customFormat="1" x14ac:dyDescent="0.35">
      <c r="A317" s="14" t="str">
        <f t="shared" si="27"/>
        <v xml:space="preserve"> 2024 JAN-DEC D75 LICENSE BABY</v>
      </c>
      <c r="B317" s="34">
        <f t="shared" si="27"/>
        <v>46104</v>
      </c>
      <c r="C317" s="34">
        <f t="shared" si="27"/>
        <v>46113</v>
      </c>
      <c r="D317" s="33">
        <v>3284</v>
      </c>
      <c r="E317" s="33">
        <v>338</v>
      </c>
      <c r="F317" s="33">
        <v>4</v>
      </c>
      <c r="G317" s="33">
        <v>3</v>
      </c>
      <c r="H317" s="33">
        <v>80920</v>
      </c>
      <c r="I317" s="33" t="s">
        <v>17</v>
      </c>
      <c r="J317" s="33">
        <v>51764751</v>
      </c>
      <c r="K317" s="33" t="s">
        <v>1834</v>
      </c>
      <c r="L317" s="39" t="s">
        <v>1837</v>
      </c>
      <c r="M317" s="35">
        <v>199900</v>
      </c>
      <c r="N317" s="36">
        <f t="shared" si="28"/>
        <v>0.75</v>
      </c>
      <c r="O317" s="35">
        <f t="shared" si="26"/>
        <v>49975</v>
      </c>
      <c r="P317" s="22" t="s">
        <v>16</v>
      </c>
    </row>
    <row r="318" spans="1:16" s="32" customFormat="1" x14ac:dyDescent="0.35">
      <c r="A318" s="14" t="str">
        <f t="shared" si="27"/>
        <v xml:space="preserve"> 2024 JAN-DEC D75 LICENSE BABY</v>
      </c>
      <c r="B318" s="34">
        <f t="shared" si="27"/>
        <v>46104</v>
      </c>
      <c r="C318" s="34">
        <f t="shared" si="27"/>
        <v>46113</v>
      </c>
      <c r="D318" s="33">
        <v>3284</v>
      </c>
      <c r="E318" s="33">
        <v>338</v>
      </c>
      <c r="F318" s="33">
        <v>4</v>
      </c>
      <c r="G318" s="33">
        <v>3</v>
      </c>
      <c r="H318" s="33">
        <v>80920</v>
      </c>
      <c r="I318" s="33" t="s">
        <v>17</v>
      </c>
      <c r="J318" s="33">
        <v>51764760</v>
      </c>
      <c r="K318" s="33" t="s">
        <v>1834</v>
      </c>
      <c r="L318" s="39" t="s">
        <v>1835</v>
      </c>
      <c r="M318" s="35">
        <v>199900</v>
      </c>
      <c r="N318" s="36">
        <f t="shared" si="28"/>
        <v>0.75</v>
      </c>
      <c r="O318" s="35">
        <f t="shared" si="26"/>
        <v>49975</v>
      </c>
      <c r="P318" s="22" t="s">
        <v>16</v>
      </c>
    </row>
    <row r="319" spans="1:16" s="32" customFormat="1" x14ac:dyDescent="0.35">
      <c r="A319" s="14" t="str">
        <f t="shared" si="27"/>
        <v xml:space="preserve"> 2024 JAN-DEC D75 LICENSE BABY</v>
      </c>
      <c r="B319" s="34">
        <f t="shared" si="27"/>
        <v>46104</v>
      </c>
      <c r="C319" s="34">
        <f t="shared" si="27"/>
        <v>46113</v>
      </c>
      <c r="D319" s="33">
        <v>3284</v>
      </c>
      <c r="E319" s="33">
        <v>338</v>
      </c>
      <c r="F319" s="33">
        <v>4</v>
      </c>
      <c r="G319" s="33">
        <v>3</v>
      </c>
      <c r="H319" s="33">
        <v>80920</v>
      </c>
      <c r="I319" s="33" t="s">
        <v>17</v>
      </c>
      <c r="J319" s="33">
        <v>51764779</v>
      </c>
      <c r="K319" s="33" t="s">
        <v>1834</v>
      </c>
      <c r="L319" s="39" t="s">
        <v>1836</v>
      </c>
      <c r="M319" s="35">
        <v>199900</v>
      </c>
      <c r="N319" s="36">
        <f t="shared" si="28"/>
        <v>0.75</v>
      </c>
      <c r="O319" s="35">
        <f t="shared" si="26"/>
        <v>49975</v>
      </c>
      <c r="P319" s="22" t="s">
        <v>16</v>
      </c>
    </row>
    <row r="320" spans="1:16" s="32" customFormat="1" x14ac:dyDescent="0.35">
      <c r="A320" s="14" t="str">
        <f t="shared" si="27"/>
        <v xml:space="preserve"> 2024 JAN-DEC D75 LICENSE BABY</v>
      </c>
      <c r="B320" s="34">
        <f t="shared" si="27"/>
        <v>46104</v>
      </c>
      <c r="C320" s="34">
        <f t="shared" si="27"/>
        <v>46113</v>
      </c>
      <c r="D320" s="33">
        <v>3284</v>
      </c>
      <c r="E320" s="33">
        <v>338</v>
      </c>
      <c r="F320" s="33">
        <v>4</v>
      </c>
      <c r="G320" s="33">
        <v>3</v>
      </c>
      <c r="H320" s="33">
        <v>80920</v>
      </c>
      <c r="I320" s="33" t="s">
        <v>17</v>
      </c>
      <c r="J320" s="33">
        <v>51764788</v>
      </c>
      <c r="K320" s="33" t="s">
        <v>1834</v>
      </c>
      <c r="L320" s="39" t="s">
        <v>1838</v>
      </c>
      <c r="M320" s="35">
        <v>199900</v>
      </c>
      <c r="N320" s="36">
        <f t="shared" si="28"/>
        <v>0.75</v>
      </c>
      <c r="O320" s="35">
        <f t="shared" si="26"/>
        <v>49975</v>
      </c>
      <c r="P320" s="22" t="s">
        <v>16</v>
      </c>
    </row>
    <row r="321" spans="1:16" s="32" customFormat="1" x14ac:dyDescent="0.35">
      <c r="A321" s="14" t="str">
        <f t="shared" si="27"/>
        <v xml:space="preserve"> 2024 JAN-DEC D75 LICENSE BABY</v>
      </c>
      <c r="B321" s="34">
        <f t="shared" si="27"/>
        <v>46104</v>
      </c>
      <c r="C321" s="34">
        <f t="shared" si="27"/>
        <v>46113</v>
      </c>
      <c r="D321" s="33">
        <v>3284</v>
      </c>
      <c r="E321" s="33">
        <v>338</v>
      </c>
      <c r="F321" s="33">
        <v>4</v>
      </c>
      <c r="G321" s="33">
        <v>4</v>
      </c>
      <c r="H321" s="33">
        <v>81146</v>
      </c>
      <c r="I321" s="33" t="s">
        <v>17</v>
      </c>
      <c r="J321" s="33">
        <v>48225054</v>
      </c>
      <c r="K321" s="33" t="s">
        <v>1784</v>
      </c>
      <c r="L321" s="39" t="s">
        <v>1785</v>
      </c>
      <c r="M321" s="35">
        <v>229900</v>
      </c>
      <c r="N321" s="36">
        <f t="shared" si="28"/>
        <v>0.75</v>
      </c>
      <c r="O321" s="35">
        <f t="shared" si="26"/>
        <v>57475</v>
      </c>
      <c r="P321" s="22" t="s">
        <v>16</v>
      </c>
    </row>
    <row r="322" spans="1:16" s="32" customFormat="1" x14ac:dyDescent="0.35">
      <c r="A322" s="14" t="str">
        <f t="shared" si="27"/>
        <v xml:space="preserve"> 2024 JAN-DEC D75 LICENSE BABY</v>
      </c>
      <c r="B322" s="34">
        <f t="shared" si="27"/>
        <v>46104</v>
      </c>
      <c r="C322" s="34">
        <f t="shared" si="27"/>
        <v>46113</v>
      </c>
      <c r="D322" s="33">
        <v>3284</v>
      </c>
      <c r="E322" s="33">
        <v>338</v>
      </c>
      <c r="F322" s="33">
        <v>4</v>
      </c>
      <c r="G322" s="33">
        <v>4</v>
      </c>
      <c r="H322" s="33">
        <v>81146</v>
      </c>
      <c r="I322" s="33" t="s">
        <v>17</v>
      </c>
      <c r="J322" s="33">
        <v>48225063</v>
      </c>
      <c r="K322" s="33" t="s">
        <v>1784</v>
      </c>
      <c r="L322" s="39" t="s">
        <v>1787</v>
      </c>
      <c r="M322" s="35">
        <v>229900</v>
      </c>
      <c r="N322" s="36">
        <f t="shared" si="28"/>
        <v>0.75</v>
      </c>
      <c r="O322" s="35">
        <f t="shared" si="26"/>
        <v>57475</v>
      </c>
      <c r="P322" s="22" t="s">
        <v>16</v>
      </c>
    </row>
    <row r="323" spans="1:16" s="32" customFormat="1" x14ac:dyDescent="0.35">
      <c r="A323" s="14" t="str">
        <f t="shared" si="27"/>
        <v xml:space="preserve"> 2024 JAN-DEC D75 LICENSE BABY</v>
      </c>
      <c r="B323" s="34">
        <f t="shared" si="27"/>
        <v>46104</v>
      </c>
      <c r="C323" s="34">
        <f t="shared" si="27"/>
        <v>46113</v>
      </c>
      <c r="D323" s="33">
        <v>3284</v>
      </c>
      <c r="E323" s="33">
        <v>338</v>
      </c>
      <c r="F323" s="33">
        <v>4</v>
      </c>
      <c r="G323" s="33">
        <v>4</v>
      </c>
      <c r="H323" s="33">
        <v>81146</v>
      </c>
      <c r="I323" s="33" t="s">
        <v>17</v>
      </c>
      <c r="J323" s="33">
        <v>48225072</v>
      </c>
      <c r="K323" s="33" t="s">
        <v>1784</v>
      </c>
      <c r="L323" s="39" t="s">
        <v>1786</v>
      </c>
      <c r="M323" s="35">
        <v>229900</v>
      </c>
      <c r="N323" s="36">
        <f t="shared" si="28"/>
        <v>0.75</v>
      </c>
      <c r="O323" s="35">
        <f t="shared" ref="O323:O351" si="29">M323-((75*M323)/100)</f>
        <v>57475</v>
      </c>
      <c r="P323" s="22" t="s">
        <v>16</v>
      </c>
    </row>
    <row r="324" spans="1:16" s="32" customFormat="1" x14ac:dyDescent="0.35">
      <c r="A324" s="14" t="str">
        <f t="shared" ref="A324:C351" si="30">A323</f>
        <v xml:space="preserve"> 2024 JAN-DEC D75 LICENSE BABY</v>
      </c>
      <c r="B324" s="34">
        <f t="shared" si="30"/>
        <v>46104</v>
      </c>
      <c r="C324" s="34">
        <f t="shared" si="30"/>
        <v>46113</v>
      </c>
      <c r="D324" s="33">
        <v>3284</v>
      </c>
      <c r="E324" s="33">
        <v>338</v>
      </c>
      <c r="F324" s="33">
        <v>4</v>
      </c>
      <c r="G324" s="33">
        <v>4</v>
      </c>
      <c r="H324" s="33">
        <v>81146</v>
      </c>
      <c r="I324" s="33" t="s">
        <v>17</v>
      </c>
      <c r="J324" s="33">
        <v>48225081</v>
      </c>
      <c r="K324" s="33" t="s">
        <v>1784</v>
      </c>
      <c r="L324" s="39" t="s">
        <v>1788</v>
      </c>
      <c r="M324" s="35">
        <v>229900</v>
      </c>
      <c r="N324" s="36">
        <f t="shared" ref="N324:N351" si="31">N323</f>
        <v>0.75</v>
      </c>
      <c r="O324" s="35">
        <f t="shared" si="29"/>
        <v>57475</v>
      </c>
      <c r="P324" s="22" t="s">
        <v>16</v>
      </c>
    </row>
    <row r="325" spans="1:16" s="32" customFormat="1" x14ac:dyDescent="0.35">
      <c r="A325" s="14" t="str">
        <f t="shared" si="30"/>
        <v xml:space="preserve"> 2024 JAN-DEC D75 LICENSE BABY</v>
      </c>
      <c r="B325" s="34">
        <f t="shared" si="30"/>
        <v>46104</v>
      </c>
      <c r="C325" s="34">
        <f t="shared" si="30"/>
        <v>46113</v>
      </c>
      <c r="D325" s="33">
        <v>3284</v>
      </c>
      <c r="E325" s="33">
        <v>338</v>
      </c>
      <c r="F325" s="33">
        <v>4</v>
      </c>
      <c r="G325" s="33">
        <v>4</v>
      </c>
      <c r="H325" s="33">
        <v>81146</v>
      </c>
      <c r="I325" s="33" t="s">
        <v>17</v>
      </c>
      <c r="J325" s="33">
        <v>48225090</v>
      </c>
      <c r="K325" s="33" t="s">
        <v>1809</v>
      </c>
      <c r="L325" s="39" t="s">
        <v>1810</v>
      </c>
      <c r="M325" s="35">
        <v>239900</v>
      </c>
      <c r="N325" s="36">
        <f t="shared" si="31"/>
        <v>0.75</v>
      </c>
      <c r="O325" s="35">
        <f t="shared" si="29"/>
        <v>59975</v>
      </c>
      <c r="P325" s="22" t="s">
        <v>16</v>
      </c>
    </row>
    <row r="326" spans="1:16" s="32" customFormat="1" x14ac:dyDescent="0.35">
      <c r="A326" s="14" t="str">
        <f t="shared" si="30"/>
        <v xml:space="preserve"> 2024 JAN-DEC D75 LICENSE BABY</v>
      </c>
      <c r="B326" s="34">
        <f t="shared" si="30"/>
        <v>46104</v>
      </c>
      <c r="C326" s="34">
        <f t="shared" si="30"/>
        <v>46113</v>
      </c>
      <c r="D326" s="33">
        <v>3284</v>
      </c>
      <c r="E326" s="33">
        <v>338</v>
      </c>
      <c r="F326" s="33">
        <v>4</v>
      </c>
      <c r="G326" s="33">
        <v>4</v>
      </c>
      <c r="H326" s="33">
        <v>81146</v>
      </c>
      <c r="I326" s="33" t="s">
        <v>17</v>
      </c>
      <c r="J326" s="33">
        <v>48225107</v>
      </c>
      <c r="K326" s="33" t="s">
        <v>1809</v>
      </c>
      <c r="L326" s="39" t="s">
        <v>1812</v>
      </c>
      <c r="M326" s="35">
        <v>239900</v>
      </c>
      <c r="N326" s="36">
        <f t="shared" si="31"/>
        <v>0.75</v>
      </c>
      <c r="O326" s="35">
        <f t="shared" si="29"/>
        <v>59975</v>
      </c>
      <c r="P326" s="22" t="s">
        <v>16</v>
      </c>
    </row>
    <row r="327" spans="1:16" s="32" customFormat="1" x14ac:dyDescent="0.35">
      <c r="A327" s="14" t="str">
        <f t="shared" si="30"/>
        <v xml:space="preserve"> 2024 JAN-DEC D75 LICENSE BABY</v>
      </c>
      <c r="B327" s="34">
        <f t="shared" si="30"/>
        <v>46104</v>
      </c>
      <c r="C327" s="34">
        <f t="shared" si="30"/>
        <v>46113</v>
      </c>
      <c r="D327" s="33">
        <v>3284</v>
      </c>
      <c r="E327" s="33">
        <v>338</v>
      </c>
      <c r="F327" s="33">
        <v>4</v>
      </c>
      <c r="G327" s="33">
        <v>4</v>
      </c>
      <c r="H327" s="33">
        <v>81146</v>
      </c>
      <c r="I327" s="33" t="s">
        <v>17</v>
      </c>
      <c r="J327" s="33">
        <v>48225116</v>
      </c>
      <c r="K327" s="33" t="s">
        <v>1809</v>
      </c>
      <c r="L327" s="39" t="s">
        <v>1811</v>
      </c>
      <c r="M327" s="35">
        <v>239900</v>
      </c>
      <c r="N327" s="36">
        <f t="shared" si="31"/>
        <v>0.75</v>
      </c>
      <c r="O327" s="35">
        <f t="shared" si="29"/>
        <v>59975</v>
      </c>
      <c r="P327" s="22" t="s">
        <v>16</v>
      </c>
    </row>
    <row r="328" spans="1:16" s="32" customFormat="1" x14ac:dyDescent="0.35">
      <c r="A328" s="14" t="str">
        <f t="shared" si="30"/>
        <v xml:space="preserve"> 2024 JAN-DEC D75 LICENSE BABY</v>
      </c>
      <c r="B328" s="34">
        <f t="shared" si="30"/>
        <v>46104</v>
      </c>
      <c r="C328" s="34">
        <f t="shared" si="30"/>
        <v>46113</v>
      </c>
      <c r="D328" s="33">
        <v>3284</v>
      </c>
      <c r="E328" s="33">
        <v>338</v>
      </c>
      <c r="F328" s="33">
        <v>4</v>
      </c>
      <c r="G328" s="33">
        <v>4</v>
      </c>
      <c r="H328" s="33">
        <v>81146</v>
      </c>
      <c r="I328" s="33" t="s">
        <v>17</v>
      </c>
      <c r="J328" s="33">
        <v>48225125</v>
      </c>
      <c r="K328" s="33" t="s">
        <v>1809</v>
      </c>
      <c r="L328" s="39" t="s">
        <v>1813</v>
      </c>
      <c r="M328" s="35">
        <v>239900</v>
      </c>
      <c r="N328" s="36">
        <f t="shared" si="31"/>
        <v>0.75</v>
      </c>
      <c r="O328" s="35">
        <f t="shared" si="29"/>
        <v>59975</v>
      </c>
      <c r="P328" s="22" t="s">
        <v>16</v>
      </c>
    </row>
    <row r="329" spans="1:16" s="32" customFormat="1" x14ac:dyDescent="0.35">
      <c r="A329" s="14" t="str">
        <f t="shared" si="30"/>
        <v xml:space="preserve"> 2024 JAN-DEC D75 LICENSE BABY</v>
      </c>
      <c r="B329" s="34">
        <f t="shared" si="30"/>
        <v>46104</v>
      </c>
      <c r="C329" s="34">
        <f t="shared" si="30"/>
        <v>46113</v>
      </c>
      <c r="D329" s="33">
        <v>3284</v>
      </c>
      <c r="E329" s="33">
        <v>338</v>
      </c>
      <c r="F329" s="33">
        <v>4</v>
      </c>
      <c r="G329" s="33">
        <v>4</v>
      </c>
      <c r="H329" s="33">
        <v>80920</v>
      </c>
      <c r="I329" s="33" t="s">
        <v>17</v>
      </c>
      <c r="J329" s="33">
        <v>48225134</v>
      </c>
      <c r="K329" s="33" t="s">
        <v>1774</v>
      </c>
      <c r="L329" s="39" t="s">
        <v>1775</v>
      </c>
      <c r="M329" s="35">
        <v>219900</v>
      </c>
      <c r="N329" s="36">
        <f t="shared" si="31"/>
        <v>0.75</v>
      </c>
      <c r="O329" s="35">
        <f t="shared" si="29"/>
        <v>54975</v>
      </c>
      <c r="P329" s="22" t="s">
        <v>16</v>
      </c>
    </row>
    <row r="330" spans="1:16" s="32" customFormat="1" x14ac:dyDescent="0.35">
      <c r="A330" s="14" t="str">
        <f t="shared" si="30"/>
        <v xml:space="preserve"> 2024 JAN-DEC D75 LICENSE BABY</v>
      </c>
      <c r="B330" s="34">
        <f t="shared" si="30"/>
        <v>46104</v>
      </c>
      <c r="C330" s="34">
        <f t="shared" si="30"/>
        <v>46113</v>
      </c>
      <c r="D330" s="33">
        <v>3284</v>
      </c>
      <c r="E330" s="33">
        <v>338</v>
      </c>
      <c r="F330" s="33">
        <v>4</v>
      </c>
      <c r="G330" s="33">
        <v>4</v>
      </c>
      <c r="H330" s="33">
        <v>80920</v>
      </c>
      <c r="I330" s="33" t="s">
        <v>17</v>
      </c>
      <c r="J330" s="33">
        <v>48225143</v>
      </c>
      <c r="K330" s="33" t="s">
        <v>1774</v>
      </c>
      <c r="L330" s="39" t="s">
        <v>1776</v>
      </c>
      <c r="M330" s="35">
        <v>219900</v>
      </c>
      <c r="N330" s="36">
        <f t="shared" si="31"/>
        <v>0.75</v>
      </c>
      <c r="O330" s="35">
        <f t="shared" si="29"/>
        <v>54975</v>
      </c>
      <c r="P330" s="22" t="s">
        <v>16</v>
      </c>
    </row>
    <row r="331" spans="1:16" s="32" customFormat="1" x14ac:dyDescent="0.35">
      <c r="A331" s="14" t="str">
        <f t="shared" si="30"/>
        <v xml:space="preserve"> 2024 JAN-DEC D75 LICENSE BABY</v>
      </c>
      <c r="B331" s="34">
        <f t="shared" si="30"/>
        <v>46104</v>
      </c>
      <c r="C331" s="34">
        <f t="shared" si="30"/>
        <v>46113</v>
      </c>
      <c r="D331" s="33">
        <v>3284</v>
      </c>
      <c r="E331" s="33">
        <v>338</v>
      </c>
      <c r="F331" s="33">
        <v>4</v>
      </c>
      <c r="G331" s="33">
        <v>4</v>
      </c>
      <c r="H331" s="33">
        <v>80920</v>
      </c>
      <c r="I331" s="33" t="s">
        <v>17</v>
      </c>
      <c r="J331" s="33">
        <v>48225152</v>
      </c>
      <c r="K331" s="33" t="s">
        <v>1774</v>
      </c>
      <c r="L331" s="39" t="s">
        <v>1778</v>
      </c>
      <c r="M331" s="35">
        <v>219900</v>
      </c>
      <c r="N331" s="36">
        <f t="shared" si="31"/>
        <v>0.75</v>
      </c>
      <c r="O331" s="35">
        <f t="shared" si="29"/>
        <v>54975</v>
      </c>
      <c r="P331" s="22" t="s">
        <v>16</v>
      </c>
    </row>
    <row r="332" spans="1:16" s="32" customFormat="1" x14ac:dyDescent="0.35">
      <c r="A332" s="14" t="str">
        <f t="shared" si="30"/>
        <v xml:space="preserve"> 2024 JAN-DEC D75 LICENSE BABY</v>
      </c>
      <c r="B332" s="34">
        <f t="shared" si="30"/>
        <v>46104</v>
      </c>
      <c r="C332" s="34">
        <f t="shared" si="30"/>
        <v>46113</v>
      </c>
      <c r="D332" s="33">
        <v>3284</v>
      </c>
      <c r="E332" s="33">
        <v>338</v>
      </c>
      <c r="F332" s="33">
        <v>4</v>
      </c>
      <c r="G332" s="33">
        <v>4</v>
      </c>
      <c r="H332" s="33">
        <v>80920</v>
      </c>
      <c r="I332" s="33" t="s">
        <v>17</v>
      </c>
      <c r="J332" s="33">
        <v>48225161</v>
      </c>
      <c r="K332" s="33" t="s">
        <v>1774</v>
      </c>
      <c r="L332" s="39" t="s">
        <v>1777</v>
      </c>
      <c r="M332" s="35">
        <v>219900</v>
      </c>
      <c r="N332" s="36">
        <f t="shared" si="31"/>
        <v>0.75</v>
      </c>
      <c r="O332" s="35">
        <f t="shared" si="29"/>
        <v>54975</v>
      </c>
      <c r="P332" s="22" t="s">
        <v>16</v>
      </c>
    </row>
    <row r="333" spans="1:16" s="32" customFormat="1" x14ac:dyDescent="0.35">
      <c r="A333" s="14" t="str">
        <f t="shared" si="30"/>
        <v xml:space="preserve"> 2024 JAN-DEC D75 LICENSE BABY</v>
      </c>
      <c r="B333" s="34">
        <f t="shared" si="30"/>
        <v>46104</v>
      </c>
      <c r="C333" s="34">
        <f t="shared" si="30"/>
        <v>46113</v>
      </c>
      <c r="D333" s="33">
        <v>3284</v>
      </c>
      <c r="E333" s="33">
        <v>338</v>
      </c>
      <c r="F333" s="33">
        <v>4</v>
      </c>
      <c r="G333" s="33">
        <v>5</v>
      </c>
      <c r="H333" s="33">
        <v>850</v>
      </c>
      <c r="I333" s="33" t="s">
        <v>17</v>
      </c>
      <c r="J333" s="33">
        <v>48225170</v>
      </c>
      <c r="K333" s="33" t="s">
        <v>1789</v>
      </c>
      <c r="L333" s="39" t="s">
        <v>1791</v>
      </c>
      <c r="M333" s="35">
        <v>219900</v>
      </c>
      <c r="N333" s="36">
        <f t="shared" si="31"/>
        <v>0.75</v>
      </c>
      <c r="O333" s="35">
        <f t="shared" si="29"/>
        <v>54975</v>
      </c>
      <c r="P333" s="22" t="s">
        <v>16</v>
      </c>
    </row>
    <row r="334" spans="1:16" s="32" customFormat="1" x14ac:dyDescent="0.35">
      <c r="A334" s="14" t="str">
        <f t="shared" si="30"/>
        <v xml:space="preserve"> 2024 JAN-DEC D75 LICENSE BABY</v>
      </c>
      <c r="B334" s="34">
        <f t="shared" si="30"/>
        <v>46104</v>
      </c>
      <c r="C334" s="34">
        <f t="shared" si="30"/>
        <v>46113</v>
      </c>
      <c r="D334" s="33">
        <v>3284</v>
      </c>
      <c r="E334" s="33">
        <v>338</v>
      </c>
      <c r="F334" s="33">
        <v>4</v>
      </c>
      <c r="G334" s="33">
        <v>5</v>
      </c>
      <c r="H334" s="33">
        <v>850</v>
      </c>
      <c r="I334" s="33" t="s">
        <v>17</v>
      </c>
      <c r="J334" s="33">
        <v>48225189</v>
      </c>
      <c r="K334" s="33" t="s">
        <v>1789</v>
      </c>
      <c r="L334" s="39" t="s">
        <v>1792</v>
      </c>
      <c r="M334" s="35">
        <v>219900</v>
      </c>
      <c r="N334" s="36">
        <f t="shared" si="31"/>
        <v>0.75</v>
      </c>
      <c r="O334" s="35">
        <f t="shared" si="29"/>
        <v>54975</v>
      </c>
      <c r="P334" s="22" t="s">
        <v>16</v>
      </c>
    </row>
    <row r="335" spans="1:16" s="32" customFormat="1" x14ac:dyDescent="0.35">
      <c r="A335" s="14" t="str">
        <f t="shared" si="30"/>
        <v xml:space="preserve"> 2024 JAN-DEC D75 LICENSE BABY</v>
      </c>
      <c r="B335" s="34">
        <f t="shared" si="30"/>
        <v>46104</v>
      </c>
      <c r="C335" s="34">
        <f t="shared" si="30"/>
        <v>46113</v>
      </c>
      <c r="D335" s="33">
        <v>3284</v>
      </c>
      <c r="E335" s="33">
        <v>338</v>
      </c>
      <c r="F335" s="33">
        <v>4</v>
      </c>
      <c r="G335" s="33">
        <v>5</v>
      </c>
      <c r="H335" s="33">
        <v>850</v>
      </c>
      <c r="I335" s="33" t="s">
        <v>17</v>
      </c>
      <c r="J335" s="33">
        <v>48225198</v>
      </c>
      <c r="K335" s="33" t="s">
        <v>1789</v>
      </c>
      <c r="L335" s="39" t="s">
        <v>1793</v>
      </c>
      <c r="M335" s="35">
        <v>219900</v>
      </c>
      <c r="N335" s="36">
        <f t="shared" si="31"/>
        <v>0.75</v>
      </c>
      <c r="O335" s="35">
        <f t="shared" si="29"/>
        <v>54975</v>
      </c>
      <c r="P335" s="22" t="s">
        <v>16</v>
      </c>
    </row>
    <row r="336" spans="1:16" s="32" customFormat="1" x14ac:dyDescent="0.35">
      <c r="A336" s="14" t="str">
        <f t="shared" si="30"/>
        <v xml:space="preserve"> 2024 JAN-DEC D75 LICENSE BABY</v>
      </c>
      <c r="B336" s="34">
        <f t="shared" si="30"/>
        <v>46104</v>
      </c>
      <c r="C336" s="34">
        <f t="shared" si="30"/>
        <v>46113</v>
      </c>
      <c r="D336" s="33">
        <v>3284</v>
      </c>
      <c r="E336" s="33">
        <v>338</v>
      </c>
      <c r="F336" s="33">
        <v>4</v>
      </c>
      <c r="G336" s="33">
        <v>5</v>
      </c>
      <c r="H336" s="33">
        <v>850</v>
      </c>
      <c r="I336" s="33" t="s">
        <v>17</v>
      </c>
      <c r="J336" s="33">
        <v>48225205</v>
      </c>
      <c r="K336" s="33" t="s">
        <v>1789</v>
      </c>
      <c r="L336" s="39" t="s">
        <v>1790</v>
      </c>
      <c r="M336" s="35">
        <v>219900</v>
      </c>
      <c r="N336" s="36">
        <f t="shared" si="31"/>
        <v>0.75</v>
      </c>
      <c r="O336" s="35">
        <f t="shared" si="29"/>
        <v>54975</v>
      </c>
      <c r="P336" s="22" t="s">
        <v>16</v>
      </c>
    </row>
    <row r="337" spans="1:16" s="32" customFormat="1" x14ac:dyDescent="0.35">
      <c r="A337" s="14" t="str">
        <f t="shared" si="30"/>
        <v xml:space="preserve"> 2024 JAN-DEC D75 LICENSE BABY</v>
      </c>
      <c r="B337" s="34">
        <f t="shared" si="30"/>
        <v>46104</v>
      </c>
      <c r="C337" s="34">
        <f t="shared" si="30"/>
        <v>46113</v>
      </c>
      <c r="D337" s="33">
        <v>3284</v>
      </c>
      <c r="E337" s="33">
        <v>338</v>
      </c>
      <c r="F337" s="33">
        <v>4</v>
      </c>
      <c r="G337" s="33">
        <v>8</v>
      </c>
      <c r="H337" s="33">
        <v>81421</v>
      </c>
      <c r="I337" s="33" t="s">
        <v>17</v>
      </c>
      <c r="J337" s="33">
        <v>51710568</v>
      </c>
      <c r="K337" s="33" t="s">
        <v>2366</v>
      </c>
      <c r="L337" s="39" t="s">
        <v>2367</v>
      </c>
      <c r="M337" s="35">
        <v>189900</v>
      </c>
      <c r="N337" s="36">
        <f t="shared" si="31"/>
        <v>0.75</v>
      </c>
      <c r="O337" s="35">
        <f t="shared" si="29"/>
        <v>47475</v>
      </c>
      <c r="P337" s="22" t="s">
        <v>16</v>
      </c>
    </row>
    <row r="338" spans="1:16" s="32" customFormat="1" x14ac:dyDescent="0.35">
      <c r="A338" s="14" t="str">
        <f t="shared" si="30"/>
        <v xml:space="preserve"> 2024 JAN-DEC D75 LICENSE BABY</v>
      </c>
      <c r="B338" s="34">
        <f t="shared" si="30"/>
        <v>46104</v>
      </c>
      <c r="C338" s="34">
        <f t="shared" si="30"/>
        <v>46113</v>
      </c>
      <c r="D338" s="33">
        <v>3284</v>
      </c>
      <c r="E338" s="33">
        <v>338</v>
      </c>
      <c r="F338" s="33">
        <v>4</v>
      </c>
      <c r="G338" s="33">
        <v>8</v>
      </c>
      <c r="H338" s="33">
        <v>81421</v>
      </c>
      <c r="I338" s="33" t="s">
        <v>17</v>
      </c>
      <c r="J338" s="33">
        <v>51710577</v>
      </c>
      <c r="K338" s="33" t="s">
        <v>2366</v>
      </c>
      <c r="L338" s="39" t="s">
        <v>2368</v>
      </c>
      <c r="M338" s="35">
        <v>189900</v>
      </c>
      <c r="N338" s="36">
        <f t="shared" si="31"/>
        <v>0.75</v>
      </c>
      <c r="O338" s="35">
        <f t="shared" si="29"/>
        <v>47475</v>
      </c>
      <c r="P338" s="22" t="s">
        <v>16</v>
      </c>
    </row>
    <row r="339" spans="1:16" s="32" customFormat="1" x14ac:dyDescent="0.35">
      <c r="A339" s="14" t="str">
        <f t="shared" si="30"/>
        <v xml:space="preserve"> 2024 JAN-DEC D75 LICENSE BABY</v>
      </c>
      <c r="B339" s="34">
        <f t="shared" si="30"/>
        <v>46104</v>
      </c>
      <c r="C339" s="34">
        <f t="shared" si="30"/>
        <v>46113</v>
      </c>
      <c r="D339" s="33">
        <v>3284</v>
      </c>
      <c r="E339" s="33">
        <v>338</v>
      </c>
      <c r="F339" s="33">
        <v>4</v>
      </c>
      <c r="G339" s="33">
        <v>8</v>
      </c>
      <c r="H339" s="33">
        <v>81421</v>
      </c>
      <c r="I339" s="33" t="s">
        <v>17</v>
      </c>
      <c r="J339" s="33">
        <v>51710586</v>
      </c>
      <c r="K339" s="33" t="s">
        <v>2366</v>
      </c>
      <c r="L339" s="39" t="s">
        <v>2369</v>
      </c>
      <c r="M339" s="35">
        <v>189900</v>
      </c>
      <c r="N339" s="36">
        <f t="shared" si="31"/>
        <v>0.75</v>
      </c>
      <c r="O339" s="35">
        <f t="shared" si="29"/>
        <v>47475</v>
      </c>
      <c r="P339" s="22" t="s">
        <v>16</v>
      </c>
    </row>
    <row r="340" spans="1:16" s="32" customFormat="1" x14ac:dyDescent="0.35">
      <c r="A340" s="14" t="str">
        <f t="shared" si="30"/>
        <v xml:space="preserve"> 2024 JAN-DEC D75 LICENSE BABY</v>
      </c>
      <c r="B340" s="34">
        <f t="shared" si="30"/>
        <v>46104</v>
      </c>
      <c r="C340" s="34">
        <f t="shared" si="30"/>
        <v>46113</v>
      </c>
      <c r="D340" s="33">
        <v>3284</v>
      </c>
      <c r="E340" s="33">
        <v>338</v>
      </c>
      <c r="F340" s="33">
        <v>4</v>
      </c>
      <c r="G340" s="33">
        <v>8</v>
      </c>
      <c r="H340" s="33">
        <v>81421</v>
      </c>
      <c r="I340" s="33" t="s">
        <v>17</v>
      </c>
      <c r="J340" s="33">
        <v>51710595</v>
      </c>
      <c r="K340" s="33" t="s">
        <v>2366</v>
      </c>
      <c r="L340" s="39" t="s">
        <v>2370</v>
      </c>
      <c r="M340" s="35">
        <v>189900</v>
      </c>
      <c r="N340" s="36">
        <f t="shared" si="31"/>
        <v>0.75</v>
      </c>
      <c r="O340" s="35">
        <f t="shared" si="29"/>
        <v>47475</v>
      </c>
      <c r="P340" s="22" t="s">
        <v>16</v>
      </c>
    </row>
    <row r="341" spans="1:16" s="32" customFormat="1" x14ac:dyDescent="0.35">
      <c r="A341" s="14" t="str">
        <f t="shared" si="30"/>
        <v xml:space="preserve"> 2024 JAN-DEC D75 LICENSE BABY</v>
      </c>
      <c r="B341" s="34">
        <f t="shared" si="30"/>
        <v>46104</v>
      </c>
      <c r="C341" s="34">
        <f t="shared" si="30"/>
        <v>46113</v>
      </c>
      <c r="D341" s="33">
        <v>3284</v>
      </c>
      <c r="E341" s="33">
        <v>338</v>
      </c>
      <c r="F341" s="33">
        <v>4</v>
      </c>
      <c r="G341" s="33">
        <v>8</v>
      </c>
      <c r="H341" s="33">
        <v>81421</v>
      </c>
      <c r="I341" s="33" t="s">
        <v>17</v>
      </c>
      <c r="J341" s="23">
        <v>51710602</v>
      </c>
      <c r="K341" s="24" t="s">
        <v>2366</v>
      </c>
      <c r="L341" s="23" t="s">
        <v>2371</v>
      </c>
      <c r="M341" s="25">
        <v>189900</v>
      </c>
      <c r="N341" s="36">
        <f t="shared" si="31"/>
        <v>0.75</v>
      </c>
      <c r="O341" s="35">
        <f t="shared" si="29"/>
        <v>47475</v>
      </c>
      <c r="P341" s="22" t="s">
        <v>16</v>
      </c>
    </row>
    <row r="342" spans="1:16" s="32" customFormat="1" x14ac:dyDescent="0.35">
      <c r="A342" s="14" t="str">
        <f t="shared" si="30"/>
        <v xml:space="preserve"> 2024 JAN-DEC D75 LICENSE BABY</v>
      </c>
      <c r="B342" s="34">
        <f t="shared" si="30"/>
        <v>46104</v>
      </c>
      <c r="C342" s="34">
        <f t="shared" si="30"/>
        <v>46113</v>
      </c>
      <c r="D342" s="33">
        <v>3284</v>
      </c>
      <c r="E342" s="33">
        <v>338</v>
      </c>
      <c r="F342" s="33">
        <v>4</v>
      </c>
      <c r="G342" s="33">
        <v>8</v>
      </c>
      <c r="H342" s="33">
        <v>81421</v>
      </c>
      <c r="I342" s="33" t="s">
        <v>17</v>
      </c>
      <c r="J342" s="23">
        <v>51710611</v>
      </c>
      <c r="K342" s="24" t="s">
        <v>2372</v>
      </c>
      <c r="L342" s="23" t="s">
        <v>2373</v>
      </c>
      <c r="M342" s="25">
        <v>219900</v>
      </c>
      <c r="N342" s="36">
        <f t="shared" si="31"/>
        <v>0.75</v>
      </c>
      <c r="O342" s="35">
        <f t="shared" si="29"/>
        <v>54975</v>
      </c>
      <c r="P342" s="22" t="s">
        <v>16</v>
      </c>
    </row>
    <row r="343" spans="1:16" s="32" customFormat="1" x14ac:dyDescent="0.35">
      <c r="A343" s="14" t="str">
        <f t="shared" si="30"/>
        <v xml:space="preserve"> 2024 JAN-DEC D75 LICENSE BABY</v>
      </c>
      <c r="B343" s="34">
        <f t="shared" si="30"/>
        <v>46104</v>
      </c>
      <c r="C343" s="34">
        <f t="shared" si="30"/>
        <v>46113</v>
      </c>
      <c r="D343" s="33">
        <v>3284</v>
      </c>
      <c r="E343" s="33">
        <v>338</v>
      </c>
      <c r="F343" s="33">
        <v>4</v>
      </c>
      <c r="G343" s="33">
        <v>8</v>
      </c>
      <c r="H343" s="33">
        <v>81421</v>
      </c>
      <c r="I343" s="33" t="s">
        <v>17</v>
      </c>
      <c r="J343" s="23">
        <v>51710620</v>
      </c>
      <c r="K343" s="24" t="s">
        <v>2372</v>
      </c>
      <c r="L343" s="23" t="s">
        <v>2374</v>
      </c>
      <c r="M343" s="25">
        <v>219900</v>
      </c>
      <c r="N343" s="36">
        <f t="shared" si="31"/>
        <v>0.75</v>
      </c>
      <c r="O343" s="35">
        <f t="shared" si="29"/>
        <v>54975</v>
      </c>
      <c r="P343" s="22" t="s">
        <v>16</v>
      </c>
    </row>
    <row r="344" spans="1:16" s="32" customFormat="1" x14ac:dyDescent="0.35">
      <c r="A344" s="14" t="str">
        <f t="shared" si="30"/>
        <v xml:space="preserve"> 2024 JAN-DEC D75 LICENSE BABY</v>
      </c>
      <c r="B344" s="34">
        <f t="shared" si="30"/>
        <v>46104</v>
      </c>
      <c r="C344" s="34">
        <f t="shared" si="30"/>
        <v>46113</v>
      </c>
      <c r="D344" s="33">
        <v>3284</v>
      </c>
      <c r="E344" s="33">
        <v>338</v>
      </c>
      <c r="F344" s="33">
        <v>4</v>
      </c>
      <c r="G344" s="33">
        <v>8</v>
      </c>
      <c r="H344" s="33">
        <v>81421</v>
      </c>
      <c r="I344" s="33" t="s">
        <v>17</v>
      </c>
      <c r="J344" s="23">
        <v>51710639</v>
      </c>
      <c r="K344" s="24" t="s">
        <v>2372</v>
      </c>
      <c r="L344" s="23" t="s">
        <v>2375</v>
      </c>
      <c r="M344" s="25">
        <v>219900</v>
      </c>
      <c r="N344" s="36">
        <f t="shared" si="31"/>
        <v>0.75</v>
      </c>
      <c r="O344" s="35">
        <f t="shared" si="29"/>
        <v>54975</v>
      </c>
      <c r="P344" s="22" t="s">
        <v>16</v>
      </c>
    </row>
    <row r="345" spans="1:16" s="32" customFormat="1" x14ac:dyDescent="0.35">
      <c r="A345" s="14" t="str">
        <f t="shared" si="30"/>
        <v xml:space="preserve"> 2024 JAN-DEC D75 LICENSE BABY</v>
      </c>
      <c r="B345" s="34">
        <f t="shared" si="30"/>
        <v>46104</v>
      </c>
      <c r="C345" s="34">
        <f t="shared" si="30"/>
        <v>46113</v>
      </c>
      <c r="D345" s="33">
        <v>3284</v>
      </c>
      <c r="E345" s="33">
        <v>338</v>
      </c>
      <c r="F345" s="33">
        <v>4</v>
      </c>
      <c r="G345" s="33">
        <v>8</v>
      </c>
      <c r="H345" s="33">
        <v>81421</v>
      </c>
      <c r="I345" s="33" t="s">
        <v>17</v>
      </c>
      <c r="J345" s="33">
        <v>51710648</v>
      </c>
      <c r="K345" s="33" t="s">
        <v>2372</v>
      </c>
      <c r="L345" s="39" t="s">
        <v>2376</v>
      </c>
      <c r="M345" s="35">
        <v>219900</v>
      </c>
      <c r="N345" s="36">
        <f t="shared" si="31"/>
        <v>0.75</v>
      </c>
      <c r="O345" s="35">
        <f t="shared" si="29"/>
        <v>54975</v>
      </c>
      <c r="P345" s="22" t="s">
        <v>16</v>
      </c>
    </row>
    <row r="346" spans="1:16" s="32" customFormat="1" x14ac:dyDescent="0.35">
      <c r="A346" s="14" t="str">
        <f t="shared" si="30"/>
        <v xml:space="preserve"> 2024 JAN-DEC D75 LICENSE BABY</v>
      </c>
      <c r="B346" s="34">
        <f t="shared" si="30"/>
        <v>46104</v>
      </c>
      <c r="C346" s="34">
        <f t="shared" si="30"/>
        <v>46113</v>
      </c>
      <c r="D346" s="33">
        <v>3284</v>
      </c>
      <c r="E346" s="33">
        <v>338</v>
      </c>
      <c r="F346" s="33">
        <v>4</v>
      </c>
      <c r="G346" s="33">
        <v>8</v>
      </c>
      <c r="H346" s="33">
        <v>81421</v>
      </c>
      <c r="I346" s="33" t="s">
        <v>17</v>
      </c>
      <c r="J346" s="33">
        <v>51710657</v>
      </c>
      <c r="K346" s="33" t="s">
        <v>2372</v>
      </c>
      <c r="L346" s="39" t="s">
        <v>2377</v>
      </c>
      <c r="M346" s="35">
        <v>219900</v>
      </c>
      <c r="N346" s="36">
        <f t="shared" si="31"/>
        <v>0.75</v>
      </c>
      <c r="O346" s="35">
        <f t="shared" si="29"/>
        <v>54975</v>
      </c>
      <c r="P346" s="22" t="s">
        <v>16</v>
      </c>
    </row>
    <row r="347" spans="1:16" s="32" customFormat="1" x14ac:dyDescent="0.35">
      <c r="A347" s="14" t="str">
        <f t="shared" si="30"/>
        <v xml:space="preserve"> 2024 JAN-DEC D75 LICENSE BABY</v>
      </c>
      <c r="B347" s="34">
        <f t="shared" si="30"/>
        <v>46104</v>
      </c>
      <c r="C347" s="34">
        <f t="shared" si="30"/>
        <v>46113</v>
      </c>
      <c r="D347" s="33">
        <v>3284</v>
      </c>
      <c r="E347" s="33">
        <v>338</v>
      </c>
      <c r="F347" s="33">
        <v>4</v>
      </c>
      <c r="G347" s="33">
        <v>8</v>
      </c>
      <c r="H347" s="33">
        <v>81421</v>
      </c>
      <c r="I347" s="33" t="s">
        <v>17</v>
      </c>
      <c r="J347" s="33">
        <v>51710666</v>
      </c>
      <c r="K347" s="33" t="s">
        <v>2378</v>
      </c>
      <c r="L347" s="39" t="s">
        <v>2379</v>
      </c>
      <c r="M347" s="35">
        <v>189900</v>
      </c>
      <c r="N347" s="36">
        <f t="shared" si="31"/>
        <v>0.75</v>
      </c>
      <c r="O347" s="35">
        <f t="shared" si="29"/>
        <v>47475</v>
      </c>
      <c r="P347" s="22" t="s">
        <v>16</v>
      </c>
    </row>
    <row r="348" spans="1:16" s="32" customFormat="1" x14ac:dyDescent="0.35">
      <c r="A348" s="14" t="str">
        <f t="shared" si="30"/>
        <v xml:space="preserve"> 2024 JAN-DEC D75 LICENSE BABY</v>
      </c>
      <c r="B348" s="34">
        <f t="shared" si="30"/>
        <v>46104</v>
      </c>
      <c r="C348" s="34">
        <f t="shared" si="30"/>
        <v>46113</v>
      </c>
      <c r="D348" s="33">
        <v>3284</v>
      </c>
      <c r="E348" s="33">
        <v>338</v>
      </c>
      <c r="F348" s="33">
        <v>4</v>
      </c>
      <c r="G348" s="33">
        <v>8</v>
      </c>
      <c r="H348" s="33">
        <v>81421</v>
      </c>
      <c r="I348" s="33" t="s">
        <v>17</v>
      </c>
      <c r="J348" s="33">
        <v>51710675</v>
      </c>
      <c r="K348" s="33" t="s">
        <v>2378</v>
      </c>
      <c r="L348" s="39" t="s">
        <v>2380</v>
      </c>
      <c r="M348" s="35">
        <v>189900</v>
      </c>
      <c r="N348" s="36">
        <f t="shared" si="31"/>
        <v>0.75</v>
      </c>
      <c r="O348" s="35">
        <f t="shared" si="29"/>
        <v>47475</v>
      </c>
      <c r="P348" s="22" t="s">
        <v>16</v>
      </c>
    </row>
    <row r="349" spans="1:16" s="32" customFormat="1" x14ac:dyDescent="0.35">
      <c r="A349" s="14" t="str">
        <f t="shared" si="30"/>
        <v xml:space="preserve"> 2024 JAN-DEC D75 LICENSE BABY</v>
      </c>
      <c r="B349" s="34">
        <f t="shared" si="30"/>
        <v>46104</v>
      </c>
      <c r="C349" s="34">
        <f t="shared" si="30"/>
        <v>46113</v>
      </c>
      <c r="D349" s="33">
        <v>3284</v>
      </c>
      <c r="E349" s="33">
        <v>338</v>
      </c>
      <c r="F349" s="33">
        <v>4</v>
      </c>
      <c r="G349" s="33">
        <v>8</v>
      </c>
      <c r="H349" s="33">
        <v>81421</v>
      </c>
      <c r="I349" s="33" t="s">
        <v>17</v>
      </c>
      <c r="J349" s="33">
        <v>51710684</v>
      </c>
      <c r="K349" s="33" t="s">
        <v>2378</v>
      </c>
      <c r="L349" s="39" t="s">
        <v>2381</v>
      </c>
      <c r="M349" s="35">
        <v>189900</v>
      </c>
      <c r="N349" s="36">
        <f t="shared" si="31"/>
        <v>0.75</v>
      </c>
      <c r="O349" s="35">
        <f t="shared" si="29"/>
        <v>47475</v>
      </c>
      <c r="P349" s="22" t="s">
        <v>16</v>
      </c>
    </row>
    <row r="350" spans="1:16" s="32" customFormat="1" x14ac:dyDescent="0.35">
      <c r="A350" s="14" t="str">
        <f t="shared" si="30"/>
        <v xml:space="preserve"> 2024 JAN-DEC D75 LICENSE BABY</v>
      </c>
      <c r="B350" s="34">
        <f t="shared" si="30"/>
        <v>46104</v>
      </c>
      <c r="C350" s="34">
        <f t="shared" si="30"/>
        <v>46113</v>
      </c>
      <c r="D350" s="33">
        <v>3284</v>
      </c>
      <c r="E350" s="33">
        <v>338</v>
      </c>
      <c r="F350" s="33">
        <v>4</v>
      </c>
      <c r="G350" s="33">
        <v>8</v>
      </c>
      <c r="H350" s="33">
        <v>81421</v>
      </c>
      <c r="I350" s="33" t="s">
        <v>17</v>
      </c>
      <c r="J350" s="33">
        <v>51710693</v>
      </c>
      <c r="K350" s="33" t="s">
        <v>2378</v>
      </c>
      <c r="L350" s="39" t="s">
        <v>2382</v>
      </c>
      <c r="M350" s="35">
        <v>189900</v>
      </c>
      <c r="N350" s="36">
        <f t="shared" si="31"/>
        <v>0.75</v>
      </c>
      <c r="O350" s="35">
        <f t="shared" si="29"/>
        <v>47475</v>
      </c>
      <c r="P350" s="22" t="s">
        <v>16</v>
      </c>
    </row>
    <row r="351" spans="1:16" s="32" customFormat="1" x14ac:dyDescent="0.35">
      <c r="A351" s="14" t="str">
        <f t="shared" si="30"/>
        <v xml:space="preserve"> 2024 JAN-DEC D75 LICENSE BABY</v>
      </c>
      <c r="B351" s="34">
        <f t="shared" si="30"/>
        <v>46104</v>
      </c>
      <c r="C351" s="34">
        <f t="shared" si="30"/>
        <v>46113</v>
      </c>
      <c r="D351" s="33">
        <v>3284</v>
      </c>
      <c r="E351" s="33">
        <v>338</v>
      </c>
      <c r="F351" s="33">
        <v>4</v>
      </c>
      <c r="G351" s="33">
        <v>8</v>
      </c>
      <c r="H351" s="33">
        <v>81421</v>
      </c>
      <c r="I351" s="33" t="s">
        <v>17</v>
      </c>
      <c r="J351" s="33">
        <v>51710700</v>
      </c>
      <c r="K351" s="33" t="s">
        <v>2378</v>
      </c>
      <c r="L351" s="39" t="s">
        <v>2383</v>
      </c>
      <c r="M351" s="35">
        <v>189900</v>
      </c>
      <c r="N351" s="36">
        <f t="shared" si="31"/>
        <v>0.75</v>
      </c>
      <c r="O351" s="35">
        <f t="shared" si="29"/>
        <v>47475</v>
      </c>
      <c r="P351" s="22" t="s">
        <v>16</v>
      </c>
    </row>
  </sheetData>
  <autoFilter ref="A1:P1" xr:uid="{00000000-0009-0000-0000-000011000000}"/>
  <phoneticPr fontId="8" type="noConversion"/>
  <conditionalFormatting sqref="J1:J1048576">
    <cfRule type="duplicateValues" dxfId="4" priority="1"/>
    <cfRule type="duplicateValues" dxfId="3" priority="2"/>
  </conditionalFormatting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91A1A-9BC1-4D25-B8AF-38EB7D454E51}">
  <sheetPr>
    <tabColor rgb="FFFFFF00"/>
  </sheetPr>
  <dimension ref="A1:P76"/>
  <sheetViews>
    <sheetView topLeftCell="L1" zoomScale="80" zoomScaleNormal="80" workbookViewId="0">
      <pane ySplit="1" topLeftCell="A54" activePane="bottomLeft" state="frozen"/>
      <selection activeCell="M23" sqref="M23"/>
      <selection pane="bottomLeft" activeCell="B2" sqref="B2:C2"/>
    </sheetView>
  </sheetViews>
  <sheetFormatPr defaultColWidth="8.81640625" defaultRowHeight="14.5" x14ac:dyDescent="0.35"/>
  <cols>
    <col min="1" max="1" width="26.54296875" style="32" customWidth="1"/>
    <col min="2" max="2" width="12.08984375" style="37" customWidth="1"/>
    <col min="3" max="3" width="11.1796875" style="37" customWidth="1"/>
    <col min="4" max="4" width="10" style="32" bestFit="1" customWidth="1"/>
    <col min="5" max="5" width="6.453125" style="32" customWidth="1"/>
    <col min="6" max="6" width="8.81640625" style="32" customWidth="1"/>
    <col min="7" max="7" width="6.81640625" style="32" customWidth="1"/>
    <col min="8" max="8" width="9.54296875" style="32" customWidth="1"/>
    <col min="9" max="9" width="13.54296875" style="32" customWidth="1"/>
    <col min="10" max="10" width="9.453125" style="32" bestFit="1" customWidth="1"/>
    <col min="11" max="11" width="12.453125" style="32" bestFit="1" customWidth="1"/>
    <col min="12" max="12" width="66.6328125" style="19" customWidth="1"/>
    <col min="13" max="13" width="17" style="38" customWidth="1"/>
    <col min="14" max="14" width="8.81640625" style="27" customWidth="1"/>
    <col min="15" max="15" width="26.453125" style="38" customWidth="1"/>
    <col min="16" max="16" width="14.54296875" style="32" customWidth="1"/>
    <col min="17" max="16384" width="8.81640625" style="32"/>
  </cols>
  <sheetData>
    <row r="1" spans="1:16" ht="30.75" customHeight="1" x14ac:dyDescent="0.35">
      <c r="A1" s="28" t="s">
        <v>0</v>
      </c>
      <c r="B1" s="29" t="s">
        <v>15</v>
      </c>
      <c r="C1" s="29" t="s">
        <v>11</v>
      </c>
      <c r="D1" s="28" t="s">
        <v>1</v>
      </c>
      <c r="E1" s="28" t="s">
        <v>2</v>
      </c>
      <c r="F1" s="28" t="s">
        <v>12</v>
      </c>
      <c r="G1" s="30" t="s">
        <v>3</v>
      </c>
      <c r="H1" s="30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31" t="s">
        <v>14</v>
      </c>
      <c r="N1" s="26" t="s">
        <v>8</v>
      </c>
      <c r="O1" s="31" t="s">
        <v>9</v>
      </c>
      <c r="P1" s="28" t="s">
        <v>10</v>
      </c>
    </row>
    <row r="2" spans="1:16" x14ac:dyDescent="0.35">
      <c r="A2" s="24" t="s">
        <v>3340</v>
      </c>
      <c r="B2" s="34">
        <v>46104</v>
      </c>
      <c r="C2" s="34">
        <v>46113</v>
      </c>
      <c r="D2" s="33">
        <v>3287</v>
      </c>
      <c r="E2" s="33">
        <v>338</v>
      </c>
      <c r="F2" s="33">
        <v>4</v>
      </c>
      <c r="G2" s="24">
        <v>9</v>
      </c>
      <c r="H2" s="24">
        <v>81679</v>
      </c>
      <c r="I2" s="24" t="s">
        <v>17</v>
      </c>
      <c r="J2" s="23">
        <v>61073916</v>
      </c>
      <c r="K2" s="23" t="s">
        <v>3067</v>
      </c>
      <c r="L2" s="23" t="s">
        <v>3068</v>
      </c>
      <c r="M2" s="25">
        <v>89900</v>
      </c>
      <c r="N2" s="36">
        <v>0.3</v>
      </c>
      <c r="O2" s="35">
        <f>M2-((30*M3)/100)</f>
        <v>62930</v>
      </c>
      <c r="P2" s="33" t="s">
        <v>16</v>
      </c>
    </row>
    <row r="3" spans="1:16" x14ac:dyDescent="0.35">
      <c r="A3" s="24" t="str">
        <f>A2</f>
        <v>2025 OCT B1 DISC 30%</v>
      </c>
      <c r="B3" s="34">
        <f>B2</f>
        <v>46104</v>
      </c>
      <c r="C3" s="34">
        <f>C2</f>
        <v>46113</v>
      </c>
      <c r="D3" s="33">
        <v>3287</v>
      </c>
      <c r="E3" s="33">
        <v>338</v>
      </c>
      <c r="F3" s="33">
        <v>4</v>
      </c>
      <c r="G3" s="24">
        <v>9</v>
      </c>
      <c r="H3" s="24">
        <v>81679</v>
      </c>
      <c r="I3" s="24" t="s">
        <v>17</v>
      </c>
      <c r="J3" s="23">
        <v>61073925</v>
      </c>
      <c r="K3" s="23" t="s">
        <v>3067</v>
      </c>
      <c r="L3" s="23" t="s">
        <v>3071</v>
      </c>
      <c r="M3" s="25">
        <v>89900</v>
      </c>
      <c r="N3" s="36">
        <f>N2</f>
        <v>0.3</v>
      </c>
      <c r="O3" s="35">
        <f t="shared" ref="O3:O66" si="0">M3-((30*M4)/100)</f>
        <v>62930</v>
      </c>
      <c r="P3" s="33" t="str">
        <f>P2</f>
        <v>PERCENTAGE</v>
      </c>
    </row>
    <row r="4" spans="1:16" x14ac:dyDescent="0.35">
      <c r="A4" s="24" t="str">
        <f t="shared" ref="A4:A67" si="1">A3</f>
        <v>2025 OCT B1 DISC 30%</v>
      </c>
      <c r="B4" s="34">
        <f t="shared" ref="B4:B67" si="2">B3</f>
        <v>46104</v>
      </c>
      <c r="C4" s="34">
        <f t="shared" ref="C4:C67" si="3">C3</f>
        <v>46113</v>
      </c>
      <c r="D4" s="33">
        <v>3287</v>
      </c>
      <c r="E4" s="33">
        <v>338</v>
      </c>
      <c r="F4" s="33">
        <v>4</v>
      </c>
      <c r="G4" s="24">
        <v>9</v>
      </c>
      <c r="H4" s="24">
        <v>81679</v>
      </c>
      <c r="I4" s="24" t="s">
        <v>17</v>
      </c>
      <c r="J4" s="23">
        <v>61073934</v>
      </c>
      <c r="K4" s="23" t="s">
        <v>3067</v>
      </c>
      <c r="L4" s="23" t="s">
        <v>3070</v>
      </c>
      <c r="M4" s="25">
        <v>89900</v>
      </c>
      <c r="N4" s="36">
        <f t="shared" ref="N4:N67" si="4">N3</f>
        <v>0.3</v>
      </c>
      <c r="O4" s="35">
        <f t="shared" si="0"/>
        <v>62930</v>
      </c>
      <c r="P4" s="33" t="str">
        <f t="shared" ref="P4:P67" si="5">P3</f>
        <v>PERCENTAGE</v>
      </c>
    </row>
    <row r="5" spans="1:16" x14ac:dyDescent="0.35">
      <c r="A5" s="24" t="str">
        <f t="shared" si="1"/>
        <v>2025 OCT B1 DISC 30%</v>
      </c>
      <c r="B5" s="34">
        <f t="shared" si="2"/>
        <v>46104</v>
      </c>
      <c r="C5" s="34">
        <f t="shared" si="3"/>
        <v>46113</v>
      </c>
      <c r="D5" s="33">
        <v>3287</v>
      </c>
      <c r="E5" s="33">
        <v>338</v>
      </c>
      <c r="F5" s="33">
        <v>4</v>
      </c>
      <c r="G5" s="24">
        <v>9</v>
      </c>
      <c r="H5" s="24">
        <v>81679</v>
      </c>
      <c r="I5" s="24" t="s">
        <v>17</v>
      </c>
      <c r="J5" s="23">
        <v>61073943</v>
      </c>
      <c r="K5" s="23" t="s">
        <v>3067</v>
      </c>
      <c r="L5" s="23" t="s">
        <v>3069</v>
      </c>
      <c r="M5" s="25">
        <v>89900</v>
      </c>
      <c r="N5" s="36">
        <f t="shared" si="4"/>
        <v>0.3</v>
      </c>
      <c r="O5" s="35">
        <f t="shared" si="0"/>
        <v>62930</v>
      </c>
      <c r="P5" s="33" t="str">
        <f t="shared" si="5"/>
        <v>PERCENTAGE</v>
      </c>
    </row>
    <row r="6" spans="1:16" x14ac:dyDescent="0.35">
      <c r="A6" s="24" t="str">
        <f t="shared" si="1"/>
        <v>2025 OCT B1 DISC 30%</v>
      </c>
      <c r="B6" s="34">
        <f t="shared" si="2"/>
        <v>46104</v>
      </c>
      <c r="C6" s="34">
        <f t="shared" si="3"/>
        <v>46113</v>
      </c>
      <c r="D6" s="33">
        <v>3287</v>
      </c>
      <c r="E6" s="33">
        <v>338</v>
      </c>
      <c r="F6" s="33">
        <v>4</v>
      </c>
      <c r="G6" s="24">
        <v>9</v>
      </c>
      <c r="H6" s="24">
        <v>81679</v>
      </c>
      <c r="I6" s="24" t="s">
        <v>17</v>
      </c>
      <c r="J6" s="23">
        <v>61073952</v>
      </c>
      <c r="K6" s="23" t="s">
        <v>3025</v>
      </c>
      <c r="L6" s="23" t="s">
        <v>3028</v>
      </c>
      <c r="M6" s="25">
        <v>89900</v>
      </c>
      <c r="N6" s="36">
        <f t="shared" si="4"/>
        <v>0.3</v>
      </c>
      <c r="O6" s="35">
        <f t="shared" si="0"/>
        <v>62930</v>
      </c>
      <c r="P6" s="33" t="str">
        <f t="shared" si="5"/>
        <v>PERCENTAGE</v>
      </c>
    </row>
    <row r="7" spans="1:16" x14ac:dyDescent="0.35">
      <c r="A7" s="24" t="str">
        <f t="shared" si="1"/>
        <v>2025 OCT B1 DISC 30%</v>
      </c>
      <c r="B7" s="34">
        <f t="shared" si="2"/>
        <v>46104</v>
      </c>
      <c r="C7" s="34">
        <f t="shared" si="3"/>
        <v>46113</v>
      </c>
      <c r="D7" s="33">
        <v>3287</v>
      </c>
      <c r="E7" s="33">
        <v>338</v>
      </c>
      <c r="F7" s="33">
        <v>4</v>
      </c>
      <c r="G7" s="24">
        <v>9</v>
      </c>
      <c r="H7" s="24">
        <v>81679</v>
      </c>
      <c r="I7" s="24" t="s">
        <v>17</v>
      </c>
      <c r="J7" s="23">
        <v>61073961</v>
      </c>
      <c r="K7" s="23" t="s">
        <v>3025</v>
      </c>
      <c r="L7" s="23" t="s">
        <v>3029</v>
      </c>
      <c r="M7" s="25">
        <v>89900</v>
      </c>
      <c r="N7" s="36">
        <f t="shared" si="4"/>
        <v>0.3</v>
      </c>
      <c r="O7" s="35">
        <f t="shared" si="0"/>
        <v>62930</v>
      </c>
      <c r="P7" s="33" t="str">
        <f t="shared" si="5"/>
        <v>PERCENTAGE</v>
      </c>
    </row>
    <row r="8" spans="1:16" x14ac:dyDescent="0.35">
      <c r="A8" s="24" t="str">
        <f t="shared" si="1"/>
        <v>2025 OCT B1 DISC 30%</v>
      </c>
      <c r="B8" s="34">
        <f t="shared" si="2"/>
        <v>46104</v>
      </c>
      <c r="C8" s="34">
        <f t="shared" si="3"/>
        <v>46113</v>
      </c>
      <c r="D8" s="33">
        <v>3287</v>
      </c>
      <c r="E8" s="33">
        <v>338</v>
      </c>
      <c r="F8" s="33">
        <v>4</v>
      </c>
      <c r="G8" s="24">
        <v>9</v>
      </c>
      <c r="H8" s="24">
        <v>81679</v>
      </c>
      <c r="I8" s="24" t="s">
        <v>17</v>
      </c>
      <c r="J8" s="23">
        <v>61073970</v>
      </c>
      <c r="K8" s="23" t="s">
        <v>3025</v>
      </c>
      <c r="L8" s="23" t="s">
        <v>3026</v>
      </c>
      <c r="M8" s="25">
        <v>89900</v>
      </c>
      <c r="N8" s="36">
        <f t="shared" si="4"/>
        <v>0.3</v>
      </c>
      <c r="O8" s="35">
        <f t="shared" si="0"/>
        <v>62930</v>
      </c>
      <c r="P8" s="33" t="str">
        <f t="shared" si="5"/>
        <v>PERCENTAGE</v>
      </c>
    </row>
    <row r="9" spans="1:16" x14ac:dyDescent="0.35">
      <c r="A9" s="24" t="str">
        <f t="shared" si="1"/>
        <v>2025 OCT B1 DISC 30%</v>
      </c>
      <c r="B9" s="34">
        <f t="shared" si="2"/>
        <v>46104</v>
      </c>
      <c r="C9" s="34">
        <f t="shared" si="3"/>
        <v>46113</v>
      </c>
      <c r="D9" s="33">
        <v>3287</v>
      </c>
      <c r="E9" s="33">
        <v>338</v>
      </c>
      <c r="F9" s="33">
        <v>4</v>
      </c>
      <c r="G9" s="24">
        <v>9</v>
      </c>
      <c r="H9" s="24">
        <v>81679</v>
      </c>
      <c r="I9" s="24" t="s">
        <v>17</v>
      </c>
      <c r="J9" s="23">
        <v>61073989</v>
      </c>
      <c r="K9" s="23" t="s">
        <v>3025</v>
      </c>
      <c r="L9" s="23" t="s">
        <v>3027</v>
      </c>
      <c r="M9" s="25">
        <v>89900</v>
      </c>
      <c r="N9" s="36">
        <f t="shared" si="4"/>
        <v>0.3</v>
      </c>
      <c r="O9" s="35">
        <f t="shared" si="0"/>
        <v>80930</v>
      </c>
      <c r="P9" s="33" t="str">
        <f t="shared" si="5"/>
        <v>PERCENTAGE</v>
      </c>
    </row>
    <row r="10" spans="1:16" x14ac:dyDescent="0.35">
      <c r="A10" s="24" t="str">
        <f t="shared" si="1"/>
        <v>2025 OCT B1 DISC 30%</v>
      </c>
      <c r="B10" s="34">
        <f t="shared" si="2"/>
        <v>46104</v>
      </c>
      <c r="C10" s="34">
        <f t="shared" si="3"/>
        <v>46113</v>
      </c>
      <c r="D10" s="33">
        <v>3287</v>
      </c>
      <c r="E10" s="33">
        <v>338</v>
      </c>
      <c r="F10" s="33">
        <v>4</v>
      </c>
      <c r="G10" s="24">
        <v>9</v>
      </c>
      <c r="H10" s="24">
        <v>81827</v>
      </c>
      <c r="I10" s="24" t="s">
        <v>17</v>
      </c>
      <c r="J10" s="23">
        <v>61074102</v>
      </c>
      <c r="K10" s="23" t="s">
        <v>3033</v>
      </c>
      <c r="L10" s="23" t="s">
        <v>3036</v>
      </c>
      <c r="M10" s="25">
        <v>29900</v>
      </c>
      <c r="N10" s="36">
        <f t="shared" si="4"/>
        <v>0.3</v>
      </c>
      <c r="O10" s="35">
        <f t="shared" si="0"/>
        <v>20930</v>
      </c>
      <c r="P10" s="33" t="str">
        <f t="shared" si="5"/>
        <v>PERCENTAGE</v>
      </c>
    </row>
    <row r="11" spans="1:16" x14ac:dyDescent="0.35">
      <c r="A11" s="24" t="str">
        <f t="shared" si="1"/>
        <v>2025 OCT B1 DISC 30%</v>
      </c>
      <c r="B11" s="34">
        <f t="shared" si="2"/>
        <v>46104</v>
      </c>
      <c r="C11" s="34">
        <f t="shared" si="3"/>
        <v>46113</v>
      </c>
      <c r="D11" s="33">
        <v>3287</v>
      </c>
      <c r="E11" s="33">
        <v>338</v>
      </c>
      <c r="F11" s="33">
        <v>4</v>
      </c>
      <c r="G11" s="24">
        <v>9</v>
      </c>
      <c r="H11" s="24">
        <v>81827</v>
      </c>
      <c r="I11" s="24" t="s">
        <v>17</v>
      </c>
      <c r="J11" s="23">
        <v>61074111</v>
      </c>
      <c r="K11" s="23" t="s">
        <v>3033</v>
      </c>
      <c r="L11" s="23" t="s">
        <v>3035</v>
      </c>
      <c r="M11" s="25">
        <v>29900</v>
      </c>
      <c r="N11" s="36">
        <f t="shared" si="4"/>
        <v>0.3</v>
      </c>
      <c r="O11" s="35">
        <f t="shared" si="0"/>
        <v>20930</v>
      </c>
      <c r="P11" s="33" t="str">
        <f t="shared" si="5"/>
        <v>PERCENTAGE</v>
      </c>
    </row>
    <row r="12" spans="1:16" x14ac:dyDescent="0.35">
      <c r="A12" s="24" t="str">
        <f t="shared" si="1"/>
        <v>2025 OCT B1 DISC 30%</v>
      </c>
      <c r="B12" s="34">
        <f t="shared" si="2"/>
        <v>46104</v>
      </c>
      <c r="C12" s="34">
        <f t="shared" si="3"/>
        <v>46113</v>
      </c>
      <c r="D12" s="33">
        <v>3287</v>
      </c>
      <c r="E12" s="33">
        <v>338</v>
      </c>
      <c r="F12" s="33">
        <v>4</v>
      </c>
      <c r="G12" s="24">
        <v>9</v>
      </c>
      <c r="H12" s="24">
        <v>81827</v>
      </c>
      <c r="I12" s="24" t="s">
        <v>17</v>
      </c>
      <c r="J12" s="23">
        <v>61074120</v>
      </c>
      <c r="K12" s="23" t="s">
        <v>3033</v>
      </c>
      <c r="L12" s="23" t="s">
        <v>3034</v>
      </c>
      <c r="M12" s="25">
        <v>29900</v>
      </c>
      <c r="N12" s="36">
        <f t="shared" si="4"/>
        <v>0.3</v>
      </c>
      <c r="O12" s="35">
        <f t="shared" si="0"/>
        <v>20930</v>
      </c>
      <c r="P12" s="33" t="str">
        <f t="shared" si="5"/>
        <v>PERCENTAGE</v>
      </c>
    </row>
    <row r="13" spans="1:16" x14ac:dyDescent="0.35">
      <c r="A13" s="24" t="str">
        <f t="shared" si="1"/>
        <v>2025 OCT B1 DISC 30%</v>
      </c>
      <c r="B13" s="34">
        <f t="shared" si="2"/>
        <v>46104</v>
      </c>
      <c r="C13" s="34">
        <f t="shared" si="3"/>
        <v>46113</v>
      </c>
      <c r="D13" s="33">
        <v>3287</v>
      </c>
      <c r="E13" s="33">
        <v>338</v>
      </c>
      <c r="F13" s="33">
        <v>4</v>
      </c>
      <c r="G13" s="24">
        <v>9</v>
      </c>
      <c r="H13" s="24">
        <v>81827</v>
      </c>
      <c r="I13" s="24" t="s">
        <v>17</v>
      </c>
      <c r="J13" s="23">
        <v>61074077</v>
      </c>
      <c r="K13" s="23" t="s">
        <v>3037</v>
      </c>
      <c r="L13" s="23" t="s">
        <v>3038</v>
      </c>
      <c r="M13" s="25">
        <v>29900</v>
      </c>
      <c r="N13" s="36">
        <f t="shared" si="4"/>
        <v>0.3</v>
      </c>
      <c r="O13" s="35">
        <f t="shared" si="0"/>
        <v>20930</v>
      </c>
      <c r="P13" s="33" t="str">
        <f t="shared" si="5"/>
        <v>PERCENTAGE</v>
      </c>
    </row>
    <row r="14" spans="1:16" x14ac:dyDescent="0.35">
      <c r="A14" s="24" t="str">
        <f t="shared" si="1"/>
        <v>2025 OCT B1 DISC 30%</v>
      </c>
      <c r="B14" s="34">
        <f t="shared" si="2"/>
        <v>46104</v>
      </c>
      <c r="C14" s="34">
        <f t="shared" si="3"/>
        <v>46113</v>
      </c>
      <c r="D14" s="33">
        <v>3287</v>
      </c>
      <c r="E14" s="33">
        <v>338</v>
      </c>
      <c r="F14" s="33">
        <v>4</v>
      </c>
      <c r="G14" s="24">
        <v>10</v>
      </c>
      <c r="H14" s="24">
        <v>81827</v>
      </c>
      <c r="I14" s="24" t="s">
        <v>17</v>
      </c>
      <c r="J14" s="23">
        <v>61074086</v>
      </c>
      <c r="K14" s="23" t="s">
        <v>3037</v>
      </c>
      <c r="L14" s="23" t="s">
        <v>3039</v>
      </c>
      <c r="M14" s="25">
        <v>29900</v>
      </c>
      <c r="N14" s="36">
        <f t="shared" si="4"/>
        <v>0.3</v>
      </c>
      <c r="O14" s="35">
        <f t="shared" si="0"/>
        <v>20930</v>
      </c>
      <c r="P14" s="33" t="str">
        <f t="shared" si="5"/>
        <v>PERCENTAGE</v>
      </c>
    </row>
    <row r="15" spans="1:16" x14ac:dyDescent="0.35">
      <c r="A15" s="24" t="str">
        <f t="shared" si="1"/>
        <v>2025 OCT B1 DISC 30%</v>
      </c>
      <c r="B15" s="34">
        <f t="shared" si="2"/>
        <v>46104</v>
      </c>
      <c r="C15" s="34">
        <f t="shared" si="3"/>
        <v>46113</v>
      </c>
      <c r="D15" s="33">
        <v>3287</v>
      </c>
      <c r="E15" s="33">
        <v>338</v>
      </c>
      <c r="F15" s="33">
        <v>4</v>
      </c>
      <c r="G15" s="24">
        <v>10</v>
      </c>
      <c r="H15" s="24">
        <v>81827</v>
      </c>
      <c r="I15" s="24" t="s">
        <v>17</v>
      </c>
      <c r="J15" s="23">
        <v>61074095</v>
      </c>
      <c r="K15" s="23" t="s">
        <v>3037</v>
      </c>
      <c r="L15" s="23" t="s">
        <v>3040</v>
      </c>
      <c r="M15" s="25">
        <v>29900</v>
      </c>
      <c r="N15" s="36">
        <f t="shared" si="4"/>
        <v>0.3</v>
      </c>
      <c r="O15" s="35">
        <f t="shared" si="0"/>
        <v>-15070</v>
      </c>
      <c r="P15" s="33" t="str">
        <f t="shared" si="5"/>
        <v>PERCENTAGE</v>
      </c>
    </row>
    <row r="16" spans="1:16" x14ac:dyDescent="0.35">
      <c r="A16" s="24" t="str">
        <f t="shared" si="1"/>
        <v>2025 OCT B1 DISC 30%</v>
      </c>
      <c r="B16" s="34">
        <f t="shared" si="2"/>
        <v>46104</v>
      </c>
      <c r="C16" s="34">
        <f t="shared" si="3"/>
        <v>46113</v>
      </c>
      <c r="D16" s="33">
        <v>3287</v>
      </c>
      <c r="E16" s="33">
        <v>338</v>
      </c>
      <c r="F16" s="33">
        <v>4</v>
      </c>
      <c r="G16" s="24">
        <v>10</v>
      </c>
      <c r="H16" s="24">
        <v>4953</v>
      </c>
      <c r="I16" s="24" t="s">
        <v>17</v>
      </c>
      <c r="J16" s="23">
        <v>59123509</v>
      </c>
      <c r="K16" s="23" t="s">
        <v>3049</v>
      </c>
      <c r="L16" s="23" t="s">
        <v>3053</v>
      </c>
      <c r="M16" s="25">
        <v>149900</v>
      </c>
      <c r="N16" s="36">
        <f t="shared" si="4"/>
        <v>0.3</v>
      </c>
      <c r="O16" s="35">
        <f t="shared" si="0"/>
        <v>104930</v>
      </c>
      <c r="P16" s="33" t="str">
        <f t="shared" si="5"/>
        <v>PERCENTAGE</v>
      </c>
    </row>
    <row r="17" spans="1:16" x14ac:dyDescent="0.35">
      <c r="A17" s="24" t="str">
        <f t="shared" si="1"/>
        <v>2025 OCT B1 DISC 30%</v>
      </c>
      <c r="B17" s="34">
        <f t="shared" si="2"/>
        <v>46104</v>
      </c>
      <c r="C17" s="34">
        <f t="shared" si="3"/>
        <v>46113</v>
      </c>
      <c r="D17" s="33">
        <v>3287</v>
      </c>
      <c r="E17" s="33">
        <v>338</v>
      </c>
      <c r="F17" s="33">
        <v>4</v>
      </c>
      <c r="G17" s="24">
        <v>10</v>
      </c>
      <c r="H17" s="24">
        <v>4953</v>
      </c>
      <c r="I17" s="24" t="s">
        <v>17</v>
      </c>
      <c r="J17" s="23">
        <v>59123518</v>
      </c>
      <c r="K17" s="23" t="s">
        <v>3049</v>
      </c>
      <c r="L17" s="23" t="s">
        <v>3055</v>
      </c>
      <c r="M17" s="25">
        <v>149900</v>
      </c>
      <c r="N17" s="36">
        <f t="shared" si="4"/>
        <v>0.3</v>
      </c>
      <c r="O17" s="35">
        <f t="shared" si="0"/>
        <v>104930</v>
      </c>
      <c r="P17" s="33" t="str">
        <f t="shared" si="5"/>
        <v>PERCENTAGE</v>
      </c>
    </row>
    <row r="18" spans="1:16" x14ac:dyDescent="0.35">
      <c r="A18" s="24" t="str">
        <f t="shared" si="1"/>
        <v>2025 OCT B1 DISC 30%</v>
      </c>
      <c r="B18" s="34">
        <f t="shared" si="2"/>
        <v>46104</v>
      </c>
      <c r="C18" s="34">
        <f t="shared" si="3"/>
        <v>46113</v>
      </c>
      <c r="D18" s="33">
        <v>3287</v>
      </c>
      <c r="E18" s="33">
        <v>338</v>
      </c>
      <c r="F18" s="33">
        <v>4</v>
      </c>
      <c r="G18" s="24">
        <v>10</v>
      </c>
      <c r="H18" s="24">
        <v>4953</v>
      </c>
      <c r="I18" s="24" t="s">
        <v>17</v>
      </c>
      <c r="J18" s="23">
        <v>59123527</v>
      </c>
      <c r="K18" s="23" t="s">
        <v>3049</v>
      </c>
      <c r="L18" s="23" t="s">
        <v>3057</v>
      </c>
      <c r="M18" s="25">
        <v>149900</v>
      </c>
      <c r="N18" s="36">
        <f t="shared" si="4"/>
        <v>0.3</v>
      </c>
      <c r="O18" s="35">
        <f t="shared" si="0"/>
        <v>104930</v>
      </c>
      <c r="P18" s="33" t="str">
        <f t="shared" si="5"/>
        <v>PERCENTAGE</v>
      </c>
    </row>
    <row r="19" spans="1:16" x14ac:dyDescent="0.35">
      <c r="A19" s="24" t="str">
        <f t="shared" si="1"/>
        <v>2025 OCT B1 DISC 30%</v>
      </c>
      <c r="B19" s="34">
        <f t="shared" si="2"/>
        <v>46104</v>
      </c>
      <c r="C19" s="34">
        <f t="shared" si="3"/>
        <v>46113</v>
      </c>
      <c r="D19" s="33">
        <v>3287</v>
      </c>
      <c r="E19" s="33">
        <v>338</v>
      </c>
      <c r="F19" s="33">
        <v>4</v>
      </c>
      <c r="G19" s="24">
        <v>10</v>
      </c>
      <c r="H19" s="24">
        <v>4953</v>
      </c>
      <c r="I19" s="24" t="s">
        <v>17</v>
      </c>
      <c r="J19" s="23">
        <v>59123536</v>
      </c>
      <c r="K19" s="23" t="s">
        <v>3049</v>
      </c>
      <c r="L19" s="23" t="s">
        <v>3054</v>
      </c>
      <c r="M19" s="25">
        <v>149900</v>
      </c>
      <c r="N19" s="36">
        <f t="shared" si="4"/>
        <v>0.3</v>
      </c>
      <c r="O19" s="35">
        <f t="shared" si="0"/>
        <v>104930</v>
      </c>
      <c r="P19" s="33" t="str">
        <f t="shared" si="5"/>
        <v>PERCENTAGE</v>
      </c>
    </row>
    <row r="20" spans="1:16" x14ac:dyDescent="0.35">
      <c r="A20" s="24" t="str">
        <f t="shared" si="1"/>
        <v>2025 OCT B1 DISC 30%</v>
      </c>
      <c r="B20" s="34">
        <f t="shared" si="2"/>
        <v>46104</v>
      </c>
      <c r="C20" s="34">
        <f t="shared" si="3"/>
        <v>46113</v>
      </c>
      <c r="D20" s="33">
        <v>3287</v>
      </c>
      <c r="E20" s="33">
        <v>338</v>
      </c>
      <c r="F20" s="33">
        <v>4</v>
      </c>
      <c r="G20" s="24">
        <v>10</v>
      </c>
      <c r="H20" s="24">
        <v>4953</v>
      </c>
      <c r="I20" s="24" t="s">
        <v>17</v>
      </c>
      <c r="J20" s="23">
        <v>59123545</v>
      </c>
      <c r="K20" s="23" t="s">
        <v>3049</v>
      </c>
      <c r="L20" s="23" t="s">
        <v>3056</v>
      </c>
      <c r="M20" s="25">
        <v>149900</v>
      </c>
      <c r="N20" s="36">
        <f t="shared" si="4"/>
        <v>0.3</v>
      </c>
      <c r="O20" s="35">
        <f t="shared" si="0"/>
        <v>104930</v>
      </c>
      <c r="P20" s="33" t="str">
        <f t="shared" si="5"/>
        <v>PERCENTAGE</v>
      </c>
    </row>
    <row r="21" spans="1:16" x14ac:dyDescent="0.35">
      <c r="A21" s="24" t="str">
        <f t="shared" si="1"/>
        <v>2025 OCT B1 DISC 30%</v>
      </c>
      <c r="B21" s="34">
        <f t="shared" si="2"/>
        <v>46104</v>
      </c>
      <c r="C21" s="34">
        <f t="shared" si="3"/>
        <v>46113</v>
      </c>
      <c r="D21" s="33">
        <v>3287</v>
      </c>
      <c r="E21" s="33">
        <v>338</v>
      </c>
      <c r="F21" s="33">
        <v>4</v>
      </c>
      <c r="G21" s="24">
        <v>10</v>
      </c>
      <c r="H21" s="24">
        <v>4953</v>
      </c>
      <c r="I21" s="24" t="s">
        <v>17</v>
      </c>
      <c r="J21" s="23">
        <v>59123554</v>
      </c>
      <c r="K21" s="23" t="s">
        <v>3049</v>
      </c>
      <c r="L21" s="23" t="s">
        <v>3052</v>
      </c>
      <c r="M21" s="25">
        <v>149900</v>
      </c>
      <c r="N21" s="36">
        <f t="shared" si="4"/>
        <v>0.3</v>
      </c>
      <c r="O21" s="35">
        <f t="shared" si="0"/>
        <v>104930</v>
      </c>
      <c r="P21" s="33" t="str">
        <f t="shared" si="5"/>
        <v>PERCENTAGE</v>
      </c>
    </row>
    <row r="22" spans="1:16" x14ac:dyDescent="0.35">
      <c r="A22" s="24" t="str">
        <f t="shared" si="1"/>
        <v>2025 OCT B1 DISC 30%</v>
      </c>
      <c r="B22" s="34">
        <f t="shared" si="2"/>
        <v>46104</v>
      </c>
      <c r="C22" s="34">
        <f t="shared" si="3"/>
        <v>46113</v>
      </c>
      <c r="D22" s="33">
        <v>3287</v>
      </c>
      <c r="E22" s="33">
        <v>338</v>
      </c>
      <c r="F22" s="33">
        <v>4</v>
      </c>
      <c r="G22" s="24">
        <v>10</v>
      </c>
      <c r="H22" s="24">
        <v>4953</v>
      </c>
      <c r="I22" s="24" t="s">
        <v>17</v>
      </c>
      <c r="J22" s="23">
        <v>59123563</v>
      </c>
      <c r="K22" s="23" t="s">
        <v>3049</v>
      </c>
      <c r="L22" s="23" t="s">
        <v>3050</v>
      </c>
      <c r="M22" s="25">
        <v>149900</v>
      </c>
      <c r="N22" s="36">
        <f t="shared" si="4"/>
        <v>0.3</v>
      </c>
      <c r="O22" s="35">
        <f t="shared" si="0"/>
        <v>104930</v>
      </c>
      <c r="P22" s="33" t="str">
        <f t="shared" si="5"/>
        <v>PERCENTAGE</v>
      </c>
    </row>
    <row r="23" spans="1:16" x14ac:dyDescent="0.35">
      <c r="A23" s="24" t="str">
        <f t="shared" si="1"/>
        <v>2025 OCT B1 DISC 30%</v>
      </c>
      <c r="B23" s="34">
        <f t="shared" si="2"/>
        <v>46104</v>
      </c>
      <c r="C23" s="34">
        <f t="shared" si="3"/>
        <v>46113</v>
      </c>
      <c r="D23" s="33">
        <v>3287</v>
      </c>
      <c r="E23" s="33">
        <v>338</v>
      </c>
      <c r="F23" s="33">
        <v>4</v>
      </c>
      <c r="G23" s="24">
        <v>10</v>
      </c>
      <c r="H23" s="24">
        <v>4953</v>
      </c>
      <c r="I23" s="24" t="s">
        <v>17</v>
      </c>
      <c r="J23" s="23">
        <v>59123572</v>
      </c>
      <c r="K23" s="23" t="s">
        <v>3049</v>
      </c>
      <c r="L23" s="23" t="s">
        <v>3051</v>
      </c>
      <c r="M23" s="25">
        <v>149900</v>
      </c>
      <c r="N23" s="36">
        <f t="shared" si="4"/>
        <v>0.3</v>
      </c>
      <c r="O23" s="35">
        <f t="shared" si="0"/>
        <v>110930</v>
      </c>
      <c r="P23" s="33" t="str">
        <f t="shared" si="5"/>
        <v>PERCENTAGE</v>
      </c>
    </row>
    <row r="24" spans="1:16" x14ac:dyDescent="0.35">
      <c r="A24" s="24" t="str">
        <f t="shared" si="1"/>
        <v>2025 OCT B1 DISC 30%</v>
      </c>
      <c r="B24" s="34">
        <f t="shared" si="2"/>
        <v>46104</v>
      </c>
      <c r="C24" s="34">
        <f t="shared" si="3"/>
        <v>46113</v>
      </c>
      <c r="D24" s="33">
        <v>3287</v>
      </c>
      <c r="E24" s="33">
        <v>338</v>
      </c>
      <c r="F24" s="33">
        <v>4</v>
      </c>
      <c r="G24" s="24">
        <v>10</v>
      </c>
      <c r="H24" s="24">
        <v>4953</v>
      </c>
      <c r="I24" s="24" t="s">
        <v>17</v>
      </c>
      <c r="J24" s="23">
        <v>59123661</v>
      </c>
      <c r="K24" s="23" t="s">
        <v>3058</v>
      </c>
      <c r="L24" s="23" t="s">
        <v>3062</v>
      </c>
      <c r="M24" s="25">
        <v>129900</v>
      </c>
      <c r="N24" s="36">
        <f t="shared" si="4"/>
        <v>0.3</v>
      </c>
      <c r="O24" s="35">
        <f t="shared" si="0"/>
        <v>90930</v>
      </c>
      <c r="P24" s="33" t="str">
        <f t="shared" si="5"/>
        <v>PERCENTAGE</v>
      </c>
    </row>
    <row r="25" spans="1:16" x14ac:dyDescent="0.35">
      <c r="A25" s="24" t="str">
        <f t="shared" si="1"/>
        <v>2025 OCT B1 DISC 30%</v>
      </c>
      <c r="B25" s="34">
        <f t="shared" si="2"/>
        <v>46104</v>
      </c>
      <c r="C25" s="34">
        <f t="shared" si="3"/>
        <v>46113</v>
      </c>
      <c r="D25" s="33">
        <v>3287</v>
      </c>
      <c r="E25" s="33">
        <v>338</v>
      </c>
      <c r="F25" s="33">
        <v>4</v>
      </c>
      <c r="G25" s="24">
        <v>10</v>
      </c>
      <c r="H25" s="24">
        <v>4953</v>
      </c>
      <c r="I25" s="24" t="s">
        <v>17</v>
      </c>
      <c r="J25" s="23">
        <v>59123670</v>
      </c>
      <c r="K25" s="23" t="s">
        <v>3058</v>
      </c>
      <c r="L25" s="23" t="s">
        <v>3066</v>
      </c>
      <c r="M25" s="25">
        <v>129900</v>
      </c>
      <c r="N25" s="36">
        <f t="shared" si="4"/>
        <v>0.3</v>
      </c>
      <c r="O25" s="35">
        <f t="shared" si="0"/>
        <v>90930</v>
      </c>
      <c r="P25" s="33" t="str">
        <f t="shared" si="5"/>
        <v>PERCENTAGE</v>
      </c>
    </row>
    <row r="26" spans="1:16" x14ac:dyDescent="0.35">
      <c r="A26" s="24" t="str">
        <f t="shared" si="1"/>
        <v>2025 OCT B1 DISC 30%</v>
      </c>
      <c r="B26" s="34">
        <f t="shared" si="2"/>
        <v>46104</v>
      </c>
      <c r="C26" s="34">
        <f t="shared" si="3"/>
        <v>46113</v>
      </c>
      <c r="D26" s="33">
        <v>3287</v>
      </c>
      <c r="E26" s="33">
        <v>338</v>
      </c>
      <c r="F26" s="33">
        <v>4</v>
      </c>
      <c r="G26" s="24">
        <v>7</v>
      </c>
      <c r="H26" s="24">
        <v>4953</v>
      </c>
      <c r="I26" s="24" t="s">
        <v>17</v>
      </c>
      <c r="J26" s="23">
        <v>59123689</v>
      </c>
      <c r="K26" s="23" t="s">
        <v>3058</v>
      </c>
      <c r="L26" s="23" t="s">
        <v>3064</v>
      </c>
      <c r="M26" s="25">
        <v>129900</v>
      </c>
      <c r="N26" s="36">
        <f t="shared" si="4"/>
        <v>0.3</v>
      </c>
      <c r="O26" s="35">
        <f t="shared" si="0"/>
        <v>90930</v>
      </c>
      <c r="P26" s="33" t="str">
        <f t="shared" si="5"/>
        <v>PERCENTAGE</v>
      </c>
    </row>
    <row r="27" spans="1:16" x14ac:dyDescent="0.35">
      <c r="A27" s="24" t="str">
        <f t="shared" si="1"/>
        <v>2025 OCT B1 DISC 30%</v>
      </c>
      <c r="B27" s="34">
        <f t="shared" si="2"/>
        <v>46104</v>
      </c>
      <c r="C27" s="34">
        <f t="shared" si="3"/>
        <v>46113</v>
      </c>
      <c r="D27" s="33">
        <v>3287</v>
      </c>
      <c r="E27" s="33">
        <v>338</v>
      </c>
      <c r="F27" s="33">
        <v>4</v>
      </c>
      <c r="G27" s="24">
        <v>7</v>
      </c>
      <c r="H27" s="24">
        <v>4953</v>
      </c>
      <c r="I27" s="24" t="s">
        <v>17</v>
      </c>
      <c r="J27" s="23">
        <v>59123698</v>
      </c>
      <c r="K27" s="23" t="s">
        <v>3058</v>
      </c>
      <c r="L27" s="23" t="s">
        <v>3065</v>
      </c>
      <c r="M27" s="25">
        <v>129900</v>
      </c>
      <c r="N27" s="36">
        <f t="shared" si="4"/>
        <v>0.3</v>
      </c>
      <c r="O27" s="35">
        <f t="shared" si="0"/>
        <v>90930</v>
      </c>
      <c r="P27" s="33" t="str">
        <f t="shared" si="5"/>
        <v>PERCENTAGE</v>
      </c>
    </row>
    <row r="28" spans="1:16" x14ac:dyDescent="0.35">
      <c r="A28" s="24" t="str">
        <f t="shared" si="1"/>
        <v>2025 OCT B1 DISC 30%</v>
      </c>
      <c r="B28" s="34">
        <f t="shared" si="2"/>
        <v>46104</v>
      </c>
      <c r="C28" s="34">
        <f t="shared" si="3"/>
        <v>46113</v>
      </c>
      <c r="D28" s="33">
        <v>3287</v>
      </c>
      <c r="E28" s="33">
        <v>338</v>
      </c>
      <c r="F28" s="33">
        <v>4</v>
      </c>
      <c r="G28" s="24">
        <v>10</v>
      </c>
      <c r="H28" s="24">
        <v>4953</v>
      </c>
      <c r="I28" s="24" t="s">
        <v>17</v>
      </c>
      <c r="J28" s="23">
        <v>59123705</v>
      </c>
      <c r="K28" s="23" t="s">
        <v>3058</v>
      </c>
      <c r="L28" s="23" t="s">
        <v>3061</v>
      </c>
      <c r="M28" s="25">
        <v>129900</v>
      </c>
      <c r="N28" s="36">
        <f t="shared" si="4"/>
        <v>0.3</v>
      </c>
      <c r="O28" s="35">
        <f t="shared" si="0"/>
        <v>90930</v>
      </c>
      <c r="P28" s="33" t="str">
        <f t="shared" si="5"/>
        <v>PERCENTAGE</v>
      </c>
    </row>
    <row r="29" spans="1:16" x14ac:dyDescent="0.35">
      <c r="A29" s="24" t="str">
        <f t="shared" si="1"/>
        <v>2025 OCT B1 DISC 30%</v>
      </c>
      <c r="B29" s="34">
        <f t="shared" si="2"/>
        <v>46104</v>
      </c>
      <c r="C29" s="34">
        <f t="shared" si="3"/>
        <v>46113</v>
      </c>
      <c r="D29" s="33">
        <v>3287</v>
      </c>
      <c r="E29" s="33">
        <v>338</v>
      </c>
      <c r="F29" s="33">
        <v>4</v>
      </c>
      <c r="G29" s="24">
        <v>10</v>
      </c>
      <c r="H29" s="24">
        <v>4953</v>
      </c>
      <c r="I29" s="24" t="s">
        <v>17</v>
      </c>
      <c r="J29" s="23">
        <v>59123714</v>
      </c>
      <c r="K29" s="23" t="s">
        <v>3058</v>
      </c>
      <c r="L29" s="23" t="s">
        <v>3059</v>
      </c>
      <c r="M29" s="25">
        <v>129900</v>
      </c>
      <c r="N29" s="36">
        <f t="shared" si="4"/>
        <v>0.3</v>
      </c>
      <c r="O29" s="35">
        <f t="shared" si="0"/>
        <v>90930</v>
      </c>
      <c r="P29" s="33" t="str">
        <f t="shared" si="5"/>
        <v>PERCENTAGE</v>
      </c>
    </row>
    <row r="30" spans="1:16" x14ac:dyDescent="0.35">
      <c r="A30" s="24" t="str">
        <f t="shared" si="1"/>
        <v>2025 OCT B1 DISC 30%</v>
      </c>
      <c r="B30" s="34">
        <f t="shared" si="2"/>
        <v>46104</v>
      </c>
      <c r="C30" s="34">
        <f t="shared" si="3"/>
        <v>46113</v>
      </c>
      <c r="D30" s="33">
        <v>3287</v>
      </c>
      <c r="E30" s="33">
        <v>338</v>
      </c>
      <c r="F30" s="33">
        <v>4</v>
      </c>
      <c r="G30" s="24">
        <v>10</v>
      </c>
      <c r="H30" s="24">
        <v>4953</v>
      </c>
      <c r="I30" s="24" t="s">
        <v>17</v>
      </c>
      <c r="J30" s="23">
        <v>59123723</v>
      </c>
      <c r="K30" s="23" t="s">
        <v>3058</v>
      </c>
      <c r="L30" s="23" t="s">
        <v>3060</v>
      </c>
      <c r="M30" s="25">
        <v>129900</v>
      </c>
      <c r="N30" s="36">
        <f t="shared" si="4"/>
        <v>0.3</v>
      </c>
      <c r="O30" s="35">
        <f t="shared" si="0"/>
        <v>90930</v>
      </c>
      <c r="P30" s="33" t="str">
        <f t="shared" si="5"/>
        <v>PERCENTAGE</v>
      </c>
    </row>
    <row r="31" spans="1:16" x14ac:dyDescent="0.35">
      <c r="A31" s="24" t="str">
        <f t="shared" si="1"/>
        <v>2025 OCT B1 DISC 30%</v>
      </c>
      <c r="B31" s="34">
        <f t="shared" si="2"/>
        <v>46104</v>
      </c>
      <c r="C31" s="34">
        <f t="shared" si="3"/>
        <v>46113</v>
      </c>
      <c r="D31" s="33">
        <v>3287</v>
      </c>
      <c r="E31" s="33">
        <v>338</v>
      </c>
      <c r="F31" s="33">
        <v>4</v>
      </c>
      <c r="G31" s="24">
        <v>10</v>
      </c>
      <c r="H31" s="24">
        <v>4953</v>
      </c>
      <c r="I31" s="24" t="s">
        <v>17</v>
      </c>
      <c r="J31" s="23">
        <v>59123732</v>
      </c>
      <c r="K31" s="23" t="s">
        <v>3058</v>
      </c>
      <c r="L31" s="23" t="s">
        <v>3063</v>
      </c>
      <c r="M31" s="25">
        <v>129900</v>
      </c>
      <c r="N31" s="36">
        <f t="shared" si="4"/>
        <v>0.3</v>
      </c>
      <c r="O31" s="35">
        <f t="shared" si="0"/>
        <v>120930</v>
      </c>
      <c r="P31" s="33" t="str">
        <f t="shared" si="5"/>
        <v>PERCENTAGE</v>
      </c>
    </row>
    <row r="32" spans="1:16" x14ac:dyDescent="0.35">
      <c r="A32" s="24" t="str">
        <f t="shared" si="1"/>
        <v>2025 OCT B1 DISC 30%</v>
      </c>
      <c r="B32" s="34">
        <f t="shared" si="2"/>
        <v>46104</v>
      </c>
      <c r="C32" s="34">
        <f t="shared" si="3"/>
        <v>46113</v>
      </c>
      <c r="D32" s="33">
        <v>3287</v>
      </c>
      <c r="E32" s="33">
        <v>338</v>
      </c>
      <c r="F32" s="33">
        <v>4</v>
      </c>
      <c r="G32" s="24">
        <v>10</v>
      </c>
      <c r="H32" s="24">
        <v>81827</v>
      </c>
      <c r="I32" s="24" t="s">
        <v>17</v>
      </c>
      <c r="J32" s="23">
        <v>61074166</v>
      </c>
      <c r="K32" s="23" t="s">
        <v>3085</v>
      </c>
      <c r="L32" s="23" t="s">
        <v>3087</v>
      </c>
      <c r="M32" s="25">
        <v>29900</v>
      </c>
      <c r="N32" s="36">
        <f t="shared" si="4"/>
        <v>0.3</v>
      </c>
      <c r="O32" s="35">
        <f t="shared" si="0"/>
        <v>20930</v>
      </c>
      <c r="P32" s="33" t="str">
        <f t="shared" si="5"/>
        <v>PERCENTAGE</v>
      </c>
    </row>
    <row r="33" spans="1:16" x14ac:dyDescent="0.35">
      <c r="A33" s="24" t="str">
        <f t="shared" si="1"/>
        <v>2025 OCT B1 DISC 30%</v>
      </c>
      <c r="B33" s="34">
        <f t="shared" si="2"/>
        <v>46104</v>
      </c>
      <c r="C33" s="34">
        <f t="shared" si="3"/>
        <v>46113</v>
      </c>
      <c r="D33" s="33">
        <v>3287</v>
      </c>
      <c r="E33" s="33">
        <v>338</v>
      </c>
      <c r="F33" s="33">
        <v>4</v>
      </c>
      <c r="G33" s="24">
        <v>10</v>
      </c>
      <c r="H33" s="24">
        <v>81827</v>
      </c>
      <c r="I33" s="24" t="s">
        <v>17</v>
      </c>
      <c r="J33" s="23">
        <v>61074175</v>
      </c>
      <c r="K33" s="23" t="s">
        <v>3085</v>
      </c>
      <c r="L33" s="23" t="s">
        <v>3086</v>
      </c>
      <c r="M33" s="25">
        <v>29900</v>
      </c>
      <c r="N33" s="36">
        <f t="shared" si="4"/>
        <v>0.3</v>
      </c>
      <c r="O33" s="35">
        <f t="shared" si="0"/>
        <v>20930</v>
      </c>
      <c r="P33" s="33" t="str">
        <f t="shared" si="5"/>
        <v>PERCENTAGE</v>
      </c>
    </row>
    <row r="34" spans="1:16" x14ac:dyDescent="0.35">
      <c r="A34" s="24" t="str">
        <f t="shared" si="1"/>
        <v>2025 OCT B1 DISC 30%</v>
      </c>
      <c r="B34" s="34">
        <f t="shared" si="2"/>
        <v>46104</v>
      </c>
      <c r="C34" s="34">
        <f t="shared" si="3"/>
        <v>46113</v>
      </c>
      <c r="D34" s="33">
        <v>3287</v>
      </c>
      <c r="E34" s="33">
        <v>338</v>
      </c>
      <c r="F34" s="33">
        <v>4</v>
      </c>
      <c r="G34" s="24">
        <v>2</v>
      </c>
      <c r="H34" s="24">
        <v>81827</v>
      </c>
      <c r="I34" s="24" t="s">
        <v>17</v>
      </c>
      <c r="J34" s="23">
        <v>61074184</v>
      </c>
      <c r="K34" s="23" t="s">
        <v>3085</v>
      </c>
      <c r="L34" s="23" t="s">
        <v>3088</v>
      </c>
      <c r="M34" s="25">
        <v>29900</v>
      </c>
      <c r="N34" s="36">
        <f t="shared" si="4"/>
        <v>0.3</v>
      </c>
      <c r="O34" s="35">
        <f t="shared" si="0"/>
        <v>20930</v>
      </c>
      <c r="P34" s="33" t="str">
        <f t="shared" si="5"/>
        <v>PERCENTAGE</v>
      </c>
    </row>
    <row r="35" spans="1:16" x14ac:dyDescent="0.35">
      <c r="A35" s="24" t="str">
        <f t="shared" si="1"/>
        <v>2025 OCT B1 DISC 30%</v>
      </c>
      <c r="B35" s="34">
        <f t="shared" si="2"/>
        <v>46104</v>
      </c>
      <c r="C35" s="34">
        <f t="shared" si="3"/>
        <v>46113</v>
      </c>
      <c r="D35" s="33">
        <v>3287</v>
      </c>
      <c r="E35" s="33">
        <v>338</v>
      </c>
      <c r="F35" s="33">
        <v>4</v>
      </c>
      <c r="G35" s="24">
        <v>2</v>
      </c>
      <c r="H35" s="24">
        <v>81827</v>
      </c>
      <c r="I35" s="24" t="s">
        <v>17</v>
      </c>
      <c r="J35" s="23">
        <v>61074139</v>
      </c>
      <c r="K35" s="23" t="s">
        <v>3081</v>
      </c>
      <c r="L35" s="23" t="s">
        <v>3083</v>
      </c>
      <c r="M35" s="25">
        <v>29900</v>
      </c>
      <c r="N35" s="36">
        <f t="shared" si="4"/>
        <v>0.3</v>
      </c>
      <c r="O35" s="35">
        <f t="shared" si="0"/>
        <v>20930</v>
      </c>
      <c r="P35" s="33" t="str">
        <f t="shared" si="5"/>
        <v>PERCENTAGE</v>
      </c>
    </row>
    <row r="36" spans="1:16" x14ac:dyDescent="0.35">
      <c r="A36" s="24" t="str">
        <f t="shared" si="1"/>
        <v>2025 OCT B1 DISC 30%</v>
      </c>
      <c r="B36" s="34">
        <f t="shared" si="2"/>
        <v>46104</v>
      </c>
      <c r="C36" s="34">
        <f t="shared" si="3"/>
        <v>46113</v>
      </c>
      <c r="D36" s="33">
        <v>3287</v>
      </c>
      <c r="E36" s="33">
        <v>338</v>
      </c>
      <c r="F36" s="33">
        <v>4</v>
      </c>
      <c r="G36" s="24">
        <v>2</v>
      </c>
      <c r="H36" s="24">
        <v>81827</v>
      </c>
      <c r="I36" s="24" t="s">
        <v>17</v>
      </c>
      <c r="J36" s="23">
        <v>61074148</v>
      </c>
      <c r="K36" s="23" t="s">
        <v>3081</v>
      </c>
      <c r="L36" s="23" t="s">
        <v>3084</v>
      </c>
      <c r="M36" s="25">
        <v>29900</v>
      </c>
      <c r="N36" s="36">
        <f t="shared" si="4"/>
        <v>0.3</v>
      </c>
      <c r="O36" s="35">
        <f t="shared" si="0"/>
        <v>20930</v>
      </c>
      <c r="P36" s="33" t="str">
        <f t="shared" si="5"/>
        <v>PERCENTAGE</v>
      </c>
    </row>
    <row r="37" spans="1:16" x14ac:dyDescent="0.35">
      <c r="A37" s="24" t="str">
        <f t="shared" si="1"/>
        <v>2025 OCT B1 DISC 30%</v>
      </c>
      <c r="B37" s="34">
        <f t="shared" si="2"/>
        <v>46104</v>
      </c>
      <c r="C37" s="34">
        <f t="shared" si="3"/>
        <v>46113</v>
      </c>
      <c r="D37" s="33">
        <v>3287</v>
      </c>
      <c r="E37" s="33">
        <v>338</v>
      </c>
      <c r="F37" s="33">
        <v>4</v>
      </c>
      <c r="G37" s="24">
        <v>2</v>
      </c>
      <c r="H37" s="24">
        <v>81827</v>
      </c>
      <c r="I37" s="24" t="s">
        <v>17</v>
      </c>
      <c r="J37" s="23">
        <v>61074157</v>
      </c>
      <c r="K37" s="23" t="s">
        <v>3081</v>
      </c>
      <c r="L37" s="23" t="s">
        <v>3082</v>
      </c>
      <c r="M37" s="25">
        <v>29900</v>
      </c>
      <c r="N37" s="36">
        <f t="shared" si="4"/>
        <v>0.3</v>
      </c>
      <c r="O37" s="35">
        <f t="shared" si="0"/>
        <v>20930</v>
      </c>
      <c r="P37" s="33" t="str">
        <f t="shared" si="5"/>
        <v>PERCENTAGE</v>
      </c>
    </row>
    <row r="38" spans="1:16" x14ac:dyDescent="0.35">
      <c r="A38" s="24" t="str">
        <f t="shared" si="1"/>
        <v>2025 OCT B1 DISC 30%</v>
      </c>
      <c r="B38" s="34">
        <f t="shared" si="2"/>
        <v>46104</v>
      </c>
      <c r="C38" s="34">
        <f t="shared" si="3"/>
        <v>46113</v>
      </c>
      <c r="D38" s="33">
        <v>3287</v>
      </c>
      <c r="E38" s="33">
        <v>338</v>
      </c>
      <c r="F38" s="33">
        <v>4</v>
      </c>
      <c r="G38" s="24">
        <v>2</v>
      </c>
      <c r="H38" s="24">
        <v>81827</v>
      </c>
      <c r="I38" s="24" t="s">
        <v>17</v>
      </c>
      <c r="J38" s="23">
        <v>61074228</v>
      </c>
      <c r="K38" s="23" t="s">
        <v>3093</v>
      </c>
      <c r="L38" s="23" t="s">
        <v>3095</v>
      </c>
      <c r="M38" s="25">
        <v>29900</v>
      </c>
      <c r="N38" s="36">
        <f t="shared" si="4"/>
        <v>0.3</v>
      </c>
      <c r="O38" s="35">
        <f t="shared" si="0"/>
        <v>20930</v>
      </c>
      <c r="P38" s="33" t="str">
        <f t="shared" si="5"/>
        <v>PERCENTAGE</v>
      </c>
    </row>
    <row r="39" spans="1:16" x14ac:dyDescent="0.35">
      <c r="A39" s="24" t="str">
        <f t="shared" si="1"/>
        <v>2025 OCT B1 DISC 30%</v>
      </c>
      <c r="B39" s="34">
        <f t="shared" si="2"/>
        <v>46104</v>
      </c>
      <c r="C39" s="34">
        <f t="shared" si="3"/>
        <v>46113</v>
      </c>
      <c r="D39" s="33">
        <v>3287</v>
      </c>
      <c r="E39" s="33">
        <v>338</v>
      </c>
      <c r="F39" s="33">
        <v>4</v>
      </c>
      <c r="G39" s="24">
        <v>2</v>
      </c>
      <c r="H39" s="24">
        <v>81827</v>
      </c>
      <c r="I39" s="24" t="s">
        <v>17</v>
      </c>
      <c r="J39" s="23">
        <v>61074237</v>
      </c>
      <c r="K39" s="23" t="s">
        <v>3093</v>
      </c>
      <c r="L39" s="23" t="s">
        <v>3094</v>
      </c>
      <c r="M39" s="25">
        <v>29900</v>
      </c>
      <c r="N39" s="36">
        <f t="shared" si="4"/>
        <v>0.3</v>
      </c>
      <c r="O39" s="35">
        <f t="shared" si="0"/>
        <v>20930</v>
      </c>
      <c r="P39" s="33" t="str">
        <f t="shared" si="5"/>
        <v>PERCENTAGE</v>
      </c>
    </row>
    <row r="40" spans="1:16" x14ac:dyDescent="0.35">
      <c r="A40" s="24" t="str">
        <f t="shared" si="1"/>
        <v>2025 OCT B1 DISC 30%</v>
      </c>
      <c r="B40" s="34">
        <f t="shared" si="2"/>
        <v>46104</v>
      </c>
      <c r="C40" s="34">
        <f t="shared" si="3"/>
        <v>46113</v>
      </c>
      <c r="D40" s="33">
        <v>3287</v>
      </c>
      <c r="E40" s="33">
        <v>338</v>
      </c>
      <c r="F40" s="33">
        <v>4</v>
      </c>
      <c r="G40" s="24">
        <v>2</v>
      </c>
      <c r="H40" s="24">
        <v>81827</v>
      </c>
      <c r="I40" s="24" t="s">
        <v>17</v>
      </c>
      <c r="J40" s="23">
        <v>61074246</v>
      </c>
      <c r="K40" s="23" t="s">
        <v>3093</v>
      </c>
      <c r="L40" s="23" t="s">
        <v>3096</v>
      </c>
      <c r="M40" s="25">
        <v>29900</v>
      </c>
      <c r="N40" s="36">
        <f t="shared" si="4"/>
        <v>0.3</v>
      </c>
      <c r="O40" s="35">
        <f t="shared" si="0"/>
        <v>20930</v>
      </c>
      <c r="P40" s="33" t="str">
        <f t="shared" si="5"/>
        <v>PERCENTAGE</v>
      </c>
    </row>
    <row r="41" spans="1:16" x14ac:dyDescent="0.35">
      <c r="A41" s="24" t="str">
        <f t="shared" si="1"/>
        <v>2025 OCT B1 DISC 30%</v>
      </c>
      <c r="B41" s="34">
        <f t="shared" si="2"/>
        <v>46104</v>
      </c>
      <c r="C41" s="34">
        <f t="shared" si="3"/>
        <v>46113</v>
      </c>
      <c r="D41" s="33">
        <v>3287</v>
      </c>
      <c r="E41" s="33">
        <v>338</v>
      </c>
      <c r="F41" s="33">
        <v>4</v>
      </c>
      <c r="G41" s="24">
        <v>2</v>
      </c>
      <c r="H41" s="24">
        <v>81827</v>
      </c>
      <c r="I41" s="24" t="s">
        <v>17</v>
      </c>
      <c r="J41" s="23">
        <v>61074193</v>
      </c>
      <c r="K41" s="23" t="s">
        <v>3089</v>
      </c>
      <c r="L41" s="23" t="s">
        <v>3090</v>
      </c>
      <c r="M41" s="25">
        <v>29900</v>
      </c>
      <c r="N41" s="36">
        <f t="shared" si="4"/>
        <v>0.3</v>
      </c>
      <c r="O41" s="35">
        <f t="shared" si="0"/>
        <v>20930</v>
      </c>
      <c r="P41" s="33" t="str">
        <f t="shared" si="5"/>
        <v>PERCENTAGE</v>
      </c>
    </row>
    <row r="42" spans="1:16" x14ac:dyDescent="0.35">
      <c r="A42" s="24" t="str">
        <f t="shared" si="1"/>
        <v>2025 OCT B1 DISC 30%</v>
      </c>
      <c r="B42" s="34">
        <f t="shared" si="2"/>
        <v>46104</v>
      </c>
      <c r="C42" s="34">
        <f t="shared" si="3"/>
        <v>46113</v>
      </c>
      <c r="D42" s="33">
        <v>3287</v>
      </c>
      <c r="E42" s="33">
        <v>338</v>
      </c>
      <c r="F42" s="33">
        <v>4</v>
      </c>
      <c r="G42" s="24">
        <v>10</v>
      </c>
      <c r="H42" s="24">
        <v>81827</v>
      </c>
      <c r="I42" s="24" t="s">
        <v>17</v>
      </c>
      <c r="J42" s="23">
        <v>61074200</v>
      </c>
      <c r="K42" s="23" t="s">
        <v>3089</v>
      </c>
      <c r="L42" s="23" t="s">
        <v>3092</v>
      </c>
      <c r="M42" s="25">
        <v>29900</v>
      </c>
      <c r="N42" s="36">
        <f t="shared" si="4"/>
        <v>0.3</v>
      </c>
      <c r="O42" s="35">
        <f t="shared" si="0"/>
        <v>20930</v>
      </c>
      <c r="P42" s="33" t="str">
        <f t="shared" si="5"/>
        <v>PERCENTAGE</v>
      </c>
    </row>
    <row r="43" spans="1:16" x14ac:dyDescent="0.35">
      <c r="A43" s="24" t="str">
        <f t="shared" si="1"/>
        <v>2025 OCT B1 DISC 30%</v>
      </c>
      <c r="B43" s="34">
        <f t="shared" si="2"/>
        <v>46104</v>
      </c>
      <c r="C43" s="34">
        <f t="shared" si="3"/>
        <v>46113</v>
      </c>
      <c r="D43" s="33">
        <v>3287</v>
      </c>
      <c r="E43" s="33">
        <v>338</v>
      </c>
      <c r="F43" s="33">
        <v>4</v>
      </c>
      <c r="G43" s="24">
        <v>10</v>
      </c>
      <c r="H43" s="24">
        <v>81827</v>
      </c>
      <c r="I43" s="24" t="s">
        <v>17</v>
      </c>
      <c r="J43" s="23">
        <v>61074219</v>
      </c>
      <c r="K43" s="23" t="s">
        <v>3089</v>
      </c>
      <c r="L43" s="23" t="s">
        <v>3091</v>
      </c>
      <c r="M43" s="25">
        <v>29900</v>
      </c>
      <c r="N43" s="36">
        <f t="shared" si="4"/>
        <v>0.3</v>
      </c>
      <c r="O43" s="35">
        <f t="shared" si="0"/>
        <v>20930</v>
      </c>
      <c r="P43" s="33" t="str">
        <f t="shared" si="5"/>
        <v>PERCENTAGE</v>
      </c>
    </row>
    <row r="44" spans="1:16" x14ac:dyDescent="0.35">
      <c r="A44" s="24" t="str">
        <f t="shared" si="1"/>
        <v>2025 OCT B1 DISC 30%</v>
      </c>
      <c r="B44" s="34">
        <f t="shared" si="2"/>
        <v>46104</v>
      </c>
      <c r="C44" s="34">
        <f t="shared" si="3"/>
        <v>46113</v>
      </c>
      <c r="D44" s="33">
        <v>3287</v>
      </c>
      <c r="E44" s="33">
        <v>338</v>
      </c>
      <c r="F44" s="33">
        <v>4</v>
      </c>
      <c r="G44" s="24">
        <v>10</v>
      </c>
      <c r="H44" s="24">
        <v>81827</v>
      </c>
      <c r="I44" s="24" t="s">
        <v>17</v>
      </c>
      <c r="J44" s="23">
        <v>61315600</v>
      </c>
      <c r="K44" s="23" t="s">
        <v>3030</v>
      </c>
      <c r="L44" s="23" t="s">
        <v>3031</v>
      </c>
      <c r="M44" s="25">
        <v>29900</v>
      </c>
      <c r="N44" s="36">
        <f t="shared" si="4"/>
        <v>0.3</v>
      </c>
      <c r="O44" s="35">
        <f t="shared" si="0"/>
        <v>20930</v>
      </c>
      <c r="P44" s="33" t="str">
        <f t="shared" si="5"/>
        <v>PERCENTAGE</v>
      </c>
    </row>
    <row r="45" spans="1:16" x14ac:dyDescent="0.35">
      <c r="A45" s="24" t="str">
        <f t="shared" si="1"/>
        <v>2025 OCT B1 DISC 30%</v>
      </c>
      <c r="B45" s="34">
        <f t="shared" si="2"/>
        <v>46104</v>
      </c>
      <c r="C45" s="34">
        <f t="shared" si="3"/>
        <v>46113</v>
      </c>
      <c r="D45" s="33">
        <v>3287</v>
      </c>
      <c r="E45" s="33">
        <v>338</v>
      </c>
      <c r="F45" s="33">
        <v>4</v>
      </c>
      <c r="G45" s="24">
        <v>10</v>
      </c>
      <c r="H45" s="24">
        <v>81827</v>
      </c>
      <c r="I45" s="24" t="s">
        <v>17</v>
      </c>
      <c r="J45" s="23">
        <v>61315619</v>
      </c>
      <c r="K45" s="23" t="s">
        <v>3030</v>
      </c>
      <c r="L45" s="23" t="s">
        <v>3032</v>
      </c>
      <c r="M45" s="25">
        <v>29900</v>
      </c>
      <c r="N45" s="36">
        <f t="shared" si="4"/>
        <v>0.3</v>
      </c>
      <c r="O45" s="35">
        <f t="shared" si="0"/>
        <v>20930</v>
      </c>
      <c r="P45" s="33" t="str">
        <f t="shared" si="5"/>
        <v>PERCENTAGE</v>
      </c>
    </row>
    <row r="46" spans="1:16" x14ac:dyDescent="0.35">
      <c r="A46" s="24" t="str">
        <f t="shared" si="1"/>
        <v>2025 OCT B1 DISC 30%</v>
      </c>
      <c r="B46" s="34">
        <f t="shared" si="2"/>
        <v>46104</v>
      </c>
      <c r="C46" s="34">
        <f t="shared" si="3"/>
        <v>46113</v>
      </c>
      <c r="D46" s="33">
        <v>3287</v>
      </c>
      <c r="E46" s="33">
        <v>338</v>
      </c>
      <c r="F46" s="33">
        <v>4</v>
      </c>
      <c r="G46" s="24">
        <v>10</v>
      </c>
      <c r="H46" s="24">
        <v>81533</v>
      </c>
      <c r="I46" s="24" t="s">
        <v>17</v>
      </c>
      <c r="J46" s="23">
        <v>61074255</v>
      </c>
      <c r="K46" s="23" t="s">
        <v>3041</v>
      </c>
      <c r="L46" s="23" t="s">
        <v>3043</v>
      </c>
      <c r="M46" s="25">
        <v>29900</v>
      </c>
      <c r="N46" s="36">
        <f t="shared" si="4"/>
        <v>0.3</v>
      </c>
      <c r="O46" s="35">
        <f t="shared" si="0"/>
        <v>20930</v>
      </c>
      <c r="P46" s="33" t="str">
        <f t="shared" si="5"/>
        <v>PERCENTAGE</v>
      </c>
    </row>
    <row r="47" spans="1:16" x14ac:dyDescent="0.35">
      <c r="A47" s="24" t="str">
        <f t="shared" si="1"/>
        <v>2025 OCT B1 DISC 30%</v>
      </c>
      <c r="B47" s="34">
        <f t="shared" si="2"/>
        <v>46104</v>
      </c>
      <c r="C47" s="34">
        <f t="shared" si="3"/>
        <v>46113</v>
      </c>
      <c r="D47" s="33">
        <v>3287</v>
      </c>
      <c r="E47" s="33">
        <v>338</v>
      </c>
      <c r="F47" s="33">
        <v>4</v>
      </c>
      <c r="G47" s="24">
        <v>10</v>
      </c>
      <c r="H47" s="24">
        <v>81533</v>
      </c>
      <c r="I47" s="24" t="s">
        <v>17</v>
      </c>
      <c r="J47" s="23">
        <v>61074264</v>
      </c>
      <c r="K47" s="23" t="s">
        <v>3041</v>
      </c>
      <c r="L47" s="23" t="s">
        <v>3042</v>
      </c>
      <c r="M47" s="25">
        <v>29900</v>
      </c>
      <c r="N47" s="36">
        <f t="shared" si="4"/>
        <v>0.3</v>
      </c>
      <c r="O47" s="35">
        <f t="shared" si="0"/>
        <v>20930</v>
      </c>
      <c r="P47" s="33" t="str">
        <f t="shared" si="5"/>
        <v>PERCENTAGE</v>
      </c>
    </row>
    <row r="48" spans="1:16" x14ac:dyDescent="0.35">
      <c r="A48" s="24" t="str">
        <f t="shared" si="1"/>
        <v>2025 OCT B1 DISC 30%</v>
      </c>
      <c r="B48" s="34">
        <f t="shared" si="2"/>
        <v>46104</v>
      </c>
      <c r="C48" s="34">
        <f t="shared" si="3"/>
        <v>46113</v>
      </c>
      <c r="D48" s="33">
        <v>3287</v>
      </c>
      <c r="E48" s="33">
        <v>338</v>
      </c>
      <c r="F48" s="33">
        <v>4</v>
      </c>
      <c r="G48" s="24">
        <v>10</v>
      </c>
      <c r="H48" s="24">
        <v>81533</v>
      </c>
      <c r="I48" s="24" t="s">
        <v>17</v>
      </c>
      <c r="J48" s="23">
        <v>61074273</v>
      </c>
      <c r="K48" s="23" t="s">
        <v>3041</v>
      </c>
      <c r="L48" s="23" t="s">
        <v>3044</v>
      </c>
      <c r="M48" s="25">
        <v>29900</v>
      </c>
      <c r="N48" s="36">
        <f t="shared" si="4"/>
        <v>0.3</v>
      </c>
      <c r="O48" s="35">
        <f t="shared" si="0"/>
        <v>20930</v>
      </c>
      <c r="P48" s="33" t="str">
        <f t="shared" si="5"/>
        <v>PERCENTAGE</v>
      </c>
    </row>
    <row r="49" spans="1:16" x14ac:dyDescent="0.35">
      <c r="A49" s="24" t="str">
        <f t="shared" si="1"/>
        <v>2025 OCT B1 DISC 30%</v>
      </c>
      <c r="B49" s="34">
        <f t="shared" si="2"/>
        <v>46104</v>
      </c>
      <c r="C49" s="34">
        <f t="shared" si="3"/>
        <v>46113</v>
      </c>
      <c r="D49" s="33">
        <v>3287</v>
      </c>
      <c r="E49" s="33">
        <v>338</v>
      </c>
      <c r="F49" s="33">
        <v>4</v>
      </c>
      <c r="G49" s="24">
        <v>10</v>
      </c>
      <c r="H49" s="24">
        <v>81533</v>
      </c>
      <c r="I49" s="24" t="s">
        <v>17</v>
      </c>
      <c r="J49" s="23">
        <v>61074282</v>
      </c>
      <c r="K49" s="23" t="s">
        <v>3045</v>
      </c>
      <c r="L49" s="23" t="s">
        <v>3046</v>
      </c>
      <c r="M49" s="25">
        <v>29900</v>
      </c>
      <c r="N49" s="36">
        <f t="shared" si="4"/>
        <v>0.3</v>
      </c>
      <c r="O49" s="35">
        <f t="shared" si="0"/>
        <v>20930</v>
      </c>
      <c r="P49" s="33" t="str">
        <f t="shared" si="5"/>
        <v>PERCENTAGE</v>
      </c>
    </row>
    <row r="50" spans="1:16" x14ac:dyDescent="0.35">
      <c r="A50" s="24" t="str">
        <f t="shared" si="1"/>
        <v>2025 OCT B1 DISC 30%</v>
      </c>
      <c r="B50" s="34">
        <f t="shared" si="2"/>
        <v>46104</v>
      </c>
      <c r="C50" s="34">
        <f t="shared" si="3"/>
        <v>46113</v>
      </c>
      <c r="D50" s="33">
        <v>3287</v>
      </c>
      <c r="E50" s="33">
        <v>338</v>
      </c>
      <c r="F50" s="33">
        <v>4</v>
      </c>
      <c r="G50" s="24">
        <v>10</v>
      </c>
      <c r="H50" s="24">
        <v>81533</v>
      </c>
      <c r="I50" s="24" t="s">
        <v>17</v>
      </c>
      <c r="J50" s="23">
        <v>61074291</v>
      </c>
      <c r="K50" s="23" t="s">
        <v>3045</v>
      </c>
      <c r="L50" s="23" t="s">
        <v>3048</v>
      </c>
      <c r="M50" s="25">
        <v>29900</v>
      </c>
      <c r="N50" s="36">
        <f t="shared" si="4"/>
        <v>0.3</v>
      </c>
      <c r="O50" s="35">
        <f t="shared" si="0"/>
        <v>20930</v>
      </c>
      <c r="P50" s="33" t="str">
        <f t="shared" si="5"/>
        <v>PERCENTAGE</v>
      </c>
    </row>
    <row r="51" spans="1:16" x14ac:dyDescent="0.35">
      <c r="A51" s="24" t="str">
        <f t="shared" si="1"/>
        <v>2025 OCT B1 DISC 30%</v>
      </c>
      <c r="B51" s="34">
        <f t="shared" si="2"/>
        <v>46104</v>
      </c>
      <c r="C51" s="34">
        <f t="shared" si="3"/>
        <v>46113</v>
      </c>
      <c r="D51" s="33">
        <v>3287</v>
      </c>
      <c r="E51" s="33">
        <v>338</v>
      </c>
      <c r="F51" s="33">
        <v>4</v>
      </c>
      <c r="G51" s="24">
        <v>2</v>
      </c>
      <c r="H51" s="24">
        <v>81533</v>
      </c>
      <c r="I51" s="24" t="s">
        <v>17</v>
      </c>
      <c r="J51" s="23">
        <v>61074308</v>
      </c>
      <c r="K51" s="23" t="s">
        <v>3045</v>
      </c>
      <c r="L51" s="23" t="s">
        <v>3047</v>
      </c>
      <c r="M51" s="25">
        <v>29900</v>
      </c>
      <c r="N51" s="36">
        <f t="shared" si="4"/>
        <v>0.3</v>
      </c>
      <c r="O51" s="35">
        <f t="shared" si="0"/>
        <v>-15070</v>
      </c>
      <c r="P51" s="33" t="str">
        <f t="shared" si="5"/>
        <v>PERCENTAGE</v>
      </c>
    </row>
    <row r="52" spans="1:16" x14ac:dyDescent="0.35">
      <c r="A52" s="24" t="str">
        <f t="shared" si="1"/>
        <v>2025 OCT B1 DISC 30%</v>
      </c>
      <c r="B52" s="34">
        <f t="shared" si="2"/>
        <v>46104</v>
      </c>
      <c r="C52" s="34">
        <f t="shared" si="3"/>
        <v>46113</v>
      </c>
      <c r="D52" s="33">
        <v>3287</v>
      </c>
      <c r="E52" s="33">
        <v>338</v>
      </c>
      <c r="F52" s="33">
        <v>4</v>
      </c>
      <c r="G52" s="24">
        <v>2</v>
      </c>
      <c r="H52" s="24">
        <v>81679</v>
      </c>
      <c r="I52" s="24" t="s">
        <v>17</v>
      </c>
      <c r="J52" s="23">
        <v>61315628</v>
      </c>
      <c r="K52" s="23" t="s">
        <v>3072</v>
      </c>
      <c r="L52" s="23" t="s">
        <v>3075</v>
      </c>
      <c r="M52" s="25">
        <v>149900</v>
      </c>
      <c r="N52" s="36">
        <f t="shared" si="4"/>
        <v>0.3</v>
      </c>
      <c r="O52" s="35">
        <f t="shared" si="0"/>
        <v>104930</v>
      </c>
      <c r="P52" s="33" t="str">
        <f t="shared" si="5"/>
        <v>PERCENTAGE</v>
      </c>
    </row>
    <row r="53" spans="1:16" x14ac:dyDescent="0.35">
      <c r="A53" s="24" t="str">
        <f t="shared" si="1"/>
        <v>2025 OCT B1 DISC 30%</v>
      </c>
      <c r="B53" s="34">
        <f t="shared" si="2"/>
        <v>46104</v>
      </c>
      <c r="C53" s="34">
        <f t="shared" si="3"/>
        <v>46113</v>
      </c>
      <c r="D53" s="33">
        <v>3287</v>
      </c>
      <c r="E53" s="33">
        <v>338</v>
      </c>
      <c r="F53" s="33">
        <v>4</v>
      </c>
      <c r="G53" s="24">
        <v>2</v>
      </c>
      <c r="H53" s="24">
        <v>81679</v>
      </c>
      <c r="I53" s="24" t="s">
        <v>17</v>
      </c>
      <c r="J53" s="23">
        <v>61315637</v>
      </c>
      <c r="K53" s="23" t="s">
        <v>3072</v>
      </c>
      <c r="L53" s="23" t="s">
        <v>3074</v>
      </c>
      <c r="M53" s="25">
        <v>149900</v>
      </c>
      <c r="N53" s="36">
        <f t="shared" si="4"/>
        <v>0.3</v>
      </c>
      <c r="O53" s="35">
        <f t="shared" si="0"/>
        <v>104930</v>
      </c>
      <c r="P53" s="33" t="str">
        <f t="shared" si="5"/>
        <v>PERCENTAGE</v>
      </c>
    </row>
    <row r="54" spans="1:16" x14ac:dyDescent="0.35">
      <c r="A54" s="24" t="str">
        <f t="shared" si="1"/>
        <v>2025 OCT B1 DISC 30%</v>
      </c>
      <c r="B54" s="34">
        <f t="shared" si="2"/>
        <v>46104</v>
      </c>
      <c r="C54" s="34">
        <f t="shared" si="3"/>
        <v>46113</v>
      </c>
      <c r="D54" s="33">
        <v>3287</v>
      </c>
      <c r="E54" s="33">
        <v>338</v>
      </c>
      <c r="F54" s="33">
        <v>4</v>
      </c>
      <c r="G54" s="24">
        <v>2</v>
      </c>
      <c r="H54" s="24">
        <v>81679</v>
      </c>
      <c r="I54" s="24" t="s">
        <v>17</v>
      </c>
      <c r="J54" s="23">
        <v>61315646</v>
      </c>
      <c r="K54" s="23" t="s">
        <v>3072</v>
      </c>
      <c r="L54" s="23" t="s">
        <v>3080</v>
      </c>
      <c r="M54" s="25">
        <v>149900</v>
      </c>
      <c r="N54" s="36">
        <f t="shared" si="4"/>
        <v>0.3</v>
      </c>
      <c r="O54" s="35">
        <f t="shared" si="0"/>
        <v>104930</v>
      </c>
      <c r="P54" s="33" t="str">
        <f t="shared" si="5"/>
        <v>PERCENTAGE</v>
      </c>
    </row>
    <row r="55" spans="1:16" x14ac:dyDescent="0.35">
      <c r="A55" s="24" t="str">
        <f t="shared" si="1"/>
        <v>2025 OCT B1 DISC 30%</v>
      </c>
      <c r="B55" s="34">
        <f t="shared" si="2"/>
        <v>46104</v>
      </c>
      <c r="C55" s="34">
        <f t="shared" si="3"/>
        <v>46113</v>
      </c>
      <c r="D55" s="33">
        <v>3287</v>
      </c>
      <c r="E55" s="33">
        <v>338</v>
      </c>
      <c r="F55" s="33">
        <v>4</v>
      </c>
      <c r="G55" s="24">
        <v>2</v>
      </c>
      <c r="H55" s="24">
        <v>81679</v>
      </c>
      <c r="I55" s="24" t="s">
        <v>17</v>
      </c>
      <c r="J55" s="23">
        <v>61315655</v>
      </c>
      <c r="K55" s="23" t="s">
        <v>3072</v>
      </c>
      <c r="L55" s="23" t="s">
        <v>3078</v>
      </c>
      <c r="M55" s="25">
        <v>149900</v>
      </c>
      <c r="N55" s="36">
        <f t="shared" si="4"/>
        <v>0.3</v>
      </c>
      <c r="O55" s="35">
        <f t="shared" si="0"/>
        <v>104930</v>
      </c>
      <c r="P55" s="33" t="str">
        <f t="shared" si="5"/>
        <v>PERCENTAGE</v>
      </c>
    </row>
    <row r="56" spans="1:16" x14ac:dyDescent="0.35">
      <c r="A56" s="24" t="str">
        <f t="shared" si="1"/>
        <v>2025 OCT B1 DISC 30%</v>
      </c>
      <c r="B56" s="34">
        <f t="shared" si="2"/>
        <v>46104</v>
      </c>
      <c r="C56" s="34">
        <f t="shared" si="3"/>
        <v>46113</v>
      </c>
      <c r="D56" s="33">
        <v>3287</v>
      </c>
      <c r="E56" s="33">
        <v>338</v>
      </c>
      <c r="F56" s="33">
        <v>4</v>
      </c>
      <c r="G56" s="24">
        <v>2</v>
      </c>
      <c r="H56" s="24">
        <v>81679</v>
      </c>
      <c r="I56" s="24" t="s">
        <v>17</v>
      </c>
      <c r="J56" s="23">
        <v>61315664</v>
      </c>
      <c r="K56" s="23" t="s">
        <v>3072</v>
      </c>
      <c r="L56" s="23" t="s">
        <v>3077</v>
      </c>
      <c r="M56" s="25">
        <v>149900</v>
      </c>
      <c r="N56" s="36">
        <f t="shared" si="4"/>
        <v>0.3</v>
      </c>
      <c r="O56" s="35">
        <f t="shared" si="0"/>
        <v>104930</v>
      </c>
      <c r="P56" s="33" t="str">
        <f t="shared" si="5"/>
        <v>PERCENTAGE</v>
      </c>
    </row>
    <row r="57" spans="1:16" x14ac:dyDescent="0.35">
      <c r="A57" s="24" t="str">
        <f t="shared" si="1"/>
        <v>2025 OCT B1 DISC 30%</v>
      </c>
      <c r="B57" s="34">
        <f t="shared" si="2"/>
        <v>46104</v>
      </c>
      <c r="C57" s="34">
        <f t="shared" si="3"/>
        <v>46113</v>
      </c>
      <c r="D57" s="33">
        <v>3287</v>
      </c>
      <c r="E57" s="33">
        <v>338</v>
      </c>
      <c r="F57" s="33">
        <v>4</v>
      </c>
      <c r="G57" s="24">
        <v>2</v>
      </c>
      <c r="H57" s="24">
        <v>81679</v>
      </c>
      <c r="I57" s="24" t="s">
        <v>17</v>
      </c>
      <c r="J57" s="23">
        <v>61315673</v>
      </c>
      <c r="K57" s="23" t="s">
        <v>3072</v>
      </c>
      <c r="L57" s="23" t="s">
        <v>3073</v>
      </c>
      <c r="M57" s="25">
        <v>149900</v>
      </c>
      <c r="N57" s="36">
        <f t="shared" si="4"/>
        <v>0.3</v>
      </c>
      <c r="O57" s="35">
        <f t="shared" si="0"/>
        <v>104930</v>
      </c>
      <c r="P57" s="33" t="str">
        <f t="shared" si="5"/>
        <v>PERCENTAGE</v>
      </c>
    </row>
    <row r="58" spans="1:16" x14ac:dyDescent="0.35">
      <c r="A58" s="24" t="str">
        <f t="shared" si="1"/>
        <v>2025 OCT B1 DISC 30%</v>
      </c>
      <c r="B58" s="34">
        <f t="shared" si="2"/>
        <v>46104</v>
      </c>
      <c r="C58" s="34">
        <f t="shared" si="3"/>
        <v>46113</v>
      </c>
      <c r="D58" s="33">
        <v>3287</v>
      </c>
      <c r="E58" s="33">
        <v>338</v>
      </c>
      <c r="F58" s="33">
        <v>4</v>
      </c>
      <c r="G58" s="24">
        <v>2</v>
      </c>
      <c r="H58" s="24">
        <v>81679</v>
      </c>
      <c r="I58" s="24" t="s">
        <v>17</v>
      </c>
      <c r="J58" s="23">
        <v>61315682</v>
      </c>
      <c r="K58" s="23" t="s">
        <v>3072</v>
      </c>
      <c r="L58" s="23" t="s">
        <v>3079</v>
      </c>
      <c r="M58" s="25">
        <v>149900</v>
      </c>
      <c r="N58" s="36">
        <f t="shared" si="4"/>
        <v>0.3</v>
      </c>
      <c r="O58" s="35">
        <f t="shared" si="0"/>
        <v>104930</v>
      </c>
      <c r="P58" s="33" t="str">
        <f t="shared" si="5"/>
        <v>PERCENTAGE</v>
      </c>
    </row>
    <row r="59" spans="1:16" x14ac:dyDescent="0.35">
      <c r="A59" s="24" t="str">
        <f t="shared" si="1"/>
        <v>2025 OCT B1 DISC 30%</v>
      </c>
      <c r="B59" s="34">
        <f t="shared" si="2"/>
        <v>46104</v>
      </c>
      <c r="C59" s="34">
        <f t="shared" si="3"/>
        <v>46113</v>
      </c>
      <c r="D59" s="33">
        <v>3287</v>
      </c>
      <c r="E59" s="33">
        <v>338</v>
      </c>
      <c r="F59" s="33">
        <v>4</v>
      </c>
      <c r="G59" s="24">
        <v>7</v>
      </c>
      <c r="H59" s="24">
        <v>81679</v>
      </c>
      <c r="I59" s="24" t="s">
        <v>17</v>
      </c>
      <c r="J59" s="23">
        <v>61315691</v>
      </c>
      <c r="K59" s="23" t="s">
        <v>3072</v>
      </c>
      <c r="L59" s="23" t="s">
        <v>3076</v>
      </c>
      <c r="M59" s="25">
        <v>149900</v>
      </c>
      <c r="N59" s="36">
        <f t="shared" si="4"/>
        <v>0.3</v>
      </c>
      <c r="O59" s="35">
        <f t="shared" si="0"/>
        <v>140930</v>
      </c>
      <c r="P59" s="33" t="str">
        <f t="shared" si="5"/>
        <v>PERCENTAGE</v>
      </c>
    </row>
    <row r="60" spans="1:16" x14ac:dyDescent="0.35">
      <c r="A60" s="24" t="str">
        <f t="shared" si="1"/>
        <v>2025 OCT B1 DISC 30%</v>
      </c>
      <c r="B60" s="34">
        <f t="shared" si="2"/>
        <v>46104</v>
      </c>
      <c r="C60" s="34">
        <f t="shared" si="3"/>
        <v>46113</v>
      </c>
      <c r="D60" s="33">
        <v>3287</v>
      </c>
      <c r="E60" s="33">
        <v>338</v>
      </c>
      <c r="F60" s="33">
        <v>4</v>
      </c>
      <c r="G60" s="24">
        <v>7</v>
      </c>
      <c r="H60" s="24">
        <v>81533</v>
      </c>
      <c r="I60" s="24" t="s">
        <v>17</v>
      </c>
      <c r="J60" s="23">
        <v>61074317</v>
      </c>
      <c r="K60" s="23" t="s">
        <v>3097</v>
      </c>
      <c r="L60" s="23" t="s">
        <v>3098</v>
      </c>
      <c r="M60" s="25">
        <v>29900</v>
      </c>
      <c r="N60" s="36">
        <f t="shared" si="4"/>
        <v>0.3</v>
      </c>
      <c r="O60" s="35">
        <f t="shared" si="0"/>
        <v>20930</v>
      </c>
      <c r="P60" s="33" t="str">
        <f t="shared" si="5"/>
        <v>PERCENTAGE</v>
      </c>
    </row>
    <row r="61" spans="1:16" x14ac:dyDescent="0.35">
      <c r="A61" s="24" t="str">
        <f t="shared" si="1"/>
        <v>2025 OCT B1 DISC 30%</v>
      </c>
      <c r="B61" s="34">
        <f t="shared" si="2"/>
        <v>46104</v>
      </c>
      <c r="C61" s="34">
        <f t="shared" si="3"/>
        <v>46113</v>
      </c>
      <c r="D61" s="33">
        <v>3287</v>
      </c>
      <c r="E61" s="33">
        <v>338</v>
      </c>
      <c r="F61" s="33">
        <v>4</v>
      </c>
      <c r="G61" s="24">
        <v>7</v>
      </c>
      <c r="H61" s="24">
        <v>81533</v>
      </c>
      <c r="I61" s="24" t="s">
        <v>17</v>
      </c>
      <c r="J61" s="23">
        <v>61074326</v>
      </c>
      <c r="K61" s="23" t="s">
        <v>3097</v>
      </c>
      <c r="L61" s="23" t="s">
        <v>3099</v>
      </c>
      <c r="M61" s="25">
        <v>29900</v>
      </c>
      <c r="N61" s="36">
        <f t="shared" si="4"/>
        <v>0.3</v>
      </c>
      <c r="O61" s="35">
        <f t="shared" si="0"/>
        <v>20930</v>
      </c>
      <c r="P61" s="33" t="str">
        <f t="shared" si="5"/>
        <v>PERCENTAGE</v>
      </c>
    </row>
    <row r="62" spans="1:16" x14ac:dyDescent="0.35">
      <c r="A62" s="24" t="str">
        <f t="shared" si="1"/>
        <v>2025 OCT B1 DISC 30%</v>
      </c>
      <c r="B62" s="34">
        <f t="shared" si="2"/>
        <v>46104</v>
      </c>
      <c r="C62" s="34">
        <f t="shared" si="3"/>
        <v>46113</v>
      </c>
      <c r="D62" s="33">
        <v>3287</v>
      </c>
      <c r="E62" s="33">
        <v>338</v>
      </c>
      <c r="F62" s="33">
        <v>4</v>
      </c>
      <c r="G62" s="24">
        <v>7</v>
      </c>
      <c r="H62" s="24">
        <v>81533</v>
      </c>
      <c r="I62" s="24" t="s">
        <v>17</v>
      </c>
      <c r="J62" s="23">
        <v>61074335</v>
      </c>
      <c r="K62" s="23" t="s">
        <v>3097</v>
      </c>
      <c r="L62" s="23" t="s">
        <v>3100</v>
      </c>
      <c r="M62" s="25">
        <v>29900</v>
      </c>
      <c r="N62" s="36">
        <f t="shared" si="4"/>
        <v>0.3</v>
      </c>
      <c r="O62" s="35">
        <f t="shared" si="0"/>
        <v>20930</v>
      </c>
      <c r="P62" s="33" t="str">
        <f t="shared" si="5"/>
        <v>PERCENTAGE</v>
      </c>
    </row>
    <row r="63" spans="1:16" x14ac:dyDescent="0.35">
      <c r="A63" s="24" t="str">
        <f t="shared" si="1"/>
        <v>2025 OCT B1 DISC 30%</v>
      </c>
      <c r="B63" s="34">
        <f t="shared" si="2"/>
        <v>46104</v>
      </c>
      <c r="C63" s="34">
        <f t="shared" si="3"/>
        <v>46113</v>
      </c>
      <c r="D63" s="33">
        <v>3287</v>
      </c>
      <c r="E63" s="33">
        <v>338</v>
      </c>
      <c r="F63" s="33">
        <v>4</v>
      </c>
      <c r="G63" s="24">
        <v>7</v>
      </c>
      <c r="H63" s="24">
        <v>81533</v>
      </c>
      <c r="I63" s="24" t="s">
        <v>17</v>
      </c>
      <c r="J63" s="23">
        <v>61074344</v>
      </c>
      <c r="K63" s="23" t="s">
        <v>3101</v>
      </c>
      <c r="L63" s="23" t="s">
        <v>3102</v>
      </c>
      <c r="M63" s="25">
        <v>29900</v>
      </c>
      <c r="N63" s="36">
        <f t="shared" si="4"/>
        <v>0.3</v>
      </c>
      <c r="O63" s="35">
        <f t="shared" si="0"/>
        <v>20930</v>
      </c>
      <c r="P63" s="33" t="str">
        <f t="shared" si="5"/>
        <v>PERCENTAGE</v>
      </c>
    </row>
    <row r="64" spans="1:16" x14ac:dyDescent="0.35">
      <c r="A64" s="24" t="str">
        <f t="shared" si="1"/>
        <v>2025 OCT B1 DISC 30%</v>
      </c>
      <c r="B64" s="34">
        <f t="shared" si="2"/>
        <v>46104</v>
      </c>
      <c r="C64" s="34">
        <f t="shared" si="3"/>
        <v>46113</v>
      </c>
      <c r="D64" s="33">
        <v>3287</v>
      </c>
      <c r="E64" s="33">
        <v>338</v>
      </c>
      <c r="F64" s="33">
        <v>4</v>
      </c>
      <c r="G64" s="24">
        <v>7</v>
      </c>
      <c r="H64" s="24">
        <v>81533</v>
      </c>
      <c r="I64" s="24" t="s">
        <v>17</v>
      </c>
      <c r="J64" s="23">
        <v>61074353</v>
      </c>
      <c r="K64" s="23" t="s">
        <v>3101</v>
      </c>
      <c r="L64" s="23" t="s">
        <v>3103</v>
      </c>
      <c r="M64" s="25">
        <v>29900</v>
      </c>
      <c r="N64" s="36">
        <f t="shared" si="4"/>
        <v>0.3</v>
      </c>
      <c r="O64" s="35">
        <f t="shared" si="0"/>
        <v>20930</v>
      </c>
      <c r="P64" s="33" t="str">
        <f t="shared" si="5"/>
        <v>PERCENTAGE</v>
      </c>
    </row>
    <row r="65" spans="1:16" x14ac:dyDescent="0.35">
      <c r="A65" s="24" t="str">
        <f t="shared" si="1"/>
        <v>2025 OCT B1 DISC 30%</v>
      </c>
      <c r="B65" s="34">
        <f t="shared" si="2"/>
        <v>46104</v>
      </c>
      <c r="C65" s="34">
        <f t="shared" si="3"/>
        <v>46113</v>
      </c>
      <c r="D65" s="33">
        <v>3287</v>
      </c>
      <c r="E65" s="33">
        <v>338</v>
      </c>
      <c r="F65" s="33">
        <v>4</v>
      </c>
      <c r="G65" s="24">
        <v>7</v>
      </c>
      <c r="H65" s="24">
        <v>81533</v>
      </c>
      <c r="I65" s="24" t="s">
        <v>17</v>
      </c>
      <c r="J65" s="23">
        <v>61074362</v>
      </c>
      <c r="K65" s="23" t="s">
        <v>3101</v>
      </c>
      <c r="L65" s="23" t="s">
        <v>3104</v>
      </c>
      <c r="M65" s="25">
        <v>29900</v>
      </c>
      <c r="N65" s="36">
        <f t="shared" si="4"/>
        <v>0.3</v>
      </c>
      <c r="O65" s="35">
        <f t="shared" si="0"/>
        <v>20930</v>
      </c>
      <c r="P65" s="33" t="str">
        <f t="shared" si="5"/>
        <v>PERCENTAGE</v>
      </c>
    </row>
    <row r="66" spans="1:16" x14ac:dyDescent="0.35">
      <c r="A66" s="24" t="str">
        <f t="shared" si="1"/>
        <v>2025 OCT B1 DISC 30%</v>
      </c>
      <c r="B66" s="34">
        <f t="shared" si="2"/>
        <v>46104</v>
      </c>
      <c r="C66" s="34">
        <f t="shared" si="3"/>
        <v>46113</v>
      </c>
      <c r="D66" s="33">
        <v>3287</v>
      </c>
      <c r="E66" s="33">
        <v>338</v>
      </c>
      <c r="F66" s="33">
        <v>4</v>
      </c>
      <c r="G66" s="24">
        <v>7</v>
      </c>
      <c r="H66" s="24">
        <v>81533</v>
      </c>
      <c r="I66" s="24" t="s">
        <v>17</v>
      </c>
      <c r="J66" s="23">
        <v>61074371</v>
      </c>
      <c r="K66" s="23" t="s">
        <v>3105</v>
      </c>
      <c r="L66" s="23" t="s">
        <v>3106</v>
      </c>
      <c r="M66" s="25">
        <v>29900</v>
      </c>
      <c r="N66" s="36">
        <f t="shared" si="4"/>
        <v>0.3</v>
      </c>
      <c r="O66" s="35">
        <f t="shared" si="0"/>
        <v>20930</v>
      </c>
      <c r="P66" s="33" t="str">
        <f t="shared" si="5"/>
        <v>PERCENTAGE</v>
      </c>
    </row>
    <row r="67" spans="1:16" x14ac:dyDescent="0.35">
      <c r="A67" s="24" t="str">
        <f t="shared" si="1"/>
        <v>2025 OCT B1 DISC 30%</v>
      </c>
      <c r="B67" s="34">
        <f t="shared" si="2"/>
        <v>46104</v>
      </c>
      <c r="C67" s="34">
        <f t="shared" si="3"/>
        <v>46113</v>
      </c>
      <c r="D67" s="33">
        <v>3287</v>
      </c>
      <c r="E67" s="33">
        <v>338</v>
      </c>
      <c r="F67" s="33">
        <v>4</v>
      </c>
      <c r="G67" s="24">
        <v>2</v>
      </c>
      <c r="H67" s="24">
        <v>81533</v>
      </c>
      <c r="I67" s="24" t="s">
        <v>17</v>
      </c>
      <c r="J67" s="23">
        <v>61074380</v>
      </c>
      <c r="K67" s="23" t="s">
        <v>3105</v>
      </c>
      <c r="L67" s="23" t="s">
        <v>3108</v>
      </c>
      <c r="M67" s="25">
        <v>29900</v>
      </c>
      <c r="N67" s="36">
        <f t="shared" si="4"/>
        <v>0.3</v>
      </c>
      <c r="O67" s="35">
        <f t="shared" ref="O67:O76" si="6">M67-((30*M68)/100)</f>
        <v>20930</v>
      </c>
      <c r="P67" s="33" t="str">
        <f t="shared" si="5"/>
        <v>PERCENTAGE</v>
      </c>
    </row>
    <row r="68" spans="1:16" x14ac:dyDescent="0.35">
      <c r="A68" s="24" t="str">
        <f t="shared" ref="A68:A76" si="7">A67</f>
        <v>2025 OCT B1 DISC 30%</v>
      </c>
      <c r="B68" s="34">
        <f t="shared" ref="B68:B76" si="8">B67</f>
        <v>46104</v>
      </c>
      <c r="C68" s="34">
        <f t="shared" ref="C68:C76" si="9">C67</f>
        <v>46113</v>
      </c>
      <c r="D68" s="33">
        <v>3287</v>
      </c>
      <c r="E68" s="33">
        <v>338</v>
      </c>
      <c r="F68" s="33">
        <v>4</v>
      </c>
      <c r="G68" s="24">
        <v>2</v>
      </c>
      <c r="H68" s="24">
        <v>81533</v>
      </c>
      <c r="I68" s="24" t="s">
        <v>17</v>
      </c>
      <c r="J68" s="23">
        <v>61074399</v>
      </c>
      <c r="K68" s="23" t="s">
        <v>3105</v>
      </c>
      <c r="L68" s="23" t="s">
        <v>3107</v>
      </c>
      <c r="M68" s="25">
        <v>29900</v>
      </c>
      <c r="N68" s="36">
        <f t="shared" ref="N68:N76" si="10">N67</f>
        <v>0.3</v>
      </c>
      <c r="O68" s="35">
        <f t="shared" si="6"/>
        <v>-23800</v>
      </c>
      <c r="P68" s="33" t="str">
        <f t="shared" ref="P68:P76" si="11">P67</f>
        <v>PERCENTAGE</v>
      </c>
    </row>
    <row r="69" spans="1:16" x14ac:dyDescent="0.35">
      <c r="A69" s="24" t="str">
        <f t="shared" si="7"/>
        <v>2025 OCT B1 DISC 30%</v>
      </c>
      <c r="B69" s="34">
        <f t="shared" si="8"/>
        <v>46104</v>
      </c>
      <c r="C69" s="34">
        <f t="shared" si="9"/>
        <v>46113</v>
      </c>
      <c r="D69" s="33">
        <v>3287</v>
      </c>
      <c r="E69" s="33">
        <v>338</v>
      </c>
      <c r="F69" s="33">
        <v>4</v>
      </c>
      <c r="G69" s="24">
        <v>2</v>
      </c>
      <c r="H69" s="24">
        <v>81679</v>
      </c>
      <c r="I69" s="24" t="s">
        <v>17</v>
      </c>
      <c r="J69" s="23">
        <v>61920787</v>
      </c>
      <c r="K69" s="23" t="s">
        <v>3204</v>
      </c>
      <c r="L69" s="23" t="s">
        <v>3205</v>
      </c>
      <c r="M69" s="25">
        <v>179000</v>
      </c>
      <c r="N69" s="36">
        <f t="shared" si="10"/>
        <v>0.3</v>
      </c>
      <c r="O69" s="35">
        <f t="shared" si="6"/>
        <v>125300</v>
      </c>
      <c r="P69" s="33" t="str">
        <f t="shared" si="11"/>
        <v>PERCENTAGE</v>
      </c>
    </row>
    <row r="70" spans="1:16" x14ac:dyDescent="0.35">
      <c r="A70" s="24" t="str">
        <f t="shared" si="7"/>
        <v>2025 OCT B1 DISC 30%</v>
      </c>
      <c r="B70" s="34">
        <f t="shared" si="8"/>
        <v>46104</v>
      </c>
      <c r="C70" s="34">
        <f t="shared" si="9"/>
        <v>46113</v>
      </c>
      <c r="D70" s="33">
        <v>3287</v>
      </c>
      <c r="E70" s="33">
        <v>338</v>
      </c>
      <c r="F70" s="33">
        <v>4</v>
      </c>
      <c r="G70" s="24">
        <v>2</v>
      </c>
      <c r="H70" s="24">
        <v>81679</v>
      </c>
      <c r="I70" s="24" t="s">
        <v>17</v>
      </c>
      <c r="J70" s="23">
        <v>61920796</v>
      </c>
      <c r="K70" s="23" t="s">
        <v>3204</v>
      </c>
      <c r="L70" s="23" t="s">
        <v>3206</v>
      </c>
      <c r="M70" s="25">
        <v>179000</v>
      </c>
      <c r="N70" s="36">
        <f t="shared" si="10"/>
        <v>0.3</v>
      </c>
      <c r="O70" s="35">
        <f t="shared" si="6"/>
        <v>125300</v>
      </c>
      <c r="P70" s="33" t="str">
        <f t="shared" si="11"/>
        <v>PERCENTAGE</v>
      </c>
    </row>
    <row r="71" spans="1:16" x14ac:dyDescent="0.35">
      <c r="A71" s="24" t="str">
        <f t="shared" si="7"/>
        <v>2025 OCT B1 DISC 30%</v>
      </c>
      <c r="B71" s="34">
        <f t="shared" si="8"/>
        <v>46104</v>
      </c>
      <c r="C71" s="34">
        <f t="shared" si="9"/>
        <v>46113</v>
      </c>
      <c r="D71" s="33">
        <v>3287</v>
      </c>
      <c r="E71" s="33">
        <v>338</v>
      </c>
      <c r="F71" s="33">
        <v>4</v>
      </c>
      <c r="G71" s="24">
        <v>2</v>
      </c>
      <c r="H71" s="24">
        <v>81679</v>
      </c>
      <c r="I71" s="24" t="s">
        <v>17</v>
      </c>
      <c r="J71" s="23">
        <v>61920803</v>
      </c>
      <c r="K71" s="23" t="s">
        <v>3204</v>
      </c>
      <c r="L71" s="23" t="s">
        <v>3207</v>
      </c>
      <c r="M71" s="25">
        <v>179000</v>
      </c>
      <c r="N71" s="36">
        <f t="shared" si="10"/>
        <v>0.3</v>
      </c>
      <c r="O71" s="35">
        <f t="shared" si="6"/>
        <v>125300</v>
      </c>
      <c r="P71" s="33" t="str">
        <f t="shared" si="11"/>
        <v>PERCENTAGE</v>
      </c>
    </row>
    <row r="72" spans="1:16" x14ac:dyDescent="0.35">
      <c r="A72" s="24" t="str">
        <f t="shared" si="7"/>
        <v>2025 OCT B1 DISC 30%</v>
      </c>
      <c r="B72" s="34">
        <f t="shared" si="8"/>
        <v>46104</v>
      </c>
      <c r="C72" s="34">
        <f t="shared" si="9"/>
        <v>46113</v>
      </c>
      <c r="D72" s="33">
        <v>3287</v>
      </c>
      <c r="E72" s="33">
        <v>338</v>
      </c>
      <c r="F72" s="33">
        <v>4</v>
      </c>
      <c r="G72" s="24">
        <v>2</v>
      </c>
      <c r="H72" s="24">
        <v>81679</v>
      </c>
      <c r="I72" s="24" t="s">
        <v>17</v>
      </c>
      <c r="J72" s="23">
        <v>61920812</v>
      </c>
      <c r="K72" s="23" t="s">
        <v>3204</v>
      </c>
      <c r="L72" s="23" t="s">
        <v>3208</v>
      </c>
      <c r="M72" s="25">
        <v>179000</v>
      </c>
      <c r="N72" s="36">
        <f t="shared" si="10"/>
        <v>0.3</v>
      </c>
      <c r="O72" s="35">
        <f t="shared" si="6"/>
        <v>125300</v>
      </c>
      <c r="P72" s="33" t="str">
        <f t="shared" si="11"/>
        <v>PERCENTAGE</v>
      </c>
    </row>
    <row r="73" spans="1:16" x14ac:dyDescent="0.35">
      <c r="A73" s="24" t="str">
        <f t="shared" si="7"/>
        <v>2025 OCT B1 DISC 30%</v>
      </c>
      <c r="B73" s="34">
        <f t="shared" si="8"/>
        <v>46104</v>
      </c>
      <c r="C73" s="34">
        <f t="shared" si="9"/>
        <v>46113</v>
      </c>
      <c r="D73" s="33">
        <v>3287</v>
      </c>
      <c r="E73" s="33">
        <v>338</v>
      </c>
      <c r="F73" s="33">
        <v>4</v>
      </c>
      <c r="G73" s="24">
        <v>2</v>
      </c>
      <c r="H73" s="24">
        <v>81679</v>
      </c>
      <c r="I73" s="24" t="s">
        <v>17</v>
      </c>
      <c r="J73" s="23">
        <v>61920821</v>
      </c>
      <c r="K73" s="23" t="s">
        <v>3204</v>
      </c>
      <c r="L73" s="23" t="s">
        <v>3209</v>
      </c>
      <c r="M73" s="25">
        <v>179000</v>
      </c>
      <c r="N73" s="36">
        <f t="shared" si="10"/>
        <v>0.3</v>
      </c>
      <c r="O73" s="35">
        <f t="shared" si="6"/>
        <v>125300</v>
      </c>
      <c r="P73" s="33" t="str">
        <f t="shared" si="11"/>
        <v>PERCENTAGE</v>
      </c>
    </row>
    <row r="74" spans="1:16" x14ac:dyDescent="0.35">
      <c r="A74" s="24" t="str">
        <f t="shared" si="7"/>
        <v>2025 OCT B1 DISC 30%</v>
      </c>
      <c r="B74" s="34">
        <f t="shared" si="8"/>
        <v>46104</v>
      </c>
      <c r="C74" s="34">
        <f t="shared" si="9"/>
        <v>46113</v>
      </c>
      <c r="D74" s="33">
        <v>3287</v>
      </c>
      <c r="E74" s="33">
        <v>338</v>
      </c>
      <c r="F74" s="33">
        <v>4</v>
      </c>
      <c r="G74" s="24">
        <v>2</v>
      </c>
      <c r="H74" s="24">
        <v>81679</v>
      </c>
      <c r="I74" s="24" t="s">
        <v>17</v>
      </c>
      <c r="J74" s="23">
        <v>61920830</v>
      </c>
      <c r="K74" s="23" t="s">
        <v>3204</v>
      </c>
      <c r="L74" s="23" t="s">
        <v>3210</v>
      </c>
      <c r="M74" s="25">
        <v>179000</v>
      </c>
      <c r="N74" s="36">
        <f t="shared" si="10"/>
        <v>0.3</v>
      </c>
      <c r="O74" s="35">
        <f t="shared" si="6"/>
        <v>125300</v>
      </c>
      <c r="P74" s="33" t="str">
        <f t="shared" si="11"/>
        <v>PERCENTAGE</v>
      </c>
    </row>
    <row r="75" spans="1:16" x14ac:dyDescent="0.35">
      <c r="A75" s="24" t="str">
        <f t="shared" si="7"/>
        <v>2025 OCT B1 DISC 30%</v>
      </c>
      <c r="B75" s="34">
        <f t="shared" si="8"/>
        <v>46104</v>
      </c>
      <c r="C75" s="34">
        <f t="shared" si="9"/>
        <v>46113</v>
      </c>
      <c r="D75" s="33">
        <v>3287</v>
      </c>
      <c r="E75" s="33">
        <v>338</v>
      </c>
      <c r="F75" s="33">
        <v>4</v>
      </c>
      <c r="G75" s="24">
        <v>3</v>
      </c>
      <c r="H75" s="24">
        <v>81679</v>
      </c>
      <c r="I75" s="24" t="s">
        <v>17</v>
      </c>
      <c r="J75" s="23">
        <v>61920849</v>
      </c>
      <c r="K75" s="23" t="s">
        <v>3204</v>
      </c>
      <c r="L75" s="23" t="s">
        <v>3211</v>
      </c>
      <c r="M75" s="25">
        <v>179000</v>
      </c>
      <c r="N75" s="36">
        <f t="shared" si="10"/>
        <v>0.3</v>
      </c>
      <c r="O75" s="35">
        <f t="shared" si="6"/>
        <v>125300</v>
      </c>
      <c r="P75" s="33" t="str">
        <f t="shared" si="11"/>
        <v>PERCENTAGE</v>
      </c>
    </row>
    <row r="76" spans="1:16" x14ac:dyDescent="0.35">
      <c r="A76" s="24" t="str">
        <f t="shared" si="7"/>
        <v>2025 OCT B1 DISC 30%</v>
      </c>
      <c r="B76" s="34">
        <f t="shared" si="8"/>
        <v>46104</v>
      </c>
      <c r="C76" s="34">
        <f t="shared" si="9"/>
        <v>46113</v>
      </c>
      <c r="D76" s="33">
        <v>3287</v>
      </c>
      <c r="E76" s="33">
        <v>338</v>
      </c>
      <c r="F76" s="33">
        <v>4</v>
      </c>
      <c r="G76" s="24">
        <v>3</v>
      </c>
      <c r="H76" s="24">
        <v>81679</v>
      </c>
      <c r="I76" s="24" t="s">
        <v>17</v>
      </c>
      <c r="J76" s="23">
        <v>61920858</v>
      </c>
      <c r="K76" s="23" t="s">
        <v>3204</v>
      </c>
      <c r="L76" s="23" t="s">
        <v>3212</v>
      </c>
      <c r="M76" s="25">
        <v>179000</v>
      </c>
      <c r="N76" s="36">
        <f t="shared" si="10"/>
        <v>0.3</v>
      </c>
      <c r="O76" s="35">
        <f t="shared" si="6"/>
        <v>179000</v>
      </c>
      <c r="P76" s="33" t="str">
        <f t="shared" si="11"/>
        <v>PERCENTAGE</v>
      </c>
    </row>
  </sheetData>
  <autoFilter ref="A1:P1" xr:uid="{82A851BA-8A87-4180-B8E2-B542244E3F63}">
    <sortState xmlns:xlrd2="http://schemas.microsoft.com/office/spreadsheetml/2017/richdata2" ref="A2:P22">
      <sortCondition ref="J1"/>
    </sortState>
  </autoFilter>
  <phoneticPr fontId="8" type="noConversion"/>
  <conditionalFormatting sqref="J2:J76">
    <cfRule type="duplicateValues" dxfId="2" priority="64"/>
  </conditionalFormatting>
  <pageMargins left="0.7" right="0.7" top="0.75" bottom="0.75" header="0.3" footer="0.3"/>
  <pageSetup paperSize="9" orientation="portrait" horizontalDpi="0" verticalDpi="0"/>
  <ignoredErrors>
    <ignoredError sqref="O3:O76" formula="1"/>
  </ignoredErrors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1E18D-47DE-409F-8205-5ACA34B17871}">
  <sheetPr>
    <tabColor rgb="FFFFFF00"/>
  </sheetPr>
  <dimension ref="A1:P9"/>
  <sheetViews>
    <sheetView topLeftCell="D1" zoomScale="70" zoomScaleNormal="70" workbookViewId="0">
      <pane ySplit="1" topLeftCell="A2" activePane="bottomLeft" state="frozen"/>
      <selection activeCell="F11" sqref="F11"/>
      <selection pane="bottomLeft" activeCell="B9" sqref="B9"/>
    </sheetView>
  </sheetViews>
  <sheetFormatPr defaultColWidth="8.6328125" defaultRowHeight="14.5" x14ac:dyDescent="0.35"/>
  <cols>
    <col min="1" max="1" width="30" style="42" customWidth="1"/>
    <col min="2" max="2" width="16.08984375" style="43" bestFit="1" customWidth="1"/>
    <col min="3" max="3" width="13.36328125" style="43" bestFit="1" customWidth="1"/>
    <col min="4" max="4" width="10" style="42" bestFit="1" customWidth="1"/>
    <col min="5" max="5" width="12.36328125" style="42" bestFit="1" customWidth="1"/>
    <col min="6" max="6" width="13.6328125" style="42" bestFit="1" customWidth="1"/>
    <col min="7" max="7" width="9" style="42" customWidth="1"/>
    <col min="8" max="8" width="12.453125" style="42" customWidth="1"/>
    <col min="9" max="9" width="16.54296875" style="42" bestFit="1" customWidth="1"/>
    <col min="10" max="10" width="9.54296875" style="42" bestFit="1" customWidth="1"/>
    <col min="11" max="11" width="12.54296875" style="42" bestFit="1" customWidth="1"/>
    <col min="12" max="12" width="78.81640625" style="42" customWidth="1"/>
    <col min="13" max="13" width="17" style="42" customWidth="1"/>
    <col min="14" max="14" width="13.90625" style="42" customWidth="1"/>
    <col min="15" max="15" width="16.1796875" style="42" customWidth="1"/>
    <col min="16" max="16" width="19.90625" style="42" bestFit="1" customWidth="1"/>
    <col min="17" max="16384" width="8.6328125" style="42"/>
  </cols>
  <sheetData>
    <row r="1" spans="1:16" s="32" customFormat="1" ht="30.75" customHeight="1" x14ac:dyDescent="0.35">
      <c r="A1" s="28" t="s">
        <v>0</v>
      </c>
      <c r="B1" s="29" t="s">
        <v>15</v>
      </c>
      <c r="C1" s="29" t="s">
        <v>11</v>
      </c>
      <c r="D1" s="28" t="s">
        <v>1</v>
      </c>
      <c r="E1" s="28" t="s">
        <v>2</v>
      </c>
      <c r="F1" s="28" t="s">
        <v>12</v>
      </c>
      <c r="G1" s="30" t="s">
        <v>3</v>
      </c>
      <c r="H1" s="30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31" t="s">
        <v>14</v>
      </c>
      <c r="N1" s="13" t="s">
        <v>8</v>
      </c>
      <c r="O1" s="31" t="s">
        <v>9</v>
      </c>
      <c r="P1" s="28" t="s">
        <v>10</v>
      </c>
    </row>
    <row r="2" spans="1:16" x14ac:dyDescent="0.35">
      <c r="A2" s="33" t="s">
        <v>3337</v>
      </c>
      <c r="B2" s="34">
        <v>46104</v>
      </c>
      <c r="C2" s="34">
        <v>46113</v>
      </c>
      <c r="D2" s="33">
        <v>3287</v>
      </c>
      <c r="E2" s="33">
        <v>338</v>
      </c>
      <c r="F2" s="33">
        <v>4</v>
      </c>
      <c r="G2" s="24">
        <v>9</v>
      </c>
      <c r="H2" s="24">
        <v>4953</v>
      </c>
      <c r="I2" s="33" t="s">
        <v>17</v>
      </c>
      <c r="J2" s="23">
        <v>59123581</v>
      </c>
      <c r="K2" s="23" t="s">
        <v>2965</v>
      </c>
      <c r="L2" s="23" t="s">
        <v>2966</v>
      </c>
      <c r="M2" s="41">
        <v>149900</v>
      </c>
      <c r="N2" s="22" t="s">
        <v>19</v>
      </c>
      <c r="O2" s="33" t="s">
        <v>27</v>
      </c>
      <c r="P2" s="22" t="s">
        <v>19</v>
      </c>
    </row>
    <row r="3" spans="1:16" x14ac:dyDescent="0.35">
      <c r="A3" s="33" t="str">
        <f>A2</f>
        <v>2025 SEPT B1G1 LICENSE ESS</v>
      </c>
      <c r="B3" s="34">
        <f>B2</f>
        <v>46104</v>
      </c>
      <c r="C3" s="34">
        <f>C2</f>
        <v>46113</v>
      </c>
      <c r="D3" s="33">
        <v>3287</v>
      </c>
      <c r="E3" s="33">
        <v>338</v>
      </c>
      <c r="F3" s="33">
        <v>4</v>
      </c>
      <c r="G3" s="24">
        <v>9</v>
      </c>
      <c r="H3" s="24">
        <v>4953</v>
      </c>
      <c r="I3" s="33" t="s">
        <v>17</v>
      </c>
      <c r="J3" s="23">
        <v>59123590</v>
      </c>
      <c r="K3" s="23" t="s">
        <v>2965</v>
      </c>
      <c r="L3" s="23" t="s">
        <v>2970</v>
      </c>
      <c r="M3" s="41">
        <v>149900</v>
      </c>
      <c r="N3" s="22" t="str">
        <f>N2</f>
        <v>BXGY</v>
      </c>
      <c r="O3" s="33" t="str">
        <f>O2</f>
        <v>B1G1</v>
      </c>
      <c r="P3" s="22" t="str">
        <f>P2</f>
        <v>BXGY</v>
      </c>
    </row>
    <row r="4" spans="1:16" x14ac:dyDescent="0.35">
      <c r="A4" s="33" t="str">
        <f t="shared" ref="A4:A9" si="0">A3</f>
        <v>2025 SEPT B1G1 LICENSE ESS</v>
      </c>
      <c r="B4" s="34">
        <f t="shared" ref="B4:C9" si="1">B3</f>
        <v>46104</v>
      </c>
      <c r="C4" s="34">
        <f t="shared" si="1"/>
        <v>46113</v>
      </c>
      <c r="D4" s="33">
        <v>3287</v>
      </c>
      <c r="E4" s="33">
        <v>338</v>
      </c>
      <c r="F4" s="33">
        <v>4</v>
      </c>
      <c r="G4" s="24">
        <v>9</v>
      </c>
      <c r="H4" s="24">
        <v>4953</v>
      </c>
      <c r="I4" s="33" t="s">
        <v>17</v>
      </c>
      <c r="J4" s="23">
        <v>59123607</v>
      </c>
      <c r="K4" s="23" t="s">
        <v>2965</v>
      </c>
      <c r="L4" s="23" t="s">
        <v>2968</v>
      </c>
      <c r="M4" s="41">
        <v>149900</v>
      </c>
      <c r="N4" s="22" t="str">
        <f t="shared" ref="N4:O9" si="2">N3</f>
        <v>BXGY</v>
      </c>
      <c r="O4" s="33" t="str">
        <f t="shared" si="2"/>
        <v>B1G1</v>
      </c>
      <c r="P4" s="22" t="str">
        <f t="shared" ref="P4:P9" si="3">P3</f>
        <v>BXGY</v>
      </c>
    </row>
    <row r="5" spans="1:16" x14ac:dyDescent="0.35">
      <c r="A5" s="33" t="str">
        <f t="shared" si="0"/>
        <v>2025 SEPT B1G1 LICENSE ESS</v>
      </c>
      <c r="B5" s="34">
        <f t="shared" si="1"/>
        <v>46104</v>
      </c>
      <c r="C5" s="34">
        <f t="shared" si="1"/>
        <v>46113</v>
      </c>
      <c r="D5" s="33">
        <v>3287</v>
      </c>
      <c r="E5" s="33">
        <v>338</v>
      </c>
      <c r="F5" s="33">
        <v>4</v>
      </c>
      <c r="G5" s="24">
        <v>9</v>
      </c>
      <c r="H5" s="24">
        <v>4953</v>
      </c>
      <c r="I5" s="33" t="s">
        <v>17</v>
      </c>
      <c r="J5" s="23">
        <v>59123616</v>
      </c>
      <c r="K5" s="23" t="s">
        <v>2965</v>
      </c>
      <c r="L5" s="23" t="s">
        <v>2969</v>
      </c>
      <c r="M5" s="41">
        <v>149900</v>
      </c>
      <c r="N5" s="22" t="str">
        <f t="shared" si="2"/>
        <v>BXGY</v>
      </c>
      <c r="O5" s="33" t="str">
        <f t="shared" si="2"/>
        <v>B1G1</v>
      </c>
      <c r="P5" s="22" t="str">
        <f t="shared" si="3"/>
        <v>BXGY</v>
      </c>
    </row>
    <row r="6" spans="1:16" x14ac:dyDescent="0.35">
      <c r="A6" s="33" t="str">
        <f t="shared" si="0"/>
        <v>2025 SEPT B1G1 LICENSE ESS</v>
      </c>
      <c r="B6" s="34">
        <f t="shared" si="1"/>
        <v>46104</v>
      </c>
      <c r="C6" s="34">
        <f t="shared" si="1"/>
        <v>46113</v>
      </c>
      <c r="D6" s="33">
        <v>3287</v>
      </c>
      <c r="E6" s="33">
        <v>338</v>
      </c>
      <c r="F6" s="33">
        <v>4</v>
      </c>
      <c r="G6" s="24">
        <v>9</v>
      </c>
      <c r="H6" s="24">
        <v>4953</v>
      </c>
      <c r="I6" s="33" t="s">
        <v>17</v>
      </c>
      <c r="J6" s="23">
        <v>59123625</v>
      </c>
      <c r="K6" s="23" t="s">
        <v>2965</v>
      </c>
      <c r="L6" s="23" t="s">
        <v>2971</v>
      </c>
      <c r="M6" s="41">
        <v>149900</v>
      </c>
      <c r="N6" s="22" t="str">
        <f t="shared" si="2"/>
        <v>BXGY</v>
      </c>
      <c r="O6" s="33" t="str">
        <f t="shared" si="2"/>
        <v>B1G1</v>
      </c>
      <c r="P6" s="22" t="str">
        <f t="shared" si="3"/>
        <v>BXGY</v>
      </c>
    </row>
    <row r="7" spans="1:16" x14ac:dyDescent="0.35">
      <c r="A7" s="33" t="str">
        <f t="shared" si="0"/>
        <v>2025 SEPT B1G1 LICENSE ESS</v>
      </c>
      <c r="B7" s="34">
        <f t="shared" si="1"/>
        <v>46104</v>
      </c>
      <c r="C7" s="34">
        <f t="shared" si="1"/>
        <v>46113</v>
      </c>
      <c r="D7" s="33">
        <v>3287</v>
      </c>
      <c r="E7" s="33">
        <v>338</v>
      </c>
      <c r="F7" s="33">
        <v>4</v>
      </c>
      <c r="G7" s="24">
        <v>9</v>
      </c>
      <c r="H7" s="24">
        <v>4953</v>
      </c>
      <c r="I7" s="33" t="s">
        <v>17</v>
      </c>
      <c r="J7" s="23">
        <v>59123634</v>
      </c>
      <c r="K7" s="23" t="s">
        <v>2965</v>
      </c>
      <c r="L7" s="23" t="s">
        <v>2967</v>
      </c>
      <c r="M7" s="41">
        <v>149900</v>
      </c>
      <c r="N7" s="22" t="str">
        <f t="shared" si="2"/>
        <v>BXGY</v>
      </c>
      <c r="O7" s="33" t="str">
        <f t="shared" si="2"/>
        <v>B1G1</v>
      </c>
      <c r="P7" s="22" t="str">
        <f t="shared" si="3"/>
        <v>BXGY</v>
      </c>
    </row>
    <row r="8" spans="1:16" x14ac:dyDescent="0.35">
      <c r="A8" s="33" t="str">
        <f t="shared" si="0"/>
        <v>2025 SEPT B1G1 LICENSE ESS</v>
      </c>
      <c r="B8" s="34">
        <f t="shared" si="1"/>
        <v>46104</v>
      </c>
      <c r="C8" s="34">
        <f t="shared" si="1"/>
        <v>46113</v>
      </c>
      <c r="D8" s="33">
        <v>3287</v>
      </c>
      <c r="E8" s="33">
        <v>338</v>
      </c>
      <c r="F8" s="33">
        <v>4</v>
      </c>
      <c r="G8" s="24">
        <v>9</v>
      </c>
      <c r="H8" s="24">
        <v>4953</v>
      </c>
      <c r="I8" s="33" t="s">
        <v>17</v>
      </c>
      <c r="J8" s="23">
        <v>59123643</v>
      </c>
      <c r="K8" s="23" t="s">
        <v>2965</v>
      </c>
      <c r="L8" s="23" t="s">
        <v>2972</v>
      </c>
      <c r="M8" s="41">
        <v>149900</v>
      </c>
      <c r="N8" s="22" t="str">
        <f t="shared" si="2"/>
        <v>BXGY</v>
      </c>
      <c r="O8" s="33" t="str">
        <f t="shared" si="2"/>
        <v>B1G1</v>
      </c>
      <c r="P8" s="22" t="str">
        <f t="shared" si="3"/>
        <v>BXGY</v>
      </c>
    </row>
    <row r="9" spans="1:16" x14ac:dyDescent="0.35">
      <c r="A9" s="33" t="str">
        <f t="shared" si="0"/>
        <v>2025 SEPT B1G1 LICENSE ESS</v>
      </c>
      <c r="B9" s="34">
        <f t="shared" si="1"/>
        <v>46104</v>
      </c>
      <c r="C9" s="34">
        <f t="shared" si="1"/>
        <v>46113</v>
      </c>
      <c r="D9" s="33">
        <v>3287</v>
      </c>
      <c r="E9" s="33">
        <v>338</v>
      </c>
      <c r="F9" s="33">
        <v>4</v>
      </c>
      <c r="G9" s="24">
        <v>9</v>
      </c>
      <c r="H9" s="24">
        <v>4953</v>
      </c>
      <c r="I9" s="33" t="s">
        <v>17</v>
      </c>
      <c r="J9" s="23">
        <v>59123652</v>
      </c>
      <c r="K9" s="23" t="s">
        <v>2965</v>
      </c>
      <c r="L9" s="23" t="s">
        <v>2973</v>
      </c>
      <c r="M9" s="41">
        <v>149900</v>
      </c>
      <c r="N9" s="22" t="str">
        <f t="shared" si="2"/>
        <v>BXGY</v>
      </c>
      <c r="O9" s="33" t="str">
        <f t="shared" si="2"/>
        <v>B1G1</v>
      </c>
      <c r="P9" s="22" t="str">
        <f t="shared" si="3"/>
        <v>BXGY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7EDF9-A877-4ED4-8299-D7C69C23F7CB}">
  <sheetPr>
    <tabColor rgb="FFFFFF00"/>
  </sheetPr>
  <dimension ref="A1:P303"/>
  <sheetViews>
    <sheetView tabSelected="1" topLeftCell="F1" zoomScale="70" zoomScaleNormal="70" workbookViewId="0">
      <pane ySplit="1" topLeftCell="A277" activePane="bottomLeft" state="frozen"/>
      <selection activeCell="M23" sqref="M23"/>
      <selection pane="bottomLeft" activeCell="P2" sqref="P2:P303"/>
    </sheetView>
  </sheetViews>
  <sheetFormatPr defaultColWidth="8.6328125" defaultRowHeight="14.5" x14ac:dyDescent="0.35"/>
  <cols>
    <col min="1" max="1" width="34.54296875" style="42" customWidth="1"/>
    <col min="2" max="2" width="16.08984375" style="43" bestFit="1" customWidth="1"/>
    <col min="3" max="3" width="13.36328125" style="43" bestFit="1" customWidth="1"/>
    <col min="4" max="4" width="10" style="42" bestFit="1" customWidth="1"/>
    <col min="5" max="5" width="12.36328125" style="42" bestFit="1" customWidth="1"/>
    <col min="6" max="6" width="13.6328125" style="42" bestFit="1" customWidth="1"/>
    <col min="7" max="7" width="10.90625" style="42" bestFit="1" customWidth="1"/>
    <col min="8" max="8" width="13.90625" style="42" bestFit="1" customWidth="1"/>
    <col min="9" max="9" width="16.54296875" style="42" bestFit="1" customWidth="1"/>
    <col min="10" max="10" width="9.54296875" style="42" bestFit="1" customWidth="1"/>
    <col min="11" max="11" width="12.54296875" style="42" bestFit="1" customWidth="1"/>
    <col min="12" max="12" width="78.81640625" style="42" customWidth="1"/>
    <col min="13" max="13" width="20.90625" style="42" bestFit="1" customWidth="1"/>
    <col min="14" max="14" width="18.08984375" style="42" customWidth="1"/>
    <col min="15" max="16" width="19.90625" style="42" bestFit="1" customWidth="1"/>
    <col min="17" max="16384" width="8.6328125" style="42"/>
  </cols>
  <sheetData>
    <row r="1" spans="1:16" s="2" customFormat="1" ht="30.75" customHeight="1" x14ac:dyDescent="0.35">
      <c r="A1" s="28" t="s">
        <v>0</v>
      </c>
      <c r="B1" s="29" t="s">
        <v>15</v>
      </c>
      <c r="C1" s="29" t="s">
        <v>11</v>
      </c>
      <c r="D1" s="28" t="s">
        <v>1</v>
      </c>
      <c r="E1" s="28" t="s">
        <v>2</v>
      </c>
      <c r="F1" s="28" t="s">
        <v>12</v>
      </c>
      <c r="G1" s="30" t="s">
        <v>3</v>
      </c>
      <c r="H1" s="30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31" t="s">
        <v>14</v>
      </c>
      <c r="N1" s="13" t="s">
        <v>8</v>
      </c>
      <c r="O1" s="31" t="s">
        <v>9</v>
      </c>
      <c r="P1" s="28" t="s">
        <v>10</v>
      </c>
    </row>
    <row r="2" spans="1:16" s="2" customFormat="1" x14ac:dyDescent="0.35">
      <c r="A2" s="33" t="s">
        <v>3344</v>
      </c>
      <c r="B2" s="34">
        <v>46104</v>
      </c>
      <c r="C2" s="34">
        <v>46113</v>
      </c>
      <c r="D2" s="33">
        <v>3287</v>
      </c>
      <c r="E2" s="33">
        <v>338</v>
      </c>
      <c r="F2" s="33">
        <v>4</v>
      </c>
      <c r="G2" s="24">
        <v>10</v>
      </c>
      <c r="H2" s="24">
        <v>81533</v>
      </c>
      <c r="I2" s="33" t="s">
        <v>17</v>
      </c>
      <c r="J2" s="24">
        <v>51694390</v>
      </c>
      <c r="K2" s="24" t="s">
        <v>2252</v>
      </c>
      <c r="L2" s="44" t="s">
        <v>2253</v>
      </c>
      <c r="M2" s="25">
        <v>35900</v>
      </c>
      <c r="N2" s="22">
        <v>0.7</v>
      </c>
      <c r="O2" s="72">
        <f>M3-((70*M3)/100)</f>
        <v>10770</v>
      </c>
      <c r="P2" s="22" t="s">
        <v>16</v>
      </c>
    </row>
    <row r="3" spans="1:16" s="2" customFormat="1" x14ac:dyDescent="0.35">
      <c r="A3" s="33" t="str">
        <f>A2</f>
        <v>2025 JAN-JUN DISC 70% LICENSE ESS</v>
      </c>
      <c r="B3" s="34">
        <f>B2</f>
        <v>46104</v>
      </c>
      <c r="C3" s="34">
        <f>C2</f>
        <v>46113</v>
      </c>
      <c r="D3" s="33">
        <v>3287</v>
      </c>
      <c r="E3" s="33">
        <v>338</v>
      </c>
      <c r="F3" s="33">
        <v>4</v>
      </c>
      <c r="G3" s="24">
        <v>10</v>
      </c>
      <c r="H3" s="24">
        <v>81533</v>
      </c>
      <c r="I3" s="33" t="s">
        <v>17</v>
      </c>
      <c r="J3" s="24">
        <v>51694407</v>
      </c>
      <c r="K3" s="24" t="s">
        <v>2252</v>
      </c>
      <c r="L3" s="44" t="s">
        <v>2263</v>
      </c>
      <c r="M3" s="25">
        <v>35900</v>
      </c>
      <c r="N3" s="22">
        <f>N2</f>
        <v>0.7</v>
      </c>
      <c r="O3" s="72">
        <f t="shared" ref="O3:O66" si="0">M4-((70*M4)/100)</f>
        <v>10770</v>
      </c>
      <c r="P3" s="22" t="s">
        <v>16</v>
      </c>
    </row>
    <row r="4" spans="1:16" s="2" customFormat="1" x14ac:dyDescent="0.35">
      <c r="A4" s="33" t="str">
        <f t="shared" ref="A4:A67" si="1">A3</f>
        <v>2025 JAN-JUN DISC 70% LICENSE ESS</v>
      </c>
      <c r="B4" s="34">
        <f t="shared" ref="B4:C19" si="2">B3</f>
        <v>46104</v>
      </c>
      <c r="C4" s="34">
        <f t="shared" si="2"/>
        <v>46113</v>
      </c>
      <c r="D4" s="33">
        <v>3287</v>
      </c>
      <c r="E4" s="33">
        <v>338</v>
      </c>
      <c r="F4" s="33">
        <v>4</v>
      </c>
      <c r="G4" s="24">
        <v>10</v>
      </c>
      <c r="H4" s="24">
        <v>81533</v>
      </c>
      <c r="I4" s="33" t="s">
        <v>17</v>
      </c>
      <c r="J4" s="24">
        <v>51694434</v>
      </c>
      <c r="K4" s="24" t="s">
        <v>2258</v>
      </c>
      <c r="L4" s="44" t="s">
        <v>2259</v>
      </c>
      <c r="M4" s="25">
        <v>35900</v>
      </c>
      <c r="N4" s="22">
        <f t="shared" ref="N4:N67" si="3">N3</f>
        <v>0.7</v>
      </c>
      <c r="O4" s="72">
        <f t="shared" si="0"/>
        <v>10770</v>
      </c>
      <c r="P4" s="22" t="s">
        <v>16</v>
      </c>
    </row>
    <row r="5" spans="1:16" s="2" customFormat="1" x14ac:dyDescent="0.35">
      <c r="A5" s="33" t="str">
        <f t="shared" si="1"/>
        <v>2025 JAN-JUN DISC 70% LICENSE ESS</v>
      </c>
      <c r="B5" s="34">
        <f t="shared" si="2"/>
        <v>46104</v>
      </c>
      <c r="C5" s="34">
        <f t="shared" si="2"/>
        <v>46113</v>
      </c>
      <c r="D5" s="33">
        <v>3287</v>
      </c>
      <c r="E5" s="33">
        <v>338</v>
      </c>
      <c r="F5" s="33">
        <v>4</v>
      </c>
      <c r="G5" s="24">
        <v>10</v>
      </c>
      <c r="H5" s="24">
        <v>81533</v>
      </c>
      <c r="I5" s="33" t="s">
        <v>17</v>
      </c>
      <c r="J5" s="24">
        <v>51694443</v>
      </c>
      <c r="K5" s="24" t="s">
        <v>2258</v>
      </c>
      <c r="L5" s="44" t="s">
        <v>2266</v>
      </c>
      <c r="M5" s="25">
        <v>35900</v>
      </c>
      <c r="N5" s="22">
        <f t="shared" si="3"/>
        <v>0.7</v>
      </c>
      <c r="O5" s="72">
        <f t="shared" si="0"/>
        <v>35970</v>
      </c>
      <c r="P5" s="22" t="s">
        <v>16</v>
      </c>
    </row>
    <row r="6" spans="1:16" s="2" customFormat="1" x14ac:dyDescent="0.35">
      <c r="A6" s="33" t="str">
        <f t="shared" si="1"/>
        <v>2025 JAN-JUN DISC 70% LICENSE ESS</v>
      </c>
      <c r="B6" s="34">
        <f t="shared" si="2"/>
        <v>46104</v>
      </c>
      <c r="C6" s="34">
        <f t="shared" si="2"/>
        <v>46113</v>
      </c>
      <c r="D6" s="33">
        <v>3287</v>
      </c>
      <c r="E6" s="33">
        <v>338</v>
      </c>
      <c r="F6" s="33">
        <v>4</v>
      </c>
      <c r="G6" s="24">
        <v>8</v>
      </c>
      <c r="H6" s="24">
        <v>81462</v>
      </c>
      <c r="I6" s="33" t="s">
        <v>17</v>
      </c>
      <c r="J6" s="24">
        <v>51694550</v>
      </c>
      <c r="K6" s="24" t="s">
        <v>2239</v>
      </c>
      <c r="L6" s="44" t="s">
        <v>2240</v>
      </c>
      <c r="M6" s="25">
        <v>119900</v>
      </c>
      <c r="N6" s="22">
        <f t="shared" si="3"/>
        <v>0.7</v>
      </c>
      <c r="O6" s="72">
        <f t="shared" si="0"/>
        <v>35970</v>
      </c>
      <c r="P6" s="22" t="s">
        <v>16</v>
      </c>
    </row>
    <row r="7" spans="1:16" s="2" customFormat="1" x14ac:dyDescent="0.35">
      <c r="A7" s="33" t="str">
        <f t="shared" si="1"/>
        <v>2025 JAN-JUN DISC 70% LICENSE ESS</v>
      </c>
      <c r="B7" s="34">
        <f t="shared" si="2"/>
        <v>46104</v>
      </c>
      <c r="C7" s="34">
        <f t="shared" si="2"/>
        <v>46113</v>
      </c>
      <c r="D7" s="33">
        <v>3287</v>
      </c>
      <c r="E7" s="33">
        <v>338</v>
      </c>
      <c r="F7" s="33">
        <v>4</v>
      </c>
      <c r="G7" s="24">
        <v>8</v>
      </c>
      <c r="H7" s="24">
        <v>81462</v>
      </c>
      <c r="I7" s="33" t="s">
        <v>17</v>
      </c>
      <c r="J7" s="24">
        <v>51694569</v>
      </c>
      <c r="K7" s="24" t="s">
        <v>2239</v>
      </c>
      <c r="L7" s="44" t="s">
        <v>2243</v>
      </c>
      <c r="M7" s="25">
        <v>119900</v>
      </c>
      <c r="N7" s="22">
        <f t="shared" si="3"/>
        <v>0.7</v>
      </c>
      <c r="O7" s="72">
        <f t="shared" si="0"/>
        <v>35970</v>
      </c>
      <c r="P7" s="22" t="s">
        <v>16</v>
      </c>
    </row>
    <row r="8" spans="1:16" s="2" customFormat="1" x14ac:dyDescent="0.35">
      <c r="A8" s="33" t="str">
        <f t="shared" si="1"/>
        <v>2025 JAN-JUN DISC 70% LICENSE ESS</v>
      </c>
      <c r="B8" s="34">
        <f t="shared" si="2"/>
        <v>46104</v>
      </c>
      <c r="C8" s="34">
        <f t="shared" si="2"/>
        <v>46113</v>
      </c>
      <c r="D8" s="33">
        <v>3287</v>
      </c>
      <c r="E8" s="33">
        <v>338</v>
      </c>
      <c r="F8" s="33">
        <v>4</v>
      </c>
      <c r="G8" s="24">
        <v>8</v>
      </c>
      <c r="H8" s="24">
        <v>81462</v>
      </c>
      <c r="I8" s="33" t="s">
        <v>17</v>
      </c>
      <c r="J8" s="24">
        <v>51694578</v>
      </c>
      <c r="K8" s="24" t="s">
        <v>2239</v>
      </c>
      <c r="L8" s="44" t="s">
        <v>2241</v>
      </c>
      <c r="M8" s="25">
        <v>119900</v>
      </c>
      <c r="N8" s="22">
        <f t="shared" si="3"/>
        <v>0.7</v>
      </c>
      <c r="O8" s="72">
        <f t="shared" si="0"/>
        <v>35970</v>
      </c>
      <c r="P8" s="22" t="s">
        <v>16</v>
      </c>
    </row>
    <row r="9" spans="1:16" s="2" customFormat="1" x14ac:dyDescent="0.35">
      <c r="A9" s="33" t="str">
        <f t="shared" si="1"/>
        <v>2025 JAN-JUN DISC 70% LICENSE ESS</v>
      </c>
      <c r="B9" s="34">
        <f t="shared" si="2"/>
        <v>46104</v>
      </c>
      <c r="C9" s="34">
        <f t="shared" si="2"/>
        <v>46113</v>
      </c>
      <c r="D9" s="33">
        <v>3287</v>
      </c>
      <c r="E9" s="33">
        <v>338</v>
      </c>
      <c r="F9" s="33">
        <v>4</v>
      </c>
      <c r="G9" s="24">
        <v>8</v>
      </c>
      <c r="H9" s="24">
        <v>81462</v>
      </c>
      <c r="I9" s="33" t="s">
        <v>17</v>
      </c>
      <c r="J9" s="24">
        <v>51694587</v>
      </c>
      <c r="K9" s="24" t="s">
        <v>2239</v>
      </c>
      <c r="L9" s="44" t="s">
        <v>2242</v>
      </c>
      <c r="M9" s="25">
        <v>119900</v>
      </c>
      <c r="N9" s="22">
        <f t="shared" si="3"/>
        <v>0.7</v>
      </c>
      <c r="O9" s="72">
        <f t="shared" si="0"/>
        <v>10770</v>
      </c>
      <c r="P9" s="22" t="s">
        <v>16</v>
      </c>
    </row>
    <row r="10" spans="1:16" s="2" customFormat="1" x14ac:dyDescent="0.35">
      <c r="A10" s="33" t="str">
        <f t="shared" si="1"/>
        <v>2025 JAN-JUN DISC 70% LICENSE ESS</v>
      </c>
      <c r="B10" s="34">
        <f t="shared" si="2"/>
        <v>46104</v>
      </c>
      <c r="C10" s="34">
        <f t="shared" si="2"/>
        <v>46113</v>
      </c>
      <c r="D10" s="33">
        <v>3287</v>
      </c>
      <c r="E10" s="33">
        <v>338</v>
      </c>
      <c r="F10" s="33">
        <v>4</v>
      </c>
      <c r="G10" s="24">
        <v>10</v>
      </c>
      <c r="H10" s="24">
        <v>81533</v>
      </c>
      <c r="I10" s="33" t="s">
        <v>17</v>
      </c>
      <c r="J10" s="24">
        <v>51694416</v>
      </c>
      <c r="K10" s="24" t="s">
        <v>2250</v>
      </c>
      <c r="L10" s="44" t="s">
        <v>2251</v>
      </c>
      <c r="M10" s="25">
        <v>35900</v>
      </c>
      <c r="N10" s="22">
        <f t="shared" si="3"/>
        <v>0.7</v>
      </c>
      <c r="O10" s="72">
        <f t="shared" si="0"/>
        <v>10770</v>
      </c>
      <c r="P10" s="22" t="s">
        <v>16</v>
      </c>
    </row>
    <row r="11" spans="1:16" s="2" customFormat="1" x14ac:dyDescent="0.35">
      <c r="A11" s="33" t="str">
        <f t="shared" si="1"/>
        <v>2025 JAN-JUN DISC 70% LICENSE ESS</v>
      </c>
      <c r="B11" s="34">
        <f t="shared" si="2"/>
        <v>46104</v>
      </c>
      <c r="C11" s="34">
        <f t="shared" si="2"/>
        <v>46113</v>
      </c>
      <c r="D11" s="33">
        <v>3287</v>
      </c>
      <c r="E11" s="33">
        <v>338</v>
      </c>
      <c r="F11" s="33">
        <v>4</v>
      </c>
      <c r="G11" s="24">
        <v>10</v>
      </c>
      <c r="H11" s="24">
        <v>81533</v>
      </c>
      <c r="I11" s="33" t="s">
        <v>17</v>
      </c>
      <c r="J11" s="24">
        <v>51694425</v>
      </c>
      <c r="K11" s="24" t="s">
        <v>2250</v>
      </c>
      <c r="L11" s="44" t="s">
        <v>2267</v>
      </c>
      <c r="M11" s="25">
        <v>35900</v>
      </c>
      <c r="N11" s="22">
        <f t="shared" si="3"/>
        <v>0.7</v>
      </c>
      <c r="O11" s="72">
        <f t="shared" si="0"/>
        <v>10770</v>
      </c>
      <c r="P11" s="22" t="s">
        <v>16</v>
      </c>
    </row>
    <row r="12" spans="1:16" s="2" customFormat="1" x14ac:dyDescent="0.35">
      <c r="A12" s="33" t="str">
        <f t="shared" si="1"/>
        <v>2025 JAN-JUN DISC 70% LICENSE ESS</v>
      </c>
      <c r="B12" s="34">
        <f t="shared" si="2"/>
        <v>46104</v>
      </c>
      <c r="C12" s="34">
        <f t="shared" si="2"/>
        <v>46113</v>
      </c>
      <c r="D12" s="33">
        <v>3287</v>
      </c>
      <c r="E12" s="33">
        <v>338</v>
      </c>
      <c r="F12" s="33">
        <v>4</v>
      </c>
      <c r="G12" s="24">
        <v>10</v>
      </c>
      <c r="H12" s="24">
        <v>81533</v>
      </c>
      <c r="I12" s="33" t="s">
        <v>17</v>
      </c>
      <c r="J12" s="24">
        <v>51694498</v>
      </c>
      <c r="K12" s="24" t="s">
        <v>2248</v>
      </c>
      <c r="L12" s="44" t="s">
        <v>2249</v>
      </c>
      <c r="M12" s="25">
        <v>35900</v>
      </c>
      <c r="N12" s="22">
        <f t="shared" si="3"/>
        <v>0.7</v>
      </c>
      <c r="O12" s="72">
        <f t="shared" si="0"/>
        <v>10770</v>
      </c>
      <c r="P12" s="22" t="s">
        <v>16</v>
      </c>
    </row>
    <row r="13" spans="1:16" s="2" customFormat="1" x14ac:dyDescent="0.35">
      <c r="A13" s="33" t="str">
        <f t="shared" si="1"/>
        <v>2025 JAN-JUN DISC 70% LICENSE ESS</v>
      </c>
      <c r="B13" s="34">
        <f t="shared" si="2"/>
        <v>46104</v>
      </c>
      <c r="C13" s="34">
        <f t="shared" si="2"/>
        <v>46113</v>
      </c>
      <c r="D13" s="33">
        <v>3287</v>
      </c>
      <c r="E13" s="33">
        <v>338</v>
      </c>
      <c r="F13" s="33">
        <v>4</v>
      </c>
      <c r="G13" s="24">
        <v>10</v>
      </c>
      <c r="H13" s="24">
        <v>81533</v>
      </c>
      <c r="I13" s="33" t="s">
        <v>17</v>
      </c>
      <c r="J13" s="24">
        <v>51694505</v>
      </c>
      <c r="K13" s="24" t="s">
        <v>2248</v>
      </c>
      <c r="L13" s="44" t="s">
        <v>2260</v>
      </c>
      <c r="M13" s="25">
        <v>35900</v>
      </c>
      <c r="N13" s="22">
        <f t="shared" si="3"/>
        <v>0.7</v>
      </c>
      <c r="O13" s="72">
        <f t="shared" si="0"/>
        <v>10770</v>
      </c>
      <c r="P13" s="22" t="s">
        <v>16</v>
      </c>
    </row>
    <row r="14" spans="1:16" s="2" customFormat="1" x14ac:dyDescent="0.35">
      <c r="A14" s="33" t="str">
        <f t="shared" si="1"/>
        <v>2025 JAN-JUN DISC 70% LICENSE ESS</v>
      </c>
      <c r="B14" s="34">
        <f t="shared" si="2"/>
        <v>46104</v>
      </c>
      <c r="C14" s="34">
        <f t="shared" si="2"/>
        <v>46113</v>
      </c>
      <c r="D14" s="33">
        <v>3287</v>
      </c>
      <c r="E14" s="33">
        <v>338</v>
      </c>
      <c r="F14" s="33">
        <v>4</v>
      </c>
      <c r="G14" s="24">
        <v>10</v>
      </c>
      <c r="H14" s="24">
        <v>81533</v>
      </c>
      <c r="I14" s="33" t="s">
        <v>17</v>
      </c>
      <c r="J14" s="24">
        <v>51694532</v>
      </c>
      <c r="K14" s="24" t="s">
        <v>2254</v>
      </c>
      <c r="L14" s="44" t="s">
        <v>2255</v>
      </c>
      <c r="M14" s="25">
        <v>35900</v>
      </c>
      <c r="N14" s="22">
        <f t="shared" si="3"/>
        <v>0.7</v>
      </c>
      <c r="O14" s="72">
        <f t="shared" si="0"/>
        <v>10770</v>
      </c>
      <c r="P14" s="22" t="s">
        <v>16</v>
      </c>
    </row>
    <row r="15" spans="1:16" s="2" customFormat="1" x14ac:dyDescent="0.35">
      <c r="A15" s="33" t="str">
        <f t="shared" si="1"/>
        <v>2025 JAN-JUN DISC 70% LICENSE ESS</v>
      </c>
      <c r="B15" s="34">
        <f t="shared" si="2"/>
        <v>46104</v>
      </c>
      <c r="C15" s="34">
        <f t="shared" si="2"/>
        <v>46113</v>
      </c>
      <c r="D15" s="33">
        <v>3287</v>
      </c>
      <c r="E15" s="33">
        <v>338</v>
      </c>
      <c r="F15" s="33">
        <v>4</v>
      </c>
      <c r="G15" s="24">
        <v>10</v>
      </c>
      <c r="H15" s="24">
        <v>81533</v>
      </c>
      <c r="I15" s="33" t="s">
        <v>17</v>
      </c>
      <c r="J15" s="24">
        <v>51694541</v>
      </c>
      <c r="K15" s="24" t="s">
        <v>2254</v>
      </c>
      <c r="L15" s="44" t="s">
        <v>2257</v>
      </c>
      <c r="M15" s="25">
        <v>35900</v>
      </c>
      <c r="N15" s="22">
        <f t="shared" si="3"/>
        <v>0.7</v>
      </c>
      <c r="O15" s="72">
        <f t="shared" si="0"/>
        <v>10770</v>
      </c>
      <c r="P15" s="22" t="s">
        <v>16</v>
      </c>
    </row>
    <row r="16" spans="1:16" s="2" customFormat="1" x14ac:dyDescent="0.35">
      <c r="A16" s="33" t="str">
        <f t="shared" si="1"/>
        <v>2025 JAN-JUN DISC 70% LICENSE ESS</v>
      </c>
      <c r="B16" s="34">
        <f t="shared" si="2"/>
        <v>46104</v>
      </c>
      <c r="C16" s="34">
        <f t="shared" si="2"/>
        <v>46113</v>
      </c>
      <c r="D16" s="33">
        <v>3287</v>
      </c>
      <c r="E16" s="33">
        <v>338</v>
      </c>
      <c r="F16" s="33">
        <v>4</v>
      </c>
      <c r="G16" s="24">
        <v>10</v>
      </c>
      <c r="H16" s="24">
        <v>81533</v>
      </c>
      <c r="I16" s="33" t="s">
        <v>17</v>
      </c>
      <c r="J16" s="24">
        <v>51694470</v>
      </c>
      <c r="K16" s="24" t="s">
        <v>2244</v>
      </c>
      <c r="L16" s="44" t="s">
        <v>2245</v>
      </c>
      <c r="M16" s="25">
        <v>35900</v>
      </c>
      <c r="N16" s="22">
        <f t="shared" si="3"/>
        <v>0.7</v>
      </c>
      <c r="O16" s="72">
        <f t="shared" si="0"/>
        <v>10770</v>
      </c>
      <c r="P16" s="22" t="s">
        <v>16</v>
      </c>
    </row>
    <row r="17" spans="1:16" s="2" customFormat="1" x14ac:dyDescent="0.35">
      <c r="A17" s="33" t="str">
        <f t="shared" si="1"/>
        <v>2025 JAN-JUN DISC 70% LICENSE ESS</v>
      </c>
      <c r="B17" s="34">
        <f t="shared" si="2"/>
        <v>46104</v>
      </c>
      <c r="C17" s="34">
        <f t="shared" si="2"/>
        <v>46113</v>
      </c>
      <c r="D17" s="33">
        <v>3287</v>
      </c>
      <c r="E17" s="33">
        <v>338</v>
      </c>
      <c r="F17" s="33">
        <v>4</v>
      </c>
      <c r="G17" s="24">
        <v>10</v>
      </c>
      <c r="H17" s="24">
        <v>81533</v>
      </c>
      <c r="I17" s="33" t="s">
        <v>17</v>
      </c>
      <c r="J17" s="24">
        <v>51694489</v>
      </c>
      <c r="K17" s="24" t="s">
        <v>2244</v>
      </c>
      <c r="L17" s="44" t="s">
        <v>2256</v>
      </c>
      <c r="M17" s="25">
        <v>35900</v>
      </c>
      <c r="N17" s="22">
        <f t="shared" si="3"/>
        <v>0.7</v>
      </c>
      <c r="O17" s="72">
        <f t="shared" si="0"/>
        <v>10770</v>
      </c>
      <c r="P17" s="22" t="s">
        <v>16</v>
      </c>
    </row>
    <row r="18" spans="1:16" s="2" customFormat="1" x14ac:dyDescent="0.35">
      <c r="A18" s="33" t="str">
        <f t="shared" si="1"/>
        <v>2025 JAN-JUN DISC 70% LICENSE ESS</v>
      </c>
      <c r="B18" s="34">
        <f t="shared" si="2"/>
        <v>46104</v>
      </c>
      <c r="C18" s="34">
        <f t="shared" si="2"/>
        <v>46113</v>
      </c>
      <c r="D18" s="33">
        <v>3287</v>
      </c>
      <c r="E18" s="33">
        <v>338</v>
      </c>
      <c r="F18" s="33">
        <v>4</v>
      </c>
      <c r="G18" s="24">
        <v>10</v>
      </c>
      <c r="H18" s="24">
        <v>81533</v>
      </c>
      <c r="I18" s="33" t="s">
        <v>17</v>
      </c>
      <c r="J18" s="24">
        <v>51694514</v>
      </c>
      <c r="K18" s="24" t="s">
        <v>2261</v>
      </c>
      <c r="L18" s="44" t="s">
        <v>2265</v>
      </c>
      <c r="M18" s="25">
        <v>35900</v>
      </c>
      <c r="N18" s="22">
        <f t="shared" si="3"/>
        <v>0.7</v>
      </c>
      <c r="O18" s="72">
        <f t="shared" si="0"/>
        <v>10770</v>
      </c>
      <c r="P18" s="22" t="s">
        <v>16</v>
      </c>
    </row>
    <row r="19" spans="1:16" s="2" customFormat="1" x14ac:dyDescent="0.35">
      <c r="A19" s="33" t="str">
        <f t="shared" si="1"/>
        <v>2025 JAN-JUN DISC 70% LICENSE ESS</v>
      </c>
      <c r="B19" s="34">
        <f t="shared" si="2"/>
        <v>46104</v>
      </c>
      <c r="C19" s="34">
        <f t="shared" si="2"/>
        <v>46113</v>
      </c>
      <c r="D19" s="33">
        <v>3287</v>
      </c>
      <c r="E19" s="33">
        <v>338</v>
      </c>
      <c r="F19" s="33">
        <v>4</v>
      </c>
      <c r="G19" s="24">
        <v>10</v>
      </c>
      <c r="H19" s="24">
        <v>81533</v>
      </c>
      <c r="I19" s="33" t="s">
        <v>17</v>
      </c>
      <c r="J19" s="24">
        <v>51694523</v>
      </c>
      <c r="K19" s="24" t="s">
        <v>2261</v>
      </c>
      <c r="L19" s="44" t="s">
        <v>2262</v>
      </c>
      <c r="M19" s="25">
        <v>35900</v>
      </c>
      <c r="N19" s="22">
        <f t="shared" si="3"/>
        <v>0.7</v>
      </c>
      <c r="O19" s="72">
        <f t="shared" si="0"/>
        <v>10770</v>
      </c>
      <c r="P19" s="22" t="s">
        <v>16</v>
      </c>
    </row>
    <row r="20" spans="1:16" s="2" customFormat="1" x14ac:dyDescent="0.35">
      <c r="A20" s="33" t="str">
        <f t="shared" si="1"/>
        <v>2025 JAN-JUN DISC 70% LICENSE ESS</v>
      </c>
      <c r="B20" s="34">
        <f t="shared" ref="B20:B83" si="4">B19</f>
        <v>46104</v>
      </c>
      <c r="C20" s="34">
        <f t="shared" ref="C20:C83" si="5">C19</f>
        <v>46113</v>
      </c>
      <c r="D20" s="33">
        <v>3287</v>
      </c>
      <c r="E20" s="33">
        <v>338</v>
      </c>
      <c r="F20" s="33">
        <v>4</v>
      </c>
      <c r="G20" s="24">
        <v>10</v>
      </c>
      <c r="H20" s="24">
        <v>81533</v>
      </c>
      <c r="I20" s="33" t="s">
        <v>17</v>
      </c>
      <c r="J20" s="24">
        <v>51694452</v>
      </c>
      <c r="K20" s="24" t="s">
        <v>2246</v>
      </c>
      <c r="L20" s="44" t="s">
        <v>2264</v>
      </c>
      <c r="M20" s="25">
        <v>35900</v>
      </c>
      <c r="N20" s="22">
        <f t="shared" si="3"/>
        <v>0.7</v>
      </c>
      <c r="O20" s="72">
        <f t="shared" si="0"/>
        <v>10770</v>
      </c>
      <c r="P20" s="22" t="s">
        <v>16</v>
      </c>
    </row>
    <row r="21" spans="1:16" s="2" customFormat="1" x14ac:dyDescent="0.35">
      <c r="A21" s="33" t="str">
        <f t="shared" si="1"/>
        <v>2025 JAN-JUN DISC 70% LICENSE ESS</v>
      </c>
      <c r="B21" s="34">
        <f t="shared" si="4"/>
        <v>46104</v>
      </c>
      <c r="C21" s="34">
        <f t="shared" si="5"/>
        <v>46113</v>
      </c>
      <c r="D21" s="33">
        <v>3287</v>
      </c>
      <c r="E21" s="33">
        <v>338</v>
      </c>
      <c r="F21" s="33">
        <v>4</v>
      </c>
      <c r="G21" s="24">
        <v>10</v>
      </c>
      <c r="H21" s="24">
        <v>81533</v>
      </c>
      <c r="I21" s="33" t="s">
        <v>17</v>
      </c>
      <c r="J21" s="24">
        <v>51694461</v>
      </c>
      <c r="K21" s="24" t="s">
        <v>2246</v>
      </c>
      <c r="L21" s="44" t="s">
        <v>2247</v>
      </c>
      <c r="M21" s="25">
        <v>35900</v>
      </c>
      <c r="N21" s="22">
        <f t="shared" si="3"/>
        <v>0.7</v>
      </c>
      <c r="O21" s="72">
        <f t="shared" si="0"/>
        <v>35970</v>
      </c>
      <c r="P21" s="22" t="s">
        <v>16</v>
      </c>
    </row>
    <row r="22" spans="1:16" s="2" customFormat="1" x14ac:dyDescent="0.35">
      <c r="A22" s="33" t="str">
        <f t="shared" si="1"/>
        <v>2025 JAN-JUN DISC 70% LICENSE ESS</v>
      </c>
      <c r="B22" s="34">
        <f t="shared" si="4"/>
        <v>46104</v>
      </c>
      <c r="C22" s="34">
        <f t="shared" si="5"/>
        <v>46113</v>
      </c>
      <c r="D22" s="33">
        <v>3287</v>
      </c>
      <c r="E22" s="33">
        <v>338</v>
      </c>
      <c r="F22" s="33">
        <v>4</v>
      </c>
      <c r="G22" s="24">
        <v>1</v>
      </c>
      <c r="H22" s="24">
        <v>81462</v>
      </c>
      <c r="I22" s="33" t="s">
        <v>17</v>
      </c>
      <c r="J22" s="24">
        <v>51395758</v>
      </c>
      <c r="K22" s="24" t="s">
        <v>1966</v>
      </c>
      <c r="L22" s="44" t="s">
        <v>1968</v>
      </c>
      <c r="M22" s="25">
        <v>119900</v>
      </c>
      <c r="N22" s="22">
        <f t="shared" si="3"/>
        <v>0.7</v>
      </c>
      <c r="O22" s="72">
        <f t="shared" si="0"/>
        <v>35970</v>
      </c>
      <c r="P22" s="22" t="s">
        <v>16</v>
      </c>
    </row>
    <row r="23" spans="1:16" s="2" customFormat="1" x14ac:dyDescent="0.35">
      <c r="A23" s="33" t="str">
        <f t="shared" si="1"/>
        <v>2025 JAN-JUN DISC 70% LICENSE ESS</v>
      </c>
      <c r="B23" s="34">
        <f t="shared" si="4"/>
        <v>46104</v>
      </c>
      <c r="C23" s="34">
        <f t="shared" si="5"/>
        <v>46113</v>
      </c>
      <c r="D23" s="33">
        <v>3287</v>
      </c>
      <c r="E23" s="33">
        <v>338</v>
      </c>
      <c r="F23" s="33">
        <v>4</v>
      </c>
      <c r="G23" s="24">
        <v>1</v>
      </c>
      <c r="H23" s="24">
        <v>81462</v>
      </c>
      <c r="I23" s="33" t="s">
        <v>17</v>
      </c>
      <c r="J23" s="24">
        <v>51395767</v>
      </c>
      <c r="K23" s="24" t="s">
        <v>1966</v>
      </c>
      <c r="L23" s="44" t="s">
        <v>1970</v>
      </c>
      <c r="M23" s="25">
        <v>119900</v>
      </c>
      <c r="N23" s="22">
        <f t="shared" si="3"/>
        <v>0.7</v>
      </c>
      <c r="O23" s="72">
        <f t="shared" si="0"/>
        <v>35970</v>
      </c>
      <c r="P23" s="22" t="s">
        <v>16</v>
      </c>
    </row>
    <row r="24" spans="1:16" s="2" customFormat="1" x14ac:dyDescent="0.35">
      <c r="A24" s="33" t="str">
        <f t="shared" si="1"/>
        <v>2025 JAN-JUN DISC 70% LICENSE ESS</v>
      </c>
      <c r="B24" s="34">
        <f t="shared" si="4"/>
        <v>46104</v>
      </c>
      <c r="C24" s="34">
        <f t="shared" si="5"/>
        <v>46113</v>
      </c>
      <c r="D24" s="33">
        <v>3287</v>
      </c>
      <c r="E24" s="33">
        <v>338</v>
      </c>
      <c r="F24" s="33">
        <v>4</v>
      </c>
      <c r="G24" s="24">
        <v>1</v>
      </c>
      <c r="H24" s="24">
        <v>81462</v>
      </c>
      <c r="I24" s="33" t="s">
        <v>17</v>
      </c>
      <c r="J24" s="24">
        <v>51395776</v>
      </c>
      <c r="K24" s="24" t="s">
        <v>1966</v>
      </c>
      <c r="L24" s="44" t="s">
        <v>1969</v>
      </c>
      <c r="M24" s="25">
        <v>119900</v>
      </c>
      <c r="N24" s="22">
        <f t="shared" si="3"/>
        <v>0.7</v>
      </c>
      <c r="O24" s="72">
        <f t="shared" si="0"/>
        <v>35970</v>
      </c>
      <c r="P24" s="22" t="s">
        <v>16</v>
      </c>
    </row>
    <row r="25" spans="1:16" s="2" customFormat="1" x14ac:dyDescent="0.35">
      <c r="A25" s="33" t="str">
        <f t="shared" si="1"/>
        <v>2025 JAN-JUN DISC 70% LICENSE ESS</v>
      </c>
      <c r="B25" s="34">
        <f t="shared" si="4"/>
        <v>46104</v>
      </c>
      <c r="C25" s="34">
        <f t="shared" si="5"/>
        <v>46113</v>
      </c>
      <c r="D25" s="33">
        <v>3287</v>
      </c>
      <c r="E25" s="33">
        <v>338</v>
      </c>
      <c r="F25" s="33">
        <v>4</v>
      </c>
      <c r="G25" s="24">
        <v>1</v>
      </c>
      <c r="H25" s="24">
        <v>81462</v>
      </c>
      <c r="I25" s="33" t="s">
        <v>17</v>
      </c>
      <c r="J25" s="24">
        <v>51395785</v>
      </c>
      <c r="K25" s="24" t="s">
        <v>1966</v>
      </c>
      <c r="L25" s="44" t="s">
        <v>1967</v>
      </c>
      <c r="M25" s="25">
        <v>119900</v>
      </c>
      <c r="N25" s="22">
        <f t="shared" si="3"/>
        <v>0.7</v>
      </c>
      <c r="O25" s="72">
        <f t="shared" si="0"/>
        <v>35970</v>
      </c>
      <c r="P25" s="22" t="s">
        <v>16</v>
      </c>
    </row>
    <row r="26" spans="1:16" s="2" customFormat="1" x14ac:dyDescent="0.35">
      <c r="A26" s="33" t="str">
        <f t="shared" si="1"/>
        <v>2025 JAN-JUN DISC 70% LICENSE ESS</v>
      </c>
      <c r="B26" s="34">
        <f t="shared" si="4"/>
        <v>46104</v>
      </c>
      <c r="C26" s="34">
        <f t="shared" si="5"/>
        <v>46113</v>
      </c>
      <c r="D26" s="33">
        <v>3287</v>
      </c>
      <c r="E26" s="33">
        <v>338</v>
      </c>
      <c r="F26" s="33">
        <v>4</v>
      </c>
      <c r="G26" s="24">
        <v>1</v>
      </c>
      <c r="H26" s="24">
        <v>81462</v>
      </c>
      <c r="I26" s="33" t="s">
        <v>17</v>
      </c>
      <c r="J26" s="24">
        <v>51395712</v>
      </c>
      <c r="K26" s="24" t="s">
        <v>1961</v>
      </c>
      <c r="L26" s="44" t="s">
        <v>1964</v>
      </c>
      <c r="M26" s="25">
        <v>119900</v>
      </c>
      <c r="N26" s="22">
        <f t="shared" si="3"/>
        <v>0.7</v>
      </c>
      <c r="O26" s="72">
        <f t="shared" si="0"/>
        <v>35970</v>
      </c>
      <c r="P26" s="22" t="s">
        <v>16</v>
      </c>
    </row>
    <row r="27" spans="1:16" s="2" customFormat="1" x14ac:dyDescent="0.35">
      <c r="A27" s="33" t="str">
        <f t="shared" si="1"/>
        <v>2025 JAN-JUN DISC 70% LICENSE ESS</v>
      </c>
      <c r="B27" s="34">
        <f t="shared" si="4"/>
        <v>46104</v>
      </c>
      <c r="C27" s="34">
        <f t="shared" si="5"/>
        <v>46113</v>
      </c>
      <c r="D27" s="33">
        <v>3287</v>
      </c>
      <c r="E27" s="33">
        <v>338</v>
      </c>
      <c r="F27" s="33">
        <v>4</v>
      </c>
      <c r="G27" s="24">
        <v>1</v>
      </c>
      <c r="H27" s="24">
        <v>81462</v>
      </c>
      <c r="I27" s="33" t="s">
        <v>17</v>
      </c>
      <c r="J27" s="24">
        <v>51395721</v>
      </c>
      <c r="K27" s="24" t="s">
        <v>1961</v>
      </c>
      <c r="L27" s="44" t="s">
        <v>1965</v>
      </c>
      <c r="M27" s="25">
        <v>119900</v>
      </c>
      <c r="N27" s="22">
        <f t="shared" si="3"/>
        <v>0.7</v>
      </c>
      <c r="O27" s="72">
        <f t="shared" si="0"/>
        <v>35970</v>
      </c>
      <c r="P27" s="22" t="s">
        <v>16</v>
      </c>
    </row>
    <row r="28" spans="1:16" s="2" customFormat="1" x14ac:dyDescent="0.35">
      <c r="A28" s="33" t="str">
        <f t="shared" si="1"/>
        <v>2025 JAN-JUN DISC 70% LICENSE ESS</v>
      </c>
      <c r="B28" s="34">
        <f t="shared" si="4"/>
        <v>46104</v>
      </c>
      <c r="C28" s="34">
        <f t="shared" si="5"/>
        <v>46113</v>
      </c>
      <c r="D28" s="33">
        <v>3287</v>
      </c>
      <c r="E28" s="33">
        <v>338</v>
      </c>
      <c r="F28" s="33">
        <v>4</v>
      </c>
      <c r="G28" s="24">
        <v>1</v>
      </c>
      <c r="H28" s="24">
        <v>81462</v>
      </c>
      <c r="I28" s="33" t="s">
        <v>17</v>
      </c>
      <c r="J28" s="24">
        <v>51395730</v>
      </c>
      <c r="K28" s="24" t="s">
        <v>1961</v>
      </c>
      <c r="L28" s="44" t="s">
        <v>1962</v>
      </c>
      <c r="M28" s="25">
        <v>119900</v>
      </c>
      <c r="N28" s="22">
        <f t="shared" si="3"/>
        <v>0.7</v>
      </c>
      <c r="O28" s="72">
        <f t="shared" si="0"/>
        <v>35970</v>
      </c>
      <c r="P28" s="22" t="s">
        <v>16</v>
      </c>
    </row>
    <row r="29" spans="1:16" s="2" customFormat="1" x14ac:dyDescent="0.35">
      <c r="A29" s="33" t="str">
        <f t="shared" si="1"/>
        <v>2025 JAN-JUN DISC 70% LICENSE ESS</v>
      </c>
      <c r="B29" s="34">
        <f t="shared" si="4"/>
        <v>46104</v>
      </c>
      <c r="C29" s="34">
        <f t="shared" si="5"/>
        <v>46113</v>
      </c>
      <c r="D29" s="33">
        <v>3287</v>
      </c>
      <c r="E29" s="33">
        <v>338</v>
      </c>
      <c r="F29" s="33">
        <v>4</v>
      </c>
      <c r="G29" s="24">
        <v>1</v>
      </c>
      <c r="H29" s="24">
        <v>81462</v>
      </c>
      <c r="I29" s="33" t="s">
        <v>17</v>
      </c>
      <c r="J29" s="24">
        <v>51395749</v>
      </c>
      <c r="K29" s="24" t="s">
        <v>1961</v>
      </c>
      <c r="L29" s="44" t="s">
        <v>1963</v>
      </c>
      <c r="M29" s="25">
        <v>119900</v>
      </c>
      <c r="N29" s="22">
        <f t="shared" si="3"/>
        <v>0.7</v>
      </c>
      <c r="O29" s="72">
        <f t="shared" si="0"/>
        <v>35970</v>
      </c>
      <c r="P29" s="22" t="s">
        <v>16</v>
      </c>
    </row>
    <row r="30" spans="1:16" s="2" customFormat="1" x14ac:dyDescent="0.35">
      <c r="A30" s="33" t="str">
        <f t="shared" si="1"/>
        <v>2025 JAN-JUN DISC 70% LICENSE ESS</v>
      </c>
      <c r="B30" s="34">
        <f t="shared" si="4"/>
        <v>46104</v>
      </c>
      <c r="C30" s="34">
        <f t="shared" si="5"/>
        <v>46113</v>
      </c>
      <c r="D30" s="33">
        <v>3287</v>
      </c>
      <c r="E30" s="33">
        <v>338</v>
      </c>
      <c r="F30" s="33">
        <v>4</v>
      </c>
      <c r="G30" s="24">
        <v>1</v>
      </c>
      <c r="H30" s="24">
        <v>81462</v>
      </c>
      <c r="I30" s="33" t="s">
        <v>17</v>
      </c>
      <c r="J30" s="24">
        <v>51395632</v>
      </c>
      <c r="K30" s="24" t="s">
        <v>1956</v>
      </c>
      <c r="L30" s="44" t="s">
        <v>1957</v>
      </c>
      <c r="M30" s="25">
        <v>119900</v>
      </c>
      <c r="N30" s="22">
        <f t="shared" si="3"/>
        <v>0.7</v>
      </c>
      <c r="O30" s="72">
        <f t="shared" si="0"/>
        <v>35970</v>
      </c>
      <c r="P30" s="22" t="s">
        <v>16</v>
      </c>
    </row>
    <row r="31" spans="1:16" s="2" customFormat="1" x14ac:dyDescent="0.35">
      <c r="A31" s="33" t="str">
        <f t="shared" si="1"/>
        <v>2025 JAN-JUN DISC 70% LICENSE ESS</v>
      </c>
      <c r="B31" s="34">
        <f t="shared" si="4"/>
        <v>46104</v>
      </c>
      <c r="C31" s="34">
        <f t="shared" si="5"/>
        <v>46113</v>
      </c>
      <c r="D31" s="33">
        <v>3287</v>
      </c>
      <c r="E31" s="33">
        <v>338</v>
      </c>
      <c r="F31" s="33">
        <v>4</v>
      </c>
      <c r="G31" s="24">
        <v>1</v>
      </c>
      <c r="H31" s="24">
        <v>81462</v>
      </c>
      <c r="I31" s="33" t="s">
        <v>17</v>
      </c>
      <c r="J31" s="24">
        <v>51395641</v>
      </c>
      <c r="K31" s="24" t="s">
        <v>1956</v>
      </c>
      <c r="L31" s="44" t="s">
        <v>1960</v>
      </c>
      <c r="M31" s="25">
        <v>119900</v>
      </c>
      <c r="N31" s="22">
        <f t="shared" si="3"/>
        <v>0.7</v>
      </c>
      <c r="O31" s="72">
        <f t="shared" si="0"/>
        <v>35970</v>
      </c>
      <c r="P31" s="22" t="s">
        <v>16</v>
      </c>
    </row>
    <row r="32" spans="1:16" s="2" customFormat="1" x14ac:dyDescent="0.35">
      <c r="A32" s="33" t="str">
        <f t="shared" si="1"/>
        <v>2025 JAN-JUN DISC 70% LICENSE ESS</v>
      </c>
      <c r="B32" s="34">
        <f t="shared" si="4"/>
        <v>46104</v>
      </c>
      <c r="C32" s="34">
        <f t="shared" si="5"/>
        <v>46113</v>
      </c>
      <c r="D32" s="33">
        <v>3287</v>
      </c>
      <c r="E32" s="33">
        <v>338</v>
      </c>
      <c r="F32" s="33">
        <v>4</v>
      </c>
      <c r="G32" s="24">
        <v>1</v>
      </c>
      <c r="H32" s="24">
        <v>81462</v>
      </c>
      <c r="I32" s="33" t="s">
        <v>17</v>
      </c>
      <c r="J32" s="24">
        <v>51395650</v>
      </c>
      <c r="K32" s="24" t="s">
        <v>1956</v>
      </c>
      <c r="L32" s="44" t="s">
        <v>1959</v>
      </c>
      <c r="M32" s="25">
        <v>119900</v>
      </c>
      <c r="N32" s="22">
        <f t="shared" si="3"/>
        <v>0.7</v>
      </c>
      <c r="O32" s="72">
        <f t="shared" si="0"/>
        <v>35970</v>
      </c>
      <c r="P32" s="22" t="s">
        <v>16</v>
      </c>
    </row>
    <row r="33" spans="1:16" s="2" customFormat="1" x14ac:dyDescent="0.35">
      <c r="A33" s="33" t="str">
        <f t="shared" si="1"/>
        <v>2025 JAN-JUN DISC 70% LICENSE ESS</v>
      </c>
      <c r="B33" s="34">
        <f t="shared" si="4"/>
        <v>46104</v>
      </c>
      <c r="C33" s="34">
        <f t="shared" si="5"/>
        <v>46113</v>
      </c>
      <c r="D33" s="33">
        <v>3287</v>
      </c>
      <c r="E33" s="33">
        <v>338</v>
      </c>
      <c r="F33" s="33">
        <v>4</v>
      </c>
      <c r="G33" s="24">
        <v>1</v>
      </c>
      <c r="H33" s="24">
        <v>81462</v>
      </c>
      <c r="I33" s="33" t="s">
        <v>17</v>
      </c>
      <c r="J33" s="24">
        <v>51395669</v>
      </c>
      <c r="K33" s="24" t="s">
        <v>1956</v>
      </c>
      <c r="L33" s="44" t="s">
        <v>1958</v>
      </c>
      <c r="M33" s="25">
        <v>119900</v>
      </c>
      <c r="N33" s="22">
        <f t="shared" si="3"/>
        <v>0.7</v>
      </c>
      <c r="O33" s="72">
        <f t="shared" si="0"/>
        <v>10770</v>
      </c>
      <c r="P33" s="22" t="s">
        <v>16</v>
      </c>
    </row>
    <row r="34" spans="1:16" s="2" customFormat="1" x14ac:dyDescent="0.35">
      <c r="A34" s="33" t="str">
        <f t="shared" si="1"/>
        <v>2025 JAN-JUN DISC 70% LICENSE ESS</v>
      </c>
      <c r="B34" s="34">
        <f t="shared" si="4"/>
        <v>46104</v>
      </c>
      <c r="C34" s="34">
        <f t="shared" si="5"/>
        <v>46113</v>
      </c>
      <c r="D34" s="33">
        <v>3287</v>
      </c>
      <c r="E34" s="33">
        <v>338</v>
      </c>
      <c r="F34" s="33">
        <v>4</v>
      </c>
      <c r="G34" s="24">
        <v>7</v>
      </c>
      <c r="H34" s="24">
        <v>81827</v>
      </c>
      <c r="I34" s="33" t="s">
        <v>17</v>
      </c>
      <c r="J34" s="24">
        <v>51630467</v>
      </c>
      <c r="K34" s="24" t="s">
        <v>1971</v>
      </c>
      <c r="L34" s="44" t="s">
        <v>1972</v>
      </c>
      <c r="M34" s="25">
        <v>35900</v>
      </c>
      <c r="N34" s="22">
        <f t="shared" si="3"/>
        <v>0.7</v>
      </c>
      <c r="O34" s="72">
        <f t="shared" si="0"/>
        <v>10770</v>
      </c>
      <c r="P34" s="22" t="s">
        <v>16</v>
      </c>
    </row>
    <row r="35" spans="1:16" s="2" customFormat="1" x14ac:dyDescent="0.35">
      <c r="A35" s="33" t="str">
        <f t="shared" si="1"/>
        <v>2025 JAN-JUN DISC 70% LICENSE ESS</v>
      </c>
      <c r="B35" s="34">
        <f t="shared" si="4"/>
        <v>46104</v>
      </c>
      <c r="C35" s="34">
        <f t="shared" si="5"/>
        <v>46113</v>
      </c>
      <c r="D35" s="33">
        <v>3287</v>
      </c>
      <c r="E35" s="33">
        <v>338</v>
      </c>
      <c r="F35" s="33">
        <v>4</v>
      </c>
      <c r="G35" s="24">
        <v>7</v>
      </c>
      <c r="H35" s="24">
        <v>81827</v>
      </c>
      <c r="I35" s="33" t="s">
        <v>17</v>
      </c>
      <c r="J35" s="24">
        <v>51630476</v>
      </c>
      <c r="K35" s="24" t="s">
        <v>1971</v>
      </c>
      <c r="L35" s="44" t="s">
        <v>1973</v>
      </c>
      <c r="M35" s="25">
        <v>35900</v>
      </c>
      <c r="N35" s="22">
        <f t="shared" si="3"/>
        <v>0.7</v>
      </c>
      <c r="O35" s="72">
        <f t="shared" si="0"/>
        <v>10770</v>
      </c>
      <c r="P35" s="22" t="s">
        <v>16</v>
      </c>
    </row>
    <row r="36" spans="1:16" s="2" customFormat="1" x14ac:dyDescent="0.35">
      <c r="A36" s="33" t="str">
        <f t="shared" si="1"/>
        <v>2025 JAN-JUN DISC 70% LICENSE ESS</v>
      </c>
      <c r="B36" s="34">
        <f t="shared" si="4"/>
        <v>46104</v>
      </c>
      <c r="C36" s="34">
        <f t="shared" si="5"/>
        <v>46113</v>
      </c>
      <c r="D36" s="33">
        <v>3287</v>
      </c>
      <c r="E36" s="33">
        <v>338</v>
      </c>
      <c r="F36" s="33">
        <v>4</v>
      </c>
      <c r="G36" s="24">
        <v>7</v>
      </c>
      <c r="H36" s="24">
        <v>81827</v>
      </c>
      <c r="I36" s="33" t="s">
        <v>17</v>
      </c>
      <c r="J36" s="24">
        <v>51630403</v>
      </c>
      <c r="K36" s="24" t="s">
        <v>2011</v>
      </c>
      <c r="L36" s="44" t="s">
        <v>2012</v>
      </c>
      <c r="M36" s="25">
        <v>35900</v>
      </c>
      <c r="N36" s="22">
        <f t="shared" si="3"/>
        <v>0.7</v>
      </c>
      <c r="O36" s="72">
        <f t="shared" si="0"/>
        <v>10770</v>
      </c>
      <c r="P36" s="22" t="s">
        <v>16</v>
      </c>
    </row>
    <row r="37" spans="1:16" s="2" customFormat="1" x14ac:dyDescent="0.35">
      <c r="A37" s="33" t="str">
        <f t="shared" si="1"/>
        <v>2025 JAN-JUN DISC 70% LICENSE ESS</v>
      </c>
      <c r="B37" s="34">
        <f t="shared" si="4"/>
        <v>46104</v>
      </c>
      <c r="C37" s="34">
        <f t="shared" si="5"/>
        <v>46113</v>
      </c>
      <c r="D37" s="33">
        <v>3287</v>
      </c>
      <c r="E37" s="33">
        <v>338</v>
      </c>
      <c r="F37" s="33">
        <v>4</v>
      </c>
      <c r="G37" s="24">
        <v>7</v>
      </c>
      <c r="H37" s="24">
        <v>81827</v>
      </c>
      <c r="I37" s="33" t="s">
        <v>17</v>
      </c>
      <c r="J37" s="24">
        <v>51630412</v>
      </c>
      <c r="K37" s="24" t="s">
        <v>2011</v>
      </c>
      <c r="L37" s="44" t="s">
        <v>2013</v>
      </c>
      <c r="M37" s="25">
        <v>35900</v>
      </c>
      <c r="N37" s="22">
        <f t="shared" si="3"/>
        <v>0.7</v>
      </c>
      <c r="O37" s="72">
        <f t="shared" si="0"/>
        <v>10770</v>
      </c>
      <c r="P37" s="22" t="s">
        <v>16</v>
      </c>
    </row>
    <row r="38" spans="1:16" s="2" customFormat="1" x14ac:dyDescent="0.35">
      <c r="A38" s="33" t="str">
        <f t="shared" si="1"/>
        <v>2025 JAN-JUN DISC 70% LICENSE ESS</v>
      </c>
      <c r="B38" s="34">
        <f t="shared" si="4"/>
        <v>46104</v>
      </c>
      <c r="C38" s="34">
        <f t="shared" si="5"/>
        <v>46113</v>
      </c>
      <c r="D38" s="33">
        <v>3287</v>
      </c>
      <c r="E38" s="33">
        <v>338</v>
      </c>
      <c r="F38" s="33">
        <v>4</v>
      </c>
      <c r="G38" s="24">
        <v>7</v>
      </c>
      <c r="H38" s="24">
        <v>81827</v>
      </c>
      <c r="I38" s="33" t="s">
        <v>17</v>
      </c>
      <c r="J38" s="24">
        <v>51630485</v>
      </c>
      <c r="K38" s="24" t="s">
        <v>1974</v>
      </c>
      <c r="L38" s="44" t="s">
        <v>1975</v>
      </c>
      <c r="M38" s="25">
        <v>35900</v>
      </c>
      <c r="N38" s="22">
        <f t="shared" si="3"/>
        <v>0.7</v>
      </c>
      <c r="O38" s="72">
        <f t="shared" si="0"/>
        <v>10770</v>
      </c>
      <c r="P38" s="22" t="s">
        <v>16</v>
      </c>
    </row>
    <row r="39" spans="1:16" s="2" customFormat="1" x14ac:dyDescent="0.35">
      <c r="A39" s="33" t="str">
        <f t="shared" si="1"/>
        <v>2025 JAN-JUN DISC 70% LICENSE ESS</v>
      </c>
      <c r="B39" s="34">
        <f t="shared" si="4"/>
        <v>46104</v>
      </c>
      <c r="C39" s="34">
        <f t="shared" si="5"/>
        <v>46113</v>
      </c>
      <c r="D39" s="33">
        <v>3287</v>
      </c>
      <c r="E39" s="33">
        <v>338</v>
      </c>
      <c r="F39" s="33">
        <v>4</v>
      </c>
      <c r="G39" s="24">
        <v>7</v>
      </c>
      <c r="H39" s="24">
        <v>81827</v>
      </c>
      <c r="I39" s="33" t="s">
        <v>17</v>
      </c>
      <c r="J39" s="24">
        <v>51630494</v>
      </c>
      <c r="K39" s="24" t="s">
        <v>1974</v>
      </c>
      <c r="L39" s="44" t="s">
        <v>1976</v>
      </c>
      <c r="M39" s="25">
        <v>35900</v>
      </c>
      <c r="N39" s="22">
        <f t="shared" si="3"/>
        <v>0.7</v>
      </c>
      <c r="O39" s="72">
        <f t="shared" si="0"/>
        <v>10770</v>
      </c>
      <c r="P39" s="22" t="s">
        <v>16</v>
      </c>
    </row>
    <row r="40" spans="1:16" s="2" customFormat="1" x14ac:dyDescent="0.35">
      <c r="A40" s="33" t="str">
        <f t="shared" si="1"/>
        <v>2025 JAN-JUN DISC 70% LICENSE ESS</v>
      </c>
      <c r="B40" s="34">
        <f t="shared" si="4"/>
        <v>46104</v>
      </c>
      <c r="C40" s="34">
        <f t="shared" si="5"/>
        <v>46113</v>
      </c>
      <c r="D40" s="33">
        <v>3287</v>
      </c>
      <c r="E40" s="33">
        <v>338</v>
      </c>
      <c r="F40" s="33">
        <v>4</v>
      </c>
      <c r="G40" s="24">
        <v>7</v>
      </c>
      <c r="H40" s="24">
        <v>81827</v>
      </c>
      <c r="I40" s="33" t="s">
        <v>17</v>
      </c>
      <c r="J40" s="24">
        <v>51630421</v>
      </c>
      <c r="K40" s="24" t="s">
        <v>2014</v>
      </c>
      <c r="L40" s="44" t="s">
        <v>2015</v>
      </c>
      <c r="M40" s="25">
        <v>35900</v>
      </c>
      <c r="N40" s="22">
        <f t="shared" si="3"/>
        <v>0.7</v>
      </c>
      <c r="O40" s="72">
        <f t="shared" si="0"/>
        <v>10770</v>
      </c>
      <c r="P40" s="22" t="s">
        <v>16</v>
      </c>
    </row>
    <row r="41" spans="1:16" s="2" customFormat="1" x14ac:dyDescent="0.35">
      <c r="A41" s="33" t="str">
        <f t="shared" si="1"/>
        <v>2025 JAN-JUN DISC 70% LICENSE ESS</v>
      </c>
      <c r="B41" s="34">
        <f t="shared" si="4"/>
        <v>46104</v>
      </c>
      <c r="C41" s="34">
        <f t="shared" si="5"/>
        <v>46113</v>
      </c>
      <c r="D41" s="33">
        <v>3287</v>
      </c>
      <c r="E41" s="33">
        <v>338</v>
      </c>
      <c r="F41" s="33">
        <v>4</v>
      </c>
      <c r="G41" s="24">
        <v>7</v>
      </c>
      <c r="H41" s="24">
        <v>81827</v>
      </c>
      <c r="I41" s="33" t="s">
        <v>17</v>
      </c>
      <c r="J41" s="24">
        <v>51630430</v>
      </c>
      <c r="K41" s="24" t="s">
        <v>2014</v>
      </c>
      <c r="L41" s="44" t="s">
        <v>2016</v>
      </c>
      <c r="M41" s="25">
        <v>35900</v>
      </c>
      <c r="N41" s="22">
        <f t="shared" si="3"/>
        <v>0.7</v>
      </c>
      <c r="O41" s="72">
        <f t="shared" si="0"/>
        <v>35970</v>
      </c>
      <c r="P41" s="22" t="s">
        <v>16</v>
      </c>
    </row>
    <row r="42" spans="1:16" s="2" customFormat="1" x14ac:dyDescent="0.35">
      <c r="A42" s="33" t="str">
        <f t="shared" si="1"/>
        <v>2025 JAN-JUN DISC 70% LICENSE ESS</v>
      </c>
      <c r="B42" s="34">
        <f t="shared" si="4"/>
        <v>46104</v>
      </c>
      <c r="C42" s="34">
        <f t="shared" si="5"/>
        <v>46113</v>
      </c>
      <c r="D42" s="33">
        <v>3287</v>
      </c>
      <c r="E42" s="33">
        <v>338</v>
      </c>
      <c r="F42" s="33">
        <v>4</v>
      </c>
      <c r="G42" s="24">
        <v>3</v>
      </c>
      <c r="H42" s="24">
        <v>81462</v>
      </c>
      <c r="I42" s="33" t="s">
        <v>17</v>
      </c>
      <c r="J42" s="24">
        <v>51943110</v>
      </c>
      <c r="K42" s="24" t="s">
        <v>2186</v>
      </c>
      <c r="L42" s="44" t="s">
        <v>2189</v>
      </c>
      <c r="M42" s="25">
        <v>119900</v>
      </c>
      <c r="N42" s="22">
        <f t="shared" si="3"/>
        <v>0.7</v>
      </c>
      <c r="O42" s="72">
        <f t="shared" si="0"/>
        <v>35970</v>
      </c>
      <c r="P42" s="22" t="s">
        <v>16</v>
      </c>
    </row>
    <row r="43" spans="1:16" s="2" customFormat="1" x14ac:dyDescent="0.35">
      <c r="A43" s="33" t="str">
        <f t="shared" si="1"/>
        <v>2025 JAN-JUN DISC 70% LICENSE ESS</v>
      </c>
      <c r="B43" s="34">
        <f t="shared" si="4"/>
        <v>46104</v>
      </c>
      <c r="C43" s="34">
        <f t="shared" si="5"/>
        <v>46113</v>
      </c>
      <c r="D43" s="33">
        <v>3287</v>
      </c>
      <c r="E43" s="33">
        <v>338</v>
      </c>
      <c r="F43" s="33">
        <v>4</v>
      </c>
      <c r="G43" s="24">
        <v>3</v>
      </c>
      <c r="H43" s="24">
        <v>81462</v>
      </c>
      <c r="I43" s="33" t="s">
        <v>17</v>
      </c>
      <c r="J43" s="24">
        <v>51943129</v>
      </c>
      <c r="K43" s="24" t="s">
        <v>2186</v>
      </c>
      <c r="L43" s="44" t="s">
        <v>2187</v>
      </c>
      <c r="M43" s="25">
        <v>119900</v>
      </c>
      <c r="N43" s="22">
        <f t="shared" si="3"/>
        <v>0.7</v>
      </c>
      <c r="O43" s="72">
        <f t="shared" si="0"/>
        <v>35970</v>
      </c>
      <c r="P43" s="22" t="s">
        <v>16</v>
      </c>
    </row>
    <row r="44" spans="1:16" s="2" customFormat="1" x14ac:dyDescent="0.35">
      <c r="A44" s="33" t="str">
        <f t="shared" si="1"/>
        <v>2025 JAN-JUN DISC 70% LICENSE ESS</v>
      </c>
      <c r="B44" s="34">
        <f t="shared" si="4"/>
        <v>46104</v>
      </c>
      <c r="C44" s="34">
        <f t="shared" si="5"/>
        <v>46113</v>
      </c>
      <c r="D44" s="33">
        <v>3287</v>
      </c>
      <c r="E44" s="33">
        <v>338</v>
      </c>
      <c r="F44" s="33">
        <v>4</v>
      </c>
      <c r="G44" s="24">
        <v>3</v>
      </c>
      <c r="H44" s="24">
        <v>81462</v>
      </c>
      <c r="I44" s="33" t="s">
        <v>17</v>
      </c>
      <c r="J44" s="24">
        <v>51943138</v>
      </c>
      <c r="K44" s="24" t="s">
        <v>2186</v>
      </c>
      <c r="L44" s="44" t="s">
        <v>2190</v>
      </c>
      <c r="M44" s="25">
        <v>119900</v>
      </c>
      <c r="N44" s="22">
        <f t="shared" si="3"/>
        <v>0.7</v>
      </c>
      <c r="O44" s="72">
        <f t="shared" si="0"/>
        <v>35970</v>
      </c>
      <c r="P44" s="22" t="s">
        <v>16</v>
      </c>
    </row>
    <row r="45" spans="1:16" s="2" customFormat="1" x14ac:dyDescent="0.35">
      <c r="A45" s="33" t="str">
        <f t="shared" si="1"/>
        <v>2025 JAN-JUN DISC 70% LICENSE ESS</v>
      </c>
      <c r="B45" s="34">
        <f t="shared" si="4"/>
        <v>46104</v>
      </c>
      <c r="C45" s="34">
        <f t="shared" si="5"/>
        <v>46113</v>
      </c>
      <c r="D45" s="33">
        <v>3287</v>
      </c>
      <c r="E45" s="33">
        <v>338</v>
      </c>
      <c r="F45" s="33">
        <v>4</v>
      </c>
      <c r="G45" s="24">
        <v>3</v>
      </c>
      <c r="H45" s="24">
        <v>81462</v>
      </c>
      <c r="I45" s="33" t="s">
        <v>17</v>
      </c>
      <c r="J45" s="24">
        <v>51943147</v>
      </c>
      <c r="K45" s="24" t="s">
        <v>2186</v>
      </c>
      <c r="L45" s="44" t="s">
        <v>2188</v>
      </c>
      <c r="M45" s="25">
        <v>119900</v>
      </c>
      <c r="N45" s="22">
        <f t="shared" si="3"/>
        <v>0.7</v>
      </c>
      <c r="O45" s="72">
        <f t="shared" si="0"/>
        <v>35970</v>
      </c>
      <c r="P45" s="22" t="s">
        <v>16</v>
      </c>
    </row>
    <row r="46" spans="1:16" s="2" customFormat="1" x14ac:dyDescent="0.35">
      <c r="A46" s="33" t="str">
        <f t="shared" si="1"/>
        <v>2025 JAN-JUN DISC 70% LICENSE ESS</v>
      </c>
      <c r="B46" s="34">
        <f t="shared" si="4"/>
        <v>46104</v>
      </c>
      <c r="C46" s="34">
        <f t="shared" si="5"/>
        <v>46113</v>
      </c>
      <c r="D46" s="33">
        <v>3287</v>
      </c>
      <c r="E46" s="33">
        <v>338</v>
      </c>
      <c r="F46" s="33">
        <v>4</v>
      </c>
      <c r="G46" s="24">
        <v>3</v>
      </c>
      <c r="H46" s="24">
        <v>81574</v>
      </c>
      <c r="I46" s="33" t="s">
        <v>17</v>
      </c>
      <c r="J46" s="24">
        <v>51395874</v>
      </c>
      <c r="K46" s="24" t="s">
        <v>2006</v>
      </c>
      <c r="L46" s="44" t="s">
        <v>2010</v>
      </c>
      <c r="M46" s="25">
        <v>119900</v>
      </c>
      <c r="N46" s="22">
        <f t="shared" si="3"/>
        <v>0.7</v>
      </c>
      <c r="O46" s="72">
        <f t="shared" si="0"/>
        <v>35970</v>
      </c>
      <c r="P46" s="22" t="s">
        <v>16</v>
      </c>
    </row>
    <row r="47" spans="1:16" s="2" customFormat="1" x14ac:dyDescent="0.35">
      <c r="A47" s="33" t="str">
        <f t="shared" si="1"/>
        <v>2025 JAN-JUN DISC 70% LICENSE ESS</v>
      </c>
      <c r="B47" s="34">
        <f t="shared" si="4"/>
        <v>46104</v>
      </c>
      <c r="C47" s="34">
        <f t="shared" si="5"/>
        <v>46113</v>
      </c>
      <c r="D47" s="33">
        <v>3287</v>
      </c>
      <c r="E47" s="33">
        <v>338</v>
      </c>
      <c r="F47" s="33">
        <v>4</v>
      </c>
      <c r="G47" s="24">
        <v>3</v>
      </c>
      <c r="H47" s="24">
        <v>81574</v>
      </c>
      <c r="I47" s="33" t="s">
        <v>17</v>
      </c>
      <c r="J47" s="24">
        <v>51395883</v>
      </c>
      <c r="K47" s="24" t="s">
        <v>2006</v>
      </c>
      <c r="L47" s="44" t="s">
        <v>2009</v>
      </c>
      <c r="M47" s="25">
        <v>119900</v>
      </c>
      <c r="N47" s="22">
        <f t="shared" si="3"/>
        <v>0.7</v>
      </c>
      <c r="O47" s="72">
        <f t="shared" si="0"/>
        <v>35970</v>
      </c>
      <c r="P47" s="22" t="s">
        <v>16</v>
      </c>
    </row>
    <row r="48" spans="1:16" s="2" customFormat="1" x14ac:dyDescent="0.35">
      <c r="A48" s="33" t="str">
        <f t="shared" si="1"/>
        <v>2025 JAN-JUN DISC 70% LICENSE ESS</v>
      </c>
      <c r="B48" s="34">
        <f t="shared" si="4"/>
        <v>46104</v>
      </c>
      <c r="C48" s="34">
        <f t="shared" si="5"/>
        <v>46113</v>
      </c>
      <c r="D48" s="33">
        <v>3287</v>
      </c>
      <c r="E48" s="33">
        <v>338</v>
      </c>
      <c r="F48" s="33">
        <v>4</v>
      </c>
      <c r="G48" s="24">
        <v>3</v>
      </c>
      <c r="H48" s="24">
        <v>81574</v>
      </c>
      <c r="I48" s="33" t="s">
        <v>17</v>
      </c>
      <c r="J48" s="24">
        <v>51395892</v>
      </c>
      <c r="K48" s="24" t="s">
        <v>2006</v>
      </c>
      <c r="L48" s="44" t="s">
        <v>2008</v>
      </c>
      <c r="M48" s="25">
        <v>119900</v>
      </c>
      <c r="N48" s="22">
        <f t="shared" si="3"/>
        <v>0.7</v>
      </c>
      <c r="O48" s="72">
        <f t="shared" si="0"/>
        <v>35970</v>
      </c>
      <c r="P48" s="22" t="s">
        <v>16</v>
      </c>
    </row>
    <row r="49" spans="1:16" s="2" customFormat="1" x14ac:dyDescent="0.35">
      <c r="A49" s="33" t="str">
        <f t="shared" si="1"/>
        <v>2025 JAN-JUN DISC 70% LICENSE ESS</v>
      </c>
      <c r="B49" s="34">
        <f t="shared" si="4"/>
        <v>46104</v>
      </c>
      <c r="C49" s="34">
        <f t="shared" si="5"/>
        <v>46113</v>
      </c>
      <c r="D49" s="33">
        <v>3287</v>
      </c>
      <c r="E49" s="33">
        <v>338</v>
      </c>
      <c r="F49" s="33">
        <v>4</v>
      </c>
      <c r="G49" s="24">
        <v>3</v>
      </c>
      <c r="H49" s="24">
        <v>81574</v>
      </c>
      <c r="I49" s="33" t="s">
        <v>17</v>
      </c>
      <c r="J49" s="24">
        <v>51395909</v>
      </c>
      <c r="K49" s="24" t="s">
        <v>2006</v>
      </c>
      <c r="L49" s="44" t="s">
        <v>2007</v>
      </c>
      <c r="M49" s="25">
        <v>119900</v>
      </c>
      <c r="N49" s="22">
        <f t="shared" si="3"/>
        <v>0.7</v>
      </c>
      <c r="O49" s="72">
        <f t="shared" si="0"/>
        <v>35970</v>
      </c>
      <c r="P49" s="22" t="s">
        <v>16</v>
      </c>
    </row>
    <row r="50" spans="1:16" s="2" customFormat="1" x14ac:dyDescent="0.35">
      <c r="A50" s="33" t="str">
        <f t="shared" si="1"/>
        <v>2025 JAN-JUN DISC 70% LICENSE ESS</v>
      </c>
      <c r="B50" s="34">
        <f t="shared" si="4"/>
        <v>46104</v>
      </c>
      <c r="C50" s="34">
        <f t="shared" si="5"/>
        <v>46113</v>
      </c>
      <c r="D50" s="33">
        <v>3287</v>
      </c>
      <c r="E50" s="33">
        <v>338</v>
      </c>
      <c r="F50" s="33">
        <v>4</v>
      </c>
      <c r="G50" s="24">
        <v>3</v>
      </c>
      <c r="H50" s="24">
        <v>81574</v>
      </c>
      <c r="I50" s="33" t="s">
        <v>17</v>
      </c>
      <c r="J50" s="24">
        <v>51395918</v>
      </c>
      <c r="K50" s="24" t="s">
        <v>2001</v>
      </c>
      <c r="L50" s="44" t="s">
        <v>2002</v>
      </c>
      <c r="M50" s="25">
        <v>119900</v>
      </c>
      <c r="N50" s="22">
        <f t="shared" si="3"/>
        <v>0.7</v>
      </c>
      <c r="O50" s="72">
        <f t="shared" si="0"/>
        <v>35970</v>
      </c>
      <c r="P50" s="22" t="s">
        <v>16</v>
      </c>
    </row>
    <row r="51" spans="1:16" s="2" customFormat="1" x14ac:dyDescent="0.35">
      <c r="A51" s="33" t="str">
        <f t="shared" si="1"/>
        <v>2025 JAN-JUN DISC 70% LICENSE ESS</v>
      </c>
      <c r="B51" s="34">
        <f t="shared" si="4"/>
        <v>46104</v>
      </c>
      <c r="C51" s="34">
        <f t="shared" si="5"/>
        <v>46113</v>
      </c>
      <c r="D51" s="33">
        <v>3287</v>
      </c>
      <c r="E51" s="33">
        <v>338</v>
      </c>
      <c r="F51" s="33">
        <v>4</v>
      </c>
      <c r="G51" s="24">
        <v>3</v>
      </c>
      <c r="H51" s="24">
        <v>81574</v>
      </c>
      <c r="I51" s="33" t="s">
        <v>17</v>
      </c>
      <c r="J51" s="24">
        <v>51395927</v>
      </c>
      <c r="K51" s="24" t="s">
        <v>2001</v>
      </c>
      <c r="L51" s="44" t="s">
        <v>2004</v>
      </c>
      <c r="M51" s="25">
        <v>119900</v>
      </c>
      <c r="N51" s="22">
        <f t="shared" si="3"/>
        <v>0.7</v>
      </c>
      <c r="O51" s="72">
        <f t="shared" si="0"/>
        <v>35970</v>
      </c>
      <c r="P51" s="22" t="s">
        <v>16</v>
      </c>
    </row>
    <row r="52" spans="1:16" s="2" customFormat="1" x14ac:dyDescent="0.35">
      <c r="A52" s="33" t="str">
        <f t="shared" si="1"/>
        <v>2025 JAN-JUN DISC 70% LICENSE ESS</v>
      </c>
      <c r="B52" s="34">
        <f t="shared" si="4"/>
        <v>46104</v>
      </c>
      <c r="C52" s="34">
        <f t="shared" si="5"/>
        <v>46113</v>
      </c>
      <c r="D52" s="33">
        <v>3287</v>
      </c>
      <c r="E52" s="33">
        <v>338</v>
      </c>
      <c r="F52" s="33">
        <v>4</v>
      </c>
      <c r="G52" s="24">
        <v>3</v>
      </c>
      <c r="H52" s="24">
        <v>81574</v>
      </c>
      <c r="I52" s="33" t="s">
        <v>17</v>
      </c>
      <c r="J52" s="24">
        <v>51395936</v>
      </c>
      <c r="K52" s="24" t="s">
        <v>2001</v>
      </c>
      <c r="L52" s="44" t="s">
        <v>2003</v>
      </c>
      <c r="M52" s="25">
        <v>119900</v>
      </c>
      <c r="N52" s="22">
        <f t="shared" si="3"/>
        <v>0.7</v>
      </c>
      <c r="O52" s="72">
        <f t="shared" si="0"/>
        <v>35970</v>
      </c>
      <c r="P52" s="22" t="s">
        <v>16</v>
      </c>
    </row>
    <row r="53" spans="1:16" s="2" customFormat="1" x14ac:dyDescent="0.35">
      <c r="A53" s="33" t="str">
        <f t="shared" si="1"/>
        <v>2025 JAN-JUN DISC 70% LICENSE ESS</v>
      </c>
      <c r="B53" s="34">
        <f t="shared" si="4"/>
        <v>46104</v>
      </c>
      <c r="C53" s="34">
        <f t="shared" si="5"/>
        <v>46113</v>
      </c>
      <c r="D53" s="33">
        <v>3287</v>
      </c>
      <c r="E53" s="33">
        <v>338</v>
      </c>
      <c r="F53" s="33">
        <v>4</v>
      </c>
      <c r="G53" s="24">
        <v>3</v>
      </c>
      <c r="H53" s="24">
        <v>81574</v>
      </c>
      <c r="I53" s="33" t="s">
        <v>17</v>
      </c>
      <c r="J53" s="24">
        <v>51395945</v>
      </c>
      <c r="K53" s="24" t="s">
        <v>2001</v>
      </c>
      <c r="L53" s="44" t="s">
        <v>2005</v>
      </c>
      <c r="M53" s="25">
        <v>119900</v>
      </c>
      <c r="N53" s="22">
        <f t="shared" si="3"/>
        <v>0.7</v>
      </c>
      <c r="O53" s="72">
        <f t="shared" si="0"/>
        <v>10770</v>
      </c>
      <c r="P53" s="22" t="s">
        <v>16</v>
      </c>
    </row>
    <row r="54" spans="1:16" s="2" customFormat="1" x14ac:dyDescent="0.35">
      <c r="A54" s="33" t="str">
        <f t="shared" si="1"/>
        <v>2025 JAN-JUN DISC 70% LICENSE ESS</v>
      </c>
      <c r="B54" s="34">
        <f t="shared" si="4"/>
        <v>46104</v>
      </c>
      <c r="C54" s="34">
        <f t="shared" si="5"/>
        <v>46113</v>
      </c>
      <c r="D54" s="33">
        <v>3287</v>
      </c>
      <c r="E54" s="33">
        <v>338</v>
      </c>
      <c r="F54" s="33">
        <v>4</v>
      </c>
      <c r="G54" s="24">
        <v>7</v>
      </c>
      <c r="H54" s="24">
        <v>81827</v>
      </c>
      <c r="I54" s="33" t="s">
        <v>17</v>
      </c>
      <c r="J54" s="24">
        <v>51630547</v>
      </c>
      <c r="K54" s="24" t="s">
        <v>1989</v>
      </c>
      <c r="L54" s="44" t="s">
        <v>1990</v>
      </c>
      <c r="M54" s="25">
        <v>35900</v>
      </c>
      <c r="N54" s="22">
        <f t="shared" si="3"/>
        <v>0.7</v>
      </c>
      <c r="O54" s="72">
        <f t="shared" si="0"/>
        <v>10770</v>
      </c>
      <c r="P54" s="22" t="s">
        <v>16</v>
      </c>
    </row>
    <row r="55" spans="1:16" s="2" customFormat="1" x14ac:dyDescent="0.35">
      <c r="A55" s="33" t="str">
        <f t="shared" si="1"/>
        <v>2025 JAN-JUN DISC 70% LICENSE ESS</v>
      </c>
      <c r="B55" s="34">
        <f t="shared" si="4"/>
        <v>46104</v>
      </c>
      <c r="C55" s="34">
        <f t="shared" si="5"/>
        <v>46113</v>
      </c>
      <c r="D55" s="33">
        <v>3287</v>
      </c>
      <c r="E55" s="33">
        <v>338</v>
      </c>
      <c r="F55" s="33">
        <v>4</v>
      </c>
      <c r="G55" s="24">
        <v>7</v>
      </c>
      <c r="H55" s="24">
        <v>81827</v>
      </c>
      <c r="I55" s="33" t="s">
        <v>17</v>
      </c>
      <c r="J55" s="24">
        <v>51630556</v>
      </c>
      <c r="K55" s="24" t="s">
        <v>1989</v>
      </c>
      <c r="L55" s="44" t="s">
        <v>1991</v>
      </c>
      <c r="M55" s="25">
        <v>35900</v>
      </c>
      <c r="N55" s="22">
        <f t="shared" si="3"/>
        <v>0.7</v>
      </c>
      <c r="O55" s="72">
        <f t="shared" si="0"/>
        <v>10770</v>
      </c>
      <c r="P55" s="22" t="s">
        <v>16</v>
      </c>
    </row>
    <row r="56" spans="1:16" s="2" customFormat="1" x14ac:dyDescent="0.35">
      <c r="A56" s="33" t="str">
        <f t="shared" si="1"/>
        <v>2025 JAN-JUN DISC 70% LICENSE ESS</v>
      </c>
      <c r="B56" s="34">
        <f t="shared" si="4"/>
        <v>46104</v>
      </c>
      <c r="C56" s="34">
        <f t="shared" si="5"/>
        <v>46113</v>
      </c>
      <c r="D56" s="33">
        <v>3287</v>
      </c>
      <c r="E56" s="33">
        <v>338</v>
      </c>
      <c r="F56" s="33">
        <v>4</v>
      </c>
      <c r="G56" s="24">
        <v>7</v>
      </c>
      <c r="H56" s="24">
        <v>81827</v>
      </c>
      <c r="I56" s="33" t="s">
        <v>17</v>
      </c>
      <c r="J56" s="24">
        <v>51630583</v>
      </c>
      <c r="K56" s="24" t="s">
        <v>1986</v>
      </c>
      <c r="L56" s="44" t="s">
        <v>1988</v>
      </c>
      <c r="M56" s="25">
        <v>35900</v>
      </c>
      <c r="N56" s="22">
        <f t="shared" si="3"/>
        <v>0.7</v>
      </c>
      <c r="O56" s="72">
        <f t="shared" si="0"/>
        <v>10770</v>
      </c>
      <c r="P56" s="22" t="s">
        <v>16</v>
      </c>
    </row>
    <row r="57" spans="1:16" s="2" customFormat="1" x14ac:dyDescent="0.35">
      <c r="A57" s="33" t="str">
        <f t="shared" si="1"/>
        <v>2025 JAN-JUN DISC 70% LICENSE ESS</v>
      </c>
      <c r="B57" s="34">
        <f t="shared" si="4"/>
        <v>46104</v>
      </c>
      <c r="C57" s="34">
        <f t="shared" si="5"/>
        <v>46113</v>
      </c>
      <c r="D57" s="33">
        <v>3287</v>
      </c>
      <c r="E57" s="33">
        <v>338</v>
      </c>
      <c r="F57" s="33">
        <v>4</v>
      </c>
      <c r="G57" s="24">
        <v>7</v>
      </c>
      <c r="H57" s="24">
        <v>81827</v>
      </c>
      <c r="I57" s="33" t="s">
        <v>17</v>
      </c>
      <c r="J57" s="24">
        <v>51630592</v>
      </c>
      <c r="K57" s="24" t="s">
        <v>1986</v>
      </c>
      <c r="L57" s="44" t="s">
        <v>1987</v>
      </c>
      <c r="M57" s="25">
        <v>35900</v>
      </c>
      <c r="N57" s="22">
        <f t="shared" si="3"/>
        <v>0.7</v>
      </c>
      <c r="O57" s="72">
        <f t="shared" si="0"/>
        <v>10770</v>
      </c>
      <c r="P57" s="22" t="s">
        <v>16</v>
      </c>
    </row>
    <row r="58" spans="1:16" s="2" customFormat="1" x14ac:dyDescent="0.35">
      <c r="A58" s="33" t="str">
        <f t="shared" si="1"/>
        <v>2025 JAN-JUN DISC 70% LICENSE ESS</v>
      </c>
      <c r="B58" s="34">
        <f t="shared" si="4"/>
        <v>46104</v>
      </c>
      <c r="C58" s="34">
        <f t="shared" si="5"/>
        <v>46113</v>
      </c>
      <c r="D58" s="33">
        <v>3287</v>
      </c>
      <c r="E58" s="33">
        <v>338</v>
      </c>
      <c r="F58" s="33">
        <v>4</v>
      </c>
      <c r="G58" s="24">
        <v>7</v>
      </c>
      <c r="H58" s="24">
        <v>81827</v>
      </c>
      <c r="I58" s="33" t="s">
        <v>17</v>
      </c>
      <c r="J58" s="24">
        <v>51630707</v>
      </c>
      <c r="K58" s="24" t="s">
        <v>1980</v>
      </c>
      <c r="L58" s="44" t="s">
        <v>1982</v>
      </c>
      <c r="M58" s="25">
        <v>35900</v>
      </c>
      <c r="N58" s="22">
        <f t="shared" si="3"/>
        <v>0.7</v>
      </c>
      <c r="O58" s="72">
        <f t="shared" si="0"/>
        <v>10770</v>
      </c>
      <c r="P58" s="22" t="s">
        <v>16</v>
      </c>
    </row>
    <row r="59" spans="1:16" s="2" customFormat="1" x14ac:dyDescent="0.35">
      <c r="A59" s="33" t="str">
        <f t="shared" si="1"/>
        <v>2025 JAN-JUN DISC 70% LICENSE ESS</v>
      </c>
      <c r="B59" s="34">
        <f t="shared" si="4"/>
        <v>46104</v>
      </c>
      <c r="C59" s="34">
        <f t="shared" si="5"/>
        <v>46113</v>
      </c>
      <c r="D59" s="33">
        <v>3287</v>
      </c>
      <c r="E59" s="33">
        <v>338</v>
      </c>
      <c r="F59" s="33">
        <v>4</v>
      </c>
      <c r="G59" s="24">
        <v>7</v>
      </c>
      <c r="H59" s="24">
        <v>81827</v>
      </c>
      <c r="I59" s="33" t="s">
        <v>17</v>
      </c>
      <c r="J59" s="24">
        <v>51630716</v>
      </c>
      <c r="K59" s="24" t="s">
        <v>1980</v>
      </c>
      <c r="L59" s="44" t="s">
        <v>1981</v>
      </c>
      <c r="M59" s="25">
        <v>35900</v>
      </c>
      <c r="N59" s="22">
        <f t="shared" si="3"/>
        <v>0.7</v>
      </c>
      <c r="O59" s="72">
        <f t="shared" si="0"/>
        <v>10770</v>
      </c>
      <c r="P59" s="22" t="s">
        <v>16</v>
      </c>
    </row>
    <row r="60" spans="1:16" s="2" customFormat="1" x14ac:dyDescent="0.35">
      <c r="A60" s="33" t="str">
        <f t="shared" si="1"/>
        <v>2025 JAN-JUN DISC 70% LICENSE ESS</v>
      </c>
      <c r="B60" s="34">
        <f t="shared" si="4"/>
        <v>46104</v>
      </c>
      <c r="C60" s="34">
        <f t="shared" si="5"/>
        <v>46113</v>
      </c>
      <c r="D60" s="33">
        <v>3287</v>
      </c>
      <c r="E60" s="33">
        <v>338</v>
      </c>
      <c r="F60" s="33">
        <v>4</v>
      </c>
      <c r="G60" s="24">
        <v>7</v>
      </c>
      <c r="H60" s="24">
        <v>81827</v>
      </c>
      <c r="I60" s="33" t="s">
        <v>17</v>
      </c>
      <c r="J60" s="24">
        <v>51630609</v>
      </c>
      <c r="K60" s="24" t="s">
        <v>2020</v>
      </c>
      <c r="L60" s="44" t="s">
        <v>2022</v>
      </c>
      <c r="M60" s="25">
        <v>35900</v>
      </c>
      <c r="N60" s="22">
        <f t="shared" si="3"/>
        <v>0.7</v>
      </c>
      <c r="O60" s="72">
        <f t="shared" si="0"/>
        <v>10770</v>
      </c>
      <c r="P60" s="22" t="s">
        <v>16</v>
      </c>
    </row>
    <row r="61" spans="1:16" s="2" customFormat="1" x14ac:dyDescent="0.35">
      <c r="A61" s="33" t="str">
        <f t="shared" si="1"/>
        <v>2025 JAN-JUN DISC 70% LICENSE ESS</v>
      </c>
      <c r="B61" s="34">
        <f t="shared" si="4"/>
        <v>46104</v>
      </c>
      <c r="C61" s="34">
        <f t="shared" si="5"/>
        <v>46113</v>
      </c>
      <c r="D61" s="33">
        <v>3287</v>
      </c>
      <c r="E61" s="33">
        <v>338</v>
      </c>
      <c r="F61" s="33">
        <v>4</v>
      </c>
      <c r="G61" s="24">
        <v>7</v>
      </c>
      <c r="H61" s="24">
        <v>81827</v>
      </c>
      <c r="I61" s="33" t="s">
        <v>17</v>
      </c>
      <c r="J61" s="24">
        <v>51630618</v>
      </c>
      <c r="K61" s="24" t="s">
        <v>2020</v>
      </c>
      <c r="L61" s="44" t="s">
        <v>2021</v>
      </c>
      <c r="M61" s="25">
        <v>35900</v>
      </c>
      <c r="N61" s="22">
        <f t="shared" si="3"/>
        <v>0.7</v>
      </c>
      <c r="O61" s="72">
        <f t="shared" si="0"/>
        <v>10770</v>
      </c>
      <c r="P61" s="22" t="s">
        <v>16</v>
      </c>
    </row>
    <row r="62" spans="1:16" s="2" customFormat="1" x14ac:dyDescent="0.35">
      <c r="A62" s="33" t="str">
        <f t="shared" si="1"/>
        <v>2025 JAN-JUN DISC 70% LICENSE ESS</v>
      </c>
      <c r="B62" s="34">
        <f t="shared" si="4"/>
        <v>46104</v>
      </c>
      <c r="C62" s="34">
        <f t="shared" si="5"/>
        <v>46113</v>
      </c>
      <c r="D62" s="33">
        <v>3287</v>
      </c>
      <c r="E62" s="33">
        <v>338</v>
      </c>
      <c r="F62" s="33">
        <v>4</v>
      </c>
      <c r="G62" s="24">
        <v>7</v>
      </c>
      <c r="H62" s="24">
        <v>81827</v>
      </c>
      <c r="I62" s="33" t="s">
        <v>17</v>
      </c>
      <c r="J62" s="24">
        <v>51630501</v>
      </c>
      <c r="K62" s="24" t="s">
        <v>1983</v>
      </c>
      <c r="L62" s="44" t="s">
        <v>1984</v>
      </c>
      <c r="M62" s="25">
        <v>35900</v>
      </c>
      <c r="N62" s="22">
        <f t="shared" si="3"/>
        <v>0.7</v>
      </c>
      <c r="O62" s="72">
        <f t="shared" si="0"/>
        <v>10770</v>
      </c>
      <c r="P62" s="22" t="s">
        <v>16</v>
      </c>
    </row>
    <row r="63" spans="1:16" s="2" customFormat="1" x14ac:dyDescent="0.35">
      <c r="A63" s="33" t="str">
        <f t="shared" si="1"/>
        <v>2025 JAN-JUN DISC 70% LICENSE ESS</v>
      </c>
      <c r="B63" s="34">
        <f t="shared" si="4"/>
        <v>46104</v>
      </c>
      <c r="C63" s="34">
        <f t="shared" si="5"/>
        <v>46113</v>
      </c>
      <c r="D63" s="33">
        <v>3287</v>
      </c>
      <c r="E63" s="33">
        <v>338</v>
      </c>
      <c r="F63" s="33">
        <v>4</v>
      </c>
      <c r="G63" s="24">
        <v>7</v>
      </c>
      <c r="H63" s="24">
        <v>81827</v>
      </c>
      <c r="I63" s="33" t="s">
        <v>17</v>
      </c>
      <c r="J63" s="24">
        <v>51630510</v>
      </c>
      <c r="K63" s="24" t="s">
        <v>1983</v>
      </c>
      <c r="L63" s="44" t="s">
        <v>1985</v>
      </c>
      <c r="M63" s="25">
        <v>35900</v>
      </c>
      <c r="N63" s="22">
        <f t="shared" si="3"/>
        <v>0.7</v>
      </c>
      <c r="O63" s="72">
        <f t="shared" si="0"/>
        <v>10770</v>
      </c>
      <c r="P63" s="22" t="s">
        <v>16</v>
      </c>
    </row>
    <row r="64" spans="1:16" s="2" customFormat="1" x14ac:dyDescent="0.35">
      <c r="A64" s="33" t="str">
        <f t="shared" si="1"/>
        <v>2025 JAN-JUN DISC 70% LICENSE ESS</v>
      </c>
      <c r="B64" s="34">
        <f t="shared" si="4"/>
        <v>46104</v>
      </c>
      <c r="C64" s="34">
        <f t="shared" si="5"/>
        <v>46113</v>
      </c>
      <c r="D64" s="33">
        <v>3287</v>
      </c>
      <c r="E64" s="33">
        <v>338</v>
      </c>
      <c r="F64" s="33">
        <v>4</v>
      </c>
      <c r="G64" s="24">
        <v>7</v>
      </c>
      <c r="H64" s="24">
        <v>81827</v>
      </c>
      <c r="I64" s="33" t="s">
        <v>17</v>
      </c>
      <c r="J64" s="24">
        <v>51630529</v>
      </c>
      <c r="K64" s="24" t="s">
        <v>1977</v>
      </c>
      <c r="L64" s="44" t="s">
        <v>1978</v>
      </c>
      <c r="M64" s="25">
        <v>35900</v>
      </c>
      <c r="N64" s="22">
        <f t="shared" si="3"/>
        <v>0.7</v>
      </c>
      <c r="O64" s="72">
        <f t="shared" si="0"/>
        <v>10770</v>
      </c>
      <c r="P64" s="22" t="s">
        <v>16</v>
      </c>
    </row>
    <row r="65" spans="1:16" s="2" customFormat="1" x14ac:dyDescent="0.35">
      <c r="A65" s="33" t="str">
        <f t="shared" si="1"/>
        <v>2025 JAN-JUN DISC 70% LICENSE ESS</v>
      </c>
      <c r="B65" s="34">
        <f t="shared" si="4"/>
        <v>46104</v>
      </c>
      <c r="C65" s="34">
        <f t="shared" si="5"/>
        <v>46113</v>
      </c>
      <c r="D65" s="33">
        <v>3287</v>
      </c>
      <c r="E65" s="33">
        <v>338</v>
      </c>
      <c r="F65" s="33">
        <v>4</v>
      </c>
      <c r="G65" s="24">
        <v>7</v>
      </c>
      <c r="H65" s="24">
        <v>81827</v>
      </c>
      <c r="I65" s="33" t="s">
        <v>17</v>
      </c>
      <c r="J65" s="24">
        <v>51630538</v>
      </c>
      <c r="K65" s="24" t="s">
        <v>1977</v>
      </c>
      <c r="L65" s="44" t="s">
        <v>1979</v>
      </c>
      <c r="M65" s="25">
        <v>35900</v>
      </c>
      <c r="N65" s="22">
        <f t="shared" si="3"/>
        <v>0.7</v>
      </c>
      <c r="O65" s="72">
        <f t="shared" si="0"/>
        <v>10770</v>
      </c>
      <c r="P65" s="22" t="s">
        <v>16</v>
      </c>
    </row>
    <row r="66" spans="1:16" s="2" customFormat="1" x14ac:dyDescent="0.35">
      <c r="A66" s="33" t="str">
        <f t="shared" si="1"/>
        <v>2025 JAN-JUN DISC 70% LICENSE ESS</v>
      </c>
      <c r="B66" s="34">
        <f t="shared" si="4"/>
        <v>46104</v>
      </c>
      <c r="C66" s="34">
        <f t="shared" si="5"/>
        <v>46113</v>
      </c>
      <c r="D66" s="33">
        <v>3287</v>
      </c>
      <c r="E66" s="33">
        <v>338</v>
      </c>
      <c r="F66" s="33">
        <v>4</v>
      </c>
      <c r="G66" s="24">
        <v>7</v>
      </c>
      <c r="H66" s="24">
        <v>81827</v>
      </c>
      <c r="I66" s="33" t="s">
        <v>17</v>
      </c>
      <c r="J66" s="24">
        <v>51630565</v>
      </c>
      <c r="K66" s="24" t="s">
        <v>2017</v>
      </c>
      <c r="L66" s="44" t="s">
        <v>2019</v>
      </c>
      <c r="M66" s="25">
        <v>35900</v>
      </c>
      <c r="N66" s="22">
        <f t="shared" si="3"/>
        <v>0.7</v>
      </c>
      <c r="O66" s="72">
        <f t="shared" si="0"/>
        <v>10770</v>
      </c>
      <c r="P66" s="22" t="s">
        <v>16</v>
      </c>
    </row>
    <row r="67" spans="1:16" s="2" customFormat="1" x14ac:dyDescent="0.35">
      <c r="A67" s="33" t="str">
        <f t="shared" si="1"/>
        <v>2025 JAN-JUN DISC 70% LICENSE ESS</v>
      </c>
      <c r="B67" s="34">
        <f t="shared" si="4"/>
        <v>46104</v>
      </c>
      <c r="C67" s="34">
        <f t="shared" si="5"/>
        <v>46113</v>
      </c>
      <c r="D67" s="33">
        <v>3287</v>
      </c>
      <c r="E67" s="33">
        <v>338</v>
      </c>
      <c r="F67" s="33">
        <v>4</v>
      </c>
      <c r="G67" s="24">
        <v>7</v>
      </c>
      <c r="H67" s="24">
        <v>81827</v>
      </c>
      <c r="I67" s="33" t="s">
        <v>17</v>
      </c>
      <c r="J67" s="24">
        <v>51630574</v>
      </c>
      <c r="K67" s="24" t="s">
        <v>2017</v>
      </c>
      <c r="L67" s="44" t="s">
        <v>2018</v>
      </c>
      <c r="M67" s="25">
        <v>35900</v>
      </c>
      <c r="N67" s="22">
        <f t="shared" si="3"/>
        <v>0.7</v>
      </c>
      <c r="O67" s="72">
        <f t="shared" ref="O67:O130" si="6">M68-((70*M68)/100)</f>
        <v>65970</v>
      </c>
      <c r="P67" s="22" t="s">
        <v>16</v>
      </c>
    </row>
    <row r="68" spans="1:16" s="2" customFormat="1" x14ac:dyDescent="0.35">
      <c r="A68" s="33" t="str">
        <f t="shared" ref="A68:A131" si="7">A67</f>
        <v>2025 JAN-JUN DISC 70% LICENSE ESS</v>
      </c>
      <c r="B68" s="34">
        <f t="shared" si="4"/>
        <v>46104</v>
      </c>
      <c r="C68" s="34">
        <f t="shared" si="5"/>
        <v>46113</v>
      </c>
      <c r="D68" s="33">
        <v>3287</v>
      </c>
      <c r="E68" s="33">
        <v>338</v>
      </c>
      <c r="F68" s="33">
        <v>4</v>
      </c>
      <c r="G68" s="24">
        <v>2</v>
      </c>
      <c r="H68" s="24">
        <v>81676</v>
      </c>
      <c r="I68" s="33" t="s">
        <v>17</v>
      </c>
      <c r="J68" s="24">
        <v>51395552</v>
      </c>
      <c r="K68" s="24" t="s">
        <v>1992</v>
      </c>
      <c r="L68" s="44" t="s">
        <v>1993</v>
      </c>
      <c r="M68" s="25">
        <v>219900</v>
      </c>
      <c r="N68" s="22">
        <f t="shared" ref="N68:N131" si="8">N67</f>
        <v>0.7</v>
      </c>
      <c r="O68" s="72">
        <f t="shared" si="6"/>
        <v>65970</v>
      </c>
      <c r="P68" s="22" t="s">
        <v>16</v>
      </c>
    </row>
    <row r="69" spans="1:16" s="2" customFormat="1" x14ac:dyDescent="0.35">
      <c r="A69" s="33" t="str">
        <f t="shared" si="7"/>
        <v>2025 JAN-JUN DISC 70% LICENSE ESS</v>
      </c>
      <c r="B69" s="34">
        <f t="shared" si="4"/>
        <v>46104</v>
      </c>
      <c r="C69" s="34">
        <f t="shared" si="5"/>
        <v>46113</v>
      </c>
      <c r="D69" s="33">
        <v>3287</v>
      </c>
      <c r="E69" s="33">
        <v>338</v>
      </c>
      <c r="F69" s="33">
        <v>4</v>
      </c>
      <c r="G69" s="24">
        <v>2</v>
      </c>
      <c r="H69" s="24">
        <v>81676</v>
      </c>
      <c r="I69" s="33" t="s">
        <v>17</v>
      </c>
      <c r="J69" s="24">
        <v>51395561</v>
      </c>
      <c r="K69" s="24" t="s">
        <v>1992</v>
      </c>
      <c r="L69" s="44" t="s">
        <v>1998</v>
      </c>
      <c r="M69" s="25">
        <v>219900</v>
      </c>
      <c r="N69" s="22">
        <f t="shared" si="8"/>
        <v>0.7</v>
      </c>
      <c r="O69" s="72">
        <f t="shared" si="6"/>
        <v>65970</v>
      </c>
      <c r="P69" s="22" t="s">
        <v>16</v>
      </c>
    </row>
    <row r="70" spans="1:16" s="2" customFormat="1" x14ac:dyDescent="0.35">
      <c r="A70" s="33" t="str">
        <f t="shared" si="7"/>
        <v>2025 JAN-JUN DISC 70% LICENSE ESS</v>
      </c>
      <c r="B70" s="34">
        <f t="shared" si="4"/>
        <v>46104</v>
      </c>
      <c r="C70" s="34">
        <f t="shared" si="5"/>
        <v>46113</v>
      </c>
      <c r="D70" s="33">
        <v>3287</v>
      </c>
      <c r="E70" s="33">
        <v>338</v>
      </c>
      <c r="F70" s="33">
        <v>4</v>
      </c>
      <c r="G70" s="24">
        <v>2</v>
      </c>
      <c r="H70" s="24">
        <v>81676</v>
      </c>
      <c r="I70" s="33" t="s">
        <v>17</v>
      </c>
      <c r="J70" s="24">
        <v>51395570</v>
      </c>
      <c r="K70" s="24" t="s">
        <v>1992</v>
      </c>
      <c r="L70" s="44" t="s">
        <v>1996</v>
      </c>
      <c r="M70" s="25">
        <v>219900</v>
      </c>
      <c r="N70" s="22">
        <f t="shared" si="8"/>
        <v>0.7</v>
      </c>
      <c r="O70" s="72">
        <f t="shared" si="6"/>
        <v>65970</v>
      </c>
      <c r="P70" s="22" t="s">
        <v>16</v>
      </c>
    </row>
    <row r="71" spans="1:16" s="2" customFormat="1" x14ac:dyDescent="0.35">
      <c r="A71" s="33" t="str">
        <f t="shared" si="7"/>
        <v>2025 JAN-JUN DISC 70% LICENSE ESS</v>
      </c>
      <c r="B71" s="34">
        <f t="shared" si="4"/>
        <v>46104</v>
      </c>
      <c r="C71" s="34">
        <f t="shared" si="5"/>
        <v>46113</v>
      </c>
      <c r="D71" s="33">
        <v>3287</v>
      </c>
      <c r="E71" s="33">
        <v>338</v>
      </c>
      <c r="F71" s="33">
        <v>4</v>
      </c>
      <c r="G71" s="24">
        <v>2</v>
      </c>
      <c r="H71" s="24">
        <v>81676</v>
      </c>
      <c r="I71" s="33" t="s">
        <v>17</v>
      </c>
      <c r="J71" s="24">
        <v>51395589</v>
      </c>
      <c r="K71" s="24" t="s">
        <v>1992</v>
      </c>
      <c r="L71" s="44" t="s">
        <v>1994</v>
      </c>
      <c r="M71" s="25">
        <v>219900</v>
      </c>
      <c r="N71" s="22">
        <f t="shared" si="8"/>
        <v>0.7</v>
      </c>
      <c r="O71" s="72">
        <f t="shared" si="6"/>
        <v>68970</v>
      </c>
      <c r="P71" s="22" t="s">
        <v>16</v>
      </c>
    </row>
    <row r="72" spans="1:16" s="2" customFormat="1" x14ac:dyDescent="0.35">
      <c r="A72" s="33" t="str">
        <f t="shared" si="7"/>
        <v>2025 JAN-JUN DISC 70% LICENSE ESS</v>
      </c>
      <c r="B72" s="34">
        <f t="shared" si="4"/>
        <v>46104</v>
      </c>
      <c r="C72" s="34">
        <f t="shared" si="5"/>
        <v>46113</v>
      </c>
      <c r="D72" s="33">
        <v>3287</v>
      </c>
      <c r="E72" s="33">
        <v>338</v>
      </c>
      <c r="F72" s="33">
        <v>4</v>
      </c>
      <c r="G72" s="24">
        <v>2</v>
      </c>
      <c r="H72" s="24">
        <v>81676</v>
      </c>
      <c r="I72" s="33" t="s">
        <v>17</v>
      </c>
      <c r="J72" s="24">
        <v>51395598</v>
      </c>
      <c r="K72" s="24" t="s">
        <v>1992</v>
      </c>
      <c r="L72" s="44" t="s">
        <v>2000</v>
      </c>
      <c r="M72" s="25">
        <v>229900</v>
      </c>
      <c r="N72" s="22">
        <f t="shared" si="8"/>
        <v>0.7</v>
      </c>
      <c r="O72" s="72">
        <f t="shared" si="6"/>
        <v>68970</v>
      </c>
      <c r="P72" s="22" t="s">
        <v>16</v>
      </c>
    </row>
    <row r="73" spans="1:16" s="2" customFormat="1" x14ac:dyDescent="0.35">
      <c r="A73" s="33" t="str">
        <f t="shared" si="7"/>
        <v>2025 JAN-JUN DISC 70% LICENSE ESS</v>
      </c>
      <c r="B73" s="34">
        <f t="shared" si="4"/>
        <v>46104</v>
      </c>
      <c r="C73" s="34">
        <f t="shared" si="5"/>
        <v>46113</v>
      </c>
      <c r="D73" s="33">
        <v>3287</v>
      </c>
      <c r="E73" s="33">
        <v>338</v>
      </c>
      <c r="F73" s="33">
        <v>4</v>
      </c>
      <c r="G73" s="24">
        <v>2</v>
      </c>
      <c r="H73" s="24">
        <v>81676</v>
      </c>
      <c r="I73" s="33" t="s">
        <v>17</v>
      </c>
      <c r="J73" s="24">
        <v>51395605</v>
      </c>
      <c r="K73" s="24" t="s">
        <v>1992</v>
      </c>
      <c r="L73" s="44" t="s">
        <v>1999</v>
      </c>
      <c r="M73" s="25">
        <v>229900</v>
      </c>
      <c r="N73" s="22">
        <f t="shared" si="8"/>
        <v>0.7</v>
      </c>
      <c r="O73" s="72">
        <f t="shared" si="6"/>
        <v>68970</v>
      </c>
      <c r="P73" s="22" t="s">
        <v>16</v>
      </c>
    </row>
    <row r="74" spans="1:16" s="2" customFormat="1" x14ac:dyDescent="0.35">
      <c r="A74" s="33" t="str">
        <f t="shared" si="7"/>
        <v>2025 JAN-JUN DISC 70% LICENSE ESS</v>
      </c>
      <c r="B74" s="34">
        <f t="shared" si="4"/>
        <v>46104</v>
      </c>
      <c r="C74" s="34">
        <f t="shared" si="5"/>
        <v>46113</v>
      </c>
      <c r="D74" s="33">
        <v>3287</v>
      </c>
      <c r="E74" s="33">
        <v>338</v>
      </c>
      <c r="F74" s="33">
        <v>4</v>
      </c>
      <c r="G74" s="24">
        <v>2</v>
      </c>
      <c r="H74" s="24">
        <v>81676</v>
      </c>
      <c r="I74" s="33" t="s">
        <v>17</v>
      </c>
      <c r="J74" s="24">
        <v>51395614</v>
      </c>
      <c r="K74" s="24" t="s">
        <v>1992</v>
      </c>
      <c r="L74" s="44" t="s">
        <v>1995</v>
      </c>
      <c r="M74" s="25">
        <v>229900</v>
      </c>
      <c r="N74" s="22">
        <f t="shared" si="8"/>
        <v>0.7</v>
      </c>
      <c r="O74" s="72">
        <f t="shared" si="6"/>
        <v>68970</v>
      </c>
      <c r="P74" s="22" t="s">
        <v>16</v>
      </c>
    </row>
    <row r="75" spans="1:16" s="2" customFormat="1" x14ac:dyDescent="0.35">
      <c r="A75" s="33" t="str">
        <f t="shared" si="7"/>
        <v>2025 JAN-JUN DISC 70% LICENSE ESS</v>
      </c>
      <c r="B75" s="34">
        <f t="shared" si="4"/>
        <v>46104</v>
      </c>
      <c r="C75" s="34">
        <f t="shared" si="5"/>
        <v>46113</v>
      </c>
      <c r="D75" s="33">
        <v>3287</v>
      </c>
      <c r="E75" s="33">
        <v>338</v>
      </c>
      <c r="F75" s="33">
        <v>4</v>
      </c>
      <c r="G75" s="24">
        <v>2</v>
      </c>
      <c r="H75" s="24">
        <v>81676</v>
      </c>
      <c r="I75" s="33" t="s">
        <v>17</v>
      </c>
      <c r="J75" s="24">
        <v>51395623</v>
      </c>
      <c r="K75" s="24" t="s">
        <v>1992</v>
      </c>
      <c r="L75" s="44" t="s">
        <v>1997</v>
      </c>
      <c r="M75" s="25">
        <v>229900</v>
      </c>
      <c r="N75" s="22">
        <f t="shared" si="8"/>
        <v>0.7</v>
      </c>
      <c r="O75" s="72">
        <f t="shared" si="6"/>
        <v>65970</v>
      </c>
      <c r="P75" s="22" t="s">
        <v>16</v>
      </c>
    </row>
    <row r="76" spans="1:16" s="2" customFormat="1" x14ac:dyDescent="0.35">
      <c r="A76" s="33" t="str">
        <f t="shared" si="7"/>
        <v>2025 JAN-JUN DISC 70% LICENSE ESS</v>
      </c>
      <c r="B76" s="34">
        <f t="shared" si="4"/>
        <v>46104</v>
      </c>
      <c r="C76" s="34">
        <f t="shared" si="5"/>
        <v>46113</v>
      </c>
      <c r="D76" s="33">
        <v>3287</v>
      </c>
      <c r="E76" s="33">
        <v>338</v>
      </c>
      <c r="F76" s="33">
        <v>4</v>
      </c>
      <c r="G76" s="24">
        <v>4</v>
      </c>
      <c r="H76" s="24">
        <v>81379</v>
      </c>
      <c r="I76" s="33" t="s">
        <v>17</v>
      </c>
      <c r="J76" s="24">
        <v>51395990</v>
      </c>
      <c r="K76" s="24" t="s">
        <v>2023</v>
      </c>
      <c r="L76" s="44" t="s">
        <v>2031</v>
      </c>
      <c r="M76" s="25">
        <v>219900</v>
      </c>
      <c r="N76" s="22">
        <f t="shared" si="8"/>
        <v>0.7</v>
      </c>
      <c r="O76" s="72">
        <f t="shared" si="6"/>
        <v>65970</v>
      </c>
      <c r="P76" s="22" t="s">
        <v>16</v>
      </c>
    </row>
    <row r="77" spans="1:16" s="2" customFormat="1" x14ac:dyDescent="0.35">
      <c r="A77" s="33" t="str">
        <f t="shared" si="7"/>
        <v>2025 JAN-JUN DISC 70% LICENSE ESS</v>
      </c>
      <c r="B77" s="34">
        <f t="shared" si="4"/>
        <v>46104</v>
      </c>
      <c r="C77" s="34">
        <f t="shared" si="5"/>
        <v>46113</v>
      </c>
      <c r="D77" s="33">
        <v>3287</v>
      </c>
      <c r="E77" s="33">
        <v>338</v>
      </c>
      <c r="F77" s="33">
        <v>4</v>
      </c>
      <c r="G77" s="24">
        <v>4</v>
      </c>
      <c r="H77" s="24">
        <v>81379</v>
      </c>
      <c r="I77" s="33" t="s">
        <v>17</v>
      </c>
      <c r="J77" s="24">
        <v>51396006</v>
      </c>
      <c r="K77" s="24" t="s">
        <v>2023</v>
      </c>
      <c r="L77" s="44" t="s">
        <v>2024</v>
      </c>
      <c r="M77" s="25">
        <v>219900</v>
      </c>
      <c r="N77" s="22">
        <f t="shared" si="8"/>
        <v>0.7</v>
      </c>
      <c r="O77" s="72">
        <f t="shared" si="6"/>
        <v>65970</v>
      </c>
      <c r="P77" s="22" t="s">
        <v>16</v>
      </c>
    </row>
    <row r="78" spans="1:16" s="2" customFormat="1" x14ac:dyDescent="0.35">
      <c r="A78" s="33" t="str">
        <f t="shared" si="7"/>
        <v>2025 JAN-JUN DISC 70% LICENSE ESS</v>
      </c>
      <c r="B78" s="34">
        <f t="shared" si="4"/>
        <v>46104</v>
      </c>
      <c r="C78" s="34">
        <f t="shared" si="5"/>
        <v>46113</v>
      </c>
      <c r="D78" s="33">
        <v>3287</v>
      </c>
      <c r="E78" s="33">
        <v>338</v>
      </c>
      <c r="F78" s="33">
        <v>4</v>
      </c>
      <c r="G78" s="24">
        <v>4</v>
      </c>
      <c r="H78" s="24">
        <v>81379</v>
      </c>
      <c r="I78" s="33" t="s">
        <v>17</v>
      </c>
      <c r="J78" s="24">
        <v>51396015</v>
      </c>
      <c r="K78" s="24" t="s">
        <v>2023</v>
      </c>
      <c r="L78" s="44" t="s">
        <v>2029</v>
      </c>
      <c r="M78" s="25">
        <v>219900</v>
      </c>
      <c r="N78" s="22">
        <f t="shared" si="8"/>
        <v>0.7</v>
      </c>
      <c r="O78" s="72">
        <f t="shared" si="6"/>
        <v>65970</v>
      </c>
      <c r="P78" s="22" t="s">
        <v>16</v>
      </c>
    </row>
    <row r="79" spans="1:16" s="2" customFormat="1" x14ac:dyDescent="0.35">
      <c r="A79" s="33" t="str">
        <f t="shared" si="7"/>
        <v>2025 JAN-JUN DISC 70% LICENSE ESS</v>
      </c>
      <c r="B79" s="34">
        <f t="shared" si="4"/>
        <v>46104</v>
      </c>
      <c r="C79" s="34">
        <f t="shared" si="5"/>
        <v>46113</v>
      </c>
      <c r="D79" s="33">
        <v>3287</v>
      </c>
      <c r="E79" s="33">
        <v>338</v>
      </c>
      <c r="F79" s="33">
        <v>4</v>
      </c>
      <c r="G79" s="24">
        <v>4</v>
      </c>
      <c r="H79" s="24">
        <v>81379</v>
      </c>
      <c r="I79" s="33" t="s">
        <v>17</v>
      </c>
      <c r="J79" s="24">
        <v>51396024</v>
      </c>
      <c r="K79" s="24" t="s">
        <v>2023</v>
      </c>
      <c r="L79" s="44" t="s">
        <v>2027</v>
      </c>
      <c r="M79" s="25">
        <v>219900</v>
      </c>
      <c r="N79" s="22">
        <f t="shared" si="8"/>
        <v>0.7</v>
      </c>
      <c r="O79" s="72">
        <f t="shared" si="6"/>
        <v>68970</v>
      </c>
      <c r="P79" s="22" t="s">
        <v>16</v>
      </c>
    </row>
    <row r="80" spans="1:16" s="2" customFormat="1" x14ac:dyDescent="0.35">
      <c r="A80" s="33" t="str">
        <f t="shared" si="7"/>
        <v>2025 JAN-JUN DISC 70% LICENSE ESS</v>
      </c>
      <c r="B80" s="34">
        <f t="shared" si="4"/>
        <v>46104</v>
      </c>
      <c r="C80" s="34">
        <f t="shared" si="5"/>
        <v>46113</v>
      </c>
      <c r="D80" s="33">
        <v>3287</v>
      </c>
      <c r="E80" s="33">
        <v>338</v>
      </c>
      <c r="F80" s="33">
        <v>4</v>
      </c>
      <c r="G80" s="24">
        <v>4</v>
      </c>
      <c r="H80" s="24">
        <v>81379</v>
      </c>
      <c r="I80" s="33" t="s">
        <v>17</v>
      </c>
      <c r="J80" s="24">
        <v>51396033</v>
      </c>
      <c r="K80" s="24" t="s">
        <v>2023</v>
      </c>
      <c r="L80" s="44" t="s">
        <v>2028</v>
      </c>
      <c r="M80" s="25">
        <v>229900</v>
      </c>
      <c r="N80" s="22">
        <f t="shared" si="8"/>
        <v>0.7</v>
      </c>
      <c r="O80" s="72">
        <f t="shared" si="6"/>
        <v>68970</v>
      </c>
      <c r="P80" s="22" t="s">
        <v>16</v>
      </c>
    </row>
    <row r="81" spans="1:16" s="2" customFormat="1" x14ac:dyDescent="0.35">
      <c r="A81" s="33" t="str">
        <f t="shared" si="7"/>
        <v>2025 JAN-JUN DISC 70% LICENSE ESS</v>
      </c>
      <c r="B81" s="34">
        <f t="shared" si="4"/>
        <v>46104</v>
      </c>
      <c r="C81" s="34">
        <f t="shared" si="5"/>
        <v>46113</v>
      </c>
      <c r="D81" s="33">
        <v>3287</v>
      </c>
      <c r="E81" s="33">
        <v>338</v>
      </c>
      <c r="F81" s="33">
        <v>4</v>
      </c>
      <c r="G81" s="24">
        <v>4</v>
      </c>
      <c r="H81" s="24">
        <v>81379</v>
      </c>
      <c r="I81" s="33" t="s">
        <v>17</v>
      </c>
      <c r="J81" s="24">
        <v>51396042</v>
      </c>
      <c r="K81" s="24" t="s">
        <v>2023</v>
      </c>
      <c r="L81" s="44" t="s">
        <v>2026</v>
      </c>
      <c r="M81" s="25">
        <v>229900</v>
      </c>
      <c r="N81" s="22">
        <f t="shared" si="8"/>
        <v>0.7</v>
      </c>
      <c r="O81" s="72">
        <f t="shared" si="6"/>
        <v>68970</v>
      </c>
      <c r="P81" s="22" t="s">
        <v>16</v>
      </c>
    </row>
    <row r="82" spans="1:16" s="2" customFormat="1" x14ac:dyDescent="0.35">
      <c r="A82" s="33" t="str">
        <f t="shared" si="7"/>
        <v>2025 JAN-JUN DISC 70% LICENSE ESS</v>
      </c>
      <c r="B82" s="34">
        <f t="shared" si="4"/>
        <v>46104</v>
      </c>
      <c r="C82" s="34">
        <f t="shared" si="5"/>
        <v>46113</v>
      </c>
      <c r="D82" s="33">
        <v>3287</v>
      </c>
      <c r="E82" s="33">
        <v>338</v>
      </c>
      <c r="F82" s="33">
        <v>4</v>
      </c>
      <c r="G82" s="24">
        <v>4</v>
      </c>
      <c r="H82" s="24">
        <v>81379</v>
      </c>
      <c r="I82" s="33" t="s">
        <v>17</v>
      </c>
      <c r="J82" s="24">
        <v>51396051</v>
      </c>
      <c r="K82" s="24" t="s">
        <v>2023</v>
      </c>
      <c r="L82" s="44" t="s">
        <v>2025</v>
      </c>
      <c r="M82" s="25">
        <v>229900</v>
      </c>
      <c r="N82" s="22">
        <f t="shared" si="8"/>
        <v>0.7</v>
      </c>
      <c r="O82" s="72">
        <f t="shared" si="6"/>
        <v>68970</v>
      </c>
      <c r="P82" s="22" t="s">
        <v>16</v>
      </c>
    </row>
    <row r="83" spans="1:16" s="2" customFormat="1" x14ac:dyDescent="0.35">
      <c r="A83" s="33" t="str">
        <f t="shared" si="7"/>
        <v>2025 JAN-JUN DISC 70% LICENSE ESS</v>
      </c>
      <c r="B83" s="34">
        <f t="shared" si="4"/>
        <v>46104</v>
      </c>
      <c r="C83" s="34">
        <f t="shared" si="5"/>
        <v>46113</v>
      </c>
      <c r="D83" s="33">
        <v>3287</v>
      </c>
      <c r="E83" s="33">
        <v>338</v>
      </c>
      <c r="F83" s="33">
        <v>4</v>
      </c>
      <c r="G83" s="24">
        <v>4</v>
      </c>
      <c r="H83" s="24">
        <v>81379</v>
      </c>
      <c r="I83" s="33" t="s">
        <v>17</v>
      </c>
      <c r="J83" s="24">
        <v>51396060</v>
      </c>
      <c r="K83" s="24" t="s">
        <v>2023</v>
      </c>
      <c r="L83" s="44" t="s">
        <v>2030</v>
      </c>
      <c r="M83" s="25">
        <v>229900</v>
      </c>
      <c r="N83" s="22">
        <f t="shared" si="8"/>
        <v>0.7</v>
      </c>
      <c r="O83" s="72">
        <f t="shared" si="6"/>
        <v>65970</v>
      </c>
      <c r="P83" s="22" t="s">
        <v>16</v>
      </c>
    </row>
    <row r="84" spans="1:16" s="2" customFormat="1" x14ac:dyDescent="0.35">
      <c r="A84" s="33" t="str">
        <f t="shared" si="7"/>
        <v>2025 JAN-JUN DISC 70% LICENSE ESS</v>
      </c>
      <c r="B84" s="34">
        <f t="shared" ref="B84:B147" si="9">B83</f>
        <v>46104</v>
      </c>
      <c r="C84" s="34">
        <f t="shared" ref="C84:C147" si="10">C83</f>
        <v>46113</v>
      </c>
      <c r="D84" s="33">
        <v>3287</v>
      </c>
      <c r="E84" s="33">
        <v>338</v>
      </c>
      <c r="F84" s="33">
        <v>4</v>
      </c>
      <c r="G84" s="24">
        <v>4</v>
      </c>
      <c r="H84" s="24">
        <v>81379</v>
      </c>
      <c r="I84" s="33" t="s">
        <v>17</v>
      </c>
      <c r="J84" s="24">
        <v>51942835</v>
      </c>
      <c r="K84" s="24" t="s">
        <v>2032</v>
      </c>
      <c r="L84" s="44" t="s">
        <v>2036</v>
      </c>
      <c r="M84" s="25">
        <v>219900</v>
      </c>
      <c r="N84" s="22">
        <f t="shared" si="8"/>
        <v>0.7</v>
      </c>
      <c r="O84" s="72">
        <f t="shared" si="6"/>
        <v>65970</v>
      </c>
      <c r="P84" s="22" t="s">
        <v>16</v>
      </c>
    </row>
    <row r="85" spans="1:16" s="2" customFormat="1" x14ac:dyDescent="0.35">
      <c r="A85" s="33" t="str">
        <f t="shared" si="7"/>
        <v>2025 JAN-JUN DISC 70% LICENSE ESS</v>
      </c>
      <c r="B85" s="34">
        <f t="shared" si="9"/>
        <v>46104</v>
      </c>
      <c r="C85" s="34">
        <f t="shared" si="10"/>
        <v>46113</v>
      </c>
      <c r="D85" s="33">
        <v>3287</v>
      </c>
      <c r="E85" s="33">
        <v>338</v>
      </c>
      <c r="F85" s="33">
        <v>4</v>
      </c>
      <c r="G85" s="24">
        <v>4</v>
      </c>
      <c r="H85" s="24">
        <v>81379</v>
      </c>
      <c r="I85" s="33" t="s">
        <v>17</v>
      </c>
      <c r="J85" s="24">
        <v>51942844</v>
      </c>
      <c r="K85" s="24" t="s">
        <v>2032</v>
      </c>
      <c r="L85" s="44" t="s">
        <v>2033</v>
      </c>
      <c r="M85" s="25">
        <v>219900</v>
      </c>
      <c r="N85" s="22">
        <f t="shared" si="8"/>
        <v>0.7</v>
      </c>
      <c r="O85" s="72">
        <f t="shared" si="6"/>
        <v>65970</v>
      </c>
      <c r="P85" s="22" t="s">
        <v>16</v>
      </c>
    </row>
    <row r="86" spans="1:16" s="2" customFormat="1" x14ac:dyDescent="0.35">
      <c r="A86" s="33" t="str">
        <f t="shared" si="7"/>
        <v>2025 JAN-JUN DISC 70% LICENSE ESS</v>
      </c>
      <c r="B86" s="34">
        <f t="shared" si="9"/>
        <v>46104</v>
      </c>
      <c r="C86" s="34">
        <f t="shared" si="10"/>
        <v>46113</v>
      </c>
      <c r="D86" s="33">
        <v>3287</v>
      </c>
      <c r="E86" s="33">
        <v>338</v>
      </c>
      <c r="F86" s="33">
        <v>4</v>
      </c>
      <c r="G86" s="24">
        <v>4</v>
      </c>
      <c r="H86" s="24">
        <v>81379</v>
      </c>
      <c r="I86" s="33" t="s">
        <v>17</v>
      </c>
      <c r="J86" s="24">
        <v>51942853</v>
      </c>
      <c r="K86" s="24" t="s">
        <v>2032</v>
      </c>
      <c r="L86" s="44" t="s">
        <v>2034</v>
      </c>
      <c r="M86" s="25">
        <v>219900</v>
      </c>
      <c r="N86" s="22">
        <f t="shared" si="8"/>
        <v>0.7</v>
      </c>
      <c r="O86" s="72">
        <f t="shared" si="6"/>
        <v>65970</v>
      </c>
      <c r="P86" s="22" t="s">
        <v>16</v>
      </c>
    </row>
    <row r="87" spans="1:16" s="2" customFormat="1" x14ac:dyDescent="0.35">
      <c r="A87" s="33" t="str">
        <f t="shared" si="7"/>
        <v>2025 JAN-JUN DISC 70% LICENSE ESS</v>
      </c>
      <c r="B87" s="34">
        <f t="shared" si="9"/>
        <v>46104</v>
      </c>
      <c r="C87" s="34">
        <f t="shared" si="10"/>
        <v>46113</v>
      </c>
      <c r="D87" s="33">
        <v>3287</v>
      </c>
      <c r="E87" s="33">
        <v>338</v>
      </c>
      <c r="F87" s="33">
        <v>4</v>
      </c>
      <c r="G87" s="24">
        <v>4</v>
      </c>
      <c r="H87" s="24">
        <v>81379</v>
      </c>
      <c r="I87" s="33" t="s">
        <v>17</v>
      </c>
      <c r="J87" s="24">
        <v>51942862</v>
      </c>
      <c r="K87" s="24" t="s">
        <v>2032</v>
      </c>
      <c r="L87" s="44" t="s">
        <v>2039</v>
      </c>
      <c r="M87" s="25">
        <v>219900</v>
      </c>
      <c r="N87" s="22">
        <f t="shared" si="8"/>
        <v>0.7</v>
      </c>
      <c r="O87" s="72">
        <f t="shared" si="6"/>
        <v>65970</v>
      </c>
      <c r="P87" s="22" t="s">
        <v>16</v>
      </c>
    </row>
    <row r="88" spans="1:16" s="2" customFormat="1" x14ac:dyDescent="0.35">
      <c r="A88" s="33" t="str">
        <f t="shared" si="7"/>
        <v>2025 JAN-JUN DISC 70% LICENSE ESS</v>
      </c>
      <c r="B88" s="34">
        <f t="shared" si="9"/>
        <v>46104</v>
      </c>
      <c r="C88" s="34">
        <f t="shared" si="10"/>
        <v>46113</v>
      </c>
      <c r="D88" s="33">
        <v>3287</v>
      </c>
      <c r="E88" s="33">
        <v>338</v>
      </c>
      <c r="F88" s="33">
        <v>4</v>
      </c>
      <c r="G88" s="24">
        <v>4</v>
      </c>
      <c r="H88" s="24">
        <v>81379</v>
      </c>
      <c r="I88" s="33" t="s">
        <v>17</v>
      </c>
      <c r="J88" s="24">
        <v>51942871</v>
      </c>
      <c r="K88" s="24" t="s">
        <v>2032</v>
      </c>
      <c r="L88" s="44" t="s">
        <v>2040</v>
      </c>
      <c r="M88" s="25">
        <v>219900</v>
      </c>
      <c r="N88" s="22">
        <f t="shared" si="8"/>
        <v>0.7</v>
      </c>
      <c r="O88" s="72">
        <f t="shared" si="6"/>
        <v>65970</v>
      </c>
      <c r="P88" s="22" t="s">
        <v>16</v>
      </c>
    </row>
    <row r="89" spans="1:16" s="2" customFormat="1" x14ac:dyDescent="0.35">
      <c r="A89" s="33" t="str">
        <f t="shared" si="7"/>
        <v>2025 JAN-JUN DISC 70% LICENSE ESS</v>
      </c>
      <c r="B89" s="34">
        <f t="shared" si="9"/>
        <v>46104</v>
      </c>
      <c r="C89" s="34">
        <f t="shared" si="10"/>
        <v>46113</v>
      </c>
      <c r="D89" s="33">
        <v>3287</v>
      </c>
      <c r="E89" s="33">
        <v>338</v>
      </c>
      <c r="F89" s="33">
        <v>4</v>
      </c>
      <c r="G89" s="24">
        <v>4</v>
      </c>
      <c r="H89" s="24">
        <v>81379</v>
      </c>
      <c r="I89" s="33" t="s">
        <v>17</v>
      </c>
      <c r="J89" s="24">
        <v>51942880</v>
      </c>
      <c r="K89" s="24" t="s">
        <v>2032</v>
      </c>
      <c r="L89" s="44" t="s">
        <v>2038</v>
      </c>
      <c r="M89" s="25">
        <v>219900</v>
      </c>
      <c r="N89" s="22">
        <f t="shared" si="8"/>
        <v>0.7</v>
      </c>
      <c r="O89" s="72">
        <f t="shared" si="6"/>
        <v>65970</v>
      </c>
      <c r="P89" s="22" t="s">
        <v>16</v>
      </c>
    </row>
    <row r="90" spans="1:16" s="2" customFormat="1" x14ac:dyDescent="0.35">
      <c r="A90" s="33" t="str">
        <f t="shared" si="7"/>
        <v>2025 JAN-JUN DISC 70% LICENSE ESS</v>
      </c>
      <c r="B90" s="34">
        <f t="shared" si="9"/>
        <v>46104</v>
      </c>
      <c r="C90" s="34">
        <f t="shared" si="10"/>
        <v>46113</v>
      </c>
      <c r="D90" s="33">
        <v>3287</v>
      </c>
      <c r="E90" s="33">
        <v>338</v>
      </c>
      <c r="F90" s="33">
        <v>4</v>
      </c>
      <c r="G90" s="24">
        <v>4</v>
      </c>
      <c r="H90" s="24">
        <v>81379</v>
      </c>
      <c r="I90" s="33" t="s">
        <v>17</v>
      </c>
      <c r="J90" s="24">
        <v>51942899</v>
      </c>
      <c r="K90" s="24" t="s">
        <v>2032</v>
      </c>
      <c r="L90" s="44" t="s">
        <v>2035</v>
      </c>
      <c r="M90" s="25">
        <v>219900</v>
      </c>
      <c r="N90" s="22">
        <f t="shared" si="8"/>
        <v>0.7</v>
      </c>
      <c r="O90" s="72">
        <f t="shared" si="6"/>
        <v>65970</v>
      </c>
      <c r="P90" s="22" t="s">
        <v>16</v>
      </c>
    </row>
    <row r="91" spans="1:16" s="2" customFormat="1" x14ac:dyDescent="0.35">
      <c r="A91" s="33" t="str">
        <f t="shared" si="7"/>
        <v>2025 JAN-JUN DISC 70% LICENSE ESS</v>
      </c>
      <c r="B91" s="34">
        <f t="shared" si="9"/>
        <v>46104</v>
      </c>
      <c r="C91" s="34">
        <f t="shared" si="10"/>
        <v>46113</v>
      </c>
      <c r="D91" s="33">
        <v>3287</v>
      </c>
      <c r="E91" s="33">
        <v>338</v>
      </c>
      <c r="F91" s="33">
        <v>4</v>
      </c>
      <c r="G91" s="24">
        <v>4</v>
      </c>
      <c r="H91" s="24">
        <v>81379</v>
      </c>
      <c r="I91" s="33" t="s">
        <v>17</v>
      </c>
      <c r="J91" s="24">
        <v>51942906</v>
      </c>
      <c r="K91" s="24" t="s">
        <v>2032</v>
      </c>
      <c r="L91" s="44" t="s">
        <v>2037</v>
      </c>
      <c r="M91" s="25">
        <v>219900</v>
      </c>
      <c r="N91" s="22">
        <f t="shared" si="8"/>
        <v>0.7</v>
      </c>
      <c r="O91" s="72">
        <f t="shared" si="6"/>
        <v>35970</v>
      </c>
      <c r="P91" s="22" t="s">
        <v>16</v>
      </c>
    </row>
    <row r="92" spans="1:16" s="2" customFormat="1" x14ac:dyDescent="0.35">
      <c r="A92" s="33" t="str">
        <f t="shared" si="7"/>
        <v>2025 JAN-JUN DISC 70% LICENSE ESS</v>
      </c>
      <c r="B92" s="34">
        <f t="shared" si="9"/>
        <v>46104</v>
      </c>
      <c r="C92" s="34">
        <f t="shared" si="10"/>
        <v>46113</v>
      </c>
      <c r="D92" s="33">
        <v>3287</v>
      </c>
      <c r="E92" s="33">
        <v>338</v>
      </c>
      <c r="F92" s="33">
        <v>4</v>
      </c>
      <c r="G92" s="24">
        <v>3</v>
      </c>
      <c r="H92" s="24">
        <v>81462</v>
      </c>
      <c r="I92" s="33" t="s">
        <v>17</v>
      </c>
      <c r="J92" s="24">
        <v>51395954</v>
      </c>
      <c r="K92" s="24" t="s">
        <v>2191</v>
      </c>
      <c r="L92" s="44" t="s">
        <v>2194</v>
      </c>
      <c r="M92" s="25">
        <v>119900</v>
      </c>
      <c r="N92" s="22">
        <f t="shared" si="8"/>
        <v>0.7</v>
      </c>
      <c r="O92" s="72">
        <f t="shared" si="6"/>
        <v>35970</v>
      </c>
      <c r="P92" s="22" t="s">
        <v>16</v>
      </c>
    </row>
    <row r="93" spans="1:16" s="2" customFormat="1" x14ac:dyDescent="0.35">
      <c r="A93" s="33" t="str">
        <f t="shared" si="7"/>
        <v>2025 JAN-JUN DISC 70% LICENSE ESS</v>
      </c>
      <c r="B93" s="34">
        <f t="shared" si="9"/>
        <v>46104</v>
      </c>
      <c r="C93" s="34">
        <f t="shared" si="10"/>
        <v>46113</v>
      </c>
      <c r="D93" s="33">
        <v>3287</v>
      </c>
      <c r="E93" s="33">
        <v>338</v>
      </c>
      <c r="F93" s="33">
        <v>4</v>
      </c>
      <c r="G93" s="24">
        <v>3</v>
      </c>
      <c r="H93" s="24">
        <v>81462</v>
      </c>
      <c r="I93" s="33" t="s">
        <v>17</v>
      </c>
      <c r="J93" s="24">
        <v>51395963</v>
      </c>
      <c r="K93" s="24" t="s">
        <v>2191</v>
      </c>
      <c r="L93" s="44" t="s">
        <v>2193</v>
      </c>
      <c r="M93" s="25">
        <v>119900</v>
      </c>
      <c r="N93" s="22">
        <f t="shared" si="8"/>
        <v>0.7</v>
      </c>
      <c r="O93" s="72">
        <f t="shared" si="6"/>
        <v>35970</v>
      </c>
      <c r="P93" s="22" t="s">
        <v>16</v>
      </c>
    </row>
    <row r="94" spans="1:16" s="2" customFormat="1" x14ac:dyDescent="0.35">
      <c r="A94" s="33" t="str">
        <f t="shared" si="7"/>
        <v>2025 JAN-JUN DISC 70% LICENSE ESS</v>
      </c>
      <c r="B94" s="34">
        <f t="shared" si="9"/>
        <v>46104</v>
      </c>
      <c r="C94" s="34">
        <f t="shared" si="10"/>
        <v>46113</v>
      </c>
      <c r="D94" s="33">
        <v>3287</v>
      </c>
      <c r="E94" s="33">
        <v>338</v>
      </c>
      <c r="F94" s="33">
        <v>4</v>
      </c>
      <c r="G94" s="24">
        <v>3</v>
      </c>
      <c r="H94" s="24">
        <v>81462</v>
      </c>
      <c r="I94" s="33" t="s">
        <v>17</v>
      </c>
      <c r="J94" s="24">
        <v>51395972</v>
      </c>
      <c r="K94" s="24" t="s">
        <v>2191</v>
      </c>
      <c r="L94" s="44" t="s">
        <v>2195</v>
      </c>
      <c r="M94" s="25">
        <v>119900</v>
      </c>
      <c r="N94" s="22">
        <f t="shared" si="8"/>
        <v>0.7</v>
      </c>
      <c r="O94" s="72">
        <f t="shared" si="6"/>
        <v>35970</v>
      </c>
      <c r="P94" s="22" t="s">
        <v>16</v>
      </c>
    </row>
    <row r="95" spans="1:16" s="2" customFormat="1" x14ac:dyDescent="0.35">
      <c r="A95" s="33" t="str">
        <f t="shared" si="7"/>
        <v>2025 JAN-JUN DISC 70% LICENSE ESS</v>
      </c>
      <c r="B95" s="34">
        <f t="shared" si="9"/>
        <v>46104</v>
      </c>
      <c r="C95" s="34">
        <f t="shared" si="10"/>
        <v>46113</v>
      </c>
      <c r="D95" s="33">
        <v>3287</v>
      </c>
      <c r="E95" s="33">
        <v>338</v>
      </c>
      <c r="F95" s="33">
        <v>4</v>
      </c>
      <c r="G95" s="24">
        <v>3</v>
      </c>
      <c r="H95" s="24">
        <v>81462</v>
      </c>
      <c r="I95" s="33" t="s">
        <v>17</v>
      </c>
      <c r="J95" s="24">
        <v>51395981</v>
      </c>
      <c r="K95" s="24" t="s">
        <v>2191</v>
      </c>
      <c r="L95" s="44" t="s">
        <v>2192</v>
      </c>
      <c r="M95" s="25">
        <v>119900</v>
      </c>
      <c r="N95" s="22">
        <f t="shared" si="8"/>
        <v>0.7</v>
      </c>
      <c r="O95" s="72">
        <f t="shared" si="6"/>
        <v>35970</v>
      </c>
      <c r="P95" s="22" t="s">
        <v>16</v>
      </c>
    </row>
    <row r="96" spans="1:16" s="2" customFormat="1" x14ac:dyDescent="0.35">
      <c r="A96" s="33" t="str">
        <f t="shared" si="7"/>
        <v>2025 JAN-JUN DISC 70% LICENSE ESS</v>
      </c>
      <c r="B96" s="34">
        <f t="shared" si="9"/>
        <v>46104</v>
      </c>
      <c r="C96" s="34">
        <f t="shared" si="10"/>
        <v>46113</v>
      </c>
      <c r="D96" s="33">
        <v>3287</v>
      </c>
      <c r="E96" s="33">
        <v>338</v>
      </c>
      <c r="F96" s="33">
        <v>4</v>
      </c>
      <c r="G96" s="24">
        <v>3</v>
      </c>
      <c r="H96" s="24">
        <v>81574</v>
      </c>
      <c r="I96" s="33" t="s">
        <v>17</v>
      </c>
      <c r="J96" s="24">
        <v>52190628</v>
      </c>
      <c r="K96" s="24" t="s">
        <v>2181</v>
      </c>
      <c r="L96" s="44" t="s">
        <v>2182</v>
      </c>
      <c r="M96" s="25">
        <v>119900</v>
      </c>
      <c r="N96" s="22">
        <f t="shared" si="8"/>
        <v>0.7</v>
      </c>
      <c r="O96" s="72">
        <f t="shared" si="6"/>
        <v>35970</v>
      </c>
      <c r="P96" s="22" t="s">
        <v>16</v>
      </c>
    </row>
    <row r="97" spans="1:16" s="2" customFormat="1" x14ac:dyDescent="0.35">
      <c r="A97" s="33" t="str">
        <f t="shared" si="7"/>
        <v>2025 JAN-JUN DISC 70% LICENSE ESS</v>
      </c>
      <c r="B97" s="34">
        <f t="shared" si="9"/>
        <v>46104</v>
      </c>
      <c r="C97" s="34">
        <f t="shared" si="10"/>
        <v>46113</v>
      </c>
      <c r="D97" s="33">
        <v>3287</v>
      </c>
      <c r="E97" s="33">
        <v>338</v>
      </c>
      <c r="F97" s="33">
        <v>4</v>
      </c>
      <c r="G97" s="24">
        <v>3</v>
      </c>
      <c r="H97" s="24">
        <v>81574</v>
      </c>
      <c r="I97" s="33" t="s">
        <v>17</v>
      </c>
      <c r="J97" s="24">
        <v>52190637</v>
      </c>
      <c r="K97" s="24" t="s">
        <v>2181</v>
      </c>
      <c r="L97" s="44" t="s">
        <v>2185</v>
      </c>
      <c r="M97" s="25">
        <v>119900</v>
      </c>
      <c r="N97" s="22">
        <f t="shared" si="8"/>
        <v>0.7</v>
      </c>
      <c r="O97" s="72">
        <f t="shared" si="6"/>
        <v>35970</v>
      </c>
      <c r="P97" s="22" t="s">
        <v>16</v>
      </c>
    </row>
    <row r="98" spans="1:16" s="2" customFormat="1" x14ac:dyDescent="0.35">
      <c r="A98" s="33" t="str">
        <f t="shared" si="7"/>
        <v>2025 JAN-JUN DISC 70% LICENSE ESS</v>
      </c>
      <c r="B98" s="34">
        <f t="shared" si="9"/>
        <v>46104</v>
      </c>
      <c r="C98" s="34">
        <f t="shared" si="10"/>
        <v>46113</v>
      </c>
      <c r="D98" s="33">
        <v>3287</v>
      </c>
      <c r="E98" s="33">
        <v>338</v>
      </c>
      <c r="F98" s="33">
        <v>4</v>
      </c>
      <c r="G98" s="24">
        <v>3</v>
      </c>
      <c r="H98" s="24">
        <v>81574</v>
      </c>
      <c r="I98" s="33" t="s">
        <v>17</v>
      </c>
      <c r="J98" s="24">
        <v>52190646</v>
      </c>
      <c r="K98" s="24" t="s">
        <v>2181</v>
      </c>
      <c r="L98" s="44" t="s">
        <v>2184</v>
      </c>
      <c r="M98" s="25">
        <v>119900</v>
      </c>
      <c r="N98" s="22">
        <f t="shared" si="8"/>
        <v>0.7</v>
      </c>
      <c r="O98" s="72">
        <f t="shared" si="6"/>
        <v>35970</v>
      </c>
      <c r="P98" s="22" t="s">
        <v>16</v>
      </c>
    </row>
    <row r="99" spans="1:16" s="2" customFormat="1" x14ac:dyDescent="0.35">
      <c r="A99" s="33" t="str">
        <f t="shared" si="7"/>
        <v>2025 JAN-JUN DISC 70% LICENSE ESS</v>
      </c>
      <c r="B99" s="34">
        <f t="shared" si="9"/>
        <v>46104</v>
      </c>
      <c r="C99" s="34">
        <f t="shared" si="10"/>
        <v>46113</v>
      </c>
      <c r="D99" s="33">
        <v>3287</v>
      </c>
      <c r="E99" s="33">
        <v>338</v>
      </c>
      <c r="F99" s="33">
        <v>4</v>
      </c>
      <c r="G99" s="24">
        <v>3</v>
      </c>
      <c r="H99" s="24">
        <v>81574</v>
      </c>
      <c r="I99" s="33" t="s">
        <v>17</v>
      </c>
      <c r="J99" s="24">
        <v>52190655</v>
      </c>
      <c r="K99" s="24" t="s">
        <v>2181</v>
      </c>
      <c r="L99" s="44" t="s">
        <v>2183</v>
      </c>
      <c r="M99" s="25">
        <v>119900</v>
      </c>
      <c r="N99" s="22">
        <f t="shared" si="8"/>
        <v>0.7</v>
      </c>
      <c r="O99" s="72">
        <f t="shared" si="6"/>
        <v>65970</v>
      </c>
      <c r="P99" s="22" t="s">
        <v>16</v>
      </c>
    </row>
    <row r="100" spans="1:16" s="2" customFormat="1" x14ac:dyDescent="0.35">
      <c r="A100" s="33" t="str">
        <f t="shared" si="7"/>
        <v>2025 JAN-JUN DISC 70% LICENSE ESS</v>
      </c>
      <c r="B100" s="34">
        <f t="shared" si="9"/>
        <v>46104</v>
      </c>
      <c r="C100" s="34">
        <f t="shared" si="10"/>
        <v>46113</v>
      </c>
      <c r="D100" s="33">
        <v>3287</v>
      </c>
      <c r="E100" s="33">
        <v>338</v>
      </c>
      <c r="F100" s="33">
        <v>4</v>
      </c>
      <c r="G100" s="24">
        <v>4</v>
      </c>
      <c r="H100" s="24">
        <v>81462</v>
      </c>
      <c r="I100" s="33" t="s">
        <v>17</v>
      </c>
      <c r="J100" s="24">
        <v>51942915</v>
      </c>
      <c r="K100" s="24" t="s">
        <v>2196</v>
      </c>
      <c r="L100" s="44" t="s">
        <v>2197</v>
      </c>
      <c r="M100" s="25">
        <v>219900</v>
      </c>
      <c r="N100" s="22">
        <f t="shared" si="8"/>
        <v>0.7</v>
      </c>
      <c r="O100" s="72">
        <f t="shared" si="6"/>
        <v>65970</v>
      </c>
      <c r="P100" s="22" t="s">
        <v>16</v>
      </c>
    </row>
    <row r="101" spans="1:16" s="2" customFormat="1" x14ac:dyDescent="0.35">
      <c r="A101" s="33" t="str">
        <f t="shared" si="7"/>
        <v>2025 JAN-JUN DISC 70% LICENSE ESS</v>
      </c>
      <c r="B101" s="34">
        <f t="shared" si="9"/>
        <v>46104</v>
      </c>
      <c r="C101" s="34">
        <f t="shared" si="10"/>
        <v>46113</v>
      </c>
      <c r="D101" s="33">
        <v>3287</v>
      </c>
      <c r="E101" s="33">
        <v>338</v>
      </c>
      <c r="F101" s="33">
        <v>4</v>
      </c>
      <c r="G101" s="24">
        <v>4</v>
      </c>
      <c r="H101" s="24">
        <v>81462</v>
      </c>
      <c r="I101" s="33" t="s">
        <v>17</v>
      </c>
      <c r="J101" s="24">
        <v>51942924</v>
      </c>
      <c r="K101" s="24" t="s">
        <v>2196</v>
      </c>
      <c r="L101" s="44" t="s">
        <v>2198</v>
      </c>
      <c r="M101" s="25">
        <v>219900</v>
      </c>
      <c r="N101" s="22">
        <f t="shared" si="8"/>
        <v>0.7</v>
      </c>
      <c r="O101" s="72">
        <f t="shared" si="6"/>
        <v>65970</v>
      </c>
      <c r="P101" s="22" t="s">
        <v>16</v>
      </c>
    </row>
    <row r="102" spans="1:16" s="2" customFormat="1" x14ac:dyDescent="0.35">
      <c r="A102" s="33" t="str">
        <f t="shared" si="7"/>
        <v>2025 JAN-JUN DISC 70% LICENSE ESS</v>
      </c>
      <c r="B102" s="34">
        <f t="shared" si="9"/>
        <v>46104</v>
      </c>
      <c r="C102" s="34">
        <f t="shared" si="10"/>
        <v>46113</v>
      </c>
      <c r="D102" s="33">
        <v>3287</v>
      </c>
      <c r="E102" s="33">
        <v>338</v>
      </c>
      <c r="F102" s="33">
        <v>4</v>
      </c>
      <c r="G102" s="24">
        <v>4</v>
      </c>
      <c r="H102" s="24">
        <v>81462</v>
      </c>
      <c r="I102" s="33" t="s">
        <v>17</v>
      </c>
      <c r="J102" s="24">
        <v>51942933</v>
      </c>
      <c r="K102" s="24" t="s">
        <v>2196</v>
      </c>
      <c r="L102" s="44" t="s">
        <v>2204</v>
      </c>
      <c r="M102" s="25">
        <v>219900</v>
      </c>
      <c r="N102" s="22">
        <f t="shared" si="8"/>
        <v>0.7</v>
      </c>
      <c r="O102" s="72">
        <f t="shared" si="6"/>
        <v>65970</v>
      </c>
      <c r="P102" s="22" t="s">
        <v>16</v>
      </c>
    </row>
    <row r="103" spans="1:16" s="2" customFormat="1" x14ac:dyDescent="0.35">
      <c r="A103" s="33" t="str">
        <f t="shared" si="7"/>
        <v>2025 JAN-JUN DISC 70% LICENSE ESS</v>
      </c>
      <c r="B103" s="34">
        <f t="shared" si="9"/>
        <v>46104</v>
      </c>
      <c r="C103" s="34">
        <f t="shared" si="10"/>
        <v>46113</v>
      </c>
      <c r="D103" s="33">
        <v>3287</v>
      </c>
      <c r="E103" s="33">
        <v>338</v>
      </c>
      <c r="F103" s="33">
        <v>4</v>
      </c>
      <c r="G103" s="24">
        <v>4</v>
      </c>
      <c r="H103" s="24">
        <v>81462</v>
      </c>
      <c r="I103" s="33" t="s">
        <v>17</v>
      </c>
      <c r="J103" s="24">
        <v>51942942</v>
      </c>
      <c r="K103" s="24" t="s">
        <v>2196</v>
      </c>
      <c r="L103" s="44" t="s">
        <v>2201</v>
      </c>
      <c r="M103" s="25">
        <v>219900</v>
      </c>
      <c r="N103" s="22">
        <f t="shared" si="8"/>
        <v>0.7</v>
      </c>
      <c r="O103" s="72">
        <f t="shared" si="6"/>
        <v>68970</v>
      </c>
      <c r="P103" s="22" t="s">
        <v>16</v>
      </c>
    </row>
    <row r="104" spans="1:16" s="2" customFormat="1" x14ac:dyDescent="0.35">
      <c r="A104" s="33" t="str">
        <f t="shared" si="7"/>
        <v>2025 JAN-JUN DISC 70% LICENSE ESS</v>
      </c>
      <c r="B104" s="34">
        <f t="shared" si="9"/>
        <v>46104</v>
      </c>
      <c r="C104" s="34">
        <f t="shared" si="10"/>
        <v>46113</v>
      </c>
      <c r="D104" s="33">
        <v>3287</v>
      </c>
      <c r="E104" s="33">
        <v>338</v>
      </c>
      <c r="F104" s="33">
        <v>4</v>
      </c>
      <c r="G104" s="24">
        <v>4</v>
      </c>
      <c r="H104" s="24">
        <v>81462</v>
      </c>
      <c r="I104" s="33" t="s">
        <v>17</v>
      </c>
      <c r="J104" s="24">
        <v>51942951</v>
      </c>
      <c r="K104" s="24" t="s">
        <v>2196</v>
      </c>
      <c r="L104" s="44" t="s">
        <v>2202</v>
      </c>
      <c r="M104" s="25">
        <v>229900</v>
      </c>
      <c r="N104" s="22">
        <f t="shared" si="8"/>
        <v>0.7</v>
      </c>
      <c r="O104" s="72">
        <f t="shared" si="6"/>
        <v>68970</v>
      </c>
      <c r="P104" s="22" t="s">
        <v>16</v>
      </c>
    </row>
    <row r="105" spans="1:16" s="2" customFormat="1" x14ac:dyDescent="0.35">
      <c r="A105" s="33" t="str">
        <f t="shared" si="7"/>
        <v>2025 JAN-JUN DISC 70% LICENSE ESS</v>
      </c>
      <c r="B105" s="34">
        <f t="shared" si="9"/>
        <v>46104</v>
      </c>
      <c r="C105" s="34">
        <f t="shared" si="10"/>
        <v>46113</v>
      </c>
      <c r="D105" s="33">
        <v>3287</v>
      </c>
      <c r="E105" s="33">
        <v>338</v>
      </c>
      <c r="F105" s="33">
        <v>4</v>
      </c>
      <c r="G105" s="24">
        <v>4</v>
      </c>
      <c r="H105" s="24">
        <v>81462</v>
      </c>
      <c r="I105" s="33" t="s">
        <v>17</v>
      </c>
      <c r="J105" s="24">
        <v>51942960</v>
      </c>
      <c r="K105" s="24" t="s">
        <v>2196</v>
      </c>
      <c r="L105" s="44" t="s">
        <v>2203</v>
      </c>
      <c r="M105" s="25">
        <v>229900</v>
      </c>
      <c r="N105" s="22">
        <f t="shared" si="8"/>
        <v>0.7</v>
      </c>
      <c r="O105" s="72">
        <f t="shared" si="6"/>
        <v>68970</v>
      </c>
      <c r="P105" s="22" t="s">
        <v>16</v>
      </c>
    </row>
    <row r="106" spans="1:16" s="2" customFormat="1" x14ac:dyDescent="0.35">
      <c r="A106" s="33" t="str">
        <f t="shared" si="7"/>
        <v>2025 JAN-JUN DISC 70% LICENSE ESS</v>
      </c>
      <c r="B106" s="34">
        <f t="shared" si="9"/>
        <v>46104</v>
      </c>
      <c r="C106" s="34">
        <f t="shared" si="10"/>
        <v>46113</v>
      </c>
      <c r="D106" s="33">
        <v>3287</v>
      </c>
      <c r="E106" s="33">
        <v>338</v>
      </c>
      <c r="F106" s="33">
        <v>4</v>
      </c>
      <c r="G106" s="24">
        <v>4</v>
      </c>
      <c r="H106" s="24">
        <v>81462</v>
      </c>
      <c r="I106" s="33" t="s">
        <v>17</v>
      </c>
      <c r="J106" s="24">
        <v>51942979</v>
      </c>
      <c r="K106" s="24" t="s">
        <v>2196</v>
      </c>
      <c r="L106" s="44" t="s">
        <v>2199</v>
      </c>
      <c r="M106" s="25">
        <v>229900</v>
      </c>
      <c r="N106" s="22">
        <f t="shared" si="8"/>
        <v>0.7</v>
      </c>
      <c r="O106" s="72">
        <f t="shared" si="6"/>
        <v>68970</v>
      </c>
      <c r="P106" s="22" t="s">
        <v>16</v>
      </c>
    </row>
    <row r="107" spans="1:16" s="2" customFormat="1" x14ac:dyDescent="0.35">
      <c r="A107" s="33" t="str">
        <f t="shared" si="7"/>
        <v>2025 JAN-JUN DISC 70% LICENSE ESS</v>
      </c>
      <c r="B107" s="34">
        <f t="shared" si="9"/>
        <v>46104</v>
      </c>
      <c r="C107" s="34">
        <f t="shared" si="10"/>
        <v>46113</v>
      </c>
      <c r="D107" s="33">
        <v>3287</v>
      </c>
      <c r="E107" s="33">
        <v>338</v>
      </c>
      <c r="F107" s="33">
        <v>4</v>
      </c>
      <c r="G107" s="24">
        <v>4</v>
      </c>
      <c r="H107" s="24">
        <v>81462</v>
      </c>
      <c r="I107" s="33" t="s">
        <v>17</v>
      </c>
      <c r="J107" s="24">
        <v>51942988</v>
      </c>
      <c r="K107" s="24" t="s">
        <v>2196</v>
      </c>
      <c r="L107" s="44" t="s">
        <v>2200</v>
      </c>
      <c r="M107" s="25">
        <v>229900</v>
      </c>
      <c r="N107" s="22">
        <f t="shared" si="8"/>
        <v>0.7</v>
      </c>
      <c r="O107" s="72">
        <f t="shared" si="6"/>
        <v>65970</v>
      </c>
      <c r="P107" s="22" t="s">
        <v>16</v>
      </c>
    </row>
    <row r="108" spans="1:16" s="2" customFormat="1" x14ac:dyDescent="0.35">
      <c r="A108" s="33" t="str">
        <f t="shared" si="7"/>
        <v>2025 JAN-JUN DISC 70% LICENSE ESS</v>
      </c>
      <c r="B108" s="34">
        <f t="shared" si="9"/>
        <v>46104</v>
      </c>
      <c r="C108" s="34">
        <f t="shared" si="10"/>
        <v>46113</v>
      </c>
      <c r="D108" s="33">
        <v>3287</v>
      </c>
      <c r="E108" s="33">
        <v>338</v>
      </c>
      <c r="F108" s="33">
        <v>4</v>
      </c>
      <c r="G108" s="24">
        <v>4</v>
      </c>
      <c r="H108" s="24">
        <v>81462</v>
      </c>
      <c r="I108" s="33" t="s">
        <v>17</v>
      </c>
      <c r="J108" s="24">
        <v>51942997</v>
      </c>
      <c r="K108" s="24" t="s">
        <v>2205</v>
      </c>
      <c r="L108" s="44" t="s">
        <v>2209</v>
      </c>
      <c r="M108" s="25">
        <v>219900</v>
      </c>
      <c r="N108" s="22">
        <f t="shared" si="8"/>
        <v>0.7</v>
      </c>
      <c r="O108" s="72">
        <f t="shared" si="6"/>
        <v>65970</v>
      </c>
      <c r="P108" s="22" t="s">
        <v>16</v>
      </c>
    </row>
    <row r="109" spans="1:16" s="2" customFormat="1" x14ac:dyDescent="0.35">
      <c r="A109" s="33" t="str">
        <f t="shared" si="7"/>
        <v>2025 JAN-JUN DISC 70% LICENSE ESS</v>
      </c>
      <c r="B109" s="34">
        <f t="shared" si="9"/>
        <v>46104</v>
      </c>
      <c r="C109" s="34">
        <f t="shared" si="10"/>
        <v>46113</v>
      </c>
      <c r="D109" s="33">
        <v>3287</v>
      </c>
      <c r="E109" s="33">
        <v>338</v>
      </c>
      <c r="F109" s="33">
        <v>4</v>
      </c>
      <c r="G109" s="24">
        <v>4</v>
      </c>
      <c r="H109" s="24">
        <v>81462</v>
      </c>
      <c r="I109" s="33" t="s">
        <v>17</v>
      </c>
      <c r="J109" s="24">
        <v>51943003</v>
      </c>
      <c r="K109" s="24" t="s">
        <v>2205</v>
      </c>
      <c r="L109" s="44" t="s">
        <v>2210</v>
      </c>
      <c r="M109" s="25">
        <v>219900</v>
      </c>
      <c r="N109" s="22">
        <f t="shared" si="8"/>
        <v>0.7</v>
      </c>
      <c r="O109" s="72">
        <f t="shared" si="6"/>
        <v>65970</v>
      </c>
      <c r="P109" s="22" t="s">
        <v>16</v>
      </c>
    </row>
    <row r="110" spans="1:16" s="2" customFormat="1" x14ac:dyDescent="0.35">
      <c r="A110" s="33" t="str">
        <f t="shared" si="7"/>
        <v>2025 JAN-JUN DISC 70% LICENSE ESS</v>
      </c>
      <c r="B110" s="34">
        <f t="shared" si="9"/>
        <v>46104</v>
      </c>
      <c r="C110" s="34">
        <f t="shared" si="10"/>
        <v>46113</v>
      </c>
      <c r="D110" s="33">
        <v>3287</v>
      </c>
      <c r="E110" s="33">
        <v>338</v>
      </c>
      <c r="F110" s="33">
        <v>4</v>
      </c>
      <c r="G110" s="24">
        <v>4</v>
      </c>
      <c r="H110" s="24">
        <v>81462</v>
      </c>
      <c r="I110" s="33" t="s">
        <v>17</v>
      </c>
      <c r="J110" s="24">
        <v>51943012</v>
      </c>
      <c r="K110" s="24" t="s">
        <v>2205</v>
      </c>
      <c r="L110" s="44" t="s">
        <v>2206</v>
      </c>
      <c r="M110" s="25">
        <v>219900</v>
      </c>
      <c r="N110" s="22">
        <f t="shared" si="8"/>
        <v>0.7</v>
      </c>
      <c r="O110" s="72">
        <f t="shared" si="6"/>
        <v>65970</v>
      </c>
      <c r="P110" s="22" t="s">
        <v>16</v>
      </c>
    </row>
    <row r="111" spans="1:16" s="2" customFormat="1" x14ac:dyDescent="0.35">
      <c r="A111" s="33" t="str">
        <f t="shared" si="7"/>
        <v>2025 JAN-JUN DISC 70% LICENSE ESS</v>
      </c>
      <c r="B111" s="34">
        <f t="shared" si="9"/>
        <v>46104</v>
      </c>
      <c r="C111" s="34">
        <f t="shared" si="10"/>
        <v>46113</v>
      </c>
      <c r="D111" s="33">
        <v>3287</v>
      </c>
      <c r="E111" s="33">
        <v>338</v>
      </c>
      <c r="F111" s="33">
        <v>4</v>
      </c>
      <c r="G111" s="24">
        <v>4</v>
      </c>
      <c r="H111" s="24">
        <v>81462</v>
      </c>
      <c r="I111" s="33" t="s">
        <v>17</v>
      </c>
      <c r="J111" s="24">
        <v>51943021</v>
      </c>
      <c r="K111" s="24" t="s">
        <v>2205</v>
      </c>
      <c r="L111" s="44" t="s">
        <v>2207</v>
      </c>
      <c r="M111" s="25">
        <v>219900</v>
      </c>
      <c r="N111" s="22">
        <f t="shared" si="8"/>
        <v>0.7</v>
      </c>
      <c r="O111" s="72">
        <f t="shared" si="6"/>
        <v>68970</v>
      </c>
      <c r="P111" s="22" t="s">
        <v>16</v>
      </c>
    </row>
    <row r="112" spans="1:16" s="2" customFormat="1" x14ac:dyDescent="0.35">
      <c r="A112" s="33" t="str">
        <f t="shared" si="7"/>
        <v>2025 JAN-JUN DISC 70% LICENSE ESS</v>
      </c>
      <c r="B112" s="34">
        <f t="shared" si="9"/>
        <v>46104</v>
      </c>
      <c r="C112" s="34">
        <f t="shared" si="10"/>
        <v>46113</v>
      </c>
      <c r="D112" s="33">
        <v>3287</v>
      </c>
      <c r="E112" s="33">
        <v>338</v>
      </c>
      <c r="F112" s="33">
        <v>4</v>
      </c>
      <c r="G112" s="24">
        <v>4</v>
      </c>
      <c r="H112" s="24">
        <v>81462</v>
      </c>
      <c r="I112" s="33" t="s">
        <v>17</v>
      </c>
      <c r="J112" s="24">
        <v>51943030</v>
      </c>
      <c r="K112" s="24" t="s">
        <v>2205</v>
      </c>
      <c r="L112" s="44" t="s">
        <v>2213</v>
      </c>
      <c r="M112" s="25">
        <v>229900</v>
      </c>
      <c r="N112" s="22">
        <f t="shared" si="8"/>
        <v>0.7</v>
      </c>
      <c r="O112" s="72">
        <f t="shared" si="6"/>
        <v>68970</v>
      </c>
      <c r="P112" s="22" t="s">
        <v>16</v>
      </c>
    </row>
    <row r="113" spans="1:16" s="2" customFormat="1" x14ac:dyDescent="0.35">
      <c r="A113" s="33" t="str">
        <f t="shared" si="7"/>
        <v>2025 JAN-JUN DISC 70% LICENSE ESS</v>
      </c>
      <c r="B113" s="34">
        <f t="shared" si="9"/>
        <v>46104</v>
      </c>
      <c r="C113" s="34">
        <f t="shared" si="10"/>
        <v>46113</v>
      </c>
      <c r="D113" s="33">
        <v>3287</v>
      </c>
      <c r="E113" s="33">
        <v>338</v>
      </c>
      <c r="F113" s="33">
        <v>4</v>
      </c>
      <c r="G113" s="24">
        <v>4</v>
      </c>
      <c r="H113" s="24">
        <v>81462</v>
      </c>
      <c r="I113" s="33" t="s">
        <v>17</v>
      </c>
      <c r="J113" s="24">
        <v>51943049</v>
      </c>
      <c r="K113" s="24" t="s">
        <v>2205</v>
      </c>
      <c r="L113" s="44" t="s">
        <v>2208</v>
      </c>
      <c r="M113" s="25">
        <v>229900</v>
      </c>
      <c r="N113" s="22">
        <f t="shared" si="8"/>
        <v>0.7</v>
      </c>
      <c r="O113" s="72">
        <f t="shared" si="6"/>
        <v>68970</v>
      </c>
      <c r="P113" s="22" t="s">
        <v>16</v>
      </c>
    </row>
    <row r="114" spans="1:16" s="2" customFormat="1" x14ac:dyDescent="0.35">
      <c r="A114" s="33" t="str">
        <f t="shared" si="7"/>
        <v>2025 JAN-JUN DISC 70% LICENSE ESS</v>
      </c>
      <c r="B114" s="34">
        <f t="shared" si="9"/>
        <v>46104</v>
      </c>
      <c r="C114" s="34">
        <f t="shared" si="10"/>
        <v>46113</v>
      </c>
      <c r="D114" s="33">
        <v>3287</v>
      </c>
      <c r="E114" s="33">
        <v>338</v>
      </c>
      <c r="F114" s="33">
        <v>4</v>
      </c>
      <c r="G114" s="24">
        <v>4</v>
      </c>
      <c r="H114" s="24">
        <v>81462</v>
      </c>
      <c r="I114" s="33" t="s">
        <v>17</v>
      </c>
      <c r="J114" s="24">
        <v>51943058</v>
      </c>
      <c r="K114" s="24" t="s">
        <v>2205</v>
      </c>
      <c r="L114" s="44" t="s">
        <v>2212</v>
      </c>
      <c r="M114" s="25">
        <v>229900</v>
      </c>
      <c r="N114" s="22">
        <f t="shared" si="8"/>
        <v>0.7</v>
      </c>
      <c r="O114" s="72">
        <f t="shared" si="6"/>
        <v>68970</v>
      </c>
      <c r="P114" s="22" t="s">
        <v>16</v>
      </c>
    </row>
    <row r="115" spans="1:16" s="2" customFormat="1" x14ac:dyDescent="0.35">
      <c r="A115" s="33" t="str">
        <f t="shared" si="7"/>
        <v>2025 JAN-JUN DISC 70% LICENSE ESS</v>
      </c>
      <c r="B115" s="34">
        <f t="shared" si="9"/>
        <v>46104</v>
      </c>
      <c r="C115" s="34">
        <f t="shared" si="10"/>
        <v>46113</v>
      </c>
      <c r="D115" s="33">
        <v>3287</v>
      </c>
      <c r="E115" s="33">
        <v>338</v>
      </c>
      <c r="F115" s="33">
        <v>4</v>
      </c>
      <c r="G115" s="24">
        <v>4</v>
      </c>
      <c r="H115" s="24">
        <v>81462</v>
      </c>
      <c r="I115" s="33" t="s">
        <v>17</v>
      </c>
      <c r="J115" s="24">
        <v>51943067</v>
      </c>
      <c r="K115" s="24" t="s">
        <v>2205</v>
      </c>
      <c r="L115" s="44" t="s">
        <v>2211</v>
      </c>
      <c r="M115" s="25">
        <v>229900</v>
      </c>
      <c r="N115" s="22">
        <f t="shared" si="8"/>
        <v>0.7</v>
      </c>
      <c r="O115" s="72">
        <f t="shared" si="6"/>
        <v>65970</v>
      </c>
      <c r="P115" s="22" t="s">
        <v>16</v>
      </c>
    </row>
    <row r="116" spans="1:16" s="2" customFormat="1" x14ac:dyDescent="0.35">
      <c r="A116" s="33" t="str">
        <f t="shared" si="7"/>
        <v>2025 JAN-JUN DISC 70% LICENSE ESS</v>
      </c>
      <c r="B116" s="34">
        <f t="shared" si="9"/>
        <v>46104</v>
      </c>
      <c r="C116" s="34">
        <f t="shared" si="10"/>
        <v>46113</v>
      </c>
      <c r="D116" s="33">
        <v>3287</v>
      </c>
      <c r="E116" s="33">
        <v>338</v>
      </c>
      <c r="F116" s="33">
        <v>4</v>
      </c>
      <c r="G116" s="24">
        <v>9</v>
      </c>
      <c r="H116" s="24">
        <v>81462</v>
      </c>
      <c r="I116" s="33" t="s">
        <v>17</v>
      </c>
      <c r="J116" s="24">
        <v>52340966</v>
      </c>
      <c r="K116" s="24" t="s">
        <v>2268</v>
      </c>
      <c r="L116" s="44" t="s">
        <v>2271</v>
      </c>
      <c r="M116" s="25">
        <v>219900</v>
      </c>
      <c r="N116" s="22">
        <f t="shared" si="8"/>
        <v>0.7</v>
      </c>
      <c r="O116" s="72">
        <f t="shared" si="6"/>
        <v>65970</v>
      </c>
      <c r="P116" s="22" t="s">
        <v>16</v>
      </c>
    </row>
    <row r="117" spans="1:16" s="2" customFormat="1" x14ac:dyDescent="0.35">
      <c r="A117" s="33" t="str">
        <f t="shared" si="7"/>
        <v>2025 JAN-JUN DISC 70% LICENSE ESS</v>
      </c>
      <c r="B117" s="34">
        <f t="shared" si="9"/>
        <v>46104</v>
      </c>
      <c r="C117" s="34">
        <f t="shared" si="10"/>
        <v>46113</v>
      </c>
      <c r="D117" s="33">
        <v>3287</v>
      </c>
      <c r="E117" s="33">
        <v>338</v>
      </c>
      <c r="F117" s="33">
        <v>4</v>
      </c>
      <c r="G117" s="24">
        <v>9</v>
      </c>
      <c r="H117" s="24">
        <v>81462</v>
      </c>
      <c r="I117" s="33" t="s">
        <v>17</v>
      </c>
      <c r="J117" s="24">
        <v>52340975</v>
      </c>
      <c r="K117" s="24" t="s">
        <v>2268</v>
      </c>
      <c r="L117" s="44" t="s">
        <v>2276</v>
      </c>
      <c r="M117" s="25">
        <v>219900</v>
      </c>
      <c r="N117" s="22">
        <f t="shared" si="8"/>
        <v>0.7</v>
      </c>
      <c r="O117" s="72">
        <f t="shared" si="6"/>
        <v>65970</v>
      </c>
      <c r="P117" s="22" t="s">
        <v>16</v>
      </c>
    </row>
    <row r="118" spans="1:16" s="2" customFormat="1" x14ac:dyDescent="0.35">
      <c r="A118" s="33" t="str">
        <f t="shared" si="7"/>
        <v>2025 JAN-JUN DISC 70% LICENSE ESS</v>
      </c>
      <c r="B118" s="34">
        <f t="shared" si="9"/>
        <v>46104</v>
      </c>
      <c r="C118" s="34">
        <f t="shared" si="10"/>
        <v>46113</v>
      </c>
      <c r="D118" s="33">
        <v>3287</v>
      </c>
      <c r="E118" s="33">
        <v>338</v>
      </c>
      <c r="F118" s="33">
        <v>4</v>
      </c>
      <c r="G118" s="24">
        <v>9</v>
      </c>
      <c r="H118" s="24">
        <v>81462</v>
      </c>
      <c r="I118" s="33" t="s">
        <v>17</v>
      </c>
      <c r="J118" s="24">
        <v>52340984</v>
      </c>
      <c r="K118" s="24" t="s">
        <v>2268</v>
      </c>
      <c r="L118" s="44" t="s">
        <v>2273</v>
      </c>
      <c r="M118" s="25">
        <v>219900</v>
      </c>
      <c r="N118" s="22">
        <f t="shared" si="8"/>
        <v>0.7</v>
      </c>
      <c r="O118" s="72">
        <f t="shared" si="6"/>
        <v>65970</v>
      </c>
      <c r="P118" s="22" t="s">
        <v>16</v>
      </c>
    </row>
    <row r="119" spans="1:16" s="2" customFormat="1" x14ac:dyDescent="0.35">
      <c r="A119" s="33" t="str">
        <f t="shared" si="7"/>
        <v>2025 JAN-JUN DISC 70% LICENSE ESS</v>
      </c>
      <c r="B119" s="34">
        <f t="shared" si="9"/>
        <v>46104</v>
      </c>
      <c r="C119" s="34">
        <f t="shared" si="10"/>
        <v>46113</v>
      </c>
      <c r="D119" s="33">
        <v>3287</v>
      </c>
      <c r="E119" s="33">
        <v>338</v>
      </c>
      <c r="F119" s="33">
        <v>4</v>
      </c>
      <c r="G119" s="24">
        <v>9</v>
      </c>
      <c r="H119" s="24">
        <v>81462</v>
      </c>
      <c r="I119" s="33" t="s">
        <v>17</v>
      </c>
      <c r="J119" s="24">
        <v>52340993</v>
      </c>
      <c r="K119" s="24" t="s">
        <v>2268</v>
      </c>
      <c r="L119" s="44" t="s">
        <v>2272</v>
      </c>
      <c r="M119" s="25">
        <v>219900</v>
      </c>
      <c r="N119" s="22">
        <f t="shared" si="8"/>
        <v>0.7</v>
      </c>
      <c r="O119" s="72">
        <f t="shared" si="6"/>
        <v>65970</v>
      </c>
      <c r="P119" s="22" t="s">
        <v>16</v>
      </c>
    </row>
    <row r="120" spans="1:16" s="2" customFormat="1" x14ac:dyDescent="0.35">
      <c r="A120" s="33" t="str">
        <f t="shared" si="7"/>
        <v>2025 JAN-JUN DISC 70% LICENSE ESS</v>
      </c>
      <c r="B120" s="34">
        <f t="shared" si="9"/>
        <v>46104</v>
      </c>
      <c r="C120" s="34">
        <f t="shared" si="10"/>
        <v>46113</v>
      </c>
      <c r="D120" s="33">
        <v>3287</v>
      </c>
      <c r="E120" s="33">
        <v>338</v>
      </c>
      <c r="F120" s="33">
        <v>4</v>
      </c>
      <c r="G120" s="24">
        <v>9</v>
      </c>
      <c r="H120" s="24">
        <v>81462</v>
      </c>
      <c r="I120" s="33" t="s">
        <v>17</v>
      </c>
      <c r="J120" s="24">
        <v>52341009</v>
      </c>
      <c r="K120" s="24" t="s">
        <v>2268</v>
      </c>
      <c r="L120" s="44" t="s">
        <v>2275</v>
      </c>
      <c r="M120" s="25">
        <v>219900</v>
      </c>
      <c r="N120" s="22">
        <f t="shared" si="8"/>
        <v>0.7</v>
      </c>
      <c r="O120" s="72">
        <f t="shared" si="6"/>
        <v>65970</v>
      </c>
      <c r="P120" s="22" t="s">
        <v>16</v>
      </c>
    </row>
    <row r="121" spans="1:16" s="2" customFormat="1" x14ac:dyDescent="0.35">
      <c r="A121" s="33" t="str">
        <f t="shared" si="7"/>
        <v>2025 JAN-JUN DISC 70% LICENSE ESS</v>
      </c>
      <c r="B121" s="34">
        <f t="shared" si="9"/>
        <v>46104</v>
      </c>
      <c r="C121" s="34">
        <f t="shared" si="10"/>
        <v>46113</v>
      </c>
      <c r="D121" s="33">
        <v>3287</v>
      </c>
      <c r="E121" s="33">
        <v>338</v>
      </c>
      <c r="F121" s="33">
        <v>4</v>
      </c>
      <c r="G121" s="24">
        <v>9</v>
      </c>
      <c r="H121" s="24">
        <v>81462</v>
      </c>
      <c r="I121" s="33" t="s">
        <v>17</v>
      </c>
      <c r="J121" s="24">
        <v>52341018</v>
      </c>
      <c r="K121" s="24" t="s">
        <v>2268</v>
      </c>
      <c r="L121" s="44" t="s">
        <v>2270</v>
      </c>
      <c r="M121" s="25">
        <v>219900</v>
      </c>
      <c r="N121" s="22">
        <f t="shared" si="8"/>
        <v>0.7</v>
      </c>
      <c r="O121" s="72">
        <f t="shared" si="6"/>
        <v>65970</v>
      </c>
      <c r="P121" s="22" t="s">
        <v>16</v>
      </c>
    </row>
    <row r="122" spans="1:16" s="2" customFormat="1" x14ac:dyDescent="0.35">
      <c r="A122" s="33" t="str">
        <f t="shared" si="7"/>
        <v>2025 JAN-JUN DISC 70% LICENSE ESS</v>
      </c>
      <c r="B122" s="34">
        <f t="shared" si="9"/>
        <v>46104</v>
      </c>
      <c r="C122" s="34">
        <f t="shared" si="10"/>
        <v>46113</v>
      </c>
      <c r="D122" s="33">
        <v>3287</v>
      </c>
      <c r="E122" s="33">
        <v>338</v>
      </c>
      <c r="F122" s="33">
        <v>4</v>
      </c>
      <c r="G122" s="24">
        <v>9</v>
      </c>
      <c r="H122" s="24">
        <v>81462</v>
      </c>
      <c r="I122" s="33" t="s">
        <v>17</v>
      </c>
      <c r="J122" s="24">
        <v>52341027</v>
      </c>
      <c r="K122" s="24" t="s">
        <v>2268</v>
      </c>
      <c r="L122" s="44" t="s">
        <v>2269</v>
      </c>
      <c r="M122" s="25">
        <v>219900</v>
      </c>
      <c r="N122" s="22">
        <f t="shared" si="8"/>
        <v>0.7</v>
      </c>
      <c r="O122" s="72">
        <f t="shared" si="6"/>
        <v>65970</v>
      </c>
      <c r="P122" s="22" t="s">
        <v>16</v>
      </c>
    </row>
    <row r="123" spans="1:16" s="2" customFormat="1" x14ac:dyDescent="0.35">
      <c r="A123" s="33" t="str">
        <f t="shared" si="7"/>
        <v>2025 JAN-JUN DISC 70% LICENSE ESS</v>
      </c>
      <c r="B123" s="34">
        <f t="shared" si="9"/>
        <v>46104</v>
      </c>
      <c r="C123" s="34">
        <f t="shared" si="10"/>
        <v>46113</v>
      </c>
      <c r="D123" s="33">
        <v>3287</v>
      </c>
      <c r="E123" s="33">
        <v>338</v>
      </c>
      <c r="F123" s="33">
        <v>4</v>
      </c>
      <c r="G123" s="24">
        <v>9</v>
      </c>
      <c r="H123" s="24">
        <v>81462</v>
      </c>
      <c r="I123" s="33" t="s">
        <v>17</v>
      </c>
      <c r="J123" s="24">
        <v>52341036</v>
      </c>
      <c r="K123" s="24" t="s">
        <v>2268</v>
      </c>
      <c r="L123" s="44" t="s">
        <v>2274</v>
      </c>
      <c r="M123" s="25">
        <v>219900</v>
      </c>
      <c r="N123" s="22">
        <f t="shared" si="8"/>
        <v>0.7</v>
      </c>
      <c r="O123" s="72">
        <f t="shared" si="6"/>
        <v>65970</v>
      </c>
      <c r="P123" s="22" t="s">
        <v>16</v>
      </c>
    </row>
    <row r="124" spans="1:16" s="2" customFormat="1" x14ac:dyDescent="0.35">
      <c r="A124" s="33" t="str">
        <f t="shared" si="7"/>
        <v>2025 JAN-JUN DISC 70% LICENSE ESS</v>
      </c>
      <c r="B124" s="34">
        <f t="shared" si="9"/>
        <v>46104</v>
      </c>
      <c r="C124" s="34">
        <f t="shared" si="10"/>
        <v>46113</v>
      </c>
      <c r="D124" s="33">
        <v>3287</v>
      </c>
      <c r="E124" s="33">
        <v>338</v>
      </c>
      <c r="F124" s="33">
        <v>4</v>
      </c>
      <c r="G124" s="24">
        <v>2</v>
      </c>
      <c r="H124" s="24">
        <v>81462</v>
      </c>
      <c r="I124" s="33" t="s">
        <v>17</v>
      </c>
      <c r="J124" s="24">
        <v>52340886</v>
      </c>
      <c r="K124" s="24" t="s">
        <v>2219</v>
      </c>
      <c r="L124" s="44" t="s">
        <v>2225</v>
      </c>
      <c r="M124" s="25">
        <v>219900</v>
      </c>
      <c r="N124" s="22">
        <f t="shared" si="8"/>
        <v>0.7</v>
      </c>
      <c r="O124" s="72">
        <f t="shared" si="6"/>
        <v>65970</v>
      </c>
      <c r="P124" s="22" t="s">
        <v>16</v>
      </c>
    </row>
    <row r="125" spans="1:16" s="2" customFormat="1" x14ac:dyDescent="0.35">
      <c r="A125" s="33" t="str">
        <f t="shared" si="7"/>
        <v>2025 JAN-JUN DISC 70% LICENSE ESS</v>
      </c>
      <c r="B125" s="34">
        <f t="shared" si="9"/>
        <v>46104</v>
      </c>
      <c r="C125" s="34">
        <f t="shared" si="10"/>
        <v>46113</v>
      </c>
      <c r="D125" s="33">
        <v>3287</v>
      </c>
      <c r="E125" s="33">
        <v>338</v>
      </c>
      <c r="F125" s="33">
        <v>4</v>
      </c>
      <c r="G125" s="24">
        <v>2</v>
      </c>
      <c r="H125" s="24">
        <v>81462</v>
      </c>
      <c r="I125" s="33" t="s">
        <v>17</v>
      </c>
      <c r="J125" s="24">
        <v>52340895</v>
      </c>
      <c r="K125" s="24" t="s">
        <v>2219</v>
      </c>
      <c r="L125" s="44" t="s">
        <v>2222</v>
      </c>
      <c r="M125" s="25">
        <v>219900</v>
      </c>
      <c r="N125" s="22">
        <f t="shared" si="8"/>
        <v>0.7</v>
      </c>
      <c r="O125" s="72">
        <f t="shared" si="6"/>
        <v>65970</v>
      </c>
      <c r="P125" s="22" t="s">
        <v>16</v>
      </c>
    </row>
    <row r="126" spans="1:16" s="2" customFormat="1" x14ac:dyDescent="0.35">
      <c r="A126" s="33" t="str">
        <f t="shared" si="7"/>
        <v>2025 JAN-JUN DISC 70% LICENSE ESS</v>
      </c>
      <c r="B126" s="34">
        <f t="shared" si="9"/>
        <v>46104</v>
      </c>
      <c r="C126" s="34">
        <f t="shared" si="10"/>
        <v>46113</v>
      </c>
      <c r="D126" s="33">
        <v>3287</v>
      </c>
      <c r="E126" s="33">
        <v>338</v>
      </c>
      <c r="F126" s="33">
        <v>4</v>
      </c>
      <c r="G126" s="24">
        <v>2</v>
      </c>
      <c r="H126" s="24">
        <v>81462</v>
      </c>
      <c r="I126" s="33" t="s">
        <v>17</v>
      </c>
      <c r="J126" s="24">
        <v>52340902</v>
      </c>
      <c r="K126" s="24" t="s">
        <v>2219</v>
      </c>
      <c r="L126" s="44" t="s">
        <v>2221</v>
      </c>
      <c r="M126" s="25">
        <v>219900</v>
      </c>
      <c r="N126" s="22">
        <f t="shared" si="8"/>
        <v>0.7</v>
      </c>
      <c r="O126" s="72">
        <f t="shared" si="6"/>
        <v>65970</v>
      </c>
      <c r="P126" s="22" t="s">
        <v>16</v>
      </c>
    </row>
    <row r="127" spans="1:16" s="2" customFormat="1" x14ac:dyDescent="0.35">
      <c r="A127" s="33" t="str">
        <f t="shared" si="7"/>
        <v>2025 JAN-JUN DISC 70% LICENSE ESS</v>
      </c>
      <c r="B127" s="34">
        <f t="shared" si="9"/>
        <v>46104</v>
      </c>
      <c r="C127" s="34">
        <f t="shared" si="10"/>
        <v>46113</v>
      </c>
      <c r="D127" s="33">
        <v>3287</v>
      </c>
      <c r="E127" s="33">
        <v>338</v>
      </c>
      <c r="F127" s="33">
        <v>4</v>
      </c>
      <c r="G127" s="24">
        <v>2</v>
      </c>
      <c r="H127" s="24">
        <v>81462</v>
      </c>
      <c r="I127" s="33" t="s">
        <v>17</v>
      </c>
      <c r="J127" s="24">
        <v>52340911</v>
      </c>
      <c r="K127" s="24" t="s">
        <v>2219</v>
      </c>
      <c r="L127" s="44" t="s">
        <v>2220</v>
      </c>
      <c r="M127" s="25">
        <v>219900</v>
      </c>
      <c r="N127" s="22">
        <f t="shared" si="8"/>
        <v>0.7</v>
      </c>
      <c r="O127" s="72">
        <f t="shared" si="6"/>
        <v>65970</v>
      </c>
      <c r="P127" s="22" t="s">
        <v>16</v>
      </c>
    </row>
    <row r="128" spans="1:16" s="2" customFormat="1" x14ac:dyDescent="0.35">
      <c r="A128" s="33" t="str">
        <f t="shared" si="7"/>
        <v>2025 JAN-JUN DISC 70% LICENSE ESS</v>
      </c>
      <c r="B128" s="34">
        <f t="shared" si="9"/>
        <v>46104</v>
      </c>
      <c r="C128" s="34">
        <f t="shared" si="10"/>
        <v>46113</v>
      </c>
      <c r="D128" s="33">
        <v>3287</v>
      </c>
      <c r="E128" s="33">
        <v>338</v>
      </c>
      <c r="F128" s="33">
        <v>4</v>
      </c>
      <c r="G128" s="24">
        <v>2</v>
      </c>
      <c r="H128" s="24">
        <v>81462</v>
      </c>
      <c r="I128" s="33" t="s">
        <v>17</v>
      </c>
      <c r="J128" s="24">
        <v>52340920</v>
      </c>
      <c r="K128" s="24" t="s">
        <v>2219</v>
      </c>
      <c r="L128" s="44" t="s">
        <v>2227</v>
      </c>
      <c r="M128" s="25">
        <v>219900</v>
      </c>
      <c r="N128" s="22">
        <f t="shared" si="8"/>
        <v>0.7</v>
      </c>
      <c r="O128" s="72">
        <f t="shared" si="6"/>
        <v>65970</v>
      </c>
      <c r="P128" s="22" t="s">
        <v>16</v>
      </c>
    </row>
    <row r="129" spans="1:16" s="2" customFormat="1" x14ac:dyDescent="0.35">
      <c r="A129" s="33" t="str">
        <f t="shared" si="7"/>
        <v>2025 JAN-JUN DISC 70% LICENSE ESS</v>
      </c>
      <c r="B129" s="34">
        <f t="shared" si="9"/>
        <v>46104</v>
      </c>
      <c r="C129" s="34">
        <f t="shared" si="10"/>
        <v>46113</v>
      </c>
      <c r="D129" s="33">
        <v>3287</v>
      </c>
      <c r="E129" s="33">
        <v>338</v>
      </c>
      <c r="F129" s="33">
        <v>4</v>
      </c>
      <c r="G129" s="24">
        <v>2</v>
      </c>
      <c r="H129" s="24">
        <v>81462</v>
      </c>
      <c r="I129" s="33" t="s">
        <v>17</v>
      </c>
      <c r="J129" s="24">
        <v>52340939</v>
      </c>
      <c r="K129" s="24" t="s">
        <v>2219</v>
      </c>
      <c r="L129" s="44" t="s">
        <v>2226</v>
      </c>
      <c r="M129" s="25">
        <v>219900</v>
      </c>
      <c r="N129" s="22">
        <f t="shared" si="8"/>
        <v>0.7</v>
      </c>
      <c r="O129" s="72">
        <f t="shared" si="6"/>
        <v>65970</v>
      </c>
      <c r="P129" s="22" t="s">
        <v>16</v>
      </c>
    </row>
    <row r="130" spans="1:16" s="2" customFormat="1" x14ac:dyDescent="0.35">
      <c r="A130" s="33" t="str">
        <f t="shared" si="7"/>
        <v>2025 JAN-JUN DISC 70% LICENSE ESS</v>
      </c>
      <c r="B130" s="34">
        <f t="shared" si="9"/>
        <v>46104</v>
      </c>
      <c r="C130" s="34">
        <f t="shared" si="10"/>
        <v>46113</v>
      </c>
      <c r="D130" s="33">
        <v>3287</v>
      </c>
      <c r="E130" s="33">
        <v>338</v>
      </c>
      <c r="F130" s="33">
        <v>4</v>
      </c>
      <c r="G130" s="24">
        <v>2</v>
      </c>
      <c r="H130" s="24">
        <v>81462</v>
      </c>
      <c r="I130" s="33" t="s">
        <v>17</v>
      </c>
      <c r="J130" s="24">
        <v>52340948</v>
      </c>
      <c r="K130" s="24" t="s">
        <v>2219</v>
      </c>
      <c r="L130" s="44" t="s">
        <v>2223</v>
      </c>
      <c r="M130" s="25">
        <v>219900</v>
      </c>
      <c r="N130" s="22">
        <f t="shared" si="8"/>
        <v>0.7</v>
      </c>
      <c r="O130" s="72">
        <f t="shared" si="6"/>
        <v>65970</v>
      </c>
      <c r="P130" s="22" t="s">
        <v>16</v>
      </c>
    </row>
    <row r="131" spans="1:16" s="2" customFormat="1" x14ac:dyDescent="0.35">
      <c r="A131" s="33" t="str">
        <f t="shared" si="7"/>
        <v>2025 JAN-JUN DISC 70% LICENSE ESS</v>
      </c>
      <c r="B131" s="34">
        <f t="shared" si="9"/>
        <v>46104</v>
      </c>
      <c r="C131" s="34">
        <f t="shared" si="10"/>
        <v>46113</v>
      </c>
      <c r="D131" s="33">
        <v>3287</v>
      </c>
      <c r="E131" s="33">
        <v>338</v>
      </c>
      <c r="F131" s="33">
        <v>4</v>
      </c>
      <c r="G131" s="24">
        <v>2</v>
      </c>
      <c r="H131" s="24">
        <v>81462</v>
      </c>
      <c r="I131" s="33" t="s">
        <v>17</v>
      </c>
      <c r="J131" s="24">
        <v>52340957</v>
      </c>
      <c r="K131" s="24" t="s">
        <v>2219</v>
      </c>
      <c r="L131" s="44" t="s">
        <v>2224</v>
      </c>
      <c r="M131" s="25">
        <v>219900</v>
      </c>
      <c r="N131" s="22">
        <f t="shared" si="8"/>
        <v>0.7</v>
      </c>
      <c r="O131" s="72">
        <f t="shared" ref="O131:O194" si="11">M132-((70*M132)/100)</f>
        <v>35970</v>
      </c>
      <c r="P131" s="22" t="s">
        <v>16</v>
      </c>
    </row>
    <row r="132" spans="1:16" s="2" customFormat="1" x14ac:dyDescent="0.35">
      <c r="A132" s="33" t="str">
        <f t="shared" ref="A132:A195" si="12">A131</f>
        <v>2025 JAN-JUN DISC 70% LICENSE ESS</v>
      </c>
      <c r="B132" s="34">
        <f t="shared" si="9"/>
        <v>46104</v>
      </c>
      <c r="C132" s="34">
        <f t="shared" si="10"/>
        <v>46113</v>
      </c>
      <c r="D132" s="33">
        <v>3287</v>
      </c>
      <c r="E132" s="33">
        <v>338</v>
      </c>
      <c r="F132" s="33">
        <v>4</v>
      </c>
      <c r="G132" s="24">
        <v>8</v>
      </c>
      <c r="H132" s="24">
        <v>81462</v>
      </c>
      <c r="I132" s="33" t="s">
        <v>17</v>
      </c>
      <c r="J132" s="24">
        <v>52544773</v>
      </c>
      <c r="K132" s="24" t="s">
        <v>2277</v>
      </c>
      <c r="L132" s="44" t="s">
        <v>2281</v>
      </c>
      <c r="M132" s="25">
        <v>119900</v>
      </c>
      <c r="N132" s="22">
        <f t="shared" ref="N132:N195" si="13">N131</f>
        <v>0.7</v>
      </c>
      <c r="O132" s="72">
        <f t="shared" si="11"/>
        <v>35970</v>
      </c>
      <c r="P132" s="22" t="s">
        <v>16</v>
      </c>
    </row>
    <row r="133" spans="1:16" s="2" customFormat="1" x14ac:dyDescent="0.35">
      <c r="A133" s="33" t="str">
        <f t="shared" si="12"/>
        <v>2025 JAN-JUN DISC 70% LICENSE ESS</v>
      </c>
      <c r="B133" s="34">
        <f t="shared" si="9"/>
        <v>46104</v>
      </c>
      <c r="C133" s="34">
        <f t="shared" si="10"/>
        <v>46113</v>
      </c>
      <c r="D133" s="33">
        <v>3287</v>
      </c>
      <c r="E133" s="33">
        <v>338</v>
      </c>
      <c r="F133" s="33">
        <v>4</v>
      </c>
      <c r="G133" s="24">
        <v>8</v>
      </c>
      <c r="H133" s="24">
        <v>81462</v>
      </c>
      <c r="I133" s="33" t="s">
        <v>17</v>
      </c>
      <c r="J133" s="24">
        <v>52547805</v>
      </c>
      <c r="K133" s="24" t="s">
        <v>2277</v>
      </c>
      <c r="L133" s="44" t="s">
        <v>2279</v>
      </c>
      <c r="M133" s="25">
        <v>119900</v>
      </c>
      <c r="N133" s="22">
        <f t="shared" si="13"/>
        <v>0.7</v>
      </c>
      <c r="O133" s="72">
        <f t="shared" si="11"/>
        <v>35970</v>
      </c>
      <c r="P133" s="22" t="s">
        <v>16</v>
      </c>
    </row>
    <row r="134" spans="1:16" s="2" customFormat="1" x14ac:dyDescent="0.35">
      <c r="A134" s="33" t="str">
        <f t="shared" si="12"/>
        <v>2025 JAN-JUN DISC 70% LICENSE ESS</v>
      </c>
      <c r="B134" s="34">
        <f t="shared" si="9"/>
        <v>46104</v>
      </c>
      <c r="C134" s="34">
        <f t="shared" si="10"/>
        <v>46113</v>
      </c>
      <c r="D134" s="33">
        <v>3287</v>
      </c>
      <c r="E134" s="33">
        <v>338</v>
      </c>
      <c r="F134" s="33">
        <v>4</v>
      </c>
      <c r="G134" s="24">
        <v>8</v>
      </c>
      <c r="H134" s="24">
        <v>81462</v>
      </c>
      <c r="I134" s="33" t="s">
        <v>17</v>
      </c>
      <c r="J134" s="24">
        <v>52547814</v>
      </c>
      <c r="K134" s="24" t="s">
        <v>2277</v>
      </c>
      <c r="L134" s="44" t="s">
        <v>2278</v>
      </c>
      <c r="M134" s="25">
        <v>119900</v>
      </c>
      <c r="N134" s="22">
        <f t="shared" si="13"/>
        <v>0.7</v>
      </c>
      <c r="O134" s="72">
        <f t="shared" si="11"/>
        <v>35970</v>
      </c>
      <c r="P134" s="22" t="s">
        <v>16</v>
      </c>
    </row>
    <row r="135" spans="1:16" s="2" customFormat="1" x14ac:dyDescent="0.35">
      <c r="A135" s="33" t="str">
        <f t="shared" si="12"/>
        <v>2025 JAN-JUN DISC 70% LICENSE ESS</v>
      </c>
      <c r="B135" s="34">
        <f t="shared" si="9"/>
        <v>46104</v>
      </c>
      <c r="C135" s="34">
        <f t="shared" si="10"/>
        <v>46113</v>
      </c>
      <c r="D135" s="33">
        <v>3287</v>
      </c>
      <c r="E135" s="33">
        <v>338</v>
      </c>
      <c r="F135" s="33">
        <v>4</v>
      </c>
      <c r="G135" s="24">
        <v>8</v>
      </c>
      <c r="H135" s="24">
        <v>81462</v>
      </c>
      <c r="I135" s="33" t="s">
        <v>17</v>
      </c>
      <c r="J135" s="24">
        <v>52547823</v>
      </c>
      <c r="K135" s="24" t="s">
        <v>2277</v>
      </c>
      <c r="L135" s="44" t="s">
        <v>2280</v>
      </c>
      <c r="M135" s="25">
        <v>119900</v>
      </c>
      <c r="N135" s="22">
        <f t="shared" si="13"/>
        <v>0.7</v>
      </c>
      <c r="O135" s="72">
        <f t="shared" si="11"/>
        <v>35970</v>
      </c>
      <c r="P135" s="22" t="s">
        <v>16</v>
      </c>
    </row>
    <row r="136" spans="1:16" s="2" customFormat="1" x14ac:dyDescent="0.35">
      <c r="A136" s="33" t="str">
        <f t="shared" si="12"/>
        <v>2025 JAN-JUN DISC 70% LICENSE ESS</v>
      </c>
      <c r="B136" s="34">
        <f t="shared" si="9"/>
        <v>46104</v>
      </c>
      <c r="C136" s="34">
        <f t="shared" si="10"/>
        <v>46113</v>
      </c>
      <c r="D136" s="33">
        <v>3287</v>
      </c>
      <c r="E136" s="33">
        <v>338</v>
      </c>
      <c r="F136" s="33">
        <v>4</v>
      </c>
      <c r="G136" s="24">
        <v>1</v>
      </c>
      <c r="H136" s="24">
        <v>81462</v>
      </c>
      <c r="I136" s="33" t="s">
        <v>17</v>
      </c>
      <c r="J136" s="24">
        <v>51395678</v>
      </c>
      <c r="K136" s="24" t="s">
        <v>2214</v>
      </c>
      <c r="L136" s="44" t="s">
        <v>2216</v>
      </c>
      <c r="M136" s="25">
        <v>119900</v>
      </c>
      <c r="N136" s="22">
        <f t="shared" si="13"/>
        <v>0.7</v>
      </c>
      <c r="O136" s="72">
        <f t="shared" si="11"/>
        <v>35970</v>
      </c>
      <c r="P136" s="22" t="s">
        <v>16</v>
      </c>
    </row>
    <row r="137" spans="1:16" s="2" customFormat="1" x14ac:dyDescent="0.35">
      <c r="A137" s="33" t="str">
        <f t="shared" si="12"/>
        <v>2025 JAN-JUN DISC 70% LICENSE ESS</v>
      </c>
      <c r="B137" s="34">
        <f t="shared" si="9"/>
        <v>46104</v>
      </c>
      <c r="C137" s="34">
        <f t="shared" si="10"/>
        <v>46113</v>
      </c>
      <c r="D137" s="33">
        <v>3287</v>
      </c>
      <c r="E137" s="33">
        <v>338</v>
      </c>
      <c r="F137" s="33">
        <v>4</v>
      </c>
      <c r="G137" s="24">
        <v>1</v>
      </c>
      <c r="H137" s="24">
        <v>81462</v>
      </c>
      <c r="I137" s="33" t="s">
        <v>17</v>
      </c>
      <c r="J137" s="24">
        <v>51395687</v>
      </c>
      <c r="K137" s="24" t="s">
        <v>2214</v>
      </c>
      <c r="L137" s="44" t="s">
        <v>2215</v>
      </c>
      <c r="M137" s="25">
        <v>119900</v>
      </c>
      <c r="N137" s="22">
        <f t="shared" si="13"/>
        <v>0.7</v>
      </c>
      <c r="O137" s="72">
        <f t="shared" si="11"/>
        <v>35970</v>
      </c>
      <c r="P137" s="22" t="s">
        <v>16</v>
      </c>
    </row>
    <row r="138" spans="1:16" s="2" customFormat="1" x14ac:dyDescent="0.35">
      <c r="A138" s="33" t="str">
        <f t="shared" si="12"/>
        <v>2025 JAN-JUN DISC 70% LICENSE ESS</v>
      </c>
      <c r="B138" s="34">
        <f t="shared" si="9"/>
        <v>46104</v>
      </c>
      <c r="C138" s="34">
        <f t="shared" si="10"/>
        <v>46113</v>
      </c>
      <c r="D138" s="33">
        <v>3287</v>
      </c>
      <c r="E138" s="33">
        <v>338</v>
      </c>
      <c r="F138" s="33">
        <v>4</v>
      </c>
      <c r="G138" s="24">
        <v>1</v>
      </c>
      <c r="H138" s="24">
        <v>81462</v>
      </c>
      <c r="I138" s="33" t="s">
        <v>17</v>
      </c>
      <c r="J138" s="24">
        <v>51395696</v>
      </c>
      <c r="K138" s="24" t="s">
        <v>2214</v>
      </c>
      <c r="L138" s="44" t="s">
        <v>2217</v>
      </c>
      <c r="M138" s="25">
        <v>119900</v>
      </c>
      <c r="N138" s="22">
        <f t="shared" si="13"/>
        <v>0.7</v>
      </c>
      <c r="O138" s="72">
        <f t="shared" si="11"/>
        <v>35970</v>
      </c>
      <c r="P138" s="22" t="s">
        <v>16</v>
      </c>
    </row>
    <row r="139" spans="1:16" s="2" customFormat="1" x14ac:dyDescent="0.35">
      <c r="A139" s="33" t="str">
        <f t="shared" si="12"/>
        <v>2025 JAN-JUN DISC 70% LICENSE ESS</v>
      </c>
      <c r="B139" s="34">
        <f t="shared" si="9"/>
        <v>46104</v>
      </c>
      <c r="C139" s="34">
        <f t="shared" si="10"/>
        <v>46113</v>
      </c>
      <c r="D139" s="33">
        <v>3287</v>
      </c>
      <c r="E139" s="33">
        <v>338</v>
      </c>
      <c r="F139" s="33">
        <v>4</v>
      </c>
      <c r="G139" s="24">
        <v>1</v>
      </c>
      <c r="H139" s="24">
        <v>81462</v>
      </c>
      <c r="I139" s="33" t="s">
        <v>17</v>
      </c>
      <c r="J139" s="24">
        <v>51395703</v>
      </c>
      <c r="K139" s="24" t="s">
        <v>2214</v>
      </c>
      <c r="L139" s="44" t="s">
        <v>2218</v>
      </c>
      <c r="M139" s="25">
        <v>119900</v>
      </c>
      <c r="N139" s="22">
        <f t="shared" si="13"/>
        <v>0.7</v>
      </c>
      <c r="O139" s="72">
        <f t="shared" si="11"/>
        <v>35970</v>
      </c>
      <c r="P139" s="22" t="s">
        <v>16</v>
      </c>
    </row>
    <row r="140" spans="1:16" s="2" customFormat="1" x14ac:dyDescent="0.35">
      <c r="A140" s="33" t="str">
        <f t="shared" si="12"/>
        <v>2025 JAN-JUN DISC 70% LICENSE ESS</v>
      </c>
      <c r="B140" s="34">
        <f t="shared" si="9"/>
        <v>46104</v>
      </c>
      <c r="C140" s="34">
        <f t="shared" si="10"/>
        <v>46113</v>
      </c>
      <c r="D140" s="33">
        <v>3287</v>
      </c>
      <c r="E140" s="33">
        <v>338</v>
      </c>
      <c r="F140" s="33">
        <v>4</v>
      </c>
      <c r="G140" s="24">
        <v>3</v>
      </c>
      <c r="H140" s="24">
        <v>81462</v>
      </c>
      <c r="I140" s="33" t="s">
        <v>17</v>
      </c>
      <c r="J140" s="24">
        <v>51943076</v>
      </c>
      <c r="K140" s="24" t="s">
        <v>2233</v>
      </c>
      <c r="L140" s="44" t="s">
        <v>2237</v>
      </c>
      <c r="M140" s="25">
        <v>119900</v>
      </c>
      <c r="N140" s="22">
        <f t="shared" si="13"/>
        <v>0.7</v>
      </c>
      <c r="O140" s="72">
        <f t="shared" si="11"/>
        <v>35970</v>
      </c>
      <c r="P140" s="22" t="s">
        <v>16</v>
      </c>
    </row>
    <row r="141" spans="1:16" s="2" customFormat="1" x14ac:dyDescent="0.35">
      <c r="A141" s="33" t="str">
        <f t="shared" si="12"/>
        <v>2025 JAN-JUN DISC 70% LICENSE ESS</v>
      </c>
      <c r="B141" s="34">
        <f t="shared" si="9"/>
        <v>46104</v>
      </c>
      <c r="C141" s="34">
        <f t="shared" si="10"/>
        <v>46113</v>
      </c>
      <c r="D141" s="33">
        <v>3287</v>
      </c>
      <c r="E141" s="33">
        <v>338</v>
      </c>
      <c r="F141" s="33">
        <v>4</v>
      </c>
      <c r="G141" s="24">
        <v>3</v>
      </c>
      <c r="H141" s="24">
        <v>81462</v>
      </c>
      <c r="I141" s="33" t="s">
        <v>17</v>
      </c>
      <c r="J141" s="24">
        <v>51943085</v>
      </c>
      <c r="K141" s="24" t="s">
        <v>2233</v>
      </c>
      <c r="L141" s="44" t="s">
        <v>2234</v>
      </c>
      <c r="M141" s="25">
        <v>119900</v>
      </c>
      <c r="N141" s="22">
        <f t="shared" si="13"/>
        <v>0.7</v>
      </c>
      <c r="O141" s="72">
        <f t="shared" si="11"/>
        <v>35970</v>
      </c>
      <c r="P141" s="22" t="s">
        <v>16</v>
      </c>
    </row>
    <row r="142" spans="1:16" s="2" customFormat="1" x14ac:dyDescent="0.35">
      <c r="A142" s="33" t="str">
        <f t="shared" si="12"/>
        <v>2025 JAN-JUN DISC 70% LICENSE ESS</v>
      </c>
      <c r="B142" s="34">
        <f t="shared" si="9"/>
        <v>46104</v>
      </c>
      <c r="C142" s="34">
        <f t="shared" si="10"/>
        <v>46113</v>
      </c>
      <c r="D142" s="33">
        <v>3287</v>
      </c>
      <c r="E142" s="33">
        <v>338</v>
      </c>
      <c r="F142" s="33">
        <v>4</v>
      </c>
      <c r="G142" s="24">
        <v>3</v>
      </c>
      <c r="H142" s="24">
        <v>81462</v>
      </c>
      <c r="I142" s="33" t="s">
        <v>17</v>
      </c>
      <c r="J142" s="24">
        <v>51943094</v>
      </c>
      <c r="K142" s="24" t="s">
        <v>2233</v>
      </c>
      <c r="L142" s="44" t="s">
        <v>2235</v>
      </c>
      <c r="M142" s="25">
        <v>119900</v>
      </c>
      <c r="N142" s="22">
        <f t="shared" si="13"/>
        <v>0.7</v>
      </c>
      <c r="O142" s="72">
        <f t="shared" si="11"/>
        <v>35970</v>
      </c>
      <c r="P142" s="22" t="s">
        <v>16</v>
      </c>
    </row>
    <row r="143" spans="1:16" s="2" customFormat="1" x14ac:dyDescent="0.35">
      <c r="A143" s="33" t="str">
        <f t="shared" si="12"/>
        <v>2025 JAN-JUN DISC 70% LICENSE ESS</v>
      </c>
      <c r="B143" s="34">
        <f t="shared" si="9"/>
        <v>46104</v>
      </c>
      <c r="C143" s="34">
        <f t="shared" si="10"/>
        <v>46113</v>
      </c>
      <c r="D143" s="33">
        <v>3287</v>
      </c>
      <c r="E143" s="33">
        <v>338</v>
      </c>
      <c r="F143" s="33">
        <v>4</v>
      </c>
      <c r="G143" s="24">
        <v>3</v>
      </c>
      <c r="H143" s="24">
        <v>81462</v>
      </c>
      <c r="I143" s="33" t="s">
        <v>17</v>
      </c>
      <c r="J143" s="24">
        <v>51943101</v>
      </c>
      <c r="K143" s="24" t="s">
        <v>2233</v>
      </c>
      <c r="L143" s="44" t="s">
        <v>2236</v>
      </c>
      <c r="M143" s="25">
        <v>119900</v>
      </c>
      <c r="N143" s="22">
        <f t="shared" si="13"/>
        <v>0.7</v>
      </c>
      <c r="O143" s="72">
        <f t="shared" si="11"/>
        <v>35970</v>
      </c>
      <c r="P143" s="22" t="s">
        <v>16</v>
      </c>
    </row>
    <row r="144" spans="1:16" s="2" customFormat="1" x14ac:dyDescent="0.35">
      <c r="A144" s="33" t="str">
        <f t="shared" si="12"/>
        <v>2025 JAN-JUN DISC 70% LICENSE ESS</v>
      </c>
      <c r="B144" s="34">
        <f t="shared" si="9"/>
        <v>46104</v>
      </c>
      <c r="C144" s="34">
        <f t="shared" si="10"/>
        <v>46113</v>
      </c>
      <c r="D144" s="33">
        <v>3287</v>
      </c>
      <c r="E144" s="33">
        <v>338</v>
      </c>
      <c r="F144" s="33">
        <v>4</v>
      </c>
      <c r="G144" s="24">
        <v>3</v>
      </c>
      <c r="H144" s="24">
        <v>81574</v>
      </c>
      <c r="I144" s="33" t="s">
        <v>17</v>
      </c>
      <c r="J144" s="24">
        <v>51395838</v>
      </c>
      <c r="K144" s="24" t="s">
        <v>2228</v>
      </c>
      <c r="L144" s="44" t="s">
        <v>2232</v>
      </c>
      <c r="M144" s="25">
        <v>119900</v>
      </c>
      <c r="N144" s="22">
        <f t="shared" si="13"/>
        <v>0.7</v>
      </c>
      <c r="O144" s="72">
        <f t="shared" si="11"/>
        <v>35970</v>
      </c>
      <c r="P144" s="22" t="s">
        <v>16</v>
      </c>
    </row>
    <row r="145" spans="1:16" s="2" customFormat="1" x14ac:dyDescent="0.35">
      <c r="A145" s="33" t="str">
        <f t="shared" si="12"/>
        <v>2025 JAN-JUN DISC 70% LICENSE ESS</v>
      </c>
      <c r="B145" s="34">
        <f t="shared" si="9"/>
        <v>46104</v>
      </c>
      <c r="C145" s="34">
        <f t="shared" si="10"/>
        <v>46113</v>
      </c>
      <c r="D145" s="33">
        <v>3287</v>
      </c>
      <c r="E145" s="33">
        <v>338</v>
      </c>
      <c r="F145" s="33">
        <v>4</v>
      </c>
      <c r="G145" s="24">
        <v>3</v>
      </c>
      <c r="H145" s="24">
        <v>81574</v>
      </c>
      <c r="I145" s="33" t="s">
        <v>17</v>
      </c>
      <c r="J145" s="24">
        <v>51395847</v>
      </c>
      <c r="K145" s="24" t="s">
        <v>2228</v>
      </c>
      <c r="L145" s="44" t="s">
        <v>2229</v>
      </c>
      <c r="M145" s="25">
        <v>119900</v>
      </c>
      <c r="N145" s="22">
        <f t="shared" si="13"/>
        <v>0.7</v>
      </c>
      <c r="O145" s="72">
        <f t="shared" si="11"/>
        <v>35970</v>
      </c>
      <c r="P145" s="22" t="s">
        <v>16</v>
      </c>
    </row>
    <row r="146" spans="1:16" s="2" customFormat="1" x14ac:dyDescent="0.35">
      <c r="A146" s="33" t="str">
        <f t="shared" si="12"/>
        <v>2025 JAN-JUN DISC 70% LICENSE ESS</v>
      </c>
      <c r="B146" s="34">
        <f t="shared" si="9"/>
        <v>46104</v>
      </c>
      <c r="C146" s="34">
        <f t="shared" si="10"/>
        <v>46113</v>
      </c>
      <c r="D146" s="33">
        <v>3287</v>
      </c>
      <c r="E146" s="33">
        <v>338</v>
      </c>
      <c r="F146" s="33">
        <v>4</v>
      </c>
      <c r="G146" s="24">
        <v>3</v>
      </c>
      <c r="H146" s="24">
        <v>81574</v>
      </c>
      <c r="I146" s="33" t="s">
        <v>17</v>
      </c>
      <c r="J146" s="24">
        <v>51395856</v>
      </c>
      <c r="K146" s="24" t="s">
        <v>2228</v>
      </c>
      <c r="L146" s="44" t="s">
        <v>2231</v>
      </c>
      <c r="M146" s="25">
        <v>119900</v>
      </c>
      <c r="N146" s="22">
        <f t="shared" si="13"/>
        <v>0.7</v>
      </c>
      <c r="O146" s="72">
        <f t="shared" si="11"/>
        <v>35970</v>
      </c>
      <c r="P146" s="22" t="s">
        <v>16</v>
      </c>
    </row>
    <row r="147" spans="1:16" s="2" customFormat="1" x14ac:dyDescent="0.35">
      <c r="A147" s="33" t="str">
        <f t="shared" si="12"/>
        <v>2025 JAN-JUN DISC 70% LICENSE ESS</v>
      </c>
      <c r="B147" s="34">
        <f t="shared" si="9"/>
        <v>46104</v>
      </c>
      <c r="C147" s="34">
        <f t="shared" si="10"/>
        <v>46113</v>
      </c>
      <c r="D147" s="33">
        <v>3287</v>
      </c>
      <c r="E147" s="33">
        <v>338</v>
      </c>
      <c r="F147" s="33">
        <v>4</v>
      </c>
      <c r="G147" s="24">
        <v>3</v>
      </c>
      <c r="H147" s="24">
        <v>81574</v>
      </c>
      <c r="I147" s="33" t="s">
        <v>17</v>
      </c>
      <c r="J147" s="24">
        <v>51395865</v>
      </c>
      <c r="K147" s="24" t="s">
        <v>2228</v>
      </c>
      <c r="L147" s="44" t="s">
        <v>2230</v>
      </c>
      <c r="M147" s="25">
        <v>119900</v>
      </c>
      <c r="N147" s="22">
        <f t="shared" si="13"/>
        <v>0.7</v>
      </c>
      <c r="O147" s="72">
        <f t="shared" si="11"/>
        <v>35970</v>
      </c>
      <c r="P147" s="22" t="s">
        <v>16</v>
      </c>
    </row>
    <row r="148" spans="1:16" s="2" customFormat="1" x14ac:dyDescent="0.35">
      <c r="A148" s="33" t="str">
        <f t="shared" si="12"/>
        <v>2025 JAN-JUN DISC 70% LICENSE ESS</v>
      </c>
      <c r="B148" s="34">
        <f t="shared" ref="B148:B211" si="14">B147</f>
        <v>46104</v>
      </c>
      <c r="C148" s="34">
        <f t="shared" ref="C148:C211" si="15">C147</f>
        <v>46113</v>
      </c>
      <c r="D148" s="33">
        <v>3287</v>
      </c>
      <c r="E148" s="33">
        <v>338</v>
      </c>
      <c r="F148" s="33">
        <v>4</v>
      </c>
      <c r="G148" s="24">
        <v>8</v>
      </c>
      <c r="H148" s="24">
        <v>81462</v>
      </c>
      <c r="I148" s="33" t="s">
        <v>17</v>
      </c>
      <c r="J148" s="24">
        <v>52547832</v>
      </c>
      <c r="K148" s="24" t="s">
        <v>2282</v>
      </c>
      <c r="L148" s="44" t="s">
        <v>2286</v>
      </c>
      <c r="M148" s="25">
        <v>119900</v>
      </c>
      <c r="N148" s="22">
        <f t="shared" si="13"/>
        <v>0.7</v>
      </c>
      <c r="O148" s="72">
        <f t="shared" si="11"/>
        <v>35970</v>
      </c>
      <c r="P148" s="22" t="s">
        <v>16</v>
      </c>
    </row>
    <row r="149" spans="1:16" s="2" customFormat="1" x14ac:dyDescent="0.35">
      <c r="A149" s="33" t="str">
        <f t="shared" si="12"/>
        <v>2025 JAN-JUN DISC 70% LICENSE ESS</v>
      </c>
      <c r="B149" s="34">
        <f t="shared" si="14"/>
        <v>46104</v>
      </c>
      <c r="C149" s="34">
        <f t="shared" si="15"/>
        <v>46113</v>
      </c>
      <c r="D149" s="33">
        <v>3287</v>
      </c>
      <c r="E149" s="33">
        <v>338</v>
      </c>
      <c r="F149" s="33">
        <v>4</v>
      </c>
      <c r="G149" s="24">
        <v>8</v>
      </c>
      <c r="H149" s="24">
        <v>81462</v>
      </c>
      <c r="I149" s="33" t="s">
        <v>17</v>
      </c>
      <c r="J149" s="24">
        <v>52547841</v>
      </c>
      <c r="K149" s="24" t="s">
        <v>2282</v>
      </c>
      <c r="L149" s="44" t="s">
        <v>2285</v>
      </c>
      <c r="M149" s="25">
        <v>119900</v>
      </c>
      <c r="N149" s="22">
        <f t="shared" si="13"/>
        <v>0.7</v>
      </c>
      <c r="O149" s="72">
        <f t="shared" si="11"/>
        <v>35970</v>
      </c>
      <c r="P149" s="22" t="s">
        <v>16</v>
      </c>
    </row>
    <row r="150" spans="1:16" s="2" customFormat="1" x14ac:dyDescent="0.35">
      <c r="A150" s="33" t="str">
        <f t="shared" si="12"/>
        <v>2025 JAN-JUN DISC 70% LICENSE ESS</v>
      </c>
      <c r="B150" s="34">
        <f t="shared" si="14"/>
        <v>46104</v>
      </c>
      <c r="C150" s="34">
        <f t="shared" si="15"/>
        <v>46113</v>
      </c>
      <c r="D150" s="33">
        <v>3287</v>
      </c>
      <c r="E150" s="33">
        <v>338</v>
      </c>
      <c r="F150" s="33">
        <v>4</v>
      </c>
      <c r="G150" s="24">
        <v>8</v>
      </c>
      <c r="H150" s="24">
        <v>81462</v>
      </c>
      <c r="I150" s="33" t="s">
        <v>17</v>
      </c>
      <c r="J150" s="24">
        <v>52547850</v>
      </c>
      <c r="K150" s="24" t="s">
        <v>2282</v>
      </c>
      <c r="L150" s="44" t="s">
        <v>2283</v>
      </c>
      <c r="M150" s="25">
        <v>119900</v>
      </c>
      <c r="N150" s="22">
        <f t="shared" si="13"/>
        <v>0.7</v>
      </c>
      <c r="O150" s="72">
        <f t="shared" si="11"/>
        <v>35970</v>
      </c>
      <c r="P150" s="22" t="s">
        <v>16</v>
      </c>
    </row>
    <row r="151" spans="1:16" s="2" customFormat="1" x14ac:dyDescent="0.35">
      <c r="A151" s="33" t="str">
        <f t="shared" si="12"/>
        <v>2025 JAN-JUN DISC 70% LICENSE ESS</v>
      </c>
      <c r="B151" s="34">
        <f t="shared" si="14"/>
        <v>46104</v>
      </c>
      <c r="C151" s="34">
        <f t="shared" si="15"/>
        <v>46113</v>
      </c>
      <c r="D151" s="33">
        <v>3287</v>
      </c>
      <c r="E151" s="33">
        <v>338</v>
      </c>
      <c r="F151" s="33">
        <v>4</v>
      </c>
      <c r="G151" s="24">
        <v>8</v>
      </c>
      <c r="H151" s="24">
        <v>81462</v>
      </c>
      <c r="I151" s="33" t="s">
        <v>17</v>
      </c>
      <c r="J151" s="24">
        <v>52547869</v>
      </c>
      <c r="K151" s="24" t="s">
        <v>2282</v>
      </c>
      <c r="L151" s="44" t="s">
        <v>2284</v>
      </c>
      <c r="M151" s="25">
        <v>119900</v>
      </c>
      <c r="N151" s="22">
        <f t="shared" si="13"/>
        <v>0.7</v>
      </c>
      <c r="O151" s="72">
        <f t="shared" si="11"/>
        <v>10770</v>
      </c>
      <c r="P151" s="22" t="s">
        <v>16</v>
      </c>
    </row>
    <row r="152" spans="1:16" s="2" customFormat="1" x14ac:dyDescent="0.35">
      <c r="A152" s="33" t="str">
        <f t="shared" si="12"/>
        <v>2025 JAN-JUN DISC 70% LICENSE ESS</v>
      </c>
      <c r="B152" s="34">
        <f t="shared" si="14"/>
        <v>46104</v>
      </c>
      <c r="C152" s="34">
        <f t="shared" si="15"/>
        <v>46113</v>
      </c>
      <c r="D152" s="33">
        <v>3287</v>
      </c>
      <c r="E152" s="33">
        <v>338</v>
      </c>
      <c r="F152" s="33">
        <v>4</v>
      </c>
      <c r="G152" s="24">
        <v>7</v>
      </c>
      <c r="H152" s="24">
        <v>81827</v>
      </c>
      <c r="I152" s="33" t="s">
        <v>17</v>
      </c>
      <c r="J152" s="24">
        <v>51630369</v>
      </c>
      <c r="K152" s="24" t="s">
        <v>2633</v>
      </c>
      <c r="L152" s="44" t="s">
        <v>2638</v>
      </c>
      <c r="M152" s="25">
        <v>35900</v>
      </c>
      <c r="N152" s="22">
        <f t="shared" si="13"/>
        <v>0.7</v>
      </c>
      <c r="O152" s="72">
        <f t="shared" si="11"/>
        <v>10770</v>
      </c>
      <c r="P152" s="22" t="s">
        <v>16</v>
      </c>
    </row>
    <row r="153" spans="1:16" s="2" customFormat="1" x14ac:dyDescent="0.35">
      <c r="A153" s="33" t="str">
        <f t="shared" si="12"/>
        <v>2025 JAN-JUN DISC 70% LICENSE ESS</v>
      </c>
      <c r="B153" s="34">
        <f t="shared" si="14"/>
        <v>46104</v>
      </c>
      <c r="C153" s="34">
        <f t="shared" si="15"/>
        <v>46113</v>
      </c>
      <c r="D153" s="33">
        <v>3287</v>
      </c>
      <c r="E153" s="33">
        <v>338</v>
      </c>
      <c r="F153" s="33">
        <v>4</v>
      </c>
      <c r="G153" s="24">
        <v>7</v>
      </c>
      <c r="H153" s="24">
        <v>81827</v>
      </c>
      <c r="I153" s="33" t="s">
        <v>17</v>
      </c>
      <c r="J153" s="24">
        <v>51630378</v>
      </c>
      <c r="K153" s="24" t="s">
        <v>2633</v>
      </c>
      <c r="L153" s="44" t="s">
        <v>2634</v>
      </c>
      <c r="M153" s="25">
        <v>35900</v>
      </c>
      <c r="N153" s="22">
        <f t="shared" si="13"/>
        <v>0.7</v>
      </c>
      <c r="O153" s="72">
        <f t="shared" si="11"/>
        <v>10770</v>
      </c>
      <c r="P153" s="22" t="s">
        <v>16</v>
      </c>
    </row>
    <row r="154" spans="1:16" s="2" customFormat="1" x14ac:dyDescent="0.35">
      <c r="A154" s="33" t="str">
        <f t="shared" si="12"/>
        <v>2025 JAN-JUN DISC 70% LICENSE ESS</v>
      </c>
      <c r="B154" s="34">
        <f t="shared" si="14"/>
        <v>46104</v>
      </c>
      <c r="C154" s="34">
        <f t="shared" si="15"/>
        <v>46113</v>
      </c>
      <c r="D154" s="33">
        <v>3287</v>
      </c>
      <c r="E154" s="33">
        <v>338</v>
      </c>
      <c r="F154" s="33">
        <v>4</v>
      </c>
      <c r="G154" s="24">
        <v>7</v>
      </c>
      <c r="H154" s="24">
        <v>81827</v>
      </c>
      <c r="I154" s="33" t="s">
        <v>17</v>
      </c>
      <c r="J154" s="24">
        <v>51630387</v>
      </c>
      <c r="K154" s="24" t="s">
        <v>2635</v>
      </c>
      <c r="L154" s="44" t="s">
        <v>2636</v>
      </c>
      <c r="M154" s="25">
        <v>35900</v>
      </c>
      <c r="N154" s="22">
        <f t="shared" si="13"/>
        <v>0.7</v>
      </c>
      <c r="O154" s="72">
        <f t="shared" si="11"/>
        <v>10770</v>
      </c>
      <c r="P154" s="22" t="s">
        <v>16</v>
      </c>
    </row>
    <row r="155" spans="1:16" s="2" customFormat="1" x14ac:dyDescent="0.35">
      <c r="A155" s="33" t="str">
        <f t="shared" si="12"/>
        <v>2025 JAN-JUN DISC 70% LICENSE ESS</v>
      </c>
      <c r="B155" s="34">
        <f t="shared" si="14"/>
        <v>46104</v>
      </c>
      <c r="C155" s="34">
        <f t="shared" si="15"/>
        <v>46113</v>
      </c>
      <c r="D155" s="33">
        <v>3287</v>
      </c>
      <c r="E155" s="33">
        <v>338</v>
      </c>
      <c r="F155" s="33">
        <v>4</v>
      </c>
      <c r="G155" s="24">
        <v>7</v>
      </c>
      <c r="H155" s="24">
        <v>81827</v>
      </c>
      <c r="I155" s="33" t="s">
        <v>17</v>
      </c>
      <c r="J155" s="24">
        <v>51630396</v>
      </c>
      <c r="K155" s="24" t="s">
        <v>2635</v>
      </c>
      <c r="L155" s="44" t="s">
        <v>2637</v>
      </c>
      <c r="M155" s="25">
        <v>35900</v>
      </c>
      <c r="N155" s="22">
        <f t="shared" si="13"/>
        <v>0.7</v>
      </c>
      <c r="O155" s="72">
        <f t="shared" si="11"/>
        <v>10770</v>
      </c>
      <c r="P155" s="22" t="s">
        <v>16</v>
      </c>
    </row>
    <row r="156" spans="1:16" s="2" customFormat="1" x14ac:dyDescent="0.35">
      <c r="A156" s="33" t="str">
        <f t="shared" si="12"/>
        <v>2025 JAN-JUN DISC 70% LICENSE ESS</v>
      </c>
      <c r="B156" s="34">
        <f t="shared" si="14"/>
        <v>46104</v>
      </c>
      <c r="C156" s="34">
        <f t="shared" si="15"/>
        <v>46113</v>
      </c>
      <c r="D156" s="33">
        <v>3287</v>
      </c>
      <c r="E156" s="33">
        <v>338</v>
      </c>
      <c r="F156" s="33">
        <v>4</v>
      </c>
      <c r="G156" s="24">
        <v>7</v>
      </c>
      <c r="H156" s="24">
        <v>81827</v>
      </c>
      <c r="I156" s="33" t="s">
        <v>17</v>
      </c>
      <c r="J156" s="24">
        <v>51630627</v>
      </c>
      <c r="K156" s="24" t="s">
        <v>2639</v>
      </c>
      <c r="L156" s="44" t="s">
        <v>2652</v>
      </c>
      <c r="M156" s="25">
        <v>35900</v>
      </c>
      <c r="N156" s="22">
        <f t="shared" si="13"/>
        <v>0.7</v>
      </c>
      <c r="O156" s="72">
        <f t="shared" si="11"/>
        <v>10770</v>
      </c>
      <c r="P156" s="22" t="s">
        <v>16</v>
      </c>
    </row>
    <row r="157" spans="1:16" s="2" customFormat="1" x14ac:dyDescent="0.35">
      <c r="A157" s="33" t="str">
        <f t="shared" si="12"/>
        <v>2025 JAN-JUN DISC 70% LICENSE ESS</v>
      </c>
      <c r="B157" s="34">
        <f t="shared" si="14"/>
        <v>46104</v>
      </c>
      <c r="C157" s="34">
        <f t="shared" si="15"/>
        <v>46113</v>
      </c>
      <c r="D157" s="33">
        <v>3287</v>
      </c>
      <c r="E157" s="33">
        <v>338</v>
      </c>
      <c r="F157" s="33">
        <v>4</v>
      </c>
      <c r="G157" s="24">
        <v>7</v>
      </c>
      <c r="H157" s="24">
        <v>81827</v>
      </c>
      <c r="I157" s="33" t="s">
        <v>17</v>
      </c>
      <c r="J157" s="24">
        <v>51630636</v>
      </c>
      <c r="K157" s="24" t="s">
        <v>2639</v>
      </c>
      <c r="L157" s="44" t="s">
        <v>2640</v>
      </c>
      <c r="M157" s="25">
        <v>35900</v>
      </c>
      <c r="N157" s="22">
        <f t="shared" si="13"/>
        <v>0.7</v>
      </c>
      <c r="O157" s="72">
        <f t="shared" si="11"/>
        <v>10770</v>
      </c>
      <c r="P157" s="22" t="s">
        <v>16</v>
      </c>
    </row>
    <row r="158" spans="1:16" s="2" customFormat="1" x14ac:dyDescent="0.35">
      <c r="A158" s="33" t="str">
        <f t="shared" si="12"/>
        <v>2025 JAN-JUN DISC 70% LICENSE ESS</v>
      </c>
      <c r="B158" s="34">
        <f t="shared" si="14"/>
        <v>46104</v>
      </c>
      <c r="C158" s="34">
        <f t="shared" si="15"/>
        <v>46113</v>
      </c>
      <c r="D158" s="33">
        <v>3287</v>
      </c>
      <c r="E158" s="33">
        <v>338</v>
      </c>
      <c r="F158" s="33">
        <v>4</v>
      </c>
      <c r="G158" s="24">
        <v>7</v>
      </c>
      <c r="H158" s="24">
        <v>81827</v>
      </c>
      <c r="I158" s="33" t="s">
        <v>17</v>
      </c>
      <c r="J158" s="24">
        <v>51630645</v>
      </c>
      <c r="K158" s="24" t="s">
        <v>2641</v>
      </c>
      <c r="L158" s="44" t="s">
        <v>2650</v>
      </c>
      <c r="M158" s="25">
        <v>35900</v>
      </c>
      <c r="N158" s="22">
        <f t="shared" si="13"/>
        <v>0.7</v>
      </c>
      <c r="O158" s="72">
        <f t="shared" si="11"/>
        <v>10770</v>
      </c>
      <c r="P158" s="22" t="s">
        <v>16</v>
      </c>
    </row>
    <row r="159" spans="1:16" s="2" customFormat="1" x14ac:dyDescent="0.35">
      <c r="A159" s="33" t="str">
        <f t="shared" si="12"/>
        <v>2025 JAN-JUN DISC 70% LICENSE ESS</v>
      </c>
      <c r="B159" s="34">
        <f t="shared" si="14"/>
        <v>46104</v>
      </c>
      <c r="C159" s="34">
        <f t="shared" si="15"/>
        <v>46113</v>
      </c>
      <c r="D159" s="33">
        <v>3287</v>
      </c>
      <c r="E159" s="33">
        <v>338</v>
      </c>
      <c r="F159" s="33">
        <v>4</v>
      </c>
      <c r="G159" s="24">
        <v>7</v>
      </c>
      <c r="H159" s="24">
        <v>81827</v>
      </c>
      <c r="I159" s="33" t="s">
        <v>17</v>
      </c>
      <c r="J159" s="24">
        <v>51630654</v>
      </c>
      <c r="K159" s="24" t="s">
        <v>2641</v>
      </c>
      <c r="L159" s="44" t="s">
        <v>2642</v>
      </c>
      <c r="M159" s="25">
        <v>35900</v>
      </c>
      <c r="N159" s="22">
        <f t="shared" si="13"/>
        <v>0.7</v>
      </c>
      <c r="O159" s="72">
        <f t="shared" si="11"/>
        <v>10770</v>
      </c>
      <c r="P159" s="22" t="s">
        <v>16</v>
      </c>
    </row>
    <row r="160" spans="1:16" s="2" customFormat="1" x14ac:dyDescent="0.35">
      <c r="A160" s="33" t="str">
        <f t="shared" si="12"/>
        <v>2025 JAN-JUN DISC 70% LICENSE ESS</v>
      </c>
      <c r="B160" s="34">
        <f t="shared" si="14"/>
        <v>46104</v>
      </c>
      <c r="C160" s="34">
        <f t="shared" si="15"/>
        <v>46113</v>
      </c>
      <c r="D160" s="33">
        <v>3287</v>
      </c>
      <c r="E160" s="33">
        <v>338</v>
      </c>
      <c r="F160" s="33">
        <v>4</v>
      </c>
      <c r="G160" s="24">
        <v>7</v>
      </c>
      <c r="H160" s="24">
        <v>81827</v>
      </c>
      <c r="I160" s="33" t="s">
        <v>17</v>
      </c>
      <c r="J160" s="24">
        <v>52659499</v>
      </c>
      <c r="K160" s="24" t="s">
        <v>2643</v>
      </c>
      <c r="L160" s="44" t="s">
        <v>2644</v>
      </c>
      <c r="M160" s="25">
        <v>35900</v>
      </c>
      <c r="N160" s="22">
        <f t="shared" si="13"/>
        <v>0.7</v>
      </c>
      <c r="O160" s="72">
        <f t="shared" si="11"/>
        <v>10770</v>
      </c>
      <c r="P160" s="22" t="s">
        <v>16</v>
      </c>
    </row>
    <row r="161" spans="1:16" s="2" customFormat="1" x14ac:dyDescent="0.35">
      <c r="A161" s="33" t="str">
        <f t="shared" si="12"/>
        <v>2025 JAN-JUN DISC 70% LICENSE ESS</v>
      </c>
      <c r="B161" s="34">
        <f t="shared" si="14"/>
        <v>46104</v>
      </c>
      <c r="C161" s="34">
        <f t="shared" si="15"/>
        <v>46113</v>
      </c>
      <c r="D161" s="33">
        <v>3287</v>
      </c>
      <c r="E161" s="33">
        <v>338</v>
      </c>
      <c r="F161" s="33">
        <v>4</v>
      </c>
      <c r="G161" s="24">
        <v>7</v>
      </c>
      <c r="H161" s="24">
        <v>81827</v>
      </c>
      <c r="I161" s="33" t="s">
        <v>17</v>
      </c>
      <c r="J161" s="24">
        <v>52659506</v>
      </c>
      <c r="K161" s="24" t="s">
        <v>2643</v>
      </c>
      <c r="L161" s="44" t="s">
        <v>2653</v>
      </c>
      <c r="M161" s="25">
        <v>35900</v>
      </c>
      <c r="N161" s="22">
        <f t="shared" si="13"/>
        <v>0.7</v>
      </c>
      <c r="O161" s="72">
        <f t="shared" si="11"/>
        <v>10770</v>
      </c>
      <c r="P161" s="22" t="s">
        <v>16</v>
      </c>
    </row>
    <row r="162" spans="1:16" s="2" customFormat="1" x14ac:dyDescent="0.35">
      <c r="A162" s="33" t="str">
        <f t="shared" si="12"/>
        <v>2025 JAN-JUN DISC 70% LICENSE ESS</v>
      </c>
      <c r="B162" s="34">
        <f t="shared" si="14"/>
        <v>46104</v>
      </c>
      <c r="C162" s="34">
        <f t="shared" si="15"/>
        <v>46113</v>
      </c>
      <c r="D162" s="33">
        <v>3287</v>
      </c>
      <c r="E162" s="33">
        <v>338</v>
      </c>
      <c r="F162" s="33">
        <v>4</v>
      </c>
      <c r="G162" s="24">
        <v>7</v>
      </c>
      <c r="H162" s="24">
        <v>81470</v>
      </c>
      <c r="I162" s="33" t="s">
        <v>17</v>
      </c>
      <c r="J162" s="24">
        <v>52341063</v>
      </c>
      <c r="K162" s="24" t="s">
        <v>2624</v>
      </c>
      <c r="L162" s="44" t="s">
        <v>2625</v>
      </c>
      <c r="M162" s="25">
        <v>35900</v>
      </c>
      <c r="N162" s="22">
        <f t="shared" si="13"/>
        <v>0.7</v>
      </c>
      <c r="O162" s="72">
        <f t="shared" si="11"/>
        <v>10770</v>
      </c>
      <c r="P162" s="22" t="s">
        <v>16</v>
      </c>
    </row>
    <row r="163" spans="1:16" s="2" customFormat="1" x14ac:dyDescent="0.35">
      <c r="A163" s="33" t="str">
        <f t="shared" si="12"/>
        <v>2025 JAN-JUN DISC 70% LICENSE ESS</v>
      </c>
      <c r="B163" s="34">
        <f t="shared" si="14"/>
        <v>46104</v>
      </c>
      <c r="C163" s="34">
        <f t="shared" si="15"/>
        <v>46113</v>
      </c>
      <c r="D163" s="33">
        <v>3287</v>
      </c>
      <c r="E163" s="33">
        <v>338</v>
      </c>
      <c r="F163" s="33">
        <v>4</v>
      </c>
      <c r="G163" s="24">
        <v>7</v>
      </c>
      <c r="H163" s="24">
        <v>81470</v>
      </c>
      <c r="I163" s="33" t="s">
        <v>17</v>
      </c>
      <c r="J163" s="24">
        <v>52341072</v>
      </c>
      <c r="K163" s="24" t="s">
        <v>2624</v>
      </c>
      <c r="L163" s="44" t="s">
        <v>2626</v>
      </c>
      <c r="M163" s="25">
        <v>35900</v>
      </c>
      <c r="N163" s="22">
        <f t="shared" si="13"/>
        <v>0.7</v>
      </c>
      <c r="O163" s="72">
        <f t="shared" si="11"/>
        <v>10770</v>
      </c>
      <c r="P163" s="22" t="s">
        <v>16</v>
      </c>
    </row>
    <row r="164" spans="1:16" s="2" customFormat="1" x14ac:dyDescent="0.35">
      <c r="A164" s="33" t="str">
        <f t="shared" si="12"/>
        <v>2025 JAN-JUN DISC 70% LICENSE ESS</v>
      </c>
      <c r="B164" s="34">
        <f t="shared" si="14"/>
        <v>46104</v>
      </c>
      <c r="C164" s="34">
        <f t="shared" si="15"/>
        <v>46113</v>
      </c>
      <c r="D164" s="33">
        <v>3287</v>
      </c>
      <c r="E164" s="33">
        <v>338</v>
      </c>
      <c r="F164" s="33">
        <v>4</v>
      </c>
      <c r="G164" s="24">
        <v>7</v>
      </c>
      <c r="H164" s="24">
        <v>81827</v>
      </c>
      <c r="I164" s="33" t="s">
        <v>17</v>
      </c>
      <c r="J164" s="24">
        <v>52659453</v>
      </c>
      <c r="K164" s="24" t="s">
        <v>2654</v>
      </c>
      <c r="L164" s="44" t="s">
        <v>2655</v>
      </c>
      <c r="M164" s="25">
        <v>35900</v>
      </c>
      <c r="N164" s="22">
        <f t="shared" si="13"/>
        <v>0.7</v>
      </c>
      <c r="O164" s="72">
        <f t="shared" si="11"/>
        <v>10770</v>
      </c>
      <c r="P164" s="22" t="s">
        <v>16</v>
      </c>
    </row>
    <row r="165" spans="1:16" s="2" customFormat="1" x14ac:dyDescent="0.35">
      <c r="A165" s="33" t="str">
        <f t="shared" si="12"/>
        <v>2025 JAN-JUN DISC 70% LICENSE ESS</v>
      </c>
      <c r="B165" s="34">
        <f t="shared" si="14"/>
        <v>46104</v>
      </c>
      <c r="C165" s="34">
        <f t="shared" si="15"/>
        <v>46113</v>
      </c>
      <c r="D165" s="33">
        <v>3287</v>
      </c>
      <c r="E165" s="33">
        <v>338</v>
      </c>
      <c r="F165" s="33">
        <v>4</v>
      </c>
      <c r="G165" s="24">
        <v>7</v>
      </c>
      <c r="H165" s="24">
        <v>81827</v>
      </c>
      <c r="I165" s="33" t="s">
        <v>17</v>
      </c>
      <c r="J165" s="24">
        <v>52659462</v>
      </c>
      <c r="K165" s="24" t="s">
        <v>2654</v>
      </c>
      <c r="L165" s="44" t="s">
        <v>2656</v>
      </c>
      <c r="M165" s="25">
        <v>35900</v>
      </c>
      <c r="N165" s="22">
        <f t="shared" si="13"/>
        <v>0.7</v>
      </c>
      <c r="O165" s="72">
        <f t="shared" si="11"/>
        <v>10770</v>
      </c>
      <c r="P165" s="22" t="s">
        <v>16</v>
      </c>
    </row>
    <row r="166" spans="1:16" s="2" customFormat="1" x14ac:dyDescent="0.35">
      <c r="A166" s="33" t="str">
        <f t="shared" si="12"/>
        <v>2025 JAN-JUN DISC 70% LICENSE ESS</v>
      </c>
      <c r="B166" s="34">
        <f t="shared" si="14"/>
        <v>46104</v>
      </c>
      <c r="C166" s="34">
        <f t="shared" si="15"/>
        <v>46113</v>
      </c>
      <c r="D166" s="33">
        <v>3287</v>
      </c>
      <c r="E166" s="33">
        <v>338</v>
      </c>
      <c r="F166" s="33">
        <v>4</v>
      </c>
      <c r="G166" s="24">
        <v>7</v>
      </c>
      <c r="H166" s="24">
        <v>81470</v>
      </c>
      <c r="I166" s="33" t="s">
        <v>17</v>
      </c>
      <c r="J166" s="24">
        <v>52341045</v>
      </c>
      <c r="K166" s="24" t="s">
        <v>2627</v>
      </c>
      <c r="L166" s="44" t="s">
        <v>2628</v>
      </c>
      <c r="M166" s="25">
        <v>35900</v>
      </c>
      <c r="N166" s="22">
        <f t="shared" si="13"/>
        <v>0.7</v>
      </c>
      <c r="O166" s="72">
        <f t="shared" si="11"/>
        <v>10770</v>
      </c>
      <c r="P166" s="22" t="s">
        <v>16</v>
      </c>
    </row>
    <row r="167" spans="1:16" s="2" customFormat="1" x14ac:dyDescent="0.35">
      <c r="A167" s="33" t="str">
        <f t="shared" si="12"/>
        <v>2025 JAN-JUN DISC 70% LICENSE ESS</v>
      </c>
      <c r="B167" s="34">
        <f t="shared" si="14"/>
        <v>46104</v>
      </c>
      <c r="C167" s="34">
        <f t="shared" si="15"/>
        <v>46113</v>
      </c>
      <c r="D167" s="33">
        <v>3287</v>
      </c>
      <c r="E167" s="33">
        <v>338</v>
      </c>
      <c r="F167" s="33">
        <v>4</v>
      </c>
      <c r="G167" s="24">
        <v>7</v>
      </c>
      <c r="H167" s="24">
        <v>81470</v>
      </c>
      <c r="I167" s="33" t="s">
        <v>17</v>
      </c>
      <c r="J167" s="24">
        <v>52341054</v>
      </c>
      <c r="K167" s="24" t="s">
        <v>2627</v>
      </c>
      <c r="L167" s="44" t="s">
        <v>2631</v>
      </c>
      <c r="M167" s="25">
        <v>35900</v>
      </c>
      <c r="N167" s="22">
        <f t="shared" si="13"/>
        <v>0.7</v>
      </c>
      <c r="O167" s="72">
        <f t="shared" si="11"/>
        <v>10770</v>
      </c>
      <c r="P167" s="22" t="s">
        <v>16</v>
      </c>
    </row>
    <row r="168" spans="1:16" s="2" customFormat="1" x14ac:dyDescent="0.35">
      <c r="A168" s="33" t="str">
        <f t="shared" si="12"/>
        <v>2025 JAN-JUN DISC 70% LICENSE ESS</v>
      </c>
      <c r="B168" s="34">
        <f t="shared" si="14"/>
        <v>46104</v>
      </c>
      <c r="C168" s="34">
        <f t="shared" si="15"/>
        <v>46113</v>
      </c>
      <c r="D168" s="33">
        <v>3287</v>
      </c>
      <c r="E168" s="33">
        <v>338</v>
      </c>
      <c r="F168" s="33">
        <v>4</v>
      </c>
      <c r="G168" s="24">
        <v>7</v>
      </c>
      <c r="H168" s="24">
        <v>81827</v>
      </c>
      <c r="I168" s="33" t="s">
        <v>17</v>
      </c>
      <c r="J168" s="24">
        <v>51630681</v>
      </c>
      <c r="K168" s="24" t="s">
        <v>2645</v>
      </c>
      <c r="L168" s="44" t="s">
        <v>2646</v>
      </c>
      <c r="M168" s="25">
        <v>35900</v>
      </c>
      <c r="N168" s="22">
        <f t="shared" si="13"/>
        <v>0.7</v>
      </c>
      <c r="O168" s="72">
        <f t="shared" si="11"/>
        <v>10770</v>
      </c>
      <c r="P168" s="22" t="s">
        <v>16</v>
      </c>
    </row>
    <row r="169" spans="1:16" s="2" customFormat="1" x14ac:dyDescent="0.35">
      <c r="A169" s="33" t="str">
        <f t="shared" si="12"/>
        <v>2025 JAN-JUN DISC 70% LICENSE ESS</v>
      </c>
      <c r="B169" s="34">
        <f t="shared" si="14"/>
        <v>46104</v>
      </c>
      <c r="C169" s="34">
        <f t="shared" si="15"/>
        <v>46113</v>
      </c>
      <c r="D169" s="33">
        <v>3287</v>
      </c>
      <c r="E169" s="33">
        <v>338</v>
      </c>
      <c r="F169" s="33">
        <v>4</v>
      </c>
      <c r="G169" s="24">
        <v>7</v>
      </c>
      <c r="H169" s="24">
        <v>81827</v>
      </c>
      <c r="I169" s="33" t="s">
        <v>17</v>
      </c>
      <c r="J169" s="24">
        <v>51630690</v>
      </c>
      <c r="K169" s="24" t="s">
        <v>2645</v>
      </c>
      <c r="L169" s="44" t="s">
        <v>2651</v>
      </c>
      <c r="M169" s="25">
        <v>35900</v>
      </c>
      <c r="N169" s="22">
        <f t="shared" si="13"/>
        <v>0.7</v>
      </c>
      <c r="O169" s="72">
        <f t="shared" si="11"/>
        <v>10770</v>
      </c>
      <c r="P169" s="22" t="s">
        <v>16</v>
      </c>
    </row>
    <row r="170" spans="1:16" s="2" customFormat="1" x14ac:dyDescent="0.35">
      <c r="A170" s="33" t="str">
        <f t="shared" si="12"/>
        <v>2025 JAN-JUN DISC 70% LICENSE ESS</v>
      </c>
      <c r="B170" s="34">
        <f t="shared" si="14"/>
        <v>46104</v>
      </c>
      <c r="C170" s="34">
        <f t="shared" si="15"/>
        <v>46113</v>
      </c>
      <c r="D170" s="33">
        <v>3287</v>
      </c>
      <c r="E170" s="33">
        <v>338</v>
      </c>
      <c r="F170" s="33">
        <v>4</v>
      </c>
      <c r="G170" s="24">
        <v>7</v>
      </c>
      <c r="H170" s="24">
        <v>81470</v>
      </c>
      <c r="I170" s="33" t="s">
        <v>17</v>
      </c>
      <c r="J170" s="24">
        <v>52341081</v>
      </c>
      <c r="K170" s="24" t="s">
        <v>2629</v>
      </c>
      <c r="L170" s="44" t="s">
        <v>2632</v>
      </c>
      <c r="M170" s="25">
        <v>35900</v>
      </c>
      <c r="N170" s="22">
        <f t="shared" si="13"/>
        <v>0.7</v>
      </c>
      <c r="O170" s="72">
        <f t="shared" si="11"/>
        <v>10770</v>
      </c>
      <c r="P170" s="22" t="s">
        <v>16</v>
      </c>
    </row>
    <row r="171" spans="1:16" s="2" customFormat="1" x14ac:dyDescent="0.35">
      <c r="A171" s="33" t="str">
        <f t="shared" si="12"/>
        <v>2025 JAN-JUN DISC 70% LICENSE ESS</v>
      </c>
      <c r="B171" s="34">
        <f t="shared" si="14"/>
        <v>46104</v>
      </c>
      <c r="C171" s="34">
        <f t="shared" si="15"/>
        <v>46113</v>
      </c>
      <c r="D171" s="33">
        <v>3287</v>
      </c>
      <c r="E171" s="33">
        <v>338</v>
      </c>
      <c r="F171" s="33">
        <v>4</v>
      </c>
      <c r="G171" s="24">
        <v>7</v>
      </c>
      <c r="H171" s="24">
        <v>81470</v>
      </c>
      <c r="I171" s="33" t="s">
        <v>17</v>
      </c>
      <c r="J171" s="24">
        <v>52341090</v>
      </c>
      <c r="K171" s="24" t="s">
        <v>2629</v>
      </c>
      <c r="L171" s="44" t="s">
        <v>2630</v>
      </c>
      <c r="M171" s="25">
        <v>35900</v>
      </c>
      <c r="N171" s="22">
        <f t="shared" si="13"/>
        <v>0.7</v>
      </c>
      <c r="O171" s="72">
        <f t="shared" si="11"/>
        <v>10770</v>
      </c>
      <c r="P171" s="22" t="s">
        <v>16</v>
      </c>
    </row>
    <row r="172" spans="1:16" s="2" customFormat="1" x14ac:dyDescent="0.35">
      <c r="A172" s="33" t="str">
        <f t="shared" si="12"/>
        <v>2025 JAN-JUN DISC 70% LICENSE ESS</v>
      </c>
      <c r="B172" s="34">
        <f t="shared" si="14"/>
        <v>46104</v>
      </c>
      <c r="C172" s="34">
        <f t="shared" si="15"/>
        <v>46113</v>
      </c>
      <c r="D172" s="33">
        <v>3287</v>
      </c>
      <c r="E172" s="33">
        <v>338</v>
      </c>
      <c r="F172" s="33">
        <v>4</v>
      </c>
      <c r="G172" s="24">
        <v>7</v>
      </c>
      <c r="H172" s="24">
        <v>81827</v>
      </c>
      <c r="I172" s="33" t="s">
        <v>17</v>
      </c>
      <c r="J172" s="24">
        <v>52659471</v>
      </c>
      <c r="K172" s="24" t="s">
        <v>2647</v>
      </c>
      <c r="L172" s="44" t="s">
        <v>2649</v>
      </c>
      <c r="M172" s="25">
        <v>35900</v>
      </c>
      <c r="N172" s="22">
        <f t="shared" si="13"/>
        <v>0.7</v>
      </c>
      <c r="O172" s="72">
        <f t="shared" si="11"/>
        <v>10770</v>
      </c>
      <c r="P172" s="22" t="s">
        <v>16</v>
      </c>
    </row>
    <row r="173" spans="1:16" s="2" customFormat="1" x14ac:dyDescent="0.35">
      <c r="A173" s="33" t="str">
        <f t="shared" si="12"/>
        <v>2025 JAN-JUN DISC 70% LICENSE ESS</v>
      </c>
      <c r="B173" s="34">
        <f t="shared" si="14"/>
        <v>46104</v>
      </c>
      <c r="C173" s="34">
        <f t="shared" si="15"/>
        <v>46113</v>
      </c>
      <c r="D173" s="33">
        <v>3287</v>
      </c>
      <c r="E173" s="33">
        <v>338</v>
      </c>
      <c r="F173" s="33">
        <v>4</v>
      </c>
      <c r="G173" s="24">
        <v>7</v>
      </c>
      <c r="H173" s="24">
        <v>81827</v>
      </c>
      <c r="I173" s="33" t="s">
        <v>17</v>
      </c>
      <c r="J173" s="24">
        <v>52659480</v>
      </c>
      <c r="K173" s="24" t="s">
        <v>2647</v>
      </c>
      <c r="L173" s="44" t="s">
        <v>2648</v>
      </c>
      <c r="M173" s="25">
        <v>35900</v>
      </c>
      <c r="N173" s="22">
        <f t="shared" si="13"/>
        <v>0.7</v>
      </c>
      <c r="O173" s="72">
        <f t="shared" si="11"/>
        <v>71970</v>
      </c>
      <c r="P173" s="22" t="s">
        <v>16</v>
      </c>
    </row>
    <row r="174" spans="1:16" s="2" customFormat="1" x14ac:dyDescent="0.35">
      <c r="A174" s="33" t="str">
        <f t="shared" si="12"/>
        <v>2025 JAN-JUN DISC 70% LICENSE ESS</v>
      </c>
      <c r="B174" s="34">
        <f t="shared" si="14"/>
        <v>46104</v>
      </c>
      <c r="C174" s="34">
        <f t="shared" si="15"/>
        <v>46113</v>
      </c>
      <c r="D174" s="33">
        <v>3287</v>
      </c>
      <c r="E174" s="33">
        <v>338</v>
      </c>
      <c r="F174" s="33">
        <v>4</v>
      </c>
      <c r="G174" s="24">
        <v>9</v>
      </c>
      <c r="H174" s="24">
        <v>81462</v>
      </c>
      <c r="I174" s="33" t="s">
        <v>17</v>
      </c>
      <c r="J174" s="24">
        <v>53174831</v>
      </c>
      <c r="K174" s="24" t="s">
        <v>2657</v>
      </c>
      <c r="L174" s="44" t="s">
        <v>2661</v>
      </c>
      <c r="M174" s="25">
        <v>239900</v>
      </c>
      <c r="N174" s="22">
        <f t="shared" si="13"/>
        <v>0.7</v>
      </c>
      <c r="O174" s="72">
        <f t="shared" si="11"/>
        <v>71970</v>
      </c>
      <c r="P174" s="22" t="s">
        <v>16</v>
      </c>
    </row>
    <row r="175" spans="1:16" s="2" customFormat="1" x14ac:dyDescent="0.35">
      <c r="A175" s="33" t="str">
        <f t="shared" si="12"/>
        <v>2025 JAN-JUN DISC 70% LICENSE ESS</v>
      </c>
      <c r="B175" s="34">
        <f t="shared" si="14"/>
        <v>46104</v>
      </c>
      <c r="C175" s="34">
        <f t="shared" si="15"/>
        <v>46113</v>
      </c>
      <c r="D175" s="33">
        <v>3287</v>
      </c>
      <c r="E175" s="33">
        <v>338</v>
      </c>
      <c r="F175" s="33">
        <v>4</v>
      </c>
      <c r="G175" s="24">
        <v>9</v>
      </c>
      <c r="H175" s="24">
        <v>81462</v>
      </c>
      <c r="I175" s="33" t="s">
        <v>17</v>
      </c>
      <c r="J175" s="24">
        <v>53174840</v>
      </c>
      <c r="K175" s="24" t="s">
        <v>2657</v>
      </c>
      <c r="L175" s="44" t="s">
        <v>2659</v>
      </c>
      <c r="M175" s="25">
        <v>239900</v>
      </c>
      <c r="N175" s="22">
        <f t="shared" si="13"/>
        <v>0.7</v>
      </c>
      <c r="O175" s="72">
        <f t="shared" si="11"/>
        <v>71970</v>
      </c>
      <c r="P175" s="22" t="s">
        <v>16</v>
      </c>
    </row>
    <row r="176" spans="1:16" s="2" customFormat="1" x14ac:dyDescent="0.35">
      <c r="A176" s="33" t="str">
        <f t="shared" si="12"/>
        <v>2025 JAN-JUN DISC 70% LICENSE ESS</v>
      </c>
      <c r="B176" s="34">
        <f t="shared" si="14"/>
        <v>46104</v>
      </c>
      <c r="C176" s="34">
        <f t="shared" si="15"/>
        <v>46113</v>
      </c>
      <c r="D176" s="33">
        <v>3287</v>
      </c>
      <c r="E176" s="33">
        <v>338</v>
      </c>
      <c r="F176" s="33">
        <v>4</v>
      </c>
      <c r="G176" s="24">
        <v>9</v>
      </c>
      <c r="H176" s="24">
        <v>81462</v>
      </c>
      <c r="I176" s="33" t="s">
        <v>17</v>
      </c>
      <c r="J176" s="24">
        <v>53174859</v>
      </c>
      <c r="K176" s="24" t="s">
        <v>2657</v>
      </c>
      <c r="L176" s="44" t="s">
        <v>2660</v>
      </c>
      <c r="M176" s="25">
        <v>239900</v>
      </c>
      <c r="N176" s="22">
        <f t="shared" si="13"/>
        <v>0.7</v>
      </c>
      <c r="O176" s="72">
        <f t="shared" si="11"/>
        <v>71970</v>
      </c>
      <c r="P176" s="22" t="s">
        <v>16</v>
      </c>
    </row>
    <row r="177" spans="1:16" s="2" customFormat="1" x14ac:dyDescent="0.35">
      <c r="A177" s="33" t="str">
        <f t="shared" si="12"/>
        <v>2025 JAN-JUN DISC 70% LICENSE ESS</v>
      </c>
      <c r="B177" s="34">
        <f t="shared" si="14"/>
        <v>46104</v>
      </c>
      <c r="C177" s="34">
        <f t="shared" si="15"/>
        <v>46113</v>
      </c>
      <c r="D177" s="33">
        <v>3287</v>
      </c>
      <c r="E177" s="33">
        <v>338</v>
      </c>
      <c r="F177" s="33">
        <v>4</v>
      </c>
      <c r="G177" s="24">
        <v>9</v>
      </c>
      <c r="H177" s="24">
        <v>81462</v>
      </c>
      <c r="I177" s="33" t="s">
        <v>17</v>
      </c>
      <c r="J177" s="24">
        <v>53174868</v>
      </c>
      <c r="K177" s="24" t="s">
        <v>2657</v>
      </c>
      <c r="L177" s="44" t="s">
        <v>2658</v>
      </c>
      <c r="M177" s="25">
        <v>239900</v>
      </c>
      <c r="N177" s="22">
        <f t="shared" si="13"/>
        <v>0.7</v>
      </c>
      <c r="O177" s="72">
        <f t="shared" si="11"/>
        <v>71970</v>
      </c>
      <c r="P177" s="22" t="s">
        <v>16</v>
      </c>
    </row>
    <row r="178" spans="1:16" s="2" customFormat="1" x14ac:dyDescent="0.35">
      <c r="A178" s="33" t="str">
        <f t="shared" si="12"/>
        <v>2025 JAN-JUN DISC 70% LICENSE ESS</v>
      </c>
      <c r="B178" s="34">
        <f t="shared" si="14"/>
        <v>46104</v>
      </c>
      <c r="C178" s="34">
        <f t="shared" si="15"/>
        <v>46113</v>
      </c>
      <c r="D178" s="33">
        <v>3287</v>
      </c>
      <c r="E178" s="33">
        <v>338</v>
      </c>
      <c r="F178" s="33">
        <v>4</v>
      </c>
      <c r="G178" s="24">
        <v>9</v>
      </c>
      <c r="H178" s="24">
        <v>81462</v>
      </c>
      <c r="I178" s="33" t="s">
        <v>17</v>
      </c>
      <c r="J178" s="24">
        <v>53174877</v>
      </c>
      <c r="K178" s="24" t="s">
        <v>2657</v>
      </c>
      <c r="L178" s="44" t="s">
        <v>3124</v>
      </c>
      <c r="M178" s="25">
        <v>239900</v>
      </c>
      <c r="N178" s="22">
        <f t="shared" si="13"/>
        <v>0.7</v>
      </c>
      <c r="O178" s="72">
        <f t="shared" si="11"/>
        <v>71970</v>
      </c>
      <c r="P178" s="22" t="s">
        <v>16</v>
      </c>
    </row>
    <row r="179" spans="1:16" s="2" customFormat="1" x14ac:dyDescent="0.35">
      <c r="A179" s="33" t="str">
        <f t="shared" si="12"/>
        <v>2025 JAN-JUN DISC 70% LICENSE ESS</v>
      </c>
      <c r="B179" s="34">
        <f t="shared" si="14"/>
        <v>46104</v>
      </c>
      <c r="C179" s="34">
        <f t="shared" si="15"/>
        <v>46113</v>
      </c>
      <c r="D179" s="33">
        <v>3287</v>
      </c>
      <c r="E179" s="33">
        <v>338</v>
      </c>
      <c r="F179" s="33">
        <v>4</v>
      </c>
      <c r="G179" s="24">
        <v>9</v>
      </c>
      <c r="H179" s="24">
        <v>81462</v>
      </c>
      <c r="I179" s="33" t="s">
        <v>17</v>
      </c>
      <c r="J179" s="24">
        <v>53174886</v>
      </c>
      <c r="K179" s="24" t="s">
        <v>2657</v>
      </c>
      <c r="L179" s="44" t="s">
        <v>3125</v>
      </c>
      <c r="M179" s="25">
        <v>239900</v>
      </c>
      <c r="N179" s="22">
        <f t="shared" si="13"/>
        <v>0.7</v>
      </c>
      <c r="O179" s="72">
        <f t="shared" si="11"/>
        <v>71970</v>
      </c>
      <c r="P179" s="22" t="s">
        <v>16</v>
      </c>
    </row>
    <row r="180" spans="1:16" s="2" customFormat="1" x14ac:dyDescent="0.35">
      <c r="A180" s="33" t="str">
        <f t="shared" si="12"/>
        <v>2025 JAN-JUN DISC 70% LICENSE ESS</v>
      </c>
      <c r="B180" s="34">
        <f t="shared" si="14"/>
        <v>46104</v>
      </c>
      <c r="C180" s="34">
        <f t="shared" si="15"/>
        <v>46113</v>
      </c>
      <c r="D180" s="33">
        <v>3287</v>
      </c>
      <c r="E180" s="33">
        <v>338</v>
      </c>
      <c r="F180" s="33">
        <v>4</v>
      </c>
      <c r="G180" s="24">
        <v>9</v>
      </c>
      <c r="H180" s="24">
        <v>81462</v>
      </c>
      <c r="I180" s="33" t="s">
        <v>17</v>
      </c>
      <c r="J180" s="24">
        <v>53174895</v>
      </c>
      <c r="K180" s="24" t="s">
        <v>2657</v>
      </c>
      <c r="L180" s="44" t="s">
        <v>3126</v>
      </c>
      <c r="M180" s="25">
        <v>239900</v>
      </c>
      <c r="N180" s="22">
        <f t="shared" si="13"/>
        <v>0.7</v>
      </c>
      <c r="O180" s="72">
        <f t="shared" si="11"/>
        <v>71970</v>
      </c>
      <c r="P180" s="22" t="s">
        <v>16</v>
      </c>
    </row>
    <row r="181" spans="1:16" s="2" customFormat="1" x14ac:dyDescent="0.35">
      <c r="A181" s="33" t="str">
        <f t="shared" si="12"/>
        <v>2025 JAN-JUN DISC 70% LICENSE ESS</v>
      </c>
      <c r="B181" s="34">
        <f t="shared" si="14"/>
        <v>46104</v>
      </c>
      <c r="C181" s="34">
        <f t="shared" si="15"/>
        <v>46113</v>
      </c>
      <c r="D181" s="33">
        <v>3287</v>
      </c>
      <c r="E181" s="33">
        <v>338</v>
      </c>
      <c r="F181" s="33">
        <v>4</v>
      </c>
      <c r="G181" s="24">
        <v>9</v>
      </c>
      <c r="H181" s="24">
        <v>81462</v>
      </c>
      <c r="I181" s="33" t="s">
        <v>17</v>
      </c>
      <c r="J181" s="24">
        <v>53174902</v>
      </c>
      <c r="K181" s="24" t="s">
        <v>2657</v>
      </c>
      <c r="L181" s="44" t="s">
        <v>3127</v>
      </c>
      <c r="M181" s="25">
        <v>239900</v>
      </c>
      <c r="N181" s="22">
        <f t="shared" si="13"/>
        <v>0.7</v>
      </c>
      <c r="O181" s="72">
        <f t="shared" si="11"/>
        <v>35970</v>
      </c>
      <c r="P181" s="22" t="s">
        <v>16</v>
      </c>
    </row>
    <row r="182" spans="1:16" s="2" customFormat="1" x14ac:dyDescent="0.35">
      <c r="A182" s="33" t="str">
        <f t="shared" si="12"/>
        <v>2025 JAN-JUN DISC 70% LICENSE ESS</v>
      </c>
      <c r="B182" s="34">
        <f t="shared" si="14"/>
        <v>46104</v>
      </c>
      <c r="C182" s="34">
        <f t="shared" si="15"/>
        <v>46113</v>
      </c>
      <c r="D182" s="33">
        <v>3287</v>
      </c>
      <c r="E182" s="33">
        <v>338</v>
      </c>
      <c r="F182" s="33">
        <v>4</v>
      </c>
      <c r="G182" s="24">
        <v>8</v>
      </c>
      <c r="H182" s="24">
        <v>81462</v>
      </c>
      <c r="I182" s="33" t="s">
        <v>17</v>
      </c>
      <c r="J182" s="24">
        <v>53160659</v>
      </c>
      <c r="K182" s="24" t="s">
        <v>3128</v>
      </c>
      <c r="L182" s="44" t="s">
        <v>3129</v>
      </c>
      <c r="M182" s="25">
        <v>119900</v>
      </c>
      <c r="N182" s="22">
        <f t="shared" si="13"/>
        <v>0.7</v>
      </c>
      <c r="O182" s="72">
        <f t="shared" si="11"/>
        <v>35970</v>
      </c>
      <c r="P182" s="22" t="s">
        <v>16</v>
      </c>
    </row>
    <row r="183" spans="1:16" s="2" customFormat="1" x14ac:dyDescent="0.35">
      <c r="A183" s="33" t="str">
        <f t="shared" si="12"/>
        <v>2025 JAN-JUN DISC 70% LICENSE ESS</v>
      </c>
      <c r="B183" s="34">
        <f t="shared" si="14"/>
        <v>46104</v>
      </c>
      <c r="C183" s="34">
        <f t="shared" si="15"/>
        <v>46113</v>
      </c>
      <c r="D183" s="33">
        <v>3287</v>
      </c>
      <c r="E183" s="33">
        <v>338</v>
      </c>
      <c r="F183" s="33">
        <v>4</v>
      </c>
      <c r="G183" s="24">
        <v>8</v>
      </c>
      <c r="H183" s="24">
        <v>81462</v>
      </c>
      <c r="I183" s="33" t="s">
        <v>17</v>
      </c>
      <c r="J183" s="24">
        <v>53160668</v>
      </c>
      <c r="K183" s="24" t="s">
        <v>3128</v>
      </c>
      <c r="L183" s="44" t="s">
        <v>3130</v>
      </c>
      <c r="M183" s="25">
        <v>119900</v>
      </c>
      <c r="N183" s="22">
        <f t="shared" si="13"/>
        <v>0.7</v>
      </c>
      <c r="O183" s="72">
        <f t="shared" si="11"/>
        <v>35970</v>
      </c>
      <c r="P183" s="22" t="s">
        <v>16</v>
      </c>
    </row>
    <row r="184" spans="1:16" s="2" customFormat="1" x14ac:dyDescent="0.35">
      <c r="A184" s="33" t="str">
        <f t="shared" si="12"/>
        <v>2025 JAN-JUN DISC 70% LICENSE ESS</v>
      </c>
      <c r="B184" s="34">
        <f t="shared" si="14"/>
        <v>46104</v>
      </c>
      <c r="C184" s="34">
        <f t="shared" si="15"/>
        <v>46113</v>
      </c>
      <c r="D184" s="33">
        <v>3287</v>
      </c>
      <c r="E184" s="33">
        <v>338</v>
      </c>
      <c r="F184" s="33">
        <v>4</v>
      </c>
      <c r="G184" s="24">
        <v>8</v>
      </c>
      <c r="H184" s="24">
        <v>81462</v>
      </c>
      <c r="I184" s="33" t="s">
        <v>17</v>
      </c>
      <c r="J184" s="24">
        <v>53160677</v>
      </c>
      <c r="K184" s="24" t="s">
        <v>3128</v>
      </c>
      <c r="L184" s="44" t="s">
        <v>3131</v>
      </c>
      <c r="M184" s="25">
        <v>119900</v>
      </c>
      <c r="N184" s="22">
        <f t="shared" si="13"/>
        <v>0.7</v>
      </c>
      <c r="O184" s="72">
        <f t="shared" si="11"/>
        <v>35970</v>
      </c>
      <c r="P184" s="22" t="s">
        <v>16</v>
      </c>
    </row>
    <row r="185" spans="1:16" s="2" customFormat="1" x14ac:dyDescent="0.35">
      <c r="A185" s="33" t="str">
        <f t="shared" si="12"/>
        <v>2025 JAN-JUN DISC 70% LICENSE ESS</v>
      </c>
      <c r="B185" s="34">
        <f t="shared" si="14"/>
        <v>46104</v>
      </c>
      <c r="C185" s="34">
        <f t="shared" si="15"/>
        <v>46113</v>
      </c>
      <c r="D185" s="33">
        <v>3287</v>
      </c>
      <c r="E185" s="33">
        <v>338</v>
      </c>
      <c r="F185" s="33">
        <v>4</v>
      </c>
      <c r="G185" s="24">
        <v>8</v>
      </c>
      <c r="H185" s="24">
        <v>81462</v>
      </c>
      <c r="I185" s="33" t="s">
        <v>17</v>
      </c>
      <c r="J185" s="24">
        <v>53160686</v>
      </c>
      <c r="K185" s="24" t="s">
        <v>3128</v>
      </c>
      <c r="L185" s="44" t="s">
        <v>3132</v>
      </c>
      <c r="M185" s="25">
        <v>119900</v>
      </c>
      <c r="N185" s="22">
        <f t="shared" si="13"/>
        <v>0.7</v>
      </c>
      <c r="O185" s="72">
        <f t="shared" si="11"/>
        <v>35970</v>
      </c>
      <c r="P185" s="22" t="s">
        <v>16</v>
      </c>
    </row>
    <row r="186" spans="1:16" s="2" customFormat="1" x14ac:dyDescent="0.35">
      <c r="A186" s="33" t="str">
        <f t="shared" si="12"/>
        <v>2025 JAN-JUN DISC 70% LICENSE ESS</v>
      </c>
      <c r="B186" s="34">
        <f t="shared" si="14"/>
        <v>46104</v>
      </c>
      <c r="C186" s="34">
        <f t="shared" si="15"/>
        <v>46113</v>
      </c>
      <c r="D186" s="33">
        <v>3287</v>
      </c>
      <c r="E186" s="33">
        <v>338</v>
      </c>
      <c r="F186" s="33">
        <v>4</v>
      </c>
      <c r="G186" s="24">
        <v>8</v>
      </c>
      <c r="H186" s="24">
        <v>81462</v>
      </c>
      <c r="I186" s="33" t="s">
        <v>17</v>
      </c>
      <c r="J186" s="24">
        <v>52659417</v>
      </c>
      <c r="K186" s="24" t="s">
        <v>2662</v>
      </c>
      <c r="L186" s="44" t="s">
        <v>2663</v>
      </c>
      <c r="M186" s="25">
        <v>119900</v>
      </c>
      <c r="N186" s="22">
        <f t="shared" si="13"/>
        <v>0.7</v>
      </c>
      <c r="O186" s="72">
        <f t="shared" si="11"/>
        <v>35970</v>
      </c>
      <c r="P186" s="22" t="s">
        <v>16</v>
      </c>
    </row>
    <row r="187" spans="1:16" s="2" customFormat="1" x14ac:dyDescent="0.35">
      <c r="A187" s="33" t="str">
        <f t="shared" si="12"/>
        <v>2025 JAN-JUN DISC 70% LICENSE ESS</v>
      </c>
      <c r="B187" s="34">
        <f t="shared" si="14"/>
        <v>46104</v>
      </c>
      <c r="C187" s="34">
        <f t="shared" si="15"/>
        <v>46113</v>
      </c>
      <c r="D187" s="33">
        <v>3287</v>
      </c>
      <c r="E187" s="33">
        <v>338</v>
      </c>
      <c r="F187" s="33">
        <v>4</v>
      </c>
      <c r="G187" s="24">
        <v>8</v>
      </c>
      <c r="H187" s="24">
        <v>81462</v>
      </c>
      <c r="I187" s="33" t="s">
        <v>17</v>
      </c>
      <c r="J187" s="24">
        <v>52659426</v>
      </c>
      <c r="K187" s="24" t="s">
        <v>2662</v>
      </c>
      <c r="L187" s="44" t="s">
        <v>2665</v>
      </c>
      <c r="M187" s="25">
        <v>119900</v>
      </c>
      <c r="N187" s="22">
        <f t="shared" si="13"/>
        <v>0.7</v>
      </c>
      <c r="O187" s="72">
        <f t="shared" si="11"/>
        <v>35970</v>
      </c>
      <c r="P187" s="22" t="s">
        <v>16</v>
      </c>
    </row>
    <row r="188" spans="1:16" s="2" customFormat="1" x14ac:dyDescent="0.35">
      <c r="A188" s="33" t="str">
        <f t="shared" si="12"/>
        <v>2025 JAN-JUN DISC 70% LICENSE ESS</v>
      </c>
      <c r="B188" s="34">
        <f t="shared" si="14"/>
        <v>46104</v>
      </c>
      <c r="C188" s="34">
        <f t="shared" si="15"/>
        <v>46113</v>
      </c>
      <c r="D188" s="33">
        <v>3287</v>
      </c>
      <c r="E188" s="33">
        <v>338</v>
      </c>
      <c r="F188" s="33">
        <v>4</v>
      </c>
      <c r="G188" s="24">
        <v>8</v>
      </c>
      <c r="H188" s="24">
        <v>81462</v>
      </c>
      <c r="I188" s="33" t="s">
        <v>17</v>
      </c>
      <c r="J188" s="24">
        <v>52659435</v>
      </c>
      <c r="K188" s="24" t="s">
        <v>2662</v>
      </c>
      <c r="L188" s="44" t="s">
        <v>2664</v>
      </c>
      <c r="M188" s="25">
        <v>119900</v>
      </c>
      <c r="N188" s="22">
        <f t="shared" si="13"/>
        <v>0.7</v>
      </c>
      <c r="O188" s="72">
        <f t="shared" si="11"/>
        <v>35970</v>
      </c>
      <c r="P188" s="22" t="s">
        <v>16</v>
      </c>
    </row>
    <row r="189" spans="1:16" s="2" customFormat="1" x14ac:dyDescent="0.35">
      <c r="A189" s="33" t="str">
        <f t="shared" si="12"/>
        <v>2025 JAN-JUN DISC 70% LICENSE ESS</v>
      </c>
      <c r="B189" s="34">
        <f t="shared" si="14"/>
        <v>46104</v>
      </c>
      <c r="C189" s="34">
        <f t="shared" si="15"/>
        <v>46113</v>
      </c>
      <c r="D189" s="33">
        <v>3287</v>
      </c>
      <c r="E189" s="33">
        <v>338</v>
      </c>
      <c r="F189" s="33">
        <v>4</v>
      </c>
      <c r="G189" s="24">
        <v>8</v>
      </c>
      <c r="H189" s="24">
        <v>81462</v>
      </c>
      <c r="I189" s="33" t="s">
        <v>17</v>
      </c>
      <c r="J189" s="24">
        <v>52659444</v>
      </c>
      <c r="K189" s="24" t="s">
        <v>2662</v>
      </c>
      <c r="L189" s="44" t="s">
        <v>2666</v>
      </c>
      <c r="M189" s="25">
        <v>119900</v>
      </c>
      <c r="N189" s="22">
        <f t="shared" si="13"/>
        <v>0.7</v>
      </c>
      <c r="O189" s="72">
        <f t="shared" si="11"/>
        <v>35970</v>
      </c>
      <c r="P189" s="22" t="s">
        <v>16</v>
      </c>
    </row>
    <row r="190" spans="1:16" s="2" customFormat="1" x14ac:dyDescent="0.35">
      <c r="A190" s="33" t="str">
        <f t="shared" si="12"/>
        <v>2025 JAN-JUN DISC 70% LICENSE ESS</v>
      </c>
      <c r="B190" s="34">
        <f t="shared" si="14"/>
        <v>46104</v>
      </c>
      <c r="C190" s="34">
        <f t="shared" si="15"/>
        <v>46113</v>
      </c>
      <c r="D190" s="33">
        <v>3287</v>
      </c>
      <c r="E190" s="33">
        <v>338</v>
      </c>
      <c r="F190" s="33">
        <v>4</v>
      </c>
      <c r="G190" s="24">
        <v>8</v>
      </c>
      <c r="H190" s="24">
        <v>81462</v>
      </c>
      <c r="I190" s="33" t="s">
        <v>17</v>
      </c>
      <c r="J190" s="24">
        <v>51694596</v>
      </c>
      <c r="K190" s="24" t="s">
        <v>2667</v>
      </c>
      <c r="L190" s="44" t="s">
        <v>2668</v>
      </c>
      <c r="M190" s="25">
        <v>119900</v>
      </c>
      <c r="N190" s="22">
        <f t="shared" si="13"/>
        <v>0.7</v>
      </c>
      <c r="O190" s="72">
        <f t="shared" si="11"/>
        <v>35970</v>
      </c>
      <c r="P190" s="22" t="s">
        <v>16</v>
      </c>
    </row>
    <row r="191" spans="1:16" s="2" customFormat="1" x14ac:dyDescent="0.35">
      <c r="A191" s="33" t="str">
        <f t="shared" si="12"/>
        <v>2025 JAN-JUN DISC 70% LICENSE ESS</v>
      </c>
      <c r="B191" s="34">
        <f t="shared" si="14"/>
        <v>46104</v>
      </c>
      <c r="C191" s="34">
        <f t="shared" si="15"/>
        <v>46113</v>
      </c>
      <c r="D191" s="33">
        <v>3287</v>
      </c>
      <c r="E191" s="33">
        <v>338</v>
      </c>
      <c r="F191" s="33">
        <v>4</v>
      </c>
      <c r="G191" s="24">
        <v>8</v>
      </c>
      <c r="H191" s="24">
        <v>81462</v>
      </c>
      <c r="I191" s="33" t="s">
        <v>17</v>
      </c>
      <c r="J191" s="24">
        <v>51694603</v>
      </c>
      <c r="K191" s="24" t="s">
        <v>2667</v>
      </c>
      <c r="L191" s="44" t="s">
        <v>2671</v>
      </c>
      <c r="M191" s="25">
        <v>119900</v>
      </c>
      <c r="N191" s="22">
        <f t="shared" si="13"/>
        <v>0.7</v>
      </c>
      <c r="O191" s="72">
        <f t="shared" si="11"/>
        <v>35970</v>
      </c>
      <c r="P191" s="22" t="s">
        <v>16</v>
      </c>
    </row>
    <row r="192" spans="1:16" s="2" customFormat="1" x14ac:dyDescent="0.35">
      <c r="A192" s="33" t="str">
        <f t="shared" si="12"/>
        <v>2025 JAN-JUN DISC 70% LICENSE ESS</v>
      </c>
      <c r="B192" s="34">
        <f t="shared" si="14"/>
        <v>46104</v>
      </c>
      <c r="C192" s="34">
        <f t="shared" si="15"/>
        <v>46113</v>
      </c>
      <c r="D192" s="33">
        <v>3287</v>
      </c>
      <c r="E192" s="33">
        <v>338</v>
      </c>
      <c r="F192" s="33">
        <v>4</v>
      </c>
      <c r="G192" s="24">
        <v>8</v>
      </c>
      <c r="H192" s="24">
        <v>81462</v>
      </c>
      <c r="I192" s="33" t="s">
        <v>17</v>
      </c>
      <c r="J192" s="24">
        <v>51694612</v>
      </c>
      <c r="K192" s="24" t="s">
        <v>2667</v>
      </c>
      <c r="L192" s="44" t="s">
        <v>2670</v>
      </c>
      <c r="M192" s="25">
        <v>119900</v>
      </c>
      <c r="N192" s="22">
        <f t="shared" si="13"/>
        <v>0.7</v>
      </c>
      <c r="O192" s="72">
        <f t="shared" si="11"/>
        <v>35970</v>
      </c>
      <c r="P192" s="22" t="s">
        <v>16</v>
      </c>
    </row>
    <row r="193" spans="1:16" s="2" customFormat="1" x14ac:dyDescent="0.35">
      <c r="A193" s="33" t="str">
        <f t="shared" si="12"/>
        <v>2025 JAN-JUN DISC 70% LICENSE ESS</v>
      </c>
      <c r="B193" s="34">
        <f t="shared" si="14"/>
        <v>46104</v>
      </c>
      <c r="C193" s="34">
        <f t="shared" si="15"/>
        <v>46113</v>
      </c>
      <c r="D193" s="33">
        <v>3287</v>
      </c>
      <c r="E193" s="33">
        <v>338</v>
      </c>
      <c r="F193" s="33">
        <v>4</v>
      </c>
      <c r="G193" s="24">
        <v>8</v>
      </c>
      <c r="H193" s="24">
        <v>81462</v>
      </c>
      <c r="I193" s="33" t="s">
        <v>17</v>
      </c>
      <c r="J193" s="24">
        <v>51694621</v>
      </c>
      <c r="K193" s="24" t="s">
        <v>2667</v>
      </c>
      <c r="L193" s="44" t="s">
        <v>2669</v>
      </c>
      <c r="M193" s="25">
        <v>119900</v>
      </c>
      <c r="N193" s="22">
        <f t="shared" si="13"/>
        <v>0.7</v>
      </c>
      <c r="O193" s="72">
        <f t="shared" si="11"/>
        <v>65970</v>
      </c>
      <c r="P193" s="22" t="s">
        <v>16</v>
      </c>
    </row>
    <row r="194" spans="1:16" s="2" customFormat="1" x14ac:dyDescent="0.35">
      <c r="A194" s="33" t="str">
        <f t="shared" si="12"/>
        <v>2025 JAN-JUN DISC 70% LICENSE ESS</v>
      </c>
      <c r="B194" s="34">
        <f t="shared" si="14"/>
        <v>46104</v>
      </c>
      <c r="C194" s="34">
        <f t="shared" si="15"/>
        <v>46113</v>
      </c>
      <c r="D194" s="33">
        <v>3287</v>
      </c>
      <c r="E194" s="33">
        <v>338</v>
      </c>
      <c r="F194" s="33">
        <v>4</v>
      </c>
      <c r="G194" s="24">
        <v>4</v>
      </c>
      <c r="H194" s="24">
        <v>81462</v>
      </c>
      <c r="I194" s="33" t="s">
        <v>17</v>
      </c>
      <c r="J194" s="24">
        <v>53160695</v>
      </c>
      <c r="K194" s="24" t="s">
        <v>2672</v>
      </c>
      <c r="L194" s="44" t="s">
        <v>2680</v>
      </c>
      <c r="M194" s="25">
        <v>219900</v>
      </c>
      <c r="N194" s="22">
        <f t="shared" si="13"/>
        <v>0.7</v>
      </c>
      <c r="O194" s="72">
        <f t="shared" si="11"/>
        <v>65970</v>
      </c>
      <c r="P194" s="22" t="s">
        <v>16</v>
      </c>
    </row>
    <row r="195" spans="1:16" s="2" customFormat="1" x14ac:dyDescent="0.35">
      <c r="A195" s="33" t="str">
        <f t="shared" si="12"/>
        <v>2025 JAN-JUN DISC 70% LICENSE ESS</v>
      </c>
      <c r="B195" s="34">
        <f t="shared" si="14"/>
        <v>46104</v>
      </c>
      <c r="C195" s="34">
        <f t="shared" si="15"/>
        <v>46113</v>
      </c>
      <c r="D195" s="33">
        <v>3287</v>
      </c>
      <c r="E195" s="33">
        <v>338</v>
      </c>
      <c r="F195" s="33">
        <v>4</v>
      </c>
      <c r="G195" s="24">
        <v>4</v>
      </c>
      <c r="H195" s="24">
        <v>81462</v>
      </c>
      <c r="I195" s="33" t="s">
        <v>17</v>
      </c>
      <c r="J195" s="24">
        <v>53160702</v>
      </c>
      <c r="K195" s="24" t="s">
        <v>2672</v>
      </c>
      <c r="L195" s="44" t="s">
        <v>2677</v>
      </c>
      <c r="M195" s="25">
        <v>219900</v>
      </c>
      <c r="N195" s="22">
        <f t="shared" si="13"/>
        <v>0.7</v>
      </c>
      <c r="O195" s="72">
        <f t="shared" ref="O195:O258" si="16">M196-((70*M196)/100)</f>
        <v>65970</v>
      </c>
      <c r="P195" s="22" t="s">
        <v>16</v>
      </c>
    </row>
    <row r="196" spans="1:16" s="2" customFormat="1" x14ac:dyDescent="0.35">
      <c r="A196" s="33" t="str">
        <f t="shared" ref="A196:A259" si="17">A195</f>
        <v>2025 JAN-JUN DISC 70% LICENSE ESS</v>
      </c>
      <c r="B196" s="34">
        <f t="shared" si="14"/>
        <v>46104</v>
      </c>
      <c r="C196" s="34">
        <f t="shared" si="15"/>
        <v>46113</v>
      </c>
      <c r="D196" s="33">
        <v>3287</v>
      </c>
      <c r="E196" s="33">
        <v>338</v>
      </c>
      <c r="F196" s="33">
        <v>4</v>
      </c>
      <c r="G196" s="24">
        <v>4</v>
      </c>
      <c r="H196" s="24">
        <v>81462</v>
      </c>
      <c r="I196" s="33" t="s">
        <v>17</v>
      </c>
      <c r="J196" s="24">
        <v>53160711</v>
      </c>
      <c r="K196" s="24" t="s">
        <v>2672</v>
      </c>
      <c r="L196" s="44" t="s">
        <v>2674</v>
      </c>
      <c r="M196" s="25">
        <v>219900</v>
      </c>
      <c r="N196" s="22">
        <f t="shared" ref="N196:N259" si="18">N195</f>
        <v>0.7</v>
      </c>
      <c r="O196" s="72">
        <f t="shared" si="16"/>
        <v>65970</v>
      </c>
      <c r="P196" s="22" t="s">
        <v>16</v>
      </c>
    </row>
    <row r="197" spans="1:16" s="2" customFormat="1" x14ac:dyDescent="0.35">
      <c r="A197" s="33" t="str">
        <f t="shared" si="17"/>
        <v>2025 JAN-JUN DISC 70% LICENSE ESS</v>
      </c>
      <c r="B197" s="34">
        <f t="shared" si="14"/>
        <v>46104</v>
      </c>
      <c r="C197" s="34">
        <f t="shared" si="15"/>
        <v>46113</v>
      </c>
      <c r="D197" s="33">
        <v>3287</v>
      </c>
      <c r="E197" s="33">
        <v>338</v>
      </c>
      <c r="F197" s="33">
        <v>4</v>
      </c>
      <c r="G197" s="24">
        <v>4</v>
      </c>
      <c r="H197" s="24">
        <v>81462</v>
      </c>
      <c r="I197" s="33" t="s">
        <v>17</v>
      </c>
      <c r="J197" s="24">
        <v>53160720</v>
      </c>
      <c r="K197" s="24" t="s">
        <v>2672</v>
      </c>
      <c r="L197" s="44" t="s">
        <v>2673</v>
      </c>
      <c r="M197" s="25">
        <v>219900</v>
      </c>
      <c r="N197" s="22">
        <f t="shared" si="18"/>
        <v>0.7</v>
      </c>
      <c r="O197" s="72">
        <f t="shared" si="16"/>
        <v>65970</v>
      </c>
      <c r="P197" s="22" t="s">
        <v>16</v>
      </c>
    </row>
    <row r="198" spans="1:16" s="2" customFormat="1" x14ac:dyDescent="0.35">
      <c r="A198" s="33" t="str">
        <f t="shared" si="17"/>
        <v>2025 JAN-JUN DISC 70% LICENSE ESS</v>
      </c>
      <c r="B198" s="34">
        <f t="shared" si="14"/>
        <v>46104</v>
      </c>
      <c r="C198" s="34">
        <f t="shared" si="15"/>
        <v>46113</v>
      </c>
      <c r="D198" s="33">
        <v>3287</v>
      </c>
      <c r="E198" s="33">
        <v>338</v>
      </c>
      <c r="F198" s="33">
        <v>4</v>
      </c>
      <c r="G198" s="24">
        <v>4</v>
      </c>
      <c r="H198" s="24">
        <v>81462</v>
      </c>
      <c r="I198" s="33" t="s">
        <v>17</v>
      </c>
      <c r="J198" s="24">
        <v>53160739</v>
      </c>
      <c r="K198" s="24" t="s">
        <v>2672</v>
      </c>
      <c r="L198" s="44" t="s">
        <v>2678</v>
      </c>
      <c r="M198" s="25">
        <v>219900</v>
      </c>
      <c r="N198" s="22">
        <f t="shared" si="18"/>
        <v>0.7</v>
      </c>
      <c r="O198" s="72">
        <f t="shared" si="16"/>
        <v>65970</v>
      </c>
      <c r="P198" s="22" t="s">
        <v>16</v>
      </c>
    </row>
    <row r="199" spans="1:16" s="2" customFormat="1" x14ac:dyDescent="0.35">
      <c r="A199" s="33" t="str">
        <f t="shared" si="17"/>
        <v>2025 JAN-JUN DISC 70% LICENSE ESS</v>
      </c>
      <c r="B199" s="34">
        <f t="shared" si="14"/>
        <v>46104</v>
      </c>
      <c r="C199" s="34">
        <f t="shared" si="15"/>
        <v>46113</v>
      </c>
      <c r="D199" s="33">
        <v>3287</v>
      </c>
      <c r="E199" s="33">
        <v>338</v>
      </c>
      <c r="F199" s="33">
        <v>4</v>
      </c>
      <c r="G199" s="24">
        <v>4</v>
      </c>
      <c r="H199" s="24">
        <v>81462</v>
      </c>
      <c r="I199" s="33" t="s">
        <v>17</v>
      </c>
      <c r="J199" s="24">
        <v>53160748</v>
      </c>
      <c r="K199" s="24" t="s">
        <v>2672</v>
      </c>
      <c r="L199" s="44" t="s">
        <v>2676</v>
      </c>
      <c r="M199" s="25">
        <v>219900</v>
      </c>
      <c r="N199" s="22">
        <f t="shared" si="18"/>
        <v>0.7</v>
      </c>
      <c r="O199" s="72">
        <f t="shared" si="16"/>
        <v>65970</v>
      </c>
      <c r="P199" s="22" t="s">
        <v>16</v>
      </c>
    </row>
    <row r="200" spans="1:16" s="2" customFormat="1" x14ac:dyDescent="0.35">
      <c r="A200" s="33" t="str">
        <f t="shared" si="17"/>
        <v>2025 JAN-JUN DISC 70% LICENSE ESS</v>
      </c>
      <c r="B200" s="34">
        <f t="shared" si="14"/>
        <v>46104</v>
      </c>
      <c r="C200" s="34">
        <f t="shared" si="15"/>
        <v>46113</v>
      </c>
      <c r="D200" s="33">
        <v>3287</v>
      </c>
      <c r="E200" s="33">
        <v>338</v>
      </c>
      <c r="F200" s="33">
        <v>4</v>
      </c>
      <c r="G200" s="24">
        <v>4</v>
      </c>
      <c r="H200" s="24">
        <v>81462</v>
      </c>
      <c r="I200" s="33" t="s">
        <v>17</v>
      </c>
      <c r="J200" s="24">
        <v>53160757</v>
      </c>
      <c r="K200" s="24" t="s">
        <v>2672</v>
      </c>
      <c r="L200" s="44" t="s">
        <v>2679</v>
      </c>
      <c r="M200" s="25">
        <v>219900</v>
      </c>
      <c r="N200" s="22">
        <f t="shared" si="18"/>
        <v>0.7</v>
      </c>
      <c r="O200" s="72">
        <f t="shared" si="16"/>
        <v>65970</v>
      </c>
      <c r="P200" s="22" t="s">
        <v>16</v>
      </c>
    </row>
    <row r="201" spans="1:16" s="2" customFormat="1" x14ac:dyDescent="0.35">
      <c r="A201" s="33" t="str">
        <f t="shared" si="17"/>
        <v>2025 JAN-JUN DISC 70% LICENSE ESS</v>
      </c>
      <c r="B201" s="34">
        <f t="shared" si="14"/>
        <v>46104</v>
      </c>
      <c r="C201" s="34">
        <f t="shared" si="15"/>
        <v>46113</v>
      </c>
      <c r="D201" s="33">
        <v>3287</v>
      </c>
      <c r="E201" s="33">
        <v>338</v>
      </c>
      <c r="F201" s="33">
        <v>4</v>
      </c>
      <c r="G201" s="24">
        <v>4</v>
      </c>
      <c r="H201" s="24">
        <v>81462</v>
      </c>
      <c r="I201" s="33" t="s">
        <v>17</v>
      </c>
      <c r="J201" s="24">
        <v>53160766</v>
      </c>
      <c r="K201" s="24" t="s">
        <v>2672</v>
      </c>
      <c r="L201" s="44" t="s">
        <v>2675</v>
      </c>
      <c r="M201" s="25">
        <v>219900</v>
      </c>
      <c r="N201" s="22">
        <f t="shared" si="18"/>
        <v>0.7</v>
      </c>
      <c r="O201" s="72">
        <f t="shared" si="16"/>
        <v>10770</v>
      </c>
      <c r="P201" s="22" t="s">
        <v>16</v>
      </c>
    </row>
    <row r="202" spans="1:16" s="2" customFormat="1" x14ac:dyDescent="0.35">
      <c r="A202" s="33" t="str">
        <f t="shared" si="17"/>
        <v>2025 JAN-JUN DISC 70% LICENSE ESS</v>
      </c>
      <c r="B202" s="34">
        <f t="shared" si="14"/>
        <v>46104</v>
      </c>
      <c r="C202" s="34">
        <f t="shared" si="15"/>
        <v>46113</v>
      </c>
      <c r="D202" s="33">
        <v>3287</v>
      </c>
      <c r="E202" s="33">
        <v>338</v>
      </c>
      <c r="F202" s="33">
        <v>4</v>
      </c>
      <c r="G202" s="24">
        <v>7</v>
      </c>
      <c r="H202" s="24">
        <v>81827</v>
      </c>
      <c r="I202" s="33" t="s">
        <v>17</v>
      </c>
      <c r="J202" s="24">
        <v>53160775</v>
      </c>
      <c r="K202" s="24" t="s">
        <v>2690</v>
      </c>
      <c r="L202" s="44" t="s">
        <v>2692</v>
      </c>
      <c r="M202" s="25">
        <v>35900</v>
      </c>
      <c r="N202" s="22">
        <f t="shared" si="18"/>
        <v>0.7</v>
      </c>
      <c r="O202" s="72">
        <f t="shared" si="16"/>
        <v>10770</v>
      </c>
      <c r="P202" s="22" t="s">
        <v>16</v>
      </c>
    </row>
    <row r="203" spans="1:16" s="2" customFormat="1" x14ac:dyDescent="0.35">
      <c r="A203" s="33" t="str">
        <f t="shared" si="17"/>
        <v>2025 JAN-JUN DISC 70% LICENSE ESS</v>
      </c>
      <c r="B203" s="34">
        <f t="shared" si="14"/>
        <v>46104</v>
      </c>
      <c r="C203" s="34">
        <f t="shared" si="15"/>
        <v>46113</v>
      </c>
      <c r="D203" s="33">
        <v>3287</v>
      </c>
      <c r="E203" s="33">
        <v>338</v>
      </c>
      <c r="F203" s="33">
        <v>4</v>
      </c>
      <c r="G203" s="24">
        <v>7</v>
      </c>
      <c r="H203" s="24">
        <v>81827</v>
      </c>
      <c r="I203" s="33" t="s">
        <v>17</v>
      </c>
      <c r="J203" s="24">
        <v>53160784</v>
      </c>
      <c r="K203" s="24" t="s">
        <v>2690</v>
      </c>
      <c r="L203" s="44" t="s">
        <v>2691</v>
      </c>
      <c r="M203" s="25">
        <v>35900</v>
      </c>
      <c r="N203" s="22">
        <f t="shared" si="18"/>
        <v>0.7</v>
      </c>
      <c r="O203" s="72">
        <f t="shared" si="16"/>
        <v>10770</v>
      </c>
      <c r="P203" s="22" t="s">
        <v>16</v>
      </c>
    </row>
    <row r="204" spans="1:16" s="2" customFormat="1" x14ac:dyDescent="0.35">
      <c r="A204" s="33" t="str">
        <f t="shared" si="17"/>
        <v>2025 JAN-JUN DISC 70% LICENSE ESS</v>
      </c>
      <c r="B204" s="34">
        <f t="shared" si="14"/>
        <v>46104</v>
      </c>
      <c r="C204" s="34">
        <f t="shared" si="15"/>
        <v>46113</v>
      </c>
      <c r="D204" s="33">
        <v>3287</v>
      </c>
      <c r="E204" s="33">
        <v>338</v>
      </c>
      <c r="F204" s="33">
        <v>4</v>
      </c>
      <c r="G204" s="24">
        <v>7</v>
      </c>
      <c r="H204" s="24">
        <v>81827</v>
      </c>
      <c r="I204" s="33" t="s">
        <v>17</v>
      </c>
      <c r="J204" s="24">
        <v>53160793</v>
      </c>
      <c r="K204" s="24" t="s">
        <v>2693</v>
      </c>
      <c r="L204" s="44" t="s">
        <v>2695</v>
      </c>
      <c r="M204" s="25">
        <v>35900</v>
      </c>
      <c r="N204" s="22">
        <f t="shared" si="18"/>
        <v>0.7</v>
      </c>
      <c r="O204" s="72">
        <f t="shared" si="16"/>
        <v>10770</v>
      </c>
      <c r="P204" s="22" t="s">
        <v>16</v>
      </c>
    </row>
    <row r="205" spans="1:16" s="2" customFormat="1" x14ac:dyDescent="0.35">
      <c r="A205" s="33" t="str">
        <f t="shared" si="17"/>
        <v>2025 JAN-JUN DISC 70% LICENSE ESS</v>
      </c>
      <c r="B205" s="34">
        <f t="shared" si="14"/>
        <v>46104</v>
      </c>
      <c r="C205" s="34">
        <f t="shared" si="15"/>
        <v>46113</v>
      </c>
      <c r="D205" s="33">
        <v>3287</v>
      </c>
      <c r="E205" s="33">
        <v>338</v>
      </c>
      <c r="F205" s="33">
        <v>4</v>
      </c>
      <c r="G205" s="24">
        <v>7</v>
      </c>
      <c r="H205" s="24">
        <v>81827</v>
      </c>
      <c r="I205" s="33" t="s">
        <v>17</v>
      </c>
      <c r="J205" s="24">
        <v>53160800</v>
      </c>
      <c r="K205" s="24" t="s">
        <v>2693</v>
      </c>
      <c r="L205" s="44" t="s">
        <v>2694</v>
      </c>
      <c r="M205" s="25">
        <v>35900</v>
      </c>
      <c r="N205" s="22">
        <f t="shared" si="18"/>
        <v>0.7</v>
      </c>
      <c r="O205" s="72">
        <f t="shared" si="16"/>
        <v>10770</v>
      </c>
      <c r="P205" s="22" t="s">
        <v>16</v>
      </c>
    </row>
    <row r="206" spans="1:16" s="2" customFormat="1" x14ac:dyDescent="0.35">
      <c r="A206" s="33" t="str">
        <f t="shared" si="17"/>
        <v>2025 JAN-JUN DISC 70% LICENSE ESS</v>
      </c>
      <c r="B206" s="34">
        <f t="shared" si="14"/>
        <v>46104</v>
      </c>
      <c r="C206" s="34">
        <f t="shared" si="15"/>
        <v>46113</v>
      </c>
      <c r="D206" s="33">
        <v>3287</v>
      </c>
      <c r="E206" s="33">
        <v>338</v>
      </c>
      <c r="F206" s="33">
        <v>4</v>
      </c>
      <c r="G206" s="24">
        <v>7</v>
      </c>
      <c r="H206" s="24">
        <v>81827</v>
      </c>
      <c r="I206" s="33" t="s">
        <v>17</v>
      </c>
      <c r="J206" s="24">
        <v>51630663</v>
      </c>
      <c r="K206" s="24" t="s">
        <v>2696</v>
      </c>
      <c r="L206" s="44" t="s">
        <v>2697</v>
      </c>
      <c r="M206" s="25">
        <v>35900</v>
      </c>
      <c r="N206" s="22">
        <f t="shared" si="18"/>
        <v>0.7</v>
      </c>
      <c r="O206" s="72">
        <f t="shared" si="16"/>
        <v>10770</v>
      </c>
      <c r="P206" s="22" t="s">
        <v>16</v>
      </c>
    </row>
    <row r="207" spans="1:16" s="2" customFormat="1" x14ac:dyDescent="0.35">
      <c r="A207" s="33" t="str">
        <f t="shared" si="17"/>
        <v>2025 JAN-JUN DISC 70% LICENSE ESS</v>
      </c>
      <c r="B207" s="34">
        <f t="shared" si="14"/>
        <v>46104</v>
      </c>
      <c r="C207" s="34">
        <f t="shared" si="15"/>
        <v>46113</v>
      </c>
      <c r="D207" s="33">
        <v>3287</v>
      </c>
      <c r="E207" s="33">
        <v>338</v>
      </c>
      <c r="F207" s="33">
        <v>4</v>
      </c>
      <c r="G207" s="24">
        <v>7</v>
      </c>
      <c r="H207" s="24">
        <v>81827</v>
      </c>
      <c r="I207" s="33" t="s">
        <v>17</v>
      </c>
      <c r="J207" s="24">
        <v>51630672</v>
      </c>
      <c r="K207" s="24" t="s">
        <v>2696</v>
      </c>
      <c r="L207" s="44" t="s">
        <v>2698</v>
      </c>
      <c r="M207" s="25">
        <v>35900</v>
      </c>
      <c r="N207" s="22">
        <f t="shared" si="18"/>
        <v>0.7</v>
      </c>
      <c r="O207" s="72">
        <f t="shared" si="16"/>
        <v>71970</v>
      </c>
      <c r="P207" s="22" t="s">
        <v>16</v>
      </c>
    </row>
    <row r="208" spans="1:16" s="2" customFormat="1" x14ac:dyDescent="0.35">
      <c r="A208" s="33" t="str">
        <f t="shared" si="17"/>
        <v>2025 JAN-JUN DISC 70% LICENSE ESS</v>
      </c>
      <c r="B208" s="34">
        <f t="shared" si="14"/>
        <v>46104</v>
      </c>
      <c r="C208" s="34">
        <f t="shared" si="15"/>
        <v>46113</v>
      </c>
      <c r="D208" s="33">
        <v>3287</v>
      </c>
      <c r="E208" s="33">
        <v>338</v>
      </c>
      <c r="F208" s="33">
        <v>4</v>
      </c>
      <c r="G208" s="24">
        <v>9</v>
      </c>
      <c r="H208" s="24">
        <v>81462</v>
      </c>
      <c r="I208" s="33" t="s">
        <v>17</v>
      </c>
      <c r="J208" s="24">
        <v>53174751</v>
      </c>
      <c r="K208" s="24" t="s">
        <v>2681</v>
      </c>
      <c r="L208" s="44" t="s">
        <v>2687</v>
      </c>
      <c r="M208" s="25">
        <v>239900</v>
      </c>
      <c r="N208" s="22">
        <f t="shared" si="18"/>
        <v>0.7</v>
      </c>
      <c r="O208" s="72">
        <f t="shared" si="16"/>
        <v>71970</v>
      </c>
      <c r="P208" s="22" t="s">
        <v>16</v>
      </c>
    </row>
    <row r="209" spans="1:16" s="2" customFormat="1" x14ac:dyDescent="0.35">
      <c r="A209" s="33" t="str">
        <f t="shared" si="17"/>
        <v>2025 JAN-JUN DISC 70% LICENSE ESS</v>
      </c>
      <c r="B209" s="34">
        <f t="shared" si="14"/>
        <v>46104</v>
      </c>
      <c r="C209" s="34">
        <f t="shared" si="15"/>
        <v>46113</v>
      </c>
      <c r="D209" s="33">
        <v>3287</v>
      </c>
      <c r="E209" s="33">
        <v>338</v>
      </c>
      <c r="F209" s="33">
        <v>4</v>
      </c>
      <c r="G209" s="24">
        <v>9</v>
      </c>
      <c r="H209" s="24">
        <v>81462</v>
      </c>
      <c r="I209" s="33" t="s">
        <v>17</v>
      </c>
      <c r="J209" s="24">
        <v>53174760</v>
      </c>
      <c r="K209" s="24" t="s">
        <v>2681</v>
      </c>
      <c r="L209" s="44" t="s">
        <v>2686</v>
      </c>
      <c r="M209" s="25">
        <v>239900</v>
      </c>
      <c r="N209" s="22">
        <f t="shared" si="18"/>
        <v>0.7</v>
      </c>
      <c r="O209" s="72">
        <f t="shared" si="16"/>
        <v>71970</v>
      </c>
      <c r="P209" s="22" t="s">
        <v>16</v>
      </c>
    </row>
    <row r="210" spans="1:16" s="2" customFormat="1" x14ac:dyDescent="0.35">
      <c r="A210" s="33" t="str">
        <f t="shared" si="17"/>
        <v>2025 JAN-JUN DISC 70% LICENSE ESS</v>
      </c>
      <c r="B210" s="34">
        <f t="shared" si="14"/>
        <v>46104</v>
      </c>
      <c r="C210" s="34">
        <f t="shared" si="15"/>
        <v>46113</v>
      </c>
      <c r="D210" s="33">
        <v>3287</v>
      </c>
      <c r="E210" s="33">
        <v>338</v>
      </c>
      <c r="F210" s="33">
        <v>4</v>
      </c>
      <c r="G210" s="24">
        <v>9</v>
      </c>
      <c r="H210" s="24">
        <v>81462</v>
      </c>
      <c r="I210" s="33" t="s">
        <v>17</v>
      </c>
      <c r="J210" s="24">
        <v>53174779</v>
      </c>
      <c r="K210" s="24" t="s">
        <v>2681</v>
      </c>
      <c r="L210" s="44" t="s">
        <v>2682</v>
      </c>
      <c r="M210" s="25">
        <v>239900</v>
      </c>
      <c r="N210" s="22">
        <f t="shared" si="18"/>
        <v>0.7</v>
      </c>
      <c r="O210" s="72">
        <f t="shared" si="16"/>
        <v>71970</v>
      </c>
      <c r="P210" s="22" t="s">
        <v>16</v>
      </c>
    </row>
    <row r="211" spans="1:16" s="2" customFormat="1" x14ac:dyDescent="0.35">
      <c r="A211" s="33" t="str">
        <f t="shared" si="17"/>
        <v>2025 JAN-JUN DISC 70% LICENSE ESS</v>
      </c>
      <c r="B211" s="34">
        <f t="shared" si="14"/>
        <v>46104</v>
      </c>
      <c r="C211" s="34">
        <f t="shared" si="15"/>
        <v>46113</v>
      </c>
      <c r="D211" s="33">
        <v>3287</v>
      </c>
      <c r="E211" s="33">
        <v>338</v>
      </c>
      <c r="F211" s="33">
        <v>4</v>
      </c>
      <c r="G211" s="24">
        <v>9</v>
      </c>
      <c r="H211" s="24">
        <v>81462</v>
      </c>
      <c r="I211" s="33" t="s">
        <v>17</v>
      </c>
      <c r="J211" s="24">
        <v>53174788</v>
      </c>
      <c r="K211" s="24" t="s">
        <v>2681</v>
      </c>
      <c r="L211" s="44" t="s">
        <v>2684</v>
      </c>
      <c r="M211" s="25">
        <v>239900</v>
      </c>
      <c r="N211" s="22">
        <f t="shared" si="18"/>
        <v>0.7</v>
      </c>
      <c r="O211" s="72">
        <f t="shared" si="16"/>
        <v>71970</v>
      </c>
      <c r="P211" s="22" t="s">
        <v>16</v>
      </c>
    </row>
    <row r="212" spans="1:16" s="2" customFormat="1" x14ac:dyDescent="0.35">
      <c r="A212" s="33" t="str">
        <f t="shared" si="17"/>
        <v>2025 JAN-JUN DISC 70% LICENSE ESS</v>
      </c>
      <c r="B212" s="34">
        <f t="shared" ref="B212:B275" si="19">B211</f>
        <v>46104</v>
      </c>
      <c r="C212" s="34">
        <f t="shared" ref="C212:C275" si="20">C211</f>
        <v>46113</v>
      </c>
      <c r="D212" s="33">
        <v>3287</v>
      </c>
      <c r="E212" s="33">
        <v>338</v>
      </c>
      <c r="F212" s="33">
        <v>4</v>
      </c>
      <c r="G212" s="24">
        <v>9</v>
      </c>
      <c r="H212" s="24">
        <v>81462</v>
      </c>
      <c r="I212" s="33" t="s">
        <v>17</v>
      </c>
      <c r="J212" s="24">
        <v>53174797</v>
      </c>
      <c r="K212" s="24" t="s">
        <v>2681</v>
      </c>
      <c r="L212" s="44" t="s">
        <v>2689</v>
      </c>
      <c r="M212" s="25">
        <v>239900</v>
      </c>
      <c r="N212" s="22">
        <f t="shared" si="18"/>
        <v>0.7</v>
      </c>
      <c r="O212" s="72">
        <f t="shared" si="16"/>
        <v>71970</v>
      </c>
      <c r="P212" s="22" t="s">
        <v>16</v>
      </c>
    </row>
    <row r="213" spans="1:16" s="2" customFormat="1" x14ac:dyDescent="0.35">
      <c r="A213" s="33" t="str">
        <f t="shared" si="17"/>
        <v>2025 JAN-JUN DISC 70% LICENSE ESS</v>
      </c>
      <c r="B213" s="34">
        <f t="shared" si="19"/>
        <v>46104</v>
      </c>
      <c r="C213" s="34">
        <f t="shared" si="20"/>
        <v>46113</v>
      </c>
      <c r="D213" s="33">
        <v>3287</v>
      </c>
      <c r="E213" s="33">
        <v>338</v>
      </c>
      <c r="F213" s="33">
        <v>4</v>
      </c>
      <c r="G213" s="24">
        <v>9</v>
      </c>
      <c r="H213" s="24">
        <v>81462</v>
      </c>
      <c r="I213" s="33" t="s">
        <v>17</v>
      </c>
      <c r="J213" s="24">
        <v>53174804</v>
      </c>
      <c r="K213" s="24" t="s">
        <v>2681</v>
      </c>
      <c r="L213" s="44" t="s">
        <v>2683</v>
      </c>
      <c r="M213" s="25">
        <v>239900</v>
      </c>
      <c r="N213" s="22">
        <f t="shared" si="18"/>
        <v>0.7</v>
      </c>
      <c r="O213" s="72">
        <f t="shared" si="16"/>
        <v>71970</v>
      </c>
      <c r="P213" s="22" t="s">
        <v>16</v>
      </c>
    </row>
    <row r="214" spans="1:16" s="2" customFormat="1" x14ac:dyDescent="0.35">
      <c r="A214" s="33" t="str">
        <f t="shared" si="17"/>
        <v>2025 JAN-JUN DISC 70% LICENSE ESS</v>
      </c>
      <c r="B214" s="34">
        <f t="shared" si="19"/>
        <v>46104</v>
      </c>
      <c r="C214" s="34">
        <f t="shared" si="20"/>
        <v>46113</v>
      </c>
      <c r="D214" s="33">
        <v>3287</v>
      </c>
      <c r="E214" s="33">
        <v>338</v>
      </c>
      <c r="F214" s="33">
        <v>4</v>
      </c>
      <c r="G214" s="24">
        <v>9</v>
      </c>
      <c r="H214" s="24">
        <v>81462</v>
      </c>
      <c r="I214" s="33" t="s">
        <v>17</v>
      </c>
      <c r="J214" s="24">
        <v>53174813</v>
      </c>
      <c r="K214" s="24" t="s">
        <v>2681</v>
      </c>
      <c r="L214" s="44" t="s">
        <v>2688</v>
      </c>
      <c r="M214" s="25">
        <v>239900</v>
      </c>
      <c r="N214" s="22">
        <f t="shared" si="18"/>
        <v>0.7</v>
      </c>
      <c r="O214" s="72">
        <f t="shared" si="16"/>
        <v>71970</v>
      </c>
      <c r="P214" s="22" t="s">
        <v>16</v>
      </c>
    </row>
    <row r="215" spans="1:16" s="2" customFormat="1" x14ac:dyDescent="0.35">
      <c r="A215" s="33" t="str">
        <f t="shared" si="17"/>
        <v>2025 JAN-JUN DISC 70% LICENSE ESS</v>
      </c>
      <c r="B215" s="34">
        <f t="shared" si="19"/>
        <v>46104</v>
      </c>
      <c r="C215" s="34">
        <f t="shared" si="20"/>
        <v>46113</v>
      </c>
      <c r="D215" s="33">
        <v>3287</v>
      </c>
      <c r="E215" s="33">
        <v>338</v>
      </c>
      <c r="F215" s="33">
        <v>4</v>
      </c>
      <c r="G215" s="24">
        <v>9</v>
      </c>
      <c r="H215" s="24">
        <v>81462</v>
      </c>
      <c r="I215" s="33" t="s">
        <v>17</v>
      </c>
      <c r="J215" s="24">
        <v>53174822</v>
      </c>
      <c r="K215" s="24" t="s">
        <v>2681</v>
      </c>
      <c r="L215" s="44" t="s">
        <v>2685</v>
      </c>
      <c r="M215" s="25">
        <v>239900</v>
      </c>
      <c r="N215" s="22">
        <f t="shared" si="18"/>
        <v>0.7</v>
      </c>
      <c r="O215" s="72">
        <f t="shared" si="16"/>
        <v>10770</v>
      </c>
      <c r="P215" s="22" t="s">
        <v>16</v>
      </c>
    </row>
    <row r="216" spans="1:16" s="2" customFormat="1" x14ac:dyDescent="0.35">
      <c r="A216" s="33" t="str">
        <f t="shared" si="17"/>
        <v>2025 JAN-JUN DISC 70% LICENSE ESS</v>
      </c>
      <c r="B216" s="34">
        <f t="shared" si="19"/>
        <v>46104</v>
      </c>
      <c r="C216" s="34">
        <f t="shared" si="20"/>
        <v>46113</v>
      </c>
      <c r="D216" s="33">
        <v>3287</v>
      </c>
      <c r="E216" s="33">
        <v>338</v>
      </c>
      <c r="F216" s="33">
        <v>4</v>
      </c>
      <c r="G216" s="24">
        <v>10</v>
      </c>
      <c r="H216" s="24">
        <v>81827</v>
      </c>
      <c r="I216" s="33" t="s">
        <v>17</v>
      </c>
      <c r="J216" s="24">
        <v>52659551</v>
      </c>
      <c r="K216" s="24" t="s">
        <v>2704</v>
      </c>
      <c r="L216" s="44" t="s">
        <v>2706</v>
      </c>
      <c r="M216" s="25">
        <v>35900</v>
      </c>
      <c r="N216" s="22">
        <f t="shared" si="18"/>
        <v>0.7</v>
      </c>
      <c r="O216" s="72">
        <f t="shared" si="16"/>
        <v>10770</v>
      </c>
      <c r="P216" s="22" t="s">
        <v>16</v>
      </c>
    </row>
    <row r="217" spans="1:16" s="2" customFormat="1" x14ac:dyDescent="0.35">
      <c r="A217" s="33" t="str">
        <f t="shared" si="17"/>
        <v>2025 JAN-JUN DISC 70% LICENSE ESS</v>
      </c>
      <c r="B217" s="34">
        <f t="shared" si="19"/>
        <v>46104</v>
      </c>
      <c r="C217" s="34">
        <f t="shared" si="20"/>
        <v>46113</v>
      </c>
      <c r="D217" s="33">
        <v>3287</v>
      </c>
      <c r="E217" s="33">
        <v>338</v>
      </c>
      <c r="F217" s="33">
        <v>4</v>
      </c>
      <c r="G217" s="24">
        <v>10</v>
      </c>
      <c r="H217" s="24">
        <v>81827</v>
      </c>
      <c r="I217" s="33" t="s">
        <v>17</v>
      </c>
      <c r="J217" s="24">
        <v>52659560</v>
      </c>
      <c r="K217" s="24" t="s">
        <v>2704</v>
      </c>
      <c r="L217" s="44" t="s">
        <v>2705</v>
      </c>
      <c r="M217" s="25">
        <v>35900</v>
      </c>
      <c r="N217" s="22">
        <f t="shared" si="18"/>
        <v>0.7</v>
      </c>
      <c r="O217" s="72">
        <f t="shared" si="16"/>
        <v>10770</v>
      </c>
      <c r="P217" s="22" t="s">
        <v>16</v>
      </c>
    </row>
    <row r="218" spans="1:16" s="2" customFormat="1" x14ac:dyDescent="0.35">
      <c r="A218" s="33" t="str">
        <f t="shared" si="17"/>
        <v>2025 JAN-JUN DISC 70% LICENSE ESS</v>
      </c>
      <c r="B218" s="34">
        <f t="shared" si="19"/>
        <v>46104</v>
      </c>
      <c r="C218" s="34">
        <f t="shared" si="20"/>
        <v>46113</v>
      </c>
      <c r="D218" s="33">
        <v>3287</v>
      </c>
      <c r="E218" s="33">
        <v>338</v>
      </c>
      <c r="F218" s="33">
        <v>4</v>
      </c>
      <c r="G218" s="24">
        <v>10</v>
      </c>
      <c r="H218" s="24">
        <v>81827</v>
      </c>
      <c r="I218" s="33" t="s">
        <v>17</v>
      </c>
      <c r="J218" s="24">
        <v>52659533</v>
      </c>
      <c r="K218" s="24" t="s">
        <v>2707</v>
      </c>
      <c r="L218" s="44" t="s">
        <v>2708</v>
      </c>
      <c r="M218" s="25">
        <v>35900</v>
      </c>
      <c r="N218" s="22">
        <f t="shared" si="18"/>
        <v>0.7</v>
      </c>
      <c r="O218" s="72">
        <f t="shared" si="16"/>
        <v>10770</v>
      </c>
      <c r="P218" s="22" t="s">
        <v>16</v>
      </c>
    </row>
    <row r="219" spans="1:16" s="2" customFormat="1" x14ac:dyDescent="0.35">
      <c r="A219" s="33" t="str">
        <f t="shared" si="17"/>
        <v>2025 JAN-JUN DISC 70% LICENSE ESS</v>
      </c>
      <c r="B219" s="34">
        <f t="shared" si="19"/>
        <v>46104</v>
      </c>
      <c r="C219" s="34">
        <f t="shared" si="20"/>
        <v>46113</v>
      </c>
      <c r="D219" s="33">
        <v>3287</v>
      </c>
      <c r="E219" s="33">
        <v>338</v>
      </c>
      <c r="F219" s="33">
        <v>4</v>
      </c>
      <c r="G219" s="24">
        <v>10</v>
      </c>
      <c r="H219" s="24">
        <v>81827</v>
      </c>
      <c r="I219" s="33" t="s">
        <v>17</v>
      </c>
      <c r="J219" s="24">
        <v>52659542</v>
      </c>
      <c r="K219" s="24" t="s">
        <v>2707</v>
      </c>
      <c r="L219" s="44" t="s">
        <v>2709</v>
      </c>
      <c r="M219" s="25">
        <v>35900</v>
      </c>
      <c r="N219" s="22">
        <f t="shared" si="18"/>
        <v>0.7</v>
      </c>
      <c r="O219" s="72">
        <f t="shared" si="16"/>
        <v>35970</v>
      </c>
      <c r="P219" s="22" t="s">
        <v>16</v>
      </c>
    </row>
    <row r="220" spans="1:16" s="2" customFormat="1" x14ac:dyDescent="0.35">
      <c r="A220" s="33" t="str">
        <f t="shared" si="17"/>
        <v>2025 JAN-JUN DISC 70% LICENSE ESS</v>
      </c>
      <c r="B220" s="34">
        <f t="shared" si="19"/>
        <v>46104</v>
      </c>
      <c r="C220" s="34">
        <f t="shared" si="20"/>
        <v>46113</v>
      </c>
      <c r="D220" s="33">
        <v>3287</v>
      </c>
      <c r="E220" s="33">
        <v>338</v>
      </c>
      <c r="F220" s="33">
        <v>4</v>
      </c>
      <c r="G220" s="24">
        <v>8</v>
      </c>
      <c r="H220" s="24">
        <v>81462</v>
      </c>
      <c r="I220" s="33" t="s">
        <v>17</v>
      </c>
      <c r="J220" s="24">
        <v>53220281</v>
      </c>
      <c r="K220" s="24" t="s">
        <v>2699</v>
      </c>
      <c r="L220" s="44" t="s">
        <v>2702</v>
      </c>
      <c r="M220" s="25">
        <v>119900</v>
      </c>
      <c r="N220" s="22">
        <f t="shared" si="18"/>
        <v>0.7</v>
      </c>
      <c r="O220" s="72">
        <f t="shared" si="16"/>
        <v>35970</v>
      </c>
      <c r="P220" s="22" t="s">
        <v>16</v>
      </c>
    </row>
    <row r="221" spans="1:16" s="2" customFormat="1" x14ac:dyDescent="0.35">
      <c r="A221" s="33" t="str">
        <f t="shared" si="17"/>
        <v>2025 JAN-JUN DISC 70% LICENSE ESS</v>
      </c>
      <c r="B221" s="34">
        <f t="shared" si="19"/>
        <v>46104</v>
      </c>
      <c r="C221" s="34">
        <f t="shared" si="20"/>
        <v>46113</v>
      </c>
      <c r="D221" s="33">
        <v>3287</v>
      </c>
      <c r="E221" s="33">
        <v>338</v>
      </c>
      <c r="F221" s="33">
        <v>4</v>
      </c>
      <c r="G221" s="24">
        <v>8</v>
      </c>
      <c r="H221" s="24">
        <v>81462</v>
      </c>
      <c r="I221" s="33" t="s">
        <v>17</v>
      </c>
      <c r="J221" s="24">
        <v>53220290</v>
      </c>
      <c r="K221" s="24" t="s">
        <v>2699</v>
      </c>
      <c r="L221" s="44" t="s">
        <v>2701</v>
      </c>
      <c r="M221" s="25">
        <v>119900</v>
      </c>
      <c r="N221" s="22">
        <f t="shared" si="18"/>
        <v>0.7</v>
      </c>
      <c r="O221" s="72">
        <f t="shared" si="16"/>
        <v>35970</v>
      </c>
      <c r="P221" s="22" t="s">
        <v>16</v>
      </c>
    </row>
    <row r="222" spans="1:16" s="2" customFormat="1" x14ac:dyDescent="0.35">
      <c r="A222" s="33" t="str">
        <f t="shared" si="17"/>
        <v>2025 JAN-JUN DISC 70% LICENSE ESS</v>
      </c>
      <c r="B222" s="34">
        <f t="shared" si="19"/>
        <v>46104</v>
      </c>
      <c r="C222" s="34">
        <f t="shared" si="20"/>
        <v>46113</v>
      </c>
      <c r="D222" s="33">
        <v>3287</v>
      </c>
      <c r="E222" s="33">
        <v>338</v>
      </c>
      <c r="F222" s="33">
        <v>4</v>
      </c>
      <c r="G222" s="24">
        <v>8</v>
      </c>
      <c r="H222" s="24">
        <v>81462</v>
      </c>
      <c r="I222" s="33" t="s">
        <v>17</v>
      </c>
      <c r="J222" s="24">
        <v>53220307</v>
      </c>
      <c r="K222" s="24" t="s">
        <v>2699</v>
      </c>
      <c r="L222" s="44" t="s">
        <v>2700</v>
      </c>
      <c r="M222" s="25">
        <v>119900</v>
      </c>
      <c r="N222" s="22">
        <f t="shared" si="18"/>
        <v>0.7</v>
      </c>
      <c r="O222" s="72">
        <f t="shared" si="16"/>
        <v>35970</v>
      </c>
      <c r="P222" s="22" t="s">
        <v>16</v>
      </c>
    </row>
    <row r="223" spans="1:16" s="2" customFormat="1" x14ac:dyDescent="0.35">
      <c r="A223" s="33" t="str">
        <f t="shared" si="17"/>
        <v>2025 JAN-JUN DISC 70% LICENSE ESS</v>
      </c>
      <c r="B223" s="34">
        <f t="shared" si="19"/>
        <v>46104</v>
      </c>
      <c r="C223" s="34">
        <f t="shared" si="20"/>
        <v>46113</v>
      </c>
      <c r="D223" s="33">
        <v>3287</v>
      </c>
      <c r="E223" s="33">
        <v>338</v>
      </c>
      <c r="F223" s="33">
        <v>4</v>
      </c>
      <c r="G223" s="24">
        <v>8</v>
      </c>
      <c r="H223" s="24">
        <v>81462</v>
      </c>
      <c r="I223" s="33" t="s">
        <v>17</v>
      </c>
      <c r="J223" s="24">
        <v>53220316</v>
      </c>
      <c r="K223" s="24" t="s">
        <v>2699</v>
      </c>
      <c r="L223" s="44" t="s">
        <v>2703</v>
      </c>
      <c r="M223" s="25">
        <v>119900</v>
      </c>
      <c r="N223" s="22">
        <f t="shared" si="18"/>
        <v>0.7</v>
      </c>
      <c r="O223" s="72">
        <f t="shared" si="16"/>
        <v>71970</v>
      </c>
      <c r="P223" s="22" t="s">
        <v>16</v>
      </c>
    </row>
    <row r="224" spans="1:16" s="32" customFormat="1" x14ac:dyDescent="0.35">
      <c r="A224" s="33" t="str">
        <f t="shared" si="17"/>
        <v>2025 JAN-JUN DISC 70% LICENSE ESS</v>
      </c>
      <c r="B224" s="34">
        <f t="shared" si="19"/>
        <v>46104</v>
      </c>
      <c r="C224" s="34">
        <f t="shared" si="20"/>
        <v>46113</v>
      </c>
      <c r="D224" s="33">
        <v>3287</v>
      </c>
      <c r="E224" s="33">
        <v>338</v>
      </c>
      <c r="F224" s="33">
        <v>4</v>
      </c>
      <c r="G224" s="33">
        <v>2</v>
      </c>
      <c r="H224" s="33">
        <v>81462</v>
      </c>
      <c r="I224" s="33" t="s">
        <v>17</v>
      </c>
      <c r="J224" s="33">
        <v>53160837</v>
      </c>
      <c r="K224" s="33" t="s">
        <v>2751</v>
      </c>
      <c r="L224" s="39" t="s">
        <v>2753</v>
      </c>
      <c r="M224" s="35">
        <v>239900</v>
      </c>
      <c r="N224" s="22">
        <f t="shared" si="18"/>
        <v>0.7</v>
      </c>
      <c r="O224" s="72">
        <f t="shared" si="16"/>
        <v>71970</v>
      </c>
      <c r="P224" s="22" t="s">
        <v>16</v>
      </c>
    </row>
    <row r="225" spans="1:16" s="32" customFormat="1" x14ac:dyDescent="0.35">
      <c r="A225" s="33" t="str">
        <f t="shared" si="17"/>
        <v>2025 JAN-JUN DISC 70% LICENSE ESS</v>
      </c>
      <c r="B225" s="34">
        <f t="shared" si="19"/>
        <v>46104</v>
      </c>
      <c r="C225" s="34">
        <f t="shared" si="20"/>
        <v>46113</v>
      </c>
      <c r="D225" s="33">
        <v>3287</v>
      </c>
      <c r="E225" s="33">
        <v>338</v>
      </c>
      <c r="F225" s="33">
        <v>4</v>
      </c>
      <c r="G225" s="33">
        <v>2</v>
      </c>
      <c r="H225" s="33">
        <v>81462</v>
      </c>
      <c r="I225" s="33" t="s">
        <v>17</v>
      </c>
      <c r="J225" s="33">
        <v>53160846</v>
      </c>
      <c r="K225" s="33" t="s">
        <v>2751</v>
      </c>
      <c r="L225" s="39" t="s">
        <v>2759</v>
      </c>
      <c r="M225" s="35">
        <v>239900</v>
      </c>
      <c r="N225" s="22">
        <f t="shared" si="18"/>
        <v>0.7</v>
      </c>
      <c r="O225" s="72">
        <f t="shared" si="16"/>
        <v>71970</v>
      </c>
      <c r="P225" s="22" t="s">
        <v>16</v>
      </c>
    </row>
    <row r="226" spans="1:16" s="32" customFormat="1" x14ac:dyDescent="0.35">
      <c r="A226" s="33" t="str">
        <f t="shared" si="17"/>
        <v>2025 JAN-JUN DISC 70% LICENSE ESS</v>
      </c>
      <c r="B226" s="34">
        <f t="shared" si="19"/>
        <v>46104</v>
      </c>
      <c r="C226" s="34">
        <f t="shared" si="20"/>
        <v>46113</v>
      </c>
      <c r="D226" s="33">
        <v>3287</v>
      </c>
      <c r="E226" s="33">
        <v>338</v>
      </c>
      <c r="F226" s="33">
        <v>4</v>
      </c>
      <c r="G226" s="33">
        <v>2</v>
      </c>
      <c r="H226" s="33">
        <v>81462</v>
      </c>
      <c r="I226" s="33" t="s">
        <v>17</v>
      </c>
      <c r="J226" s="33">
        <v>53160855</v>
      </c>
      <c r="K226" s="33" t="s">
        <v>2751</v>
      </c>
      <c r="L226" s="39" t="s">
        <v>2757</v>
      </c>
      <c r="M226" s="35">
        <v>239900</v>
      </c>
      <c r="N226" s="22">
        <f t="shared" si="18"/>
        <v>0.7</v>
      </c>
      <c r="O226" s="72">
        <f t="shared" si="16"/>
        <v>71970</v>
      </c>
      <c r="P226" s="22" t="s">
        <v>16</v>
      </c>
    </row>
    <row r="227" spans="1:16" s="32" customFormat="1" x14ac:dyDescent="0.35">
      <c r="A227" s="33" t="str">
        <f t="shared" si="17"/>
        <v>2025 JAN-JUN DISC 70% LICENSE ESS</v>
      </c>
      <c r="B227" s="34">
        <f t="shared" si="19"/>
        <v>46104</v>
      </c>
      <c r="C227" s="34">
        <f t="shared" si="20"/>
        <v>46113</v>
      </c>
      <c r="D227" s="33">
        <v>3287</v>
      </c>
      <c r="E227" s="33">
        <v>338</v>
      </c>
      <c r="F227" s="33">
        <v>4</v>
      </c>
      <c r="G227" s="33">
        <v>2</v>
      </c>
      <c r="H227" s="33">
        <v>81462</v>
      </c>
      <c r="I227" s="33" t="s">
        <v>17</v>
      </c>
      <c r="J227" s="33">
        <v>53160864</v>
      </c>
      <c r="K227" s="33" t="s">
        <v>2751</v>
      </c>
      <c r="L227" s="39" t="s">
        <v>2755</v>
      </c>
      <c r="M227" s="35">
        <v>239900</v>
      </c>
      <c r="N227" s="22">
        <f t="shared" si="18"/>
        <v>0.7</v>
      </c>
      <c r="O227" s="72">
        <f t="shared" si="16"/>
        <v>71970</v>
      </c>
      <c r="P227" s="22" t="s">
        <v>16</v>
      </c>
    </row>
    <row r="228" spans="1:16" s="32" customFormat="1" x14ac:dyDescent="0.35">
      <c r="A228" s="33" t="str">
        <f t="shared" si="17"/>
        <v>2025 JAN-JUN DISC 70% LICENSE ESS</v>
      </c>
      <c r="B228" s="34">
        <f t="shared" si="19"/>
        <v>46104</v>
      </c>
      <c r="C228" s="34">
        <f t="shared" si="20"/>
        <v>46113</v>
      </c>
      <c r="D228" s="33">
        <v>3287</v>
      </c>
      <c r="E228" s="33">
        <v>338</v>
      </c>
      <c r="F228" s="33">
        <v>4</v>
      </c>
      <c r="G228" s="33">
        <v>2</v>
      </c>
      <c r="H228" s="33">
        <v>81462</v>
      </c>
      <c r="I228" s="33" t="s">
        <v>17</v>
      </c>
      <c r="J228" s="33">
        <v>53160873</v>
      </c>
      <c r="K228" s="33" t="s">
        <v>2751</v>
      </c>
      <c r="L228" s="39" t="s">
        <v>2756</v>
      </c>
      <c r="M228" s="35">
        <v>239900</v>
      </c>
      <c r="N228" s="22">
        <f t="shared" si="18"/>
        <v>0.7</v>
      </c>
      <c r="O228" s="72">
        <f t="shared" si="16"/>
        <v>71970</v>
      </c>
      <c r="P228" s="22" t="s">
        <v>16</v>
      </c>
    </row>
    <row r="229" spans="1:16" s="32" customFormat="1" x14ac:dyDescent="0.35">
      <c r="A229" s="33" t="str">
        <f t="shared" si="17"/>
        <v>2025 JAN-JUN DISC 70% LICENSE ESS</v>
      </c>
      <c r="B229" s="34">
        <f t="shared" si="19"/>
        <v>46104</v>
      </c>
      <c r="C229" s="34">
        <f t="shared" si="20"/>
        <v>46113</v>
      </c>
      <c r="D229" s="33">
        <v>3287</v>
      </c>
      <c r="E229" s="33">
        <v>338</v>
      </c>
      <c r="F229" s="33">
        <v>4</v>
      </c>
      <c r="G229" s="33">
        <v>2</v>
      </c>
      <c r="H229" s="33">
        <v>81462</v>
      </c>
      <c r="I229" s="33" t="s">
        <v>17</v>
      </c>
      <c r="J229" s="33">
        <v>53160882</v>
      </c>
      <c r="K229" s="33" t="s">
        <v>2751</v>
      </c>
      <c r="L229" s="39" t="s">
        <v>2752</v>
      </c>
      <c r="M229" s="35">
        <v>239900</v>
      </c>
      <c r="N229" s="22">
        <f t="shared" si="18"/>
        <v>0.7</v>
      </c>
      <c r="O229" s="72">
        <f t="shared" si="16"/>
        <v>71970</v>
      </c>
      <c r="P229" s="22" t="s">
        <v>16</v>
      </c>
    </row>
    <row r="230" spans="1:16" s="32" customFormat="1" x14ac:dyDescent="0.35">
      <c r="A230" s="33" t="str">
        <f t="shared" si="17"/>
        <v>2025 JAN-JUN DISC 70% LICENSE ESS</v>
      </c>
      <c r="B230" s="34">
        <f t="shared" si="19"/>
        <v>46104</v>
      </c>
      <c r="C230" s="34">
        <f t="shared" si="20"/>
        <v>46113</v>
      </c>
      <c r="D230" s="33">
        <v>3287</v>
      </c>
      <c r="E230" s="33">
        <v>338</v>
      </c>
      <c r="F230" s="33">
        <v>4</v>
      </c>
      <c r="G230" s="33">
        <v>2</v>
      </c>
      <c r="H230" s="33">
        <v>81462</v>
      </c>
      <c r="I230" s="33" t="s">
        <v>17</v>
      </c>
      <c r="J230" s="33">
        <v>53160891</v>
      </c>
      <c r="K230" s="33" t="s">
        <v>2751</v>
      </c>
      <c r="L230" s="39" t="s">
        <v>2754</v>
      </c>
      <c r="M230" s="35">
        <v>239900</v>
      </c>
      <c r="N230" s="22">
        <f t="shared" si="18"/>
        <v>0.7</v>
      </c>
      <c r="O230" s="72">
        <f t="shared" si="16"/>
        <v>71970</v>
      </c>
      <c r="P230" s="22" t="s">
        <v>16</v>
      </c>
    </row>
    <row r="231" spans="1:16" s="32" customFormat="1" x14ac:dyDescent="0.35">
      <c r="A231" s="33" t="str">
        <f t="shared" si="17"/>
        <v>2025 JAN-JUN DISC 70% LICENSE ESS</v>
      </c>
      <c r="B231" s="34">
        <f t="shared" si="19"/>
        <v>46104</v>
      </c>
      <c r="C231" s="34">
        <f t="shared" si="20"/>
        <v>46113</v>
      </c>
      <c r="D231" s="33">
        <v>3287</v>
      </c>
      <c r="E231" s="33">
        <v>338</v>
      </c>
      <c r="F231" s="33">
        <v>4</v>
      </c>
      <c r="G231" s="33">
        <v>2</v>
      </c>
      <c r="H231" s="33">
        <v>81462</v>
      </c>
      <c r="I231" s="33" t="s">
        <v>17</v>
      </c>
      <c r="J231" s="33">
        <v>53160908</v>
      </c>
      <c r="K231" s="33" t="s">
        <v>2751</v>
      </c>
      <c r="L231" s="39" t="s">
        <v>2758</v>
      </c>
      <c r="M231" s="35">
        <v>239900</v>
      </c>
      <c r="N231" s="22">
        <f t="shared" si="18"/>
        <v>0.7</v>
      </c>
      <c r="O231" s="72">
        <f t="shared" si="16"/>
        <v>10770</v>
      </c>
      <c r="P231" s="22" t="s">
        <v>16</v>
      </c>
    </row>
    <row r="232" spans="1:16" s="32" customFormat="1" x14ac:dyDescent="0.35">
      <c r="A232" s="33" t="str">
        <f t="shared" si="17"/>
        <v>2025 JAN-JUN DISC 70% LICENSE ESS</v>
      </c>
      <c r="B232" s="34">
        <f t="shared" si="19"/>
        <v>46104</v>
      </c>
      <c r="C232" s="34">
        <f t="shared" si="20"/>
        <v>46113</v>
      </c>
      <c r="D232" s="33">
        <v>3287</v>
      </c>
      <c r="E232" s="33">
        <v>338</v>
      </c>
      <c r="F232" s="33">
        <v>4</v>
      </c>
      <c r="G232" s="33">
        <v>7</v>
      </c>
      <c r="H232" s="33">
        <v>81827</v>
      </c>
      <c r="I232" s="33" t="s">
        <v>17</v>
      </c>
      <c r="J232" s="33">
        <v>53582168</v>
      </c>
      <c r="K232" s="33" t="s">
        <v>2773</v>
      </c>
      <c r="L232" s="39" t="s">
        <v>2775</v>
      </c>
      <c r="M232" s="35">
        <v>35900</v>
      </c>
      <c r="N232" s="22">
        <f t="shared" si="18"/>
        <v>0.7</v>
      </c>
      <c r="O232" s="72">
        <f t="shared" si="16"/>
        <v>10770</v>
      </c>
      <c r="P232" s="22" t="s">
        <v>16</v>
      </c>
    </row>
    <row r="233" spans="1:16" s="32" customFormat="1" x14ac:dyDescent="0.35">
      <c r="A233" s="33" t="str">
        <f t="shared" si="17"/>
        <v>2025 JAN-JUN DISC 70% LICENSE ESS</v>
      </c>
      <c r="B233" s="34">
        <f t="shared" si="19"/>
        <v>46104</v>
      </c>
      <c r="C233" s="34">
        <f t="shared" si="20"/>
        <v>46113</v>
      </c>
      <c r="D233" s="33">
        <v>3287</v>
      </c>
      <c r="E233" s="33">
        <v>338</v>
      </c>
      <c r="F233" s="33">
        <v>4</v>
      </c>
      <c r="G233" s="33">
        <v>7</v>
      </c>
      <c r="H233" s="33">
        <v>81827</v>
      </c>
      <c r="I233" s="33" t="s">
        <v>17</v>
      </c>
      <c r="J233" s="33">
        <v>53582177</v>
      </c>
      <c r="K233" s="33" t="s">
        <v>2773</v>
      </c>
      <c r="L233" s="39" t="s">
        <v>2774</v>
      </c>
      <c r="M233" s="35">
        <v>35900</v>
      </c>
      <c r="N233" s="22">
        <f t="shared" si="18"/>
        <v>0.7</v>
      </c>
      <c r="O233" s="72">
        <f t="shared" si="16"/>
        <v>10770</v>
      </c>
      <c r="P233" s="22" t="s">
        <v>16</v>
      </c>
    </row>
    <row r="234" spans="1:16" s="32" customFormat="1" x14ac:dyDescent="0.35">
      <c r="A234" s="33" t="str">
        <f t="shared" si="17"/>
        <v>2025 JAN-JUN DISC 70% LICENSE ESS</v>
      </c>
      <c r="B234" s="34">
        <f t="shared" si="19"/>
        <v>46104</v>
      </c>
      <c r="C234" s="34">
        <f t="shared" si="20"/>
        <v>46113</v>
      </c>
      <c r="D234" s="33">
        <v>3287</v>
      </c>
      <c r="E234" s="33">
        <v>338</v>
      </c>
      <c r="F234" s="33">
        <v>4</v>
      </c>
      <c r="G234" s="33">
        <v>7</v>
      </c>
      <c r="H234" s="33">
        <v>81827</v>
      </c>
      <c r="I234" s="33" t="s">
        <v>17</v>
      </c>
      <c r="J234" s="33">
        <v>53582186</v>
      </c>
      <c r="K234" s="33" t="s">
        <v>2768</v>
      </c>
      <c r="L234" s="39" t="s">
        <v>2770</v>
      </c>
      <c r="M234" s="35">
        <v>35900</v>
      </c>
      <c r="N234" s="22">
        <f t="shared" si="18"/>
        <v>0.7</v>
      </c>
      <c r="O234" s="72">
        <f t="shared" si="16"/>
        <v>10770</v>
      </c>
      <c r="P234" s="22" t="s">
        <v>16</v>
      </c>
    </row>
    <row r="235" spans="1:16" s="32" customFormat="1" x14ac:dyDescent="0.35">
      <c r="A235" s="33" t="str">
        <f t="shared" si="17"/>
        <v>2025 JAN-JUN DISC 70% LICENSE ESS</v>
      </c>
      <c r="B235" s="34">
        <f t="shared" si="19"/>
        <v>46104</v>
      </c>
      <c r="C235" s="34">
        <f t="shared" si="20"/>
        <v>46113</v>
      </c>
      <c r="D235" s="33">
        <v>3287</v>
      </c>
      <c r="E235" s="33">
        <v>338</v>
      </c>
      <c r="F235" s="33">
        <v>4</v>
      </c>
      <c r="G235" s="33">
        <v>7</v>
      </c>
      <c r="H235" s="33">
        <v>81827</v>
      </c>
      <c r="I235" s="33" t="s">
        <v>17</v>
      </c>
      <c r="J235" s="33">
        <v>53582195</v>
      </c>
      <c r="K235" s="33" t="s">
        <v>2768</v>
      </c>
      <c r="L235" s="39" t="s">
        <v>2769</v>
      </c>
      <c r="M235" s="35">
        <v>35900</v>
      </c>
      <c r="N235" s="22">
        <f t="shared" si="18"/>
        <v>0.7</v>
      </c>
      <c r="O235" s="72">
        <f t="shared" si="16"/>
        <v>10770</v>
      </c>
      <c r="P235" s="22" t="s">
        <v>16</v>
      </c>
    </row>
    <row r="236" spans="1:16" s="32" customFormat="1" x14ac:dyDescent="0.35">
      <c r="A236" s="33" t="str">
        <f t="shared" si="17"/>
        <v>2025 JAN-JUN DISC 70% LICENSE ESS</v>
      </c>
      <c r="B236" s="34">
        <f t="shared" si="19"/>
        <v>46104</v>
      </c>
      <c r="C236" s="34">
        <f t="shared" si="20"/>
        <v>46113</v>
      </c>
      <c r="D236" s="33">
        <v>3287</v>
      </c>
      <c r="E236" s="33">
        <v>338</v>
      </c>
      <c r="F236" s="33">
        <v>4</v>
      </c>
      <c r="G236" s="33">
        <v>7</v>
      </c>
      <c r="H236" s="33">
        <v>81827</v>
      </c>
      <c r="I236" s="33" t="s">
        <v>17</v>
      </c>
      <c r="J236" s="33">
        <v>53582202</v>
      </c>
      <c r="K236" s="33" t="s">
        <v>2771</v>
      </c>
      <c r="L236" s="39" t="s">
        <v>2772</v>
      </c>
      <c r="M236" s="35">
        <v>35900</v>
      </c>
      <c r="N236" s="22">
        <f t="shared" si="18"/>
        <v>0.7</v>
      </c>
      <c r="O236" s="72">
        <f t="shared" si="16"/>
        <v>10770</v>
      </c>
      <c r="P236" s="22" t="s">
        <v>16</v>
      </c>
    </row>
    <row r="237" spans="1:16" s="32" customFormat="1" x14ac:dyDescent="0.35">
      <c r="A237" s="33" t="str">
        <f t="shared" si="17"/>
        <v>2025 JAN-JUN DISC 70% LICENSE ESS</v>
      </c>
      <c r="B237" s="34">
        <f t="shared" si="19"/>
        <v>46104</v>
      </c>
      <c r="C237" s="34">
        <f t="shared" si="20"/>
        <v>46113</v>
      </c>
      <c r="D237" s="33">
        <v>3287</v>
      </c>
      <c r="E237" s="33">
        <v>338</v>
      </c>
      <c r="F237" s="33">
        <v>4</v>
      </c>
      <c r="G237" s="33">
        <v>7</v>
      </c>
      <c r="H237" s="33">
        <v>81827</v>
      </c>
      <c r="I237" s="33" t="s">
        <v>17</v>
      </c>
      <c r="J237" s="33">
        <v>53582211</v>
      </c>
      <c r="K237" s="33" t="s">
        <v>2771</v>
      </c>
      <c r="L237" s="39" t="s">
        <v>2776</v>
      </c>
      <c r="M237" s="35">
        <v>35900</v>
      </c>
      <c r="N237" s="22">
        <f t="shared" si="18"/>
        <v>0.7</v>
      </c>
      <c r="O237" s="72">
        <f t="shared" si="16"/>
        <v>35970</v>
      </c>
      <c r="P237" s="22" t="s">
        <v>16</v>
      </c>
    </row>
    <row r="238" spans="1:16" s="32" customFormat="1" x14ac:dyDescent="0.35">
      <c r="A238" s="33" t="str">
        <f t="shared" si="17"/>
        <v>2025 JAN-JUN DISC 70% LICENSE ESS</v>
      </c>
      <c r="B238" s="34">
        <f t="shared" si="19"/>
        <v>46104</v>
      </c>
      <c r="C238" s="34">
        <f t="shared" si="20"/>
        <v>46113</v>
      </c>
      <c r="D238" s="33">
        <v>3287</v>
      </c>
      <c r="E238" s="33">
        <v>338</v>
      </c>
      <c r="F238" s="33">
        <v>4</v>
      </c>
      <c r="G238" s="33">
        <v>1</v>
      </c>
      <c r="H238" s="33">
        <v>850</v>
      </c>
      <c r="I238" s="33" t="s">
        <v>17</v>
      </c>
      <c r="J238" s="33">
        <v>53582220</v>
      </c>
      <c r="K238" s="33" t="s">
        <v>2746</v>
      </c>
      <c r="L238" s="39" t="s">
        <v>2749</v>
      </c>
      <c r="M238" s="35">
        <v>119900</v>
      </c>
      <c r="N238" s="22">
        <f t="shared" si="18"/>
        <v>0.7</v>
      </c>
      <c r="O238" s="72">
        <f t="shared" si="16"/>
        <v>35970</v>
      </c>
      <c r="P238" s="22" t="s">
        <v>16</v>
      </c>
    </row>
    <row r="239" spans="1:16" s="32" customFormat="1" x14ac:dyDescent="0.35">
      <c r="A239" s="33" t="str">
        <f t="shared" si="17"/>
        <v>2025 JAN-JUN DISC 70% LICENSE ESS</v>
      </c>
      <c r="B239" s="34">
        <f t="shared" si="19"/>
        <v>46104</v>
      </c>
      <c r="C239" s="34">
        <f t="shared" si="20"/>
        <v>46113</v>
      </c>
      <c r="D239" s="33">
        <v>3287</v>
      </c>
      <c r="E239" s="33">
        <v>338</v>
      </c>
      <c r="F239" s="33">
        <v>4</v>
      </c>
      <c r="G239" s="33">
        <v>1</v>
      </c>
      <c r="H239" s="33">
        <v>850</v>
      </c>
      <c r="I239" s="33" t="s">
        <v>17</v>
      </c>
      <c r="J239" s="33">
        <v>53582239</v>
      </c>
      <c r="K239" s="33" t="s">
        <v>2746</v>
      </c>
      <c r="L239" s="39" t="s">
        <v>2750</v>
      </c>
      <c r="M239" s="35">
        <v>119900</v>
      </c>
      <c r="N239" s="22">
        <f t="shared" si="18"/>
        <v>0.7</v>
      </c>
      <c r="O239" s="72">
        <f t="shared" si="16"/>
        <v>35970</v>
      </c>
      <c r="P239" s="22" t="s">
        <v>16</v>
      </c>
    </row>
    <row r="240" spans="1:16" s="32" customFormat="1" x14ac:dyDescent="0.35">
      <c r="A240" s="33" t="str">
        <f t="shared" si="17"/>
        <v>2025 JAN-JUN DISC 70% LICENSE ESS</v>
      </c>
      <c r="B240" s="34">
        <f t="shared" si="19"/>
        <v>46104</v>
      </c>
      <c r="C240" s="34">
        <f t="shared" si="20"/>
        <v>46113</v>
      </c>
      <c r="D240" s="33">
        <v>3287</v>
      </c>
      <c r="E240" s="33">
        <v>338</v>
      </c>
      <c r="F240" s="33">
        <v>4</v>
      </c>
      <c r="G240" s="33">
        <v>1</v>
      </c>
      <c r="H240" s="33">
        <v>850</v>
      </c>
      <c r="I240" s="33" t="s">
        <v>17</v>
      </c>
      <c r="J240" s="33">
        <v>53582248</v>
      </c>
      <c r="K240" s="33" t="s">
        <v>2746</v>
      </c>
      <c r="L240" s="39" t="s">
        <v>2748</v>
      </c>
      <c r="M240" s="35">
        <v>119900</v>
      </c>
      <c r="N240" s="22">
        <f t="shared" si="18"/>
        <v>0.7</v>
      </c>
      <c r="O240" s="72">
        <f t="shared" si="16"/>
        <v>35970</v>
      </c>
      <c r="P240" s="22" t="s">
        <v>16</v>
      </c>
    </row>
    <row r="241" spans="1:16" s="32" customFormat="1" x14ac:dyDescent="0.35">
      <c r="A241" s="33" t="str">
        <f t="shared" si="17"/>
        <v>2025 JAN-JUN DISC 70% LICENSE ESS</v>
      </c>
      <c r="B241" s="34">
        <f t="shared" si="19"/>
        <v>46104</v>
      </c>
      <c r="C241" s="34">
        <f t="shared" si="20"/>
        <v>46113</v>
      </c>
      <c r="D241" s="33">
        <v>3287</v>
      </c>
      <c r="E241" s="33">
        <v>338</v>
      </c>
      <c r="F241" s="33">
        <v>4</v>
      </c>
      <c r="G241" s="33">
        <v>1</v>
      </c>
      <c r="H241" s="33">
        <v>850</v>
      </c>
      <c r="I241" s="33" t="s">
        <v>17</v>
      </c>
      <c r="J241" s="33">
        <v>53582257</v>
      </c>
      <c r="K241" s="33" t="s">
        <v>2746</v>
      </c>
      <c r="L241" s="39" t="s">
        <v>2747</v>
      </c>
      <c r="M241" s="35">
        <v>119900</v>
      </c>
      <c r="N241" s="22">
        <f t="shared" si="18"/>
        <v>0.7</v>
      </c>
      <c r="O241" s="72">
        <f t="shared" si="16"/>
        <v>59970</v>
      </c>
      <c r="P241" s="22" t="s">
        <v>16</v>
      </c>
    </row>
    <row r="242" spans="1:16" s="32" customFormat="1" x14ac:dyDescent="0.35">
      <c r="A242" s="33" t="str">
        <f t="shared" si="17"/>
        <v>2025 JAN-JUN DISC 70% LICENSE ESS</v>
      </c>
      <c r="B242" s="34">
        <f t="shared" si="19"/>
        <v>46104</v>
      </c>
      <c r="C242" s="34">
        <f t="shared" si="20"/>
        <v>46113</v>
      </c>
      <c r="D242" s="33">
        <v>3287</v>
      </c>
      <c r="E242" s="33">
        <v>338</v>
      </c>
      <c r="F242" s="33">
        <v>4</v>
      </c>
      <c r="G242" s="33">
        <v>2</v>
      </c>
      <c r="H242" s="33">
        <v>81676</v>
      </c>
      <c r="I242" s="33" t="s">
        <v>17</v>
      </c>
      <c r="J242" s="33">
        <v>53582300</v>
      </c>
      <c r="K242" s="33" t="s">
        <v>2745</v>
      </c>
      <c r="L242" s="39" t="s">
        <v>2762</v>
      </c>
      <c r="M242" s="35">
        <v>199900</v>
      </c>
      <c r="N242" s="22">
        <f t="shared" si="18"/>
        <v>0.7</v>
      </c>
      <c r="O242" s="72">
        <f t="shared" si="16"/>
        <v>59970</v>
      </c>
      <c r="P242" s="22" t="s">
        <v>16</v>
      </c>
    </row>
    <row r="243" spans="1:16" s="32" customFormat="1" x14ac:dyDescent="0.35">
      <c r="A243" s="33" t="str">
        <f t="shared" si="17"/>
        <v>2025 JAN-JUN DISC 70% LICENSE ESS</v>
      </c>
      <c r="B243" s="34">
        <f t="shared" si="19"/>
        <v>46104</v>
      </c>
      <c r="C243" s="34">
        <f t="shared" si="20"/>
        <v>46113</v>
      </c>
      <c r="D243" s="33">
        <v>3287</v>
      </c>
      <c r="E243" s="33">
        <v>338</v>
      </c>
      <c r="F243" s="33">
        <v>4</v>
      </c>
      <c r="G243" s="33">
        <v>2</v>
      </c>
      <c r="H243" s="33">
        <v>81676</v>
      </c>
      <c r="I243" s="33" t="s">
        <v>17</v>
      </c>
      <c r="J243" s="33">
        <v>53582319</v>
      </c>
      <c r="K243" s="33" t="s">
        <v>2745</v>
      </c>
      <c r="L243" s="39" t="s">
        <v>2767</v>
      </c>
      <c r="M243" s="35">
        <v>199900</v>
      </c>
      <c r="N243" s="22">
        <f t="shared" si="18"/>
        <v>0.7</v>
      </c>
      <c r="O243" s="72">
        <f t="shared" si="16"/>
        <v>59970</v>
      </c>
      <c r="P243" s="22" t="s">
        <v>16</v>
      </c>
    </row>
    <row r="244" spans="1:16" s="32" customFormat="1" x14ac:dyDescent="0.35">
      <c r="A244" s="33" t="str">
        <f t="shared" si="17"/>
        <v>2025 JAN-JUN DISC 70% LICENSE ESS</v>
      </c>
      <c r="B244" s="34">
        <f t="shared" si="19"/>
        <v>46104</v>
      </c>
      <c r="C244" s="34">
        <f t="shared" si="20"/>
        <v>46113</v>
      </c>
      <c r="D244" s="33">
        <v>3287</v>
      </c>
      <c r="E244" s="33">
        <v>338</v>
      </c>
      <c r="F244" s="33">
        <v>4</v>
      </c>
      <c r="G244" s="33">
        <v>2</v>
      </c>
      <c r="H244" s="33">
        <v>81676</v>
      </c>
      <c r="I244" s="33" t="s">
        <v>17</v>
      </c>
      <c r="J244" s="33">
        <v>53582328</v>
      </c>
      <c r="K244" s="33" t="s">
        <v>2745</v>
      </c>
      <c r="L244" s="39" t="s">
        <v>2764</v>
      </c>
      <c r="M244" s="35">
        <v>199900</v>
      </c>
      <c r="N244" s="22">
        <f t="shared" si="18"/>
        <v>0.7</v>
      </c>
      <c r="O244" s="72">
        <f t="shared" si="16"/>
        <v>59970</v>
      </c>
      <c r="P244" s="22" t="s">
        <v>16</v>
      </c>
    </row>
    <row r="245" spans="1:16" s="32" customFormat="1" x14ac:dyDescent="0.35">
      <c r="A245" s="33" t="str">
        <f t="shared" si="17"/>
        <v>2025 JAN-JUN DISC 70% LICENSE ESS</v>
      </c>
      <c r="B245" s="34">
        <f t="shared" si="19"/>
        <v>46104</v>
      </c>
      <c r="C245" s="34">
        <f t="shared" si="20"/>
        <v>46113</v>
      </c>
      <c r="D245" s="33">
        <v>3287</v>
      </c>
      <c r="E245" s="33">
        <v>338</v>
      </c>
      <c r="F245" s="33">
        <v>4</v>
      </c>
      <c r="G245" s="33">
        <v>2</v>
      </c>
      <c r="H245" s="33">
        <v>81676</v>
      </c>
      <c r="I245" s="33" t="s">
        <v>17</v>
      </c>
      <c r="J245" s="33">
        <v>53582337</v>
      </c>
      <c r="K245" s="33" t="s">
        <v>2745</v>
      </c>
      <c r="L245" s="39" t="s">
        <v>2766</v>
      </c>
      <c r="M245" s="35">
        <v>199900</v>
      </c>
      <c r="N245" s="22">
        <f t="shared" si="18"/>
        <v>0.7</v>
      </c>
      <c r="O245" s="72">
        <f t="shared" si="16"/>
        <v>59970</v>
      </c>
      <c r="P245" s="22" t="s">
        <v>16</v>
      </c>
    </row>
    <row r="246" spans="1:16" s="32" customFormat="1" x14ac:dyDescent="0.35">
      <c r="A246" s="33" t="str">
        <f t="shared" si="17"/>
        <v>2025 JAN-JUN DISC 70% LICENSE ESS</v>
      </c>
      <c r="B246" s="34">
        <f t="shared" si="19"/>
        <v>46104</v>
      </c>
      <c r="C246" s="34">
        <f t="shared" si="20"/>
        <v>46113</v>
      </c>
      <c r="D246" s="33">
        <v>3287</v>
      </c>
      <c r="E246" s="33">
        <v>338</v>
      </c>
      <c r="F246" s="33">
        <v>4</v>
      </c>
      <c r="G246" s="33">
        <v>2</v>
      </c>
      <c r="H246" s="33">
        <v>81676</v>
      </c>
      <c r="I246" s="33" t="s">
        <v>17</v>
      </c>
      <c r="J246" s="33">
        <v>53582346</v>
      </c>
      <c r="K246" s="33" t="s">
        <v>2745</v>
      </c>
      <c r="L246" s="39" t="s">
        <v>2765</v>
      </c>
      <c r="M246" s="35">
        <v>199900</v>
      </c>
      <c r="N246" s="22">
        <f t="shared" si="18"/>
        <v>0.7</v>
      </c>
      <c r="O246" s="72">
        <f t="shared" si="16"/>
        <v>59970</v>
      </c>
      <c r="P246" s="22" t="s">
        <v>16</v>
      </c>
    </row>
    <row r="247" spans="1:16" s="32" customFormat="1" x14ac:dyDescent="0.35">
      <c r="A247" s="33" t="str">
        <f t="shared" si="17"/>
        <v>2025 JAN-JUN DISC 70% LICENSE ESS</v>
      </c>
      <c r="B247" s="34">
        <f t="shared" si="19"/>
        <v>46104</v>
      </c>
      <c r="C247" s="34">
        <f t="shared" si="20"/>
        <v>46113</v>
      </c>
      <c r="D247" s="33">
        <v>3287</v>
      </c>
      <c r="E247" s="33">
        <v>338</v>
      </c>
      <c r="F247" s="33">
        <v>4</v>
      </c>
      <c r="G247" s="33">
        <v>2</v>
      </c>
      <c r="H247" s="33">
        <v>81676</v>
      </c>
      <c r="I247" s="33" t="s">
        <v>17</v>
      </c>
      <c r="J247" s="33">
        <v>53582355</v>
      </c>
      <c r="K247" s="33" t="s">
        <v>2745</v>
      </c>
      <c r="L247" s="39" t="s">
        <v>2760</v>
      </c>
      <c r="M247" s="35">
        <v>199900</v>
      </c>
      <c r="N247" s="22">
        <f t="shared" si="18"/>
        <v>0.7</v>
      </c>
      <c r="O247" s="72">
        <f t="shared" si="16"/>
        <v>59970</v>
      </c>
      <c r="P247" s="22" t="s">
        <v>16</v>
      </c>
    </row>
    <row r="248" spans="1:16" s="32" customFormat="1" x14ac:dyDescent="0.35">
      <c r="A248" s="33" t="str">
        <f t="shared" si="17"/>
        <v>2025 JAN-JUN DISC 70% LICENSE ESS</v>
      </c>
      <c r="B248" s="34">
        <f t="shared" si="19"/>
        <v>46104</v>
      </c>
      <c r="C248" s="34">
        <f t="shared" si="20"/>
        <v>46113</v>
      </c>
      <c r="D248" s="33">
        <v>3287</v>
      </c>
      <c r="E248" s="33">
        <v>338</v>
      </c>
      <c r="F248" s="33">
        <v>4</v>
      </c>
      <c r="G248" s="33">
        <v>2</v>
      </c>
      <c r="H248" s="33">
        <v>81676</v>
      </c>
      <c r="I248" s="33" t="s">
        <v>17</v>
      </c>
      <c r="J248" s="33">
        <v>53582364</v>
      </c>
      <c r="K248" s="33" t="s">
        <v>2745</v>
      </c>
      <c r="L248" s="39" t="s">
        <v>2761</v>
      </c>
      <c r="M248" s="35">
        <v>199900</v>
      </c>
      <c r="N248" s="22">
        <f t="shared" si="18"/>
        <v>0.7</v>
      </c>
      <c r="O248" s="72">
        <f t="shared" si="16"/>
        <v>59970</v>
      </c>
      <c r="P248" s="22" t="s">
        <v>16</v>
      </c>
    </row>
    <row r="249" spans="1:16" s="32" customFormat="1" x14ac:dyDescent="0.35">
      <c r="A249" s="33" t="str">
        <f t="shared" si="17"/>
        <v>2025 JAN-JUN DISC 70% LICENSE ESS</v>
      </c>
      <c r="B249" s="34">
        <f t="shared" si="19"/>
        <v>46104</v>
      </c>
      <c r="C249" s="34">
        <f t="shared" si="20"/>
        <v>46113</v>
      </c>
      <c r="D249" s="33">
        <v>3287</v>
      </c>
      <c r="E249" s="33">
        <v>338</v>
      </c>
      <c r="F249" s="33">
        <v>4</v>
      </c>
      <c r="G249" s="33">
        <v>2</v>
      </c>
      <c r="H249" s="33">
        <v>81676</v>
      </c>
      <c r="I249" s="33" t="s">
        <v>17</v>
      </c>
      <c r="J249" s="33">
        <v>53582373</v>
      </c>
      <c r="K249" s="33" t="s">
        <v>2745</v>
      </c>
      <c r="L249" s="39" t="s">
        <v>2763</v>
      </c>
      <c r="M249" s="35">
        <v>199900</v>
      </c>
      <c r="N249" s="22">
        <f t="shared" si="18"/>
        <v>0.7</v>
      </c>
      <c r="O249" s="72">
        <f t="shared" si="16"/>
        <v>10770</v>
      </c>
      <c r="P249" s="22" t="s">
        <v>16</v>
      </c>
    </row>
    <row r="250" spans="1:16" s="32" customFormat="1" x14ac:dyDescent="0.35">
      <c r="A250" s="33" t="str">
        <f t="shared" si="17"/>
        <v>2025 JAN-JUN DISC 70% LICENSE ESS</v>
      </c>
      <c r="B250" s="34">
        <f t="shared" si="19"/>
        <v>46104</v>
      </c>
      <c r="C250" s="34">
        <f t="shared" si="20"/>
        <v>46113</v>
      </c>
      <c r="D250" s="33">
        <v>3287</v>
      </c>
      <c r="E250" s="33">
        <v>338</v>
      </c>
      <c r="F250" s="33">
        <v>4</v>
      </c>
      <c r="G250" s="33">
        <v>7</v>
      </c>
      <c r="H250" s="33">
        <v>81827</v>
      </c>
      <c r="I250" s="33" t="s">
        <v>17</v>
      </c>
      <c r="J250" s="33">
        <v>52659515</v>
      </c>
      <c r="K250" s="33" t="s">
        <v>2783</v>
      </c>
      <c r="L250" s="39" t="s">
        <v>2784</v>
      </c>
      <c r="M250" s="35">
        <v>35900</v>
      </c>
      <c r="N250" s="22">
        <f t="shared" si="18"/>
        <v>0.7</v>
      </c>
      <c r="O250" s="72">
        <f t="shared" si="16"/>
        <v>10770</v>
      </c>
      <c r="P250" s="22" t="s">
        <v>16</v>
      </c>
    </row>
    <row r="251" spans="1:16" s="32" customFormat="1" x14ac:dyDescent="0.35">
      <c r="A251" s="33" t="str">
        <f t="shared" si="17"/>
        <v>2025 JAN-JUN DISC 70% LICENSE ESS</v>
      </c>
      <c r="B251" s="34">
        <f t="shared" si="19"/>
        <v>46104</v>
      </c>
      <c r="C251" s="34">
        <f t="shared" si="20"/>
        <v>46113</v>
      </c>
      <c r="D251" s="33">
        <v>3287</v>
      </c>
      <c r="E251" s="33">
        <v>338</v>
      </c>
      <c r="F251" s="33">
        <v>4</v>
      </c>
      <c r="G251" s="33">
        <v>7</v>
      </c>
      <c r="H251" s="33">
        <v>81827</v>
      </c>
      <c r="I251" s="33" t="s">
        <v>17</v>
      </c>
      <c r="J251" s="33">
        <v>52659524</v>
      </c>
      <c r="K251" s="33" t="s">
        <v>2783</v>
      </c>
      <c r="L251" s="39" t="s">
        <v>2785</v>
      </c>
      <c r="M251" s="35">
        <v>35900</v>
      </c>
      <c r="N251" s="22">
        <f t="shared" si="18"/>
        <v>0.7</v>
      </c>
      <c r="O251" s="72">
        <f t="shared" si="16"/>
        <v>10770</v>
      </c>
      <c r="P251" s="22" t="s">
        <v>16</v>
      </c>
    </row>
    <row r="252" spans="1:16" s="32" customFormat="1" x14ac:dyDescent="0.35">
      <c r="A252" s="33" t="str">
        <f t="shared" si="17"/>
        <v>2025 JAN-JUN DISC 70% LICENSE ESS</v>
      </c>
      <c r="B252" s="34">
        <f t="shared" si="19"/>
        <v>46104</v>
      </c>
      <c r="C252" s="34">
        <f t="shared" si="20"/>
        <v>46113</v>
      </c>
      <c r="D252" s="33">
        <v>3287</v>
      </c>
      <c r="E252" s="33">
        <v>338</v>
      </c>
      <c r="F252" s="33">
        <v>4</v>
      </c>
      <c r="G252" s="33">
        <v>10</v>
      </c>
      <c r="H252" s="33">
        <v>81827</v>
      </c>
      <c r="I252" s="33" t="s">
        <v>17</v>
      </c>
      <c r="J252" s="33">
        <v>52659579</v>
      </c>
      <c r="K252" s="33" t="s">
        <v>2786</v>
      </c>
      <c r="L252" s="39" t="s">
        <v>2787</v>
      </c>
      <c r="M252" s="35">
        <v>35900</v>
      </c>
      <c r="N252" s="22">
        <f t="shared" si="18"/>
        <v>0.7</v>
      </c>
      <c r="O252" s="72">
        <f t="shared" si="16"/>
        <v>10770</v>
      </c>
      <c r="P252" s="22" t="s">
        <v>16</v>
      </c>
    </row>
    <row r="253" spans="1:16" s="32" customFormat="1" x14ac:dyDescent="0.35">
      <c r="A253" s="33" t="str">
        <f t="shared" si="17"/>
        <v>2025 JAN-JUN DISC 70% LICENSE ESS</v>
      </c>
      <c r="B253" s="34">
        <f t="shared" si="19"/>
        <v>46104</v>
      </c>
      <c r="C253" s="34">
        <f t="shared" si="20"/>
        <v>46113</v>
      </c>
      <c r="D253" s="33">
        <v>3287</v>
      </c>
      <c r="E253" s="33">
        <v>338</v>
      </c>
      <c r="F253" s="33">
        <v>4</v>
      </c>
      <c r="G253" s="33">
        <v>10</v>
      </c>
      <c r="H253" s="33">
        <v>81827</v>
      </c>
      <c r="I253" s="33" t="s">
        <v>17</v>
      </c>
      <c r="J253" s="33">
        <v>52659588</v>
      </c>
      <c r="K253" s="33" t="s">
        <v>2786</v>
      </c>
      <c r="L253" s="39" t="s">
        <v>2788</v>
      </c>
      <c r="M253" s="35">
        <v>35900</v>
      </c>
      <c r="N253" s="22">
        <f t="shared" si="18"/>
        <v>0.7</v>
      </c>
      <c r="O253" s="72">
        <f t="shared" si="16"/>
        <v>10770</v>
      </c>
      <c r="P253" s="22" t="s">
        <v>16</v>
      </c>
    </row>
    <row r="254" spans="1:16" s="32" customFormat="1" x14ac:dyDescent="0.35">
      <c r="A254" s="33" t="str">
        <f t="shared" si="17"/>
        <v>2025 JAN-JUN DISC 70% LICENSE ESS</v>
      </c>
      <c r="B254" s="34">
        <f t="shared" si="19"/>
        <v>46104</v>
      </c>
      <c r="C254" s="34">
        <f t="shared" si="20"/>
        <v>46113</v>
      </c>
      <c r="D254" s="33">
        <v>3287</v>
      </c>
      <c r="E254" s="33">
        <v>338</v>
      </c>
      <c r="F254" s="33">
        <v>4</v>
      </c>
      <c r="G254" s="33">
        <v>7</v>
      </c>
      <c r="H254" s="33">
        <v>81827</v>
      </c>
      <c r="I254" s="33" t="s">
        <v>17</v>
      </c>
      <c r="J254" s="33">
        <v>53160819</v>
      </c>
      <c r="K254" s="33" t="s">
        <v>2777</v>
      </c>
      <c r="L254" s="39" t="s">
        <v>2778</v>
      </c>
      <c r="M254" s="35">
        <v>35900</v>
      </c>
      <c r="N254" s="22">
        <f t="shared" si="18"/>
        <v>0.7</v>
      </c>
      <c r="O254" s="72">
        <f t="shared" si="16"/>
        <v>10770</v>
      </c>
      <c r="P254" s="22" t="s">
        <v>16</v>
      </c>
    </row>
    <row r="255" spans="1:16" s="32" customFormat="1" x14ac:dyDescent="0.35">
      <c r="A255" s="33" t="str">
        <f t="shared" si="17"/>
        <v>2025 JAN-JUN DISC 70% LICENSE ESS</v>
      </c>
      <c r="B255" s="34">
        <f t="shared" si="19"/>
        <v>46104</v>
      </c>
      <c r="C255" s="34">
        <f t="shared" si="20"/>
        <v>46113</v>
      </c>
      <c r="D255" s="33">
        <v>3287</v>
      </c>
      <c r="E255" s="33">
        <v>338</v>
      </c>
      <c r="F255" s="33">
        <v>4</v>
      </c>
      <c r="G255" s="33">
        <v>7</v>
      </c>
      <c r="H255" s="33">
        <v>81827</v>
      </c>
      <c r="I255" s="33" t="s">
        <v>17</v>
      </c>
      <c r="J255" s="33">
        <v>53160828</v>
      </c>
      <c r="K255" s="33" t="s">
        <v>2777</v>
      </c>
      <c r="L255" s="39" t="s">
        <v>2782</v>
      </c>
      <c r="M255" s="35">
        <v>35900</v>
      </c>
      <c r="N255" s="22">
        <f t="shared" si="18"/>
        <v>0.7</v>
      </c>
      <c r="O255" s="72">
        <f t="shared" si="16"/>
        <v>10770</v>
      </c>
      <c r="P255" s="22" t="s">
        <v>16</v>
      </c>
    </row>
    <row r="256" spans="1:16" s="32" customFormat="1" x14ac:dyDescent="0.35">
      <c r="A256" s="33" t="str">
        <f t="shared" si="17"/>
        <v>2025 JAN-JUN DISC 70% LICENSE ESS</v>
      </c>
      <c r="B256" s="34">
        <f t="shared" si="19"/>
        <v>46104</v>
      </c>
      <c r="C256" s="34">
        <f t="shared" si="20"/>
        <v>46113</v>
      </c>
      <c r="D256" s="33">
        <v>3287</v>
      </c>
      <c r="E256" s="33">
        <v>338</v>
      </c>
      <c r="F256" s="33">
        <v>4</v>
      </c>
      <c r="G256" s="33">
        <v>7</v>
      </c>
      <c r="H256" s="33">
        <v>81827</v>
      </c>
      <c r="I256" s="33" t="s">
        <v>17</v>
      </c>
      <c r="J256" s="33">
        <v>53582266</v>
      </c>
      <c r="K256" s="33" t="s">
        <v>2779</v>
      </c>
      <c r="L256" s="39" t="s">
        <v>2780</v>
      </c>
      <c r="M256" s="35">
        <v>35900</v>
      </c>
      <c r="N256" s="22">
        <f t="shared" si="18"/>
        <v>0.7</v>
      </c>
      <c r="O256" s="72">
        <f t="shared" si="16"/>
        <v>10770</v>
      </c>
      <c r="P256" s="22" t="s">
        <v>16</v>
      </c>
    </row>
    <row r="257" spans="1:16" s="32" customFormat="1" x14ac:dyDescent="0.35">
      <c r="A257" s="33" t="str">
        <f t="shared" si="17"/>
        <v>2025 JAN-JUN DISC 70% LICENSE ESS</v>
      </c>
      <c r="B257" s="34">
        <f t="shared" si="19"/>
        <v>46104</v>
      </c>
      <c r="C257" s="34">
        <f t="shared" si="20"/>
        <v>46113</v>
      </c>
      <c r="D257" s="33">
        <v>3287</v>
      </c>
      <c r="E257" s="33">
        <v>338</v>
      </c>
      <c r="F257" s="33">
        <v>4</v>
      </c>
      <c r="G257" s="33">
        <v>7</v>
      </c>
      <c r="H257" s="33">
        <v>81827</v>
      </c>
      <c r="I257" s="33" t="s">
        <v>17</v>
      </c>
      <c r="J257" s="33">
        <v>53582275</v>
      </c>
      <c r="K257" s="33" t="s">
        <v>2779</v>
      </c>
      <c r="L257" s="39" t="s">
        <v>2781</v>
      </c>
      <c r="M257" s="35">
        <v>35900</v>
      </c>
      <c r="N257" s="22">
        <f t="shared" si="18"/>
        <v>0.7</v>
      </c>
      <c r="O257" s="72">
        <f t="shared" si="16"/>
        <v>10770</v>
      </c>
      <c r="P257" s="22" t="s">
        <v>16</v>
      </c>
    </row>
    <row r="258" spans="1:16" s="32" customFormat="1" x14ac:dyDescent="0.35">
      <c r="A258" s="33" t="str">
        <f t="shared" si="17"/>
        <v>2025 JAN-JUN DISC 70% LICENSE ESS</v>
      </c>
      <c r="B258" s="34">
        <f t="shared" si="19"/>
        <v>46104</v>
      </c>
      <c r="C258" s="34">
        <f t="shared" si="20"/>
        <v>46113</v>
      </c>
      <c r="D258" s="33">
        <v>3287</v>
      </c>
      <c r="E258" s="33">
        <v>338</v>
      </c>
      <c r="F258" s="33">
        <v>4</v>
      </c>
      <c r="G258" s="33">
        <v>7</v>
      </c>
      <c r="H258" s="33">
        <v>81827</v>
      </c>
      <c r="I258" s="33" t="s">
        <v>17</v>
      </c>
      <c r="J258" s="33">
        <v>53582284</v>
      </c>
      <c r="K258" s="33" t="s">
        <v>2791</v>
      </c>
      <c r="L258" s="39" t="s">
        <v>2792</v>
      </c>
      <c r="M258" s="35">
        <v>35900</v>
      </c>
      <c r="N258" s="22">
        <f t="shared" si="18"/>
        <v>0.7</v>
      </c>
      <c r="O258" s="72">
        <f t="shared" si="16"/>
        <v>10770</v>
      </c>
      <c r="P258" s="22" t="s">
        <v>16</v>
      </c>
    </row>
    <row r="259" spans="1:16" s="32" customFormat="1" x14ac:dyDescent="0.35">
      <c r="A259" s="33" t="str">
        <f t="shared" si="17"/>
        <v>2025 JAN-JUN DISC 70% LICENSE ESS</v>
      </c>
      <c r="B259" s="34">
        <f t="shared" si="19"/>
        <v>46104</v>
      </c>
      <c r="C259" s="34">
        <f t="shared" si="20"/>
        <v>46113</v>
      </c>
      <c r="D259" s="33">
        <v>3287</v>
      </c>
      <c r="E259" s="33">
        <v>338</v>
      </c>
      <c r="F259" s="33">
        <v>4</v>
      </c>
      <c r="G259" s="33">
        <v>7</v>
      </c>
      <c r="H259" s="33">
        <v>81827</v>
      </c>
      <c r="I259" s="33" t="s">
        <v>17</v>
      </c>
      <c r="J259" s="33">
        <v>53582293</v>
      </c>
      <c r="K259" s="33" t="s">
        <v>2791</v>
      </c>
      <c r="L259" s="39" t="s">
        <v>2794</v>
      </c>
      <c r="M259" s="35">
        <v>35900</v>
      </c>
      <c r="N259" s="22">
        <f t="shared" si="18"/>
        <v>0.7</v>
      </c>
      <c r="O259" s="72">
        <f t="shared" ref="O259:O303" si="21">M260-((70*M260)/100)</f>
        <v>10770</v>
      </c>
      <c r="P259" s="22" t="s">
        <v>16</v>
      </c>
    </row>
    <row r="260" spans="1:16" s="32" customFormat="1" x14ac:dyDescent="0.35">
      <c r="A260" s="33" t="str">
        <f t="shared" ref="A260:C303" si="22">A259</f>
        <v>2025 JAN-JUN DISC 70% LICENSE ESS</v>
      </c>
      <c r="B260" s="34">
        <f t="shared" si="19"/>
        <v>46104</v>
      </c>
      <c r="C260" s="34">
        <f t="shared" si="20"/>
        <v>46113</v>
      </c>
      <c r="D260" s="33">
        <v>3287</v>
      </c>
      <c r="E260" s="33">
        <v>338</v>
      </c>
      <c r="F260" s="33">
        <v>4</v>
      </c>
      <c r="G260" s="33">
        <v>10</v>
      </c>
      <c r="H260" s="33">
        <v>81533</v>
      </c>
      <c r="I260" s="33" t="s">
        <v>17</v>
      </c>
      <c r="J260" s="33">
        <v>54413428</v>
      </c>
      <c r="K260" s="33" t="s">
        <v>2798</v>
      </c>
      <c r="L260" s="39" t="s">
        <v>2799</v>
      </c>
      <c r="M260" s="35">
        <v>35900</v>
      </c>
      <c r="N260" s="22">
        <f t="shared" ref="N260:N303" si="23">N259</f>
        <v>0.7</v>
      </c>
      <c r="O260" s="72">
        <f t="shared" si="21"/>
        <v>10770</v>
      </c>
      <c r="P260" s="22" t="s">
        <v>16</v>
      </c>
    </row>
    <row r="261" spans="1:16" s="32" customFormat="1" x14ac:dyDescent="0.35">
      <c r="A261" s="33" t="str">
        <f t="shared" si="22"/>
        <v>2025 JAN-JUN DISC 70% LICENSE ESS</v>
      </c>
      <c r="B261" s="34">
        <f t="shared" si="19"/>
        <v>46104</v>
      </c>
      <c r="C261" s="34">
        <f t="shared" si="20"/>
        <v>46113</v>
      </c>
      <c r="D261" s="33">
        <v>3287</v>
      </c>
      <c r="E261" s="33">
        <v>338</v>
      </c>
      <c r="F261" s="33">
        <v>4</v>
      </c>
      <c r="G261" s="33">
        <v>10</v>
      </c>
      <c r="H261" s="33">
        <v>81533</v>
      </c>
      <c r="I261" s="33" t="s">
        <v>17</v>
      </c>
      <c r="J261" s="33">
        <v>54413437</v>
      </c>
      <c r="K261" s="33" t="s">
        <v>2798</v>
      </c>
      <c r="L261" s="39" t="s">
        <v>2807</v>
      </c>
      <c r="M261" s="35">
        <v>35900</v>
      </c>
      <c r="N261" s="22">
        <f t="shared" si="23"/>
        <v>0.7</v>
      </c>
      <c r="O261" s="72">
        <f t="shared" si="21"/>
        <v>10770</v>
      </c>
      <c r="P261" s="22" t="s">
        <v>16</v>
      </c>
    </row>
    <row r="262" spans="1:16" s="32" customFormat="1" x14ac:dyDescent="0.35">
      <c r="A262" s="33" t="str">
        <f t="shared" si="22"/>
        <v>2025 JAN-JUN DISC 70% LICENSE ESS</v>
      </c>
      <c r="B262" s="34">
        <f t="shared" si="19"/>
        <v>46104</v>
      </c>
      <c r="C262" s="34">
        <f t="shared" si="20"/>
        <v>46113</v>
      </c>
      <c r="D262" s="33">
        <v>3287</v>
      </c>
      <c r="E262" s="33">
        <v>338</v>
      </c>
      <c r="F262" s="33">
        <v>4</v>
      </c>
      <c r="G262" s="33">
        <v>10</v>
      </c>
      <c r="H262" s="33">
        <v>81533</v>
      </c>
      <c r="I262" s="33" t="s">
        <v>17</v>
      </c>
      <c r="J262" s="33">
        <v>54413446</v>
      </c>
      <c r="K262" s="33" t="s">
        <v>2804</v>
      </c>
      <c r="L262" s="39" t="s">
        <v>2805</v>
      </c>
      <c r="M262" s="35">
        <v>35900</v>
      </c>
      <c r="N262" s="22">
        <f t="shared" si="23"/>
        <v>0.7</v>
      </c>
      <c r="O262" s="72">
        <f t="shared" si="21"/>
        <v>10770</v>
      </c>
      <c r="P262" s="22" t="s">
        <v>16</v>
      </c>
    </row>
    <row r="263" spans="1:16" s="32" customFormat="1" x14ac:dyDescent="0.35">
      <c r="A263" s="33" t="str">
        <f t="shared" si="22"/>
        <v>2025 JAN-JUN DISC 70% LICENSE ESS</v>
      </c>
      <c r="B263" s="34">
        <f t="shared" si="19"/>
        <v>46104</v>
      </c>
      <c r="C263" s="34">
        <f t="shared" si="20"/>
        <v>46113</v>
      </c>
      <c r="D263" s="33">
        <v>3287</v>
      </c>
      <c r="E263" s="33">
        <v>338</v>
      </c>
      <c r="F263" s="33">
        <v>4</v>
      </c>
      <c r="G263" s="33">
        <v>10</v>
      </c>
      <c r="H263" s="33">
        <v>81533</v>
      </c>
      <c r="I263" s="33" t="s">
        <v>17</v>
      </c>
      <c r="J263" s="33">
        <v>54413455</v>
      </c>
      <c r="K263" s="33" t="s">
        <v>2804</v>
      </c>
      <c r="L263" s="39" t="s">
        <v>2808</v>
      </c>
      <c r="M263" s="35">
        <v>35900</v>
      </c>
      <c r="N263" s="22">
        <f t="shared" si="23"/>
        <v>0.7</v>
      </c>
      <c r="O263" s="72">
        <f t="shared" si="21"/>
        <v>10770</v>
      </c>
      <c r="P263" s="22" t="s">
        <v>16</v>
      </c>
    </row>
    <row r="264" spans="1:16" s="32" customFormat="1" x14ac:dyDescent="0.35">
      <c r="A264" s="33" t="str">
        <f t="shared" si="22"/>
        <v>2025 JAN-JUN DISC 70% LICENSE ESS</v>
      </c>
      <c r="B264" s="34">
        <f t="shared" si="19"/>
        <v>46104</v>
      </c>
      <c r="C264" s="34">
        <f t="shared" si="20"/>
        <v>46113</v>
      </c>
      <c r="D264" s="33">
        <v>3287</v>
      </c>
      <c r="E264" s="33">
        <v>338</v>
      </c>
      <c r="F264" s="33">
        <v>4</v>
      </c>
      <c r="G264" s="33">
        <v>10</v>
      </c>
      <c r="H264" s="33">
        <v>81533</v>
      </c>
      <c r="I264" s="33" t="s">
        <v>17</v>
      </c>
      <c r="J264" s="33">
        <v>54413464</v>
      </c>
      <c r="K264" s="33" t="s">
        <v>2800</v>
      </c>
      <c r="L264" s="39" t="s">
        <v>2809</v>
      </c>
      <c r="M264" s="35">
        <v>35900</v>
      </c>
      <c r="N264" s="22">
        <f t="shared" si="23"/>
        <v>0.7</v>
      </c>
      <c r="O264" s="72">
        <f t="shared" si="21"/>
        <v>10770</v>
      </c>
      <c r="P264" s="22" t="s">
        <v>16</v>
      </c>
    </row>
    <row r="265" spans="1:16" s="32" customFormat="1" x14ac:dyDescent="0.35">
      <c r="A265" s="33" t="str">
        <f t="shared" si="22"/>
        <v>2025 JAN-JUN DISC 70% LICENSE ESS</v>
      </c>
      <c r="B265" s="34">
        <f t="shared" si="19"/>
        <v>46104</v>
      </c>
      <c r="C265" s="34">
        <f t="shared" si="20"/>
        <v>46113</v>
      </c>
      <c r="D265" s="33">
        <v>3287</v>
      </c>
      <c r="E265" s="33">
        <v>338</v>
      </c>
      <c r="F265" s="33">
        <v>4</v>
      </c>
      <c r="G265" s="33">
        <v>10</v>
      </c>
      <c r="H265" s="33">
        <v>81533</v>
      </c>
      <c r="I265" s="33" t="s">
        <v>17</v>
      </c>
      <c r="J265" s="33">
        <v>54413473</v>
      </c>
      <c r="K265" s="33" t="s">
        <v>2800</v>
      </c>
      <c r="L265" s="39" t="s">
        <v>2801</v>
      </c>
      <c r="M265" s="35">
        <v>35900</v>
      </c>
      <c r="N265" s="22">
        <f t="shared" si="23"/>
        <v>0.7</v>
      </c>
      <c r="O265" s="72">
        <f t="shared" si="21"/>
        <v>10770</v>
      </c>
      <c r="P265" s="22" t="s">
        <v>16</v>
      </c>
    </row>
    <row r="266" spans="1:16" s="32" customFormat="1" x14ac:dyDescent="0.35">
      <c r="A266" s="33" t="str">
        <f t="shared" si="22"/>
        <v>2025 JAN-JUN DISC 70% LICENSE ESS</v>
      </c>
      <c r="B266" s="34">
        <f t="shared" si="19"/>
        <v>46104</v>
      </c>
      <c r="C266" s="34">
        <f t="shared" si="20"/>
        <v>46113</v>
      </c>
      <c r="D266" s="33">
        <v>3287</v>
      </c>
      <c r="E266" s="33">
        <v>338</v>
      </c>
      <c r="F266" s="33">
        <v>4</v>
      </c>
      <c r="G266" s="33">
        <v>10</v>
      </c>
      <c r="H266" s="33">
        <v>81533</v>
      </c>
      <c r="I266" s="33" t="s">
        <v>17</v>
      </c>
      <c r="J266" s="33">
        <v>54413482</v>
      </c>
      <c r="K266" s="33" t="s">
        <v>2802</v>
      </c>
      <c r="L266" s="39" t="s">
        <v>2803</v>
      </c>
      <c r="M266" s="35">
        <v>35900</v>
      </c>
      <c r="N266" s="22">
        <f t="shared" si="23"/>
        <v>0.7</v>
      </c>
      <c r="O266" s="72">
        <f t="shared" si="21"/>
        <v>10770</v>
      </c>
      <c r="P266" s="22" t="s">
        <v>16</v>
      </c>
    </row>
    <row r="267" spans="1:16" s="32" customFormat="1" x14ac:dyDescent="0.35">
      <c r="A267" s="33" t="str">
        <f t="shared" si="22"/>
        <v>2025 JAN-JUN DISC 70% LICENSE ESS</v>
      </c>
      <c r="B267" s="34">
        <f t="shared" si="19"/>
        <v>46104</v>
      </c>
      <c r="C267" s="34">
        <f t="shared" si="20"/>
        <v>46113</v>
      </c>
      <c r="D267" s="33">
        <v>3287</v>
      </c>
      <c r="E267" s="33">
        <v>338</v>
      </c>
      <c r="F267" s="33">
        <v>4</v>
      </c>
      <c r="G267" s="33">
        <v>10</v>
      </c>
      <c r="H267" s="33">
        <v>81533</v>
      </c>
      <c r="I267" s="33" t="s">
        <v>17</v>
      </c>
      <c r="J267" s="33">
        <v>54413491</v>
      </c>
      <c r="K267" s="33" t="s">
        <v>2802</v>
      </c>
      <c r="L267" s="39" t="s">
        <v>2806</v>
      </c>
      <c r="M267" s="35">
        <v>35900</v>
      </c>
      <c r="N267" s="22">
        <f t="shared" si="23"/>
        <v>0.7</v>
      </c>
      <c r="O267" s="72">
        <f t="shared" si="21"/>
        <v>35970</v>
      </c>
      <c r="P267" s="22" t="s">
        <v>16</v>
      </c>
    </row>
    <row r="268" spans="1:16" s="32" customFormat="1" x14ac:dyDescent="0.35">
      <c r="A268" s="33" t="str">
        <f t="shared" si="22"/>
        <v>2025 JAN-JUN DISC 70% LICENSE ESS</v>
      </c>
      <c r="B268" s="34">
        <f t="shared" si="19"/>
        <v>46104</v>
      </c>
      <c r="C268" s="34">
        <f t="shared" si="20"/>
        <v>46113</v>
      </c>
      <c r="D268" s="33">
        <v>3287</v>
      </c>
      <c r="E268" s="33">
        <v>338</v>
      </c>
      <c r="F268" s="33">
        <v>4</v>
      </c>
      <c r="G268" s="33">
        <v>1</v>
      </c>
      <c r="H268" s="33">
        <v>81462</v>
      </c>
      <c r="I268" s="33" t="s">
        <v>17</v>
      </c>
      <c r="J268" s="33">
        <v>54413544</v>
      </c>
      <c r="K268" s="33" t="s">
        <v>2888</v>
      </c>
      <c r="L268" s="39" t="s">
        <v>2890</v>
      </c>
      <c r="M268" s="35">
        <v>119900</v>
      </c>
      <c r="N268" s="22">
        <f t="shared" si="23"/>
        <v>0.7</v>
      </c>
      <c r="O268" s="72">
        <f t="shared" si="21"/>
        <v>35970</v>
      </c>
      <c r="P268" s="22" t="s">
        <v>16</v>
      </c>
    </row>
    <row r="269" spans="1:16" s="32" customFormat="1" x14ac:dyDescent="0.35">
      <c r="A269" s="33" t="str">
        <f t="shared" si="22"/>
        <v>2025 JAN-JUN DISC 70% LICENSE ESS</v>
      </c>
      <c r="B269" s="34">
        <f t="shared" si="19"/>
        <v>46104</v>
      </c>
      <c r="C269" s="34">
        <f t="shared" si="20"/>
        <v>46113</v>
      </c>
      <c r="D269" s="33">
        <v>3287</v>
      </c>
      <c r="E269" s="33">
        <v>338</v>
      </c>
      <c r="F269" s="33">
        <v>4</v>
      </c>
      <c r="G269" s="33">
        <v>1</v>
      </c>
      <c r="H269" s="33">
        <v>81462</v>
      </c>
      <c r="I269" s="33" t="s">
        <v>17</v>
      </c>
      <c r="J269" s="33">
        <v>54413553</v>
      </c>
      <c r="K269" s="33" t="s">
        <v>2888</v>
      </c>
      <c r="L269" s="39" t="s">
        <v>2891</v>
      </c>
      <c r="M269" s="35">
        <v>119900</v>
      </c>
      <c r="N269" s="22">
        <f t="shared" si="23"/>
        <v>0.7</v>
      </c>
      <c r="O269" s="72">
        <f t="shared" si="21"/>
        <v>35970</v>
      </c>
      <c r="P269" s="22" t="s">
        <v>16</v>
      </c>
    </row>
    <row r="270" spans="1:16" s="32" customFormat="1" x14ac:dyDescent="0.35">
      <c r="A270" s="33" t="str">
        <f t="shared" si="22"/>
        <v>2025 JAN-JUN DISC 70% LICENSE ESS</v>
      </c>
      <c r="B270" s="34">
        <f t="shared" si="19"/>
        <v>46104</v>
      </c>
      <c r="C270" s="34">
        <f t="shared" si="20"/>
        <v>46113</v>
      </c>
      <c r="D270" s="33">
        <v>3287</v>
      </c>
      <c r="E270" s="33">
        <v>338</v>
      </c>
      <c r="F270" s="33">
        <v>4</v>
      </c>
      <c r="G270" s="33">
        <v>1</v>
      </c>
      <c r="H270" s="33">
        <v>81462</v>
      </c>
      <c r="I270" s="33" t="s">
        <v>17</v>
      </c>
      <c r="J270" s="33">
        <v>54413562</v>
      </c>
      <c r="K270" s="33" t="s">
        <v>2888</v>
      </c>
      <c r="L270" s="39" t="s">
        <v>2889</v>
      </c>
      <c r="M270" s="35">
        <v>119900</v>
      </c>
      <c r="N270" s="22">
        <f t="shared" si="23"/>
        <v>0.7</v>
      </c>
      <c r="O270" s="72">
        <f t="shared" si="21"/>
        <v>35970</v>
      </c>
      <c r="P270" s="22" t="s">
        <v>16</v>
      </c>
    </row>
    <row r="271" spans="1:16" s="32" customFormat="1" x14ac:dyDescent="0.35">
      <c r="A271" s="33" t="str">
        <f t="shared" si="22"/>
        <v>2025 JAN-JUN DISC 70% LICENSE ESS</v>
      </c>
      <c r="B271" s="34">
        <f t="shared" si="19"/>
        <v>46104</v>
      </c>
      <c r="C271" s="34">
        <f t="shared" si="20"/>
        <v>46113</v>
      </c>
      <c r="D271" s="33">
        <v>3287</v>
      </c>
      <c r="E271" s="33">
        <v>338</v>
      </c>
      <c r="F271" s="33">
        <v>4</v>
      </c>
      <c r="G271" s="33">
        <v>1</v>
      </c>
      <c r="H271" s="33">
        <v>81462</v>
      </c>
      <c r="I271" s="33" t="s">
        <v>17</v>
      </c>
      <c r="J271" s="33">
        <v>54413571</v>
      </c>
      <c r="K271" s="33" t="s">
        <v>2888</v>
      </c>
      <c r="L271" s="39" t="s">
        <v>2892</v>
      </c>
      <c r="M271" s="35">
        <v>119900</v>
      </c>
      <c r="N271" s="22">
        <f t="shared" si="23"/>
        <v>0.7</v>
      </c>
      <c r="O271" s="72">
        <f t="shared" si="21"/>
        <v>10770</v>
      </c>
      <c r="P271" s="22" t="s">
        <v>16</v>
      </c>
    </row>
    <row r="272" spans="1:16" s="32" customFormat="1" x14ac:dyDescent="0.35">
      <c r="A272" s="33" t="str">
        <f t="shared" si="22"/>
        <v>2025 JAN-JUN DISC 70% LICENSE ESS</v>
      </c>
      <c r="B272" s="34">
        <f t="shared" si="19"/>
        <v>46104</v>
      </c>
      <c r="C272" s="34">
        <f t="shared" si="20"/>
        <v>46113</v>
      </c>
      <c r="D272" s="33">
        <v>3287</v>
      </c>
      <c r="E272" s="33">
        <v>338</v>
      </c>
      <c r="F272" s="33">
        <v>4</v>
      </c>
      <c r="G272" s="33">
        <v>7</v>
      </c>
      <c r="H272" s="33">
        <v>81827</v>
      </c>
      <c r="I272" s="33" t="s">
        <v>17</v>
      </c>
      <c r="J272" s="33">
        <v>54413580</v>
      </c>
      <c r="K272" s="33" t="s">
        <v>2795</v>
      </c>
      <c r="L272" s="39" t="s">
        <v>2797</v>
      </c>
      <c r="M272" s="35">
        <v>35900</v>
      </c>
      <c r="N272" s="22">
        <f t="shared" si="23"/>
        <v>0.7</v>
      </c>
      <c r="O272" s="72">
        <f t="shared" si="21"/>
        <v>10770</v>
      </c>
      <c r="P272" s="22" t="s">
        <v>16</v>
      </c>
    </row>
    <row r="273" spans="1:16" s="32" customFormat="1" x14ac:dyDescent="0.35">
      <c r="A273" s="33" t="str">
        <f t="shared" si="22"/>
        <v>2025 JAN-JUN DISC 70% LICENSE ESS</v>
      </c>
      <c r="B273" s="34">
        <f t="shared" si="19"/>
        <v>46104</v>
      </c>
      <c r="C273" s="34">
        <f t="shared" si="20"/>
        <v>46113</v>
      </c>
      <c r="D273" s="33">
        <v>3287</v>
      </c>
      <c r="E273" s="33">
        <v>338</v>
      </c>
      <c r="F273" s="33">
        <v>4</v>
      </c>
      <c r="G273" s="33">
        <v>7</v>
      </c>
      <c r="H273" s="33">
        <v>81827</v>
      </c>
      <c r="I273" s="33" t="s">
        <v>17</v>
      </c>
      <c r="J273" s="33">
        <v>54413599</v>
      </c>
      <c r="K273" s="33" t="s">
        <v>2795</v>
      </c>
      <c r="L273" s="39" t="s">
        <v>2796</v>
      </c>
      <c r="M273" s="35">
        <v>35900</v>
      </c>
      <c r="N273" s="22">
        <f t="shared" si="23"/>
        <v>0.7</v>
      </c>
      <c r="O273" s="72">
        <f t="shared" si="21"/>
        <v>10770</v>
      </c>
      <c r="P273" s="22" t="s">
        <v>16</v>
      </c>
    </row>
    <row r="274" spans="1:16" s="32" customFormat="1" x14ac:dyDescent="0.35">
      <c r="A274" s="33" t="str">
        <f t="shared" si="22"/>
        <v>2025 JAN-JUN DISC 70% LICENSE ESS</v>
      </c>
      <c r="B274" s="34">
        <f t="shared" si="19"/>
        <v>46104</v>
      </c>
      <c r="C274" s="34">
        <f t="shared" si="20"/>
        <v>46113</v>
      </c>
      <c r="D274" s="33">
        <v>3287</v>
      </c>
      <c r="E274" s="33">
        <v>338</v>
      </c>
      <c r="F274" s="33">
        <v>4</v>
      </c>
      <c r="G274" s="33">
        <v>7</v>
      </c>
      <c r="H274" s="33">
        <v>81827</v>
      </c>
      <c r="I274" s="33" t="s">
        <v>17</v>
      </c>
      <c r="J274" s="33">
        <v>54413606</v>
      </c>
      <c r="K274" s="33" t="s">
        <v>2789</v>
      </c>
      <c r="L274" s="39" t="s">
        <v>2790</v>
      </c>
      <c r="M274" s="35">
        <v>35900</v>
      </c>
      <c r="N274" s="22">
        <f t="shared" si="23"/>
        <v>0.7</v>
      </c>
      <c r="O274" s="72">
        <f t="shared" si="21"/>
        <v>10770</v>
      </c>
      <c r="P274" s="22" t="s">
        <v>16</v>
      </c>
    </row>
    <row r="275" spans="1:16" s="32" customFormat="1" x14ac:dyDescent="0.35">
      <c r="A275" s="33" t="str">
        <f t="shared" si="22"/>
        <v>2025 JAN-JUN DISC 70% LICENSE ESS</v>
      </c>
      <c r="B275" s="34">
        <f t="shared" si="19"/>
        <v>46104</v>
      </c>
      <c r="C275" s="34">
        <f t="shared" si="20"/>
        <v>46113</v>
      </c>
      <c r="D275" s="33">
        <v>3287</v>
      </c>
      <c r="E275" s="33">
        <v>338</v>
      </c>
      <c r="F275" s="33">
        <v>4</v>
      </c>
      <c r="G275" s="33">
        <v>7</v>
      </c>
      <c r="H275" s="33">
        <v>81827</v>
      </c>
      <c r="I275" s="33" t="s">
        <v>17</v>
      </c>
      <c r="J275" s="33">
        <v>54413615</v>
      </c>
      <c r="K275" s="33" t="s">
        <v>2789</v>
      </c>
      <c r="L275" s="39" t="s">
        <v>2793</v>
      </c>
      <c r="M275" s="35">
        <v>35900</v>
      </c>
      <c r="N275" s="22">
        <f t="shared" si="23"/>
        <v>0.7</v>
      </c>
      <c r="O275" s="72">
        <f t="shared" si="21"/>
        <v>65970</v>
      </c>
      <c r="P275" s="22" t="s">
        <v>16</v>
      </c>
    </row>
    <row r="276" spans="1:16" s="32" customFormat="1" x14ac:dyDescent="0.35">
      <c r="A276" s="33" t="str">
        <f t="shared" si="22"/>
        <v>2025 JAN-JUN DISC 70% LICENSE ESS</v>
      </c>
      <c r="B276" s="34">
        <f t="shared" si="22"/>
        <v>46104</v>
      </c>
      <c r="C276" s="34">
        <f t="shared" si="22"/>
        <v>46113</v>
      </c>
      <c r="D276" s="33">
        <v>3287</v>
      </c>
      <c r="E276" s="33">
        <v>338</v>
      </c>
      <c r="F276" s="33">
        <v>4</v>
      </c>
      <c r="G276" s="33">
        <v>9</v>
      </c>
      <c r="H276" s="33">
        <v>81462</v>
      </c>
      <c r="I276" s="33" t="s">
        <v>17</v>
      </c>
      <c r="J276" s="33">
        <v>54413624</v>
      </c>
      <c r="K276" s="33" t="s">
        <v>2911</v>
      </c>
      <c r="L276" s="39" t="s">
        <v>2918</v>
      </c>
      <c r="M276" s="35">
        <v>219900</v>
      </c>
      <c r="N276" s="22">
        <f t="shared" si="23"/>
        <v>0.7</v>
      </c>
      <c r="O276" s="72">
        <f t="shared" si="21"/>
        <v>65970</v>
      </c>
      <c r="P276" s="22" t="s">
        <v>16</v>
      </c>
    </row>
    <row r="277" spans="1:16" s="32" customFormat="1" x14ac:dyDescent="0.35">
      <c r="A277" s="33" t="str">
        <f t="shared" si="22"/>
        <v>2025 JAN-JUN DISC 70% LICENSE ESS</v>
      </c>
      <c r="B277" s="34">
        <f t="shared" si="22"/>
        <v>46104</v>
      </c>
      <c r="C277" s="34">
        <f t="shared" si="22"/>
        <v>46113</v>
      </c>
      <c r="D277" s="33">
        <v>3287</v>
      </c>
      <c r="E277" s="33">
        <v>338</v>
      </c>
      <c r="F277" s="33">
        <v>4</v>
      </c>
      <c r="G277" s="33">
        <v>9</v>
      </c>
      <c r="H277" s="33">
        <v>81462</v>
      </c>
      <c r="I277" s="33" t="s">
        <v>17</v>
      </c>
      <c r="J277" s="33">
        <v>54413633</v>
      </c>
      <c r="K277" s="33" t="s">
        <v>2911</v>
      </c>
      <c r="L277" s="39" t="s">
        <v>2915</v>
      </c>
      <c r="M277" s="35">
        <v>219900</v>
      </c>
      <c r="N277" s="22">
        <f t="shared" si="23"/>
        <v>0.7</v>
      </c>
      <c r="O277" s="72">
        <f t="shared" si="21"/>
        <v>65970</v>
      </c>
      <c r="P277" s="22" t="s">
        <v>16</v>
      </c>
    </row>
    <row r="278" spans="1:16" s="32" customFormat="1" x14ac:dyDescent="0.35">
      <c r="A278" s="33" t="str">
        <f t="shared" si="22"/>
        <v>2025 JAN-JUN DISC 70% LICENSE ESS</v>
      </c>
      <c r="B278" s="34">
        <f t="shared" si="22"/>
        <v>46104</v>
      </c>
      <c r="C278" s="34">
        <f t="shared" si="22"/>
        <v>46113</v>
      </c>
      <c r="D278" s="33">
        <v>3287</v>
      </c>
      <c r="E278" s="33">
        <v>338</v>
      </c>
      <c r="F278" s="33">
        <v>4</v>
      </c>
      <c r="G278" s="33">
        <v>9</v>
      </c>
      <c r="H278" s="33">
        <v>81462</v>
      </c>
      <c r="I278" s="33" t="s">
        <v>17</v>
      </c>
      <c r="J278" s="33">
        <v>54413642</v>
      </c>
      <c r="K278" s="33" t="s">
        <v>2911</v>
      </c>
      <c r="L278" s="39" t="s">
        <v>2913</v>
      </c>
      <c r="M278" s="35">
        <v>219900</v>
      </c>
      <c r="N278" s="22">
        <f t="shared" si="23"/>
        <v>0.7</v>
      </c>
      <c r="O278" s="72">
        <f t="shared" si="21"/>
        <v>65970</v>
      </c>
      <c r="P278" s="22" t="s">
        <v>16</v>
      </c>
    </row>
    <row r="279" spans="1:16" s="32" customFormat="1" x14ac:dyDescent="0.35">
      <c r="A279" s="33" t="str">
        <f t="shared" si="22"/>
        <v>2025 JAN-JUN DISC 70% LICENSE ESS</v>
      </c>
      <c r="B279" s="34">
        <f t="shared" si="22"/>
        <v>46104</v>
      </c>
      <c r="C279" s="34">
        <f t="shared" si="22"/>
        <v>46113</v>
      </c>
      <c r="D279" s="33">
        <v>3287</v>
      </c>
      <c r="E279" s="33">
        <v>338</v>
      </c>
      <c r="F279" s="33">
        <v>4</v>
      </c>
      <c r="G279" s="33">
        <v>9</v>
      </c>
      <c r="H279" s="33">
        <v>81462</v>
      </c>
      <c r="I279" s="33" t="s">
        <v>17</v>
      </c>
      <c r="J279" s="33">
        <v>54413651</v>
      </c>
      <c r="K279" s="33" t="s">
        <v>2911</v>
      </c>
      <c r="L279" s="39" t="s">
        <v>2914</v>
      </c>
      <c r="M279" s="35">
        <v>219900</v>
      </c>
      <c r="N279" s="22">
        <f t="shared" si="23"/>
        <v>0.7</v>
      </c>
      <c r="O279" s="72">
        <f t="shared" si="21"/>
        <v>65970</v>
      </c>
      <c r="P279" s="22" t="s">
        <v>16</v>
      </c>
    </row>
    <row r="280" spans="1:16" s="16" customFormat="1" x14ac:dyDescent="0.35">
      <c r="A280" s="33" t="str">
        <f t="shared" si="22"/>
        <v>2025 JAN-JUN DISC 70% LICENSE ESS</v>
      </c>
      <c r="B280" s="34">
        <f t="shared" si="22"/>
        <v>46104</v>
      </c>
      <c r="C280" s="34">
        <f t="shared" si="22"/>
        <v>46113</v>
      </c>
      <c r="D280" s="33">
        <v>3287</v>
      </c>
      <c r="E280" s="33">
        <v>338</v>
      </c>
      <c r="F280" s="33">
        <v>4</v>
      </c>
      <c r="G280" s="33">
        <v>9</v>
      </c>
      <c r="H280" s="33">
        <v>81462</v>
      </c>
      <c r="I280" s="33" t="s">
        <v>17</v>
      </c>
      <c r="J280" s="33">
        <v>54413660</v>
      </c>
      <c r="K280" s="33" t="s">
        <v>2911</v>
      </c>
      <c r="L280" s="39" t="s">
        <v>2916</v>
      </c>
      <c r="M280" s="35">
        <v>219900</v>
      </c>
      <c r="N280" s="22">
        <f t="shared" si="23"/>
        <v>0.7</v>
      </c>
      <c r="O280" s="72">
        <f t="shared" si="21"/>
        <v>65970</v>
      </c>
      <c r="P280" s="22" t="s">
        <v>16</v>
      </c>
    </row>
    <row r="281" spans="1:16" s="32" customFormat="1" x14ac:dyDescent="0.35">
      <c r="A281" s="33" t="str">
        <f t="shared" si="22"/>
        <v>2025 JAN-JUN DISC 70% LICENSE ESS</v>
      </c>
      <c r="B281" s="34">
        <f t="shared" si="22"/>
        <v>46104</v>
      </c>
      <c r="C281" s="34">
        <f t="shared" si="22"/>
        <v>46113</v>
      </c>
      <c r="D281" s="33">
        <v>3287</v>
      </c>
      <c r="E281" s="33">
        <v>338</v>
      </c>
      <c r="F281" s="33">
        <v>4</v>
      </c>
      <c r="G281" s="33">
        <v>9</v>
      </c>
      <c r="H281" s="33">
        <v>81462</v>
      </c>
      <c r="I281" s="33" t="s">
        <v>17</v>
      </c>
      <c r="J281" s="33">
        <v>54413679</v>
      </c>
      <c r="K281" s="33" t="s">
        <v>2911</v>
      </c>
      <c r="L281" s="39" t="s">
        <v>2912</v>
      </c>
      <c r="M281" s="35">
        <v>219900</v>
      </c>
      <c r="N281" s="22">
        <f t="shared" si="23"/>
        <v>0.7</v>
      </c>
      <c r="O281" s="72">
        <f t="shared" si="21"/>
        <v>65970</v>
      </c>
      <c r="P281" s="22" t="s">
        <v>16</v>
      </c>
    </row>
    <row r="282" spans="1:16" s="32" customFormat="1" x14ac:dyDescent="0.35">
      <c r="A282" s="33" t="str">
        <f t="shared" si="22"/>
        <v>2025 JAN-JUN DISC 70% LICENSE ESS</v>
      </c>
      <c r="B282" s="34">
        <f t="shared" si="22"/>
        <v>46104</v>
      </c>
      <c r="C282" s="34">
        <f t="shared" si="22"/>
        <v>46113</v>
      </c>
      <c r="D282" s="33">
        <v>3287</v>
      </c>
      <c r="E282" s="33">
        <v>338</v>
      </c>
      <c r="F282" s="33">
        <v>4</v>
      </c>
      <c r="G282" s="33">
        <v>9</v>
      </c>
      <c r="H282" s="33">
        <v>81462</v>
      </c>
      <c r="I282" s="33" t="s">
        <v>17</v>
      </c>
      <c r="J282" s="33">
        <v>54413688</v>
      </c>
      <c r="K282" s="33" t="s">
        <v>2911</v>
      </c>
      <c r="L282" s="39" t="s">
        <v>2919</v>
      </c>
      <c r="M282" s="35">
        <v>219900</v>
      </c>
      <c r="N282" s="22">
        <f t="shared" si="23"/>
        <v>0.7</v>
      </c>
      <c r="O282" s="72">
        <f t="shared" si="21"/>
        <v>65970</v>
      </c>
      <c r="P282" s="22" t="s">
        <v>16</v>
      </c>
    </row>
    <row r="283" spans="1:16" s="32" customFormat="1" x14ac:dyDescent="0.35">
      <c r="A283" s="33" t="str">
        <f t="shared" si="22"/>
        <v>2025 JAN-JUN DISC 70% LICENSE ESS</v>
      </c>
      <c r="B283" s="34">
        <f t="shared" si="22"/>
        <v>46104</v>
      </c>
      <c r="C283" s="34">
        <f t="shared" si="22"/>
        <v>46113</v>
      </c>
      <c r="D283" s="33">
        <v>3287</v>
      </c>
      <c r="E283" s="33">
        <v>338</v>
      </c>
      <c r="F283" s="33">
        <v>4</v>
      </c>
      <c r="G283" s="33">
        <v>9</v>
      </c>
      <c r="H283" s="33">
        <v>81462</v>
      </c>
      <c r="I283" s="33" t="s">
        <v>17</v>
      </c>
      <c r="J283" s="33">
        <v>54413697</v>
      </c>
      <c r="K283" s="33" t="s">
        <v>2911</v>
      </c>
      <c r="L283" s="39" t="s">
        <v>2917</v>
      </c>
      <c r="M283" s="35">
        <v>219900</v>
      </c>
      <c r="N283" s="22">
        <f t="shared" si="23"/>
        <v>0.7</v>
      </c>
      <c r="O283" s="72">
        <f t="shared" si="21"/>
        <v>65970</v>
      </c>
      <c r="P283" s="22" t="s">
        <v>16</v>
      </c>
    </row>
    <row r="284" spans="1:16" s="32" customFormat="1" x14ac:dyDescent="0.35">
      <c r="A284" s="33" t="str">
        <f t="shared" si="22"/>
        <v>2025 JAN-JUN DISC 70% LICENSE ESS</v>
      </c>
      <c r="B284" s="34">
        <f t="shared" si="22"/>
        <v>46104</v>
      </c>
      <c r="C284" s="34">
        <f t="shared" si="22"/>
        <v>46113</v>
      </c>
      <c r="D284" s="33">
        <v>3287</v>
      </c>
      <c r="E284" s="33">
        <v>338</v>
      </c>
      <c r="F284" s="33">
        <v>4</v>
      </c>
      <c r="G284" s="33">
        <v>9</v>
      </c>
      <c r="H284" s="33">
        <v>81462</v>
      </c>
      <c r="I284" s="33" t="s">
        <v>17</v>
      </c>
      <c r="J284" s="33">
        <v>54505114</v>
      </c>
      <c r="K284" s="33" t="s">
        <v>2902</v>
      </c>
      <c r="L284" s="39" t="s">
        <v>2905</v>
      </c>
      <c r="M284" s="35">
        <v>219900</v>
      </c>
      <c r="N284" s="22">
        <f t="shared" si="23"/>
        <v>0.7</v>
      </c>
      <c r="O284" s="72">
        <f t="shared" si="21"/>
        <v>65970</v>
      </c>
      <c r="P284" s="22" t="s">
        <v>16</v>
      </c>
    </row>
    <row r="285" spans="1:16" s="32" customFormat="1" x14ac:dyDescent="0.35">
      <c r="A285" s="33" t="str">
        <f t="shared" si="22"/>
        <v>2025 JAN-JUN DISC 70% LICENSE ESS</v>
      </c>
      <c r="B285" s="34">
        <f t="shared" si="22"/>
        <v>46104</v>
      </c>
      <c r="C285" s="34">
        <f t="shared" si="22"/>
        <v>46113</v>
      </c>
      <c r="D285" s="33">
        <v>3287</v>
      </c>
      <c r="E285" s="33">
        <v>338</v>
      </c>
      <c r="F285" s="33">
        <v>4</v>
      </c>
      <c r="G285" s="33">
        <v>9</v>
      </c>
      <c r="H285" s="33">
        <v>81462</v>
      </c>
      <c r="I285" s="33" t="s">
        <v>17</v>
      </c>
      <c r="J285" s="33">
        <v>54505123</v>
      </c>
      <c r="K285" s="33" t="s">
        <v>2902</v>
      </c>
      <c r="L285" s="39" t="s">
        <v>2903</v>
      </c>
      <c r="M285" s="35">
        <v>219900</v>
      </c>
      <c r="N285" s="22">
        <f t="shared" si="23"/>
        <v>0.7</v>
      </c>
      <c r="O285" s="72">
        <f t="shared" si="21"/>
        <v>65970</v>
      </c>
      <c r="P285" s="22" t="s">
        <v>16</v>
      </c>
    </row>
    <row r="286" spans="1:16" s="32" customFormat="1" x14ac:dyDescent="0.35">
      <c r="A286" s="33" t="str">
        <f t="shared" si="22"/>
        <v>2025 JAN-JUN DISC 70% LICENSE ESS</v>
      </c>
      <c r="B286" s="34">
        <f t="shared" si="22"/>
        <v>46104</v>
      </c>
      <c r="C286" s="34">
        <f t="shared" si="22"/>
        <v>46113</v>
      </c>
      <c r="D286" s="33">
        <v>3287</v>
      </c>
      <c r="E286" s="33">
        <v>338</v>
      </c>
      <c r="F286" s="33">
        <v>4</v>
      </c>
      <c r="G286" s="33">
        <v>9</v>
      </c>
      <c r="H286" s="33">
        <v>81462</v>
      </c>
      <c r="I286" s="33" t="s">
        <v>17</v>
      </c>
      <c r="J286" s="33">
        <v>54505132</v>
      </c>
      <c r="K286" s="33" t="s">
        <v>2902</v>
      </c>
      <c r="L286" s="39" t="s">
        <v>2906</v>
      </c>
      <c r="M286" s="35">
        <v>219900</v>
      </c>
      <c r="N286" s="22">
        <f t="shared" si="23"/>
        <v>0.7</v>
      </c>
      <c r="O286" s="72">
        <f t="shared" si="21"/>
        <v>65970</v>
      </c>
      <c r="P286" s="22" t="s">
        <v>16</v>
      </c>
    </row>
    <row r="287" spans="1:16" s="32" customFormat="1" x14ac:dyDescent="0.35">
      <c r="A287" s="33" t="str">
        <f t="shared" si="22"/>
        <v>2025 JAN-JUN DISC 70% LICENSE ESS</v>
      </c>
      <c r="B287" s="34">
        <f t="shared" si="22"/>
        <v>46104</v>
      </c>
      <c r="C287" s="34">
        <f t="shared" si="22"/>
        <v>46113</v>
      </c>
      <c r="D287" s="33">
        <v>3287</v>
      </c>
      <c r="E287" s="33">
        <v>338</v>
      </c>
      <c r="F287" s="33">
        <v>4</v>
      </c>
      <c r="G287" s="33">
        <v>9</v>
      </c>
      <c r="H287" s="33">
        <v>81462</v>
      </c>
      <c r="I287" s="33" t="s">
        <v>17</v>
      </c>
      <c r="J287" s="33">
        <v>54505141</v>
      </c>
      <c r="K287" s="33" t="s">
        <v>2902</v>
      </c>
      <c r="L287" s="39" t="s">
        <v>2904</v>
      </c>
      <c r="M287" s="35">
        <v>219900</v>
      </c>
      <c r="N287" s="22">
        <f t="shared" si="23"/>
        <v>0.7</v>
      </c>
      <c r="O287" s="72">
        <f t="shared" si="21"/>
        <v>65970</v>
      </c>
      <c r="P287" s="22" t="s">
        <v>16</v>
      </c>
    </row>
    <row r="288" spans="1:16" s="32" customFormat="1" x14ac:dyDescent="0.35">
      <c r="A288" s="33" t="str">
        <f t="shared" si="22"/>
        <v>2025 JAN-JUN DISC 70% LICENSE ESS</v>
      </c>
      <c r="B288" s="34">
        <f t="shared" si="22"/>
        <v>46104</v>
      </c>
      <c r="C288" s="34">
        <f t="shared" si="22"/>
        <v>46113</v>
      </c>
      <c r="D288" s="33">
        <v>3287</v>
      </c>
      <c r="E288" s="33">
        <v>338</v>
      </c>
      <c r="F288" s="33">
        <v>4</v>
      </c>
      <c r="G288" s="33">
        <v>9</v>
      </c>
      <c r="H288" s="33">
        <v>81462</v>
      </c>
      <c r="I288" s="33" t="s">
        <v>17</v>
      </c>
      <c r="J288" s="33">
        <v>54505150</v>
      </c>
      <c r="K288" s="33" t="s">
        <v>2902</v>
      </c>
      <c r="L288" s="39" t="s">
        <v>2910</v>
      </c>
      <c r="M288" s="35">
        <v>219900</v>
      </c>
      <c r="N288" s="22">
        <f t="shared" si="23"/>
        <v>0.7</v>
      </c>
      <c r="O288" s="72">
        <f t="shared" si="21"/>
        <v>65970</v>
      </c>
      <c r="P288" s="22" t="s">
        <v>16</v>
      </c>
    </row>
    <row r="289" spans="1:16" s="32" customFormat="1" x14ac:dyDescent="0.35">
      <c r="A289" s="33" t="str">
        <f t="shared" si="22"/>
        <v>2025 JAN-JUN DISC 70% LICENSE ESS</v>
      </c>
      <c r="B289" s="34">
        <f t="shared" si="22"/>
        <v>46104</v>
      </c>
      <c r="C289" s="34">
        <f t="shared" si="22"/>
        <v>46113</v>
      </c>
      <c r="D289" s="33">
        <v>3287</v>
      </c>
      <c r="E289" s="33">
        <v>338</v>
      </c>
      <c r="F289" s="33">
        <v>4</v>
      </c>
      <c r="G289" s="33">
        <v>9</v>
      </c>
      <c r="H289" s="33">
        <v>81462</v>
      </c>
      <c r="I289" s="33" t="s">
        <v>17</v>
      </c>
      <c r="J289" s="33">
        <v>54505169</v>
      </c>
      <c r="K289" s="33" t="s">
        <v>2902</v>
      </c>
      <c r="L289" s="39" t="s">
        <v>2907</v>
      </c>
      <c r="M289" s="35">
        <v>219900</v>
      </c>
      <c r="N289" s="22">
        <f t="shared" si="23"/>
        <v>0.7</v>
      </c>
      <c r="O289" s="72">
        <f t="shared" si="21"/>
        <v>65970</v>
      </c>
      <c r="P289" s="22" t="s">
        <v>16</v>
      </c>
    </row>
    <row r="290" spans="1:16" s="32" customFormat="1" x14ac:dyDescent="0.35">
      <c r="A290" s="33" t="str">
        <f t="shared" si="22"/>
        <v>2025 JAN-JUN DISC 70% LICENSE ESS</v>
      </c>
      <c r="B290" s="34">
        <f t="shared" si="22"/>
        <v>46104</v>
      </c>
      <c r="C290" s="34">
        <f t="shared" si="22"/>
        <v>46113</v>
      </c>
      <c r="D290" s="33">
        <v>3287</v>
      </c>
      <c r="E290" s="33">
        <v>338</v>
      </c>
      <c r="F290" s="33">
        <v>4</v>
      </c>
      <c r="G290" s="33">
        <v>9</v>
      </c>
      <c r="H290" s="33">
        <v>81462</v>
      </c>
      <c r="I290" s="33" t="s">
        <v>17</v>
      </c>
      <c r="J290" s="33">
        <v>54505178</v>
      </c>
      <c r="K290" s="33" t="s">
        <v>2902</v>
      </c>
      <c r="L290" s="39" t="s">
        <v>2909</v>
      </c>
      <c r="M290" s="35">
        <v>219900</v>
      </c>
      <c r="N290" s="22">
        <f t="shared" si="23"/>
        <v>0.7</v>
      </c>
      <c r="O290" s="72">
        <f t="shared" si="21"/>
        <v>65970</v>
      </c>
      <c r="P290" s="22" t="s">
        <v>16</v>
      </c>
    </row>
    <row r="291" spans="1:16" s="32" customFormat="1" x14ac:dyDescent="0.35">
      <c r="A291" s="33" t="str">
        <f t="shared" si="22"/>
        <v>2025 JAN-JUN DISC 70% LICENSE ESS</v>
      </c>
      <c r="B291" s="34">
        <f t="shared" si="22"/>
        <v>46104</v>
      </c>
      <c r="C291" s="34">
        <f t="shared" si="22"/>
        <v>46113</v>
      </c>
      <c r="D291" s="33">
        <v>3287</v>
      </c>
      <c r="E291" s="33">
        <v>338</v>
      </c>
      <c r="F291" s="33">
        <v>4</v>
      </c>
      <c r="G291" s="33">
        <v>9</v>
      </c>
      <c r="H291" s="33">
        <v>81462</v>
      </c>
      <c r="I291" s="33" t="s">
        <v>17</v>
      </c>
      <c r="J291" s="33">
        <v>54505187</v>
      </c>
      <c r="K291" s="33" t="s">
        <v>2902</v>
      </c>
      <c r="L291" s="39" t="s">
        <v>2908</v>
      </c>
      <c r="M291" s="35">
        <v>219900</v>
      </c>
      <c r="N291" s="22">
        <f t="shared" si="23"/>
        <v>0.7</v>
      </c>
      <c r="O291" s="72">
        <f t="shared" si="21"/>
        <v>65970</v>
      </c>
      <c r="P291" s="22" t="s">
        <v>16</v>
      </c>
    </row>
    <row r="292" spans="1:16" s="32" customFormat="1" x14ac:dyDescent="0.35">
      <c r="A292" s="33" t="str">
        <f t="shared" si="22"/>
        <v>2025 JAN-JUN DISC 70% LICENSE ESS</v>
      </c>
      <c r="B292" s="34">
        <f t="shared" si="22"/>
        <v>46104</v>
      </c>
      <c r="C292" s="34">
        <f t="shared" si="22"/>
        <v>46113</v>
      </c>
      <c r="D292" s="33">
        <v>3287</v>
      </c>
      <c r="E292" s="33">
        <v>338</v>
      </c>
      <c r="F292" s="33">
        <v>4</v>
      </c>
      <c r="G292" s="33">
        <v>4</v>
      </c>
      <c r="H292" s="33">
        <v>81676</v>
      </c>
      <c r="I292" s="33" t="s">
        <v>17</v>
      </c>
      <c r="J292" s="33">
        <v>54509165</v>
      </c>
      <c r="K292" s="33" t="s">
        <v>2893</v>
      </c>
      <c r="L292" s="39" t="s">
        <v>2900</v>
      </c>
      <c r="M292" s="35">
        <v>219900</v>
      </c>
      <c r="N292" s="22">
        <f t="shared" si="23"/>
        <v>0.7</v>
      </c>
      <c r="O292" s="72">
        <f t="shared" si="21"/>
        <v>65970</v>
      </c>
      <c r="P292" s="22" t="s">
        <v>16</v>
      </c>
    </row>
    <row r="293" spans="1:16" s="32" customFormat="1" x14ac:dyDescent="0.35">
      <c r="A293" s="33" t="str">
        <f t="shared" si="22"/>
        <v>2025 JAN-JUN DISC 70% LICENSE ESS</v>
      </c>
      <c r="B293" s="34">
        <f t="shared" si="22"/>
        <v>46104</v>
      </c>
      <c r="C293" s="34">
        <f t="shared" si="22"/>
        <v>46113</v>
      </c>
      <c r="D293" s="33">
        <v>3287</v>
      </c>
      <c r="E293" s="33">
        <v>338</v>
      </c>
      <c r="F293" s="33">
        <v>4</v>
      </c>
      <c r="G293" s="33">
        <v>4</v>
      </c>
      <c r="H293" s="33">
        <v>81676</v>
      </c>
      <c r="I293" s="33" t="s">
        <v>17</v>
      </c>
      <c r="J293" s="33">
        <v>54509174</v>
      </c>
      <c r="K293" s="33" t="s">
        <v>2893</v>
      </c>
      <c r="L293" s="39" t="s">
        <v>2901</v>
      </c>
      <c r="M293" s="35">
        <v>219900</v>
      </c>
      <c r="N293" s="22">
        <f t="shared" si="23"/>
        <v>0.7</v>
      </c>
      <c r="O293" s="72">
        <f t="shared" si="21"/>
        <v>65970</v>
      </c>
      <c r="P293" s="22" t="s">
        <v>16</v>
      </c>
    </row>
    <row r="294" spans="1:16" s="32" customFormat="1" x14ac:dyDescent="0.35">
      <c r="A294" s="33" t="str">
        <f t="shared" si="22"/>
        <v>2025 JAN-JUN DISC 70% LICENSE ESS</v>
      </c>
      <c r="B294" s="34">
        <f t="shared" si="22"/>
        <v>46104</v>
      </c>
      <c r="C294" s="34">
        <f t="shared" si="22"/>
        <v>46113</v>
      </c>
      <c r="D294" s="33">
        <v>3287</v>
      </c>
      <c r="E294" s="33">
        <v>338</v>
      </c>
      <c r="F294" s="33">
        <v>4</v>
      </c>
      <c r="G294" s="33">
        <v>4</v>
      </c>
      <c r="H294" s="33">
        <v>81676</v>
      </c>
      <c r="I294" s="33" t="s">
        <v>17</v>
      </c>
      <c r="J294" s="33">
        <v>54509183</v>
      </c>
      <c r="K294" s="33" t="s">
        <v>2893</v>
      </c>
      <c r="L294" s="39" t="s">
        <v>2895</v>
      </c>
      <c r="M294" s="35">
        <v>219900</v>
      </c>
      <c r="N294" s="22">
        <f t="shared" si="23"/>
        <v>0.7</v>
      </c>
      <c r="O294" s="72">
        <f t="shared" si="21"/>
        <v>65970</v>
      </c>
      <c r="P294" s="22" t="s">
        <v>16</v>
      </c>
    </row>
    <row r="295" spans="1:16" s="32" customFormat="1" x14ac:dyDescent="0.35">
      <c r="A295" s="33" t="str">
        <f t="shared" si="22"/>
        <v>2025 JAN-JUN DISC 70% LICENSE ESS</v>
      </c>
      <c r="B295" s="34">
        <f t="shared" si="22"/>
        <v>46104</v>
      </c>
      <c r="C295" s="34">
        <f t="shared" si="22"/>
        <v>46113</v>
      </c>
      <c r="D295" s="33">
        <v>3287</v>
      </c>
      <c r="E295" s="33">
        <v>338</v>
      </c>
      <c r="F295" s="33">
        <v>4</v>
      </c>
      <c r="G295" s="33">
        <v>4</v>
      </c>
      <c r="H295" s="33">
        <v>81676</v>
      </c>
      <c r="I295" s="33" t="s">
        <v>17</v>
      </c>
      <c r="J295" s="33">
        <v>54509192</v>
      </c>
      <c r="K295" s="33" t="s">
        <v>2893</v>
      </c>
      <c r="L295" s="39" t="s">
        <v>2897</v>
      </c>
      <c r="M295" s="35">
        <v>219900</v>
      </c>
      <c r="N295" s="22">
        <f t="shared" si="23"/>
        <v>0.7</v>
      </c>
      <c r="O295" s="72">
        <f t="shared" si="21"/>
        <v>65970</v>
      </c>
      <c r="P295" s="22" t="s">
        <v>16</v>
      </c>
    </row>
    <row r="296" spans="1:16" s="32" customFormat="1" x14ac:dyDescent="0.35">
      <c r="A296" s="33" t="str">
        <f t="shared" si="22"/>
        <v>2025 JAN-JUN DISC 70% LICENSE ESS</v>
      </c>
      <c r="B296" s="34">
        <f t="shared" si="22"/>
        <v>46104</v>
      </c>
      <c r="C296" s="34">
        <f t="shared" si="22"/>
        <v>46113</v>
      </c>
      <c r="D296" s="33">
        <v>3287</v>
      </c>
      <c r="E296" s="33">
        <v>338</v>
      </c>
      <c r="F296" s="33">
        <v>4</v>
      </c>
      <c r="G296" s="33">
        <v>4</v>
      </c>
      <c r="H296" s="33">
        <v>81676</v>
      </c>
      <c r="I296" s="33" t="s">
        <v>17</v>
      </c>
      <c r="J296" s="33">
        <v>54509209</v>
      </c>
      <c r="K296" s="33" t="s">
        <v>2893</v>
      </c>
      <c r="L296" s="39" t="s">
        <v>2894</v>
      </c>
      <c r="M296" s="35">
        <v>219900</v>
      </c>
      <c r="N296" s="22">
        <f t="shared" si="23"/>
        <v>0.7</v>
      </c>
      <c r="O296" s="72">
        <f t="shared" si="21"/>
        <v>65970</v>
      </c>
      <c r="P296" s="22" t="s">
        <v>16</v>
      </c>
    </row>
    <row r="297" spans="1:16" s="32" customFormat="1" x14ac:dyDescent="0.35">
      <c r="A297" s="33" t="str">
        <f t="shared" si="22"/>
        <v>2025 JAN-JUN DISC 70% LICENSE ESS</v>
      </c>
      <c r="B297" s="34">
        <f t="shared" si="22"/>
        <v>46104</v>
      </c>
      <c r="C297" s="34">
        <f t="shared" si="22"/>
        <v>46113</v>
      </c>
      <c r="D297" s="33">
        <v>3287</v>
      </c>
      <c r="E297" s="33">
        <v>338</v>
      </c>
      <c r="F297" s="33">
        <v>4</v>
      </c>
      <c r="G297" s="33">
        <v>4</v>
      </c>
      <c r="H297" s="33">
        <v>81676</v>
      </c>
      <c r="I297" s="33" t="s">
        <v>17</v>
      </c>
      <c r="J297" s="33">
        <v>54509218</v>
      </c>
      <c r="K297" s="33" t="s">
        <v>2893</v>
      </c>
      <c r="L297" s="39" t="s">
        <v>2898</v>
      </c>
      <c r="M297" s="35">
        <v>219900</v>
      </c>
      <c r="N297" s="22">
        <f t="shared" si="23"/>
        <v>0.7</v>
      </c>
      <c r="O297" s="72">
        <f t="shared" si="21"/>
        <v>65970</v>
      </c>
      <c r="P297" s="22" t="s">
        <v>16</v>
      </c>
    </row>
    <row r="298" spans="1:16" s="32" customFormat="1" x14ac:dyDescent="0.35">
      <c r="A298" s="33" t="str">
        <f t="shared" si="22"/>
        <v>2025 JAN-JUN DISC 70% LICENSE ESS</v>
      </c>
      <c r="B298" s="34">
        <f t="shared" si="22"/>
        <v>46104</v>
      </c>
      <c r="C298" s="34">
        <f t="shared" si="22"/>
        <v>46113</v>
      </c>
      <c r="D298" s="33">
        <v>3287</v>
      </c>
      <c r="E298" s="33">
        <v>338</v>
      </c>
      <c r="F298" s="33">
        <v>4</v>
      </c>
      <c r="G298" s="33">
        <v>4</v>
      </c>
      <c r="H298" s="33">
        <v>81676</v>
      </c>
      <c r="I298" s="33" t="s">
        <v>17</v>
      </c>
      <c r="J298" s="33">
        <v>54509227</v>
      </c>
      <c r="K298" s="33" t="s">
        <v>2893</v>
      </c>
      <c r="L298" s="39" t="s">
        <v>2896</v>
      </c>
      <c r="M298" s="35">
        <v>219900</v>
      </c>
      <c r="N298" s="22">
        <f t="shared" si="23"/>
        <v>0.7</v>
      </c>
      <c r="O298" s="72">
        <f t="shared" si="21"/>
        <v>65970</v>
      </c>
      <c r="P298" s="22" t="s">
        <v>16</v>
      </c>
    </row>
    <row r="299" spans="1:16" s="32" customFormat="1" x14ac:dyDescent="0.35">
      <c r="A299" s="33" t="str">
        <f t="shared" si="22"/>
        <v>2025 JAN-JUN DISC 70% LICENSE ESS</v>
      </c>
      <c r="B299" s="34">
        <f t="shared" si="22"/>
        <v>46104</v>
      </c>
      <c r="C299" s="34">
        <f t="shared" si="22"/>
        <v>46113</v>
      </c>
      <c r="D299" s="33">
        <v>3287</v>
      </c>
      <c r="E299" s="33">
        <v>338</v>
      </c>
      <c r="F299" s="33">
        <v>4</v>
      </c>
      <c r="G299" s="33">
        <v>4</v>
      </c>
      <c r="H299" s="33">
        <v>81676</v>
      </c>
      <c r="I299" s="33" t="s">
        <v>17</v>
      </c>
      <c r="J299" s="33">
        <v>54509236</v>
      </c>
      <c r="K299" s="33" t="s">
        <v>2893</v>
      </c>
      <c r="L299" s="39" t="s">
        <v>2899</v>
      </c>
      <c r="M299" s="35">
        <v>219900</v>
      </c>
      <c r="N299" s="22">
        <f t="shared" si="23"/>
        <v>0.7</v>
      </c>
      <c r="O299" s="72">
        <f t="shared" si="21"/>
        <v>10770</v>
      </c>
      <c r="P299" s="22" t="s">
        <v>16</v>
      </c>
    </row>
    <row r="300" spans="1:16" s="32" customFormat="1" x14ac:dyDescent="0.35">
      <c r="A300" s="33" t="str">
        <f t="shared" si="22"/>
        <v>2025 JAN-JUN DISC 70% LICENSE ESS</v>
      </c>
      <c r="B300" s="34">
        <f t="shared" si="22"/>
        <v>46104</v>
      </c>
      <c r="C300" s="34">
        <f t="shared" si="22"/>
        <v>46113</v>
      </c>
      <c r="D300" s="33">
        <v>3287</v>
      </c>
      <c r="E300" s="33">
        <v>338</v>
      </c>
      <c r="F300" s="33">
        <v>4</v>
      </c>
      <c r="G300" s="33">
        <v>10</v>
      </c>
      <c r="H300" s="33">
        <v>81533</v>
      </c>
      <c r="I300" s="33" t="s">
        <v>17</v>
      </c>
      <c r="J300" s="33">
        <v>54413508</v>
      </c>
      <c r="K300" s="33" t="s">
        <v>2920</v>
      </c>
      <c r="L300" s="39" t="s">
        <v>2924</v>
      </c>
      <c r="M300" s="35">
        <v>35900</v>
      </c>
      <c r="N300" s="22">
        <f t="shared" si="23"/>
        <v>0.7</v>
      </c>
      <c r="O300" s="72">
        <f t="shared" si="21"/>
        <v>10770</v>
      </c>
      <c r="P300" s="22" t="s">
        <v>16</v>
      </c>
    </row>
    <row r="301" spans="1:16" s="32" customFormat="1" x14ac:dyDescent="0.35">
      <c r="A301" s="33" t="str">
        <f t="shared" si="22"/>
        <v>2025 JAN-JUN DISC 70% LICENSE ESS</v>
      </c>
      <c r="B301" s="34">
        <f t="shared" si="22"/>
        <v>46104</v>
      </c>
      <c r="C301" s="34">
        <f t="shared" si="22"/>
        <v>46113</v>
      </c>
      <c r="D301" s="33">
        <v>3287</v>
      </c>
      <c r="E301" s="33">
        <v>338</v>
      </c>
      <c r="F301" s="33">
        <v>4</v>
      </c>
      <c r="G301" s="33">
        <v>10</v>
      </c>
      <c r="H301" s="33">
        <v>81533</v>
      </c>
      <c r="I301" s="33" t="s">
        <v>17</v>
      </c>
      <c r="J301" s="33">
        <v>54413517</v>
      </c>
      <c r="K301" s="33" t="s">
        <v>2920</v>
      </c>
      <c r="L301" s="39" t="s">
        <v>2921</v>
      </c>
      <c r="M301" s="35">
        <v>35900</v>
      </c>
      <c r="N301" s="22">
        <f t="shared" si="23"/>
        <v>0.7</v>
      </c>
      <c r="O301" s="72">
        <f t="shared" si="21"/>
        <v>10770</v>
      </c>
      <c r="P301" s="22" t="s">
        <v>16</v>
      </c>
    </row>
    <row r="302" spans="1:16" s="32" customFormat="1" x14ac:dyDescent="0.35">
      <c r="A302" s="33" t="str">
        <f t="shared" si="22"/>
        <v>2025 JAN-JUN DISC 70% LICENSE ESS</v>
      </c>
      <c r="B302" s="34">
        <f t="shared" si="22"/>
        <v>46104</v>
      </c>
      <c r="C302" s="34">
        <f t="shared" si="22"/>
        <v>46113</v>
      </c>
      <c r="D302" s="33">
        <v>3287</v>
      </c>
      <c r="E302" s="33">
        <v>338</v>
      </c>
      <c r="F302" s="33">
        <v>4</v>
      </c>
      <c r="G302" s="33">
        <v>10</v>
      </c>
      <c r="H302" s="33">
        <v>81533</v>
      </c>
      <c r="I302" s="33" t="s">
        <v>17</v>
      </c>
      <c r="J302" s="33">
        <v>54413526</v>
      </c>
      <c r="K302" s="33" t="s">
        <v>2922</v>
      </c>
      <c r="L302" s="39" t="s">
        <v>2923</v>
      </c>
      <c r="M302" s="35">
        <v>35900</v>
      </c>
      <c r="N302" s="22">
        <f t="shared" si="23"/>
        <v>0.7</v>
      </c>
      <c r="O302" s="72">
        <f t="shared" si="21"/>
        <v>10770</v>
      </c>
      <c r="P302" s="22" t="s">
        <v>16</v>
      </c>
    </row>
    <row r="303" spans="1:16" s="32" customFormat="1" x14ac:dyDescent="0.35">
      <c r="A303" s="33" t="str">
        <f t="shared" si="22"/>
        <v>2025 JAN-JUN DISC 70% LICENSE ESS</v>
      </c>
      <c r="B303" s="34">
        <f t="shared" si="22"/>
        <v>46104</v>
      </c>
      <c r="C303" s="34">
        <f t="shared" si="22"/>
        <v>46113</v>
      </c>
      <c r="D303" s="33">
        <v>3287</v>
      </c>
      <c r="E303" s="33">
        <v>338</v>
      </c>
      <c r="F303" s="33">
        <v>4</v>
      </c>
      <c r="G303" s="33">
        <v>10</v>
      </c>
      <c r="H303" s="33">
        <v>81533</v>
      </c>
      <c r="I303" s="33" t="s">
        <v>17</v>
      </c>
      <c r="J303" s="33">
        <v>54413535</v>
      </c>
      <c r="K303" s="33" t="s">
        <v>2922</v>
      </c>
      <c r="L303" s="39" t="s">
        <v>2925</v>
      </c>
      <c r="M303" s="35">
        <v>35900</v>
      </c>
      <c r="N303" s="22">
        <f t="shared" si="23"/>
        <v>0.7</v>
      </c>
      <c r="O303" s="72">
        <f t="shared" si="21"/>
        <v>0</v>
      </c>
      <c r="P303" s="22" t="s">
        <v>16</v>
      </c>
    </row>
  </sheetData>
  <phoneticPr fontId="8" type="noConversion"/>
  <conditionalFormatting sqref="J1:J1048576">
    <cfRule type="duplicateValues" dxfId="1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ADE2B-E70C-45A0-A62E-78520E6264A0}">
  <sheetPr>
    <tabColor rgb="FFFFFF00"/>
  </sheetPr>
  <dimension ref="A1:P388"/>
  <sheetViews>
    <sheetView topLeftCell="L1" zoomScale="92" zoomScaleNormal="100" workbookViewId="0">
      <pane ySplit="1" topLeftCell="A370" activePane="bottomLeft" state="frozen"/>
      <selection activeCell="P5" sqref="P5"/>
      <selection pane="bottomLeft" activeCell="B2" sqref="B2:C2"/>
    </sheetView>
  </sheetViews>
  <sheetFormatPr defaultColWidth="8.6328125" defaultRowHeight="14.5" x14ac:dyDescent="0.35"/>
  <cols>
    <col min="1" max="1" width="31.54296875" style="2" customWidth="1"/>
    <col min="2" max="2" width="16.08984375" style="3" bestFit="1" customWidth="1"/>
    <col min="3" max="3" width="13.36328125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0.90625" style="2" customWidth="1"/>
    <col min="8" max="8" width="13.90625" style="2" bestFit="1" customWidth="1"/>
    <col min="9" max="9" width="16.54296875" style="2" bestFit="1" customWidth="1"/>
    <col min="10" max="10" width="9.54296875" style="2" bestFit="1" customWidth="1"/>
    <col min="11" max="11" width="12.08984375" style="2" customWidth="1"/>
    <col min="12" max="12" width="75.1796875" style="2" customWidth="1"/>
    <col min="13" max="13" width="20.90625" style="4" bestFit="1" customWidth="1"/>
    <col min="14" max="14" width="14.26953125" style="5" customWidth="1"/>
    <col min="15" max="15" width="19.90625" style="4" bestFit="1" customWidth="1"/>
    <col min="16" max="16" width="19.90625" style="2" bestFit="1" customWidth="1"/>
    <col min="17" max="16384" width="8.63281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30" t="s">
        <v>3</v>
      </c>
      <c r="H1" s="30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33" t="s">
        <v>3338</v>
      </c>
      <c r="B2" s="34">
        <v>46104</v>
      </c>
      <c r="C2" s="34">
        <v>46113</v>
      </c>
      <c r="D2" s="6">
        <v>3287</v>
      </c>
      <c r="E2" s="6">
        <v>338</v>
      </c>
      <c r="F2" s="33">
        <v>4</v>
      </c>
      <c r="G2" s="24">
        <v>9</v>
      </c>
      <c r="H2" s="24">
        <v>81676</v>
      </c>
      <c r="I2" s="24" t="s">
        <v>17</v>
      </c>
      <c r="J2" s="23">
        <v>10721427</v>
      </c>
      <c r="K2" s="23" t="s">
        <v>2331</v>
      </c>
      <c r="L2" s="23" t="s">
        <v>2332</v>
      </c>
      <c r="M2" s="25">
        <v>229900</v>
      </c>
      <c r="N2" s="9">
        <v>0.75</v>
      </c>
      <c r="O2" s="8">
        <f>M2-((75*M2)/100)</f>
        <v>57475</v>
      </c>
      <c r="P2" s="6" t="s">
        <v>16</v>
      </c>
    </row>
    <row r="3" spans="1:16" x14ac:dyDescent="0.35">
      <c r="A3" s="33" t="str">
        <f>A2</f>
        <v>2024 JAN-DEC DISC 75 LICENSE ESS</v>
      </c>
      <c r="B3" s="7">
        <f>B2</f>
        <v>46104</v>
      </c>
      <c r="C3" s="7">
        <f>C2</f>
        <v>46113</v>
      </c>
      <c r="D3" s="6">
        <v>3287</v>
      </c>
      <c r="E3" s="6">
        <v>338</v>
      </c>
      <c r="F3" s="33">
        <v>4</v>
      </c>
      <c r="G3" s="24">
        <v>9</v>
      </c>
      <c r="H3" s="24">
        <v>81676</v>
      </c>
      <c r="I3" s="24" t="s">
        <v>17</v>
      </c>
      <c r="J3" s="23">
        <v>10721436</v>
      </c>
      <c r="K3" s="23" t="s">
        <v>2331</v>
      </c>
      <c r="L3" s="23" t="s">
        <v>2333</v>
      </c>
      <c r="M3" s="25">
        <v>229900</v>
      </c>
      <c r="N3" s="36">
        <f>N2</f>
        <v>0.75</v>
      </c>
      <c r="O3" s="35">
        <f t="shared" ref="O3:O66" si="0">M3-((75*M3)/100)</f>
        <v>57475</v>
      </c>
      <c r="P3" s="33" t="s">
        <v>16</v>
      </c>
    </row>
    <row r="4" spans="1:16" x14ac:dyDescent="0.35">
      <c r="A4" s="33" t="str">
        <f t="shared" ref="A4:A15" si="1">A3</f>
        <v>2024 JAN-DEC DISC 75 LICENSE ESS</v>
      </c>
      <c r="B4" s="7">
        <f t="shared" ref="B4:B67" si="2">B3</f>
        <v>46104</v>
      </c>
      <c r="C4" s="7">
        <f t="shared" ref="C4:C67" si="3">C3</f>
        <v>46113</v>
      </c>
      <c r="D4" s="6">
        <v>3287</v>
      </c>
      <c r="E4" s="6">
        <v>338</v>
      </c>
      <c r="F4" s="33">
        <v>4</v>
      </c>
      <c r="G4" s="24">
        <v>9</v>
      </c>
      <c r="H4" s="24">
        <v>81676</v>
      </c>
      <c r="I4" s="24" t="s">
        <v>17</v>
      </c>
      <c r="J4" s="23">
        <v>10721445</v>
      </c>
      <c r="K4" s="23" t="s">
        <v>2331</v>
      </c>
      <c r="L4" s="23" t="s">
        <v>2334</v>
      </c>
      <c r="M4" s="25">
        <v>229900</v>
      </c>
      <c r="N4" s="36">
        <f t="shared" ref="N4:N67" si="4">N3</f>
        <v>0.75</v>
      </c>
      <c r="O4" s="35">
        <f t="shared" si="0"/>
        <v>57475</v>
      </c>
      <c r="P4" s="33" t="s">
        <v>16</v>
      </c>
    </row>
    <row r="5" spans="1:16" x14ac:dyDescent="0.35">
      <c r="A5" s="33" t="str">
        <f t="shared" si="1"/>
        <v>2024 JAN-DEC DISC 75 LICENSE ESS</v>
      </c>
      <c r="B5" s="7">
        <f t="shared" si="2"/>
        <v>46104</v>
      </c>
      <c r="C5" s="7">
        <f t="shared" si="3"/>
        <v>46113</v>
      </c>
      <c r="D5" s="6">
        <v>3287</v>
      </c>
      <c r="E5" s="6">
        <v>338</v>
      </c>
      <c r="F5" s="33">
        <v>4</v>
      </c>
      <c r="G5" s="24">
        <v>9</v>
      </c>
      <c r="H5" s="24">
        <v>81676</v>
      </c>
      <c r="I5" s="24" t="s">
        <v>17</v>
      </c>
      <c r="J5" s="23">
        <v>10721454</v>
      </c>
      <c r="K5" s="23" t="s">
        <v>2331</v>
      </c>
      <c r="L5" s="23" t="s">
        <v>2335</v>
      </c>
      <c r="M5" s="25">
        <v>229900</v>
      </c>
      <c r="N5" s="36">
        <f t="shared" si="4"/>
        <v>0.75</v>
      </c>
      <c r="O5" s="35">
        <f t="shared" si="0"/>
        <v>57475</v>
      </c>
      <c r="P5" s="33" t="s">
        <v>16</v>
      </c>
    </row>
    <row r="6" spans="1:16" x14ac:dyDescent="0.35">
      <c r="A6" s="33" t="str">
        <f t="shared" si="1"/>
        <v>2024 JAN-DEC DISC 75 LICENSE ESS</v>
      </c>
      <c r="B6" s="7">
        <f t="shared" si="2"/>
        <v>46104</v>
      </c>
      <c r="C6" s="7">
        <f t="shared" si="3"/>
        <v>46113</v>
      </c>
      <c r="D6" s="6">
        <v>3287</v>
      </c>
      <c r="E6" s="6">
        <v>338</v>
      </c>
      <c r="F6" s="33">
        <v>4</v>
      </c>
      <c r="G6" s="24">
        <v>4</v>
      </c>
      <c r="H6" s="24">
        <v>81676</v>
      </c>
      <c r="I6" s="24" t="s">
        <v>17</v>
      </c>
      <c r="J6" s="23">
        <v>14832336</v>
      </c>
      <c r="K6" s="23" t="s">
        <v>395</v>
      </c>
      <c r="L6" s="23" t="s">
        <v>396</v>
      </c>
      <c r="M6" s="25">
        <v>229900</v>
      </c>
      <c r="N6" s="36">
        <f t="shared" si="4"/>
        <v>0.75</v>
      </c>
      <c r="O6" s="35">
        <f t="shared" si="0"/>
        <v>57475</v>
      </c>
      <c r="P6" s="33" t="s">
        <v>16</v>
      </c>
    </row>
    <row r="7" spans="1:16" x14ac:dyDescent="0.35">
      <c r="A7" s="33" t="str">
        <f t="shared" si="1"/>
        <v>2024 JAN-DEC DISC 75 LICENSE ESS</v>
      </c>
      <c r="B7" s="7">
        <f t="shared" si="2"/>
        <v>46104</v>
      </c>
      <c r="C7" s="7">
        <f t="shared" si="3"/>
        <v>46113</v>
      </c>
      <c r="D7" s="6">
        <v>3287</v>
      </c>
      <c r="E7" s="6">
        <v>338</v>
      </c>
      <c r="F7" s="33">
        <v>4</v>
      </c>
      <c r="G7" s="24">
        <v>4</v>
      </c>
      <c r="H7" s="24">
        <v>81676</v>
      </c>
      <c r="I7" s="24" t="s">
        <v>17</v>
      </c>
      <c r="J7" s="23">
        <v>14832345</v>
      </c>
      <c r="K7" s="23" t="s">
        <v>395</v>
      </c>
      <c r="L7" s="23" t="s">
        <v>397</v>
      </c>
      <c r="M7" s="25">
        <v>229900</v>
      </c>
      <c r="N7" s="36">
        <f t="shared" si="4"/>
        <v>0.75</v>
      </c>
      <c r="O7" s="35">
        <f t="shared" si="0"/>
        <v>57475</v>
      </c>
      <c r="P7" s="33" t="s">
        <v>16</v>
      </c>
    </row>
    <row r="8" spans="1:16" x14ac:dyDescent="0.35">
      <c r="A8" s="33" t="str">
        <f t="shared" si="1"/>
        <v>2024 JAN-DEC DISC 75 LICENSE ESS</v>
      </c>
      <c r="B8" s="7">
        <f t="shared" si="2"/>
        <v>46104</v>
      </c>
      <c r="C8" s="7">
        <f t="shared" si="3"/>
        <v>46113</v>
      </c>
      <c r="D8" s="6">
        <v>3287</v>
      </c>
      <c r="E8" s="6">
        <v>338</v>
      </c>
      <c r="F8" s="33">
        <v>4</v>
      </c>
      <c r="G8" s="24">
        <v>4</v>
      </c>
      <c r="H8" s="24">
        <v>81676</v>
      </c>
      <c r="I8" s="24" t="s">
        <v>17</v>
      </c>
      <c r="J8" s="23">
        <v>14832354</v>
      </c>
      <c r="K8" s="23" t="s">
        <v>395</v>
      </c>
      <c r="L8" s="23" t="s">
        <v>398</v>
      </c>
      <c r="M8" s="25">
        <v>229900</v>
      </c>
      <c r="N8" s="36">
        <f t="shared" si="4"/>
        <v>0.75</v>
      </c>
      <c r="O8" s="35">
        <f t="shared" si="0"/>
        <v>57475</v>
      </c>
      <c r="P8" s="33" t="s">
        <v>16</v>
      </c>
    </row>
    <row r="9" spans="1:16" x14ac:dyDescent="0.35">
      <c r="A9" s="33" t="str">
        <f t="shared" si="1"/>
        <v>2024 JAN-DEC DISC 75 LICENSE ESS</v>
      </c>
      <c r="B9" s="7">
        <f t="shared" si="2"/>
        <v>46104</v>
      </c>
      <c r="C9" s="7">
        <f t="shared" si="3"/>
        <v>46113</v>
      </c>
      <c r="D9" s="6">
        <v>3287</v>
      </c>
      <c r="E9" s="6">
        <v>338</v>
      </c>
      <c r="F9" s="33">
        <v>4</v>
      </c>
      <c r="G9" s="24">
        <v>4</v>
      </c>
      <c r="H9" s="24">
        <v>81676</v>
      </c>
      <c r="I9" s="24" t="s">
        <v>17</v>
      </c>
      <c r="J9" s="23">
        <v>14832363</v>
      </c>
      <c r="K9" s="23" t="s">
        <v>395</v>
      </c>
      <c r="L9" s="23" t="s">
        <v>399</v>
      </c>
      <c r="M9" s="25">
        <v>229900</v>
      </c>
      <c r="N9" s="36">
        <f t="shared" si="4"/>
        <v>0.75</v>
      </c>
      <c r="O9" s="35">
        <f t="shared" si="0"/>
        <v>57475</v>
      </c>
      <c r="P9" s="33" t="s">
        <v>16</v>
      </c>
    </row>
    <row r="10" spans="1:16" x14ac:dyDescent="0.35">
      <c r="A10" s="33" t="str">
        <f t="shared" si="1"/>
        <v>2024 JAN-DEC DISC 75 LICENSE ESS</v>
      </c>
      <c r="B10" s="7">
        <f t="shared" si="2"/>
        <v>46104</v>
      </c>
      <c r="C10" s="7">
        <f t="shared" si="3"/>
        <v>46113</v>
      </c>
      <c r="D10" s="6">
        <v>3287</v>
      </c>
      <c r="E10" s="6">
        <v>338</v>
      </c>
      <c r="F10" s="33">
        <v>4</v>
      </c>
      <c r="G10" s="24">
        <v>4</v>
      </c>
      <c r="H10" s="24">
        <v>81676</v>
      </c>
      <c r="I10" s="24" t="s">
        <v>17</v>
      </c>
      <c r="J10" s="23">
        <v>14832372</v>
      </c>
      <c r="K10" s="23" t="s">
        <v>395</v>
      </c>
      <c r="L10" s="23" t="s">
        <v>400</v>
      </c>
      <c r="M10" s="25">
        <v>239900</v>
      </c>
      <c r="N10" s="36">
        <f t="shared" si="4"/>
        <v>0.75</v>
      </c>
      <c r="O10" s="35">
        <f t="shared" si="0"/>
        <v>59975</v>
      </c>
      <c r="P10" s="33" t="s">
        <v>16</v>
      </c>
    </row>
    <row r="11" spans="1:16" x14ac:dyDescent="0.35">
      <c r="A11" s="33" t="str">
        <f t="shared" si="1"/>
        <v>2024 JAN-DEC DISC 75 LICENSE ESS</v>
      </c>
      <c r="B11" s="7">
        <f t="shared" si="2"/>
        <v>46104</v>
      </c>
      <c r="C11" s="7">
        <f t="shared" si="3"/>
        <v>46113</v>
      </c>
      <c r="D11" s="6">
        <v>3287</v>
      </c>
      <c r="E11" s="6">
        <v>338</v>
      </c>
      <c r="F11" s="33">
        <v>4</v>
      </c>
      <c r="G11" s="24">
        <v>4</v>
      </c>
      <c r="H11" s="24">
        <v>81676</v>
      </c>
      <c r="I11" s="24" t="s">
        <v>17</v>
      </c>
      <c r="J11" s="23">
        <v>14832381</v>
      </c>
      <c r="K11" s="23" t="s">
        <v>395</v>
      </c>
      <c r="L11" s="23" t="s">
        <v>401</v>
      </c>
      <c r="M11" s="25">
        <v>239900</v>
      </c>
      <c r="N11" s="36">
        <f t="shared" si="4"/>
        <v>0.75</v>
      </c>
      <c r="O11" s="35">
        <f t="shared" si="0"/>
        <v>59975</v>
      </c>
      <c r="P11" s="33" t="s">
        <v>16</v>
      </c>
    </row>
    <row r="12" spans="1:16" x14ac:dyDescent="0.35">
      <c r="A12" s="33" t="str">
        <f t="shared" si="1"/>
        <v>2024 JAN-DEC DISC 75 LICENSE ESS</v>
      </c>
      <c r="B12" s="7">
        <f t="shared" si="2"/>
        <v>46104</v>
      </c>
      <c r="C12" s="7">
        <f t="shared" si="3"/>
        <v>46113</v>
      </c>
      <c r="D12" s="6">
        <v>3287</v>
      </c>
      <c r="E12" s="6">
        <v>338</v>
      </c>
      <c r="F12" s="33">
        <v>4</v>
      </c>
      <c r="G12" s="24">
        <v>4</v>
      </c>
      <c r="H12" s="24">
        <v>81676</v>
      </c>
      <c r="I12" s="24" t="s">
        <v>17</v>
      </c>
      <c r="J12" s="23">
        <v>14832390</v>
      </c>
      <c r="K12" s="23" t="s">
        <v>395</v>
      </c>
      <c r="L12" s="23" t="s">
        <v>402</v>
      </c>
      <c r="M12" s="25">
        <v>239900</v>
      </c>
      <c r="N12" s="36">
        <f t="shared" si="4"/>
        <v>0.75</v>
      </c>
      <c r="O12" s="35">
        <f t="shared" si="0"/>
        <v>59975</v>
      </c>
      <c r="P12" s="33" t="s">
        <v>16</v>
      </c>
    </row>
    <row r="13" spans="1:16" x14ac:dyDescent="0.35">
      <c r="A13" s="33" t="str">
        <f t="shared" si="1"/>
        <v>2024 JAN-DEC DISC 75 LICENSE ESS</v>
      </c>
      <c r="B13" s="7">
        <f t="shared" si="2"/>
        <v>46104</v>
      </c>
      <c r="C13" s="7">
        <f t="shared" si="3"/>
        <v>46113</v>
      </c>
      <c r="D13" s="6">
        <v>3287</v>
      </c>
      <c r="E13" s="6">
        <v>338</v>
      </c>
      <c r="F13" s="33">
        <v>4</v>
      </c>
      <c r="G13" s="24">
        <v>4</v>
      </c>
      <c r="H13" s="24">
        <v>81676</v>
      </c>
      <c r="I13" s="24" t="s">
        <v>17</v>
      </c>
      <c r="J13" s="23">
        <v>14832407</v>
      </c>
      <c r="K13" s="23" t="s">
        <v>395</v>
      </c>
      <c r="L13" s="23" t="s">
        <v>403</v>
      </c>
      <c r="M13" s="25">
        <v>239900</v>
      </c>
      <c r="N13" s="36">
        <f t="shared" si="4"/>
        <v>0.75</v>
      </c>
      <c r="O13" s="35">
        <f t="shared" si="0"/>
        <v>59975</v>
      </c>
      <c r="P13" s="33" t="s">
        <v>16</v>
      </c>
    </row>
    <row r="14" spans="1:16" x14ac:dyDescent="0.35">
      <c r="A14" s="33" t="str">
        <f t="shared" si="1"/>
        <v>2024 JAN-DEC DISC 75 LICENSE ESS</v>
      </c>
      <c r="B14" s="7">
        <f t="shared" si="2"/>
        <v>46104</v>
      </c>
      <c r="C14" s="7">
        <f t="shared" si="3"/>
        <v>46113</v>
      </c>
      <c r="D14" s="6">
        <v>3287</v>
      </c>
      <c r="E14" s="6">
        <v>338</v>
      </c>
      <c r="F14" s="33">
        <v>4</v>
      </c>
      <c r="G14" s="24">
        <v>7</v>
      </c>
      <c r="H14" s="24">
        <v>81595</v>
      </c>
      <c r="I14" s="24" t="s">
        <v>17</v>
      </c>
      <c r="J14" s="23">
        <v>15646947</v>
      </c>
      <c r="K14" s="23" t="s">
        <v>354</v>
      </c>
      <c r="L14" s="23" t="s">
        <v>355</v>
      </c>
      <c r="M14" s="25">
        <v>32900</v>
      </c>
      <c r="N14" s="36">
        <f t="shared" si="4"/>
        <v>0.75</v>
      </c>
      <c r="O14" s="35">
        <f t="shared" si="0"/>
        <v>8225</v>
      </c>
      <c r="P14" s="33" t="s">
        <v>16</v>
      </c>
    </row>
    <row r="15" spans="1:16" ht="15" customHeight="1" x14ac:dyDescent="0.35">
      <c r="A15" s="33" t="str">
        <f t="shared" si="1"/>
        <v>2024 JAN-DEC DISC 75 LICENSE ESS</v>
      </c>
      <c r="B15" s="7">
        <f t="shared" si="2"/>
        <v>46104</v>
      </c>
      <c r="C15" s="7">
        <f t="shared" si="3"/>
        <v>46113</v>
      </c>
      <c r="D15" s="6">
        <v>3287</v>
      </c>
      <c r="E15" s="6">
        <v>338</v>
      </c>
      <c r="F15" s="33">
        <v>4</v>
      </c>
      <c r="G15" s="24">
        <v>7</v>
      </c>
      <c r="H15" s="24">
        <v>81595</v>
      </c>
      <c r="I15" s="24" t="s">
        <v>17</v>
      </c>
      <c r="J15" s="23">
        <v>15646956</v>
      </c>
      <c r="K15" s="23" t="s">
        <v>354</v>
      </c>
      <c r="L15" s="23" t="s">
        <v>356</v>
      </c>
      <c r="M15" s="25">
        <v>32900</v>
      </c>
      <c r="N15" s="36">
        <f t="shared" si="4"/>
        <v>0.75</v>
      </c>
      <c r="O15" s="35">
        <f t="shared" si="0"/>
        <v>8225</v>
      </c>
      <c r="P15" s="33" t="s">
        <v>16</v>
      </c>
    </row>
    <row r="16" spans="1:16" x14ac:dyDescent="0.35">
      <c r="A16" s="33" t="str">
        <f t="shared" ref="A16:C69" si="5">A15</f>
        <v>2024 JAN-DEC DISC 75 LICENSE ESS</v>
      </c>
      <c r="B16" s="34">
        <f t="shared" si="2"/>
        <v>46104</v>
      </c>
      <c r="C16" s="34">
        <f t="shared" si="3"/>
        <v>46113</v>
      </c>
      <c r="D16" s="6">
        <v>3287</v>
      </c>
      <c r="E16" s="6">
        <v>338</v>
      </c>
      <c r="F16" s="33">
        <v>4</v>
      </c>
      <c r="G16" s="24">
        <v>7</v>
      </c>
      <c r="H16" s="24">
        <v>81595</v>
      </c>
      <c r="I16" s="24" t="s">
        <v>17</v>
      </c>
      <c r="J16" s="23">
        <v>15646965</v>
      </c>
      <c r="K16" s="23" t="s">
        <v>357</v>
      </c>
      <c r="L16" s="23" t="s">
        <v>358</v>
      </c>
      <c r="M16" s="25">
        <v>32900</v>
      </c>
      <c r="N16" s="36">
        <f t="shared" si="4"/>
        <v>0.75</v>
      </c>
      <c r="O16" s="35">
        <f t="shared" si="0"/>
        <v>8225</v>
      </c>
      <c r="P16" s="33" t="s">
        <v>16</v>
      </c>
    </row>
    <row r="17" spans="1:16" x14ac:dyDescent="0.35">
      <c r="A17" s="33" t="str">
        <f t="shared" si="5"/>
        <v>2024 JAN-DEC DISC 75 LICENSE ESS</v>
      </c>
      <c r="B17" s="34">
        <f t="shared" si="2"/>
        <v>46104</v>
      </c>
      <c r="C17" s="34">
        <f t="shared" si="3"/>
        <v>46113</v>
      </c>
      <c r="D17" s="6">
        <v>3287</v>
      </c>
      <c r="E17" s="6">
        <v>338</v>
      </c>
      <c r="F17" s="33">
        <v>4</v>
      </c>
      <c r="G17" s="24">
        <v>7</v>
      </c>
      <c r="H17" s="24">
        <v>81595</v>
      </c>
      <c r="I17" s="24" t="s">
        <v>17</v>
      </c>
      <c r="J17" s="23">
        <v>15646974</v>
      </c>
      <c r="K17" s="23" t="s">
        <v>357</v>
      </c>
      <c r="L17" s="23" t="s">
        <v>359</v>
      </c>
      <c r="M17" s="25">
        <v>32900</v>
      </c>
      <c r="N17" s="36">
        <f t="shared" si="4"/>
        <v>0.75</v>
      </c>
      <c r="O17" s="35">
        <f t="shared" si="0"/>
        <v>8225</v>
      </c>
      <c r="P17" s="33" t="s">
        <v>16</v>
      </c>
    </row>
    <row r="18" spans="1:16" x14ac:dyDescent="0.35">
      <c r="A18" s="33" t="str">
        <f t="shared" si="5"/>
        <v>2024 JAN-DEC DISC 75 LICENSE ESS</v>
      </c>
      <c r="B18" s="34">
        <f t="shared" si="2"/>
        <v>46104</v>
      </c>
      <c r="C18" s="34">
        <f t="shared" si="3"/>
        <v>46113</v>
      </c>
      <c r="D18" s="6">
        <v>3287</v>
      </c>
      <c r="E18" s="6">
        <v>338</v>
      </c>
      <c r="F18" s="33">
        <v>4</v>
      </c>
      <c r="G18" s="24">
        <v>7</v>
      </c>
      <c r="H18" s="24">
        <v>81595</v>
      </c>
      <c r="I18" s="24" t="s">
        <v>17</v>
      </c>
      <c r="J18" s="23">
        <v>15646983</v>
      </c>
      <c r="K18" s="23" t="s">
        <v>360</v>
      </c>
      <c r="L18" s="23" t="s">
        <v>361</v>
      </c>
      <c r="M18" s="25">
        <v>32900</v>
      </c>
      <c r="N18" s="36">
        <f t="shared" si="4"/>
        <v>0.75</v>
      </c>
      <c r="O18" s="35">
        <f t="shared" si="0"/>
        <v>8225</v>
      </c>
      <c r="P18" s="33" t="s">
        <v>16</v>
      </c>
    </row>
    <row r="19" spans="1:16" x14ac:dyDescent="0.35">
      <c r="A19" s="33" t="str">
        <f t="shared" si="5"/>
        <v>2024 JAN-DEC DISC 75 LICENSE ESS</v>
      </c>
      <c r="B19" s="34">
        <f t="shared" si="2"/>
        <v>46104</v>
      </c>
      <c r="C19" s="34">
        <f t="shared" si="3"/>
        <v>46113</v>
      </c>
      <c r="D19" s="6">
        <v>3287</v>
      </c>
      <c r="E19" s="6">
        <v>338</v>
      </c>
      <c r="F19" s="33">
        <v>4</v>
      </c>
      <c r="G19" s="24">
        <v>7</v>
      </c>
      <c r="H19" s="24">
        <v>81595</v>
      </c>
      <c r="I19" s="24" t="s">
        <v>17</v>
      </c>
      <c r="J19" s="23">
        <v>15646992</v>
      </c>
      <c r="K19" s="23" t="s">
        <v>360</v>
      </c>
      <c r="L19" s="23" t="s">
        <v>362</v>
      </c>
      <c r="M19" s="25">
        <v>32900</v>
      </c>
      <c r="N19" s="36">
        <f t="shared" si="4"/>
        <v>0.75</v>
      </c>
      <c r="O19" s="35">
        <f t="shared" si="0"/>
        <v>8225</v>
      </c>
      <c r="P19" s="33" t="s">
        <v>16</v>
      </c>
    </row>
    <row r="20" spans="1:16" x14ac:dyDescent="0.35">
      <c r="A20" s="33" t="str">
        <f t="shared" si="5"/>
        <v>2024 JAN-DEC DISC 75 LICENSE ESS</v>
      </c>
      <c r="B20" s="34">
        <f t="shared" si="2"/>
        <v>46104</v>
      </c>
      <c r="C20" s="34">
        <f t="shared" si="3"/>
        <v>46113</v>
      </c>
      <c r="D20" s="6">
        <v>3287</v>
      </c>
      <c r="E20" s="6">
        <v>338</v>
      </c>
      <c r="F20" s="33">
        <v>4</v>
      </c>
      <c r="G20" s="24">
        <v>7</v>
      </c>
      <c r="H20" s="24">
        <v>81595</v>
      </c>
      <c r="I20" s="24" t="s">
        <v>17</v>
      </c>
      <c r="J20" s="23">
        <v>15647008</v>
      </c>
      <c r="K20" s="23" t="s">
        <v>363</v>
      </c>
      <c r="L20" s="23" t="s">
        <v>364</v>
      </c>
      <c r="M20" s="25">
        <v>32900</v>
      </c>
      <c r="N20" s="36">
        <f t="shared" si="4"/>
        <v>0.75</v>
      </c>
      <c r="O20" s="35">
        <f t="shared" si="0"/>
        <v>8225</v>
      </c>
      <c r="P20" s="33" t="s">
        <v>16</v>
      </c>
    </row>
    <row r="21" spans="1:16" x14ac:dyDescent="0.35">
      <c r="A21" s="33" t="str">
        <f t="shared" si="5"/>
        <v>2024 JAN-DEC DISC 75 LICENSE ESS</v>
      </c>
      <c r="B21" s="34">
        <f t="shared" si="2"/>
        <v>46104</v>
      </c>
      <c r="C21" s="34">
        <f t="shared" si="3"/>
        <v>46113</v>
      </c>
      <c r="D21" s="6">
        <v>3287</v>
      </c>
      <c r="E21" s="6">
        <v>338</v>
      </c>
      <c r="F21" s="33">
        <v>4</v>
      </c>
      <c r="G21" s="24">
        <v>7</v>
      </c>
      <c r="H21" s="24">
        <v>81595</v>
      </c>
      <c r="I21" s="24" t="s">
        <v>17</v>
      </c>
      <c r="J21" s="23">
        <v>15647017</v>
      </c>
      <c r="K21" s="23" t="s">
        <v>363</v>
      </c>
      <c r="L21" s="23" t="s">
        <v>365</v>
      </c>
      <c r="M21" s="25">
        <v>32900</v>
      </c>
      <c r="N21" s="36">
        <f t="shared" si="4"/>
        <v>0.75</v>
      </c>
      <c r="O21" s="35">
        <f t="shared" si="0"/>
        <v>8225</v>
      </c>
      <c r="P21" s="33" t="s">
        <v>16</v>
      </c>
    </row>
    <row r="22" spans="1:16" x14ac:dyDescent="0.35">
      <c r="A22" s="33" t="str">
        <f t="shared" si="5"/>
        <v>2024 JAN-DEC DISC 75 LICENSE ESS</v>
      </c>
      <c r="B22" s="34">
        <f t="shared" si="2"/>
        <v>46104</v>
      </c>
      <c r="C22" s="34">
        <f t="shared" si="3"/>
        <v>46113</v>
      </c>
      <c r="D22" s="6">
        <v>3287</v>
      </c>
      <c r="E22" s="6">
        <v>338</v>
      </c>
      <c r="F22" s="33">
        <v>4</v>
      </c>
      <c r="G22" s="24">
        <v>7</v>
      </c>
      <c r="H22" s="24">
        <v>81595</v>
      </c>
      <c r="I22" s="24" t="s">
        <v>17</v>
      </c>
      <c r="J22" s="23">
        <v>15647026</v>
      </c>
      <c r="K22" s="23" t="s">
        <v>326</v>
      </c>
      <c r="L22" s="23" t="s">
        <v>327</v>
      </c>
      <c r="M22" s="25">
        <v>32900</v>
      </c>
      <c r="N22" s="36">
        <f t="shared" si="4"/>
        <v>0.75</v>
      </c>
      <c r="O22" s="35">
        <f t="shared" si="0"/>
        <v>8225</v>
      </c>
      <c r="P22" s="33" t="s">
        <v>16</v>
      </c>
    </row>
    <row r="23" spans="1:16" ht="16" customHeight="1" x14ac:dyDescent="0.35">
      <c r="A23" s="33" t="str">
        <f t="shared" si="5"/>
        <v>2024 JAN-DEC DISC 75 LICENSE ESS</v>
      </c>
      <c r="B23" s="34">
        <f t="shared" si="2"/>
        <v>46104</v>
      </c>
      <c r="C23" s="34">
        <f t="shared" si="3"/>
        <v>46113</v>
      </c>
      <c r="D23" s="6">
        <v>3287</v>
      </c>
      <c r="E23" s="6">
        <v>338</v>
      </c>
      <c r="F23" s="33">
        <v>4</v>
      </c>
      <c r="G23" s="24">
        <v>7</v>
      </c>
      <c r="H23" s="24">
        <v>81595</v>
      </c>
      <c r="I23" s="24" t="s">
        <v>17</v>
      </c>
      <c r="J23" s="23">
        <v>15647035</v>
      </c>
      <c r="K23" s="23" t="s">
        <v>326</v>
      </c>
      <c r="L23" s="23" t="s">
        <v>328</v>
      </c>
      <c r="M23" s="25">
        <v>32900</v>
      </c>
      <c r="N23" s="36">
        <f t="shared" si="4"/>
        <v>0.75</v>
      </c>
      <c r="O23" s="35">
        <f t="shared" si="0"/>
        <v>8225</v>
      </c>
      <c r="P23" s="33" t="s">
        <v>16</v>
      </c>
    </row>
    <row r="24" spans="1:16" x14ac:dyDescent="0.35">
      <c r="A24" s="33" t="str">
        <f t="shared" si="5"/>
        <v>2024 JAN-DEC DISC 75 LICENSE ESS</v>
      </c>
      <c r="B24" s="34">
        <f t="shared" si="2"/>
        <v>46104</v>
      </c>
      <c r="C24" s="34">
        <f t="shared" si="3"/>
        <v>46113</v>
      </c>
      <c r="D24" s="6">
        <v>3287</v>
      </c>
      <c r="E24" s="6">
        <v>338</v>
      </c>
      <c r="F24" s="33">
        <v>4</v>
      </c>
      <c r="G24" s="24">
        <v>7</v>
      </c>
      <c r="H24" s="24">
        <v>81595</v>
      </c>
      <c r="I24" s="24" t="s">
        <v>17</v>
      </c>
      <c r="J24" s="23">
        <v>15647044</v>
      </c>
      <c r="K24" s="23" t="s">
        <v>366</v>
      </c>
      <c r="L24" s="23" t="s">
        <v>367</v>
      </c>
      <c r="M24" s="25">
        <v>32900</v>
      </c>
      <c r="N24" s="36">
        <f t="shared" si="4"/>
        <v>0.75</v>
      </c>
      <c r="O24" s="35">
        <f t="shared" si="0"/>
        <v>8225</v>
      </c>
      <c r="P24" s="33" t="s">
        <v>16</v>
      </c>
    </row>
    <row r="25" spans="1:16" x14ac:dyDescent="0.35">
      <c r="A25" s="33" t="str">
        <f t="shared" si="5"/>
        <v>2024 JAN-DEC DISC 75 LICENSE ESS</v>
      </c>
      <c r="B25" s="34">
        <f t="shared" si="2"/>
        <v>46104</v>
      </c>
      <c r="C25" s="34">
        <f t="shared" si="3"/>
        <v>46113</v>
      </c>
      <c r="D25" s="6">
        <v>3287</v>
      </c>
      <c r="E25" s="6">
        <v>338</v>
      </c>
      <c r="F25" s="33">
        <v>4</v>
      </c>
      <c r="G25" s="24">
        <v>7</v>
      </c>
      <c r="H25" s="24">
        <v>81595</v>
      </c>
      <c r="I25" s="24" t="s">
        <v>17</v>
      </c>
      <c r="J25" s="23">
        <v>15647053</v>
      </c>
      <c r="K25" s="23" t="s">
        <v>366</v>
      </c>
      <c r="L25" s="23" t="s">
        <v>368</v>
      </c>
      <c r="M25" s="25">
        <v>32900</v>
      </c>
      <c r="N25" s="36">
        <f t="shared" si="4"/>
        <v>0.75</v>
      </c>
      <c r="O25" s="35">
        <f t="shared" si="0"/>
        <v>8225</v>
      </c>
      <c r="P25" s="33" t="s">
        <v>16</v>
      </c>
    </row>
    <row r="26" spans="1:16" x14ac:dyDescent="0.35">
      <c r="A26" s="33" t="str">
        <f t="shared" si="5"/>
        <v>2024 JAN-DEC DISC 75 LICENSE ESS</v>
      </c>
      <c r="B26" s="34">
        <f t="shared" si="2"/>
        <v>46104</v>
      </c>
      <c r="C26" s="34">
        <f t="shared" si="3"/>
        <v>46113</v>
      </c>
      <c r="D26" s="6">
        <v>3287</v>
      </c>
      <c r="E26" s="6">
        <v>338</v>
      </c>
      <c r="F26" s="33">
        <v>4</v>
      </c>
      <c r="G26" s="24">
        <v>7</v>
      </c>
      <c r="H26" s="24">
        <v>81595</v>
      </c>
      <c r="I26" s="24" t="s">
        <v>17</v>
      </c>
      <c r="J26" s="23">
        <v>15647080</v>
      </c>
      <c r="K26" s="23" t="s">
        <v>372</v>
      </c>
      <c r="L26" s="23" t="s">
        <v>373</v>
      </c>
      <c r="M26" s="25">
        <v>32900</v>
      </c>
      <c r="N26" s="36">
        <f t="shared" si="4"/>
        <v>0.75</v>
      </c>
      <c r="O26" s="35">
        <f t="shared" si="0"/>
        <v>8225</v>
      </c>
      <c r="P26" s="33" t="s">
        <v>16</v>
      </c>
    </row>
    <row r="27" spans="1:16" x14ac:dyDescent="0.35">
      <c r="A27" s="33" t="str">
        <f t="shared" si="5"/>
        <v>2024 JAN-DEC DISC 75 LICENSE ESS</v>
      </c>
      <c r="B27" s="34">
        <f t="shared" si="2"/>
        <v>46104</v>
      </c>
      <c r="C27" s="34">
        <f t="shared" si="3"/>
        <v>46113</v>
      </c>
      <c r="D27" s="6">
        <v>3287</v>
      </c>
      <c r="E27" s="6">
        <v>338</v>
      </c>
      <c r="F27" s="33">
        <v>4</v>
      </c>
      <c r="G27" s="24">
        <v>7</v>
      </c>
      <c r="H27" s="24">
        <v>81595</v>
      </c>
      <c r="I27" s="24" t="s">
        <v>17</v>
      </c>
      <c r="J27" s="23">
        <v>15647099</v>
      </c>
      <c r="K27" s="23" t="s">
        <v>372</v>
      </c>
      <c r="L27" s="23" t="s">
        <v>374</v>
      </c>
      <c r="M27" s="25">
        <v>32900</v>
      </c>
      <c r="N27" s="36">
        <f t="shared" si="4"/>
        <v>0.75</v>
      </c>
      <c r="O27" s="35">
        <f t="shared" si="0"/>
        <v>8225</v>
      </c>
      <c r="P27" s="33" t="s">
        <v>16</v>
      </c>
    </row>
    <row r="28" spans="1:16" x14ac:dyDescent="0.35">
      <c r="A28" s="33" t="str">
        <f t="shared" si="5"/>
        <v>2024 JAN-DEC DISC 75 LICENSE ESS</v>
      </c>
      <c r="B28" s="34">
        <f t="shared" si="2"/>
        <v>46104</v>
      </c>
      <c r="C28" s="34">
        <f t="shared" si="3"/>
        <v>46113</v>
      </c>
      <c r="D28" s="6">
        <v>3287</v>
      </c>
      <c r="E28" s="6">
        <v>338</v>
      </c>
      <c r="F28" s="33">
        <v>4</v>
      </c>
      <c r="G28" s="24">
        <v>7</v>
      </c>
      <c r="H28" s="24">
        <v>81595</v>
      </c>
      <c r="I28" s="24" t="s">
        <v>17</v>
      </c>
      <c r="J28" s="23">
        <v>15647106</v>
      </c>
      <c r="K28" s="23" t="s">
        <v>375</v>
      </c>
      <c r="L28" s="23" t="s">
        <v>376</v>
      </c>
      <c r="M28" s="25">
        <v>32900</v>
      </c>
      <c r="N28" s="36">
        <f t="shared" si="4"/>
        <v>0.75</v>
      </c>
      <c r="O28" s="35">
        <f t="shared" si="0"/>
        <v>8225</v>
      </c>
      <c r="P28" s="33" t="s">
        <v>16</v>
      </c>
    </row>
    <row r="29" spans="1:16" x14ac:dyDescent="0.35">
      <c r="A29" s="33" t="str">
        <f t="shared" si="5"/>
        <v>2024 JAN-DEC DISC 75 LICENSE ESS</v>
      </c>
      <c r="B29" s="34">
        <f t="shared" si="2"/>
        <v>46104</v>
      </c>
      <c r="C29" s="34">
        <f t="shared" si="3"/>
        <v>46113</v>
      </c>
      <c r="D29" s="6">
        <v>3287</v>
      </c>
      <c r="E29" s="6">
        <v>338</v>
      </c>
      <c r="F29" s="33">
        <v>4</v>
      </c>
      <c r="G29" s="24">
        <v>7</v>
      </c>
      <c r="H29" s="24">
        <v>81595</v>
      </c>
      <c r="I29" s="24" t="s">
        <v>17</v>
      </c>
      <c r="J29" s="23">
        <v>15647115</v>
      </c>
      <c r="K29" s="23" t="s">
        <v>375</v>
      </c>
      <c r="L29" s="23" t="s">
        <v>377</v>
      </c>
      <c r="M29" s="25">
        <v>32900</v>
      </c>
      <c r="N29" s="36">
        <f t="shared" si="4"/>
        <v>0.75</v>
      </c>
      <c r="O29" s="35">
        <f t="shared" si="0"/>
        <v>8225</v>
      </c>
      <c r="P29" s="33" t="s">
        <v>16</v>
      </c>
    </row>
    <row r="30" spans="1:16" x14ac:dyDescent="0.35">
      <c r="A30" s="33" t="str">
        <f t="shared" si="5"/>
        <v>2024 JAN-DEC DISC 75 LICENSE ESS</v>
      </c>
      <c r="B30" s="34">
        <f t="shared" si="2"/>
        <v>46104</v>
      </c>
      <c r="C30" s="34">
        <f t="shared" si="3"/>
        <v>46113</v>
      </c>
      <c r="D30" s="6">
        <v>3287</v>
      </c>
      <c r="E30" s="6">
        <v>338</v>
      </c>
      <c r="F30" s="33">
        <v>4</v>
      </c>
      <c r="G30" s="24">
        <v>7</v>
      </c>
      <c r="H30" s="24">
        <v>81595</v>
      </c>
      <c r="I30" s="24" t="s">
        <v>17</v>
      </c>
      <c r="J30" s="23">
        <v>15647124</v>
      </c>
      <c r="K30" s="23" t="s">
        <v>378</v>
      </c>
      <c r="L30" s="23" t="s">
        <v>379</v>
      </c>
      <c r="M30" s="25">
        <v>32900</v>
      </c>
      <c r="N30" s="36">
        <f t="shared" si="4"/>
        <v>0.75</v>
      </c>
      <c r="O30" s="35">
        <f t="shared" si="0"/>
        <v>8225</v>
      </c>
      <c r="P30" s="33" t="s">
        <v>16</v>
      </c>
    </row>
    <row r="31" spans="1:16" x14ac:dyDescent="0.35">
      <c r="A31" s="33" t="str">
        <f t="shared" si="5"/>
        <v>2024 JAN-DEC DISC 75 LICENSE ESS</v>
      </c>
      <c r="B31" s="34">
        <f t="shared" si="2"/>
        <v>46104</v>
      </c>
      <c r="C31" s="34">
        <f t="shared" si="3"/>
        <v>46113</v>
      </c>
      <c r="D31" s="6">
        <v>3287</v>
      </c>
      <c r="E31" s="6">
        <v>338</v>
      </c>
      <c r="F31" s="33">
        <v>4</v>
      </c>
      <c r="G31" s="24">
        <v>7</v>
      </c>
      <c r="H31" s="24">
        <v>81595</v>
      </c>
      <c r="I31" s="24" t="s">
        <v>17</v>
      </c>
      <c r="J31" s="23">
        <v>15647133</v>
      </c>
      <c r="K31" s="23" t="s">
        <v>378</v>
      </c>
      <c r="L31" s="23" t="s">
        <v>380</v>
      </c>
      <c r="M31" s="25">
        <v>32900</v>
      </c>
      <c r="N31" s="36">
        <f t="shared" si="4"/>
        <v>0.75</v>
      </c>
      <c r="O31" s="35">
        <f t="shared" si="0"/>
        <v>8225</v>
      </c>
      <c r="P31" s="33" t="s">
        <v>16</v>
      </c>
    </row>
    <row r="32" spans="1:16" x14ac:dyDescent="0.35">
      <c r="A32" s="33" t="str">
        <f t="shared" si="5"/>
        <v>2024 JAN-DEC DISC 75 LICENSE ESS</v>
      </c>
      <c r="B32" s="34">
        <f t="shared" si="2"/>
        <v>46104</v>
      </c>
      <c r="C32" s="34">
        <f t="shared" si="3"/>
        <v>46113</v>
      </c>
      <c r="D32" s="6">
        <v>3287</v>
      </c>
      <c r="E32" s="6">
        <v>338</v>
      </c>
      <c r="F32" s="33">
        <v>4</v>
      </c>
      <c r="G32" s="24">
        <v>4</v>
      </c>
      <c r="H32" s="24">
        <v>81676</v>
      </c>
      <c r="I32" s="24" t="s">
        <v>17</v>
      </c>
      <c r="J32" s="23">
        <v>15647222</v>
      </c>
      <c r="K32" s="23" t="s">
        <v>404</v>
      </c>
      <c r="L32" s="23" t="s">
        <v>405</v>
      </c>
      <c r="M32" s="25">
        <v>229900</v>
      </c>
      <c r="N32" s="36">
        <f t="shared" si="4"/>
        <v>0.75</v>
      </c>
      <c r="O32" s="35">
        <f t="shared" si="0"/>
        <v>57475</v>
      </c>
      <c r="P32" s="33" t="s">
        <v>16</v>
      </c>
    </row>
    <row r="33" spans="1:16" x14ac:dyDescent="0.35">
      <c r="A33" s="33" t="str">
        <f t="shared" si="5"/>
        <v>2024 JAN-DEC DISC 75 LICENSE ESS</v>
      </c>
      <c r="B33" s="34">
        <f t="shared" si="2"/>
        <v>46104</v>
      </c>
      <c r="C33" s="34">
        <f t="shared" si="3"/>
        <v>46113</v>
      </c>
      <c r="D33" s="6">
        <v>3287</v>
      </c>
      <c r="E33" s="6">
        <v>338</v>
      </c>
      <c r="F33" s="33">
        <v>4</v>
      </c>
      <c r="G33" s="24">
        <v>4</v>
      </c>
      <c r="H33" s="24">
        <v>81676</v>
      </c>
      <c r="I33" s="24" t="s">
        <v>17</v>
      </c>
      <c r="J33" s="23">
        <v>15647231</v>
      </c>
      <c r="K33" s="23" t="s">
        <v>404</v>
      </c>
      <c r="L33" s="23" t="s">
        <v>406</v>
      </c>
      <c r="M33" s="25">
        <v>229900</v>
      </c>
      <c r="N33" s="36">
        <f t="shared" si="4"/>
        <v>0.75</v>
      </c>
      <c r="O33" s="35">
        <f t="shared" si="0"/>
        <v>57475</v>
      </c>
      <c r="P33" s="33" t="s">
        <v>16</v>
      </c>
    </row>
    <row r="34" spans="1:16" x14ac:dyDescent="0.35">
      <c r="A34" s="33" t="str">
        <f t="shared" si="5"/>
        <v>2024 JAN-DEC DISC 75 LICENSE ESS</v>
      </c>
      <c r="B34" s="34">
        <f t="shared" si="2"/>
        <v>46104</v>
      </c>
      <c r="C34" s="34">
        <f t="shared" si="3"/>
        <v>46113</v>
      </c>
      <c r="D34" s="6">
        <v>3287</v>
      </c>
      <c r="E34" s="6">
        <v>338</v>
      </c>
      <c r="F34" s="33">
        <v>4</v>
      </c>
      <c r="G34" s="24">
        <v>4</v>
      </c>
      <c r="H34" s="24">
        <v>81676</v>
      </c>
      <c r="I34" s="24" t="s">
        <v>17</v>
      </c>
      <c r="J34" s="23">
        <v>15647240</v>
      </c>
      <c r="K34" s="23" t="s">
        <v>404</v>
      </c>
      <c r="L34" s="23" t="s">
        <v>407</v>
      </c>
      <c r="M34" s="25">
        <v>229900</v>
      </c>
      <c r="N34" s="36">
        <f t="shared" si="4"/>
        <v>0.75</v>
      </c>
      <c r="O34" s="35">
        <f t="shared" si="0"/>
        <v>57475</v>
      </c>
      <c r="P34" s="33" t="s">
        <v>16</v>
      </c>
    </row>
    <row r="35" spans="1:16" x14ac:dyDescent="0.35">
      <c r="A35" s="33" t="str">
        <f t="shared" si="5"/>
        <v>2024 JAN-DEC DISC 75 LICENSE ESS</v>
      </c>
      <c r="B35" s="34">
        <f t="shared" si="2"/>
        <v>46104</v>
      </c>
      <c r="C35" s="34">
        <f t="shared" si="3"/>
        <v>46113</v>
      </c>
      <c r="D35" s="6">
        <v>3287</v>
      </c>
      <c r="E35" s="6">
        <v>338</v>
      </c>
      <c r="F35" s="33">
        <v>4</v>
      </c>
      <c r="G35" s="24">
        <v>4</v>
      </c>
      <c r="H35" s="24">
        <v>81676</v>
      </c>
      <c r="I35" s="24" t="s">
        <v>17</v>
      </c>
      <c r="J35" s="23">
        <v>15647259</v>
      </c>
      <c r="K35" s="23" t="s">
        <v>404</v>
      </c>
      <c r="L35" s="23" t="s">
        <v>408</v>
      </c>
      <c r="M35" s="25">
        <v>229900</v>
      </c>
      <c r="N35" s="36">
        <f t="shared" si="4"/>
        <v>0.75</v>
      </c>
      <c r="O35" s="35">
        <f t="shared" si="0"/>
        <v>57475</v>
      </c>
      <c r="P35" s="33" t="s">
        <v>16</v>
      </c>
    </row>
    <row r="36" spans="1:16" x14ac:dyDescent="0.35">
      <c r="A36" s="33" t="str">
        <f t="shared" si="5"/>
        <v>2024 JAN-DEC DISC 75 LICENSE ESS</v>
      </c>
      <c r="B36" s="34">
        <f t="shared" si="2"/>
        <v>46104</v>
      </c>
      <c r="C36" s="34">
        <f t="shared" si="3"/>
        <v>46113</v>
      </c>
      <c r="D36" s="6">
        <v>3287</v>
      </c>
      <c r="E36" s="6">
        <v>338</v>
      </c>
      <c r="F36" s="33">
        <v>4</v>
      </c>
      <c r="G36" s="24">
        <v>4</v>
      </c>
      <c r="H36" s="24">
        <v>81676</v>
      </c>
      <c r="I36" s="24" t="s">
        <v>17</v>
      </c>
      <c r="J36" s="23">
        <v>15647268</v>
      </c>
      <c r="K36" s="23" t="s">
        <v>404</v>
      </c>
      <c r="L36" s="23" t="s">
        <v>409</v>
      </c>
      <c r="M36" s="25">
        <v>229900</v>
      </c>
      <c r="N36" s="36">
        <f t="shared" si="4"/>
        <v>0.75</v>
      </c>
      <c r="O36" s="35">
        <f t="shared" si="0"/>
        <v>57475</v>
      </c>
      <c r="P36" s="33" t="s">
        <v>16</v>
      </c>
    </row>
    <row r="37" spans="1:16" x14ac:dyDescent="0.35">
      <c r="A37" s="33" t="str">
        <f t="shared" si="5"/>
        <v>2024 JAN-DEC DISC 75 LICENSE ESS</v>
      </c>
      <c r="B37" s="34">
        <f t="shared" si="2"/>
        <v>46104</v>
      </c>
      <c r="C37" s="34">
        <f t="shared" si="3"/>
        <v>46113</v>
      </c>
      <c r="D37" s="6">
        <v>3287</v>
      </c>
      <c r="E37" s="6">
        <v>338</v>
      </c>
      <c r="F37" s="33">
        <v>4</v>
      </c>
      <c r="G37" s="24">
        <v>4</v>
      </c>
      <c r="H37" s="24">
        <v>81676</v>
      </c>
      <c r="I37" s="24" t="s">
        <v>17</v>
      </c>
      <c r="J37" s="23">
        <v>15647277</v>
      </c>
      <c r="K37" s="23" t="s">
        <v>404</v>
      </c>
      <c r="L37" s="23" t="s">
        <v>410</v>
      </c>
      <c r="M37" s="25">
        <v>229900</v>
      </c>
      <c r="N37" s="36">
        <f t="shared" si="4"/>
        <v>0.75</v>
      </c>
      <c r="O37" s="35">
        <f t="shared" si="0"/>
        <v>57475</v>
      </c>
      <c r="P37" s="33" t="s">
        <v>16</v>
      </c>
    </row>
    <row r="38" spans="1:16" x14ac:dyDescent="0.35">
      <c r="A38" s="33" t="str">
        <f t="shared" si="5"/>
        <v>2024 JAN-DEC DISC 75 LICENSE ESS</v>
      </c>
      <c r="B38" s="34">
        <f t="shared" si="2"/>
        <v>46104</v>
      </c>
      <c r="C38" s="34">
        <f t="shared" si="3"/>
        <v>46113</v>
      </c>
      <c r="D38" s="6">
        <v>3287</v>
      </c>
      <c r="E38" s="6">
        <v>338</v>
      </c>
      <c r="F38" s="33">
        <v>4</v>
      </c>
      <c r="G38" s="24">
        <v>4</v>
      </c>
      <c r="H38" s="24">
        <v>81676</v>
      </c>
      <c r="I38" s="24" t="s">
        <v>17</v>
      </c>
      <c r="J38" s="23">
        <v>15647286</v>
      </c>
      <c r="K38" s="23" t="s">
        <v>404</v>
      </c>
      <c r="L38" s="23" t="s">
        <v>411</v>
      </c>
      <c r="M38" s="25">
        <v>229900</v>
      </c>
      <c r="N38" s="36">
        <f t="shared" si="4"/>
        <v>0.75</v>
      </c>
      <c r="O38" s="35">
        <f t="shared" si="0"/>
        <v>57475</v>
      </c>
      <c r="P38" s="33" t="s">
        <v>16</v>
      </c>
    </row>
    <row r="39" spans="1:16" x14ac:dyDescent="0.35">
      <c r="A39" s="33" t="str">
        <f t="shared" si="5"/>
        <v>2024 JAN-DEC DISC 75 LICENSE ESS</v>
      </c>
      <c r="B39" s="34">
        <f t="shared" si="2"/>
        <v>46104</v>
      </c>
      <c r="C39" s="34">
        <f t="shared" si="3"/>
        <v>46113</v>
      </c>
      <c r="D39" s="6">
        <v>3287</v>
      </c>
      <c r="E39" s="6">
        <v>338</v>
      </c>
      <c r="F39" s="33">
        <v>4</v>
      </c>
      <c r="G39" s="24">
        <v>4</v>
      </c>
      <c r="H39" s="24">
        <v>81676</v>
      </c>
      <c r="I39" s="24" t="s">
        <v>17</v>
      </c>
      <c r="J39" s="23">
        <v>15647295</v>
      </c>
      <c r="K39" s="23" t="s">
        <v>404</v>
      </c>
      <c r="L39" s="23" t="s">
        <v>726</v>
      </c>
      <c r="M39" s="25">
        <v>229900</v>
      </c>
      <c r="N39" s="36">
        <f t="shared" si="4"/>
        <v>0.75</v>
      </c>
      <c r="O39" s="35">
        <f t="shared" si="0"/>
        <v>57475</v>
      </c>
      <c r="P39" s="33" t="s">
        <v>16</v>
      </c>
    </row>
    <row r="40" spans="1:16" x14ac:dyDescent="0.35">
      <c r="A40" s="33" t="str">
        <f t="shared" si="5"/>
        <v>2024 JAN-DEC DISC 75 LICENSE ESS</v>
      </c>
      <c r="B40" s="34">
        <f t="shared" si="2"/>
        <v>46104</v>
      </c>
      <c r="C40" s="34">
        <f t="shared" si="3"/>
        <v>46113</v>
      </c>
      <c r="D40" s="6">
        <v>3287</v>
      </c>
      <c r="E40" s="6">
        <v>338</v>
      </c>
      <c r="F40" s="33">
        <v>4</v>
      </c>
      <c r="G40" s="24">
        <v>7</v>
      </c>
      <c r="H40" s="24">
        <v>599</v>
      </c>
      <c r="I40" s="24" t="s">
        <v>17</v>
      </c>
      <c r="J40" s="23">
        <v>15780640</v>
      </c>
      <c r="K40" s="23" t="s">
        <v>351</v>
      </c>
      <c r="L40" s="23" t="s">
        <v>352</v>
      </c>
      <c r="M40" s="25">
        <v>32900</v>
      </c>
      <c r="N40" s="36">
        <f t="shared" si="4"/>
        <v>0.75</v>
      </c>
      <c r="O40" s="35">
        <f t="shared" si="0"/>
        <v>8225</v>
      </c>
      <c r="P40" s="33" t="s">
        <v>16</v>
      </c>
    </row>
    <row r="41" spans="1:16" x14ac:dyDescent="0.35">
      <c r="A41" s="33" t="str">
        <f t="shared" si="5"/>
        <v>2024 JAN-DEC DISC 75 LICENSE ESS</v>
      </c>
      <c r="B41" s="34">
        <f t="shared" si="2"/>
        <v>46104</v>
      </c>
      <c r="C41" s="34">
        <f t="shared" si="3"/>
        <v>46113</v>
      </c>
      <c r="D41" s="6">
        <v>3287</v>
      </c>
      <c r="E41" s="6">
        <v>338</v>
      </c>
      <c r="F41" s="33">
        <v>4</v>
      </c>
      <c r="G41" s="24">
        <v>7</v>
      </c>
      <c r="H41" s="24">
        <v>599</v>
      </c>
      <c r="I41" s="24" t="s">
        <v>17</v>
      </c>
      <c r="J41" s="23">
        <v>15780659</v>
      </c>
      <c r="K41" s="23" t="s">
        <v>351</v>
      </c>
      <c r="L41" s="23" t="s">
        <v>353</v>
      </c>
      <c r="M41" s="25">
        <v>32900</v>
      </c>
      <c r="N41" s="36">
        <f t="shared" si="4"/>
        <v>0.75</v>
      </c>
      <c r="O41" s="35">
        <f t="shared" si="0"/>
        <v>8225</v>
      </c>
      <c r="P41" s="33" t="s">
        <v>16</v>
      </c>
    </row>
    <row r="42" spans="1:16" x14ac:dyDescent="0.35">
      <c r="A42" s="33" t="str">
        <f t="shared" si="5"/>
        <v>2024 JAN-DEC DISC 75 LICENSE ESS</v>
      </c>
      <c r="B42" s="34">
        <f t="shared" si="2"/>
        <v>46104</v>
      </c>
      <c r="C42" s="34">
        <f t="shared" si="3"/>
        <v>46113</v>
      </c>
      <c r="D42" s="6">
        <v>3287</v>
      </c>
      <c r="E42" s="6">
        <v>338</v>
      </c>
      <c r="F42" s="33">
        <v>4</v>
      </c>
      <c r="G42" s="24">
        <v>7</v>
      </c>
      <c r="H42" s="24">
        <v>599</v>
      </c>
      <c r="I42" s="24" t="s">
        <v>17</v>
      </c>
      <c r="J42" s="23">
        <v>15780668</v>
      </c>
      <c r="K42" s="23" t="s">
        <v>320</v>
      </c>
      <c r="L42" s="23" t="s">
        <v>321</v>
      </c>
      <c r="M42" s="25">
        <v>32900</v>
      </c>
      <c r="N42" s="36">
        <f t="shared" si="4"/>
        <v>0.75</v>
      </c>
      <c r="O42" s="35">
        <f t="shared" si="0"/>
        <v>8225</v>
      </c>
      <c r="P42" s="33" t="s">
        <v>16</v>
      </c>
    </row>
    <row r="43" spans="1:16" x14ac:dyDescent="0.35">
      <c r="A43" s="33" t="str">
        <f t="shared" si="5"/>
        <v>2024 JAN-DEC DISC 75 LICENSE ESS</v>
      </c>
      <c r="B43" s="34">
        <f t="shared" si="2"/>
        <v>46104</v>
      </c>
      <c r="C43" s="34">
        <f t="shared" si="3"/>
        <v>46113</v>
      </c>
      <c r="D43" s="6">
        <v>3287</v>
      </c>
      <c r="E43" s="6">
        <v>338</v>
      </c>
      <c r="F43" s="33">
        <v>4</v>
      </c>
      <c r="G43" s="24">
        <v>7</v>
      </c>
      <c r="H43" s="24">
        <v>599</v>
      </c>
      <c r="I43" s="24" t="s">
        <v>17</v>
      </c>
      <c r="J43" s="23">
        <v>15780677</v>
      </c>
      <c r="K43" s="23" t="s">
        <v>320</v>
      </c>
      <c r="L43" s="23" t="s">
        <v>322</v>
      </c>
      <c r="M43" s="25">
        <v>32900</v>
      </c>
      <c r="N43" s="36">
        <f t="shared" si="4"/>
        <v>0.75</v>
      </c>
      <c r="O43" s="35">
        <f t="shared" si="0"/>
        <v>8225</v>
      </c>
      <c r="P43" s="33" t="s">
        <v>16</v>
      </c>
    </row>
    <row r="44" spans="1:16" x14ac:dyDescent="0.35">
      <c r="A44" s="33" t="str">
        <f t="shared" si="5"/>
        <v>2024 JAN-DEC DISC 75 LICENSE ESS</v>
      </c>
      <c r="B44" s="34">
        <f t="shared" si="2"/>
        <v>46104</v>
      </c>
      <c r="C44" s="34">
        <f t="shared" si="3"/>
        <v>46113</v>
      </c>
      <c r="D44" s="6">
        <v>3287</v>
      </c>
      <c r="E44" s="6">
        <v>338</v>
      </c>
      <c r="F44" s="33">
        <v>4</v>
      </c>
      <c r="G44" s="24">
        <v>7</v>
      </c>
      <c r="H44" s="24">
        <v>599</v>
      </c>
      <c r="I44" s="24" t="s">
        <v>17</v>
      </c>
      <c r="J44" s="23">
        <v>15780686</v>
      </c>
      <c r="K44" s="23" t="s">
        <v>323</v>
      </c>
      <c r="L44" s="23" t="s">
        <v>324</v>
      </c>
      <c r="M44" s="25">
        <v>32900</v>
      </c>
      <c r="N44" s="36">
        <f t="shared" si="4"/>
        <v>0.75</v>
      </c>
      <c r="O44" s="35">
        <f t="shared" si="0"/>
        <v>8225</v>
      </c>
      <c r="P44" s="33" t="s">
        <v>16</v>
      </c>
    </row>
    <row r="45" spans="1:16" x14ac:dyDescent="0.35">
      <c r="A45" s="33" t="str">
        <f t="shared" si="5"/>
        <v>2024 JAN-DEC DISC 75 LICENSE ESS</v>
      </c>
      <c r="B45" s="34">
        <f t="shared" si="2"/>
        <v>46104</v>
      </c>
      <c r="C45" s="34">
        <f t="shared" si="3"/>
        <v>46113</v>
      </c>
      <c r="D45" s="6">
        <v>3287</v>
      </c>
      <c r="E45" s="6">
        <v>338</v>
      </c>
      <c r="F45" s="33">
        <v>4</v>
      </c>
      <c r="G45" s="24">
        <v>7</v>
      </c>
      <c r="H45" s="24">
        <v>599</v>
      </c>
      <c r="I45" s="24" t="s">
        <v>17</v>
      </c>
      <c r="J45" s="23">
        <v>15780695</v>
      </c>
      <c r="K45" s="23" t="s">
        <v>323</v>
      </c>
      <c r="L45" s="23" t="s">
        <v>325</v>
      </c>
      <c r="M45" s="25">
        <v>32900</v>
      </c>
      <c r="N45" s="36">
        <f t="shared" si="4"/>
        <v>0.75</v>
      </c>
      <c r="O45" s="35">
        <f t="shared" si="0"/>
        <v>8225</v>
      </c>
      <c r="P45" s="33" t="s">
        <v>16</v>
      </c>
    </row>
    <row r="46" spans="1:16" x14ac:dyDescent="0.35">
      <c r="A46" s="33" t="str">
        <f t="shared" si="5"/>
        <v>2024 JAN-DEC DISC 75 LICENSE ESS</v>
      </c>
      <c r="B46" s="34">
        <f t="shared" si="2"/>
        <v>46104</v>
      </c>
      <c r="C46" s="34">
        <f t="shared" si="3"/>
        <v>46113</v>
      </c>
      <c r="D46" s="6">
        <v>3287</v>
      </c>
      <c r="E46" s="6">
        <v>338</v>
      </c>
      <c r="F46" s="33">
        <v>4</v>
      </c>
      <c r="G46" s="24">
        <v>3</v>
      </c>
      <c r="H46" s="24">
        <v>850</v>
      </c>
      <c r="I46" s="24" t="s">
        <v>17</v>
      </c>
      <c r="J46" s="23">
        <v>15780702</v>
      </c>
      <c r="K46" s="23" t="s">
        <v>1084</v>
      </c>
      <c r="L46" s="23" t="s">
        <v>1085</v>
      </c>
      <c r="M46" s="25">
        <v>99900</v>
      </c>
      <c r="N46" s="36">
        <f t="shared" si="4"/>
        <v>0.75</v>
      </c>
      <c r="O46" s="35">
        <f t="shared" si="0"/>
        <v>24975</v>
      </c>
      <c r="P46" s="33" t="s">
        <v>16</v>
      </c>
    </row>
    <row r="47" spans="1:16" x14ac:dyDescent="0.35">
      <c r="A47" s="33" t="str">
        <f t="shared" si="5"/>
        <v>2024 JAN-DEC DISC 75 LICENSE ESS</v>
      </c>
      <c r="B47" s="34">
        <f t="shared" si="2"/>
        <v>46104</v>
      </c>
      <c r="C47" s="34">
        <f t="shared" si="3"/>
        <v>46113</v>
      </c>
      <c r="D47" s="6">
        <v>3287</v>
      </c>
      <c r="E47" s="6">
        <v>338</v>
      </c>
      <c r="F47" s="33">
        <v>4</v>
      </c>
      <c r="G47" s="24">
        <v>3</v>
      </c>
      <c r="H47" s="24">
        <v>850</v>
      </c>
      <c r="I47" s="24" t="s">
        <v>17</v>
      </c>
      <c r="J47" s="23">
        <v>15780711</v>
      </c>
      <c r="K47" s="23" t="s">
        <v>1084</v>
      </c>
      <c r="L47" s="23" t="s">
        <v>1086</v>
      </c>
      <c r="M47" s="25">
        <v>99900</v>
      </c>
      <c r="N47" s="36">
        <f t="shared" si="4"/>
        <v>0.75</v>
      </c>
      <c r="O47" s="35">
        <f t="shared" si="0"/>
        <v>24975</v>
      </c>
      <c r="P47" s="33" t="s">
        <v>16</v>
      </c>
    </row>
    <row r="48" spans="1:16" x14ac:dyDescent="0.35">
      <c r="A48" s="33" t="str">
        <f t="shared" si="5"/>
        <v>2024 JAN-DEC DISC 75 LICENSE ESS</v>
      </c>
      <c r="B48" s="34">
        <f t="shared" si="2"/>
        <v>46104</v>
      </c>
      <c r="C48" s="34">
        <f t="shared" si="3"/>
        <v>46113</v>
      </c>
      <c r="D48" s="6">
        <v>3287</v>
      </c>
      <c r="E48" s="6">
        <v>338</v>
      </c>
      <c r="F48" s="33">
        <v>4</v>
      </c>
      <c r="G48" s="24">
        <v>3</v>
      </c>
      <c r="H48" s="24">
        <v>850</v>
      </c>
      <c r="I48" s="24" t="s">
        <v>17</v>
      </c>
      <c r="J48" s="23">
        <v>15780720</v>
      </c>
      <c r="K48" s="23" t="s">
        <v>1084</v>
      </c>
      <c r="L48" s="23" t="s">
        <v>1087</v>
      </c>
      <c r="M48" s="25">
        <v>99900</v>
      </c>
      <c r="N48" s="36">
        <f t="shared" si="4"/>
        <v>0.75</v>
      </c>
      <c r="O48" s="35">
        <f t="shared" si="0"/>
        <v>24975</v>
      </c>
      <c r="P48" s="33" t="s">
        <v>16</v>
      </c>
    </row>
    <row r="49" spans="1:16" x14ac:dyDescent="0.35">
      <c r="A49" s="33" t="str">
        <f t="shared" si="5"/>
        <v>2024 JAN-DEC DISC 75 LICENSE ESS</v>
      </c>
      <c r="B49" s="34">
        <f t="shared" si="2"/>
        <v>46104</v>
      </c>
      <c r="C49" s="34">
        <f t="shared" si="3"/>
        <v>46113</v>
      </c>
      <c r="D49" s="6">
        <v>3287</v>
      </c>
      <c r="E49" s="6">
        <v>338</v>
      </c>
      <c r="F49" s="33">
        <v>4</v>
      </c>
      <c r="G49" s="24">
        <v>3</v>
      </c>
      <c r="H49" s="24">
        <v>850</v>
      </c>
      <c r="I49" s="24" t="s">
        <v>17</v>
      </c>
      <c r="J49" s="23">
        <v>15780739</v>
      </c>
      <c r="K49" s="23" t="s">
        <v>1084</v>
      </c>
      <c r="L49" s="23" t="s">
        <v>1088</v>
      </c>
      <c r="M49" s="25">
        <v>99900</v>
      </c>
      <c r="N49" s="36">
        <f t="shared" si="4"/>
        <v>0.75</v>
      </c>
      <c r="O49" s="35">
        <f t="shared" si="0"/>
        <v>24975</v>
      </c>
      <c r="P49" s="33" t="s">
        <v>16</v>
      </c>
    </row>
    <row r="50" spans="1:16" x14ac:dyDescent="0.35">
      <c r="A50" s="33" t="str">
        <f t="shared" si="5"/>
        <v>2024 JAN-DEC DISC 75 LICENSE ESS</v>
      </c>
      <c r="B50" s="34">
        <f t="shared" si="2"/>
        <v>46104</v>
      </c>
      <c r="C50" s="34">
        <f t="shared" si="3"/>
        <v>46113</v>
      </c>
      <c r="D50" s="6">
        <v>3287</v>
      </c>
      <c r="E50" s="6">
        <v>338</v>
      </c>
      <c r="F50" s="33">
        <v>4</v>
      </c>
      <c r="G50" s="24">
        <v>3</v>
      </c>
      <c r="H50" s="24">
        <v>81574</v>
      </c>
      <c r="I50" s="24" t="s">
        <v>17</v>
      </c>
      <c r="J50" s="23">
        <v>15780748</v>
      </c>
      <c r="K50" s="23" t="s">
        <v>1104</v>
      </c>
      <c r="L50" s="23" t="s">
        <v>1105</v>
      </c>
      <c r="M50" s="25">
        <v>99900</v>
      </c>
      <c r="N50" s="36">
        <f t="shared" si="4"/>
        <v>0.75</v>
      </c>
      <c r="O50" s="35">
        <f t="shared" si="0"/>
        <v>24975</v>
      </c>
      <c r="P50" s="33" t="s">
        <v>16</v>
      </c>
    </row>
    <row r="51" spans="1:16" x14ac:dyDescent="0.35">
      <c r="A51" s="33" t="str">
        <f t="shared" si="5"/>
        <v>2024 JAN-DEC DISC 75 LICENSE ESS</v>
      </c>
      <c r="B51" s="34">
        <f t="shared" si="2"/>
        <v>46104</v>
      </c>
      <c r="C51" s="34">
        <f t="shared" si="3"/>
        <v>46113</v>
      </c>
      <c r="D51" s="6">
        <v>3287</v>
      </c>
      <c r="E51" s="6">
        <v>338</v>
      </c>
      <c r="F51" s="33">
        <v>4</v>
      </c>
      <c r="G51" s="24">
        <v>3</v>
      </c>
      <c r="H51" s="24">
        <v>81574</v>
      </c>
      <c r="I51" s="24" t="s">
        <v>17</v>
      </c>
      <c r="J51" s="23">
        <v>15780757</v>
      </c>
      <c r="K51" s="23" t="s">
        <v>1104</v>
      </c>
      <c r="L51" s="23" t="s">
        <v>1106</v>
      </c>
      <c r="M51" s="25">
        <v>99900</v>
      </c>
      <c r="N51" s="36">
        <f t="shared" si="4"/>
        <v>0.75</v>
      </c>
      <c r="O51" s="35">
        <f t="shared" si="0"/>
        <v>24975</v>
      </c>
      <c r="P51" s="33" t="s">
        <v>16</v>
      </c>
    </row>
    <row r="52" spans="1:16" x14ac:dyDescent="0.35">
      <c r="A52" s="33" t="str">
        <f t="shared" si="5"/>
        <v>2024 JAN-DEC DISC 75 LICENSE ESS</v>
      </c>
      <c r="B52" s="34">
        <f t="shared" si="2"/>
        <v>46104</v>
      </c>
      <c r="C52" s="34">
        <f t="shared" si="3"/>
        <v>46113</v>
      </c>
      <c r="D52" s="6">
        <v>3287</v>
      </c>
      <c r="E52" s="6">
        <v>338</v>
      </c>
      <c r="F52" s="33">
        <v>4</v>
      </c>
      <c r="G52" s="24">
        <v>3</v>
      </c>
      <c r="H52" s="24">
        <v>81574</v>
      </c>
      <c r="I52" s="24" t="s">
        <v>17</v>
      </c>
      <c r="J52" s="23">
        <v>15780766</v>
      </c>
      <c r="K52" s="23" t="s">
        <v>1104</v>
      </c>
      <c r="L52" s="23" t="s">
        <v>1107</v>
      </c>
      <c r="M52" s="25">
        <v>99900</v>
      </c>
      <c r="N52" s="36">
        <f t="shared" si="4"/>
        <v>0.75</v>
      </c>
      <c r="O52" s="35">
        <f t="shared" si="0"/>
        <v>24975</v>
      </c>
      <c r="P52" s="33" t="s">
        <v>16</v>
      </c>
    </row>
    <row r="53" spans="1:16" x14ac:dyDescent="0.35">
      <c r="A53" s="33" t="str">
        <f t="shared" si="5"/>
        <v>2024 JAN-DEC DISC 75 LICENSE ESS</v>
      </c>
      <c r="B53" s="34">
        <f t="shared" si="2"/>
        <v>46104</v>
      </c>
      <c r="C53" s="34">
        <f t="shared" si="3"/>
        <v>46113</v>
      </c>
      <c r="D53" s="6">
        <v>3287</v>
      </c>
      <c r="E53" s="6">
        <v>338</v>
      </c>
      <c r="F53" s="33">
        <v>4</v>
      </c>
      <c r="G53" s="24">
        <v>3</v>
      </c>
      <c r="H53" s="24">
        <v>81574</v>
      </c>
      <c r="I53" s="24" t="s">
        <v>17</v>
      </c>
      <c r="J53" s="23">
        <v>15780784</v>
      </c>
      <c r="K53" s="23" t="s">
        <v>1104</v>
      </c>
      <c r="L53" s="23" t="s">
        <v>1108</v>
      </c>
      <c r="M53" s="25">
        <v>99900</v>
      </c>
      <c r="N53" s="36">
        <f t="shared" si="4"/>
        <v>0.75</v>
      </c>
      <c r="O53" s="35">
        <f t="shared" si="0"/>
        <v>24975</v>
      </c>
      <c r="P53" s="33" t="s">
        <v>16</v>
      </c>
    </row>
    <row r="54" spans="1:16" x14ac:dyDescent="0.35">
      <c r="A54" s="33" t="str">
        <f t="shared" si="5"/>
        <v>2024 JAN-DEC DISC 75 LICENSE ESS</v>
      </c>
      <c r="B54" s="34">
        <f t="shared" si="2"/>
        <v>46104</v>
      </c>
      <c r="C54" s="34">
        <f t="shared" si="3"/>
        <v>46113</v>
      </c>
      <c r="D54" s="6">
        <v>3287</v>
      </c>
      <c r="E54" s="6">
        <v>338</v>
      </c>
      <c r="F54" s="33">
        <v>4</v>
      </c>
      <c r="G54" s="24">
        <v>8</v>
      </c>
      <c r="H54" s="24">
        <v>81462</v>
      </c>
      <c r="I54" s="24" t="s">
        <v>17</v>
      </c>
      <c r="J54" s="23">
        <v>15816398</v>
      </c>
      <c r="K54" s="23" t="s">
        <v>2321</v>
      </c>
      <c r="L54" s="23" t="s">
        <v>2322</v>
      </c>
      <c r="M54" s="25">
        <v>89900</v>
      </c>
      <c r="N54" s="36">
        <f t="shared" si="4"/>
        <v>0.75</v>
      </c>
      <c r="O54" s="35">
        <f t="shared" si="0"/>
        <v>22475</v>
      </c>
      <c r="P54" s="33" t="s">
        <v>16</v>
      </c>
    </row>
    <row r="55" spans="1:16" x14ac:dyDescent="0.35">
      <c r="A55" s="33" t="str">
        <f t="shared" si="5"/>
        <v>2024 JAN-DEC DISC 75 LICENSE ESS</v>
      </c>
      <c r="B55" s="34">
        <f t="shared" si="2"/>
        <v>46104</v>
      </c>
      <c r="C55" s="34">
        <f t="shared" si="3"/>
        <v>46113</v>
      </c>
      <c r="D55" s="6">
        <v>3287</v>
      </c>
      <c r="E55" s="6">
        <v>338</v>
      </c>
      <c r="F55" s="33">
        <v>4</v>
      </c>
      <c r="G55" s="24">
        <v>8</v>
      </c>
      <c r="H55" s="24">
        <v>81462</v>
      </c>
      <c r="I55" s="24" t="s">
        <v>17</v>
      </c>
      <c r="J55" s="23">
        <v>15816405</v>
      </c>
      <c r="K55" s="23" t="s">
        <v>2321</v>
      </c>
      <c r="L55" s="23" t="s">
        <v>2323</v>
      </c>
      <c r="M55" s="25">
        <v>89900</v>
      </c>
      <c r="N55" s="36">
        <f t="shared" si="4"/>
        <v>0.75</v>
      </c>
      <c r="O55" s="35">
        <f t="shared" si="0"/>
        <v>22475</v>
      </c>
      <c r="P55" s="33" t="s">
        <v>16</v>
      </c>
    </row>
    <row r="56" spans="1:16" x14ac:dyDescent="0.35">
      <c r="A56" s="33" t="str">
        <f t="shared" si="5"/>
        <v>2024 JAN-DEC DISC 75 LICENSE ESS</v>
      </c>
      <c r="B56" s="34">
        <f t="shared" si="2"/>
        <v>46104</v>
      </c>
      <c r="C56" s="34">
        <f t="shared" si="3"/>
        <v>46113</v>
      </c>
      <c r="D56" s="6">
        <v>3287</v>
      </c>
      <c r="E56" s="6">
        <v>338</v>
      </c>
      <c r="F56" s="33">
        <v>4</v>
      </c>
      <c r="G56" s="24">
        <v>8</v>
      </c>
      <c r="H56" s="24">
        <v>81462</v>
      </c>
      <c r="I56" s="24" t="s">
        <v>17</v>
      </c>
      <c r="J56" s="23">
        <v>15816414</v>
      </c>
      <c r="K56" s="23" t="s">
        <v>2321</v>
      </c>
      <c r="L56" s="23" t="s">
        <v>2324</v>
      </c>
      <c r="M56" s="25">
        <v>89900</v>
      </c>
      <c r="N56" s="36">
        <f t="shared" si="4"/>
        <v>0.75</v>
      </c>
      <c r="O56" s="35">
        <f t="shared" si="0"/>
        <v>22475</v>
      </c>
      <c r="P56" s="33" t="s">
        <v>16</v>
      </c>
    </row>
    <row r="57" spans="1:16" x14ac:dyDescent="0.35">
      <c r="A57" s="33" t="str">
        <f t="shared" si="5"/>
        <v>2024 JAN-DEC DISC 75 LICENSE ESS</v>
      </c>
      <c r="B57" s="34">
        <f t="shared" si="2"/>
        <v>46104</v>
      </c>
      <c r="C57" s="34">
        <f t="shared" si="3"/>
        <v>46113</v>
      </c>
      <c r="D57" s="6">
        <v>3287</v>
      </c>
      <c r="E57" s="6">
        <v>338</v>
      </c>
      <c r="F57" s="33">
        <v>4</v>
      </c>
      <c r="G57" s="24">
        <v>8</v>
      </c>
      <c r="H57" s="24">
        <v>81462</v>
      </c>
      <c r="I57" s="24" t="s">
        <v>17</v>
      </c>
      <c r="J57" s="23">
        <v>15816423</v>
      </c>
      <c r="K57" s="23" t="s">
        <v>2321</v>
      </c>
      <c r="L57" s="23" t="s">
        <v>2325</v>
      </c>
      <c r="M57" s="25">
        <v>89900</v>
      </c>
      <c r="N57" s="36">
        <f t="shared" si="4"/>
        <v>0.75</v>
      </c>
      <c r="O57" s="35">
        <f t="shared" si="0"/>
        <v>22475</v>
      </c>
      <c r="P57" s="33" t="s">
        <v>16</v>
      </c>
    </row>
    <row r="58" spans="1:16" x14ac:dyDescent="0.35">
      <c r="A58" s="33" t="str">
        <f t="shared" si="5"/>
        <v>2024 JAN-DEC DISC 75 LICENSE ESS</v>
      </c>
      <c r="B58" s="34">
        <f t="shared" si="2"/>
        <v>46104</v>
      </c>
      <c r="C58" s="34">
        <f t="shared" si="3"/>
        <v>46113</v>
      </c>
      <c r="D58" s="6">
        <v>3287</v>
      </c>
      <c r="E58" s="6">
        <v>338</v>
      </c>
      <c r="F58" s="33">
        <v>4</v>
      </c>
      <c r="G58" s="24">
        <v>1</v>
      </c>
      <c r="H58" s="24">
        <v>850</v>
      </c>
      <c r="I58" s="24" t="s">
        <v>17</v>
      </c>
      <c r="J58" s="23">
        <v>16098770</v>
      </c>
      <c r="K58" s="23" t="s">
        <v>1059</v>
      </c>
      <c r="L58" s="23" t="s">
        <v>1060</v>
      </c>
      <c r="M58" s="25">
        <v>89900</v>
      </c>
      <c r="N58" s="36">
        <f t="shared" si="4"/>
        <v>0.75</v>
      </c>
      <c r="O58" s="35">
        <f t="shared" si="0"/>
        <v>22475</v>
      </c>
      <c r="P58" s="33" t="s">
        <v>16</v>
      </c>
    </row>
    <row r="59" spans="1:16" x14ac:dyDescent="0.35">
      <c r="A59" s="33" t="str">
        <f t="shared" si="5"/>
        <v>2024 JAN-DEC DISC 75 LICENSE ESS</v>
      </c>
      <c r="B59" s="34">
        <f t="shared" si="2"/>
        <v>46104</v>
      </c>
      <c r="C59" s="34">
        <f t="shared" si="3"/>
        <v>46113</v>
      </c>
      <c r="D59" s="6">
        <v>3287</v>
      </c>
      <c r="E59" s="6">
        <v>338</v>
      </c>
      <c r="F59" s="33">
        <v>4</v>
      </c>
      <c r="G59" s="24">
        <v>1</v>
      </c>
      <c r="H59" s="24">
        <v>850</v>
      </c>
      <c r="I59" s="24" t="s">
        <v>17</v>
      </c>
      <c r="J59" s="23">
        <v>16098789</v>
      </c>
      <c r="K59" s="23" t="s">
        <v>1059</v>
      </c>
      <c r="L59" s="23" t="s">
        <v>1061</v>
      </c>
      <c r="M59" s="25">
        <v>89900</v>
      </c>
      <c r="N59" s="36">
        <f t="shared" si="4"/>
        <v>0.75</v>
      </c>
      <c r="O59" s="35">
        <f t="shared" si="0"/>
        <v>22475</v>
      </c>
      <c r="P59" s="33" t="s">
        <v>16</v>
      </c>
    </row>
    <row r="60" spans="1:16" x14ac:dyDescent="0.35">
      <c r="A60" s="33" t="str">
        <f t="shared" si="5"/>
        <v>2024 JAN-DEC DISC 75 LICENSE ESS</v>
      </c>
      <c r="B60" s="34">
        <f t="shared" si="2"/>
        <v>46104</v>
      </c>
      <c r="C60" s="34">
        <f t="shared" si="3"/>
        <v>46113</v>
      </c>
      <c r="D60" s="6">
        <v>3287</v>
      </c>
      <c r="E60" s="6">
        <v>338</v>
      </c>
      <c r="F60" s="33">
        <v>4</v>
      </c>
      <c r="G60" s="24">
        <v>1</v>
      </c>
      <c r="H60" s="24">
        <v>850</v>
      </c>
      <c r="I60" s="24" t="s">
        <v>17</v>
      </c>
      <c r="J60" s="23">
        <v>16098798</v>
      </c>
      <c r="K60" s="23" t="s">
        <v>1059</v>
      </c>
      <c r="L60" s="23" t="s">
        <v>1062</v>
      </c>
      <c r="M60" s="25">
        <v>89900</v>
      </c>
      <c r="N60" s="36">
        <f t="shared" si="4"/>
        <v>0.75</v>
      </c>
      <c r="O60" s="35">
        <f t="shared" si="0"/>
        <v>22475</v>
      </c>
      <c r="P60" s="33" t="s">
        <v>16</v>
      </c>
    </row>
    <row r="61" spans="1:16" x14ac:dyDescent="0.35">
      <c r="A61" s="33" t="str">
        <f t="shared" si="5"/>
        <v>2024 JAN-DEC DISC 75 LICENSE ESS</v>
      </c>
      <c r="B61" s="34">
        <f t="shared" si="2"/>
        <v>46104</v>
      </c>
      <c r="C61" s="34">
        <f t="shared" si="3"/>
        <v>46113</v>
      </c>
      <c r="D61" s="6">
        <v>3287</v>
      </c>
      <c r="E61" s="6">
        <v>338</v>
      </c>
      <c r="F61" s="33">
        <v>4</v>
      </c>
      <c r="G61" s="24">
        <v>1</v>
      </c>
      <c r="H61" s="24">
        <v>850</v>
      </c>
      <c r="I61" s="24" t="s">
        <v>17</v>
      </c>
      <c r="J61" s="23">
        <v>16098805</v>
      </c>
      <c r="K61" s="23" t="s">
        <v>1059</v>
      </c>
      <c r="L61" s="23" t="s">
        <v>1063</v>
      </c>
      <c r="M61" s="25">
        <v>89900</v>
      </c>
      <c r="N61" s="36">
        <f t="shared" si="4"/>
        <v>0.75</v>
      </c>
      <c r="O61" s="35">
        <f t="shared" si="0"/>
        <v>22475</v>
      </c>
      <c r="P61" s="33" t="s">
        <v>16</v>
      </c>
    </row>
    <row r="62" spans="1:16" x14ac:dyDescent="0.35">
      <c r="A62" s="33" t="str">
        <f t="shared" si="5"/>
        <v>2024 JAN-DEC DISC 75 LICENSE ESS</v>
      </c>
      <c r="B62" s="34">
        <f t="shared" si="2"/>
        <v>46104</v>
      </c>
      <c r="C62" s="34">
        <f t="shared" si="3"/>
        <v>46113</v>
      </c>
      <c r="D62" s="6">
        <v>3287</v>
      </c>
      <c r="E62" s="6">
        <v>338</v>
      </c>
      <c r="F62" s="33">
        <v>4</v>
      </c>
      <c r="G62" s="24">
        <v>2</v>
      </c>
      <c r="H62" s="24">
        <v>850</v>
      </c>
      <c r="I62" s="24" t="s">
        <v>17</v>
      </c>
      <c r="J62" s="23">
        <v>16622756</v>
      </c>
      <c r="K62" s="23" t="s">
        <v>329</v>
      </c>
      <c r="L62" s="23" t="s">
        <v>330</v>
      </c>
      <c r="M62" s="25">
        <v>229900</v>
      </c>
      <c r="N62" s="36">
        <f t="shared" si="4"/>
        <v>0.75</v>
      </c>
      <c r="O62" s="35">
        <f t="shared" si="0"/>
        <v>57475</v>
      </c>
      <c r="P62" s="33" t="s">
        <v>16</v>
      </c>
    </row>
    <row r="63" spans="1:16" x14ac:dyDescent="0.35">
      <c r="A63" s="33" t="str">
        <f t="shared" si="5"/>
        <v>2024 JAN-DEC DISC 75 LICENSE ESS</v>
      </c>
      <c r="B63" s="34">
        <f t="shared" si="2"/>
        <v>46104</v>
      </c>
      <c r="C63" s="34">
        <f t="shared" si="3"/>
        <v>46113</v>
      </c>
      <c r="D63" s="6">
        <v>3287</v>
      </c>
      <c r="E63" s="6">
        <v>338</v>
      </c>
      <c r="F63" s="33">
        <v>4</v>
      </c>
      <c r="G63" s="24">
        <v>2</v>
      </c>
      <c r="H63" s="24">
        <v>850</v>
      </c>
      <c r="I63" s="24" t="s">
        <v>17</v>
      </c>
      <c r="J63" s="23">
        <v>16622765</v>
      </c>
      <c r="K63" s="23" t="s">
        <v>329</v>
      </c>
      <c r="L63" s="23" t="s">
        <v>331</v>
      </c>
      <c r="M63" s="25">
        <v>229900</v>
      </c>
      <c r="N63" s="36">
        <f t="shared" si="4"/>
        <v>0.75</v>
      </c>
      <c r="O63" s="35">
        <f t="shared" si="0"/>
        <v>57475</v>
      </c>
      <c r="P63" s="33" t="s">
        <v>16</v>
      </c>
    </row>
    <row r="64" spans="1:16" x14ac:dyDescent="0.35">
      <c r="A64" s="33" t="str">
        <f t="shared" si="5"/>
        <v>2024 JAN-DEC DISC 75 LICENSE ESS</v>
      </c>
      <c r="B64" s="34">
        <f t="shared" si="2"/>
        <v>46104</v>
      </c>
      <c r="C64" s="34">
        <f t="shared" si="3"/>
        <v>46113</v>
      </c>
      <c r="D64" s="6">
        <v>3287</v>
      </c>
      <c r="E64" s="6">
        <v>338</v>
      </c>
      <c r="F64" s="33">
        <v>4</v>
      </c>
      <c r="G64" s="24">
        <v>2</v>
      </c>
      <c r="H64" s="24">
        <v>850</v>
      </c>
      <c r="I64" s="24" t="s">
        <v>17</v>
      </c>
      <c r="J64" s="23">
        <v>16622774</v>
      </c>
      <c r="K64" s="23" t="s">
        <v>329</v>
      </c>
      <c r="L64" s="23" t="s">
        <v>332</v>
      </c>
      <c r="M64" s="25">
        <v>229900</v>
      </c>
      <c r="N64" s="36">
        <f t="shared" si="4"/>
        <v>0.75</v>
      </c>
      <c r="O64" s="35">
        <f t="shared" si="0"/>
        <v>57475</v>
      </c>
      <c r="P64" s="33" t="s">
        <v>16</v>
      </c>
    </row>
    <row r="65" spans="1:16" x14ac:dyDescent="0.35">
      <c r="A65" s="33" t="str">
        <f t="shared" si="5"/>
        <v>2024 JAN-DEC DISC 75 LICENSE ESS</v>
      </c>
      <c r="B65" s="34">
        <f t="shared" si="2"/>
        <v>46104</v>
      </c>
      <c r="C65" s="34">
        <f t="shared" si="3"/>
        <v>46113</v>
      </c>
      <c r="D65" s="6">
        <v>3287</v>
      </c>
      <c r="E65" s="6">
        <v>338</v>
      </c>
      <c r="F65" s="33">
        <v>4</v>
      </c>
      <c r="G65" s="24">
        <v>2</v>
      </c>
      <c r="H65" s="24">
        <v>850</v>
      </c>
      <c r="I65" s="24" t="s">
        <v>17</v>
      </c>
      <c r="J65" s="23">
        <v>16622783</v>
      </c>
      <c r="K65" s="23" t="s">
        <v>329</v>
      </c>
      <c r="L65" s="23" t="s">
        <v>333</v>
      </c>
      <c r="M65" s="25">
        <v>229900</v>
      </c>
      <c r="N65" s="36">
        <f t="shared" si="4"/>
        <v>0.75</v>
      </c>
      <c r="O65" s="35">
        <f t="shared" si="0"/>
        <v>57475</v>
      </c>
      <c r="P65" s="33" t="s">
        <v>16</v>
      </c>
    </row>
    <row r="66" spans="1:16" x14ac:dyDescent="0.35">
      <c r="A66" s="33" t="str">
        <f t="shared" si="5"/>
        <v>2024 JAN-DEC DISC 75 LICENSE ESS</v>
      </c>
      <c r="B66" s="34">
        <f t="shared" si="2"/>
        <v>46104</v>
      </c>
      <c r="C66" s="34">
        <f t="shared" si="3"/>
        <v>46113</v>
      </c>
      <c r="D66" s="6">
        <v>3287</v>
      </c>
      <c r="E66" s="6">
        <v>338</v>
      </c>
      <c r="F66" s="33">
        <v>4</v>
      </c>
      <c r="G66" s="24">
        <v>2</v>
      </c>
      <c r="H66" s="24">
        <v>850</v>
      </c>
      <c r="I66" s="24" t="s">
        <v>17</v>
      </c>
      <c r="J66" s="23">
        <v>16622792</v>
      </c>
      <c r="K66" s="23" t="s">
        <v>329</v>
      </c>
      <c r="L66" s="23" t="s">
        <v>334</v>
      </c>
      <c r="M66" s="25">
        <v>239900</v>
      </c>
      <c r="N66" s="36">
        <f t="shared" si="4"/>
        <v>0.75</v>
      </c>
      <c r="O66" s="35">
        <f t="shared" si="0"/>
        <v>59975</v>
      </c>
      <c r="P66" s="33" t="s">
        <v>16</v>
      </c>
    </row>
    <row r="67" spans="1:16" x14ac:dyDescent="0.35">
      <c r="A67" s="33" t="str">
        <f t="shared" si="5"/>
        <v>2024 JAN-DEC DISC 75 LICENSE ESS</v>
      </c>
      <c r="B67" s="34">
        <f t="shared" si="2"/>
        <v>46104</v>
      </c>
      <c r="C67" s="34">
        <f t="shared" si="3"/>
        <v>46113</v>
      </c>
      <c r="D67" s="6">
        <v>3287</v>
      </c>
      <c r="E67" s="6">
        <v>338</v>
      </c>
      <c r="F67" s="33">
        <v>4</v>
      </c>
      <c r="G67" s="24">
        <v>2</v>
      </c>
      <c r="H67" s="24">
        <v>850</v>
      </c>
      <c r="I67" s="24" t="s">
        <v>17</v>
      </c>
      <c r="J67" s="23">
        <v>16622809</v>
      </c>
      <c r="K67" s="23" t="s">
        <v>329</v>
      </c>
      <c r="L67" s="23" t="s">
        <v>335</v>
      </c>
      <c r="M67" s="25">
        <v>239900</v>
      </c>
      <c r="N67" s="36">
        <f t="shared" si="4"/>
        <v>0.75</v>
      </c>
      <c r="O67" s="35">
        <f t="shared" ref="O67:O130" si="6">M67-((75*M67)/100)</f>
        <v>59975</v>
      </c>
      <c r="P67" s="33" t="s">
        <v>16</v>
      </c>
    </row>
    <row r="68" spans="1:16" x14ac:dyDescent="0.35">
      <c r="A68" s="33" t="str">
        <f t="shared" si="5"/>
        <v>2024 JAN-DEC DISC 75 LICENSE ESS</v>
      </c>
      <c r="B68" s="34">
        <f t="shared" si="5"/>
        <v>46104</v>
      </c>
      <c r="C68" s="34">
        <f t="shared" si="5"/>
        <v>46113</v>
      </c>
      <c r="D68" s="6">
        <v>3287</v>
      </c>
      <c r="E68" s="6">
        <v>338</v>
      </c>
      <c r="F68" s="33">
        <v>4</v>
      </c>
      <c r="G68" s="24">
        <v>2</v>
      </c>
      <c r="H68" s="24">
        <v>850</v>
      </c>
      <c r="I68" s="24" t="s">
        <v>17</v>
      </c>
      <c r="J68" s="23">
        <v>16622818</v>
      </c>
      <c r="K68" s="23" t="s">
        <v>329</v>
      </c>
      <c r="L68" s="23" t="s">
        <v>336</v>
      </c>
      <c r="M68" s="25">
        <v>239900</v>
      </c>
      <c r="N68" s="36">
        <f t="shared" ref="N68:N131" si="7">N67</f>
        <v>0.75</v>
      </c>
      <c r="O68" s="35">
        <f t="shared" si="6"/>
        <v>59975</v>
      </c>
      <c r="P68" s="33" t="s">
        <v>16</v>
      </c>
    </row>
    <row r="69" spans="1:16" x14ac:dyDescent="0.35">
      <c r="A69" s="33" t="str">
        <f t="shared" si="5"/>
        <v>2024 JAN-DEC DISC 75 LICENSE ESS</v>
      </c>
      <c r="B69" s="34">
        <f t="shared" si="5"/>
        <v>46104</v>
      </c>
      <c r="C69" s="34">
        <f t="shared" si="5"/>
        <v>46113</v>
      </c>
      <c r="D69" s="6">
        <v>3287</v>
      </c>
      <c r="E69" s="6">
        <v>338</v>
      </c>
      <c r="F69" s="33">
        <v>4</v>
      </c>
      <c r="G69" s="24">
        <v>2</v>
      </c>
      <c r="H69" s="24">
        <v>850</v>
      </c>
      <c r="I69" s="24" t="s">
        <v>17</v>
      </c>
      <c r="J69" s="23">
        <v>16622827</v>
      </c>
      <c r="K69" s="23" t="s">
        <v>329</v>
      </c>
      <c r="L69" s="23" t="s">
        <v>337</v>
      </c>
      <c r="M69" s="25">
        <v>239900</v>
      </c>
      <c r="N69" s="36">
        <f t="shared" si="7"/>
        <v>0.75</v>
      </c>
      <c r="O69" s="35">
        <f t="shared" si="6"/>
        <v>59975</v>
      </c>
      <c r="P69" s="33" t="s">
        <v>16</v>
      </c>
    </row>
    <row r="70" spans="1:16" x14ac:dyDescent="0.35">
      <c r="A70" s="33" t="str">
        <f t="shared" ref="A70:A133" si="8">A69</f>
        <v>2024 JAN-DEC DISC 75 LICENSE ESS</v>
      </c>
      <c r="B70" s="34">
        <f t="shared" ref="B70:B133" si="9">B69</f>
        <v>46104</v>
      </c>
      <c r="C70" s="34">
        <f t="shared" ref="C70:C133" si="10">C69</f>
        <v>46113</v>
      </c>
      <c r="D70" s="6">
        <v>3287</v>
      </c>
      <c r="E70" s="6">
        <v>338</v>
      </c>
      <c r="F70" s="33">
        <v>4</v>
      </c>
      <c r="G70" s="24">
        <v>4</v>
      </c>
      <c r="H70" s="24">
        <v>81676</v>
      </c>
      <c r="I70" s="24" t="s">
        <v>17</v>
      </c>
      <c r="J70" s="23">
        <v>81184830</v>
      </c>
      <c r="K70" s="23" t="s">
        <v>381</v>
      </c>
      <c r="L70" s="23" t="s">
        <v>382</v>
      </c>
      <c r="M70" s="25">
        <v>229900</v>
      </c>
      <c r="N70" s="36">
        <f t="shared" si="7"/>
        <v>0.75</v>
      </c>
      <c r="O70" s="35">
        <f t="shared" si="6"/>
        <v>57475</v>
      </c>
      <c r="P70" s="33" t="s">
        <v>16</v>
      </c>
    </row>
    <row r="71" spans="1:16" x14ac:dyDescent="0.35">
      <c r="A71" s="33" t="str">
        <f t="shared" si="8"/>
        <v>2024 JAN-DEC DISC 75 LICENSE ESS</v>
      </c>
      <c r="B71" s="34">
        <f t="shared" si="9"/>
        <v>46104</v>
      </c>
      <c r="C71" s="34">
        <f t="shared" si="10"/>
        <v>46113</v>
      </c>
      <c r="D71" s="6">
        <v>3287</v>
      </c>
      <c r="E71" s="6">
        <v>338</v>
      </c>
      <c r="F71" s="33">
        <v>4</v>
      </c>
      <c r="G71" s="24">
        <v>4</v>
      </c>
      <c r="H71" s="24">
        <v>81676</v>
      </c>
      <c r="I71" s="24" t="s">
        <v>17</v>
      </c>
      <c r="J71" s="23">
        <v>81184849</v>
      </c>
      <c r="K71" s="23" t="s">
        <v>381</v>
      </c>
      <c r="L71" s="23" t="s">
        <v>383</v>
      </c>
      <c r="M71" s="25">
        <v>229900</v>
      </c>
      <c r="N71" s="36">
        <f t="shared" si="7"/>
        <v>0.75</v>
      </c>
      <c r="O71" s="35">
        <f t="shared" si="6"/>
        <v>57475</v>
      </c>
      <c r="P71" s="33" t="s">
        <v>16</v>
      </c>
    </row>
    <row r="72" spans="1:16" x14ac:dyDescent="0.35">
      <c r="A72" s="33" t="str">
        <f t="shared" si="8"/>
        <v>2024 JAN-DEC DISC 75 LICENSE ESS</v>
      </c>
      <c r="B72" s="34">
        <f t="shared" si="9"/>
        <v>46104</v>
      </c>
      <c r="C72" s="34">
        <f t="shared" si="10"/>
        <v>46113</v>
      </c>
      <c r="D72" s="6">
        <v>3287</v>
      </c>
      <c r="E72" s="6">
        <v>338</v>
      </c>
      <c r="F72" s="33">
        <v>4</v>
      </c>
      <c r="G72" s="24">
        <v>4</v>
      </c>
      <c r="H72" s="24">
        <v>81676</v>
      </c>
      <c r="I72" s="24" t="s">
        <v>17</v>
      </c>
      <c r="J72" s="23">
        <v>81184858</v>
      </c>
      <c r="K72" s="23" t="s">
        <v>381</v>
      </c>
      <c r="L72" s="23" t="s">
        <v>384</v>
      </c>
      <c r="M72" s="25">
        <v>229900</v>
      </c>
      <c r="N72" s="36">
        <f t="shared" si="7"/>
        <v>0.75</v>
      </c>
      <c r="O72" s="35">
        <f t="shared" si="6"/>
        <v>57475</v>
      </c>
      <c r="P72" s="33" t="s">
        <v>16</v>
      </c>
    </row>
    <row r="73" spans="1:16" x14ac:dyDescent="0.35">
      <c r="A73" s="33" t="str">
        <f t="shared" si="8"/>
        <v>2024 JAN-DEC DISC 75 LICENSE ESS</v>
      </c>
      <c r="B73" s="34">
        <f t="shared" si="9"/>
        <v>46104</v>
      </c>
      <c r="C73" s="34">
        <f t="shared" si="10"/>
        <v>46113</v>
      </c>
      <c r="D73" s="6">
        <v>3287</v>
      </c>
      <c r="E73" s="6">
        <v>338</v>
      </c>
      <c r="F73" s="33">
        <v>4</v>
      </c>
      <c r="G73" s="24">
        <v>4</v>
      </c>
      <c r="H73" s="24">
        <v>81676</v>
      </c>
      <c r="I73" s="24" t="s">
        <v>17</v>
      </c>
      <c r="J73" s="23">
        <v>81184867</v>
      </c>
      <c r="K73" s="23" t="s">
        <v>381</v>
      </c>
      <c r="L73" s="23" t="s">
        <v>727</v>
      </c>
      <c r="M73" s="25">
        <v>229900</v>
      </c>
      <c r="N73" s="36">
        <f t="shared" si="7"/>
        <v>0.75</v>
      </c>
      <c r="O73" s="35">
        <f t="shared" si="6"/>
        <v>57475</v>
      </c>
      <c r="P73" s="33" t="s">
        <v>16</v>
      </c>
    </row>
    <row r="74" spans="1:16" x14ac:dyDescent="0.35">
      <c r="A74" s="33" t="str">
        <f t="shared" si="8"/>
        <v>2024 JAN-DEC DISC 75 LICENSE ESS</v>
      </c>
      <c r="B74" s="34">
        <f t="shared" si="9"/>
        <v>46104</v>
      </c>
      <c r="C74" s="34">
        <f t="shared" si="10"/>
        <v>46113</v>
      </c>
      <c r="D74" s="6">
        <v>3287</v>
      </c>
      <c r="E74" s="6">
        <v>338</v>
      </c>
      <c r="F74" s="33">
        <v>4</v>
      </c>
      <c r="G74" s="24">
        <v>3</v>
      </c>
      <c r="H74" s="24">
        <v>850</v>
      </c>
      <c r="I74" s="24" t="s">
        <v>17</v>
      </c>
      <c r="J74" s="23">
        <v>83708289</v>
      </c>
      <c r="K74" s="23" t="s">
        <v>1099</v>
      </c>
      <c r="L74" s="23" t="s">
        <v>1100</v>
      </c>
      <c r="M74" s="25">
        <v>89900</v>
      </c>
      <c r="N74" s="36">
        <f t="shared" si="7"/>
        <v>0.75</v>
      </c>
      <c r="O74" s="35">
        <f t="shared" si="6"/>
        <v>22475</v>
      </c>
      <c r="P74" s="33" t="s">
        <v>16</v>
      </c>
    </row>
    <row r="75" spans="1:16" x14ac:dyDescent="0.35">
      <c r="A75" s="33" t="str">
        <f t="shared" si="8"/>
        <v>2024 JAN-DEC DISC 75 LICENSE ESS</v>
      </c>
      <c r="B75" s="34">
        <f t="shared" si="9"/>
        <v>46104</v>
      </c>
      <c r="C75" s="34">
        <f t="shared" si="10"/>
        <v>46113</v>
      </c>
      <c r="D75" s="6">
        <v>3287</v>
      </c>
      <c r="E75" s="6">
        <v>338</v>
      </c>
      <c r="F75" s="33">
        <v>4</v>
      </c>
      <c r="G75" s="24">
        <v>3</v>
      </c>
      <c r="H75" s="24">
        <v>850</v>
      </c>
      <c r="I75" s="24" t="s">
        <v>17</v>
      </c>
      <c r="J75" s="23">
        <v>83708298</v>
      </c>
      <c r="K75" s="23" t="s">
        <v>1099</v>
      </c>
      <c r="L75" s="23" t="s">
        <v>1101</v>
      </c>
      <c r="M75" s="25">
        <v>89900</v>
      </c>
      <c r="N75" s="36">
        <f t="shared" si="7"/>
        <v>0.75</v>
      </c>
      <c r="O75" s="35">
        <f t="shared" si="6"/>
        <v>22475</v>
      </c>
      <c r="P75" s="33" t="s">
        <v>16</v>
      </c>
    </row>
    <row r="76" spans="1:16" x14ac:dyDescent="0.35">
      <c r="A76" s="33" t="str">
        <f t="shared" si="8"/>
        <v>2024 JAN-DEC DISC 75 LICENSE ESS</v>
      </c>
      <c r="B76" s="34">
        <f t="shared" si="9"/>
        <v>46104</v>
      </c>
      <c r="C76" s="34">
        <f t="shared" si="10"/>
        <v>46113</v>
      </c>
      <c r="D76" s="6">
        <v>3287</v>
      </c>
      <c r="E76" s="6">
        <v>338</v>
      </c>
      <c r="F76" s="33">
        <v>4</v>
      </c>
      <c r="G76" s="24">
        <v>3</v>
      </c>
      <c r="H76" s="24">
        <v>850</v>
      </c>
      <c r="I76" s="24" t="s">
        <v>17</v>
      </c>
      <c r="J76" s="23">
        <v>83708305</v>
      </c>
      <c r="K76" s="23" t="s">
        <v>1099</v>
      </c>
      <c r="L76" s="23" t="s">
        <v>1102</v>
      </c>
      <c r="M76" s="25">
        <v>89900</v>
      </c>
      <c r="N76" s="36">
        <f t="shared" si="7"/>
        <v>0.75</v>
      </c>
      <c r="O76" s="35">
        <f t="shared" si="6"/>
        <v>22475</v>
      </c>
      <c r="P76" s="33" t="s">
        <v>16</v>
      </c>
    </row>
    <row r="77" spans="1:16" x14ac:dyDescent="0.35">
      <c r="A77" s="33" t="str">
        <f t="shared" si="8"/>
        <v>2024 JAN-DEC DISC 75 LICENSE ESS</v>
      </c>
      <c r="B77" s="34">
        <f t="shared" si="9"/>
        <v>46104</v>
      </c>
      <c r="C77" s="34">
        <f t="shared" si="10"/>
        <v>46113</v>
      </c>
      <c r="D77" s="6">
        <v>3287</v>
      </c>
      <c r="E77" s="6">
        <v>338</v>
      </c>
      <c r="F77" s="33">
        <v>4</v>
      </c>
      <c r="G77" s="24">
        <v>3</v>
      </c>
      <c r="H77" s="24">
        <v>850</v>
      </c>
      <c r="I77" s="24" t="s">
        <v>17</v>
      </c>
      <c r="J77" s="23">
        <v>83708314</v>
      </c>
      <c r="K77" s="23" t="s">
        <v>1099</v>
      </c>
      <c r="L77" s="23" t="s">
        <v>1103</v>
      </c>
      <c r="M77" s="25">
        <v>89900</v>
      </c>
      <c r="N77" s="36">
        <f t="shared" si="7"/>
        <v>0.75</v>
      </c>
      <c r="O77" s="35">
        <f t="shared" si="6"/>
        <v>22475</v>
      </c>
      <c r="P77" s="33" t="s">
        <v>16</v>
      </c>
    </row>
    <row r="78" spans="1:16" x14ac:dyDescent="0.35">
      <c r="A78" s="33" t="str">
        <f t="shared" si="8"/>
        <v>2024 JAN-DEC DISC 75 LICENSE ESS</v>
      </c>
      <c r="B78" s="34">
        <f t="shared" si="9"/>
        <v>46104</v>
      </c>
      <c r="C78" s="34">
        <f t="shared" si="10"/>
        <v>46113</v>
      </c>
      <c r="D78" s="6">
        <v>3287</v>
      </c>
      <c r="E78" s="6">
        <v>338</v>
      </c>
      <c r="F78" s="33">
        <v>4</v>
      </c>
      <c r="G78" s="24">
        <v>4</v>
      </c>
      <c r="H78" s="24">
        <v>81676</v>
      </c>
      <c r="I78" s="24" t="s">
        <v>17</v>
      </c>
      <c r="J78" s="23">
        <v>86636780</v>
      </c>
      <c r="K78" s="23" t="s">
        <v>385</v>
      </c>
      <c r="L78" s="23" t="s">
        <v>386</v>
      </c>
      <c r="M78" s="25">
        <v>229900</v>
      </c>
      <c r="N78" s="36">
        <f t="shared" si="7"/>
        <v>0.75</v>
      </c>
      <c r="O78" s="35">
        <f t="shared" si="6"/>
        <v>57475</v>
      </c>
      <c r="P78" s="33" t="s">
        <v>16</v>
      </c>
    </row>
    <row r="79" spans="1:16" x14ac:dyDescent="0.35">
      <c r="A79" s="33" t="str">
        <f t="shared" si="8"/>
        <v>2024 JAN-DEC DISC 75 LICENSE ESS</v>
      </c>
      <c r="B79" s="34">
        <f t="shared" si="9"/>
        <v>46104</v>
      </c>
      <c r="C79" s="34">
        <f t="shared" si="10"/>
        <v>46113</v>
      </c>
      <c r="D79" s="6">
        <v>3287</v>
      </c>
      <c r="E79" s="6">
        <v>338</v>
      </c>
      <c r="F79" s="33">
        <v>4</v>
      </c>
      <c r="G79" s="24">
        <v>4</v>
      </c>
      <c r="H79" s="24">
        <v>81676</v>
      </c>
      <c r="I79" s="24" t="s">
        <v>17</v>
      </c>
      <c r="J79" s="23">
        <v>86636799</v>
      </c>
      <c r="K79" s="23" t="s">
        <v>385</v>
      </c>
      <c r="L79" s="23" t="s">
        <v>387</v>
      </c>
      <c r="M79" s="25">
        <v>229900</v>
      </c>
      <c r="N79" s="36">
        <f t="shared" si="7"/>
        <v>0.75</v>
      </c>
      <c r="O79" s="35">
        <f t="shared" si="6"/>
        <v>57475</v>
      </c>
      <c r="P79" s="33" t="s">
        <v>16</v>
      </c>
    </row>
    <row r="80" spans="1:16" x14ac:dyDescent="0.35">
      <c r="A80" s="33" t="str">
        <f t="shared" si="8"/>
        <v>2024 JAN-DEC DISC 75 LICENSE ESS</v>
      </c>
      <c r="B80" s="34">
        <f t="shared" si="9"/>
        <v>46104</v>
      </c>
      <c r="C80" s="34">
        <f t="shared" si="10"/>
        <v>46113</v>
      </c>
      <c r="D80" s="6">
        <v>3287</v>
      </c>
      <c r="E80" s="6">
        <v>338</v>
      </c>
      <c r="F80" s="33">
        <v>4</v>
      </c>
      <c r="G80" s="24">
        <v>4</v>
      </c>
      <c r="H80" s="24">
        <v>81676</v>
      </c>
      <c r="I80" s="24" t="s">
        <v>17</v>
      </c>
      <c r="J80" s="23">
        <v>86636806</v>
      </c>
      <c r="K80" s="23" t="s">
        <v>385</v>
      </c>
      <c r="L80" s="23" t="s">
        <v>388</v>
      </c>
      <c r="M80" s="25">
        <v>229900</v>
      </c>
      <c r="N80" s="36">
        <f t="shared" si="7"/>
        <v>0.75</v>
      </c>
      <c r="O80" s="35">
        <f t="shared" si="6"/>
        <v>57475</v>
      </c>
      <c r="P80" s="33" t="s">
        <v>16</v>
      </c>
    </row>
    <row r="81" spans="1:16" x14ac:dyDescent="0.35">
      <c r="A81" s="33" t="str">
        <f t="shared" si="8"/>
        <v>2024 JAN-DEC DISC 75 LICENSE ESS</v>
      </c>
      <c r="B81" s="34">
        <f t="shared" si="9"/>
        <v>46104</v>
      </c>
      <c r="C81" s="34">
        <f t="shared" si="10"/>
        <v>46113</v>
      </c>
      <c r="D81" s="6">
        <v>3287</v>
      </c>
      <c r="E81" s="6">
        <v>338</v>
      </c>
      <c r="F81" s="33">
        <v>4</v>
      </c>
      <c r="G81" s="24">
        <v>4</v>
      </c>
      <c r="H81" s="24">
        <v>81676</v>
      </c>
      <c r="I81" s="24" t="s">
        <v>17</v>
      </c>
      <c r="J81" s="23">
        <v>86636815</v>
      </c>
      <c r="K81" s="23" t="s">
        <v>385</v>
      </c>
      <c r="L81" s="23" t="s">
        <v>389</v>
      </c>
      <c r="M81" s="25">
        <v>229900</v>
      </c>
      <c r="N81" s="36">
        <f t="shared" si="7"/>
        <v>0.75</v>
      </c>
      <c r="O81" s="35">
        <f t="shared" si="6"/>
        <v>57475</v>
      </c>
      <c r="P81" s="33" t="s">
        <v>16</v>
      </c>
    </row>
    <row r="82" spans="1:16" x14ac:dyDescent="0.35">
      <c r="A82" s="33" t="str">
        <f t="shared" si="8"/>
        <v>2024 JAN-DEC DISC 75 LICENSE ESS</v>
      </c>
      <c r="B82" s="34">
        <f t="shared" si="9"/>
        <v>46104</v>
      </c>
      <c r="C82" s="34">
        <f t="shared" si="10"/>
        <v>46113</v>
      </c>
      <c r="D82" s="6">
        <v>3287</v>
      </c>
      <c r="E82" s="6">
        <v>338</v>
      </c>
      <c r="F82" s="33">
        <v>4</v>
      </c>
      <c r="G82" s="24">
        <v>2</v>
      </c>
      <c r="H82" s="24">
        <v>81676</v>
      </c>
      <c r="I82" s="24" t="s">
        <v>17</v>
      </c>
      <c r="J82" s="23">
        <v>15647142</v>
      </c>
      <c r="K82" s="23" t="s">
        <v>343</v>
      </c>
      <c r="L82" s="23" t="s">
        <v>344</v>
      </c>
      <c r="M82" s="25">
        <v>229900</v>
      </c>
      <c r="N82" s="36">
        <f t="shared" si="7"/>
        <v>0.75</v>
      </c>
      <c r="O82" s="35">
        <f t="shared" si="6"/>
        <v>57475</v>
      </c>
      <c r="P82" s="33" t="s">
        <v>16</v>
      </c>
    </row>
    <row r="83" spans="1:16" x14ac:dyDescent="0.35">
      <c r="A83" s="33" t="str">
        <f t="shared" si="8"/>
        <v>2024 JAN-DEC DISC 75 LICENSE ESS</v>
      </c>
      <c r="B83" s="34">
        <f t="shared" si="9"/>
        <v>46104</v>
      </c>
      <c r="C83" s="34">
        <f t="shared" si="10"/>
        <v>46113</v>
      </c>
      <c r="D83" s="6">
        <v>3287</v>
      </c>
      <c r="E83" s="6">
        <v>338</v>
      </c>
      <c r="F83" s="33">
        <v>4</v>
      </c>
      <c r="G83" s="24">
        <v>2</v>
      </c>
      <c r="H83" s="24">
        <v>81676</v>
      </c>
      <c r="I83" s="24" t="s">
        <v>17</v>
      </c>
      <c r="J83" s="23">
        <v>15647151</v>
      </c>
      <c r="K83" s="23" t="s">
        <v>343</v>
      </c>
      <c r="L83" s="23" t="s">
        <v>345</v>
      </c>
      <c r="M83" s="25">
        <v>229900</v>
      </c>
      <c r="N83" s="36">
        <f t="shared" si="7"/>
        <v>0.75</v>
      </c>
      <c r="O83" s="35">
        <f t="shared" si="6"/>
        <v>57475</v>
      </c>
      <c r="P83" s="33" t="s">
        <v>16</v>
      </c>
    </row>
    <row r="84" spans="1:16" x14ac:dyDescent="0.35">
      <c r="A84" s="33" t="str">
        <f t="shared" si="8"/>
        <v>2024 JAN-DEC DISC 75 LICENSE ESS</v>
      </c>
      <c r="B84" s="34">
        <f t="shared" si="9"/>
        <v>46104</v>
      </c>
      <c r="C84" s="34">
        <f t="shared" si="10"/>
        <v>46113</v>
      </c>
      <c r="D84" s="6">
        <v>3287</v>
      </c>
      <c r="E84" s="6">
        <v>338</v>
      </c>
      <c r="F84" s="33">
        <v>4</v>
      </c>
      <c r="G84" s="24">
        <v>2</v>
      </c>
      <c r="H84" s="24">
        <v>81676</v>
      </c>
      <c r="I84" s="24" t="s">
        <v>17</v>
      </c>
      <c r="J84" s="23">
        <v>15647160</v>
      </c>
      <c r="K84" s="23" t="s">
        <v>343</v>
      </c>
      <c r="L84" s="23" t="s">
        <v>346</v>
      </c>
      <c r="M84" s="25">
        <v>229900</v>
      </c>
      <c r="N84" s="36">
        <f t="shared" si="7"/>
        <v>0.75</v>
      </c>
      <c r="O84" s="35">
        <f t="shared" si="6"/>
        <v>57475</v>
      </c>
      <c r="P84" s="33" t="s">
        <v>16</v>
      </c>
    </row>
    <row r="85" spans="1:16" x14ac:dyDescent="0.35">
      <c r="A85" s="33" t="str">
        <f t="shared" si="8"/>
        <v>2024 JAN-DEC DISC 75 LICENSE ESS</v>
      </c>
      <c r="B85" s="34">
        <f t="shared" si="9"/>
        <v>46104</v>
      </c>
      <c r="C85" s="34">
        <f t="shared" si="10"/>
        <v>46113</v>
      </c>
      <c r="D85" s="6">
        <v>3287</v>
      </c>
      <c r="E85" s="6">
        <v>338</v>
      </c>
      <c r="F85" s="33">
        <v>4</v>
      </c>
      <c r="G85" s="24">
        <v>2</v>
      </c>
      <c r="H85" s="24">
        <v>81676</v>
      </c>
      <c r="I85" s="24" t="s">
        <v>17</v>
      </c>
      <c r="J85" s="23">
        <v>15647179</v>
      </c>
      <c r="K85" s="23" t="s">
        <v>343</v>
      </c>
      <c r="L85" s="23" t="s">
        <v>347</v>
      </c>
      <c r="M85" s="25">
        <v>229900</v>
      </c>
      <c r="N85" s="36">
        <f t="shared" si="7"/>
        <v>0.75</v>
      </c>
      <c r="O85" s="35">
        <f t="shared" si="6"/>
        <v>57475</v>
      </c>
      <c r="P85" s="33" t="s">
        <v>16</v>
      </c>
    </row>
    <row r="86" spans="1:16" x14ac:dyDescent="0.35">
      <c r="A86" s="33" t="str">
        <f t="shared" si="8"/>
        <v>2024 JAN-DEC DISC 75 LICENSE ESS</v>
      </c>
      <c r="B86" s="34">
        <f t="shared" si="9"/>
        <v>46104</v>
      </c>
      <c r="C86" s="34">
        <f t="shared" si="10"/>
        <v>46113</v>
      </c>
      <c r="D86" s="6">
        <v>3287</v>
      </c>
      <c r="E86" s="6">
        <v>338</v>
      </c>
      <c r="F86" s="33">
        <v>4</v>
      </c>
      <c r="G86" s="24">
        <v>2</v>
      </c>
      <c r="H86" s="24">
        <v>81676</v>
      </c>
      <c r="I86" s="24" t="s">
        <v>17</v>
      </c>
      <c r="J86" s="23">
        <v>15647188</v>
      </c>
      <c r="K86" s="23" t="s">
        <v>343</v>
      </c>
      <c r="L86" s="23" t="s">
        <v>348</v>
      </c>
      <c r="M86" s="25">
        <v>229900</v>
      </c>
      <c r="N86" s="36">
        <f t="shared" si="7"/>
        <v>0.75</v>
      </c>
      <c r="O86" s="35">
        <f t="shared" si="6"/>
        <v>57475</v>
      </c>
      <c r="P86" s="33" t="s">
        <v>16</v>
      </c>
    </row>
    <row r="87" spans="1:16" x14ac:dyDescent="0.35">
      <c r="A87" s="33" t="str">
        <f t="shared" si="8"/>
        <v>2024 JAN-DEC DISC 75 LICENSE ESS</v>
      </c>
      <c r="B87" s="34">
        <f t="shared" si="9"/>
        <v>46104</v>
      </c>
      <c r="C87" s="34">
        <f t="shared" si="10"/>
        <v>46113</v>
      </c>
      <c r="D87" s="6">
        <v>3287</v>
      </c>
      <c r="E87" s="6">
        <v>338</v>
      </c>
      <c r="F87" s="33">
        <v>4</v>
      </c>
      <c r="G87" s="24">
        <v>2</v>
      </c>
      <c r="H87" s="24">
        <v>81676</v>
      </c>
      <c r="I87" s="24" t="s">
        <v>17</v>
      </c>
      <c r="J87" s="23">
        <v>15647197</v>
      </c>
      <c r="K87" s="23" t="s">
        <v>343</v>
      </c>
      <c r="L87" s="23" t="s">
        <v>349</v>
      </c>
      <c r="M87" s="25">
        <v>229900</v>
      </c>
      <c r="N87" s="36">
        <f t="shared" si="7"/>
        <v>0.75</v>
      </c>
      <c r="O87" s="35">
        <f t="shared" si="6"/>
        <v>57475</v>
      </c>
      <c r="P87" s="33" t="s">
        <v>16</v>
      </c>
    </row>
    <row r="88" spans="1:16" x14ac:dyDescent="0.35">
      <c r="A88" s="33" t="str">
        <f t="shared" si="8"/>
        <v>2024 JAN-DEC DISC 75 LICENSE ESS</v>
      </c>
      <c r="B88" s="34">
        <f t="shared" si="9"/>
        <v>46104</v>
      </c>
      <c r="C88" s="34">
        <f t="shared" si="10"/>
        <v>46113</v>
      </c>
      <c r="D88" s="6">
        <v>3287</v>
      </c>
      <c r="E88" s="6">
        <v>338</v>
      </c>
      <c r="F88" s="33">
        <v>4</v>
      </c>
      <c r="G88" s="24">
        <v>2</v>
      </c>
      <c r="H88" s="24">
        <v>81676</v>
      </c>
      <c r="I88" s="24" t="s">
        <v>17</v>
      </c>
      <c r="J88" s="23">
        <v>15647204</v>
      </c>
      <c r="K88" s="23" t="s">
        <v>343</v>
      </c>
      <c r="L88" s="23" t="s">
        <v>350</v>
      </c>
      <c r="M88" s="25">
        <v>229900</v>
      </c>
      <c r="N88" s="36">
        <f t="shared" si="7"/>
        <v>0.75</v>
      </c>
      <c r="O88" s="35">
        <f t="shared" si="6"/>
        <v>57475</v>
      </c>
      <c r="P88" s="33" t="s">
        <v>16</v>
      </c>
    </row>
    <row r="89" spans="1:16" x14ac:dyDescent="0.35">
      <c r="A89" s="33" t="str">
        <f t="shared" si="8"/>
        <v>2024 JAN-DEC DISC 75 LICENSE ESS</v>
      </c>
      <c r="B89" s="34">
        <f t="shared" si="9"/>
        <v>46104</v>
      </c>
      <c r="C89" s="34">
        <f t="shared" si="10"/>
        <v>46113</v>
      </c>
      <c r="D89" s="6">
        <v>3287</v>
      </c>
      <c r="E89" s="6">
        <v>338</v>
      </c>
      <c r="F89" s="33">
        <v>4</v>
      </c>
      <c r="G89" s="24">
        <v>2</v>
      </c>
      <c r="H89" s="24">
        <v>81676</v>
      </c>
      <c r="I89" s="24" t="s">
        <v>17</v>
      </c>
      <c r="J89" s="23">
        <v>15647213</v>
      </c>
      <c r="K89" s="23" t="s">
        <v>343</v>
      </c>
      <c r="L89" s="23" t="s">
        <v>705</v>
      </c>
      <c r="M89" s="25">
        <v>229900</v>
      </c>
      <c r="N89" s="36">
        <f t="shared" si="7"/>
        <v>0.75</v>
      </c>
      <c r="O89" s="35">
        <f t="shared" si="6"/>
        <v>57475</v>
      </c>
      <c r="P89" s="33" t="s">
        <v>16</v>
      </c>
    </row>
    <row r="90" spans="1:16" x14ac:dyDescent="0.35">
      <c r="A90" s="33" t="str">
        <f t="shared" si="8"/>
        <v>2024 JAN-DEC DISC 75 LICENSE ESS</v>
      </c>
      <c r="B90" s="34">
        <f t="shared" si="9"/>
        <v>46104</v>
      </c>
      <c r="C90" s="34">
        <f t="shared" si="10"/>
        <v>46113</v>
      </c>
      <c r="D90" s="6">
        <v>3287</v>
      </c>
      <c r="E90" s="6">
        <v>338</v>
      </c>
      <c r="F90" s="33">
        <v>4</v>
      </c>
      <c r="G90" s="24">
        <v>1</v>
      </c>
      <c r="H90" s="24">
        <v>850</v>
      </c>
      <c r="I90" s="24" t="s">
        <v>17</v>
      </c>
      <c r="J90" s="23">
        <v>16098814</v>
      </c>
      <c r="K90" s="23" t="s">
        <v>1064</v>
      </c>
      <c r="L90" s="23" t="s">
        <v>1065</v>
      </c>
      <c r="M90" s="25">
        <v>89900</v>
      </c>
      <c r="N90" s="36">
        <f t="shared" si="7"/>
        <v>0.75</v>
      </c>
      <c r="O90" s="35">
        <f t="shared" si="6"/>
        <v>22475</v>
      </c>
      <c r="P90" s="33" t="s">
        <v>16</v>
      </c>
    </row>
    <row r="91" spans="1:16" x14ac:dyDescent="0.35">
      <c r="A91" s="33" t="str">
        <f t="shared" si="8"/>
        <v>2024 JAN-DEC DISC 75 LICENSE ESS</v>
      </c>
      <c r="B91" s="34">
        <f t="shared" si="9"/>
        <v>46104</v>
      </c>
      <c r="C91" s="34">
        <f t="shared" si="10"/>
        <v>46113</v>
      </c>
      <c r="D91" s="6">
        <v>3287</v>
      </c>
      <c r="E91" s="6">
        <v>338</v>
      </c>
      <c r="F91" s="33">
        <v>4</v>
      </c>
      <c r="G91" s="24">
        <v>1</v>
      </c>
      <c r="H91" s="24">
        <v>850</v>
      </c>
      <c r="I91" s="24" t="s">
        <v>17</v>
      </c>
      <c r="J91" s="23">
        <v>16098823</v>
      </c>
      <c r="K91" s="23" t="s">
        <v>1064</v>
      </c>
      <c r="L91" s="23" t="s">
        <v>1066</v>
      </c>
      <c r="M91" s="25">
        <v>89900</v>
      </c>
      <c r="N91" s="36">
        <f t="shared" si="7"/>
        <v>0.75</v>
      </c>
      <c r="O91" s="35">
        <f t="shared" si="6"/>
        <v>22475</v>
      </c>
      <c r="P91" s="33" t="s">
        <v>16</v>
      </c>
    </row>
    <row r="92" spans="1:16" x14ac:dyDescent="0.35">
      <c r="A92" s="33" t="str">
        <f t="shared" si="8"/>
        <v>2024 JAN-DEC DISC 75 LICENSE ESS</v>
      </c>
      <c r="B92" s="34">
        <f t="shared" si="9"/>
        <v>46104</v>
      </c>
      <c r="C92" s="34">
        <f t="shared" si="10"/>
        <v>46113</v>
      </c>
      <c r="D92" s="6">
        <v>3287</v>
      </c>
      <c r="E92" s="6">
        <v>338</v>
      </c>
      <c r="F92" s="33">
        <v>4</v>
      </c>
      <c r="G92" s="24">
        <v>1</v>
      </c>
      <c r="H92" s="24">
        <v>850</v>
      </c>
      <c r="I92" s="24" t="s">
        <v>17</v>
      </c>
      <c r="J92" s="23">
        <v>16098832</v>
      </c>
      <c r="K92" s="23" t="s">
        <v>1064</v>
      </c>
      <c r="L92" s="23" t="s">
        <v>1067</v>
      </c>
      <c r="M92" s="25">
        <v>89900</v>
      </c>
      <c r="N92" s="36">
        <f t="shared" si="7"/>
        <v>0.75</v>
      </c>
      <c r="O92" s="35">
        <f t="shared" si="6"/>
        <v>22475</v>
      </c>
      <c r="P92" s="33" t="s">
        <v>16</v>
      </c>
    </row>
    <row r="93" spans="1:16" x14ac:dyDescent="0.35">
      <c r="A93" s="33" t="str">
        <f t="shared" si="8"/>
        <v>2024 JAN-DEC DISC 75 LICENSE ESS</v>
      </c>
      <c r="B93" s="34">
        <f t="shared" si="9"/>
        <v>46104</v>
      </c>
      <c r="C93" s="34">
        <f t="shared" si="10"/>
        <v>46113</v>
      </c>
      <c r="D93" s="6">
        <v>3287</v>
      </c>
      <c r="E93" s="6">
        <v>338</v>
      </c>
      <c r="F93" s="33">
        <v>4</v>
      </c>
      <c r="G93" s="24">
        <v>1</v>
      </c>
      <c r="H93" s="24">
        <v>850</v>
      </c>
      <c r="I93" s="24" t="s">
        <v>17</v>
      </c>
      <c r="J93" s="23">
        <v>16098841</v>
      </c>
      <c r="K93" s="23" t="s">
        <v>1064</v>
      </c>
      <c r="L93" s="23" t="s">
        <v>1068</v>
      </c>
      <c r="M93" s="25">
        <v>89900</v>
      </c>
      <c r="N93" s="36">
        <f t="shared" si="7"/>
        <v>0.75</v>
      </c>
      <c r="O93" s="35">
        <f t="shared" si="6"/>
        <v>22475</v>
      </c>
      <c r="P93" s="33" t="s">
        <v>16</v>
      </c>
    </row>
    <row r="94" spans="1:16" x14ac:dyDescent="0.35">
      <c r="A94" s="33" t="str">
        <f t="shared" si="8"/>
        <v>2024 JAN-DEC DISC 75 LICENSE ESS</v>
      </c>
      <c r="B94" s="34">
        <f t="shared" si="9"/>
        <v>46104</v>
      </c>
      <c r="C94" s="34">
        <f t="shared" si="10"/>
        <v>46113</v>
      </c>
      <c r="D94" s="6">
        <v>3287</v>
      </c>
      <c r="E94" s="6">
        <v>338</v>
      </c>
      <c r="F94" s="33">
        <v>4</v>
      </c>
      <c r="G94" s="24">
        <v>7</v>
      </c>
      <c r="H94" s="24">
        <v>81595</v>
      </c>
      <c r="I94" s="24" t="s">
        <v>17</v>
      </c>
      <c r="J94" s="23">
        <v>15647062</v>
      </c>
      <c r="K94" s="23" t="s">
        <v>369</v>
      </c>
      <c r="L94" s="23" t="s">
        <v>370</v>
      </c>
      <c r="M94" s="25">
        <v>32900</v>
      </c>
      <c r="N94" s="36">
        <f t="shared" si="7"/>
        <v>0.75</v>
      </c>
      <c r="O94" s="35">
        <f t="shared" si="6"/>
        <v>8225</v>
      </c>
      <c r="P94" s="33" t="s">
        <v>16</v>
      </c>
    </row>
    <row r="95" spans="1:16" x14ac:dyDescent="0.35">
      <c r="A95" s="33" t="str">
        <f t="shared" si="8"/>
        <v>2024 JAN-DEC DISC 75 LICENSE ESS</v>
      </c>
      <c r="B95" s="34">
        <f t="shared" si="9"/>
        <v>46104</v>
      </c>
      <c r="C95" s="34">
        <f t="shared" si="10"/>
        <v>46113</v>
      </c>
      <c r="D95" s="6">
        <v>3287</v>
      </c>
      <c r="E95" s="6">
        <v>338</v>
      </c>
      <c r="F95" s="33">
        <v>4</v>
      </c>
      <c r="G95" s="24">
        <v>7</v>
      </c>
      <c r="H95" s="24">
        <v>81595</v>
      </c>
      <c r="I95" s="24" t="s">
        <v>17</v>
      </c>
      <c r="J95" s="23">
        <v>15647071</v>
      </c>
      <c r="K95" s="23" t="s">
        <v>369</v>
      </c>
      <c r="L95" s="23" t="s">
        <v>371</v>
      </c>
      <c r="M95" s="25">
        <v>32900</v>
      </c>
      <c r="N95" s="36">
        <f t="shared" si="7"/>
        <v>0.75</v>
      </c>
      <c r="O95" s="35">
        <f t="shared" si="6"/>
        <v>8225</v>
      </c>
      <c r="P95" s="33" t="s">
        <v>16</v>
      </c>
    </row>
    <row r="96" spans="1:16" x14ac:dyDescent="0.35">
      <c r="A96" s="33" t="str">
        <f t="shared" si="8"/>
        <v>2024 JAN-DEC DISC 75 LICENSE ESS</v>
      </c>
      <c r="B96" s="34">
        <f t="shared" si="9"/>
        <v>46104</v>
      </c>
      <c r="C96" s="34">
        <f t="shared" si="10"/>
        <v>46113</v>
      </c>
      <c r="D96" s="6">
        <v>3287</v>
      </c>
      <c r="E96" s="6">
        <v>338</v>
      </c>
      <c r="F96" s="33">
        <v>4</v>
      </c>
      <c r="G96" s="24">
        <v>1</v>
      </c>
      <c r="H96" s="24">
        <v>850</v>
      </c>
      <c r="I96" s="24" t="s">
        <v>17</v>
      </c>
      <c r="J96" s="23">
        <v>16622710</v>
      </c>
      <c r="K96" s="23" t="s">
        <v>1069</v>
      </c>
      <c r="L96" s="23" t="s">
        <v>1070</v>
      </c>
      <c r="M96" s="25">
        <v>99900</v>
      </c>
      <c r="N96" s="36">
        <f t="shared" si="7"/>
        <v>0.75</v>
      </c>
      <c r="O96" s="35">
        <f t="shared" si="6"/>
        <v>24975</v>
      </c>
      <c r="P96" s="33" t="s">
        <v>16</v>
      </c>
    </row>
    <row r="97" spans="1:16" x14ac:dyDescent="0.35">
      <c r="A97" s="33" t="str">
        <f t="shared" si="8"/>
        <v>2024 JAN-DEC DISC 75 LICENSE ESS</v>
      </c>
      <c r="B97" s="34">
        <f t="shared" si="9"/>
        <v>46104</v>
      </c>
      <c r="C97" s="34">
        <f t="shared" si="10"/>
        <v>46113</v>
      </c>
      <c r="D97" s="6">
        <v>3287</v>
      </c>
      <c r="E97" s="6">
        <v>338</v>
      </c>
      <c r="F97" s="33">
        <v>4</v>
      </c>
      <c r="G97" s="24">
        <v>1</v>
      </c>
      <c r="H97" s="24">
        <v>850</v>
      </c>
      <c r="I97" s="24" t="s">
        <v>17</v>
      </c>
      <c r="J97" s="23">
        <v>16622729</v>
      </c>
      <c r="K97" s="23" t="s">
        <v>1069</v>
      </c>
      <c r="L97" s="23" t="s">
        <v>1071</v>
      </c>
      <c r="M97" s="25">
        <v>99900</v>
      </c>
      <c r="N97" s="36">
        <f t="shared" si="7"/>
        <v>0.75</v>
      </c>
      <c r="O97" s="35">
        <f t="shared" si="6"/>
        <v>24975</v>
      </c>
      <c r="P97" s="33" t="s">
        <v>16</v>
      </c>
    </row>
    <row r="98" spans="1:16" x14ac:dyDescent="0.35">
      <c r="A98" s="33" t="str">
        <f t="shared" si="8"/>
        <v>2024 JAN-DEC DISC 75 LICENSE ESS</v>
      </c>
      <c r="B98" s="34">
        <f t="shared" si="9"/>
        <v>46104</v>
      </c>
      <c r="C98" s="34">
        <f t="shared" si="10"/>
        <v>46113</v>
      </c>
      <c r="D98" s="6">
        <v>3287</v>
      </c>
      <c r="E98" s="6">
        <v>338</v>
      </c>
      <c r="F98" s="33">
        <v>4</v>
      </c>
      <c r="G98" s="24">
        <v>1</v>
      </c>
      <c r="H98" s="24">
        <v>850</v>
      </c>
      <c r="I98" s="24" t="s">
        <v>17</v>
      </c>
      <c r="J98" s="23">
        <v>16622738</v>
      </c>
      <c r="K98" s="23" t="s">
        <v>1069</v>
      </c>
      <c r="L98" s="23" t="s">
        <v>1072</v>
      </c>
      <c r="M98" s="25">
        <v>99900</v>
      </c>
      <c r="N98" s="36">
        <f t="shared" si="7"/>
        <v>0.75</v>
      </c>
      <c r="O98" s="35">
        <f t="shared" si="6"/>
        <v>24975</v>
      </c>
      <c r="P98" s="33" t="s">
        <v>16</v>
      </c>
    </row>
    <row r="99" spans="1:16" x14ac:dyDescent="0.35">
      <c r="A99" s="33" t="str">
        <f t="shared" si="8"/>
        <v>2024 JAN-DEC DISC 75 LICENSE ESS</v>
      </c>
      <c r="B99" s="34">
        <f t="shared" si="9"/>
        <v>46104</v>
      </c>
      <c r="C99" s="34">
        <f t="shared" si="10"/>
        <v>46113</v>
      </c>
      <c r="D99" s="6">
        <v>3287</v>
      </c>
      <c r="E99" s="6">
        <v>338</v>
      </c>
      <c r="F99" s="33">
        <v>4</v>
      </c>
      <c r="G99" s="24">
        <v>1</v>
      </c>
      <c r="H99" s="24">
        <v>850</v>
      </c>
      <c r="I99" s="24" t="s">
        <v>17</v>
      </c>
      <c r="J99" s="23">
        <v>16622747</v>
      </c>
      <c r="K99" s="23" t="s">
        <v>1069</v>
      </c>
      <c r="L99" s="23" t="s">
        <v>1073</v>
      </c>
      <c r="M99" s="25">
        <v>99900</v>
      </c>
      <c r="N99" s="36">
        <f t="shared" si="7"/>
        <v>0.75</v>
      </c>
      <c r="O99" s="35">
        <f t="shared" si="6"/>
        <v>24975</v>
      </c>
      <c r="P99" s="33" t="s">
        <v>16</v>
      </c>
    </row>
    <row r="100" spans="1:16" x14ac:dyDescent="0.35">
      <c r="A100" s="33" t="str">
        <f t="shared" si="8"/>
        <v>2024 JAN-DEC DISC 75 LICENSE ESS</v>
      </c>
      <c r="B100" s="34">
        <f t="shared" si="9"/>
        <v>46104</v>
      </c>
      <c r="C100" s="34">
        <f t="shared" si="10"/>
        <v>46113</v>
      </c>
      <c r="D100" s="6">
        <v>3287</v>
      </c>
      <c r="E100" s="6">
        <v>338</v>
      </c>
      <c r="F100" s="33">
        <v>4</v>
      </c>
      <c r="G100" s="24">
        <v>1</v>
      </c>
      <c r="H100" s="24">
        <v>850</v>
      </c>
      <c r="I100" s="24" t="s">
        <v>17</v>
      </c>
      <c r="J100" s="23">
        <v>16098734</v>
      </c>
      <c r="K100" s="23" t="s">
        <v>1054</v>
      </c>
      <c r="L100" s="23" t="s">
        <v>1055</v>
      </c>
      <c r="M100" s="25">
        <v>89900</v>
      </c>
      <c r="N100" s="36">
        <f t="shared" si="7"/>
        <v>0.75</v>
      </c>
      <c r="O100" s="35">
        <f t="shared" si="6"/>
        <v>22475</v>
      </c>
      <c r="P100" s="33" t="s">
        <v>16</v>
      </c>
    </row>
    <row r="101" spans="1:16" x14ac:dyDescent="0.35">
      <c r="A101" s="33" t="str">
        <f t="shared" si="8"/>
        <v>2024 JAN-DEC DISC 75 LICENSE ESS</v>
      </c>
      <c r="B101" s="34">
        <f t="shared" si="9"/>
        <v>46104</v>
      </c>
      <c r="C101" s="34">
        <f t="shared" si="10"/>
        <v>46113</v>
      </c>
      <c r="D101" s="6">
        <v>3287</v>
      </c>
      <c r="E101" s="6">
        <v>338</v>
      </c>
      <c r="F101" s="33">
        <v>4</v>
      </c>
      <c r="G101" s="24">
        <v>1</v>
      </c>
      <c r="H101" s="24">
        <v>850</v>
      </c>
      <c r="I101" s="24" t="s">
        <v>17</v>
      </c>
      <c r="J101" s="23">
        <v>16098743</v>
      </c>
      <c r="K101" s="23" t="s">
        <v>1054</v>
      </c>
      <c r="L101" s="23" t="s">
        <v>1056</v>
      </c>
      <c r="M101" s="25">
        <v>89900</v>
      </c>
      <c r="N101" s="36">
        <f t="shared" si="7"/>
        <v>0.75</v>
      </c>
      <c r="O101" s="35">
        <f t="shared" si="6"/>
        <v>22475</v>
      </c>
      <c r="P101" s="33" t="s">
        <v>16</v>
      </c>
    </row>
    <row r="102" spans="1:16" x14ac:dyDescent="0.35">
      <c r="A102" s="33" t="str">
        <f t="shared" si="8"/>
        <v>2024 JAN-DEC DISC 75 LICENSE ESS</v>
      </c>
      <c r="B102" s="34">
        <f t="shared" si="9"/>
        <v>46104</v>
      </c>
      <c r="C102" s="34">
        <f t="shared" si="10"/>
        <v>46113</v>
      </c>
      <c r="D102" s="6">
        <v>3287</v>
      </c>
      <c r="E102" s="6">
        <v>338</v>
      </c>
      <c r="F102" s="33">
        <v>4</v>
      </c>
      <c r="G102" s="24">
        <v>1</v>
      </c>
      <c r="H102" s="24">
        <v>850</v>
      </c>
      <c r="I102" s="24" t="s">
        <v>17</v>
      </c>
      <c r="J102" s="23">
        <v>16098752</v>
      </c>
      <c r="K102" s="23" t="s">
        <v>1054</v>
      </c>
      <c r="L102" s="23" t="s">
        <v>1057</v>
      </c>
      <c r="M102" s="25">
        <v>89900</v>
      </c>
      <c r="N102" s="36">
        <f t="shared" si="7"/>
        <v>0.75</v>
      </c>
      <c r="O102" s="35">
        <f t="shared" si="6"/>
        <v>22475</v>
      </c>
      <c r="P102" s="33" t="s">
        <v>16</v>
      </c>
    </row>
    <row r="103" spans="1:16" x14ac:dyDescent="0.35">
      <c r="A103" s="33" t="str">
        <f t="shared" si="8"/>
        <v>2024 JAN-DEC DISC 75 LICENSE ESS</v>
      </c>
      <c r="B103" s="34">
        <f t="shared" si="9"/>
        <v>46104</v>
      </c>
      <c r="C103" s="34">
        <f t="shared" si="10"/>
        <v>46113</v>
      </c>
      <c r="D103" s="6">
        <v>3287</v>
      </c>
      <c r="E103" s="6">
        <v>338</v>
      </c>
      <c r="F103" s="33">
        <v>4</v>
      </c>
      <c r="G103" s="24">
        <v>1</v>
      </c>
      <c r="H103" s="24">
        <v>850</v>
      </c>
      <c r="I103" s="24" t="s">
        <v>17</v>
      </c>
      <c r="J103" s="23">
        <v>16098761</v>
      </c>
      <c r="K103" s="23" t="s">
        <v>1054</v>
      </c>
      <c r="L103" s="23" t="s">
        <v>1058</v>
      </c>
      <c r="M103" s="25">
        <v>89900</v>
      </c>
      <c r="N103" s="36">
        <f t="shared" si="7"/>
        <v>0.75</v>
      </c>
      <c r="O103" s="35">
        <f t="shared" si="6"/>
        <v>22475</v>
      </c>
      <c r="P103" s="33" t="s">
        <v>16</v>
      </c>
    </row>
    <row r="104" spans="1:16" x14ac:dyDescent="0.35">
      <c r="A104" s="33" t="str">
        <f t="shared" si="8"/>
        <v>2024 JAN-DEC DISC 75 LICENSE ESS</v>
      </c>
      <c r="B104" s="34">
        <f t="shared" si="9"/>
        <v>46104</v>
      </c>
      <c r="C104" s="34">
        <f t="shared" si="10"/>
        <v>46113</v>
      </c>
      <c r="D104" s="6">
        <v>3287</v>
      </c>
      <c r="E104" s="6">
        <v>338</v>
      </c>
      <c r="F104" s="33">
        <v>4</v>
      </c>
      <c r="G104" s="24">
        <v>3</v>
      </c>
      <c r="H104" s="24">
        <v>850</v>
      </c>
      <c r="I104" s="24" t="s">
        <v>17</v>
      </c>
      <c r="J104" s="23">
        <v>16622836</v>
      </c>
      <c r="K104" s="23" t="s">
        <v>1089</v>
      </c>
      <c r="L104" s="23" t="s">
        <v>1090</v>
      </c>
      <c r="M104" s="25">
        <v>99900</v>
      </c>
      <c r="N104" s="36">
        <f t="shared" si="7"/>
        <v>0.75</v>
      </c>
      <c r="O104" s="35">
        <f t="shared" si="6"/>
        <v>24975</v>
      </c>
      <c r="P104" s="33" t="s">
        <v>16</v>
      </c>
    </row>
    <row r="105" spans="1:16" x14ac:dyDescent="0.35">
      <c r="A105" s="33" t="str">
        <f t="shared" si="8"/>
        <v>2024 JAN-DEC DISC 75 LICENSE ESS</v>
      </c>
      <c r="B105" s="34">
        <f t="shared" si="9"/>
        <v>46104</v>
      </c>
      <c r="C105" s="34">
        <f t="shared" si="10"/>
        <v>46113</v>
      </c>
      <c r="D105" s="6">
        <v>3287</v>
      </c>
      <c r="E105" s="6">
        <v>338</v>
      </c>
      <c r="F105" s="33">
        <v>4</v>
      </c>
      <c r="G105" s="24">
        <v>3</v>
      </c>
      <c r="H105" s="24">
        <v>850</v>
      </c>
      <c r="I105" s="24" t="s">
        <v>17</v>
      </c>
      <c r="J105" s="23">
        <v>16622845</v>
      </c>
      <c r="K105" s="23" t="s">
        <v>1089</v>
      </c>
      <c r="L105" s="23" t="s">
        <v>1091</v>
      </c>
      <c r="M105" s="25">
        <v>99900</v>
      </c>
      <c r="N105" s="36">
        <f t="shared" si="7"/>
        <v>0.75</v>
      </c>
      <c r="O105" s="35">
        <f t="shared" si="6"/>
        <v>24975</v>
      </c>
      <c r="P105" s="33" t="s">
        <v>16</v>
      </c>
    </row>
    <row r="106" spans="1:16" x14ac:dyDescent="0.35">
      <c r="A106" s="33" t="str">
        <f t="shared" si="8"/>
        <v>2024 JAN-DEC DISC 75 LICENSE ESS</v>
      </c>
      <c r="B106" s="34">
        <f t="shared" si="9"/>
        <v>46104</v>
      </c>
      <c r="C106" s="34">
        <f t="shared" si="10"/>
        <v>46113</v>
      </c>
      <c r="D106" s="6">
        <v>3287</v>
      </c>
      <c r="E106" s="6">
        <v>338</v>
      </c>
      <c r="F106" s="33">
        <v>4</v>
      </c>
      <c r="G106" s="24">
        <v>3</v>
      </c>
      <c r="H106" s="24">
        <v>850</v>
      </c>
      <c r="I106" s="24" t="s">
        <v>17</v>
      </c>
      <c r="J106" s="23">
        <v>16622854</v>
      </c>
      <c r="K106" s="23" t="s">
        <v>1089</v>
      </c>
      <c r="L106" s="23" t="s">
        <v>1092</v>
      </c>
      <c r="M106" s="25">
        <v>99900</v>
      </c>
      <c r="N106" s="36">
        <f t="shared" si="7"/>
        <v>0.75</v>
      </c>
      <c r="O106" s="35">
        <f t="shared" si="6"/>
        <v>24975</v>
      </c>
      <c r="P106" s="33" t="s">
        <v>16</v>
      </c>
    </row>
    <row r="107" spans="1:16" x14ac:dyDescent="0.35">
      <c r="A107" s="33" t="str">
        <f t="shared" si="8"/>
        <v>2024 JAN-DEC DISC 75 LICENSE ESS</v>
      </c>
      <c r="B107" s="34">
        <f t="shared" si="9"/>
        <v>46104</v>
      </c>
      <c r="C107" s="34">
        <f t="shared" si="10"/>
        <v>46113</v>
      </c>
      <c r="D107" s="6">
        <v>3287</v>
      </c>
      <c r="E107" s="6">
        <v>338</v>
      </c>
      <c r="F107" s="33">
        <v>4</v>
      </c>
      <c r="G107" s="24">
        <v>3</v>
      </c>
      <c r="H107" s="24">
        <v>850</v>
      </c>
      <c r="I107" s="24" t="s">
        <v>17</v>
      </c>
      <c r="J107" s="23">
        <v>16622863</v>
      </c>
      <c r="K107" s="23" t="s">
        <v>1089</v>
      </c>
      <c r="L107" s="23" t="s">
        <v>1093</v>
      </c>
      <c r="M107" s="25">
        <v>99900</v>
      </c>
      <c r="N107" s="36">
        <f t="shared" si="7"/>
        <v>0.75</v>
      </c>
      <c r="O107" s="35">
        <f t="shared" si="6"/>
        <v>24975</v>
      </c>
      <c r="P107" s="33" t="s">
        <v>16</v>
      </c>
    </row>
    <row r="108" spans="1:16" x14ac:dyDescent="0.35">
      <c r="A108" s="33" t="str">
        <f t="shared" si="8"/>
        <v>2024 JAN-DEC DISC 75 LICENSE ESS</v>
      </c>
      <c r="B108" s="34">
        <f t="shared" si="9"/>
        <v>46104</v>
      </c>
      <c r="C108" s="34">
        <f t="shared" si="10"/>
        <v>46113</v>
      </c>
      <c r="D108" s="6">
        <v>3287</v>
      </c>
      <c r="E108" s="6">
        <v>338</v>
      </c>
      <c r="F108" s="33">
        <v>4</v>
      </c>
      <c r="G108" s="24">
        <v>2</v>
      </c>
      <c r="H108" s="24">
        <v>81506</v>
      </c>
      <c r="I108" s="24" t="s">
        <v>17</v>
      </c>
      <c r="J108" s="23">
        <v>85654860</v>
      </c>
      <c r="K108" s="23" t="s">
        <v>338</v>
      </c>
      <c r="L108" s="23" t="s">
        <v>339</v>
      </c>
      <c r="M108" s="25">
        <v>229900</v>
      </c>
      <c r="N108" s="36">
        <f t="shared" si="7"/>
        <v>0.75</v>
      </c>
      <c r="O108" s="35">
        <f t="shared" si="6"/>
        <v>57475</v>
      </c>
      <c r="P108" s="33" t="s">
        <v>16</v>
      </c>
    </row>
    <row r="109" spans="1:16" x14ac:dyDescent="0.35">
      <c r="A109" s="33" t="str">
        <f t="shared" si="8"/>
        <v>2024 JAN-DEC DISC 75 LICENSE ESS</v>
      </c>
      <c r="B109" s="34">
        <f t="shared" si="9"/>
        <v>46104</v>
      </c>
      <c r="C109" s="34">
        <f t="shared" si="10"/>
        <v>46113</v>
      </c>
      <c r="D109" s="6">
        <v>3287</v>
      </c>
      <c r="E109" s="6">
        <v>338</v>
      </c>
      <c r="F109" s="33">
        <v>4</v>
      </c>
      <c r="G109" s="24">
        <v>2</v>
      </c>
      <c r="H109" s="24">
        <v>81506</v>
      </c>
      <c r="I109" s="24" t="s">
        <v>17</v>
      </c>
      <c r="J109" s="23">
        <v>85654879</v>
      </c>
      <c r="K109" s="23" t="s">
        <v>338</v>
      </c>
      <c r="L109" s="23" t="s">
        <v>340</v>
      </c>
      <c r="M109" s="25">
        <v>229900</v>
      </c>
      <c r="N109" s="36">
        <f t="shared" si="7"/>
        <v>0.75</v>
      </c>
      <c r="O109" s="35">
        <f t="shared" si="6"/>
        <v>57475</v>
      </c>
      <c r="P109" s="33" t="s">
        <v>16</v>
      </c>
    </row>
    <row r="110" spans="1:16" x14ac:dyDescent="0.35">
      <c r="A110" s="33" t="str">
        <f t="shared" si="8"/>
        <v>2024 JAN-DEC DISC 75 LICENSE ESS</v>
      </c>
      <c r="B110" s="34">
        <f t="shared" si="9"/>
        <v>46104</v>
      </c>
      <c r="C110" s="34">
        <f t="shared" si="10"/>
        <v>46113</v>
      </c>
      <c r="D110" s="6">
        <v>3287</v>
      </c>
      <c r="E110" s="6">
        <v>338</v>
      </c>
      <c r="F110" s="33">
        <v>4</v>
      </c>
      <c r="G110" s="24">
        <v>2</v>
      </c>
      <c r="H110" s="24">
        <v>81506</v>
      </c>
      <c r="I110" s="24" t="s">
        <v>17</v>
      </c>
      <c r="J110" s="23">
        <v>85654888</v>
      </c>
      <c r="K110" s="23" t="s">
        <v>338</v>
      </c>
      <c r="L110" s="23" t="s">
        <v>341</v>
      </c>
      <c r="M110" s="25">
        <v>229900</v>
      </c>
      <c r="N110" s="36">
        <f t="shared" si="7"/>
        <v>0.75</v>
      </c>
      <c r="O110" s="35">
        <f t="shared" si="6"/>
        <v>57475</v>
      </c>
      <c r="P110" s="33" t="s">
        <v>16</v>
      </c>
    </row>
    <row r="111" spans="1:16" x14ac:dyDescent="0.35">
      <c r="A111" s="33" t="str">
        <f t="shared" si="8"/>
        <v>2024 JAN-DEC DISC 75 LICENSE ESS</v>
      </c>
      <c r="B111" s="34">
        <f t="shared" si="9"/>
        <v>46104</v>
      </c>
      <c r="C111" s="34">
        <f t="shared" si="10"/>
        <v>46113</v>
      </c>
      <c r="D111" s="6">
        <v>3287</v>
      </c>
      <c r="E111" s="6">
        <v>338</v>
      </c>
      <c r="F111" s="33">
        <v>4</v>
      </c>
      <c r="G111" s="24">
        <v>2</v>
      </c>
      <c r="H111" s="24">
        <v>81506</v>
      </c>
      <c r="I111" s="24" t="s">
        <v>17</v>
      </c>
      <c r="J111" s="23">
        <v>85654897</v>
      </c>
      <c r="K111" s="23" t="s">
        <v>338</v>
      </c>
      <c r="L111" s="23" t="s">
        <v>342</v>
      </c>
      <c r="M111" s="25">
        <v>229900</v>
      </c>
      <c r="N111" s="36">
        <f t="shared" si="7"/>
        <v>0.75</v>
      </c>
      <c r="O111" s="35">
        <f t="shared" si="6"/>
        <v>57475</v>
      </c>
      <c r="P111" s="33" t="s">
        <v>16</v>
      </c>
    </row>
    <row r="112" spans="1:16" x14ac:dyDescent="0.35">
      <c r="A112" s="33" t="str">
        <f t="shared" si="8"/>
        <v>2024 JAN-DEC DISC 75 LICENSE ESS</v>
      </c>
      <c r="B112" s="34">
        <f t="shared" si="9"/>
        <v>46104</v>
      </c>
      <c r="C112" s="34">
        <f t="shared" si="10"/>
        <v>46113</v>
      </c>
      <c r="D112" s="6">
        <v>3287</v>
      </c>
      <c r="E112" s="6">
        <v>338</v>
      </c>
      <c r="F112" s="33">
        <v>4</v>
      </c>
      <c r="G112" s="24">
        <v>4</v>
      </c>
      <c r="H112" s="24">
        <v>81676</v>
      </c>
      <c r="I112" s="24" t="s">
        <v>17</v>
      </c>
      <c r="J112" s="23">
        <v>86636824</v>
      </c>
      <c r="K112" s="23" t="s">
        <v>390</v>
      </c>
      <c r="L112" s="23" t="s">
        <v>391</v>
      </c>
      <c r="M112" s="25">
        <v>239900</v>
      </c>
      <c r="N112" s="36">
        <f t="shared" si="7"/>
        <v>0.75</v>
      </c>
      <c r="O112" s="35">
        <f t="shared" si="6"/>
        <v>59975</v>
      </c>
      <c r="P112" s="33" t="s">
        <v>16</v>
      </c>
    </row>
    <row r="113" spans="1:16" x14ac:dyDescent="0.35">
      <c r="A113" s="33" t="str">
        <f t="shared" si="8"/>
        <v>2024 JAN-DEC DISC 75 LICENSE ESS</v>
      </c>
      <c r="B113" s="34">
        <f t="shared" si="9"/>
        <v>46104</v>
      </c>
      <c r="C113" s="34">
        <f t="shared" si="10"/>
        <v>46113</v>
      </c>
      <c r="D113" s="6">
        <v>3287</v>
      </c>
      <c r="E113" s="6">
        <v>338</v>
      </c>
      <c r="F113" s="33">
        <v>4</v>
      </c>
      <c r="G113" s="24">
        <v>4</v>
      </c>
      <c r="H113" s="24">
        <v>81676</v>
      </c>
      <c r="I113" s="24" t="s">
        <v>17</v>
      </c>
      <c r="J113" s="23">
        <v>86636833</v>
      </c>
      <c r="K113" s="23" t="s">
        <v>390</v>
      </c>
      <c r="L113" s="23" t="s">
        <v>392</v>
      </c>
      <c r="M113" s="25">
        <v>239900</v>
      </c>
      <c r="N113" s="36">
        <f t="shared" si="7"/>
        <v>0.75</v>
      </c>
      <c r="O113" s="35">
        <f t="shared" si="6"/>
        <v>59975</v>
      </c>
      <c r="P113" s="33" t="s">
        <v>16</v>
      </c>
    </row>
    <row r="114" spans="1:16" x14ac:dyDescent="0.35">
      <c r="A114" s="33" t="str">
        <f t="shared" si="8"/>
        <v>2024 JAN-DEC DISC 75 LICENSE ESS</v>
      </c>
      <c r="B114" s="34">
        <f t="shared" si="9"/>
        <v>46104</v>
      </c>
      <c r="C114" s="34">
        <f t="shared" si="10"/>
        <v>46113</v>
      </c>
      <c r="D114" s="6">
        <v>3287</v>
      </c>
      <c r="E114" s="6">
        <v>338</v>
      </c>
      <c r="F114" s="33">
        <v>4</v>
      </c>
      <c r="G114" s="24">
        <v>4</v>
      </c>
      <c r="H114" s="24">
        <v>81676</v>
      </c>
      <c r="I114" s="24" t="s">
        <v>17</v>
      </c>
      <c r="J114" s="23">
        <v>86636842</v>
      </c>
      <c r="K114" s="23" t="s">
        <v>390</v>
      </c>
      <c r="L114" s="23" t="s">
        <v>393</v>
      </c>
      <c r="M114" s="25">
        <v>239900</v>
      </c>
      <c r="N114" s="36">
        <f t="shared" si="7"/>
        <v>0.75</v>
      </c>
      <c r="O114" s="35">
        <f t="shared" si="6"/>
        <v>59975</v>
      </c>
      <c r="P114" s="33" t="s">
        <v>16</v>
      </c>
    </row>
    <row r="115" spans="1:16" x14ac:dyDescent="0.35">
      <c r="A115" s="33" t="str">
        <f t="shared" si="8"/>
        <v>2024 JAN-DEC DISC 75 LICENSE ESS</v>
      </c>
      <c r="B115" s="34">
        <f t="shared" si="9"/>
        <v>46104</v>
      </c>
      <c r="C115" s="34">
        <f t="shared" si="10"/>
        <v>46113</v>
      </c>
      <c r="D115" s="6">
        <v>3287</v>
      </c>
      <c r="E115" s="6">
        <v>338</v>
      </c>
      <c r="F115" s="33">
        <v>4</v>
      </c>
      <c r="G115" s="24">
        <v>4</v>
      </c>
      <c r="H115" s="24">
        <v>81676</v>
      </c>
      <c r="I115" s="24" t="s">
        <v>17</v>
      </c>
      <c r="J115" s="23">
        <v>86636851</v>
      </c>
      <c r="K115" s="23" t="s">
        <v>390</v>
      </c>
      <c r="L115" s="23" t="s">
        <v>394</v>
      </c>
      <c r="M115" s="25">
        <v>239900</v>
      </c>
      <c r="N115" s="36">
        <f t="shared" si="7"/>
        <v>0.75</v>
      </c>
      <c r="O115" s="35">
        <f t="shared" si="6"/>
        <v>59975</v>
      </c>
      <c r="P115" s="33" t="s">
        <v>16</v>
      </c>
    </row>
    <row r="116" spans="1:16" x14ac:dyDescent="0.35">
      <c r="A116" s="33" t="str">
        <f t="shared" si="8"/>
        <v>2024 JAN-DEC DISC 75 LICENSE ESS</v>
      </c>
      <c r="B116" s="34">
        <f t="shared" si="9"/>
        <v>46104</v>
      </c>
      <c r="C116" s="34">
        <f t="shared" si="10"/>
        <v>46113</v>
      </c>
      <c r="D116" s="6">
        <v>3287</v>
      </c>
      <c r="E116" s="6">
        <v>338</v>
      </c>
      <c r="F116" s="33">
        <v>4</v>
      </c>
      <c r="G116" s="24">
        <v>3</v>
      </c>
      <c r="H116" s="24">
        <v>81574</v>
      </c>
      <c r="I116" s="24" t="s">
        <v>17</v>
      </c>
      <c r="J116" s="23">
        <v>15780793</v>
      </c>
      <c r="K116" s="23" t="s">
        <v>1109</v>
      </c>
      <c r="L116" s="23" t="s">
        <v>1110</v>
      </c>
      <c r="M116" s="25">
        <v>99900</v>
      </c>
      <c r="N116" s="36">
        <f t="shared" si="7"/>
        <v>0.75</v>
      </c>
      <c r="O116" s="35">
        <f t="shared" si="6"/>
        <v>24975</v>
      </c>
      <c r="P116" s="33" t="s">
        <v>16</v>
      </c>
    </row>
    <row r="117" spans="1:16" x14ac:dyDescent="0.35">
      <c r="A117" s="33" t="str">
        <f t="shared" si="8"/>
        <v>2024 JAN-DEC DISC 75 LICENSE ESS</v>
      </c>
      <c r="B117" s="34">
        <f t="shared" si="9"/>
        <v>46104</v>
      </c>
      <c r="C117" s="34">
        <f t="shared" si="10"/>
        <v>46113</v>
      </c>
      <c r="D117" s="6">
        <v>3287</v>
      </c>
      <c r="E117" s="6">
        <v>338</v>
      </c>
      <c r="F117" s="33">
        <v>4</v>
      </c>
      <c r="G117" s="24">
        <v>3</v>
      </c>
      <c r="H117" s="24">
        <v>81574</v>
      </c>
      <c r="I117" s="24" t="s">
        <v>17</v>
      </c>
      <c r="J117" s="23">
        <v>15780800</v>
      </c>
      <c r="K117" s="23" t="s">
        <v>1109</v>
      </c>
      <c r="L117" s="23" t="s">
        <v>1111</v>
      </c>
      <c r="M117" s="25">
        <v>99900</v>
      </c>
      <c r="N117" s="36">
        <f t="shared" si="7"/>
        <v>0.75</v>
      </c>
      <c r="O117" s="35">
        <f t="shared" si="6"/>
        <v>24975</v>
      </c>
      <c r="P117" s="33" t="s">
        <v>16</v>
      </c>
    </row>
    <row r="118" spans="1:16" x14ac:dyDescent="0.35">
      <c r="A118" s="33" t="str">
        <f t="shared" si="8"/>
        <v>2024 JAN-DEC DISC 75 LICENSE ESS</v>
      </c>
      <c r="B118" s="34">
        <f t="shared" si="9"/>
        <v>46104</v>
      </c>
      <c r="C118" s="34">
        <f t="shared" si="10"/>
        <v>46113</v>
      </c>
      <c r="D118" s="6">
        <v>3287</v>
      </c>
      <c r="E118" s="6">
        <v>338</v>
      </c>
      <c r="F118" s="33">
        <v>4</v>
      </c>
      <c r="G118" s="24">
        <v>3</v>
      </c>
      <c r="H118" s="24">
        <v>81574</v>
      </c>
      <c r="I118" s="24" t="s">
        <v>17</v>
      </c>
      <c r="J118" s="23">
        <v>15780819</v>
      </c>
      <c r="K118" s="23" t="s">
        <v>1109</v>
      </c>
      <c r="L118" s="23" t="s">
        <v>1112</v>
      </c>
      <c r="M118" s="25">
        <v>99900</v>
      </c>
      <c r="N118" s="36">
        <f t="shared" si="7"/>
        <v>0.75</v>
      </c>
      <c r="O118" s="35">
        <f t="shared" si="6"/>
        <v>24975</v>
      </c>
      <c r="P118" s="33" t="s">
        <v>16</v>
      </c>
    </row>
    <row r="119" spans="1:16" x14ac:dyDescent="0.35">
      <c r="A119" s="33" t="str">
        <f t="shared" si="8"/>
        <v>2024 JAN-DEC DISC 75 LICENSE ESS</v>
      </c>
      <c r="B119" s="34">
        <f t="shared" si="9"/>
        <v>46104</v>
      </c>
      <c r="C119" s="34">
        <f t="shared" si="10"/>
        <v>46113</v>
      </c>
      <c r="D119" s="6">
        <v>3287</v>
      </c>
      <c r="E119" s="6">
        <v>338</v>
      </c>
      <c r="F119" s="33">
        <v>4</v>
      </c>
      <c r="G119" s="24">
        <v>3</v>
      </c>
      <c r="H119" s="24">
        <v>81574</v>
      </c>
      <c r="I119" s="24" t="s">
        <v>17</v>
      </c>
      <c r="J119" s="23">
        <v>15780828</v>
      </c>
      <c r="K119" s="23" t="s">
        <v>1109</v>
      </c>
      <c r="L119" s="23" t="s">
        <v>1113</v>
      </c>
      <c r="M119" s="25">
        <v>119900</v>
      </c>
      <c r="N119" s="36">
        <f t="shared" si="7"/>
        <v>0.75</v>
      </c>
      <c r="O119" s="35">
        <f t="shared" si="6"/>
        <v>29975</v>
      </c>
      <c r="P119" s="33" t="s">
        <v>16</v>
      </c>
    </row>
    <row r="120" spans="1:16" x14ac:dyDescent="0.35">
      <c r="A120" s="33" t="str">
        <f t="shared" si="8"/>
        <v>2024 JAN-DEC DISC 75 LICENSE ESS</v>
      </c>
      <c r="B120" s="34">
        <f t="shared" si="9"/>
        <v>46104</v>
      </c>
      <c r="C120" s="34">
        <f t="shared" si="10"/>
        <v>46113</v>
      </c>
      <c r="D120" s="6">
        <v>3287</v>
      </c>
      <c r="E120" s="6">
        <v>338</v>
      </c>
      <c r="F120" s="33">
        <v>4</v>
      </c>
      <c r="G120" s="24">
        <v>1</v>
      </c>
      <c r="H120" s="24">
        <v>850</v>
      </c>
      <c r="I120" s="24" t="s">
        <v>17</v>
      </c>
      <c r="J120" s="23">
        <v>16622872</v>
      </c>
      <c r="K120" s="23" t="s">
        <v>1074</v>
      </c>
      <c r="L120" s="23" t="s">
        <v>1075</v>
      </c>
      <c r="M120" s="25">
        <v>119900</v>
      </c>
      <c r="N120" s="36">
        <f t="shared" si="7"/>
        <v>0.75</v>
      </c>
      <c r="O120" s="35">
        <f t="shared" si="6"/>
        <v>29975</v>
      </c>
      <c r="P120" s="33" t="s">
        <v>16</v>
      </c>
    </row>
    <row r="121" spans="1:16" x14ac:dyDescent="0.35">
      <c r="A121" s="33" t="str">
        <f t="shared" si="8"/>
        <v>2024 JAN-DEC DISC 75 LICENSE ESS</v>
      </c>
      <c r="B121" s="34">
        <f t="shared" si="9"/>
        <v>46104</v>
      </c>
      <c r="C121" s="34">
        <f t="shared" si="10"/>
        <v>46113</v>
      </c>
      <c r="D121" s="6">
        <v>3287</v>
      </c>
      <c r="E121" s="6">
        <v>338</v>
      </c>
      <c r="F121" s="33">
        <v>4</v>
      </c>
      <c r="G121" s="24">
        <v>1</v>
      </c>
      <c r="H121" s="24">
        <v>850</v>
      </c>
      <c r="I121" s="24" t="s">
        <v>17</v>
      </c>
      <c r="J121" s="23">
        <v>16622881</v>
      </c>
      <c r="K121" s="23" t="s">
        <v>1074</v>
      </c>
      <c r="L121" s="23" t="s">
        <v>1076</v>
      </c>
      <c r="M121" s="25">
        <v>119900</v>
      </c>
      <c r="N121" s="36">
        <f t="shared" si="7"/>
        <v>0.75</v>
      </c>
      <c r="O121" s="35">
        <f t="shared" si="6"/>
        <v>29975</v>
      </c>
      <c r="P121" s="33" t="s">
        <v>16</v>
      </c>
    </row>
    <row r="122" spans="1:16" x14ac:dyDescent="0.35">
      <c r="A122" s="33" t="str">
        <f t="shared" si="8"/>
        <v>2024 JAN-DEC DISC 75 LICENSE ESS</v>
      </c>
      <c r="B122" s="34">
        <f t="shared" si="9"/>
        <v>46104</v>
      </c>
      <c r="C122" s="34">
        <f t="shared" si="10"/>
        <v>46113</v>
      </c>
      <c r="D122" s="6">
        <v>3287</v>
      </c>
      <c r="E122" s="6">
        <v>338</v>
      </c>
      <c r="F122" s="33">
        <v>4</v>
      </c>
      <c r="G122" s="24">
        <v>1</v>
      </c>
      <c r="H122" s="24">
        <v>850</v>
      </c>
      <c r="I122" s="24" t="s">
        <v>17</v>
      </c>
      <c r="J122" s="23">
        <v>16622890</v>
      </c>
      <c r="K122" s="23" t="s">
        <v>1074</v>
      </c>
      <c r="L122" s="23" t="s">
        <v>1077</v>
      </c>
      <c r="M122" s="25">
        <v>119900</v>
      </c>
      <c r="N122" s="36">
        <f t="shared" si="7"/>
        <v>0.75</v>
      </c>
      <c r="O122" s="35">
        <f t="shared" si="6"/>
        <v>29975</v>
      </c>
      <c r="P122" s="33" t="s">
        <v>16</v>
      </c>
    </row>
    <row r="123" spans="1:16" x14ac:dyDescent="0.35">
      <c r="A123" s="33" t="str">
        <f t="shared" si="8"/>
        <v>2024 JAN-DEC DISC 75 LICENSE ESS</v>
      </c>
      <c r="B123" s="34">
        <f t="shared" si="9"/>
        <v>46104</v>
      </c>
      <c r="C123" s="34">
        <f t="shared" si="10"/>
        <v>46113</v>
      </c>
      <c r="D123" s="6">
        <v>3287</v>
      </c>
      <c r="E123" s="6">
        <v>338</v>
      </c>
      <c r="F123" s="33">
        <v>4</v>
      </c>
      <c r="G123" s="24">
        <v>1</v>
      </c>
      <c r="H123" s="24">
        <v>850</v>
      </c>
      <c r="I123" s="24" t="s">
        <v>17</v>
      </c>
      <c r="J123" s="23">
        <v>16622907</v>
      </c>
      <c r="K123" s="23" t="s">
        <v>1074</v>
      </c>
      <c r="L123" s="23" t="s">
        <v>1078</v>
      </c>
      <c r="M123" s="25">
        <v>119900</v>
      </c>
      <c r="N123" s="36">
        <f t="shared" si="7"/>
        <v>0.75</v>
      </c>
      <c r="O123" s="35">
        <f t="shared" si="6"/>
        <v>29975</v>
      </c>
      <c r="P123" s="33" t="s">
        <v>16</v>
      </c>
    </row>
    <row r="124" spans="1:16" x14ac:dyDescent="0.35">
      <c r="A124" s="33" t="str">
        <f t="shared" si="8"/>
        <v>2024 JAN-DEC DISC 75 LICENSE ESS</v>
      </c>
      <c r="B124" s="34">
        <f t="shared" si="9"/>
        <v>46104</v>
      </c>
      <c r="C124" s="34">
        <f t="shared" si="10"/>
        <v>46113</v>
      </c>
      <c r="D124" s="6">
        <v>3287</v>
      </c>
      <c r="E124" s="6">
        <v>338</v>
      </c>
      <c r="F124" s="33">
        <v>4</v>
      </c>
      <c r="G124" s="24">
        <v>2</v>
      </c>
      <c r="H124" s="24">
        <v>850</v>
      </c>
      <c r="I124" s="24" t="s">
        <v>17</v>
      </c>
      <c r="J124" s="23">
        <v>16622952</v>
      </c>
      <c r="K124" s="23" t="s">
        <v>696</v>
      </c>
      <c r="L124" s="23" t="s">
        <v>697</v>
      </c>
      <c r="M124" s="25">
        <v>229900</v>
      </c>
      <c r="N124" s="36">
        <f t="shared" si="7"/>
        <v>0.75</v>
      </c>
      <c r="O124" s="35">
        <f t="shared" si="6"/>
        <v>57475</v>
      </c>
      <c r="P124" s="33" t="s">
        <v>16</v>
      </c>
    </row>
    <row r="125" spans="1:16" x14ac:dyDescent="0.35">
      <c r="A125" s="33" t="str">
        <f t="shared" si="8"/>
        <v>2024 JAN-DEC DISC 75 LICENSE ESS</v>
      </c>
      <c r="B125" s="34">
        <f t="shared" si="9"/>
        <v>46104</v>
      </c>
      <c r="C125" s="34">
        <f t="shared" si="10"/>
        <v>46113</v>
      </c>
      <c r="D125" s="6">
        <v>3287</v>
      </c>
      <c r="E125" s="6">
        <v>338</v>
      </c>
      <c r="F125" s="33">
        <v>4</v>
      </c>
      <c r="G125" s="24">
        <v>2</v>
      </c>
      <c r="H125" s="24">
        <v>850</v>
      </c>
      <c r="I125" s="24" t="s">
        <v>17</v>
      </c>
      <c r="J125" s="23">
        <v>16622961</v>
      </c>
      <c r="K125" s="23" t="s">
        <v>696</v>
      </c>
      <c r="L125" s="23" t="s">
        <v>698</v>
      </c>
      <c r="M125" s="25">
        <v>229900</v>
      </c>
      <c r="N125" s="36">
        <f t="shared" si="7"/>
        <v>0.75</v>
      </c>
      <c r="O125" s="35">
        <f t="shared" si="6"/>
        <v>57475</v>
      </c>
      <c r="P125" s="33" t="s">
        <v>16</v>
      </c>
    </row>
    <row r="126" spans="1:16" x14ac:dyDescent="0.35">
      <c r="A126" s="33" t="str">
        <f t="shared" si="8"/>
        <v>2024 JAN-DEC DISC 75 LICENSE ESS</v>
      </c>
      <c r="B126" s="34">
        <f t="shared" si="9"/>
        <v>46104</v>
      </c>
      <c r="C126" s="34">
        <f t="shared" si="10"/>
        <v>46113</v>
      </c>
      <c r="D126" s="6">
        <v>3287</v>
      </c>
      <c r="E126" s="6">
        <v>338</v>
      </c>
      <c r="F126" s="33">
        <v>4</v>
      </c>
      <c r="G126" s="24">
        <v>2</v>
      </c>
      <c r="H126" s="24">
        <v>850</v>
      </c>
      <c r="I126" s="24" t="s">
        <v>17</v>
      </c>
      <c r="J126" s="23">
        <v>16622970</v>
      </c>
      <c r="K126" s="23" t="s">
        <v>696</v>
      </c>
      <c r="L126" s="23" t="s">
        <v>699</v>
      </c>
      <c r="M126" s="25">
        <v>229900</v>
      </c>
      <c r="N126" s="36">
        <f t="shared" si="7"/>
        <v>0.75</v>
      </c>
      <c r="O126" s="35">
        <f t="shared" si="6"/>
        <v>57475</v>
      </c>
      <c r="P126" s="33" t="s">
        <v>16</v>
      </c>
    </row>
    <row r="127" spans="1:16" x14ac:dyDescent="0.35">
      <c r="A127" s="33" t="str">
        <f t="shared" si="8"/>
        <v>2024 JAN-DEC DISC 75 LICENSE ESS</v>
      </c>
      <c r="B127" s="34">
        <f t="shared" si="9"/>
        <v>46104</v>
      </c>
      <c r="C127" s="34">
        <f t="shared" si="10"/>
        <v>46113</v>
      </c>
      <c r="D127" s="6">
        <v>3287</v>
      </c>
      <c r="E127" s="6">
        <v>338</v>
      </c>
      <c r="F127" s="33">
        <v>4</v>
      </c>
      <c r="G127" s="24">
        <v>2</v>
      </c>
      <c r="H127" s="24">
        <v>850</v>
      </c>
      <c r="I127" s="24" t="s">
        <v>17</v>
      </c>
      <c r="J127" s="23">
        <v>16622989</v>
      </c>
      <c r="K127" s="23" t="s">
        <v>696</v>
      </c>
      <c r="L127" s="23" t="s">
        <v>700</v>
      </c>
      <c r="M127" s="25">
        <v>229900</v>
      </c>
      <c r="N127" s="36">
        <f t="shared" si="7"/>
        <v>0.75</v>
      </c>
      <c r="O127" s="35">
        <f t="shared" si="6"/>
        <v>57475</v>
      </c>
      <c r="P127" s="33" t="s">
        <v>16</v>
      </c>
    </row>
    <row r="128" spans="1:16" x14ac:dyDescent="0.35">
      <c r="A128" s="33" t="str">
        <f t="shared" si="8"/>
        <v>2024 JAN-DEC DISC 75 LICENSE ESS</v>
      </c>
      <c r="B128" s="34">
        <f t="shared" si="9"/>
        <v>46104</v>
      </c>
      <c r="C128" s="34">
        <f t="shared" si="10"/>
        <v>46113</v>
      </c>
      <c r="D128" s="6">
        <v>3287</v>
      </c>
      <c r="E128" s="6">
        <v>338</v>
      </c>
      <c r="F128" s="33">
        <v>4</v>
      </c>
      <c r="G128" s="24">
        <v>2</v>
      </c>
      <c r="H128" s="24">
        <v>850</v>
      </c>
      <c r="I128" s="24" t="s">
        <v>17</v>
      </c>
      <c r="J128" s="23">
        <v>16622998</v>
      </c>
      <c r="K128" s="23" t="s">
        <v>696</v>
      </c>
      <c r="L128" s="23" t="s">
        <v>701</v>
      </c>
      <c r="M128" s="25">
        <v>239900</v>
      </c>
      <c r="N128" s="36">
        <f t="shared" si="7"/>
        <v>0.75</v>
      </c>
      <c r="O128" s="35">
        <f t="shared" si="6"/>
        <v>59975</v>
      </c>
      <c r="P128" s="33" t="s">
        <v>16</v>
      </c>
    </row>
    <row r="129" spans="1:16" x14ac:dyDescent="0.35">
      <c r="A129" s="33" t="str">
        <f t="shared" si="8"/>
        <v>2024 JAN-DEC DISC 75 LICENSE ESS</v>
      </c>
      <c r="B129" s="34">
        <f t="shared" si="9"/>
        <v>46104</v>
      </c>
      <c r="C129" s="34">
        <f t="shared" si="10"/>
        <v>46113</v>
      </c>
      <c r="D129" s="6">
        <v>3287</v>
      </c>
      <c r="E129" s="6">
        <v>338</v>
      </c>
      <c r="F129" s="33">
        <v>4</v>
      </c>
      <c r="G129" s="24">
        <v>2</v>
      </c>
      <c r="H129" s="24">
        <v>850</v>
      </c>
      <c r="I129" s="24" t="s">
        <v>17</v>
      </c>
      <c r="J129" s="23">
        <v>16623004</v>
      </c>
      <c r="K129" s="23" t="s">
        <v>696</v>
      </c>
      <c r="L129" s="23" t="s">
        <v>702</v>
      </c>
      <c r="M129" s="25">
        <v>239900</v>
      </c>
      <c r="N129" s="36">
        <f t="shared" si="7"/>
        <v>0.75</v>
      </c>
      <c r="O129" s="35">
        <f t="shared" si="6"/>
        <v>59975</v>
      </c>
      <c r="P129" s="33" t="s">
        <v>16</v>
      </c>
    </row>
    <row r="130" spans="1:16" x14ac:dyDescent="0.35">
      <c r="A130" s="33" t="str">
        <f t="shared" si="8"/>
        <v>2024 JAN-DEC DISC 75 LICENSE ESS</v>
      </c>
      <c r="B130" s="34">
        <f t="shared" si="9"/>
        <v>46104</v>
      </c>
      <c r="C130" s="34">
        <f t="shared" si="10"/>
        <v>46113</v>
      </c>
      <c r="D130" s="6">
        <v>3287</v>
      </c>
      <c r="E130" s="6">
        <v>338</v>
      </c>
      <c r="F130" s="33">
        <v>4</v>
      </c>
      <c r="G130" s="24">
        <v>2</v>
      </c>
      <c r="H130" s="24">
        <v>850</v>
      </c>
      <c r="I130" s="24" t="s">
        <v>17</v>
      </c>
      <c r="J130" s="23">
        <v>16623013</v>
      </c>
      <c r="K130" s="23" t="s">
        <v>696</v>
      </c>
      <c r="L130" s="23" t="s">
        <v>703</v>
      </c>
      <c r="M130" s="25">
        <v>239900</v>
      </c>
      <c r="N130" s="36">
        <f t="shared" si="7"/>
        <v>0.75</v>
      </c>
      <c r="O130" s="35">
        <f t="shared" si="6"/>
        <v>59975</v>
      </c>
      <c r="P130" s="33" t="s">
        <v>16</v>
      </c>
    </row>
    <row r="131" spans="1:16" x14ac:dyDescent="0.35">
      <c r="A131" s="33" t="str">
        <f t="shared" si="8"/>
        <v>2024 JAN-DEC DISC 75 LICENSE ESS</v>
      </c>
      <c r="B131" s="34">
        <f t="shared" si="9"/>
        <v>46104</v>
      </c>
      <c r="C131" s="34">
        <f t="shared" si="10"/>
        <v>46113</v>
      </c>
      <c r="D131" s="6">
        <v>3287</v>
      </c>
      <c r="E131" s="6">
        <v>338</v>
      </c>
      <c r="F131" s="33">
        <v>4</v>
      </c>
      <c r="G131" s="24">
        <v>2</v>
      </c>
      <c r="H131" s="24">
        <v>850</v>
      </c>
      <c r="I131" s="24" t="s">
        <v>17</v>
      </c>
      <c r="J131" s="23">
        <v>16623022</v>
      </c>
      <c r="K131" s="23" t="s">
        <v>696</v>
      </c>
      <c r="L131" s="23" t="s">
        <v>704</v>
      </c>
      <c r="M131" s="25">
        <v>239900</v>
      </c>
      <c r="N131" s="36">
        <f t="shared" si="7"/>
        <v>0.75</v>
      </c>
      <c r="O131" s="35">
        <f t="shared" ref="O131:O180" si="11">M131-((75*M131)/100)</f>
        <v>59975</v>
      </c>
      <c r="P131" s="33" t="s">
        <v>16</v>
      </c>
    </row>
    <row r="132" spans="1:16" x14ac:dyDescent="0.35">
      <c r="A132" s="33" t="str">
        <f t="shared" si="8"/>
        <v>2024 JAN-DEC DISC 75 LICENSE ESS</v>
      </c>
      <c r="B132" s="34">
        <f t="shared" si="9"/>
        <v>46104</v>
      </c>
      <c r="C132" s="34">
        <f t="shared" si="10"/>
        <v>46113</v>
      </c>
      <c r="D132" s="6">
        <v>3287</v>
      </c>
      <c r="E132" s="6">
        <v>338</v>
      </c>
      <c r="F132" s="33">
        <v>4</v>
      </c>
      <c r="G132" s="24">
        <v>1</v>
      </c>
      <c r="H132" s="24">
        <v>850</v>
      </c>
      <c r="I132" s="24" t="s">
        <v>17</v>
      </c>
      <c r="J132" s="23">
        <v>16622916</v>
      </c>
      <c r="K132" s="23" t="s">
        <v>1079</v>
      </c>
      <c r="L132" s="23" t="s">
        <v>1080</v>
      </c>
      <c r="M132" s="25">
        <v>119900</v>
      </c>
      <c r="N132" s="36">
        <f t="shared" ref="N132:N180" si="12">N131</f>
        <v>0.75</v>
      </c>
      <c r="O132" s="35">
        <f t="shared" si="11"/>
        <v>29975</v>
      </c>
      <c r="P132" s="33" t="s">
        <v>16</v>
      </c>
    </row>
    <row r="133" spans="1:16" x14ac:dyDescent="0.35">
      <c r="A133" s="33" t="str">
        <f t="shared" si="8"/>
        <v>2024 JAN-DEC DISC 75 LICENSE ESS</v>
      </c>
      <c r="B133" s="34">
        <f t="shared" si="9"/>
        <v>46104</v>
      </c>
      <c r="C133" s="34">
        <f t="shared" si="10"/>
        <v>46113</v>
      </c>
      <c r="D133" s="6">
        <v>3287</v>
      </c>
      <c r="E133" s="6">
        <v>338</v>
      </c>
      <c r="F133" s="33">
        <v>4</v>
      </c>
      <c r="G133" s="24">
        <v>1</v>
      </c>
      <c r="H133" s="24">
        <v>850</v>
      </c>
      <c r="I133" s="24" t="s">
        <v>17</v>
      </c>
      <c r="J133" s="23">
        <v>16622925</v>
      </c>
      <c r="K133" s="23" t="s">
        <v>1079</v>
      </c>
      <c r="L133" s="23" t="s">
        <v>1081</v>
      </c>
      <c r="M133" s="25">
        <v>119900</v>
      </c>
      <c r="N133" s="36">
        <f t="shared" si="12"/>
        <v>0.75</v>
      </c>
      <c r="O133" s="35">
        <f t="shared" si="11"/>
        <v>29975</v>
      </c>
      <c r="P133" s="33" t="s">
        <v>16</v>
      </c>
    </row>
    <row r="134" spans="1:16" x14ac:dyDescent="0.35">
      <c r="A134" s="33" t="str">
        <f t="shared" ref="A134:A197" si="13">A133</f>
        <v>2024 JAN-DEC DISC 75 LICENSE ESS</v>
      </c>
      <c r="B134" s="34">
        <f t="shared" ref="B134:B197" si="14">B133</f>
        <v>46104</v>
      </c>
      <c r="C134" s="34">
        <f t="shared" ref="C134:C197" si="15">C133</f>
        <v>46113</v>
      </c>
      <c r="D134" s="6">
        <v>3287</v>
      </c>
      <c r="E134" s="6">
        <v>338</v>
      </c>
      <c r="F134" s="33">
        <v>4</v>
      </c>
      <c r="G134" s="24">
        <v>1</v>
      </c>
      <c r="H134" s="24">
        <v>850</v>
      </c>
      <c r="I134" s="24" t="s">
        <v>17</v>
      </c>
      <c r="J134" s="23">
        <v>16622934</v>
      </c>
      <c r="K134" s="23" t="s">
        <v>1079</v>
      </c>
      <c r="L134" s="23" t="s">
        <v>1082</v>
      </c>
      <c r="M134" s="25">
        <v>119900</v>
      </c>
      <c r="N134" s="36">
        <f t="shared" si="12"/>
        <v>0.75</v>
      </c>
      <c r="O134" s="35">
        <f t="shared" si="11"/>
        <v>29975</v>
      </c>
      <c r="P134" s="33" t="s">
        <v>16</v>
      </c>
    </row>
    <row r="135" spans="1:16" x14ac:dyDescent="0.35">
      <c r="A135" s="33" t="str">
        <f t="shared" si="13"/>
        <v>2024 JAN-DEC DISC 75 LICENSE ESS</v>
      </c>
      <c r="B135" s="34">
        <f t="shared" si="14"/>
        <v>46104</v>
      </c>
      <c r="C135" s="34">
        <f t="shared" si="15"/>
        <v>46113</v>
      </c>
      <c r="D135" s="6">
        <v>3287</v>
      </c>
      <c r="E135" s="6">
        <v>338</v>
      </c>
      <c r="F135" s="33">
        <v>4</v>
      </c>
      <c r="G135" s="24">
        <v>1</v>
      </c>
      <c r="H135" s="24">
        <v>850</v>
      </c>
      <c r="I135" s="24" t="s">
        <v>17</v>
      </c>
      <c r="J135" s="23">
        <v>16622943</v>
      </c>
      <c r="K135" s="23" t="s">
        <v>1079</v>
      </c>
      <c r="L135" s="23" t="s">
        <v>1083</v>
      </c>
      <c r="M135" s="25">
        <v>119900</v>
      </c>
      <c r="N135" s="36">
        <f t="shared" si="12"/>
        <v>0.75</v>
      </c>
      <c r="O135" s="35">
        <f t="shared" si="11"/>
        <v>29975</v>
      </c>
      <c r="P135" s="33" t="s">
        <v>16</v>
      </c>
    </row>
    <row r="136" spans="1:16" x14ac:dyDescent="0.35">
      <c r="A136" s="33" t="str">
        <f t="shared" si="13"/>
        <v>2024 JAN-DEC DISC 75 LICENSE ESS</v>
      </c>
      <c r="B136" s="34">
        <f t="shared" si="14"/>
        <v>46104</v>
      </c>
      <c r="C136" s="34">
        <f t="shared" si="15"/>
        <v>46113</v>
      </c>
      <c r="D136" s="6">
        <v>3287</v>
      </c>
      <c r="E136" s="6">
        <v>338</v>
      </c>
      <c r="F136" s="33">
        <v>4</v>
      </c>
      <c r="G136" s="24">
        <v>7</v>
      </c>
      <c r="H136" s="24">
        <v>81595</v>
      </c>
      <c r="I136" s="24" t="s">
        <v>17</v>
      </c>
      <c r="J136" s="23">
        <v>16811275</v>
      </c>
      <c r="K136" s="23" t="s">
        <v>709</v>
      </c>
      <c r="L136" s="23" t="s">
        <v>710</v>
      </c>
      <c r="M136" s="25">
        <v>35900</v>
      </c>
      <c r="N136" s="36">
        <f t="shared" si="12"/>
        <v>0.75</v>
      </c>
      <c r="O136" s="35">
        <f t="shared" si="11"/>
        <v>8975</v>
      </c>
      <c r="P136" s="33" t="s">
        <v>16</v>
      </c>
    </row>
    <row r="137" spans="1:16" x14ac:dyDescent="0.35">
      <c r="A137" s="33" t="str">
        <f t="shared" si="13"/>
        <v>2024 JAN-DEC DISC 75 LICENSE ESS</v>
      </c>
      <c r="B137" s="34">
        <f t="shared" si="14"/>
        <v>46104</v>
      </c>
      <c r="C137" s="34">
        <f t="shared" si="15"/>
        <v>46113</v>
      </c>
      <c r="D137" s="6">
        <v>3287</v>
      </c>
      <c r="E137" s="6">
        <v>338</v>
      </c>
      <c r="F137" s="33">
        <v>4</v>
      </c>
      <c r="G137" s="24">
        <v>7</v>
      </c>
      <c r="H137" s="24">
        <v>81595</v>
      </c>
      <c r="I137" s="24" t="s">
        <v>17</v>
      </c>
      <c r="J137" s="23">
        <v>16811284</v>
      </c>
      <c r="K137" s="23" t="s">
        <v>709</v>
      </c>
      <c r="L137" s="23" t="s">
        <v>711</v>
      </c>
      <c r="M137" s="25">
        <v>35900</v>
      </c>
      <c r="N137" s="36">
        <f t="shared" si="12"/>
        <v>0.75</v>
      </c>
      <c r="O137" s="35">
        <f t="shared" si="11"/>
        <v>8975</v>
      </c>
      <c r="P137" s="33" t="s">
        <v>16</v>
      </c>
    </row>
    <row r="138" spans="1:16" x14ac:dyDescent="0.35">
      <c r="A138" s="33" t="str">
        <f t="shared" si="13"/>
        <v>2024 JAN-DEC DISC 75 LICENSE ESS</v>
      </c>
      <c r="B138" s="34">
        <f t="shared" si="14"/>
        <v>46104</v>
      </c>
      <c r="C138" s="34">
        <f t="shared" si="15"/>
        <v>46113</v>
      </c>
      <c r="D138" s="6">
        <v>3287</v>
      </c>
      <c r="E138" s="6">
        <v>338</v>
      </c>
      <c r="F138" s="33">
        <v>4</v>
      </c>
      <c r="G138" s="24">
        <v>4</v>
      </c>
      <c r="H138" s="24">
        <v>81379</v>
      </c>
      <c r="I138" s="24" t="s">
        <v>17</v>
      </c>
      <c r="J138" s="23">
        <v>16660563</v>
      </c>
      <c r="K138" s="23" t="s">
        <v>721</v>
      </c>
      <c r="L138" s="23" t="s">
        <v>722</v>
      </c>
      <c r="M138" s="25">
        <v>229900</v>
      </c>
      <c r="N138" s="36">
        <f t="shared" si="12"/>
        <v>0.75</v>
      </c>
      <c r="O138" s="35">
        <f t="shared" si="11"/>
        <v>57475</v>
      </c>
      <c r="P138" s="33" t="s">
        <v>16</v>
      </c>
    </row>
    <row r="139" spans="1:16" x14ac:dyDescent="0.35">
      <c r="A139" s="33" t="str">
        <f t="shared" si="13"/>
        <v>2024 JAN-DEC DISC 75 LICENSE ESS</v>
      </c>
      <c r="B139" s="34">
        <f t="shared" si="14"/>
        <v>46104</v>
      </c>
      <c r="C139" s="34">
        <f t="shared" si="15"/>
        <v>46113</v>
      </c>
      <c r="D139" s="6">
        <v>3287</v>
      </c>
      <c r="E139" s="6">
        <v>338</v>
      </c>
      <c r="F139" s="33">
        <v>4</v>
      </c>
      <c r="G139" s="24">
        <v>4</v>
      </c>
      <c r="H139" s="24">
        <v>81379</v>
      </c>
      <c r="I139" s="24" t="s">
        <v>17</v>
      </c>
      <c r="J139" s="23">
        <v>16660572</v>
      </c>
      <c r="K139" s="23" t="s">
        <v>721</v>
      </c>
      <c r="L139" s="23" t="s">
        <v>723</v>
      </c>
      <c r="M139" s="25">
        <v>229900</v>
      </c>
      <c r="N139" s="36">
        <f t="shared" si="12"/>
        <v>0.75</v>
      </c>
      <c r="O139" s="35">
        <f t="shared" si="11"/>
        <v>57475</v>
      </c>
      <c r="P139" s="33" t="s">
        <v>16</v>
      </c>
    </row>
    <row r="140" spans="1:16" x14ac:dyDescent="0.35">
      <c r="A140" s="33" t="str">
        <f t="shared" si="13"/>
        <v>2024 JAN-DEC DISC 75 LICENSE ESS</v>
      </c>
      <c r="B140" s="34">
        <f t="shared" si="14"/>
        <v>46104</v>
      </c>
      <c r="C140" s="34">
        <f t="shared" si="15"/>
        <v>46113</v>
      </c>
      <c r="D140" s="6">
        <v>3287</v>
      </c>
      <c r="E140" s="6">
        <v>338</v>
      </c>
      <c r="F140" s="33">
        <v>4</v>
      </c>
      <c r="G140" s="24">
        <v>4</v>
      </c>
      <c r="H140" s="24">
        <v>81379</v>
      </c>
      <c r="I140" s="24" t="s">
        <v>17</v>
      </c>
      <c r="J140" s="23">
        <v>16660581</v>
      </c>
      <c r="K140" s="23" t="s">
        <v>721</v>
      </c>
      <c r="L140" s="23" t="s">
        <v>724</v>
      </c>
      <c r="M140" s="25">
        <v>229900</v>
      </c>
      <c r="N140" s="36">
        <f t="shared" si="12"/>
        <v>0.75</v>
      </c>
      <c r="O140" s="35">
        <f t="shared" si="11"/>
        <v>57475</v>
      </c>
      <c r="P140" s="33" t="s">
        <v>16</v>
      </c>
    </row>
    <row r="141" spans="1:16" x14ac:dyDescent="0.35">
      <c r="A141" s="33" t="str">
        <f t="shared" si="13"/>
        <v>2024 JAN-DEC DISC 75 LICENSE ESS</v>
      </c>
      <c r="B141" s="34">
        <f t="shared" si="14"/>
        <v>46104</v>
      </c>
      <c r="C141" s="34">
        <f t="shared" si="15"/>
        <v>46113</v>
      </c>
      <c r="D141" s="6">
        <v>3287</v>
      </c>
      <c r="E141" s="6">
        <v>338</v>
      </c>
      <c r="F141" s="33">
        <v>4</v>
      </c>
      <c r="G141" s="24">
        <v>4</v>
      </c>
      <c r="H141" s="24">
        <v>81379</v>
      </c>
      <c r="I141" s="24" t="s">
        <v>17</v>
      </c>
      <c r="J141" s="23">
        <v>16660590</v>
      </c>
      <c r="K141" s="23" t="s">
        <v>721</v>
      </c>
      <c r="L141" s="23" t="s">
        <v>725</v>
      </c>
      <c r="M141" s="25">
        <v>229900</v>
      </c>
      <c r="N141" s="36">
        <f t="shared" si="12"/>
        <v>0.75</v>
      </c>
      <c r="O141" s="35">
        <f t="shared" si="11"/>
        <v>57475</v>
      </c>
      <c r="P141" s="33" t="s">
        <v>16</v>
      </c>
    </row>
    <row r="142" spans="1:16" x14ac:dyDescent="0.35">
      <c r="A142" s="33" t="str">
        <f t="shared" si="13"/>
        <v>2024 JAN-DEC DISC 75 LICENSE ESS</v>
      </c>
      <c r="B142" s="34">
        <f t="shared" si="14"/>
        <v>46104</v>
      </c>
      <c r="C142" s="34">
        <f t="shared" si="15"/>
        <v>46113</v>
      </c>
      <c r="D142" s="6">
        <v>3287</v>
      </c>
      <c r="E142" s="6">
        <v>338</v>
      </c>
      <c r="F142" s="33">
        <v>4</v>
      </c>
      <c r="G142" s="24">
        <v>7</v>
      </c>
      <c r="H142" s="24">
        <v>81595</v>
      </c>
      <c r="I142" s="24" t="s">
        <v>17</v>
      </c>
      <c r="J142" s="23">
        <v>16811293</v>
      </c>
      <c r="K142" s="23" t="s">
        <v>712</v>
      </c>
      <c r="L142" s="23" t="s">
        <v>713</v>
      </c>
      <c r="M142" s="25">
        <v>35900</v>
      </c>
      <c r="N142" s="36">
        <f t="shared" si="12"/>
        <v>0.75</v>
      </c>
      <c r="O142" s="35">
        <f t="shared" si="11"/>
        <v>8975</v>
      </c>
      <c r="P142" s="33" t="s">
        <v>16</v>
      </c>
    </row>
    <row r="143" spans="1:16" x14ac:dyDescent="0.35">
      <c r="A143" s="33" t="str">
        <f t="shared" si="13"/>
        <v>2024 JAN-DEC DISC 75 LICENSE ESS</v>
      </c>
      <c r="B143" s="34">
        <f t="shared" si="14"/>
        <v>46104</v>
      </c>
      <c r="C143" s="34">
        <f t="shared" si="15"/>
        <v>46113</v>
      </c>
      <c r="D143" s="6">
        <v>3287</v>
      </c>
      <c r="E143" s="6">
        <v>338</v>
      </c>
      <c r="F143" s="33">
        <v>4</v>
      </c>
      <c r="G143" s="24">
        <v>7</v>
      </c>
      <c r="H143" s="24">
        <v>81595</v>
      </c>
      <c r="I143" s="24" t="s">
        <v>17</v>
      </c>
      <c r="J143" s="23">
        <v>16811300</v>
      </c>
      <c r="K143" s="23" t="s">
        <v>712</v>
      </c>
      <c r="L143" s="23" t="s">
        <v>714</v>
      </c>
      <c r="M143" s="25">
        <v>35900</v>
      </c>
      <c r="N143" s="36">
        <f t="shared" si="12"/>
        <v>0.75</v>
      </c>
      <c r="O143" s="35">
        <f t="shared" si="11"/>
        <v>8975</v>
      </c>
      <c r="P143" s="33" t="s">
        <v>16</v>
      </c>
    </row>
    <row r="144" spans="1:16" x14ac:dyDescent="0.35">
      <c r="A144" s="33" t="str">
        <f t="shared" si="13"/>
        <v>2024 JAN-DEC DISC 75 LICENSE ESS</v>
      </c>
      <c r="B144" s="34">
        <f t="shared" si="14"/>
        <v>46104</v>
      </c>
      <c r="C144" s="34">
        <f t="shared" si="15"/>
        <v>46113</v>
      </c>
      <c r="D144" s="6">
        <v>3287</v>
      </c>
      <c r="E144" s="6">
        <v>338</v>
      </c>
      <c r="F144" s="33">
        <v>4</v>
      </c>
      <c r="G144" s="24">
        <v>7</v>
      </c>
      <c r="H144" s="24">
        <v>81595</v>
      </c>
      <c r="I144" s="24" t="s">
        <v>17</v>
      </c>
      <c r="J144" s="23">
        <v>16811337</v>
      </c>
      <c r="K144" s="23" t="s">
        <v>715</v>
      </c>
      <c r="L144" s="23" t="s">
        <v>716</v>
      </c>
      <c r="M144" s="25">
        <v>35900</v>
      </c>
      <c r="N144" s="36">
        <f t="shared" si="12"/>
        <v>0.75</v>
      </c>
      <c r="O144" s="35">
        <f t="shared" si="11"/>
        <v>8975</v>
      </c>
      <c r="P144" s="33" t="s">
        <v>16</v>
      </c>
    </row>
    <row r="145" spans="1:16" x14ac:dyDescent="0.35">
      <c r="A145" s="33" t="str">
        <f t="shared" si="13"/>
        <v>2024 JAN-DEC DISC 75 LICENSE ESS</v>
      </c>
      <c r="B145" s="34">
        <f t="shared" si="14"/>
        <v>46104</v>
      </c>
      <c r="C145" s="34">
        <f t="shared" si="15"/>
        <v>46113</v>
      </c>
      <c r="D145" s="6">
        <v>3287</v>
      </c>
      <c r="E145" s="6">
        <v>338</v>
      </c>
      <c r="F145" s="33">
        <v>4</v>
      </c>
      <c r="G145" s="24">
        <v>7</v>
      </c>
      <c r="H145" s="24">
        <v>81595</v>
      </c>
      <c r="I145" s="24" t="s">
        <v>17</v>
      </c>
      <c r="J145" s="23">
        <v>16811346</v>
      </c>
      <c r="K145" s="23" t="s">
        <v>715</v>
      </c>
      <c r="L145" s="23" t="s">
        <v>717</v>
      </c>
      <c r="M145" s="25">
        <v>35900</v>
      </c>
      <c r="N145" s="36">
        <f t="shared" si="12"/>
        <v>0.75</v>
      </c>
      <c r="O145" s="35">
        <f t="shared" si="11"/>
        <v>8975</v>
      </c>
      <c r="P145" s="33" t="s">
        <v>16</v>
      </c>
    </row>
    <row r="146" spans="1:16" x14ac:dyDescent="0.35">
      <c r="A146" s="33" t="str">
        <f t="shared" si="13"/>
        <v>2024 JAN-DEC DISC 75 LICENSE ESS</v>
      </c>
      <c r="B146" s="34">
        <f t="shared" si="14"/>
        <v>46104</v>
      </c>
      <c r="C146" s="34">
        <f t="shared" si="15"/>
        <v>46113</v>
      </c>
      <c r="D146" s="33">
        <v>3287</v>
      </c>
      <c r="E146" s="33">
        <v>338</v>
      </c>
      <c r="F146" s="33">
        <v>4</v>
      </c>
      <c r="G146" s="24">
        <v>7</v>
      </c>
      <c r="H146" s="24">
        <v>81595</v>
      </c>
      <c r="I146" s="24" t="s">
        <v>17</v>
      </c>
      <c r="J146" s="23">
        <v>16811355</v>
      </c>
      <c r="K146" s="23" t="s">
        <v>718</v>
      </c>
      <c r="L146" s="23" t="s">
        <v>719</v>
      </c>
      <c r="M146" s="25">
        <v>35900</v>
      </c>
      <c r="N146" s="36">
        <f t="shared" si="12"/>
        <v>0.75</v>
      </c>
      <c r="O146" s="35">
        <f t="shared" si="11"/>
        <v>8975</v>
      </c>
      <c r="P146" s="33" t="s">
        <v>16</v>
      </c>
    </row>
    <row r="147" spans="1:16" x14ac:dyDescent="0.35">
      <c r="A147" s="33" t="str">
        <f t="shared" si="13"/>
        <v>2024 JAN-DEC DISC 75 LICENSE ESS</v>
      </c>
      <c r="B147" s="34">
        <f t="shared" si="14"/>
        <v>46104</v>
      </c>
      <c r="C147" s="34">
        <f t="shared" si="15"/>
        <v>46113</v>
      </c>
      <c r="D147" s="33">
        <v>3287</v>
      </c>
      <c r="E147" s="33">
        <v>338</v>
      </c>
      <c r="F147" s="33">
        <v>4</v>
      </c>
      <c r="G147" s="24">
        <v>7</v>
      </c>
      <c r="H147" s="24">
        <v>81595</v>
      </c>
      <c r="I147" s="24" t="s">
        <v>17</v>
      </c>
      <c r="J147" s="23">
        <v>16811364</v>
      </c>
      <c r="K147" s="23" t="s">
        <v>718</v>
      </c>
      <c r="L147" s="23" t="s">
        <v>720</v>
      </c>
      <c r="M147" s="25">
        <v>35900</v>
      </c>
      <c r="N147" s="36">
        <f t="shared" si="12"/>
        <v>0.75</v>
      </c>
      <c r="O147" s="35">
        <f t="shared" si="11"/>
        <v>8975</v>
      </c>
      <c r="P147" s="33" t="s">
        <v>16</v>
      </c>
    </row>
    <row r="148" spans="1:16" x14ac:dyDescent="0.35">
      <c r="A148" s="33" t="str">
        <f t="shared" si="13"/>
        <v>2024 JAN-DEC DISC 75 LICENSE ESS</v>
      </c>
      <c r="B148" s="34">
        <f t="shared" si="14"/>
        <v>46104</v>
      </c>
      <c r="C148" s="34">
        <f t="shared" si="15"/>
        <v>46113</v>
      </c>
      <c r="D148" s="33">
        <v>3287</v>
      </c>
      <c r="E148" s="33">
        <v>338</v>
      </c>
      <c r="F148" s="33">
        <v>4</v>
      </c>
      <c r="G148" s="24">
        <v>7</v>
      </c>
      <c r="H148" s="24">
        <v>599</v>
      </c>
      <c r="I148" s="24" t="s">
        <v>17</v>
      </c>
      <c r="J148" s="23">
        <v>16811373</v>
      </c>
      <c r="K148" s="23" t="s">
        <v>706</v>
      </c>
      <c r="L148" s="23" t="s">
        <v>707</v>
      </c>
      <c r="M148" s="25">
        <v>35900</v>
      </c>
      <c r="N148" s="36">
        <f t="shared" si="12"/>
        <v>0.75</v>
      </c>
      <c r="O148" s="35">
        <f t="shared" si="11"/>
        <v>8975</v>
      </c>
      <c r="P148" s="33" t="s">
        <v>16</v>
      </c>
    </row>
    <row r="149" spans="1:16" x14ac:dyDescent="0.35">
      <c r="A149" s="33" t="str">
        <f t="shared" si="13"/>
        <v>2024 JAN-DEC DISC 75 LICENSE ESS</v>
      </c>
      <c r="B149" s="34">
        <f t="shared" si="14"/>
        <v>46104</v>
      </c>
      <c r="C149" s="34">
        <f t="shared" si="15"/>
        <v>46113</v>
      </c>
      <c r="D149" s="33">
        <v>3287</v>
      </c>
      <c r="E149" s="33">
        <v>338</v>
      </c>
      <c r="F149" s="33">
        <v>4</v>
      </c>
      <c r="G149" s="24">
        <v>7</v>
      </c>
      <c r="H149" s="24">
        <v>599</v>
      </c>
      <c r="I149" s="24" t="s">
        <v>17</v>
      </c>
      <c r="J149" s="23">
        <v>16811382</v>
      </c>
      <c r="K149" s="23" t="s">
        <v>706</v>
      </c>
      <c r="L149" s="23" t="s">
        <v>708</v>
      </c>
      <c r="M149" s="25">
        <v>35900</v>
      </c>
      <c r="N149" s="36">
        <f t="shared" si="12"/>
        <v>0.75</v>
      </c>
      <c r="O149" s="35">
        <f t="shared" si="11"/>
        <v>8975</v>
      </c>
      <c r="P149" s="33" t="s">
        <v>16</v>
      </c>
    </row>
    <row r="150" spans="1:16" x14ac:dyDescent="0.35">
      <c r="A150" s="33" t="str">
        <f t="shared" si="13"/>
        <v>2024 JAN-DEC DISC 75 LICENSE ESS</v>
      </c>
      <c r="B150" s="34">
        <f t="shared" si="14"/>
        <v>46104</v>
      </c>
      <c r="C150" s="34">
        <f t="shared" si="15"/>
        <v>46113</v>
      </c>
      <c r="D150" s="33">
        <v>3287</v>
      </c>
      <c r="E150" s="33">
        <v>338</v>
      </c>
      <c r="F150" s="33">
        <v>4</v>
      </c>
      <c r="G150" s="24">
        <v>3</v>
      </c>
      <c r="H150" s="24">
        <v>850</v>
      </c>
      <c r="I150" s="24" t="s">
        <v>17</v>
      </c>
      <c r="J150" s="23">
        <v>17059882</v>
      </c>
      <c r="K150" s="23" t="s">
        <v>1094</v>
      </c>
      <c r="L150" s="23" t="s">
        <v>1095</v>
      </c>
      <c r="M150" s="25">
        <v>119900</v>
      </c>
      <c r="N150" s="36">
        <f t="shared" si="12"/>
        <v>0.75</v>
      </c>
      <c r="O150" s="35">
        <f t="shared" si="11"/>
        <v>29975</v>
      </c>
      <c r="P150" s="33" t="s">
        <v>16</v>
      </c>
    </row>
    <row r="151" spans="1:16" x14ac:dyDescent="0.35">
      <c r="A151" s="33" t="str">
        <f t="shared" si="13"/>
        <v>2024 JAN-DEC DISC 75 LICENSE ESS</v>
      </c>
      <c r="B151" s="34">
        <f t="shared" si="14"/>
        <v>46104</v>
      </c>
      <c r="C151" s="34">
        <f t="shared" si="15"/>
        <v>46113</v>
      </c>
      <c r="D151" s="33">
        <v>3287</v>
      </c>
      <c r="E151" s="33">
        <v>338</v>
      </c>
      <c r="F151" s="33">
        <v>4</v>
      </c>
      <c r="G151" s="24">
        <v>3</v>
      </c>
      <c r="H151" s="24">
        <v>850</v>
      </c>
      <c r="I151" s="24" t="s">
        <v>17</v>
      </c>
      <c r="J151" s="23">
        <v>17059891</v>
      </c>
      <c r="K151" s="23" t="s">
        <v>1094</v>
      </c>
      <c r="L151" s="23" t="s">
        <v>1096</v>
      </c>
      <c r="M151" s="25">
        <v>119900</v>
      </c>
      <c r="N151" s="36">
        <f t="shared" si="12"/>
        <v>0.75</v>
      </c>
      <c r="O151" s="35">
        <f t="shared" si="11"/>
        <v>29975</v>
      </c>
      <c r="P151" s="33" t="s">
        <v>16</v>
      </c>
    </row>
    <row r="152" spans="1:16" x14ac:dyDescent="0.35">
      <c r="A152" s="33" t="str">
        <f t="shared" si="13"/>
        <v>2024 JAN-DEC DISC 75 LICENSE ESS</v>
      </c>
      <c r="B152" s="34">
        <f t="shared" si="14"/>
        <v>46104</v>
      </c>
      <c r="C152" s="34">
        <f t="shared" si="15"/>
        <v>46113</v>
      </c>
      <c r="D152" s="33">
        <v>3287</v>
      </c>
      <c r="E152" s="33">
        <v>338</v>
      </c>
      <c r="F152" s="33">
        <v>4</v>
      </c>
      <c r="G152" s="24">
        <v>3</v>
      </c>
      <c r="H152" s="24">
        <v>850</v>
      </c>
      <c r="I152" s="24" t="s">
        <v>17</v>
      </c>
      <c r="J152" s="23">
        <v>17059908</v>
      </c>
      <c r="K152" s="23" t="s">
        <v>1094</v>
      </c>
      <c r="L152" s="23" t="s">
        <v>1097</v>
      </c>
      <c r="M152" s="25">
        <v>119900</v>
      </c>
      <c r="N152" s="36">
        <f t="shared" si="12"/>
        <v>0.75</v>
      </c>
      <c r="O152" s="35">
        <f t="shared" si="11"/>
        <v>29975</v>
      </c>
      <c r="P152" s="33" t="s">
        <v>16</v>
      </c>
    </row>
    <row r="153" spans="1:16" x14ac:dyDescent="0.35">
      <c r="A153" s="33" t="str">
        <f t="shared" si="13"/>
        <v>2024 JAN-DEC DISC 75 LICENSE ESS</v>
      </c>
      <c r="B153" s="34">
        <f t="shared" si="14"/>
        <v>46104</v>
      </c>
      <c r="C153" s="34">
        <f t="shared" si="15"/>
        <v>46113</v>
      </c>
      <c r="D153" s="33">
        <v>3287</v>
      </c>
      <c r="E153" s="33">
        <v>338</v>
      </c>
      <c r="F153" s="33">
        <v>4</v>
      </c>
      <c r="G153" s="24">
        <v>3</v>
      </c>
      <c r="H153" s="24">
        <v>850</v>
      </c>
      <c r="I153" s="24" t="s">
        <v>17</v>
      </c>
      <c r="J153" s="23">
        <v>17059917</v>
      </c>
      <c r="K153" s="23" t="s">
        <v>1094</v>
      </c>
      <c r="L153" s="23" t="s">
        <v>1098</v>
      </c>
      <c r="M153" s="25">
        <v>119900</v>
      </c>
      <c r="N153" s="36">
        <f t="shared" si="12"/>
        <v>0.75</v>
      </c>
      <c r="O153" s="35">
        <f t="shared" si="11"/>
        <v>29975</v>
      </c>
      <c r="P153" s="33" t="s">
        <v>16</v>
      </c>
    </row>
    <row r="154" spans="1:16" x14ac:dyDescent="0.35">
      <c r="A154" s="33" t="str">
        <f t="shared" si="13"/>
        <v>2024 JAN-DEC DISC 75 LICENSE ESS</v>
      </c>
      <c r="B154" s="34">
        <f t="shared" si="14"/>
        <v>46104</v>
      </c>
      <c r="C154" s="34">
        <f t="shared" si="15"/>
        <v>46113</v>
      </c>
      <c r="D154" s="33">
        <v>3287</v>
      </c>
      <c r="E154" s="33">
        <v>338</v>
      </c>
      <c r="F154" s="33">
        <v>4</v>
      </c>
      <c r="G154" s="24">
        <v>7</v>
      </c>
      <c r="H154" s="24">
        <v>599</v>
      </c>
      <c r="I154" s="24" t="s">
        <v>17</v>
      </c>
      <c r="J154" s="23">
        <v>16660787</v>
      </c>
      <c r="K154" s="23" t="s">
        <v>693</v>
      </c>
      <c r="L154" s="23" t="s">
        <v>694</v>
      </c>
      <c r="M154" s="25">
        <v>35900</v>
      </c>
      <c r="N154" s="36">
        <f t="shared" si="12"/>
        <v>0.75</v>
      </c>
      <c r="O154" s="35">
        <f t="shared" si="11"/>
        <v>8975</v>
      </c>
      <c r="P154" s="33" t="s">
        <v>16</v>
      </c>
    </row>
    <row r="155" spans="1:16" x14ac:dyDescent="0.35">
      <c r="A155" s="33" t="str">
        <f t="shared" si="13"/>
        <v>2024 JAN-DEC DISC 75 LICENSE ESS</v>
      </c>
      <c r="B155" s="34">
        <f t="shared" si="14"/>
        <v>46104</v>
      </c>
      <c r="C155" s="34">
        <f t="shared" si="15"/>
        <v>46113</v>
      </c>
      <c r="D155" s="33">
        <v>3287</v>
      </c>
      <c r="E155" s="33">
        <v>338</v>
      </c>
      <c r="F155" s="33">
        <v>4</v>
      </c>
      <c r="G155" s="24">
        <v>7</v>
      </c>
      <c r="H155" s="24">
        <v>599</v>
      </c>
      <c r="I155" s="24" t="s">
        <v>17</v>
      </c>
      <c r="J155" s="23">
        <v>16660796</v>
      </c>
      <c r="K155" s="23" t="s">
        <v>693</v>
      </c>
      <c r="L155" s="23" t="s">
        <v>695</v>
      </c>
      <c r="M155" s="25">
        <v>35900</v>
      </c>
      <c r="N155" s="36">
        <f t="shared" si="12"/>
        <v>0.75</v>
      </c>
      <c r="O155" s="35">
        <f t="shared" si="11"/>
        <v>8975</v>
      </c>
      <c r="P155" s="33" t="s">
        <v>16</v>
      </c>
    </row>
    <row r="156" spans="1:16" x14ac:dyDescent="0.35">
      <c r="A156" s="33" t="str">
        <f t="shared" si="13"/>
        <v>2024 JAN-DEC DISC 75 LICENSE ESS</v>
      </c>
      <c r="B156" s="34">
        <f t="shared" si="14"/>
        <v>46104</v>
      </c>
      <c r="C156" s="34">
        <f t="shared" si="15"/>
        <v>46113</v>
      </c>
      <c r="D156" s="33">
        <v>3287</v>
      </c>
      <c r="E156" s="33">
        <v>338</v>
      </c>
      <c r="F156" s="33">
        <v>4</v>
      </c>
      <c r="G156" s="24">
        <v>8</v>
      </c>
      <c r="H156" s="24">
        <v>81462</v>
      </c>
      <c r="I156" s="24" t="s">
        <v>17</v>
      </c>
      <c r="J156" s="23">
        <v>18544873</v>
      </c>
      <c r="K156" s="23" t="s">
        <v>2326</v>
      </c>
      <c r="L156" s="23" t="s">
        <v>2327</v>
      </c>
      <c r="M156" s="25">
        <v>119900</v>
      </c>
      <c r="N156" s="36">
        <f t="shared" si="12"/>
        <v>0.75</v>
      </c>
      <c r="O156" s="35">
        <f t="shared" si="11"/>
        <v>29975</v>
      </c>
      <c r="P156" s="33" t="s">
        <v>16</v>
      </c>
    </row>
    <row r="157" spans="1:16" x14ac:dyDescent="0.35">
      <c r="A157" s="33" t="str">
        <f t="shared" si="13"/>
        <v>2024 JAN-DEC DISC 75 LICENSE ESS</v>
      </c>
      <c r="B157" s="34">
        <f t="shared" si="14"/>
        <v>46104</v>
      </c>
      <c r="C157" s="34">
        <f t="shared" si="15"/>
        <v>46113</v>
      </c>
      <c r="D157" s="33">
        <v>3287</v>
      </c>
      <c r="E157" s="33">
        <v>338</v>
      </c>
      <c r="F157" s="33">
        <v>4</v>
      </c>
      <c r="G157" s="24">
        <v>8</v>
      </c>
      <c r="H157" s="24">
        <v>81462</v>
      </c>
      <c r="I157" s="24" t="s">
        <v>17</v>
      </c>
      <c r="J157" s="23">
        <v>18544882</v>
      </c>
      <c r="K157" s="23" t="s">
        <v>2326</v>
      </c>
      <c r="L157" s="23" t="s">
        <v>2328</v>
      </c>
      <c r="M157" s="25">
        <v>119900</v>
      </c>
      <c r="N157" s="36">
        <f t="shared" si="12"/>
        <v>0.75</v>
      </c>
      <c r="O157" s="35">
        <f t="shared" si="11"/>
        <v>29975</v>
      </c>
      <c r="P157" s="33" t="s">
        <v>16</v>
      </c>
    </row>
    <row r="158" spans="1:16" x14ac:dyDescent="0.35">
      <c r="A158" s="33" t="str">
        <f t="shared" si="13"/>
        <v>2024 JAN-DEC DISC 75 LICENSE ESS</v>
      </c>
      <c r="B158" s="34">
        <f t="shared" si="14"/>
        <v>46104</v>
      </c>
      <c r="C158" s="34">
        <f t="shared" si="15"/>
        <v>46113</v>
      </c>
      <c r="D158" s="33">
        <v>3287</v>
      </c>
      <c r="E158" s="33">
        <v>338</v>
      </c>
      <c r="F158" s="33">
        <v>4</v>
      </c>
      <c r="G158" s="24">
        <v>8</v>
      </c>
      <c r="H158" s="24">
        <v>81462</v>
      </c>
      <c r="I158" s="24" t="s">
        <v>17</v>
      </c>
      <c r="J158" s="23">
        <v>18544917</v>
      </c>
      <c r="K158" s="23" t="s">
        <v>2326</v>
      </c>
      <c r="L158" s="23" t="s">
        <v>2329</v>
      </c>
      <c r="M158" s="25">
        <v>119900</v>
      </c>
      <c r="N158" s="36">
        <f t="shared" si="12"/>
        <v>0.75</v>
      </c>
      <c r="O158" s="35">
        <f t="shared" si="11"/>
        <v>29975</v>
      </c>
      <c r="P158" s="33" t="s">
        <v>16</v>
      </c>
    </row>
    <row r="159" spans="1:16" x14ac:dyDescent="0.35">
      <c r="A159" s="33" t="str">
        <f t="shared" si="13"/>
        <v>2024 JAN-DEC DISC 75 LICENSE ESS</v>
      </c>
      <c r="B159" s="34">
        <f t="shared" si="14"/>
        <v>46104</v>
      </c>
      <c r="C159" s="34">
        <f t="shared" si="15"/>
        <v>46113</v>
      </c>
      <c r="D159" s="33">
        <v>3287</v>
      </c>
      <c r="E159" s="33">
        <v>338</v>
      </c>
      <c r="F159" s="33">
        <v>4</v>
      </c>
      <c r="G159" s="24">
        <v>8</v>
      </c>
      <c r="H159" s="24">
        <v>81462</v>
      </c>
      <c r="I159" s="24" t="s">
        <v>17</v>
      </c>
      <c r="J159" s="23">
        <v>18544926</v>
      </c>
      <c r="K159" s="23" t="s">
        <v>2326</v>
      </c>
      <c r="L159" s="23" t="s">
        <v>2330</v>
      </c>
      <c r="M159" s="25">
        <v>119900</v>
      </c>
      <c r="N159" s="36">
        <f t="shared" si="12"/>
        <v>0.75</v>
      </c>
      <c r="O159" s="35">
        <f t="shared" si="11"/>
        <v>29975</v>
      </c>
      <c r="P159" s="33" t="s">
        <v>16</v>
      </c>
    </row>
    <row r="160" spans="1:16" ht="13.5" customHeight="1" x14ac:dyDescent="0.35">
      <c r="A160" s="33" t="str">
        <f t="shared" si="13"/>
        <v>2024 JAN-DEC DISC 75 LICENSE ESS</v>
      </c>
      <c r="B160" s="34">
        <f t="shared" si="14"/>
        <v>46104</v>
      </c>
      <c r="C160" s="34">
        <f t="shared" si="15"/>
        <v>46113</v>
      </c>
      <c r="D160" s="33">
        <v>3287</v>
      </c>
      <c r="E160" s="33">
        <v>338</v>
      </c>
      <c r="F160" s="33">
        <v>4</v>
      </c>
      <c r="G160" s="24">
        <v>3</v>
      </c>
      <c r="H160" s="24">
        <v>81574</v>
      </c>
      <c r="I160" s="24" t="s">
        <v>17</v>
      </c>
      <c r="J160" s="23">
        <v>18292396</v>
      </c>
      <c r="K160" s="23" t="s">
        <v>1045</v>
      </c>
      <c r="L160" s="23" t="s">
        <v>1046</v>
      </c>
      <c r="M160" s="25">
        <v>119900</v>
      </c>
      <c r="N160" s="36">
        <f t="shared" si="12"/>
        <v>0.75</v>
      </c>
      <c r="O160" s="35">
        <f t="shared" si="11"/>
        <v>29975</v>
      </c>
      <c r="P160" s="33" t="s">
        <v>16</v>
      </c>
    </row>
    <row r="161" spans="1:16" x14ac:dyDescent="0.35">
      <c r="A161" s="33" t="str">
        <f t="shared" si="13"/>
        <v>2024 JAN-DEC DISC 75 LICENSE ESS</v>
      </c>
      <c r="B161" s="34">
        <f t="shared" si="14"/>
        <v>46104</v>
      </c>
      <c r="C161" s="34">
        <f t="shared" si="15"/>
        <v>46113</v>
      </c>
      <c r="D161" s="33">
        <v>3287</v>
      </c>
      <c r="E161" s="33">
        <v>338</v>
      </c>
      <c r="F161" s="33">
        <v>4</v>
      </c>
      <c r="G161" s="24">
        <v>3</v>
      </c>
      <c r="H161" s="24">
        <v>81574</v>
      </c>
      <c r="I161" s="24" t="s">
        <v>17</v>
      </c>
      <c r="J161" s="23">
        <v>18292403</v>
      </c>
      <c r="K161" s="23" t="s">
        <v>1045</v>
      </c>
      <c r="L161" s="23" t="s">
        <v>1047</v>
      </c>
      <c r="M161" s="25">
        <v>119900</v>
      </c>
      <c r="N161" s="36">
        <f t="shared" si="12"/>
        <v>0.75</v>
      </c>
      <c r="O161" s="35">
        <f t="shared" si="11"/>
        <v>29975</v>
      </c>
      <c r="P161" s="33" t="s">
        <v>16</v>
      </c>
    </row>
    <row r="162" spans="1:16" x14ac:dyDescent="0.35">
      <c r="A162" s="33" t="str">
        <f t="shared" si="13"/>
        <v>2024 JAN-DEC DISC 75 LICENSE ESS</v>
      </c>
      <c r="B162" s="34">
        <f t="shared" si="14"/>
        <v>46104</v>
      </c>
      <c r="C162" s="34">
        <f t="shared" si="15"/>
        <v>46113</v>
      </c>
      <c r="D162" s="33">
        <v>3287</v>
      </c>
      <c r="E162" s="33">
        <v>338</v>
      </c>
      <c r="F162" s="33">
        <v>4</v>
      </c>
      <c r="G162" s="24">
        <v>3</v>
      </c>
      <c r="H162" s="24">
        <v>81574</v>
      </c>
      <c r="I162" s="24" t="s">
        <v>17</v>
      </c>
      <c r="J162" s="23">
        <v>18292412</v>
      </c>
      <c r="K162" s="23" t="s">
        <v>1045</v>
      </c>
      <c r="L162" s="23" t="s">
        <v>1048</v>
      </c>
      <c r="M162" s="25">
        <v>119900</v>
      </c>
      <c r="N162" s="36">
        <f t="shared" si="12"/>
        <v>0.75</v>
      </c>
      <c r="O162" s="35">
        <f t="shared" si="11"/>
        <v>29975</v>
      </c>
      <c r="P162" s="33" t="s">
        <v>16</v>
      </c>
    </row>
    <row r="163" spans="1:16" x14ac:dyDescent="0.35">
      <c r="A163" s="33" t="str">
        <f t="shared" si="13"/>
        <v>2024 JAN-DEC DISC 75 LICENSE ESS</v>
      </c>
      <c r="B163" s="34">
        <f t="shared" si="14"/>
        <v>46104</v>
      </c>
      <c r="C163" s="34">
        <f t="shared" si="15"/>
        <v>46113</v>
      </c>
      <c r="D163" s="33">
        <v>3287</v>
      </c>
      <c r="E163" s="33">
        <v>338</v>
      </c>
      <c r="F163" s="33">
        <v>4</v>
      </c>
      <c r="G163" s="24">
        <v>3</v>
      </c>
      <c r="H163" s="24">
        <v>81574</v>
      </c>
      <c r="I163" s="24" t="s">
        <v>17</v>
      </c>
      <c r="J163" s="23">
        <v>18292350</v>
      </c>
      <c r="K163" s="23" t="s">
        <v>1042</v>
      </c>
      <c r="L163" s="23" t="s">
        <v>1043</v>
      </c>
      <c r="M163" s="25">
        <v>119900</v>
      </c>
      <c r="N163" s="36">
        <f t="shared" si="12"/>
        <v>0.75</v>
      </c>
      <c r="O163" s="35">
        <f t="shared" si="11"/>
        <v>29975</v>
      </c>
      <c r="P163" s="33" t="s">
        <v>16</v>
      </c>
    </row>
    <row r="164" spans="1:16" x14ac:dyDescent="0.35">
      <c r="A164" s="33" t="str">
        <f t="shared" si="13"/>
        <v>2024 JAN-DEC DISC 75 LICENSE ESS</v>
      </c>
      <c r="B164" s="34">
        <f t="shared" si="14"/>
        <v>46104</v>
      </c>
      <c r="C164" s="34">
        <f t="shared" si="15"/>
        <v>46113</v>
      </c>
      <c r="D164" s="33">
        <v>3287</v>
      </c>
      <c r="E164" s="33">
        <v>338</v>
      </c>
      <c r="F164" s="33">
        <v>4</v>
      </c>
      <c r="G164" s="24">
        <v>3</v>
      </c>
      <c r="H164" s="24">
        <v>81574</v>
      </c>
      <c r="I164" s="24" t="s">
        <v>17</v>
      </c>
      <c r="J164" s="23">
        <v>18292378</v>
      </c>
      <c r="K164" s="23" t="s">
        <v>1042</v>
      </c>
      <c r="L164" s="23" t="s">
        <v>1044</v>
      </c>
      <c r="M164" s="25">
        <v>119900</v>
      </c>
      <c r="N164" s="36">
        <f t="shared" si="12"/>
        <v>0.75</v>
      </c>
      <c r="O164" s="35">
        <f t="shared" si="11"/>
        <v>29975</v>
      </c>
      <c r="P164" s="33" t="s">
        <v>16</v>
      </c>
    </row>
    <row r="165" spans="1:16" x14ac:dyDescent="0.35">
      <c r="A165" s="33" t="str">
        <f t="shared" si="13"/>
        <v>2024 JAN-DEC DISC 75 LICENSE ESS</v>
      </c>
      <c r="B165" s="34">
        <f t="shared" si="14"/>
        <v>46104</v>
      </c>
      <c r="C165" s="34">
        <f t="shared" si="15"/>
        <v>46113</v>
      </c>
      <c r="D165" s="33">
        <v>3287</v>
      </c>
      <c r="E165" s="33">
        <v>338</v>
      </c>
      <c r="F165" s="33">
        <v>4</v>
      </c>
      <c r="G165" s="24">
        <v>7</v>
      </c>
      <c r="H165" s="24">
        <v>81595</v>
      </c>
      <c r="I165" s="24" t="s">
        <v>17</v>
      </c>
      <c r="J165" s="23">
        <v>18292305</v>
      </c>
      <c r="K165" s="23" t="s">
        <v>1026</v>
      </c>
      <c r="L165" s="23" t="s">
        <v>1027</v>
      </c>
      <c r="M165" s="25">
        <v>35900</v>
      </c>
      <c r="N165" s="36">
        <f t="shared" si="12"/>
        <v>0.75</v>
      </c>
      <c r="O165" s="35">
        <f t="shared" si="11"/>
        <v>8975</v>
      </c>
      <c r="P165" s="33" t="s">
        <v>16</v>
      </c>
    </row>
    <row r="166" spans="1:16" x14ac:dyDescent="0.35">
      <c r="A166" s="33" t="str">
        <f t="shared" si="13"/>
        <v>2024 JAN-DEC DISC 75 LICENSE ESS</v>
      </c>
      <c r="B166" s="34">
        <f t="shared" si="14"/>
        <v>46104</v>
      </c>
      <c r="C166" s="34">
        <f t="shared" si="15"/>
        <v>46113</v>
      </c>
      <c r="D166" s="33">
        <v>3287</v>
      </c>
      <c r="E166" s="33">
        <v>338</v>
      </c>
      <c r="F166" s="33">
        <v>4</v>
      </c>
      <c r="G166" s="24">
        <v>7</v>
      </c>
      <c r="H166" s="24">
        <v>81595</v>
      </c>
      <c r="I166" s="24" t="s">
        <v>17</v>
      </c>
      <c r="J166" s="23">
        <v>18292323</v>
      </c>
      <c r="K166" s="23" t="s">
        <v>1028</v>
      </c>
      <c r="L166" s="23" t="s">
        <v>1029</v>
      </c>
      <c r="M166" s="25">
        <v>35900</v>
      </c>
      <c r="N166" s="36">
        <f t="shared" si="12"/>
        <v>0.75</v>
      </c>
      <c r="O166" s="35">
        <f t="shared" si="11"/>
        <v>8975</v>
      </c>
      <c r="P166" s="33" t="s">
        <v>16</v>
      </c>
    </row>
    <row r="167" spans="1:16" x14ac:dyDescent="0.35">
      <c r="A167" s="33" t="str">
        <f t="shared" si="13"/>
        <v>2024 JAN-DEC DISC 75 LICENSE ESS</v>
      </c>
      <c r="B167" s="34">
        <f t="shared" si="14"/>
        <v>46104</v>
      </c>
      <c r="C167" s="34">
        <f t="shared" si="15"/>
        <v>46113</v>
      </c>
      <c r="D167" s="33">
        <v>3287</v>
      </c>
      <c r="E167" s="33">
        <v>338</v>
      </c>
      <c r="F167" s="33">
        <v>4</v>
      </c>
      <c r="G167" s="24">
        <v>7</v>
      </c>
      <c r="H167" s="24">
        <v>81595</v>
      </c>
      <c r="I167" s="24" t="s">
        <v>17</v>
      </c>
      <c r="J167" s="23">
        <v>18757750</v>
      </c>
      <c r="K167" s="23" t="s">
        <v>996</v>
      </c>
      <c r="L167" s="23" t="s">
        <v>997</v>
      </c>
      <c r="M167" s="25">
        <v>35900</v>
      </c>
      <c r="N167" s="36">
        <f t="shared" si="12"/>
        <v>0.75</v>
      </c>
      <c r="O167" s="35">
        <f t="shared" si="11"/>
        <v>8975</v>
      </c>
      <c r="P167" s="33" t="s">
        <v>16</v>
      </c>
    </row>
    <row r="168" spans="1:16" x14ac:dyDescent="0.35">
      <c r="A168" s="33" t="str">
        <f t="shared" si="13"/>
        <v>2024 JAN-DEC DISC 75 LICENSE ESS</v>
      </c>
      <c r="B168" s="34">
        <f t="shared" si="14"/>
        <v>46104</v>
      </c>
      <c r="C168" s="34">
        <f t="shared" si="15"/>
        <v>46113</v>
      </c>
      <c r="D168" s="33">
        <v>3287</v>
      </c>
      <c r="E168" s="33">
        <v>338</v>
      </c>
      <c r="F168" s="33">
        <v>4</v>
      </c>
      <c r="G168" s="24">
        <v>2</v>
      </c>
      <c r="H168" s="24">
        <v>81676</v>
      </c>
      <c r="I168" s="24" t="s">
        <v>17</v>
      </c>
      <c r="J168" s="23">
        <v>18757590</v>
      </c>
      <c r="K168" s="23" t="s">
        <v>1009</v>
      </c>
      <c r="L168" s="23" t="s">
        <v>1010</v>
      </c>
      <c r="M168" s="25">
        <v>229900</v>
      </c>
      <c r="N168" s="36">
        <f t="shared" si="12"/>
        <v>0.75</v>
      </c>
      <c r="O168" s="35">
        <f t="shared" si="11"/>
        <v>57475</v>
      </c>
      <c r="P168" s="33" t="s">
        <v>16</v>
      </c>
    </row>
    <row r="169" spans="1:16" x14ac:dyDescent="0.35">
      <c r="A169" s="33" t="str">
        <f t="shared" si="13"/>
        <v>2024 JAN-DEC DISC 75 LICENSE ESS</v>
      </c>
      <c r="B169" s="34">
        <f t="shared" si="14"/>
        <v>46104</v>
      </c>
      <c r="C169" s="34">
        <f t="shared" si="15"/>
        <v>46113</v>
      </c>
      <c r="D169" s="33">
        <v>3287</v>
      </c>
      <c r="E169" s="33">
        <v>338</v>
      </c>
      <c r="F169" s="33">
        <v>4</v>
      </c>
      <c r="G169" s="24">
        <v>2</v>
      </c>
      <c r="H169" s="24">
        <v>81676</v>
      </c>
      <c r="I169" s="24" t="s">
        <v>17</v>
      </c>
      <c r="J169" s="23">
        <v>18757607</v>
      </c>
      <c r="K169" s="23" t="s">
        <v>1009</v>
      </c>
      <c r="L169" s="23" t="s">
        <v>1011</v>
      </c>
      <c r="M169" s="25">
        <v>229900</v>
      </c>
      <c r="N169" s="36">
        <f t="shared" si="12"/>
        <v>0.75</v>
      </c>
      <c r="O169" s="35">
        <f t="shared" si="11"/>
        <v>57475</v>
      </c>
      <c r="P169" s="33" t="s">
        <v>16</v>
      </c>
    </row>
    <row r="170" spans="1:16" x14ac:dyDescent="0.35">
      <c r="A170" s="33" t="str">
        <f t="shared" si="13"/>
        <v>2024 JAN-DEC DISC 75 LICENSE ESS</v>
      </c>
      <c r="B170" s="34">
        <f t="shared" si="14"/>
        <v>46104</v>
      </c>
      <c r="C170" s="34">
        <f t="shared" si="15"/>
        <v>46113</v>
      </c>
      <c r="D170" s="33">
        <v>3287</v>
      </c>
      <c r="E170" s="33">
        <v>338</v>
      </c>
      <c r="F170" s="33">
        <v>4</v>
      </c>
      <c r="G170" s="24">
        <v>2</v>
      </c>
      <c r="H170" s="24">
        <v>81676</v>
      </c>
      <c r="I170" s="24" t="s">
        <v>17</v>
      </c>
      <c r="J170" s="23">
        <v>18757705</v>
      </c>
      <c r="K170" s="23" t="s">
        <v>1009</v>
      </c>
      <c r="L170" s="23" t="s">
        <v>1012</v>
      </c>
      <c r="M170" s="25">
        <v>229900</v>
      </c>
      <c r="N170" s="36">
        <f t="shared" si="12"/>
        <v>0.75</v>
      </c>
      <c r="O170" s="35">
        <f t="shared" si="11"/>
        <v>57475</v>
      </c>
      <c r="P170" s="33" t="s">
        <v>16</v>
      </c>
    </row>
    <row r="171" spans="1:16" x14ac:dyDescent="0.35">
      <c r="A171" s="33" t="str">
        <f t="shared" si="13"/>
        <v>2024 JAN-DEC DISC 75 LICENSE ESS</v>
      </c>
      <c r="B171" s="34">
        <f t="shared" si="14"/>
        <v>46104</v>
      </c>
      <c r="C171" s="34">
        <f t="shared" si="15"/>
        <v>46113</v>
      </c>
      <c r="D171" s="33">
        <v>3287</v>
      </c>
      <c r="E171" s="33">
        <v>338</v>
      </c>
      <c r="F171" s="33">
        <v>4</v>
      </c>
      <c r="G171" s="24">
        <v>7</v>
      </c>
      <c r="H171" s="24">
        <v>81595</v>
      </c>
      <c r="I171" s="24" t="s">
        <v>17</v>
      </c>
      <c r="J171" s="23">
        <v>18292261</v>
      </c>
      <c r="K171" s="23" t="s">
        <v>989</v>
      </c>
      <c r="L171" s="23" t="s">
        <v>990</v>
      </c>
      <c r="M171" s="25">
        <v>35900</v>
      </c>
      <c r="N171" s="36">
        <f t="shared" si="12"/>
        <v>0.75</v>
      </c>
      <c r="O171" s="35">
        <f t="shared" si="11"/>
        <v>8975</v>
      </c>
      <c r="P171" s="33" t="s">
        <v>16</v>
      </c>
    </row>
    <row r="172" spans="1:16" x14ac:dyDescent="0.35">
      <c r="A172" s="33" t="str">
        <f t="shared" si="13"/>
        <v>2024 JAN-DEC DISC 75 LICENSE ESS</v>
      </c>
      <c r="B172" s="34">
        <f t="shared" si="14"/>
        <v>46104</v>
      </c>
      <c r="C172" s="34">
        <f t="shared" si="15"/>
        <v>46113</v>
      </c>
      <c r="D172" s="33">
        <v>3287</v>
      </c>
      <c r="E172" s="33">
        <v>338</v>
      </c>
      <c r="F172" s="33">
        <v>4</v>
      </c>
      <c r="G172" s="24">
        <v>7</v>
      </c>
      <c r="H172" s="24">
        <v>81595</v>
      </c>
      <c r="I172" s="24" t="s">
        <v>17</v>
      </c>
      <c r="J172" s="23">
        <v>18549270</v>
      </c>
      <c r="K172" s="23" t="s">
        <v>993</v>
      </c>
      <c r="L172" s="23" t="s">
        <v>994</v>
      </c>
      <c r="M172" s="25">
        <v>35900</v>
      </c>
      <c r="N172" s="36">
        <f t="shared" si="12"/>
        <v>0.75</v>
      </c>
      <c r="O172" s="35">
        <f t="shared" si="11"/>
        <v>8975</v>
      </c>
      <c r="P172" s="33" t="s">
        <v>16</v>
      </c>
    </row>
    <row r="173" spans="1:16" x14ac:dyDescent="0.35">
      <c r="A173" s="33" t="str">
        <f t="shared" si="13"/>
        <v>2024 JAN-DEC DISC 75 LICENSE ESS</v>
      </c>
      <c r="B173" s="34">
        <f t="shared" si="14"/>
        <v>46104</v>
      </c>
      <c r="C173" s="34">
        <f t="shared" si="15"/>
        <v>46113</v>
      </c>
      <c r="D173" s="33">
        <v>3287</v>
      </c>
      <c r="E173" s="33">
        <v>338</v>
      </c>
      <c r="F173" s="33">
        <v>4</v>
      </c>
      <c r="G173" s="24">
        <v>7</v>
      </c>
      <c r="H173" s="24">
        <v>81595</v>
      </c>
      <c r="I173" s="24" t="s">
        <v>17</v>
      </c>
      <c r="J173" s="23">
        <v>18549289</v>
      </c>
      <c r="K173" s="23" t="s">
        <v>993</v>
      </c>
      <c r="L173" s="23" t="s">
        <v>995</v>
      </c>
      <c r="M173" s="25">
        <v>35900</v>
      </c>
      <c r="N173" s="36">
        <f t="shared" si="12"/>
        <v>0.75</v>
      </c>
      <c r="O173" s="35">
        <f t="shared" si="11"/>
        <v>8975</v>
      </c>
      <c r="P173" s="33" t="s">
        <v>16</v>
      </c>
    </row>
    <row r="174" spans="1:16" x14ac:dyDescent="0.35">
      <c r="A174" s="33" t="str">
        <f t="shared" si="13"/>
        <v>2024 JAN-DEC DISC 75 LICENSE ESS</v>
      </c>
      <c r="B174" s="34">
        <f t="shared" si="14"/>
        <v>46104</v>
      </c>
      <c r="C174" s="34">
        <f t="shared" si="15"/>
        <v>46113</v>
      </c>
      <c r="D174" s="33">
        <v>3287</v>
      </c>
      <c r="E174" s="33">
        <v>338</v>
      </c>
      <c r="F174" s="33">
        <v>4</v>
      </c>
      <c r="G174" s="24">
        <v>7</v>
      </c>
      <c r="H174" s="24">
        <v>81595</v>
      </c>
      <c r="I174" s="24" t="s">
        <v>17</v>
      </c>
      <c r="J174" s="23">
        <v>18549261</v>
      </c>
      <c r="K174" s="23" t="s">
        <v>991</v>
      </c>
      <c r="L174" s="23" t="s">
        <v>992</v>
      </c>
      <c r="M174" s="25">
        <v>35900</v>
      </c>
      <c r="N174" s="36">
        <f t="shared" si="12"/>
        <v>0.75</v>
      </c>
      <c r="O174" s="35">
        <f t="shared" si="11"/>
        <v>8975</v>
      </c>
      <c r="P174" s="33" t="s">
        <v>16</v>
      </c>
    </row>
    <row r="175" spans="1:16" x14ac:dyDescent="0.35">
      <c r="A175" s="33" t="str">
        <f t="shared" si="13"/>
        <v>2024 JAN-DEC DISC 75 LICENSE ESS</v>
      </c>
      <c r="B175" s="34">
        <f t="shared" si="14"/>
        <v>46104</v>
      </c>
      <c r="C175" s="34">
        <f t="shared" si="15"/>
        <v>46113</v>
      </c>
      <c r="D175" s="33">
        <v>3287</v>
      </c>
      <c r="E175" s="33">
        <v>338</v>
      </c>
      <c r="F175" s="33">
        <v>4</v>
      </c>
      <c r="G175" s="24">
        <v>7</v>
      </c>
      <c r="H175" s="24">
        <v>81595</v>
      </c>
      <c r="I175" s="24" t="s">
        <v>17</v>
      </c>
      <c r="J175" s="23">
        <v>19028063</v>
      </c>
      <c r="K175" s="23" t="s">
        <v>1030</v>
      </c>
      <c r="L175" s="23" t="s">
        <v>1031</v>
      </c>
      <c r="M175" s="25">
        <v>35900</v>
      </c>
      <c r="N175" s="36">
        <f t="shared" si="12"/>
        <v>0.75</v>
      </c>
      <c r="O175" s="35">
        <f t="shared" si="11"/>
        <v>8975</v>
      </c>
      <c r="P175" s="33" t="s">
        <v>16</v>
      </c>
    </row>
    <row r="176" spans="1:16" x14ac:dyDescent="0.35">
      <c r="A176" s="33" t="str">
        <f t="shared" si="13"/>
        <v>2024 JAN-DEC DISC 75 LICENSE ESS</v>
      </c>
      <c r="B176" s="34">
        <f t="shared" si="14"/>
        <v>46104</v>
      </c>
      <c r="C176" s="34">
        <f t="shared" si="15"/>
        <v>46113</v>
      </c>
      <c r="D176" s="33">
        <v>3287</v>
      </c>
      <c r="E176" s="33">
        <v>338</v>
      </c>
      <c r="F176" s="33">
        <v>4</v>
      </c>
      <c r="G176" s="24">
        <v>7</v>
      </c>
      <c r="H176" s="24">
        <v>81595</v>
      </c>
      <c r="I176" s="24" t="s">
        <v>17</v>
      </c>
      <c r="J176" s="23">
        <v>19028081</v>
      </c>
      <c r="K176" s="23" t="s">
        <v>1032</v>
      </c>
      <c r="L176" s="23" t="s">
        <v>1033</v>
      </c>
      <c r="M176" s="25">
        <v>35900</v>
      </c>
      <c r="N176" s="36">
        <f t="shared" si="12"/>
        <v>0.75</v>
      </c>
      <c r="O176" s="35">
        <f t="shared" si="11"/>
        <v>8975</v>
      </c>
      <c r="P176" s="33" t="s">
        <v>16</v>
      </c>
    </row>
    <row r="177" spans="1:16" x14ac:dyDescent="0.35">
      <c r="A177" s="33" t="str">
        <f t="shared" si="13"/>
        <v>2024 JAN-DEC DISC 75 LICENSE ESS</v>
      </c>
      <c r="B177" s="34">
        <f t="shared" si="14"/>
        <v>46104</v>
      </c>
      <c r="C177" s="34">
        <f t="shared" si="15"/>
        <v>46113</v>
      </c>
      <c r="D177" s="33">
        <v>3287</v>
      </c>
      <c r="E177" s="33">
        <v>338</v>
      </c>
      <c r="F177" s="33">
        <v>4</v>
      </c>
      <c r="G177" s="24">
        <v>7</v>
      </c>
      <c r="H177" s="24">
        <v>81595</v>
      </c>
      <c r="I177" s="24" t="s">
        <v>17</v>
      </c>
      <c r="J177" s="23">
        <v>19028107</v>
      </c>
      <c r="K177" s="23" t="s">
        <v>1034</v>
      </c>
      <c r="L177" s="23" t="s">
        <v>1035</v>
      </c>
      <c r="M177" s="25">
        <v>35900</v>
      </c>
      <c r="N177" s="36">
        <f t="shared" si="12"/>
        <v>0.75</v>
      </c>
      <c r="O177" s="35">
        <f t="shared" si="11"/>
        <v>8975</v>
      </c>
      <c r="P177" s="33" t="s">
        <v>16</v>
      </c>
    </row>
    <row r="178" spans="1:16" x14ac:dyDescent="0.35">
      <c r="A178" s="33" t="str">
        <f t="shared" si="13"/>
        <v>2024 JAN-DEC DISC 75 LICENSE ESS</v>
      </c>
      <c r="B178" s="34">
        <f t="shared" si="14"/>
        <v>46104</v>
      </c>
      <c r="C178" s="34">
        <f t="shared" si="15"/>
        <v>46113</v>
      </c>
      <c r="D178" s="33">
        <v>3287</v>
      </c>
      <c r="E178" s="33">
        <v>338</v>
      </c>
      <c r="F178" s="33">
        <v>4</v>
      </c>
      <c r="G178" s="24">
        <v>3</v>
      </c>
      <c r="H178" s="24">
        <v>850</v>
      </c>
      <c r="I178" s="24" t="s">
        <v>17</v>
      </c>
      <c r="J178" s="23">
        <v>19028116</v>
      </c>
      <c r="K178" s="23" t="s">
        <v>1022</v>
      </c>
      <c r="L178" s="23" t="s">
        <v>1023</v>
      </c>
      <c r="M178" s="25">
        <v>119900</v>
      </c>
      <c r="N178" s="36">
        <f t="shared" si="12"/>
        <v>0.75</v>
      </c>
      <c r="O178" s="35">
        <f t="shared" si="11"/>
        <v>29975</v>
      </c>
      <c r="P178" s="33" t="s">
        <v>16</v>
      </c>
    </row>
    <row r="179" spans="1:16" x14ac:dyDescent="0.35">
      <c r="A179" s="33" t="str">
        <f t="shared" si="13"/>
        <v>2024 JAN-DEC DISC 75 LICENSE ESS</v>
      </c>
      <c r="B179" s="34">
        <f t="shared" si="14"/>
        <v>46104</v>
      </c>
      <c r="C179" s="34">
        <f t="shared" si="15"/>
        <v>46113</v>
      </c>
      <c r="D179" s="33">
        <v>3287</v>
      </c>
      <c r="E179" s="33">
        <v>338</v>
      </c>
      <c r="F179" s="33">
        <v>4</v>
      </c>
      <c r="G179" s="24">
        <v>3</v>
      </c>
      <c r="H179" s="24">
        <v>850</v>
      </c>
      <c r="I179" s="24" t="s">
        <v>17</v>
      </c>
      <c r="J179" s="23">
        <v>19028134</v>
      </c>
      <c r="K179" s="23" t="s">
        <v>1022</v>
      </c>
      <c r="L179" s="23" t="s">
        <v>1024</v>
      </c>
      <c r="M179" s="25">
        <v>119900</v>
      </c>
      <c r="N179" s="36">
        <f t="shared" si="12"/>
        <v>0.75</v>
      </c>
      <c r="O179" s="35">
        <f t="shared" si="11"/>
        <v>29975</v>
      </c>
      <c r="P179" s="33" t="s">
        <v>16</v>
      </c>
    </row>
    <row r="180" spans="1:16" x14ac:dyDescent="0.35">
      <c r="A180" s="33" t="str">
        <f t="shared" si="13"/>
        <v>2024 JAN-DEC DISC 75 LICENSE ESS</v>
      </c>
      <c r="B180" s="34">
        <f t="shared" si="14"/>
        <v>46104</v>
      </c>
      <c r="C180" s="34">
        <f t="shared" si="15"/>
        <v>46113</v>
      </c>
      <c r="D180" s="33">
        <v>3287</v>
      </c>
      <c r="E180" s="33">
        <v>338</v>
      </c>
      <c r="F180" s="33">
        <v>4</v>
      </c>
      <c r="G180" s="24">
        <v>3</v>
      </c>
      <c r="H180" s="24">
        <v>850</v>
      </c>
      <c r="I180" s="24" t="s">
        <v>17</v>
      </c>
      <c r="J180" s="23">
        <v>19028143</v>
      </c>
      <c r="K180" s="23" t="s">
        <v>1022</v>
      </c>
      <c r="L180" s="23" t="s">
        <v>1025</v>
      </c>
      <c r="M180" s="25">
        <v>119900</v>
      </c>
      <c r="N180" s="36">
        <f t="shared" si="12"/>
        <v>0.75</v>
      </c>
      <c r="O180" s="35">
        <f t="shared" si="11"/>
        <v>29975</v>
      </c>
      <c r="P180" s="33" t="s">
        <v>16</v>
      </c>
    </row>
    <row r="181" spans="1:16" x14ac:dyDescent="0.35">
      <c r="A181" s="33" t="str">
        <f t="shared" si="13"/>
        <v>2024 JAN-DEC DISC 75 LICENSE ESS</v>
      </c>
      <c r="B181" s="34">
        <f t="shared" si="14"/>
        <v>46104</v>
      </c>
      <c r="C181" s="34">
        <f t="shared" si="15"/>
        <v>46113</v>
      </c>
      <c r="D181" s="6">
        <v>3287</v>
      </c>
      <c r="E181" s="6">
        <v>338</v>
      </c>
      <c r="F181" s="6">
        <v>4</v>
      </c>
      <c r="G181" s="6">
        <v>2</v>
      </c>
      <c r="H181" s="6">
        <v>850</v>
      </c>
      <c r="I181" s="6" t="s">
        <v>17</v>
      </c>
      <c r="J181" s="6">
        <v>19483848</v>
      </c>
      <c r="K181" s="6" t="s">
        <v>1004</v>
      </c>
      <c r="L181" s="17" t="s">
        <v>1005</v>
      </c>
      <c r="M181" s="8">
        <v>229900</v>
      </c>
      <c r="N181" s="36">
        <f t="shared" ref="N181:N244" si="16">N180</f>
        <v>0.75</v>
      </c>
      <c r="O181" s="35">
        <f t="shared" ref="O181:O244" si="17">M181-((75*M181)/100)</f>
        <v>57475</v>
      </c>
      <c r="P181" s="33" t="s">
        <v>16</v>
      </c>
    </row>
    <row r="182" spans="1:16" x14ac:dyDescent="0.35">
      <c r="A182" s="33" t="str">
        <f t="shared" si="13"/>
        <v>2024 JAN-DEC DISC 75 LICENSE ESS</v>
      </c>
      <c r="B182" s="34">
        <f t="shared" si="14"/>
        <v>46104</v>
      </c>
      <c r="C182" s="34">
        <f t="shared" si="15"/>
        <v>46113</v>
      </c>
      <c r="D182" s="6">
        <v>3287</v>
      </c>
      <c r="E182" s="6">
        <v>338</v>
      </c>
      <c r="F182" s="6">
        <v>4</v>
      </c>
      <c r="G182" s="6">
        <v>2</v>
      </c>
      <c r="H182" s="6">
        <v>850</v>
      </c>
      <c r="I182" s="6" t="s">
        <v>17</v>
      </c>
      <c r="J182" s="6">
        <v>19483857</v>
      </c>
      <c r="K182" s="6" t="s">
        <v>1004</v>
      </c>
      <c r="L182" s="17" t="s">
        <v>1006</v>
      </c>
      <c r="M182" s="8">
        <v>229900</v>
      </c>
      <c r="N182" s="36">
        <f t="shared" si="16"/>
        <v>0.75</v>
      </c>
      <c r="O182" s="35">
        <f t="shared" si="17"/>
        <v>57475</v>
      </c>
      <c r="P182" s="33" t="s">
        <v>16</v>
      </c>
    </row>
    <row r="183" spans="1:16" x14ac:dyDescent="0.35">
      <c r="A183" s="33" t="str">
        <f t="shared" si="13"/>
        <v>2024 JAN-DEC DISC 75 LICENSE ESS</v>
      </c>
      <c r="B183" s="34">
        <f t="shared" si="14"/>
        <v>46104</v>
      </c>
      <c r="C183" s="34">
        <f t="shared" si="15"/>
        <v>46113</v>
      </c>
      <c r="D183" s="6">
        <v>3287</v>
      </c>
      <c r="E183" s="6">
        <v>338</v>
      </c>
      <c r="F183" s="6">
        <v>4</v>
      </c>
      <c r="G183" s="6">
        <v>2</v>
      </c>
      <c r="H183" s="6">
        <v>850</v>
      </c>
      <c r="I183" s="6" t="s">
        <v>17</v>
      </c>
      <c r="J183" s="6">
        <v>19483866</v>
      </c>
      <c r="K183" s="6" t="s">
        <v>1004</v>
      </c>
      <c r="L183" s="17" t="s">
        <v>1007</v>
      </c>
      <c r="M183" s="8">
        <v>229900</v>
      </c>
      <c r="N183" s="36">
        <f t="shared" si="16"/>
        <v>0.75</v>
      </c>
      <c r="O183" s="35">
        <f t="shared" si="17"/>
        <v>57475</v>
      </c>
      <c r="P183" s="33" t="s">
        <v>16</v>
      </c>
    </row>
    <row r="184" spans="1:16" x14ac:dyDescent="0.35">
      <c r="A184" s="33" t="str">
        <f t="shared" si="13"/>
        <v>2024 JAN-DEC DISC 75 LICENSE ESS</v>
      </c>
      <c r="B184" s="34">
        <f t="shared" si="14"/>
        <v>46104</v>
      </c>
      <c r="C184" s="34">
        <f t="shared" si="15"/>
        <v>46113</v>
      </c>
      <c r="D184" s="6">
        <v>3287</v>
      </c>
      <c r="E184" s="6">
        <v>338</v>
      </c>
      <c r="F184" s="6">
        <v>4</v>
      </c>
      <c r="G184" s="6">
        <v>2</v>
      </c>
      <c r="H184" s="6">
        <v>850</v>
      </c>
      <c r="I184" s="6" t="s">
        <v>17</v>
      </c>
      <c r="J184" s="6">
        <v>19483875</v>
      </c>
      <c r="K184" s="6" t="s">
        <v>1004</v>
      </c>
      <c r="L184" s="17" t="s">
        <v>1008</v>
      </c>
      <c r="M184" s="8">
        <v>229900</v>
      </c>
      <c r="N184" s="36">
        <f t="shared" si="16"/>
        <v>0.75</v>
      </c>
      <c r="O184" s="35">
        <f t="shared" si="17"/>
        <v>57475</v>
      </c>
      <c r="P184" s="33" t="s">
        <v>16</v>
      </c>
    </row>
    <row r="185" spans="1:16" x14ac:dyDescent="0.35">
      <c r="A185" s="33" t="str">
        <f t="shared" si="13"/>
        <v>2024 JAN-DEC DISC 75 LICENSE ESS</v>
      </c>
      <c r="B185" s="34">
        <f t="shared" si="14"/>
        <v>46104</v>
      </c>
      <c r="C185" s="34">
        <f t="shared" si="15"/>
        <v>46113</v>
      </c>
      <c r="D185" s="6">
        <v>3287</v>
      </c>
      <c r="E185" s="6">
        <v>338</v>
      </c>
      <c r="F185" s="6">
        <v>4</v>
      </c>
      <c r="G185" s="6">
        <v>2</v>
      </c>
      <c r="H185" s="6">
        <v>81676</v>
      </c>
      <c r="I185" s="6" t="s">
        <v>17</v>
      </c>
      <c r="J185" s="6">
        <v>19453602</v>
      </c>
      <c r="K185" s="6" t="s">
        <v>898</v>
      </c>
      <c r="L185" s="17" t="s">
        <v>1013</v>
      </c>
      <c r="M185" s="8">
        <v>229900</v>
      </c>
      <c r="N185" s="36">
        <f t="shared" si="16"/>
        <v>0.75</v>
      </c>
      <c r="O185" s="35">
        <f t="shared" si="17"/>
        <v>57475</v>
      </c>
      <c r="P185" s="33" t="s">
        <v>16</v>
      </c>
    </row>
    <row r="186" spans="1:16" x14ac:dyDescent="0.35">
      <c r="A186" s="33" t="str">
        <f t="shared" si="13"/>
        <v>2024 JAN-DEC DISC 75 LICENSE ESS</v>
      </c>
      <c r="B186" s="34">
        <f t="shared" si="14"/>
        <v>46104</v>
      </c>
      <c r="C186" s="34">
        <f t="shared" si="15"/>
        <v>46113</v>
      </c>
      <c r="D186" s="6">
        <v>3287</v>
      </c>
      <c r="E186" s="6">
        <v>338</v>
      </c>
      <c r="F186" s="6">
        <v>4</v>
      </c>
      <c r="G186" s="6">
        <v>2</v>
      </c>
      <c r="H186" s="6">
        <v>81676</v>
      </c>
      <c r="I186" s="6" t="s">
        <v>17</v>
      </c>
      <c r="J186" s="6">
        <v>19453620</v>
      </c>
      <c r="K186" s="6" t="s">
        <v>898</v>
      </c>
      <c r="L186" s="17" t="s">
        <v>1014</v>
      </c>
      <c r="M186" s="8">
        <v>229900</v>
      </c>
      <c r="N186" s="36">
        <f t="shared" si="16"/>
        <v>0.75</v>
      </c>
      <c r="O186" s="35">
        <f t="shared" si="17"/>
        <v>57475</v>
      </c>
      <c r="P186" s="33" t="s">
        <v>16</v>
      </c>
    </row>
    <row r="187" spans="1:16" x14ac:dyDescent="0.35">
      <c r="A187" s="33" t="str">
        <f t="shared" si="13"/>
        <v>2024 JAN-DEC DISC 75 LICENSE ESS</v>
      </c>
      <c r="B187" s="34">
        <f t="shared" si="14"/>
        <v>46104</v>
      </c>
      <c r="C187" s="34">
        <f t="shared" si="15"/>
        <v>46113</v>
      </c>
      <c r="D187" s="6">
        <v>3287</v>
      </c>
      <c r="E187" s="6">
        <v>338</v>
      </c>
      <c r="F187" s="6">
        <v>4</v>
      </c>
      <c r="G187" s="6">
        <v>2</v>
      </c>
      <c r="H187" s="6">
        <v>81676</v>
      </c>
      <c r="I187" s="6" t="s">
        <v>17</v>
      </c>
      <c r="J187" s="6">
        <v>19453666</v>
      </c>
      <c r="K187" s="6" t="s">
        <v>898</v>
      </c>
      <c r="L187" s="17" t="s">
        <v>1015</v>
      </c>
      <c r="M187" s="8">
        <v>229900</v>
      </c>
      <c r="N187" s="36">
        <f t="shared" si="16"/>
        <v>0.75</v>
      </c>
      <c r="O187" s="35">
        <f t="shared" si="17"/>
        <v>57475</v>
      </c>
      <c r="P187" s="33" t="s">
        <v>16</v>
      </c>
    </row>
    <row r="188" spans="1:16" x14ac:dyDescent="0.35">
      <c r="A188" s="33" t="str">
        <f t="shared" si="13"/>
        <v>2024 JAN-DEC DISC 75 LICENSE ESS</v>
      </c>
      <c r="B188" s="34">
        <f t="shared" si="14"/>
        <v>46104</v>
      </c>
      <c r="C188" s="34">
        <f t="shared" si="15"/>
        <v>46113</v>
      </c>
      <c r="D188" s="6">
        <v>3287</v>
      </c>
      <c r="E188" s="6">
        <v>338</v>
      </c>
      <c r="F188" s="6">
        <v>4</v>
      </c>
      <c r="G188" s="6">
        <v>2</v>
      </c>
      <c r="H188" s="6">
        <v>81676</v>
      </c>
      <c r="I188" s="6" t="s">
        <v>17</v>
      </c>
      <c r="J188" s="6">
        <v>19453675</v>
      </c>
      <c r="K188" s="6" t="s">
        <v>898</v>
      </c>
      <c r="L188" s="17" t="s">
        <v>1016</v>
      </c>
      <c r="M188" s="8">
        <v>229900</v>
      </c>
      <c r="N188" s="36">
        <f t="shared" si="16"/>
        <v>0.75</v>
      </c>
      <c r="O188" s="35">
        <f t="shared" si="17"/>
        <v>57475</v>
      </c>
      <c r="P188" s="33" t="s">
        <v>16</v>
      </c>
    </row>
    <row r="189" spans="1:16" x14ac:dyDescent="0.35">
      <c r="A189" s="33" t="str">
        <f t="shared" si="13"/>
        <v>2024 JAN-DEC DISC 75 LICENSE ESS</v>
      </c>
      <c r="B189" s="34">
        <f t="shared" si="14"/>
        <v>46104</v>
      </c>
      <c r="C189" s="34">
        <f t="shared" si="15"/>
        <v>46113</v>
      </c>
      <c r="D189" s="6">
        <v>3287</v>
      </c>
      <c r="E189" s="6">
        <v>338</v>
      </c>
      <c r="F189" s="6">
        <v>4</v>
      </c>
      <c r="G189" s="6">
        <v>2</v>
      </c>
      <c r="H189" s="6">
        <v>81676</v>
      </c>
      <c r="I189" s="6" t="s">
        <v>17</v>
      </c>
      <c r="J189" s="6">
        <v>19483731</v>
      </c>
      <c r="K189" s="6" t="s">
        <v>1017</v>
      </c>
      <c r="L189" s="17" t="s">
        <v>1018</v>
      </c>
      <c r="M189" s="8">
        <v>229900</v>
      </c>
      <c r="N189" s="36">
        <f t="shared" si="16"/>
        <v>0.75</v>
      </c>
      <c r="O189" s="35">
        <f t="shared" si="17"/>
        <v>57475</v>
      </c>
      <c r="P189" s="33" t="s">
        <v>16</v>
      </c>
    </row>
    <row r="190" spans="1:16" x14ac:dyDescent="0.35">
      <c r="A190" s="33" t="str">
        <f t="shared" si="13"/>
        <v>2024 JAN-DEC DISC 75 LICENSE ESS</v>
      </c>
      <c r="B190" s="34">
        <f t="shared" si="14"/>
        <v>46104</v>
      </c>
      <c r="C190" s="34">
        <f t="shared" si="15"/>
        <v>46113</v>
      </c>
      <c r="D190" s="6">
        <v>3287</v>
      </c>
      <c r="E190" s="6">
        <v>338</v>
      </c>
      <c r="F190" s="6">
        <v>4</v>
      </c>
      <c r="G190" s="6">
        <v>2</v>
      </c>
      <c r="H190" s="6">
        <v>81676</v>
      </c>
      <c r="I190" s="6" t="s">
        <v>17</v>
      </c>
      <c r="J190" s="6">
        <v>19483777</v>
      </c>
      <c r="K190" s="6" t="s">
        <v>1017</v>
      </c>
      <c r="L190" s="17" t="s">
        <v>1019</v>
      </c>
      <c r="M190" s="8">
        <v>229900</v>
      </c>
      <c r="N190" s="36">
        <f t="shared" si="16"/>
        <v>0.75</v>
      </c>
      <c r="O190" s="35">
        <f t="shared" si="17"/>
        <v>57475</v>
      </c>
      <c r="P190" s="33" t="s">
        <v>16</v>
      </c>
    </row>
    <row r="191" spans="1:16" x14ac:dyDescent="0.35">
      <c r="A191" s="33" t="str">
        <f t="shared" si="13"/>
        <v>2024 JAN-DEC DISC 75 LICENSE ESS</v>
      </c>
      <c r="B191" s="34">
        <f t="shared" si="14"/>
        <v>46104</v>
      </c>
      <c r="C191" s="34">
        <f t="shared" si="15"/>
        <v>46113</v>
      </c>
      <c r="D191" s="6">
        <v>3287</v>
      </c>
      <c r="E191" s="6">
        <v>338</v>
      </c>
      <c r="F191" s="6">
        <v>4</v>
      </c>
      <c r="G191" s="6">
        <v>2</v>
      </c>
      <c r="H191" s="6">
        <v>81676</v>
      </c>
      <c r="I191" s="6" t="s">
        <v>17</v>
      </c>
      <c r="J191" s="6">
        <v>19483820</v>
      </c>
      <c r="K191" s="6" t="s">
        <v>1017</v>
      </c>
      <c r="L191" s="17" t="s">
        <v>1020</v>
      </c>
      <c r="M191" s="8">
        <v>229900</v>
      </c>
      <c r="N191" s="36">
        <f t="shared" si="16"/>
        <v>0.75</v>
      </c>
      <c r="O191" s="35">
        <f t="shared" si="17"/>
        <v>57475</v>
      </c>
      <c r="P191" s="33" t="s">
        <v>16</v>
      </c>
    </row>
    <row r="192" spans="1:16" x14ac:dyDescent="0.35">
      <c r="A192" s="33" t="str">
        <f t="shared" si="13"/>
        <v>2024 JAN-DEC DISC 75 LICENSE ESS</v>
      </c>
      <c r="B192" s="34">
        <f t="shared" si="14"/>
        <v>46104</v>
      </c>
      <c r="C192" s="34">
        <f t="shared" si="15"/>
        <v>46113</v>
      </c>
      <c r="D192" s="6">
        <v>3287</v>
      </c>
      <c r="E192" s="6">
        <v>338</v>
      </c>
      <c r="F192" s="6">
        <v>4</v>
      </c>
      <c r="G192" s="6">
        <v>2</v>
      </c>
      <c r="H192" s="6">
        <v>81676</v>
      </c>
      <c r="I192" s="6" t="s">
        <v>17</v>
      </c>
      <c r="J192" s="6">
        <v>19483839</v>
      </c>
      <c r="K192" s="6" t="s">
        <v>1017</v>
      </c>
      <c r="L192" s="17" t="s">
        <v>1021</v>
      </c>
      <c r="M192" s="8">
        <v>229900</v>
      </c>
      <c r="N192" s="36">
        <f t="shared" si="16"/>
        <v>0.75</v>
      </c>
      <c r="O192" s="35">
        <f t="shared" si="17"/>
        <v>57475</v>
      </c>
      <c r="P192" s="33" t="s">
        <v>16</v>
      </c>
    </row>
    <row r="193" spans="1:16" x14ac:dyDescent="0.35">
      <c r="A193" s="33" t="str">
        <f t="shared" si="13"/>
        <v>2024 JAN-DEC DISC 75 LICENSE ESS</v>
      </c>
      <c r="B193" s="34">
        <f t="shared" si="14"/>
        <v>46104</v>
      </c>
      <c r="C193" s="34">
        <f t="shared" si="15"/>
        <v>46113</v>
      </c>
      <c r="D193" s="6">
        <v>3287</v>
      </c>
      <c r="E193" s="6">
        <v>338</v>
      </c>
      <c r="F193" s="6">
        <v>4</v>
      </c>
      <c r="G193" s="6">
        <v>2</v>
      </c>
      <c r="H193" s="6">
        <v>81676</v>
      </c>
      <c r="I193" s="6" t="s">
        <v>17</v>
      </c>
      <c r="J193" s="6">
        <v>22211983</v>
      </c>
      <c r="K193" s="6" t="s">
        <v>1137</v>
      </c>
      <c r="L193" s="17" t="s">
        <v>1138</v>
      </c>
      <c r="M193" s="8">
        <v>229900</v>
      </c>
      <c r="N193" s="36">
        <f t="shared" si="16"/>
        <v>0.75</v>
      </c>
      <c r="O193" s="35">
        <f t="shared" si="17"/>
        <v>57475</v>
      </c>
      <c r="P193" s="33" t="s">
        <v>16</v>
      </c>
    </row>
    <row r="194" spans="1:16" x14ac:dyDescent="0.35">
      <c r="A194" s="33" t="str">
        <f t="shared" si="13"/>
        <v>2024 JAN-DEC DISC 75 LICENSE ESS</v>
      </c>
      <c r="B194" s="34">
        <f t="shared" si="14"/>
        <v>46104</v>
      </c>
      <c r="C194" s="34">
        <f t="shared" si="15"/>
        <v>46113</v>
      </c>
      <c r="D194" s="6">
        <v>3287</v>
      </c>
      <c r="E194" s="6">
        <v>338</v>
      </c>
      <c r="F194" s="6">
        <v>4</v>
      </c>
      <c r="G194" s="6">
        <v>2</v>
      </c>
      <c r="H194" s="6">
        <v>81676</v>
      </c>
      <c r="I194" s="6" t="s">
        <v>17</v>
      </c>
      <c r="J194" s="6">
        <v>22212580</v>
      </c>
      <c r="K194" s="6" t="s">
        <v>1137</v>
      </c>
      <c r="L194" s="17" t="s">
        <v>1140</v>
      </c>
      <c r="M194" s="8">
        <v>229900</v>
      </c>
      <c r="N194" s="36">
        <f t="shared" si="16"/>
        <v>0.75</v>
      </c>
      <c r="O194" s="35">
        <f t="shared" si="17"/>
        <v>57475</v>
      </c>
      <c r="P194" s="33" t="s">
        <v>16</v>
      </c>
    </row>
    <row r="195" spans="1:16" x14ac:dyDescent="0.35">
      <c r="A195" s="33" t="str">
        <f t="shared" si="13"/>
        <v>2024 JAN-DEC DISC 75 LICENSE ESS</v>
      </c>
      <c r="B195" s="34">
        <f t="shared" si="14"/>
        <v>46104</v>
      </c>
      <c r="C195" s="34">
        <f t="shared" si="15"/>
        <v>46113</v>
      </c>
      <c r="D195" s="6">
        <v>3287</v>
      </c>
      <c r="E195" s="6">
        <v>338</v>
      </c>
      <c r="F195" s="6">
        <v>4</v>
      </c>
      <c r="G195" s="6">
        <v>2</v>
      </c>
      <c r="H195" s="6">
        <v>81676</v>
      </c>
      <c r="I195" s="6" t="s">
        <v>17</v>
      </c>
      <c r="J195" s="6">
        <v>22212599</v>
      </c>
      <c r="K195" s="6" t="s">
        <v>1137</v>
      </c>
      <c r="L195" s="17" t="s">
        <v>1141</v>
      </c>
      <c r="M195" s="8">
        <v>229900</v>
      </c>
      <c r="N195" s="36">
        <f t="shared" si="16"/>
        <v>0.75</v>
      </c>
      <c r="O195" s="35">
        <f t="shared" si="17"/>
        <v>57475</v>
      </c>
      <c r="P195" s="33" t="s">
        <v>16</v>
      </c>
    </row>
    <row r="196" spans="1:16" x14ac:dyDescent="0.35">
      <c r="A196" s="33" t="str">
        <f t="shared" si="13"/>
        <v>2024 JAN-DEC DISC 75 LICENSE ESS</v>
      </c>
      <c r="B196" s="34">
        <f t="shared" si="14"/>
        <v>46104</v>
      </c>
      <c r="C196" s="34">
        <f t="shared" si="15"/>
        <v>46113</v>
      </c>
      <c r="D196" s="6">
        <v>3287</v>
      </c>
      <c r="E196" s="6">
        <v>338</v>
      </c>
      <c r="F196" s="6">
        <v>4</v>
      </c>
      <c r="G196" s="6">
        <v>3</v>
      </c>
      <c r="H196" s="6">
        <v>81574</v>
      </c>
      <c r="I196" s="6" t="s">
        <v>17</v>
      </c>
      <c r="J196" s="6">
        <v>19447511</v>
      </c>
      <c r="K196" s="6" t="s">
        <v>1049</v>
      </c>
      <c r="L196" s="17" t="s">
        <v>1050</v>
      </c>
      <c r="M196" s="8">
        <v>119900</v>
      </c>
      <c r="N196" s="36">
        <f t="shared" si="16"/>
        <v>0.75</v>
      </c>
      <c r="O196" s="35">
        <f t="shared" si="17"/>
        <v>29975</v>
      </c>
      <c r="P196" s="33" t="s">
        <v>16</v>
      </c>
    </row>
    <row r="197" spans="1:16" x14ac:dyDescent="0.35">
      <c r="A197" s="33" t="str">
        <f t="shared" si="13"/>
        <v>2024 JAN-DEC DISC 75 LICENSE ESS</v>
      </c>
      <c r="B197" s="34">
        <f t="shared" si="14"/>
        <v>46104</v>
      </c>
      <c r="C197" s="34">
        <f t="shared" si="15"/>
        <v>46113</v>
      </c>
      <c r="D197" s="6">
        <v>3287</v>
      </c>
      <c r="E197" s="6">
        <v>338</v>
      </c>
      <c r="F197" s="6">
        <v>4</v>
      </c>
      <c r="G197" s="6">
        <v>3</v>
      </c>
      <c r="H197" s="6">
        <v>81574</v>
      </c>
      <c r="I197" s="6" t="s">
        <v>17</v>
      </c>
      <c r="J197" s="6">
        <v>19447520</v>
      </c>
      <c r="K197" s="6" t="s">
        <v>1049</v>
      </c>
      <c r="L197" s="17" t="s">
        <v>1051</v>
      </c>
      <c r="M197" s="8">
        <v>119900</v>
      </c>
      <c r="N197" s="36">
        <f t="shared" si="16"/>
        <v>0.75</v>
      </c>
      <c r="O197" s="35">
        <f t="shared" si="17"/>
        <v>29975</v>
      </c>
      <c r="P197" s="33" t="s">
        <v>16</v>
      </c>
    </row>
    <row r="198" spans="1:16" x14ac:dyDescent="0.35">
      <c r="A198" s="33" t="str">
        <f t="shared" ref="A198:C261" si="18">A197</f>
        <v>2024 JAN-DEC DISC 75 LICENSE ESS</v>
      </c>
      <c r="B198" s="34">
        <f t="shared" si="18"/>
        <v>46104</v>
      </c>
      <c r="C198" s="34">
        <f t="shared" si="18"/>
        <v>46113</v>
      </c>
      <c r="D198" s="6">
        <v>3287</v>
      </c>
      <c r="E198" s="6">
        <v>338</v>
      </c>
      <c r="F198" s="6">
        <v>4</v>
      </c>
      <c r="G198" s="6">
        <v>3</v>
      </c>
      <c r="H198" s="6">
        <v>81574</v>
      </c>
      <c r="I198" s="6" t="s">
        <v>17</v>
      </c>
      <c r="J198" s="6">
        <v>19447539</v>
      </c>
      <c r="K198" s="6" t="s">
        <v>1049</v>
      </c>
      <c r="L198" s="17" t="s">
        <v>1052</v>
      </c>
      <c r="M198" s="8">
        <v>119900</v>
      </c>
      <c r="N198" s="36">
        <f t="shared" si="16"/>
        <v>0.75</v>
      </c>
      <c r="O198" s="35">
        <f t="shared" si="17"/>
        <v>29975</v>
      </c>
      <c r="P198" s="33" t="s">
        <v>16</v>
      </c>
    </row>
    <row r="199" spans="1:16" x14ac:dyDescent="0.35">
      <c r="A199" s="33" t="str">
        <f t="shared" si="18"/>
        <v>2024 JAN-DEC DISC 75 LICENSE ESS</v>
      </c>
      <c r="B199" s="34">
        <f t="shared" si="18"/>
        <v>46104</v>
      </c>
      <c r="C199" s="34">
        <f t="shared" si="18"/>
        <v>46113</v>
      </c>
      <c r="D199" s="6">
        <v>3287</v>
      </c>
      <c r="E199" s="6">
        <v>338</v>
      </c>
      <c r="F199" s="6">
        <v>4</v>
      </c>
      <c r="G199" s="6">
        <v>3</v>
      </c>
      <c r="H199" s="6">
        <v>81574</v>
      </c>
      <c r="I199" s="6" t="s">
        <v>17</v>
      </c>
      <c r="J199" s="6">
        <v>19447548</v>
      </c>
      <c r="K199" s="6" t="s">
        <v>1049</v>
      </c>
      <c r="L199" s="17" t="s">
        <v>1053</v>
      </c>
      <c r="M199" s="8">
        <v>119900</v>
      </c>
      <c r="N199" s="36">
        <f t="shared" si="16"/>
        <v>0.75</v>
      </c>
      <c r="O199" s="35">
        <f t="shared" si="17"/>
        <v>29975</v>
      </c>
      <c r="P199" s="33" t="s">
        <v>16</v>
      </c>
    </row>
    <row r="200" spans="1:16" x14ac:dyDescent="0.35">
      <c r="A200" s="33" t="str">
        <f t="shared" si="18"/>
        <v>2024 JAN-DEC DISC 75 LICENSE ESS</v>
      </c>
      <c r="B200" s="34">
        <f t="shared" si="18"/>
        <v>46104</v>
      </c>
      <c r="C200" s="34">
        <f t="shared" si="18"/>
        <v>46113</v>
      </c>
      <c r="D200" s="6">
        <v>3287</v>
      </c>
      <c r="E200" s="6">
        <v>338</v>
      </c>
      <c r="F200" s="6">
        <v>4</v>
      </c>
      <c r="G200" s="6">
        <v>3</v>
      </c>
      <c r="H200" s="6">
        <v>81574</v>
      </c>
      <c r="I200" s="6" t="s">
        <v>17</v>
      </c>
      <c r="J200" s="6">
        <v>21615923</v>
      </c>
      <c r="K200" s="6" t="s">
        <v>1142</v>
      </c>
      <c r="L200" s="17" t="s">
        <v>1143</v>
      </c>
      <c r="M200" s="8">
        <v>119900</v>
      </c>
      <c r="N200" s="36">
        <f t="shared" si="16"/>
        <v>0.75</v>
      </c>
      <c r="O200" s="35">
        <f t="shared" si="17"/>
        <v>29975</v>
      </c>
      <c r="P200" s="33" t="s">
        <v>16</v>
      </c>
    </row>
    <row r="201" spans="1:16" x14ac:dyDescent="0.35">
      <c r="A201" s="33" t="str">
        <f t="shared" si="18"/>
        <v>2024 JAN-DEC DISC 75 LICENSE ESS</v>
      </c>
      <c r="B201" s="34">
        <f t="shared" si="18"/>
        <v>46104</v>
      </c>
      <c r="C201" s="34">
        <f t="shared" si="18"/>
        <v>46113</v>
      </c>
      <c r="D201" s="6">
        <v>3287</v>
      </c>
      <c r="E201" s="6">
        <v>338</v>
      </c>
      <c r="F201" s="6">
        <v>4</v>
      </c>
      <c r="G201" s="6">
        <v>3</v>
      </c>
      <c r="H201" s="6">
        <v>81574</v>
      </c>
      <c r="I201" s="6" t="s">
        <v>17</v>
      </c>
      <c r="J201" s="6">
        <v>21615932</v>
      </c>
      <c r="K201" s="6" t="s">
        <v>1142</v>
      </c>
      <c r="L201" s="17" t="s">
        <v>1144</v>
      </c>
      <c r="M201" s="8">
        <v>119900</v>
      </c>
      <c r="N201" s="36">
        <f t="shared" si="16"/>
        <v>0.75</v>
      </c>
      <c r="O201" s="35">
        <f t="shared" si="17"/>
        <v>29975</v>
      </c>
      <c r="P201" s="33" t="s">
        <v>16</v>
      </c>
    </row>
    <row r="202" spans="1:16" x14ac:dyDescent="0.35">
      <c r="A202" s="33" t="str">
        <f t="shared" si="18"/>
        <v>2024 JAN-DEC DISC 75 LICENSE ESS</v>
      </c>
      <c r="B202" s="34">
        <f t="shared" si="18"/>
        <v>46104</v>
      </c>
      <c r="C202" s="34">
        <f t="shared" si="18"/>
        <v>46113</v>
      </c>
      <c r="D202" s="6">
        <v>3287</v>
      </c>
      <c r="E202" s="6">
        <v>338</v>
      </c>
      <c r="F202" s="6">
        <v>4</v>
      </c>
      <c r="G202" s="6">
        <v>3</v>
      </c>
      <c r="H202" s="6">
        <v>81574</v>
      </c>
      <c r="I202" s="6" t="s">
        <v>17</v>
      </c>
      <c r="J202" s="6">
        <v>21615941</v>
      </c>
      <c r="K202" s="6" t="s">
        <v>1142</v>
      </c>
      <c r="L202" s="17" t="s">
        <v>1145</v>
      </c>
      <c r="M202" s="8">
        <v>119900</v>
      </c>
      <c r="N202" s="36">
        <f t="shared" si="16"/>
        <v>0.75</v>
      </c>
      <c r="O202" s="35">
        <f t="shared" si="17"/>
        <v>29975</v>
      </c>
      <c r="P202" s="33" t="s">
        <v>16</v>
      </c>
    </row>
    <row r="203" spans="1:16" x14ac:dyDescent="0.35">
      <c r="A203" s="33" t="str">
        <f t="shared" si="18"/>
        <v>2024 JAN-DEC DISC 75 LICENSE ESS</v>
      </c>
      <c r="B203" s="34">
        <f t="shared" si="18"/>
        <v>46104</v>
      </c>
      <c r="C203" s="34">
        <f t="shared" si="18"/>
        <v>46113</v>
      </c>
      <c r="D203" s="6">
        <v>3287</v>
      </c>
      <c r="E203" s="6">
        <v>338</v>
      </c>
      <c r="F203" s="6">
        <v>4</v>
      </c>
      <c r="G203" s="6">
        <v>7</v>
      </c>
      <c r="H203" s="6">
        <v>81595</v>
      </c>
      <c r="I203" s="6" t="s">
        <v>17</v>
      </c>
      <c r="J203" s="6">
        <v>19447477</v>
      </c>
      <c r="K203" s="6" t="s">
        <v>1036</v>
      </c>
      <c r="L203" s="17" t="s">
        <v>1037</v>
      </c>
      <c r="M203" s="8">
        <v>35900</v>
      </c>
      <c r="N203" s="36">
        <f t="shared" si="16"/>
        <v>0.75</v>
      </c>
      <c r="O203" s="35">
        <f t="shared" si="17"/>
        <v>8975</v>
      </c>
      <c r="P203" s="33" t="s">
        <v>16</v>
      </c>
    </row>
    <row r="204" spans="1:16" x14ac:dyDescent="0.35">
      <c r="A204" s="33" t="str">
        <f t="shared" si="18"/>
        <v>2024 JAN-DEC DISC 75 LICENSE ESS</v>
      </c>
      <c r="B204" s="34">
        <f t="shared" si="18"/>
        <v>46104</v>
      </c>
      <c r="C204" s="34">
        <f t="shared" si="18"/>
        <v>46113</v>
      </c>
      <c r="D204" s="6">
        <v>3287</v>
      </c>
      <c r="E204" s="6">
        <v>338</v>
      </c>
      <c r="F204" s="6">
        <v>4</v>
      </c>
      <c r="G204" s="6">
        <v>7</v>
      </c>
      <c r="H204" s="6">
        <v>81595</v>
      </c>
      <c r="I204" s="6" t="s">
        <v>17</v>
      </c>
      <c r="J204" s="6">
        <v>19447486</v>
      </c>
      <c r="K204" s="6" t="s">
        <v>1036</v>
      </c>
      <c r="L204" s="17" t="s">
        <v>1038</v>
      </c>
      <c r="M204" s="8">
        <v>35900</v>
      </c>
      <c r="N204" s="36">
        <f t="shared" si="16"/>
        <v>0.75</v>
      </c>
      <c r="O204" s="35">
        <f t="shared" si="17"/>
        <v>8975</v>
      </c>
      <c r="P204" s="33" t="s">
        <v>16</v>
      </c>
    </row>
    <row r="205" spans="1:16" x14ac:dyDescent="0.35">
      <c r="A205" s="33" t="str">
        <f t="shared" si="18"/>
        <v>2024 JAN-DEC DISC 75 LICENSE ESS</v>
      </c>
      <c r="B205" s="34">
        <f t="shared" si="18"/>
        <v>46104</v>
      </c>
      <c r="C205" s="34">
        <f t="shared" si="18"/>
        <v>46113</v>
      </c>
      <c r="D205" s="6">
        <v>3287</v>
      </c>
      <c r="E205" s="6">
        <v>338</v>
      </c>
      <c r="F205" s="6">
        <v>4</v>
      </c>
      <c r="G205" s="6">
        <v>7</v>
      </c>
      <c r="H205" s="6">
        <v>81595</v>
      </c>
      <c r="I205" s="6" t="s">
        <v>17</v>
      </c>
      <c r="J205" s="6">
        <v>19447495</v>
      </c>
      <c r="K205" s="6" t="s">
        <v>1039</v>
      </c>
      <c r="L205" s="17" t="s">
        <v>1040</v>
      </c>
      <c r="M205" s="8">
        <v>35900</v>
      </c>
      <c r="N205" s="36">
        <f t="shared" si="16"/>
        <v>0.75</v>
      </c>
      <c r="O205" s="35">
        <f t="shared" si="17"/>
        <v>8975</v>
      </c>
      <c r="P205" s="33" t="s">
        <v>16</v>
      </c>
    </row>
    <row r="206" spans="1:16" x14ac:dyDescent="0.35">
      <c r="A206" s="33" t="str">
        <f t="shared" si="18"/>
        <v>2024 JAN-DEC DISC 75 LICENSE ESS</v>
      </c>
      <c r="B206" s="34">
        <f t="shared" si="18"/>
        <v>46104</v>
      </c>
      <c r="C206" s="34">
        <f t="shared" si="18"/>
        <v>46113</v>
      </c>
      <c r="D206" s="6">
        <v>3287</v>
      </c>
      <c r="E206" s="6">
        <v>338</v>
      </c>
      <c r="F206" s="6">
        <v>4</v>
      </c>
      <c r="G206" s="6">
        <v>7</v>
      </c>
      <c r="H206" s="6">
        <v>81595</v>
      </c>
      <c r="I206" s="6" t="s">
        <v>17</v>
      </c>
      <c r="J206" s="6">
        <v>19447502</v>
      </c>
      <c r="K206" s="6" t="s">
        <v>1039</v>
      </c>
      <c r="L206" s="17" t="s">
        <v>1041</v>
      </c>
      <c r="M206" s="8">
        <v>35900</v>
      </c>
      <c r="N206" s="36">
        <f t="shared" si="16"/>
        <v>0.75</v>
      </c>
      <c r="O206" s="35">
        <f t="shared" si="17"/>
        <v>8975</v>
      </c>
      <c r="P206" s="33" t="s">
        <v>16</v>
      </c>
    </row>
    <row r="207" spans="1:16" x14ac:dyDescent="0.35">
      <c r="A207" s="33" t="str">
        <f t="shared" si="18"/>
        <v>2024 JAN-DEC DISC 75 LICENSE ESS</v>
      </c>
      <c r="B207" s="34">
        <f t="shared" si="18"/>
        <v>46104</v>
      </c>
      <c r="C207" s="34">
        <f t="shared" si="18"/>
        <v>46113</v>
      </c>
      <c r="D207" s="6">
        <v>3287</v>
      </c>
      <c r="E207" s="6">
        <v>338</v>
      </c>
      <c r="F207" s="6">
        <v>4</v>
      </c>
      <c r="G207" s="6">
        <v>7</v>
      </c>
      <c r="H207" s="6">
        <v>81595</v>
      </c>
      <c r="I207" s="6" t="s">
        <v>17</v>
      </c>
      <c r="J207" s="6">
        <v>19453540</v>
      </c>
      <c r="K207" s="6" t="s">
        <v>998</v>
      </c>
      <c r="L207" s="17" t="s">
        <v>999</v>
      </c>
      <c r="M207" s="8">
        <v>35900</v>
      </c>
      <c r="N207" s="36">
        <f t="shared" si="16"/>
        <v>0.75</v>
      </c>
      <c r="O207" s="35">
        <f t="shared" si="17"/>
        <v>8975</v>
      </c>
      <c r="P207" s="33" t="s">
        <v>16</v>
      </c>
    </row>
    <row r="208" spans="1:16" x14ac:dyDescent="0.35">
      <c r="A208" s="33" t="str">
        <f t="shared" si="18"/>
        <v>2024 JAN-DEC DISC 75 LICENSE ESS</v>
      </c>
      <c r="B208" s="34">
        <f t="shared" si="18"/>
        <v>46104</v>
      </c>
      <c r="C208" s="34">
        <f t="shared" si="18"/>
        <v>46113</v>
      </c>
      <c r="D208" s="6">
        <v>3287</v>
      </c>
      <c r="E208" s="6">
        <v>338</v>
      </c>
      <c r="F208" s="6">
        <v>4</v>
      </c>
      <c r="G208" s="6">
        <v>7</v>
      </c>
      <c r="H208" s="6">
        <v>81595</v>
      </c>
      <c r="I208" s="6" t="s">
        <v>17</v>
      </c>
      <c r="J208" s="6">
        <v>19453577</v>
      </c>
      <c r="K208" s="6" t="s">
        <v>998</v>
      </c>
      <c r="L208" s="17" t="s">
        <v>1000</v>
      </c>
      <c r="M208" s="8">
        <v>35900</v>
      </c>
      <c r="N208" s="36">
        <f t="shared" si="16"/>
        <v>0.75</v>
      </c>
      <c r="O208" s="35">
        <f t="shared" si="17"/>
        <v>8975</v>
      </c>
      <c r="P208" s="33" t="s">
        <v>16</v>
      </c>
    </row>
    <row r="209" spans="1:16" x14ac:dyDescent="0.35">
      <c r="A209" s="33" t="str">
        <f t="shared" si="18"/>
        <v>2024 JAN-DEC DISC 75 LICENSE ESS</v>
      </c>
      <c r="B209" s="34">
        <f t="shared" si="18"/>
        <v>46104</v>
      </c>
      <c r="C209" s="34">
        <f t="shared" si="18"/>
        <v>46113</v>
      </c>
      <c r="D209" s="6">
        <v>3287</v>
      </c>
      <c r="E209" s="6">
        <v>338</v>
      </c>
      <c r="F209" s="6">
        <v>4</v>
      </c>
      <c r="G209" s="6">
        <v>7</v>
      </c>
      <c r="H209" s="6">
        <v>81595</v>
      </c>
      <c r="I209" s="6" t="s">
        <v>17</v>
      </c>
      <c r="J209" s="6">
        <v>19453586</v>
      </c>
      <c r="K209" s="6" t="s">
        <v>1001</v>
      </c>
      <c r="L209" s="17" t="s">
        <v>1002</v>
      </c>
      <c r="M209" s="8">
        <v>35900</v>
      </c>
      <c r="N209" s="36">
        <f t="shared" si="16"/>
        <v>0.75</v>
      </c>
      <c r="O209" s="35">
        <f t="shared" si="17"/>
        <v>8975</v>
      </c>
      <c r="P209" s="33" t="s">
        <v>16</v>
      </c>
    </row>
    <row r="210" spans="1:16" x14ac:dyDescent="0.35">
      <c r="A210" s="33" t="str">
        <f t="shared" si="18"/>
        <v>2024 JAN-DEC DISC 75 LICENSE ESS</v>
      </c>
      <c r="B210" s="34">
        <f t="shared" si="18"/>
        <v>46104</v>
      </c>
      <c r="C210" s="34">
        <f t="shared" si="18"/>
        <v>46113</v>
      </c>
      <c r="D210" s="6">
        <v>3287</v>
      </c>
      <c r="E210" s="6">
        <v>338</v>
      </c>
      <c r="F210" s="6">
        <v>4</v>
      </c>
      <c r="G210" s="6">
        <v>7</v>
      </c>
      <c r="H210" s="6">
        <v>81595</v>
      </c>
      <c r="I210" s="6" t="s">
        <v>17</v>
      </c>
      <c r="J210" s="6">
        <v>19453595</v>
      </c>
      <c r="K210" s="6" t="s">
        <v>1001</v>
      </c>
      <c r="L210" s="17" t="s">
        <v>1003</v>
      </c>
      <c r="M210" s="8">
        <v>35900</v>
      </c>
      <c r="N210" s="36">
        <f t="shared" si="16"/>
        <v>0.75</v>
      </c>
      <c r="O210" s="35">
        <f t="shared" si="17"/>
        <v>8975</v>
      </c>
      <c r="P210" s="33" t="s">
        <v>16</v>
      </c>
    </row>
    <row r="211" spans="1:16" x14ac:dyDescent="0.35">
      <c r="A211" s="33" t="str">
        <f t="shared" si="18"/>
        <v>2024 JAN-DEC DISC 75 LICENSE ESS</v>
      </c>
      <c r="B211" s="34">
        <f t="shared" si="18"/>
        <v>46104</v>
      </c>
      <c r="C211" s="34">
        <f t="shared" si="18"/>
        <v>46113</v>
      </c>
      <c r="D211" s="6">
        <v>3287</v>
      </c>
      <c r="E211" s="6">
        <v>338</v>
      </c>
      <c r="F211" s="6">
        <v>4</v>
      </c>
      <c r="G211" s="6">
        <v>7</v>
      </c>
      <c r="H211" s="6">
        <v>81595</v>
      </c>
      <c r="I211" s="6" t="s">
        <v>17</v>
      </c>
      <c r="J211" s="6">
        <v>21615889</v>
      </c>
      <c r="K211" s="6" t="s">
        <v>1147</v>
      </c>
      <c r="L211" s="17" t="s">
        <v>1148</v>
      </c>
      <c r="M211" s="8">
        <v>35900</v>
      </c>
      <c r="N211" s="36">
        <f t="shared" si="16"/>
        <v>0.75</v>
      </c>
      <c r="O211" s="35">
        <f t="shared" si="17"/>
        <v>8975</v>
      </c>
      <c r="P211" s="33" t="s">
        <v>16</v>
      </c>
    </row>
    <row r="212" spans="1:16" x14ac:dyDescent="0.35">
      <c r="A212" s="33" t="str">
        <f t="shared" si="18"/>
        <v>2024 JAN-DEC DISC 75 LICENSE ESS</v>
      </c>
      <c r="B212" s="34">
        <f t="shared" si="18"/>
        <v>46104</v>
      </c>
      <c r="C212" s="34">
        <f t="shared" si="18"/>
        <v>46113</v>
      </c>
      <c r="D212" s="6">
        <v>3287</v>
      </c>
      <c r="E212" s="6">
        <v>338</v>
      </c>
      <c r="F212" s="6">
        <v>4</v>
      </c>
      <c r="G212" s="6">
        <v>7</v>
      </c>
      <c r="H212" s="6">
        <v>81595</v>
      </c>
      <c r="I212" s="6" t="s">
        <v>17</v>
      </c>
      <c r="J212" s="6">
        <v>21615905</v>
      </c>
      <c r="K212" s="6" t="s">
        <v>1150</v>
      </c>
      <c r="L212" s="17" t="s">
        <v>1151</v>
      </c>
      <c r="M212" s="8">
        <v>35900</v>
      </c>
      <c r="N212" s="36">
        <f t="shared" si="16"/>
        <v>0.75</v>
      </c>
      <c r="O212" s="35">
        <f t="shared" si="17"/>
        <v>8975</v>
      </c>
      <c r="P212" s="33" t="s">
        <v>16</v>
      </c>
    </row>
    <row r="213" spans="1:16" x14ac:dyDescent="0.35">
      <c r="A213" s="33" t="str">
        <f t="shared" si="18"/>
        <v>2024 JAN-DEC DISC 75 LICENSE ESS</v>
      </c>
      <c r="B213" s="34">
        <f t="shared" si="18"/>
        <v>46104</v>
      </c>
      <c r="C213" s="34">
        <f t="shared" si="18"/>
        <v>46113</v>
      </c>
      <c r="D213" s="6">
        <v>3287</v>
      </c>
      <c r="E213" s="6">
        <v>338</v>
      </c>
      <c r="F213" s="6">
        <v>4</v>
      </c>
      <c r="G213" s="6">
        <v>7</v>
      </c>
      <c r="H213" s="6">
        <v>81595</v>
      </c>
      <c r="I213" s="6" t="s">
        <v>17</v>
      </c>
      <c r="J213" s="6">
        <v>22212606</v>
      </c>
      <c r="K213" s="6" t="s">
        <v>1134</v>
      </c>
      <c r="L213" s="17" t="s">
        <v>1135</v>
      </c>
      <c r="M213" s="8">
        <v>35900</v>
      </c>
      <c r="N213" s="36">
        <f t="shared" si="16"/>
        <v>0.75</v>
      </c>
      <c r="O213" s="35">
        <f t="shared" si="17"/>
        <v>8975</v>
      </c>
      <c r="P213" s="33" t="s">
        <v>16</v>
      </c>
    </row>
    <row r="214" spans="1:16" x14ac:dyDescent="0.35">
      <c r="A214" s="33" t="str">
        <f t="shared" si="18"/>
        <v>2024 JAN-DEC DISC 75 LICENSE ESS</v>
      </c>
      <c r="B214" s="34">
        <f t="shared" si="18"/>
        <v>46104</v>
      </c>
      <c r="C214" s="34">
        <f t="shared" si="18"/>
        <v>46113</v>
      </c>
      <c r="D214" s="6">
        <v>3287</v>
      </c>
      <c r="E214" s="6">
        <v>338</v>
      </c>
      <c r="F214" s="6">
        <v>4</v>
      </c>
      <c r="G214" s="6">
        <v>8</v>
      </c>
      <c r="H214" s="6">
        <v>81462</v>
      </c>
      <c r="I214" s="6" t="s">
        <v>17</v>
      </c>
      <c r="J214" s="6">
        <v>22250333</v>
      </c>
      <c r="K214" s="6" t="s">
        <v>2287</v>
      </c>
      <c r="L214" s="17" t="s">
        <v>2288</v>
      </c>
      <c r="M214" s="8">
        <v>119900</v>
      </c>
      <c r="N214" s="36">
        <f t="shared" si="16"/>
        <v>0.75</v>
      </c>
      <c r="O214" s="35">
        <f t="shared" si="17"/>
        <v>29975</v>
      </c>
      <c r="P214" s="33" t="s">
        <v>16</v>
      </c>
    </row>
    <row r="215" spans="1:16" x14ac:dyDescent="0.35">
      <c r="A215" s="33" t="str">
        <f t="shared" si="18"/>
        <v>2024 JAN-DEC DISC 75 LICENSE ESS</v>
      </c>
      <c r="B215" s="34">
        <f t="shared" si="18"/>
        <v>46104</v>
      </c>
      <c r="C215" s="34">
        <f t="shared" si="18"/>
        <v>46113</v>
      </c>
      <c r="D215" s="6">
        <v>3287</v>
      </c>
      <c r="E215" s="6">
        <v>338</v>
      </c>
      <c r="F215" s="6">
        <v>4</v>
      </c>
      <c r="G215" s="6">
        <v>8</v>
      </c>
      <c r="H215" s="6">
        <v>81462</v>
      </c>
      <c r="I215" s="6" t="s">
        <v>17</v>
      </c>
      <c r="J215" s="6">
        <v>22250388</v>
      </c>
      <c r="K215" s="6" t="s">
        <v>2287</v>
      </c>
      <c r="L215" s="17" t="s">
        <v>2289</v>
      </c>
      <c r="M215" s="8">
        <v>119900</v>
      </c>
      <c r="N215" s="36">
        <f t="shared" si="16"/>
        <v>0.75</v>
      </c>
      <c r="O215" s="35">
        <f t="shared" si="17"/>
        <v>29975</v>
      </c>
      <c r="P215" s="33" t="s">
        <v>16</v>
      </c>
    </row>
    <row r="216" spans="1:16" x14ac:dyDescent="0.35">
      <c r="A216" s="33" t="str">
        <f t="shared" si="18"/>
        <v>2024 JAN-DEC DISC 75 LICENSE ESS</v>
      </c>
      <c r="B216" s="34">
        <f t="shared" si="18"/>
        <v>46104</v>
      </c>
      <c r="C216" s="34">
        <f t="shared" si="18"/>
        <v>46113</v>
      </c>
      <c r="D216" s="6">
        <v>3287</v>
      </c>
      <c r="E216" s="6">
        <v>338</v>
      </c>
      <c r="F216" s="6">
        <v>4</v>
      </c>
      <c r="G216" s="6">
        <v>8</v>
      </c>
      <c r="H216" s="6">
        <v>81462</v>
      </c>
      <c r="I216" s="6" t="s">
        <v>17</v>
      </c>
      <c r="J216" s="6">
        <v>22250397</v>
      </c>
      <c r="K216" s="6" t="s">
        <v>2287</v>
      </c>
      <c r="L216" s="17" t="s">
        <v>2290</v>
      </c>
      <c r="M216" s="8">
        <v>119900</v>
      </c>
      <c r="N216" s="36">
        <f t="shared" si="16"/>
        <v>0.75</v>
      </c>
      <c r="O216" s="35">
        <f t="shared" si="17"/>
        <v>29975</v>
      </c>
      <c r="P216" s="33" t="s">
        <v>16</v>
      </c>
    </row>
    <row r="217" spans="1:16" x14ac:dyDescent="0.35">
      <c r="A217" s="33" t="str">
        <f t="shared" si="18"/>
        <v>2024 JAN-DEC DISC 75 LICENSE ESS</v>
      </c>
      <c r="B217" s="34">
        <f t="shared" si="18"/>
        <v>46104</v>
      </c>
      <c r="C217" s="34">
        <f t="shared" si="18"/>
        <v>46113</v>
      </c>
      <c r="D217" s="6">
        <v>3287</v>
      </c>
      <c r="E217" s="6">
        <v>338</v>
      </c>
      <c r="F217" s="6">
        <v>4</v>
      </c>
      <c r="G217" s="6">
        <v>8</v>
      </c>
      <c r="H217" s="6">
        <v>81462</v>
      </c>
      <c r="I217" s="6" t="s">
        <v>17</v>
      </c>
      <c r="J217" s="6">
        <v>22250413</v>
      </c>
      <c r="K217" s="6" t="s">
        <v>2287</v>
      </c>
      <c r="L217" s="17" t="s">
        <v>2291</v>
      </c>
      <c r="M217" s="8">
        <v>119900</v>
      </c>
      <c r="N217" s="36">
        <f t="shared" si="16"/>
        <v>0.75</v>
      </c>
      <c r="O217" s="35">
        <f t="shared" si="17"/>
        <v>29975</v>
      </c>
      <c r="P217" s="33" t="s">
        <v>16</v>
      </c>
    </row>
    <row r="218" spans="1:16" x14ac:dyDescent="0.35">
      <c r="A218" s="33" t="str">
        <f t="shared" si="18"/>
        <v>2024 JAN-DEC DISC 75 LICENSE ESS</v>
      </c>
      <c r="B218" s="34">
        <f t="shared" si="18"/>
        <v>46104</v>
      </c>
      <c r="C218" s="34">
        <f t="shared" si="18"/>
        <v>46113</v>
      </c>
      <c r="D218" s="6">
        <v>3287</v>
      </c>
      <c r="E218" s="6">
        <v>338</v>
      </c>
      <c r="F218" s="6">
        <v>4</v>
      </c>
      <c r="G218" s="6">
        <v>2</v>
      </c>
      <c r="H218" s="6">
        <v>81676</v>
      </c>
      <c r="I218" s="6" t="s">
        <v>17</v>
      </c>
      <c r="J218" s="6">
        <v>22212571</v>
      </c>
      <c r="K218" s="6" t="s">
        <v>1137</v>
      </c>
      <c r="L218" s="17" t="s">
        <v>1139</v>
      </c>
      <c r="M218" s="8">
        <v>229900</v>
      </c>
      <c r="N218" s="36">
        <f t="shared" si="16"/>
        <v>0.75</v>
      </c>
      <c r="O218" s="35">
        <f t="shared" si="17"/>
        <v>57475</v>
      </c>
      <c r="P218" s="33" t="s">
        <v>16</v>
      </c>
    </row>
    <row r="219" spans="1:16" x14ac:dyDescent="0.35">
      <c r="A219" s="33" t="str">
        <f t="shared" si="18"/>
        <v>2024 JAN-DEC DISC 75 LICENSE ESS</v>
      </c>
      <c r="B219" s="34">
        <f t="shared" si="18"/>
        <v>46104</v>
      </c>
      <c r="C219" s="34">
        <f t="shared" si="18"/>
        <v>46113</v>
      </c>
      <c r="D219" s="6">
        <v>3287</v>
      </c>
      <c r="E219" s="6">
        <v>338</v>
      </c>
      <c r="F219" s="6">
        <v>4</v>
      </c>
      <c r="G219" s="6">
        <v>7</v>
      </c>
      <c r="H219" s="6">
        <v>81595</v>
      </c>
      <c r="I219" s="6" t="s">
        <v>17</v>
      </c>
      <c r="J219" s="6">
        <v>21615898</v>
      </c>
      <c r="K219" s="6" t="s">
        <v>1147</v>
      </c>
      <c r="L219" s="17" t="s">
        <v>1149</v>
      </c>
      <c r="M219" s="8">
        <v>35900</v>
      </c>
      <c r="N219" s="36">
        <f t="shared" si="16"/>
        <v>0.75</v>
      </c>
      <c r="O219" s="35">
        <f t="shared" si="17"/>
        <v>8975</v>
      </c>
      <c r="P219" s="33" t="s">
        <v>16</v>
      </c>
    </row>
    <row r="220" spans="1:16" x14ac:dyDescent="0.35">
      <c r="A220" s="33" t="str">
        <f t="shared" si="18"/>
        <v>2024 JAN-DEC DISC 75 LICENSE ESS</v>
      </c>
      <c r="B220" s="34">
        <f t="shared" si="18"/>
        <v>46104</v>
      </c>
      <c r="C220" s="34">
        <f t="shared" si="18"/>
        <v>46113</v>
      </c>
      <c r="D220" s="6">
        <v>3287</v>
      </c>
      <c r="E220" s="6">
        <v>338</v>
      </c>
      <c r="F220" s="6">
        <v>4</v>
      </c>
      <c r="G220" s="6">
        <v>7</v>
      </c>
      <c r="H220" s="6">
        <v>81595</v>
      </c>
      <c r="I220" s="6" t="s">
        <v>17</v>
      </c>
      <c r="J220" s="6">
        <v>21615914</v>
      </c>
      <c r="K220" s="6" t="s">
        <v>1150</v>
      </c>
      <c r="L220" s="17" t="s">
        <v>1152</v>
      </c>
      <c r="M220" s="8">
        <v>35900</v>
      </c>
      <c r="N220" s="36">
        <f t="shared" si="16"/>
        <v>0.75</v>
      </c>
      <c r="O220" s="35">
        <f t="shared" si="17"/>
        <v>8975</v>
      </c>
      <c r="P220" s="33" t="s">
        <v>16</v>
      </c>
    </row>
    <row r="221" spans="1:16" x14ac:dyDescent="0.35">
      <c r="A221" s="33" t="str">
        <f t="shared" si="18"/>
        <v>2024 JAN-DEC DISC 75 LICENSE ESS</v>
      </c>
      <c r="B221" s="34">
        <f t="shared" si="18"/>
        <v>46104</v>
      </c>
      <c r="C221" s="34">
        <f t="shared" si="18"/>
        <v>46113</v>
      </c>
      <c r="D221" s="6">
        <v>3287</v>
      </c>
      <c r="E221" s="6">
        <v>338</v>
      </c>
      <c r="F221" s="6">
        <v>4</v>
      </c>
      <c r="G221" s="6">
        <v>7</v>
      </c>
      <c r="H221" s="6">
        <v>81595</v>
      </c>
      <c r="I221" s="6" t="s">
        <v>17</v>
      </c>
      <c r="J221" s="6">
        <v>22212679</v>
      </c>
      <c r="K221" s="6" t="s">
        <v>1134</v>
      </c>
      <c r="L221" s="17" t="s">
        <v>1136</v>
      </c>
      <c r="M221" s="8">
        <v>35900</v>
      </c>
      <c r="N221" s="36">
        <f t="shared" si="16"/>
        <v>0.75</v>
      </c>
      <c r="O221" s="35">
        <f t="shared" si="17"/>
        <v>8975</v>
      </c>
      <c r="P221" s="33" t="s">
        <v>16</v>
      </c>
    </row>
    <row r="222" spans="1:16" x14ac:dyDescent="0.35">
      <c r="A222" s="33" t="str">
        <f t="shared" si="18"/>
        <v>2024 JAN-DEC DISC 75 LICENSE ESS</v>
      </c>
      <c r="B222" s="34">
        <f t="shared" si="18"/>
        <v>46104</v>
      </c>
      <c r="C222" s="34">
        <f t="shared" si="18"/>
        <v>46113</v>
      </c>
      <c r="D222" s="6">
        <v>3287</v>
      </c>
      <c r="E222" s="6">
        <v>338</v>
      </c>
      <c r="F222" s="6">
        <v>4</v>
      </c>
      <c r="G222" s="6">
        <v>7</v>
      </c>
      <c r="H222" s="6">
        <v>81595</v>
      </c>
      <c r="I222" s="6" t="s">
        <v>17</v>
      </c>
      <c r="J222" s="6">
        <v>18549298</v>
      </c>
      <c r="K222" s="6" t="s">
        <v>1257</v>
      </c>
      <c r="L222" s="17" t="s">
        <v>1258</v>
      </c>
      <c r="M222" s="8">
        <v>35900</v>
      </c>
      <c r="N222" s="36">
        <f t="shared" si="16"/>
        <v>0.75</v>
      </c>
      <c r="O222" s="35">
        <f t="shared" si="17"/>
        <v>8975</v>
      </c>
      <c r="P222" s="33" t="s">
        <v>16</v>
      </c>
    </row>
    <row r="223" spans="1:16" x14ac:dyDescent="0.35">
      <c r="A223" s="33" t="str">
        <f t="shared" si="18"/>
        <v>2024 JAN-DEC DISC 75 LICENSE ESS</v>
      </c>
      <c r="B223" s="34">
        <f t="shared" si="18"/>
        <v>46104</v>
      </c>
      <c r="C223" s="34">
        <f t="shared" si="18"/>
        <v>46113</v>
      </c>
      <c r="D223" s="6">
        <v>3287</v>
      </c>
      <c r="E223" s="6">
        <v>338</v>
      </c>
      <c r="F223" s="6">
        <v>4</v>
      </c>
      <c r="G223" s="6">
        <v>7</v>
      </c>
      <c r="H223" s="6">
        <v>81595</v>
      </c>
      <c r="I223" s="6" t="s">
        <v>17</v>
      </c>
      <c r="J223" s="6">
        <v>18549314</v>
      </c>
      <c r="K223" s="6" t="s">
        <v>1257</v>
      </c>
      <c r="L223" s="17" t="s">
        <v>1259</v>
      </c>
      <c r="M223" s="8">
        <v>35900</v>
      </c>
      <c r="N223" s="36">
        <f t="shared" si="16"/>
        <v>0.75</v>
      </c>
      <c r="O223" s="35">
        <f t="shared" si="17"/>
        <v>8975</v>
      </c>
      <c r="P223" s="33" t="s">
        <v>16</v>
      </c>
    </row>
    <row r="224" spans="1:16" x14ac:dyDescent="0.35">
      <c r="A224" s="33" t="str">
        <f t="shared" si="18"/>
        <v>2024 JAN-DEC DISC 75 LICENSE ESS</v>
      </c>
      <c r="B224" s="34">
        <f t="shared" si="18"/>
        <v>46104</v>
      </c>
      <c r="C224" s="34">
        <f t="shared" si="18"/>
        <v>46113</v>
      </c>
      <c r="D224" s="6">
        <v>3287</v>
      </c>
      <c r="E224" s="6">
        <v>338</v>
      </c>
      <c r="F224" s="6">
        <v>4</v>
      </c>
      <c r="G224" s="6">
        <v>7</v>
      </c>
      <c r="H224" s="6">
        <v>81595</v>
      </c>
      <c r="I224" s="6" t="s">
        <v>17</v>
      </c>
      <c r="J224" s="6">
        <v>23107577</v>
      </c>
      <c r="K224" s="6" t="s">
        <v>1254</v>
      </c>
      <c r="L224" s="17" t="s">
        <v>1255</v>
      </c>
      <c r="M224" s="8">
        <v>35900</v>
      </c>
      <c r="N224" s="36">
        <f t="shared" si="16"/>
        <v>0.75</v>
      </c>
      <c r="O224" s="35">
        <f t="shared" si="17"/>
        <v>8975</v>
      </c>
      <c r="P224" s="33" t="s">
        <v>16</v>
      </c>
    </row>
    <row r="225" spans="1:16" x14ac:dyDescent="0.35">
      <c r="A225" s="33" t="str">
        <f t="shared" si="18"/>
        <v>2024 JAN-DEC DISC 75 LICENSE ESS</v>
      </c>
      <c r="B225" s="34">
        <f t="shared" si="18"/>
        <v>46104</v>
      </c>
      <c r="C225" s="34">
        <f t="shared" si="18"/>
        <v>46113</v>
      </c>
      <c r="D225" s="6">
        <v>3287</v>
      </c>
      <c r="E225" s="6">
        <v>338</v>
      </c>
      <c r="F225" s="6">
        <v>4</v>
      </c>
      <c r="G225" s="6">
        <v>7</v>
      </c>
      <c r="H225" s="6">
        <v>81595</v>
      </c>
      <c r="I225" s="6" t="s">
        <v>17</v>
      </c>
      <c r="J225" s="6">
        <v>23107586</v>
      </c>
      <c r="K225" s="6" t="s">
        <v>1254</v>
      </c>
      <c r="L225" s="17" t="s">
        <v>1256</v>
      </c>
      <c r="M225" s="8">
        <v>35900</v>
      </c>
      <c r="N225" s="36">
        <f t="shared" si="16"/>
        <v>0.75</v>
      </c>
      <c r="O225" s="35">
        <f t="shared" si="17"/>
        <v>8975</v>
      </c>
      <c r="P225" s="33" t="s">
        <v>16</v>
      </c>
    </row>
    <row r="226" spans="1:16" x14ac:dyDescent="0.35">
      <c r="A226" s="33" t="str">
        <f t="shared" si="18"/>
        <v>2024 JAN-DEC DISC 75 LICENSE ESS</v>
      </c>
      <c r="B226" s="34">
        <f t="shared" si="18"/>
        <v>46104</v>
      </c>
      <c r="C226" s="34">
        <f t="shared" si="18"/>
        <v>46113</v>
      </c>
      <c r="D226" s="6">
        <v>3287</v>
      </c>
      <c r="E226" s="6">
        <v>338</v>
      </c>
      <c r="F226" s="6">
        <v>4</v>
      </c>
      <c r="G226" s="6">
        <v>1</v>
      </c>
      <c r="H226" s="6">
        <v>81574</v>
      </c>
      <c r="I226" s="6" t="s">
        <v>17</v>
      </c>
      <c r="J226" s="6">
        <v>23107415</v>
      </c>
      <c r="K226" s="6" t="s">
        <v>1244</v>
      </c>
      <c r="L226" s="17" t="s">
        <v>1245</v>
      </c>
      <c r="M226" s="8">
        <v>119900</v>
      </c>
      <c r="N226" s="36">
        <f t="shared" si="16"/>
        <v>0.75</v>
      </c>
      <c r="O226" s="35">
        <f t="shared" si="17"/>
        <v>29975</v>
      </c>
      <c r="P226" s="33" t="s">
        <v>16</v>
      </c>
    </row>
    <row r="227" spans="1:16" x14ac:dyDescent="0.35">
      <c r="A227" s="33" t="str">
        <f t="shared" si="18"/>
        <v>2024 JAN-DEC DISC 75 LICENSE ESS</v>
      </c>
      <c r="B227" s="34">
        <f t="shared" si="18"/>
        <v>46104</v>
      </c>
      <c r="C227" s="34">
        <f t="shared" si="18"/>
        <v>46113</v>
      </c>
      <c r="D227" s="6">
        <v>3287</v>
      </c>
      <c r="E227" s="6">
        <v>338</v>
      </c>
      <c r="F227" s="6">
        <v>4</v>
      </c>
      <c r="G227" s="6">
        <v>1</v>
      </c>
      <c r="H227" s="6">
        <v>81574</v>
      </c>
      <c r="I227" s="6" t="s">
        <v>17</v>
      </c>
      <c r="J227" s="6">
        <v>23107424</v>
      </c>
      <c r="K227" s="6" t="s">
        <v>1244</v>
      </c>
      <c r="L227" s="17" t="s">
        <v>1246</v>
      </c>
      <c r="M227" s="8">
        <v>119900</v>
      </c>
      <c r="N227" s="36">
        <f t="shared" si="16"/>
        <v>0.75</v>
      </c>
      <c r="O227" s="35">
        <f t="shared" si="17"/>
        <v>29975</v>
      </c>
      <c r="P227" s="33" t="s">
        <v>16</v>
      </c>
    </row>
    <row r="228" spans="1:16" x14ac:dyDescent="0.35">
      <c r="A228" s="33" t="str">
        <f t="shared" si="18"/>
        <v>2024 JAN-DEC DISC 75 LICENSE ESS</v>
      </c>
      <c r="B228" s="34">
        <f t="shared" si="18"/>
        <v>46104</v>
      </c>
      <c r="C228" s="34">
        <f t="shared" si="18"/>
        <v>46113</v>
      </c>
      <c r="D228" s="6">
        <v>3287</v>
      </c>
      <c r="E228" s="6">
        <v>338</v>
      </c>
      <c r="F228" s="6">
        <v>4</v>
      </c>
      <c r="G228" s="6">
        <v>1</v>
      </c>
      <c r="H228" s="6">
        <v>81574</v>
      </c>
      <c r="I228" s="6" t="s">
        <v>17</v>
      </c>
      <c r="J228" s="6">
        <v>23107433</v>
      </c>
      <c r="K228" s="6" t="s">
        <v>1244</v>
      </c>
      <c r="L228" s="17" t="s">
        <v>1247</v>
      </c>
      <c r="M228" s="8">
        <v>119900</v>
      </c>
      <c r="N228" s="36">
        <f t="shared" si="16"/>
        <v>0.75</v>
      </c>
      <c r="O228" s="35">
        <f t="shared" si="17"/>
        <v>29975</v>
      </c>
      <c r="P228" s="33" t="s">
        <v>16</v>
      </c>
    </row>
    <row r="229" spans="1:16" x14ac:dyDescent="0.35">
      <c r="A229" s="33" t="str">
        <f t="shared" si="18"/>
        <v>2024 JAN-DEC DISC 75 LICENSE ESS</v>
      </c>
      <c r="B229" s="34">
        <f t="shared" si="18"/>
        <v>46104</v>
      </c>
      <c r="C229" s="34">
        <f t="shared" si="18"/>
        <v>46113</v>
      </c>
      <c r="D229" s="6">
        <v>3287</v>
      </c>
      <c r="E229" s="6">
        <v>338</v>
      </c>
      <c r="F229" s="6">
        <v>4</v>
      </c>
      <c r="G229" s="6">
        <v>1</v>
      </c>
      <c r="H229" s="6">
        <v>81574</v>
      </c>
      <c r="I229" s="6" t="s">
        <v>17</v>
      </c>
      <c r="J229" s="6">
        <v>23107442</v>
      </c>
      <c r="K229" s="6" t="s">
        <v>1244</v>
      </c>
      <c r="L229" s="17" t="s">
        <v>1248</v>
      </c>
      <c r="M229" s="8">
        <v>119900</v>
      </c>
      <c r="N229" s="36">
        <f t="shared" si="16"/>
        <v>0.75</v>
      </c>
      <c r="O229" s="35">
        <f t="shared" si="17"/>
        <v>29975</v>
      </c>
      <c r="P229" s="33" t="s">
        <v>16</v>
      </c>
    </row>
    <row r="230" spans="1:16" x14ac:dyDescent="0.35">
      <c r="A230" s="33" t="str">
        <f t="shared" si="18"/>
        <v>2024 JAN-DEC DISC 75 LICENSE ESS</v>
      </c>
      <c r="B230" s="34">
        <f t="shared" si="18"/>
        <v>46104</v>
      </c>
      <c r="C230" s="34">
        <f t="shared" si="18"/>
        <v>46113</v>
      </c>
      <c r="D230" s="6">
        <v>3287</v>
      </c>
      <c r="E230" s="6">
        <v>338</v>
      </c>
      <c r="F230" s="6">
        <v>4</v>
      </c>
      <c r="G230" s="6">
        <v>3</v>
      </c>
      <c r="H230" s="6">
        <v>81574</v>
      </c>
      <c r="I230" s="6" t="s">
        <v>17</v>
      </c>
      <c r="J230" s="6">
        <v>21615950</v>
      </c>
      <c r="K230" s="6" t="s">
        <v>1142</v>
      </c>
      <c r="L230" s="17" t="s">
        <v>1146</v>
      </c>
      <c r="M230" s="8">
        <v>119900</v>
      </c>
      <c r="N230" s="36">
        <f t="shared" si="16"/>
        <v>0.75</v>
      </c>
      <c r="O230" s="35">
        <f t="shared" si="17"/>
        <v>29975</v>
      </c>
      <c r="P230" s="33" t="s">
        <v>16</v>
      </c>
    </row>
    <row r="231" spans="1:16" x14ac:dyDescent="0.35">
      <c r="A231" s="33" t="str">
        <f t="shared" si="18"/>
        <v>2024 JAN-DEC DISC 75 LICENSE ESS</v>
      </c>
      <c r="B231" s="34">
        <f t="shared" si="18"/>
        <v>46104</v>
      </c>
      <c r="C231" s="34">
        <f t="shared" si="18"/>
        <v>46113</v>
      </c>
      <c r="D231" s="6">
        <v>3287</v>
      </c>
      <c r="E231" s="6">
        <v>338</v>
      </c>
      <c r="F231" s="6">
        <v>4</v>
      </c>
      <c r="G231" s="6">
        <v>1</v>
      </c>
      <c r="H231" s="6">
        <v>850</v>
      </c>
      <c r="I231" s="6" t="s">
        <v>17</v>
      </c>
      <c r="J231" s="6">
        <v>31272221</v>
      </c>
      <c r="K231" s="6" t="s">
        <v>1325</v>
      </c>
      <c r="L231" s="17" t="s">
        <v>1326</v>
      </c>
      <c r="M231" s="8">
        <v>119900</v>
      </c>
      <c r="N231" s="36">
        <f t="shared" si="16"/>
        <v>0.75</v>
      </c>
      <c r="O231" s="35">
        <f t="shared" si="17"/>
        <v>29975</v>
      </c>
      <c r="P231" s="33" t="s">
        <v>16</v>
      </c>
    </row>
    <row r="232" spans="1:16" x14ac:dyDescent="0.35">
      <c r="A232" s="33" t="str">
        <f t="shared" si="18"/>
        <v>2024 JAN-DEC DISC 75 LICENSE ESS</v>
      </c>
      <c r="B232" s="34">
        <f t="shared" si="18"/>
        <v>46104</v>
      </c>
      <c r="C232" s="34">
        <f t="shared" si="18"/>
        <v>46113</v>
      </c>
      <c r="D232" s="6">
        <v>3287</v>
      </c>
      <c r="E232" s="6">
        <v>338</v>
      </c>
      <c r="F232" s="6">
        <v>4</v>
      </c>
      <c r="G232" s="6">
        <v>1</v>
      </c>
      <c r="H232" s="6">
        <v>850</v>
      </c>
      <c r="I232" s="6" t="s">
        <v>17</v>
      </c>
      <c r="J232" s="6">
        <v>31272230</v>
      </c>
      <c r="K232" s="6" t="s">
        <v>1325</v>
      </c>
      <c r="L232" s="17" t="s">
        <v>1327</v>
      </c>
      <c r="M232" s="8">
        <v>119900</v>
      </c>
      <c r="N232" s="36">
        <f t="shared" si="16"/>
        <v>0.75</v>
      </c>
      <c r="O232" s="35">
        <f t="shared" si="17"/>
        <v>29975</v>
      </c>
      <c r="P232" s="33" t="s">
        <v>16</v>
      </c>
    </row>
    <row r="233" spans="1:16" x14ac:dyDescent="0.35">
      <c r="A233" s="33" t="str">
        <f t="shared" si="18"/>
        <v>2024 JAN-DEC DISC 75 LICENSE ESS</v>
      </c>
      <c r="B233" s="34">
        <f t="shared" si="18"/>
        <v>46104</v>
      </c>
      <c r="C233" s="34">
        <f t="shared" si="18"/>
        <v>46113</v>
      </c>
      <c r="D233" s="6">
        <v>3287</v>
      </c>
      <c r="E233" s="6">
        <v>338</v>
      </c>
      <c r="F233" s="6">
        <v>4</v>
      </c>
      <c r="G233" s="6">
        <v>1</v>
      </c>
      <c r="H233" s="6">
        <v>850</v>
      </c>
      <c r="I233" s="6" t="s">
        <v>17</v>
      </c>
      <c r="J233" s="6">
        <v>31272249</v>
      </c>
      <c r="K233" s="6" t="s">
        <v>1325</v>
      </c>
      <c r="L233" s="17" t="s">
        <v>1328</v>
      </c>
      <c r="M233" s="8">
        <v>119900</v>
      </c>
      <c r="N233" s="36">
        <f t="shared" si="16"/>
        <v>0.75</v>
      </c>
      <c r="O233" s="35">
        <f t="shared" si="17"/>
        <v>29975</v>
      </c>
      <c r="P233" s="33" t="s">
        <v>16</v>
      </c>
    </row>
    <row r="234" spans="1:16" x14ac:dyDescent="0.35">
      <c r="A234" s="33" t="str">
        <f t="shared" si="18"/>
        <v>2024 JAN-DEC DISC 75 LICENSE ESS</v>
      </c>
      <c r="B234" s="34">
        <f t="shared" si="18"/>
        <v>46104</v>
      </c>
      <c r="C234" s="34">
        <f t="shared" si="18"/>
        <v>46113</v>
      </c>
      <c r="D234" s="6">
        <v>3287</v>
      </c>
      <c r="E234" s="6">
        <v>338</v>
      </c>
      <c r="F234" s="6">
        <v>4</v>
      </c>
      <c r="G234" s="6">
        <v>1</v>
      </c>
      <c r="H234" s="6">
        <v>850</v>
      </c>
      <c r="I234" s="6" t="s">
        <v>17</v>
      </c>
      <c r="J234" s="6">
        <v>31272258</v>
      </c>
      <c r="K234" s="6" t="s">
        <v>1325</v>
      </c>
      <c r="L234" s="17" t="s">
        <v>1329</v>
      </c>
      <c r="M234" s="8">
        <v>119900</v>
      </c>
      <c r="N234" s="36">
        <f t="shared" si="16"/>
        <v>0.75</v>
      </c>
      <c r="O234" s="35">
        <f t="shared" si="17"/>
        <v>29975</v>
      </c>
      <c r="P234" s="33" t="s">
        <v>16</v>
      </c>
    </row>
    <row r="235" spans="1:16" x14ac:dyDescent="0.35">
      <c r="A235" s="33" t="str">
        <f t="shared" si="18"/>
        <v>2024 JAN-DEC DISC 75 LICENSE ESS</v>
      </c>
      <c r="B235" s="34">
        <f t="shared" si="18"/>
        <v>46104</v>
      </c>
      <c r="C235" s="34">
        <f t="shared" si="18"/>
        <v>46113</v>
      </c>
      <c r="D235" s="6">
        <v>3287</v>
      </c>
      <c r="E235" s="6">
        <v>338</v>
      </c>
      <c r="F235" s="6">
        <v>4</v>
      </c>
      <c r="G235" s="6">
        <v>1</v>
      </c>
      <c r="H235" s="6">
        <v>850</v>
      </c>
      <c r="I235" s="6" t="s">
        <v>17</v>
      </c>
      <c r="J235" s="6">
        <v>31272187</v>
      </c>
      <c r="K235" s="6" t="s">
        <v>1320</v>
      </c>
      <c r="L235" s="17" t="s">
        <v>1321</v>
      </c>
      <c r="M235" s="8">
        <v>119900</v>
      </c>
      <c r="N235" s="36">
        <f t="shared" si="16"/>
        <v>0.75</v>
      </c>
      <c r="O235" s="35">
        <f t="shared" si="17"/>
        <v>29975</v>
      </c>
      <c r="P235" s="33" t="s">
        <v>16</v>
      </c>
    </row>
    <row r="236" spans="1:16" x14ac:dyDescent="0.35">
      <c r="A236" s="33" t="str">
        <f t="shared" si="18"/>
        <v>2024 JAN-DEC DISC 75 LICENSE ESS</v>
      </c>
      <c r="B236" s="34">
        <f t="shared" si="18"/>
        <v>46104</v>
      </c>
      <c r="C236" s="34">
        <f t="shared" si="18"/>
        <v>46113</v>
      </c>
      <c r="D236" s="6">
        <v>3287</v>
      </c>
      <c r="E236" s="6">
        <v>338</v>
      </c>
      <c r="F236" s="6">
        <v>4</v>
      </c>
      <c r="G236" s="6">
        <v>1</v>
      </c>
      <c r="H236" s="6">
        <v>850</v>
      </c>
      <c r="I236" s="6" t="s">
        <v>17</v>
      </c>
      <c r="J236" s="6">
        <v>31272196</v>
      </c>
      <c r="K236" s="6" t="s">
        <v>1320</v>
      </c>
      <c r="L236" s="17" t="s">
        <v>1322</v>
      </c>
      <c r="M236" s="8">
        <v>119900</v>
      </c>
      <c r="N236" s="36">
        <f t="shared" si="16"/>
        <v>0.75</v>
      </c>
      <c r="O236" s="35">
        <f t="shared" si="17"/>
        <v>29975</v>
      </c>
      <c r="P236" s="33" t="s">
        <v>16</v>
      </c>
    </row>
    <row r="237" spans="1:16" x14ac:dyDescent="0.35">
      <c r="A237" s="33" t="str">
        <f t="shared" si="18"/>
        <v>2024 JAN-DEC DISC 75 LICENSE ESS</v>
      </c>
      <c r="B237" s="34">
        <f t="shared" si="18"/>
        <v>46104</v>
      </c>
      <c r="C237" s="34">
        <f t="shared" si="18"/>
        <v>46113</v>
      </c>
      <c r="D237" s="6">
        <v>3287</v>
      </c>
      <c r="E237" s="6">
        <v>338</v>
      </c>
      <c r="F237" s="6">
        <v>4</v>
      </c>
      <c r="G237" s="6">
        <v>1</v>
      </c>
      <c r="H237" s="6">
        <v>850</v>
      </c>
      <c r="I237" s="6" t="s">
        <v>17</v>
      </c>
      <c r="J237" s="6">
        <v>31272203</v>
      </c>
      <c r="K237" s="6" t="s">
        <v>1320</v>
      </c>
      <c r="L237" s="17" t="s">
        <v>1323</v>
      </c>
      <c r="M237" s="8">
        <v>119900</v>
      </c>
      <c r="N237" s="36">
        <f t="shared" si="16"/>
        <v>0.75</v>
      </c>
      <c r="O237" s="35">
        <f t="shared" si="17"/>
        <v>29975</v>
      </c>
      <c r="P237" s="33" t="s">
        <v>16</v>
      </c>
    </row>
    <row r="238" spans="1:16" x14ac:dyDescent="0.35">
      <c r="A238" s="33" t="str">
        <f t="shared" si="18"/>
        <v>2024 JAN-DEC DISC 75 LICENSE ESS</v>
      </c>
      <c r="B238" s="34">
        <f t="shared" si="18"/>
        <v>46104</v>
      </c>
      <c r="C238" s="34">
        <f t="shared" si="18"/>
        <v>46113</v>
      </c>
      <c r="D238" s="6">
        <v>3287</v>
      </c>
      <c r="E238" s="6">
        <v>338</v>
      </c>
      <c r="F238" s="6">
        <v>4</v>
      </c>
      <c r="G238" s="6">
        <v>1</v>
      </c>
      <c r="H238" s="6">
        <v>850</v>
      </c>
      <c r="I238" s="6" t="s">
        <v>17</v>
      </c>
      <c r="J238" s="6">
        <v>31272212</v>
      </c>
      <c r="K238" s="6" t="s">
        <v>1320</v>
      </c>
      <c r="L238" s="17" t="s">
        <v>1324</v>
      </c>
      <c r="M238" s="8">
        <v>119900</v>
      </c>
      <c r="N238" s="36">
        <f t="shared" si="16"/>
        <v>0.75</v>
      </c>
      <c r="O238" s="35">
        <f t="shared" si="17"/>
        <v>29975</v>
      </c>
      <c r="P238" s="33" t="s">
        <v>16</v>
      </c>
    </row>
    <row r="239" spans="1:16" x14ac:dyDescent="0.35">
      <c r="A239" s="33" t="str">
        <f t="shared" si="18"/>
        <v>2024 JAN-DEC DISC 75 LICENSE ESS</v>
      </c>
      <c r="B239" s="34">
        <f t="shared" si="18"/>
        <v>46104</v>
      </c>
      <c r="C239" s="34">
        <f t="shared" si="18"/>
        <v>46113</v>
      </c>
      <c r="D239" s="6">
        <v>3287</v>
      </c>
      <c r="E239" s="6">
        <v>338</v>
      </c>
      <c r="F239" s="6">
        <v>4</v>
      </c>
      <c r="G239" s="6">
        <v>3</v>
      </c>
      <c r="H239" s="6">
        <v>81574</v>
      </c>
      <c r="I239" s="6" t="s">
        <v>17</v>
      </c>
      <c r="J239" s="6">
        <v>23107451</v>
      </c>
      <c r="K239" s="6" t="s">
        <v>1249</v>
      </c>
      <c r="L239" s="17" t="s">
        <v>1250</v>
      </c>
      <c r="M239" s="8">
        <v>119900</v>
      </c>
      <c r="N239" s="36">
        <f t="shared" si="16"/>
        <v>0.75</v>
      </c>
      <c r="O239" s="35">
        <f t="shared" si="17"/>
        <v>29975</v>
      </c>
      <c r="P239" s="33" t="s">
        <v>16</v>
      </c>
    </row>
    <row r="240" spans="1:16" x14ac:dyDescent="0.35">
      <c r="A240" s="33" t="str">
        <f t="shared" si="18"/>
        <v>2024 JAN-DEC DISC 75 LICENSE ESS</v>
      </c>
      <c r="B240" s="34">
        <f t="shared" si="18"/>
        <v>46104</v>
      </c>
      <c r="C240" s="34">
        <f t="shared" si="18"/>
        <v>46113</v>
      </c>
      <c r="D240" s="6">
        <v>3287</v>
      </c>
      <c r="E240" s="6">
        <v>338</v>
      </c>
      <c r="F240" s="6">
        <v>4</v>
      </c>
      <c r="G240" s="6">
        <v>3</v>
      </c>
      <c r="H240" s="6">
        <v>81574</v>
      </c>
      <c r="I240" s="6" t="s">
        <v>17</v>
      </c>
      <c r="J240" s="6">
        <v>23107460</v>
      </c>
      <c r="K240" s="6" t="s">
        <v>1249</v>
      </c>
      <c r="L240" s="17" t="s">
        <v>1251</v>
      </c>
      <c r="M240" s="8">
        <v>119900</v>
      </c>
      <c r="N240" s="36">
        <f t="shared" si="16"/>
        <v>0.75</v>
      </c>
      <c r="O240" s="35">
        <f t="shared" si="17"/>
        <v>29975</v>
      </c>
      <c r="P240" s="33" t="s">
        <v>16</v>
      </c>
    </row>
    <row r="241" spans="1:16" x14ac:dyDescent="0.35">
      <c r="A241" s="33" t="str">
        <f t="shared" si="18"/>
        <v>2024 JAN-DEC DISC 75 LICENSE ESS</v>
      </c>
      <c r="B241" s="34">
        <f t="shared" si="18"/>
        <v>46104</v>
      </c>
      <c r="C241" s="34">
        <f t="shared" si="18"/>
        <v>46113</v>
      </c>
      <c r="D241" s="6">
        <v>3287</v>
      </c>
      <c r="E241" s="6">
        <v>338</v>
      </c>
      <c r="F241" s="6">
        <v>4</v>
      </c>
      <c r="G241" s="6">
        <v>3</v>
      </c>
      <c r="H241" s="6">
        <v>81574</v>
      </c>
      <c r="I241" s="6" t="s">
        <v>17</v>
      </c>
      <c r="J241" s="6">
        <v>23107479</v>
      </c>
      <c r="K241" s="6" t="s">
        <v>1249</v>
      </c>
      <c r="L241" s="17" t="s">
        <v>1252</v>
      </c>
      <c r="M241" s="8">
        <v>119900</v>
      </c>
      <c r="N241" s="36">
        <f t="shared" si="16"/>
        <v>0.75</v>
      </c>
      <c r="O241" s="35">
        <f t="shared" si="17"/>
        <v>29975</v>
      </c>
      <c r="P241" s="33" t="s">
        <v>16</v>
      </c>
    </row>
    <row r="242" spans="1:16" x14ac:dyDescent="0.35">
      <c r="A242" s="33" t="str">
        <f t="shared" si="18"/>
        <v>2024 JAN-DEC DISC 75 LICENSE ESS</v>
      </c>
      <c r="B242" s="34">
        <f t="shared" si="18"/>
        <v>46104</v>
      </c>
      <c r="C242" s="34">
        <f t="shared" si="18"/>
        <v>46113</v>
      </c>
      <c r="D242" s="6">
        <v>3287</v>
      </c>
      <c r="E242" s="6">
        <v>338</v>
      </c>
      <c r="F242" s="6">
        <v>4</v>
      </c>
      <c r="G242" s="6">
        <v>3</v>
      </c>
      <c r="H242" s="6">
        <v>81574</v>
      </c>
      <c r="I242" s="6" t="s">
        <v>17</v>
      </c>
      <c r="J242" s="6">
        <v>23107488</v>
      </c>
      <c r="K242" s="6" t="s">
        <v>1249</v>
      </c>
      <c r="L242" s="17" t="s">
        <v>1253</v>
      </c>
      <c r="M242" s="8">
        <v>119900</v>
      </c>
      <c r="N242" s="36">
        <f t="shared" si="16"/>
        <v>0.75</v>
      </c>
      <c r="O242" s="35">
        <f t="shared" si="17"/>
        <v>29975</v>
      </c>
      <c r="P242" s="33" t="s">
        <v>16</v>
      </c>
    </row>
    <row r="243" spans="1:16" x14ac:dyDescent="0.35">
      <c r="A243" s="33" t="str">
        <f t="shared" si="18"/>
        <v>2024 JAN-DEC DISC 75 LICENSE ESS</v>
      </c>
      <c r="B243" s="34">
        <f t="shared" si="18"/>
        <v>46104</v>
      </c>
      <c r="C243" s="34">
        <f t="shared" si="18"/>
        <v>46113</v>
      </c>
      <c r="D243" s="6">
        <v>3287</v>
      </c>
      <c r="E243" s="6">
        <v>338</v>
      </c>
      <c r="F243" s="6">
        <v>4</v>
      </c>
      <c r="G243" s="6">
        <v>4</v>
      </c>
      <c r="H243" s="6">
        <v>81676</v>
      </c>
      <c r="I243" s="6" t="s">
        <v>17</v>
      </c>
      <c r="J243" s="6">
        <v>23107497</v>
      </c>
      <c r="K243" s="6" t="s">
        <v>1260</v>
      </c>
      <c r="L243" s="17" t="s">
        <v>1261</v>
      </c>
      <c r="M243" s="8">
        <v>219900</v>
      </c>
      <c r="N243" s="36">
        <f t="shared" si="16"/>
        <v>0.75</v>
      </c>
      <c r="O243" s="35">
        <f t="shared" si="17"/>
        <v>54975</v>
      </c>
      <c r="P243" s="33" t="s">
        <v>16</v>
      </c>
    </row>
    <row r="244" spans="1:16" x14ac:dyDescent="0.35">
      <c r="A244" s="33" t="str">
        <f t="shared" si="18"/>
        <v>2024 JAN-DEC DISC 75 LICENSE ESS</v>
      </c>
      <c r="B244" s="34">
        <f t="shared" si="18"/>
        <v>46104</v>
      </c>
      <c r="C244" s="34">
        <f t="shared" si="18"/>
        <v>46113</v>
      </c>
      <c r="D244" s="6">
        <v>3287</v>
      </c>
      <c r="E244" s="6">
        <v>338</v>
      </c>
      <c r="F244" s="6">
        <v>4</v>
      </c>
      <c r="G244" s="6">
        <v>4</v>
      </c>
      <c r="H244" s="6">
        <v>81676</v>
      </c>
      <c r="I244" s="6" t="s">
        <v>17</v>
      </c>
      <c r="J244" s="6">
        <v>23107504</v>
      </c>
      <c r="K244" s="6" t="s">
        <v>1260</v>
      </c>
      <c r="L244" s="17" t="s">
        <v>1262</v>
      </c>
      <c r="M244" s="8">
        <v>219900</v>
      </c>
      <c r="N244" s="36">
        <f t="shared" si="16"/>
        <v>0.75</v>
      </c>
      <c r="O244" s="35">
        <f t="shared" si="17"/>
        <v>54975</v>
      </c>
      <c r="P244" s="33" t="s">
        <v>16</v>
      </c>
    </row>
    <row r="245" spans="1:16" x14ac:dyDescent="0.35">
      <c r="A245" s="33" t="str">
        <f t="shared" si="18"/>
        <v>2024 JAN-DEC DISC 75 LICENSE ESS</v>
      </c>
      <c r="B245" s="34">
        <f t="shared" si="18"/>
        <v>46104</v>
      </c>
      <c r="C245" s="34">
        <f t="shared" si="18"/>
        <v>46113</v>
      </c>
      <c r="D245" s="6">
        <v>3287</v>
      </c>
      <c r="E245" s="6">
        <v>338</v>
      </c>
      <c r="F245" s="6">
        <v>4</v>
      </c>
      <c r="G245" s="6">
        <v>4</v>
      </c>
      <c r="H245" s="6">
        <v>81676</v>
      </c>
      <c r="I245" s="6" t="s">
        <v>17</v>
      </c>
      <c r="J245" s="6">
        <v>23107513</v>
      </c>
      <c r="K245" s="6" t="s">
        <v>1260</v>
      </c>
      <c r="L245" s="17" t="s">
        <v>1263</v>
      </c>
      <c r="M245" s="8">
        <v>219900</v>
      </c>
      <c r="N245" s="36">
        <f t="shared" ref="N245:N308" si="19">N244</f>
        <v>0.75</v>
      </c>
      <c r="O245" s="35">
        <f t="shared" ref="O245:O308" si="20">M245-((75*M245)/100)</f>
        <v>54975</v>
      </c>
      <c r="P245" s="33" t="s">
        <v>16</v>
      </c>
    </row>
    <row r="246" spans="1:16" x14ac:dyDescent="0.35">
      <c r="A246" s="33" t="str">
        <f t="shared" si="18"/>
        <v>2024 JAN-DEC DISC 75 LICENSE ESS</v>
      </c>
      <c r="B246" s="34">
        <f t="shared" si="18"/>
        <v>46104</v>
      </c>
      <c r="C246" s="34">
        <f t="shared" si="18"/>
        <v>46113</v>
      </c>
      <c r="D246" s="6">
        <v>3287</v>
      </c>
      <c r="E246" s="6">
        <v>338</v>
      </c>
      <c r="F246" s="6">
        <v>4</v>
      </c>
      <c r="G246" s="6">
        <v>4</v>
      </c>
      <c r="H246" s="6">
        <v>81676</v>
      </c>
      <c r="I246" s="6" t="s">
        <v>17</v>
      </c>
      <c r="J246" s="6">
        <v>23107522</v>
      </c>
      <c r="K246" s="6" t="s">
        <v>1260</v>
      </c>
      <c r="L246" s="17" t="s">
        <v>1264</v>
      </c>
      <c r="M246" s="8">
        <v>219900</v>
      </c>
      <c r="N246" s="36">
        <f t="shared" si="19"/>
        <v>0.75</v>
      </c>
      <c r="O246" s="35">
        <f t="shared" si="20"/>
        <v>54975</v>
      </c>
      <c r="P246" s="33" t="s">
        <v>16</v>
      </c>
    </row>
    <row r="247" spans="1:16" x14ac:dyDescent="0.35">
      <c r="A247" s="33" t="str">
        <f t="shared" si="18"/>
        <v>2024 JAN-DEC DISC 75 LICENSE ESS</v>
      </c>
      <c r="B247" s="34">
        <f t="shared" si="18"/>
        <v>46104</v>
      </c>
      <c r="C247" s="34">
        <f t="shared" si="18"/>
        <v>46113</v>
      </c>
      <c r="D247" s="6">
        <v>3287</v>
      </c>
      <c r="E247" s="6">
        <v>338</v>
      </c>
      <c r="F247" s="6">
        <v>4</v>
      </c>
      <c r="G247" s="6">
        <v>4</v>
      </c>
      <c r="H247" s="6">
        <v>81676</v>
      </c>
      <c r="I247" s="6" t="s">
        <v>17</v>
      </c>
      <c r="J247" s="6">
        <v>23107531</v>
      </c>
      <c r="K247" s="6" t="s">
        <v>1260</v>
      </c>
      <c r="L247" s="17" t="s">
        <v>1265</v>
      </c>
      <c r="M247" s="8">
        <v>229900</v>
      </c>
      <c r="N247" s="36">
        <f t="shared" si="19"/>
        <v>0.75</v>
      </c>
      <c r="O247" s="35">
        <f t="shared" si="20"/>
        <v>57475</v>
      </c>
      <c r="P247" s="33" t="s">
        <v>16</v>
      </c>
    </row>
    <row r="248" spans="1:16" x14ac:dyDescent="0.35">
      <c r="A248" s="33" t="str">
        <f t="shared" si="18"/>
        <v>2024 JAN-DEC DISC 75 LICENSE ESS</v>
      </c>
      <c r="B248" s="34">
        <f t="shared" si="18"/>
        <v>46104</v>
      </c>
      <c r="C248" s="34">
        <f t="shared" si="18"/>
        <v>46113</v>
      </c>
      <c r="D248" s="6">
        <v>3287</v>
      </c>
      <c r="E248" s="6">
        <v>338</v>
      </c>
      <c r="F248" s="6">
        <v>4</v>
      </c>
      <c r="G248" s="6">
        <v>4</v>
      </c>
      <c r="H248" s="6">
        <v>81676</v>
      </c>
      <c r="I248" s="6" t="s">
        <v>17</v>
      </c>
      <c r="J248" s="6">
        <v>23107540</v>
      </c>
      <c r="K248" s="6" t="s">
        <v>1260</v>
      </c>
      <c r="L248" s="17" t="s">
        <v>1266</v>
      </c>
      <c r="M248" s="8">
        <v>229900</v>
      </c>
      <c r="N248" s="36">
        <f t="shared" si="19"/>
        <v>0.75</v>
      </c>
      <c r="O248" s="35">
        <f t="shared" si="20"/>
        <v>57475</v>
      </c>
      <c r="P248" s="33" t="s">
        <v>16</v>
      </c>
    </row>
    <row r="249" spans="1:16" x14ac:dyDescent="0.35">
      <c r="A249" s="33" t="str">
        <f t="shared" si="18"/>
        <v>2024 JAN-DEC DISC 75 LICENSE ESS</v>
      </c>
      <c r="B249" s="34">
        <f t="shared" si="18"/>
        <v>46104</v>
      </c>
      <c r="C249" s="34">
        <f t="shared" si="18"/>
        <v>46113</v>
      </c>
      <c r="D249" s="6">
        <v>3287</v>
      </c>
      <c r="E249" s="6">
        <v>338</v>
      </c>
      <c r="F249" s="6">
        <v>4</v>
      </c>
      <c r="G249" s="6">
        <v>4</v>
      </c>
      <c r="H249" s="6">
        <v>81676</v>
      </c>
      <c r="I249" s="6" t="s">
        <v>17</v>
      </c>
      <c r="J249" s="6">
        <v>23107559</v>
      </c>
      <c r="K249" s="6" t="s">
        <v>1260</v>
      </c>
      <c r="L249" s="17" t="s">
        <v>1267</v>
      </c>
      <c r="M249" s="8">
        <v>229900</v>
      </c>
      <c r="N249" s="36">
        <f t="shared" si="19"/>
        <v>0.75</v>
      </c>
      <c r="O249" s="35">
        <f t="shared" si="20"/>
        <v>57475</v>
      </c>
      <c r="P249" s="33" t="s">
        <v>16</v>
      </c>
    </row>
    <row r="250" spans="1:16" x14ac:dyDescent="0.35">
      <c r="A250" s="33" t="str">
        <f t="shared" si="18"/>
        <v>2024 JAN-DEC DISC 75 LICENSE ESS</v>
      </c>
      <c r="B250" s="34">
        <f t="shared" si="18"/>
        <v>46104</v>
      </c>
      <c r="C250" s="34">
        <f t="shared" si="18"/>
        <v>46113</v>
      </c>
      <c r="D250" s="6">
        <v>3287</v>
      </c>
      <c r="E250" s="6">
        <v>338</v>
      </c>
      <c r="F250" s="6">
        <v>4</v>
      </c>
      <c r="G250" s="6">
        <v>4</v>
      </c>
      <c r="H250" s="6">
        <v>81676</v>
      </c>
      <c r="I250" s="6" t="s">
        <v>17</v>
      </c>
      <c r="J250" s="6">
        <v>23107568</v>
      </c>
      <c r="K250" s="6" t="s">
        <v>1260</v>
      </c>
      <c r="L250" s="17" t="s">
        <v>1268</v>
      </c>
      <c r="M250" s="8">
        <v>229900</v>
      </c>
      <c r="N250" s="36">
        <f t="shared" si="19"/>
        <v>0.75</v>
      </c>
      <c r="O250" s="35">
        <f t="shared" si="20"/>
        <v>57475</v>
      </c>
      <c r="P250" s="33" t="s">
        <v>16</v>
      </c>
    </row>
    <row r="251" spans="1:16" x14ac:dyDescent="0.35">
      <c r="A251" s="33" t="str">
        <f t="shared" si="18"/>
        <v>2024 JAN-DEC DISC 75 LICENSE ESS</v>
      </c>
      <c r="B251" s="34">
        <f t="shared" si="18"/>
        <v>46104</v>
      </c>
      <c r="C251" s="34">
        <f t="shared" si="18"/>
        <v>46113</v>
      </c>
      <c r="D251" s="6">
        <v>3287</v>
      </c>
      <c r="E251" s="6">
        <v>338</v>
      </c>
      <c r="F251" s="6">
        <v>4</v>
      </c>
      <c r="G251" s="6">
        <v>10</v>
      </c>
      <c r="H251" s="6">
        <v>81595</v>
      </c>
      <c r="I251" s="6" t="s">
        <v>17</v>
      </c>
      <c r="J251" s="6">
        <v>25443567</v>
      </c>
      <c r="K251" s="6" t="s">
        <v>2339</v>
      </c>
      <c r="L251" s="17" t="s">
        <v>2340</v>
      </c>
      <c r="M251" s="8">
        <v>35900</v>
      </c>
      <c r="N251" s="36">
        <f t="shared" si="19"/>
        <v>0.75</v>
      </c>
      <c r="O251" s="35">
        <f t="shared" si="20"/>
        <v>8975</v>
      </c>
      <c r="P251" s="33" t="s">
        <v>16</v>
      </c>
    </row>
    <row r="252" spans="1:16" x14ac:dyDescent="0.35">
      <c r="A252" s="33" t="str">
        <f t="shared" si="18"/>
        <v>2024 JAN-DEC DISC 75 LICENSE ESS</v>
      </c>
      <c r="B252" s="34">
        <f t="shared" si="18"/>
        <v>46104</v>
      </c>
      <c r="C252" s="34">
        <f t="shared" si="18"/>
        <v>46113</v>
      </c>
      <c r="D252" s="6">
        <v>3287</v>
      </c>
      <c r="E252" s="6">
        <v>338</v>
      </c>
      <c r="F252" s="6">
        <v>4</v>
      </c>
      <c r="G252" s="6">
        <v>10</v>
      </c>
      <c r="H252" s="6">
        <v>81595</v>
      </c>
      <c r="I252" s="6" t="s">
        <v>17</v>
      </c>
      <c r="J252" s="6">
        <v>25443576</v>
      </c>
      <c r="K252" s="6" t="s">
        <v>2339</v>
      </c>
      <c r="L252" s="17" t="s">
        <v>2341</v>
      </c>
      <c r="M252" s="8">
        <v>35900</v>
      </c>
      <c r="N252" s="36">
        <f t="shared" si="19"/>
        <v>0.75</v>
      </c>
      <c r="O252" s="35">
        <f t="shared" si="20"/>
        <v>8975</v>
      </c>
      <c r="P252" s="33" t="s">
        <v>16</v>
      </c>
    </row>
    <row r="253" spans="1:16" x14ac:dyDescent="0.35">
      <c r="A253" s="33" t="str">
        <f t="shared" si="18"/>
        <v>2024 JAN-DEC DISC 75 LICENSE ESS</v>
      </c>
      <c r="B253" s="34">
        <f t="shared" si="18"/>
        <v>46104</v>
      </c>
      <c r="C253" s="34">
        <f t="shared" si="18"/>
        <v>46113</v>
      </c>
      <c r="D253" s="6">
        <v>3287</v>
      </c>
      <c r="E253" s="6">
        <v>338</v>
      </c>
      <c r="F253" s="6">
        <v>4</v>
      </c>
      <c r="G253" s="6">
        <v>10</v>
      </c>
      <c r="H253" s="6">
        <v>81595</v>
      </c>
      <c r="I253" s="6" t="s">
        <v>17</v>
      </c>
      <c r="J253" s="6">
        <v>25443549</v>
      </c>
      <c r="K253" s="6" t="s">
        <v>2336</v>
      </c>
      <c r="L253" s="17" t="s">
        <v>2337</v>
      </c>
      <c r="M253" s="8">
        <v>35900</v>
      </c>
      <c r="N253" s="36">
        <f t="shared" si="19"/>
        <v>0.75</v>
      </c>
      <c r="O253" s="35">
        <f t="shared" si="20"/>
        <v>8975</v>
      </c>
      <c r="P253" s="33" t="s">
        <v>16</v>
      </c>
    </row>
    <row r="254" spans="1:16" x14ac:dyDescent="0.35">
      <c r="A254" s="33" t="str">
        <f t="shared" si="18"/>
        <v>2024 JAN-DEC DISC 75 LICENSE ESS</v>
      </c>
      <c r="B254" s="34">
        <f t="shared" si="18"/>
        <v>46104</v>
      </c>
      <c r="C254" s="34">
        <f t="shared" si="18"/>
        <v>46113</v>
      </c>
      <c r="D254" s="6">
        <v>3287</v>
      </c>
      <c r="E254" s="6">
        <v>338</v>
      </c>
      <c r="F254" s="6">
        <v>4</v>
      </c>
      <c r="G254" s="6">
        <v>10</v>
      </c>
      <c r="H254" s="6">
        <v>81595</v>
      </c>
      <c r="I254" s="6" t="s">
        <v>17</v>
      </c>
      <c r="J254" s="6">
        <v>25443558</v>
      </c>
      <c r="K254" s="6" t="s">
        <v>2336</v>
      </c>
      <c r="L254" s="17" t="s">
        <v>2338</v>
      </c>
      <c r="M254" s="8">
        <v>35900</v>
      </c>
      <c r="N254" s="36">
        <f t="shared" si="19"/>
        <v>0.75</v>
      </c>
      <c r="O254" s="35">
        <f t="shared" si="20"/>
        <v>8975</v>
      </c>
      <c r="P254" s="33" t="s">
        <v>16</v>
      </c>
    </row>
    <row r="255" spans="1:16" x14ac:dyDescent="0.35">
      <c r="A255" s="33" t="str">
        <f t="shared" si="18"/>
        <v>2024 JAN-DEC DISC 75 LICENSE ESS</v>
      </c>
      <c r="B255" s="34">
        <f t="shared" si="18"/>
        <v>46104</v>
      </c>
      <c r="C255" s="34">
        <f t="shared" si="18"/>
        <v>46113</v>
      </c>
      <c r="D255" s="6">
        <v>3287</v>
      </c>
      <c r="E255" s="6">
        <v>338</v>
      </c>
      <c r="F255" s="6">
        <v>4</v>
      </c>
      <c r="G255" s="6">
        <v>2</v>
      </c>
      <c r="H255" s="6">
        <v>81676</v>
      </c>
      <c r="I255" s="6" t="s">
        <v>17</v>
      </c>
      <c r="J255" s="6">
        <v>27377948</v>
      </c>
      <c r="K255" s="6" t="s">
        <v>1345</v>
      </c>
      <c r="L255" s="17" t="s">
        <v>1346</v>
      </c>
      <c r="M255" s="8">
        <v>219900</v>
      </c>
      <c r="N255" s="36">
        <f t="shared" si="19"/>
        <v>0.75</v>
      </c>
      <c r="O255" s="35">
        <f t="shared" si="20"/>
        <v>54975</v>
      </c>
      <c r="P255" s="33" t="s">
        <v>16</v>
      </c>
    </row>
    <row r="256" spans="1:16" x14ac:dyDescent="0.35">
      <c r="A256" s="33" t="str">
        <f t="shared" si="18"/>
        <v>2024 JAN-DEC DISC 75 LICENSE ESS</v>
      </c>
      <c r="B256" s="34">
        <f t="shared" si="18"/>
        <v>46104</v>
      </c>
      <c r="C256" s="34">
        <f t="shared" si="18"/>
        <v>46113</v>
      </c>
      <c r="D256" s="6">
        <v>3287</v>
      </c>
      <c r="E256" s="6">
        <v>338</v>
      </c>
      <c r="F256" s="6">
        <v>4</v>
      </c>
      <c r="G256" s="6">
        <v>2</v>
      </c>
      <c r="H256" s="6">
        <v>81676</v>
      </c>
      <c r="I256" s="6" t="s">
        <v>17</v>
      </c>
      <c r="J256" s="6">
        <v>27377957</v>
      </c>
      <c r="K256" s="6" t="s">
        <v>1345</v>
      </c>
      <c r="L256" s="17" t="s">
        <v>1347</v>
      </c>
      <c r="M256" s="8">
        <v>219900</v>
      </c>
      <c r="N256" s="36">
        <f t="shared" si="19"/>
        <v>0.75</v>
      </c>
      <c r="O256" s="35">
        <f t="shared" si="20"/>
        <v>54975</v>
      </c>
      <c r="P256" s="33" t="s">
        <v>16</v>
      </c>
    </row>
    <row r="257" spans="1:16" x14ac:dyDescent="0.35">
      <c r="A257" s="33" t="str">
        <f t="shared" si="18"/>
        <v>2024 JAN-DEC DISC 75 LICENSE ESS</v>
      </c>
      <c r="B257" s="34">
        <f t="shared" si="18"/>
        <v>46104</v>
      </c>
      <c r="C257" s="34">
        <f t="shared" si="18"/>
        <v>46113</v>
      </c>
      <c r="D257" s="6">
        <v>3287</v>
      </c>
      <c r="E257" s="6">
        <v>338</v>
      </c>
      <c r="F257" s="6">
        <v>4</v>
      </c>
      <c r="G257" s="6">
        <v>2</v>
      </c>
      <c r="H257" s="6">
        <v>81676</v>
      </c>
      <c r="I257" s="6" t="s">
        <v>17</v>
      </c>
      <c r="J257" s="6">
        <v>27377966</v>
      </c>
      <c r="K257" s="6" t="s">
        <v>1345</v>
      </c>
      <c r="L257" s="17" t="s">
        <v>1348</v>
      </c>
      <c r="M257" s="8">
        <v>219900</v>
      </c>
      <c r="N257" s="36">
        <f t="shared" si="19"/>
        <v>0.75</v>
      </c>
      <c r="O257" s="35">
        <f t="shared" si="20"/>
        <v>54975</v>
      </c>
      <c r="P257" s="33" t="s">
        <v>16</v>
      </c>
    </row>
    <row r="258" spans="1:16" x14ac:dyDescent="0.35">
      <c r="A258" s="33" t="str">
        <f t="shared" si="18"/>
        <v>2024 JAN-DEC DISC 75 LICENSE ESS</v>
      </c>
      <c r="B258" s="34">
        <f t="shared" si="18"/>
        <v>46104</v>
      </c>
      <c r="C258" s="34">
        <f t="shared" si="18"/>
        <v>46113</v>
      </c>
      <c r="D258" s="6">
        <v>3287</v>
      </c>
      <c r="E258" s="6">
        <v>338</v>
      </c>
      <c r="F258" s="6">
        <v>4</v>
      </c>
      <c r="G258" s="6">
        <v>2</v>
      </c>
      <c r="H258" s="6">
        <v>81676</v>
      </c>
      <c r="I258" s="6" t="s">
        <v>17</v>
      </c>
      <c r="J258" s="6">
        <v>27377975</v>
      </c>
      <c r="K258" s="6" t="s">
        <v>1345</v>
      </c>
      <c r="L258" s="17" t="s">
        <v>1349</v>
      </c>
      <c r="M258" s="8">
        <v>219900</v>
      </c>
      <c r="N258" s="36">
        <f t="shared" si="19"/>
        <v>0.75</v>
      </c>
      <c r="O258" s="35">
        <f t="shared" si="20"/>
        <v>54975</v>
      </c>
      <c r="P258" s="33" t="s">
        <v>16</v>
      </c>
    </row>
    <row r="259" spans="1:16" x14ac:dyDescent="0.35">
      <c r="A259" s="33" t="str">
        <f t="shared" si="18"/>
        <v>2024 JAN-DEC DISC 75 LICENSE ESS</v>
      </c>
      <c r="B259" s="34">
        <f t="shared" si="18"/>
        <v>46104</v>
      </c>
      <c r="C259" s="34">
        <f t="shared" si="18"/>
        <v>46113</v>
      </c>
      <c r="D259" s="6">
        <v>3287</v>
      </c>
      <c r="E259" s="6">
        <v>338</v>
      </c>
      <c r="F259" s="6">
        <v>4</v>
      </c>
      <c r="G259" s="6">
        <v>2</v>
      </c>
      <c r="H259" s="6">
        <v>81676</v>
      </c>
      <c r="I259" s="6" t="s">
        <v>17</v>
      </c>
      <c r="J259" s="6">
        <v>27378812</v>
      </c>
      <c r="K259" s="6" t="s">
        <v>1345</v>
      </c>
      <c r="L259" s="17" t="s">
        <v>1350</v>
      </c>
      <c r="M259" s="8">
        <v>229900</v>
      </c>
      <c r="N259" s="36">
        <f t="shared" si="19"/>
        <v>0.75</v>
      </c>
      <c r="O259" s="35">
        <f t="shared" si="20"/>
        <v>57475</v>
      </c>
      <c r="P259" s="33" t="s">
        <v>16</v>
      </c>
    </row>
    <row r="260" spans="1:16" x14ac:dyDescent="0.35">
      <c r="A260" s="33" t="str">
        <f t="shared" si="18"/>
        <v>2024 JAN-DEC DISC 75 LICENSE ESS</v>
      </c>
      <c r="B260" s="34">
        <f t="shared" si="18"/>
        <v>46104</v>
      </c>
      <c r="C260" s="34">
        <f t="shared" si="18"/>
        <v>46113</v>
      </c>
      <c r="D260" s="6">
        <v>3287</v>
      </c>
      <c r="E260" s="6">
        <v>338</v>
      </c>
      <c r="F260" s="6">
        <v>4</v>
      </c>
      <c r="G260" s="6">
        <v>2</v>
      </c>
      <c r="H260" s="6">
        <v>81676</v>
      </c>
      <c r="I260" s="6" t="s">
        <v>17</v>
      </c>
      <c r="J260" s="6">
        <v>27378821</v>
      </c>
      <c r="K260" s="6" t="s">
        <v>1345</v>
      </c>
      <c r="L260" s="17" t="s">
        <v>1351</v>
      </c>
      <c r="M260" s="8">
        <v>229900</v>
      </c>
      <c r="N260" s="36">
        <f t="shared" si="19"/>
        <v>0.75</v>
      </c>
      <c r="O260" s="35">
        <f t="shared" si="20"/>
        <v>57475</v>
      </c>
      <c r="P260" s="33" t="s">
        <v>16</v>
      </c>
    </row>
    <row r="261" spans="1:16" x14ac:dyDescent="0.35">
      <c r="A261" s="33" t="str">
        <f t="shared" si="18"/>
        <v>2024 JAN-DEC DISC 75 LICENSE ESS</v>
      </c>
      <c r="B261" s="34">
        <f t="shared" si="18"/>
        <v>46104</v>
      </c>
      <c r="C261" s="34">
        <f t="shared" si="18"/>
        <v>46113</v>
      </c>
      <c r="D261" s="6">
        <v>3287</v>
      </c>
      <c r="E261" s="6">
        <v>338</v>
      </c>
      <c r="F261" s="6">
        <v>4</v>
      </c>
      <c r="G261" s="6">
        <v>2</v>
      </c>
      <c r="H261" s="6">
        <v>81676</v>
      </c>
      <c r="I261" s="6" t="s">
        <v>17</v>
      </c>
      <c r="J261" s="6">
        <v>27378830</v>
      </c>
      <c r="K261" s="6" t="s">
        <v>1345</v>
      </c>
      <c r="L261" s="17" t="s">
        <v>1352</v>
      </c>
      <c r="M261" s="8">
        <v>229900</v>
      </c>
      <c r="N261" s="36">
        <f t="shared" si="19"/>
        <v>0.75</v>
      </c>
      <c r="O261" s="35">
        <f t="shared" si="20"/>
        <v>57475</v>
      </c>
      <c r="P261" s="33" t="s">
        <v>16</v>
      </c>
    </row>
    <row r="262" spans="1:16" x14ac:dyDescent="0.35">
      <c r="A262" s="33" t="str">
        <f t="shared" ref="A262:C325" si="21">A261</f>
        <v>2024 JAN-DEC DISC 75 LICENSE ESS</v>
      </c>
      <c r="B262" s="34">
        <f t="shared" si="21"/>
        <v>46104</v>
      </c>
      <c r="C262" s="34">
        <f t="shared" si="21"/>
        <v>46113</v>
      </c>
      <c r="D262" s="6">
        <v>3287</v>
      </c>
      <c r="E262" s="6">
        <v>338</v>
      </c>
      <c r="F262" s="6">
        <v>4</v>
      </c>
      <c r="G262" s="6">
        <v>2</v>
      </c>
      <c r="H262" s="6">
        <v>81676</v>
      </c>
      <c r="I262" s="6" t="s">
        <v>17</v>
      </c>
      <c r="J262" s="6">
        <v>27378849</v>
      </c>
      <c r="K262" s="6" t="s">
        <v>1345</v>
      </c>
      <c r="L262" s="17" t="s">
        <v>1353</v>
      </c>
      <c r="M262" s="8">
        <v>229900</v>
      </c>
      <c r="N262" s="36">
        <f t="shared" si="19"/>
        <v>0.75</v>
      </c>
      <c r="O262" s="35">
        <f t="shared" si="20"/>
        <v>57475</v>
      </c>
      <c r="P262" s="33" t="s">
        <v>16</v>
      </c>
    </row>
    <row r="263" spans="1:16" x14ac:dyDescent="0.35">
      <c r="A263" s="33" t="str">
        <f t="shared" si="21"/>
        <v>2024 JAN-DEC DISC 75 LICENSE ESS</v>
      </c>
      <c r="B263" s="34">
        <f t="shared" si="21"/>
        <v>46104</v>
      </c>
      <c r="C263" s="34">
        <f t="shared" si="21"/>
        <v>46113</v>
      </c>
      <c r="D263" s="6">
        <v>3287</v>
      </c>
      <c r="E263" s="6">
        <v>338</v>
      </c>
      <c r="F263" s="6">
        <v>4</v>
      </c>
      <c r="G263" s="6">
        <v>4</v>
      </c>
      <c r="H263" s="6">
        <v>81676</v>
      </c>
      <c r="I263" s="6" t="s">
        <v>17</v>
      </c>
      <c r="J263" s="6">
        <v>27378938</v>
      </c>
      <c r="K263" s="6" t="s">
        <v>1354</v>
      </c>
      <c r="L263" s="17" t="s">
        <v>1355</v>
      </c>
      <c r="M263" s="8">
        <v>219900</v>
      </c>
      <c r="N263" s="36">
        <f t="shared" si="19"/>
        <v>0.75</v>
      </c>
      <c r="O263" s="35">
        <f t="shared" si="20"/>
        <v>54975</v>
      </c>
      <c r="P263" s="33" t="s">
        <v>16</v>
      </c>
    </row>
    <row r="264" spans="1:16" x14ac:dyDescent="0.35">
      <c r="A264" s="33" t="str">
        <f t="shared" si="21"/>
        <v>2024 JAN-DEC DISC 75 LICENSE ESS</v>
      </c>
      <c r="B264" s="34">
        <f t="shared" si="21"/>
        <v>46104</v>
      </c>
      <c r="C264" s="34">
        <f t="shared" si="21"/>
        <v>46113</v>
      </c>
      <c r="D264" s="6">
        <v>3287</v>
      </c>
      <c r="E264" s="6">
        <v>338</v>
      </c>
      <c r="F264" s="6">
        <v>4</v>
      </c>
      <c r="G264" s="6">
        <v>4</v>
      </c>
      <c r="H264" s="6">
        <v>81676</v>
      </c>
      <c r="I264" s="6" t="s">
        <v>17</v>
      </c>
      <c r="J264" s="6">
        <v>27378947</v>
      </c>
      <c r="K264" s="6" t="s">
        <v>1354</v>
      </c>
      <c r="L264" s="17" t="s">
        <v>1356</v>
      </c>
      <c r="M264" s="8">
        <v>219900</v>
      </c>
      <c r="N264" s="36">
        <f t="shared" si="19"/>
        <v>0.75</v>
      </c>
      <c r="O264" s="35">
        <f t="shared" si="20"/>
        <v>54975</v>
      </c>
      <c r="P264" s="33" t="s">
        <v>16</v>
      </c>
    </row>
    <row r="265" spans="1:16" x14ac:dyDescent="0.35">
      <c r="A265" s="33" t="str">
        <f t="shared" si="21"/>
        <v>2024 JAN-DEC DISC 75 LICENSE ESS</v>
      </c>
      <c r="B265" s="34">
        <f t="shared" si="21"/>
        <v>46104</v>
      </c>
      <c r="C265" s="34">
        <f t="shared" si="21"/>
        <v>46113</v>
      </c>
      <c r="D265" s="6">
        <v>3287</v>
      </c>
      <c r="E265" s="6">
        <v>338</v>
      </c>
      <c r="F265" s="6">
        <v>4</v>
      </c>
      <c r="G265" s="6">
        <v>4</v>
      </c>
      <c r="H265" s="6">
        <v>81676</v>
      </c>
      <c r="I265" s="6" t="s">
        <v>17</v>
      </c>
      <c r="J265" s="6">
        <v>27378956</v>
      </c>
      <c r="K265" s="6" t="s">
        <v>1354</v>
      </c>
      <c r="L265" s="17" t="s">
        <v>1357</v>
      </c>
      <c r="M265" s="8">
        <v>219900</v>
      </c>
      <c r="N265" s="36">
        <f t="shared" si="19"/>
        <v>0.75</v>
      </c>
      <c r="O265" s="35">
        <f t="shared" si="20"/>
        <v>54975</v>
      </c>
      <c r="P265" s="33" t="s">
        <v>16</v>
      </c>
    </row>
    <row r="266" spans="1:16" x14ac:dyDescent="0.35">
      <c r="A266" s="33" t="str">
        <f t="shared" si="21"/>
        <v>2024 JAN-DEC DISC 75 LICENSE ESS</v>
      </c>
      <c r="B266" s="34">
        <f t="shared" si="21"/>
        <v>46104</v>
      </c>
      <c r="C266" s="34">
        <f t="shared" si="21"/>
        <v>46113</v>
      </c>
      <c r="D266" s="6">
        <v>3287</v>
      </c>
      <c r="E266" s="6">
        <v>338</v>
      </c>
      <c r="F266" s="6">
        <v>4</v>
      </c>
      <c r="G266" s="6">
        <v>4</v>
      </c>
      <c r="H266" s="6">
        <v>81676</v>
      </c>
      <c r="I266" s="6" t="s">
        <v>17</v>
      </c>
      <c r="J266" s="6">
        <v>27378965</v>
      </c>
      <c r="K266" s="6" t="s">
        <v>1354</v>
      </c>
      <c r="L266" s="17" t="s">
        <v>1358</v>
      </c>
      <c r="M266" s="8">
        <v>219900</v>
      </c>
      <c r="N266" s="36">
        <f t="shared" si="19"/>
        <v>0.75</v>
      </c>
      <c r="O266" s="35">
        <f t="shared" si="20"/>
        <v>54975</v>
      </c>
      <c r="P266" s="33" t="s">
        <v>16</v>
      </c>
    </row>
    <row r="267" spans="1:16" x14ac:dyDescent="0.35">
      <c r="A267" s="33" t="str">
        <f t="shared" si="21"/>
        <v>2024 JAN-DEC DISC 75 LICENSE ESS</v>
      </c>
      <c r="B267" s="34">
        <f t="shared" si="21"/>
        <v>46104</v>
      </c>
      <c r="C267" s="34">
        <f t="shared" si="21"/>
        <v>46113</v>
      </c>
      <c r="D267" s="6">
        <v>3287</v>
      </c>
      <c r="E267" s="6">
        <v>338</v>
      </c>
      <c r="F267" s="6">
        <v>4</v>
      </c>
      <c r="G267" s="6">
        <v>4</v>
      </c>
      <c r="H267" s="6">
        <v>81676</v>
      </c>
      <c r="I267" s="6" t="s">
        <v>17</v>
      </c>
      <c r="J267" s="6">
        <v>27378974</v>
      </c>
      <c r="K267" s="6" t="s">
        <v>1354</v>
      </c>
      <c r="L267" s="17" t="s">
        <v>1359</v>
      </c>
      <c r="M267" s="8">
        <v>229900</v>
      </c>
      <c r="N267" s="36">
        <f t="shared" si="19"/>
        <v>0.75</v>
      </c>
      <c r="O267" s="35">
        <f t="shared" si="20"/>
        <v>57475</v>
      </c>
      <c r="P267" s="33" t="s">
        <v>16</v>
      </c>
    </row>
    <row r="268" spans="1:16" x14ac:dyDescent="0.35">
      <c r="A268" s="33" t="str">
        <f t="shared" si="21"/>
        <v>2024 JAN-DEC DISC 75 LICENSE ESS</v>
      </c>
      <c r="B268" s="34">
        <f t="shared" si="21"/>
        <v>46104</v>
      </c>
      <c r="C268" s="34">
        <f t="shared" si="21"/>
        <v>46113</v>
      </c>
      <c r="D268" s="6">
        <v>3287</v>
      </c>
      <c r="E268" s="6">
        <v>338</v>
      </c>
      <c r="F268" s="6">
        <v>4</v>
      </c>
      <c r="G268" s="6">
        <v>4</v>
      </c>
      <c r="H268" s="6">
        <v>81676</v>
      </c>
      <c r="I268" s="6" t="s">
        <v>17</v>
      </c>
      <c r="J268" s="6">
        <v>27378983</v>
      </c>
      <c r="K268" s="6" t="s">
        <v>1354</v>
      </c>
      <c r="L268" s="17" t="s">
        <v>1360</v>
      </c>
      <c r="M268" s="8">
        <v>229900</v>
      </c>
      <c r="N268" s="36">
        <f t="shared" si="19"/>
        <v>0.75</v>
      </c>
      <c r="O268" s="35">
        <f t="shared" si="20"/>
        <v>57475</v>
      </c>
      <c r="P268" s="33" t="s">
        <v>16</v>
      </c>
    </row>
    <row r="269" spans="1:16" x14ac:dyDescent="0.35">
      <c r="A269" s="33" t="str">
        <f t="shared" si="21"/>
        <v>2024 JAN-DEC DISC 75 LICENSE ESS</v>
      </c>
      <c r="B269" s="34">
        <f t="shared" si="21"/>
        <v>46104</v>
      </c>
      <c r="C269" s="34">
        <f t="shared" si="21"/>
        <v>46113</v>
      </c>
      <c r="D269" s="6">
        <v>3287</v>
      </c>
      <c r="E269" s="6">
        <v>338</v>
      </c>
      <c r="F269" s="6">
        <v>4</v>
      </c>
      <c r="G269" s="6">
        <v>4</v>
      </c>
      <c r="H269" s="6">
        <v>81676</v>
      </c>
      <c r="I269" s="6" t="s">
        <v>17</v>
      </c>
      <c r="J269" s="6">
        <v>27378992</v>
      </c>
      <c r="K269" s="6" t="s">
        <v>1354</v>
      </c>
      <c r="L269" s="17" t="s">
        <v>1361</v>
      </c>
      <c r="M269" s="8">
        <v>229900</v>
      </c>
      <c r="N269" s="36">
        <f t="shared" si="19"/>
        <v>0.75</v>
      </c>
      <c r="O269" s="35">
        <f t="shared" si="20"/>
        <v>57475</v>
      </c>
      <c r="P269" s="33" t="s">
        <v>16</v>
      </c>
    </row>
    <row r="270" spans="1:16" x14ac:dyDescent="0.35">
      <c r="A270" s="33" t="str">
        <f t="shared" si="21"/>
        <v>2024 JAN-DEC DISC 75 LICENSE ESS</v>
      </c>
      <c r="B270" s="34">
        <f t="shared" si="21"/>
        <v>46104</v>
      </c>
      <c r="C270" s="34">
        <f t="shared" si="21"/>
        <v>46113</v>
      </c>
      <c r="D270" s="6">
        <v>3287</v>
      </c>
      <c r="E270" s="6">
        <v>338</v>
      </c>
      <c r="F270" s="6">
        <v>4</v>
      </c>
      <c r="G270" s="6">
        <v>4</v>
      </c>
      <c r="H270" s="6">
        <v>81676</v>
      </c>
      <c r="I270" s="6" t="s">
        <v>17</v>
      </c>
      <c r="J270" s="6">
        <v>27379008</v>
      </c>
      <c r="K270" s="6" t="s">
        <v>1354</v>
      </c>
      <c r="L270" s="17" t="s">
        <v>1362</v>
      </c>
      <c r="M270" s="8">
        <v>229900</v>
      </c>
      <c r="N270" s="36">
        <f t="shared" si="19"/>
        <v>0.75</v>
      </c>
      <c r="O270" s="35">
        <f t="shared" si="20"/>
        <v>57475</v>
      </c>
      <c r="P270" s="33" t="s">
        <v>16</v>
      </c>
    </row>
    <row r="271" spans="1:16" x14ac:dyDescent="0.35">
      <c r="A271" s="33" t="str">
        <f t="shared" si="21"/>
        <v>2024 JAN-DEC DISC 75 LICENSE ESS</v>
      </c>
      <c r="B271" s="34">
        <f t="shared" si="21"/>
        <v>46104</v>
      </c>
      <c r="C271" s="34">
        <f t="shared" si="21"/>
        <v>46113</v>
      </c>
      <c r="D271" s="6">
        <v>3287</v>
      </c>
      <c r="E271" s="6">
        <v>338</v>
      </c>
      <c r="F271" s="6">
        <v>4</v>
      </c>
      <c r="G271" s="6">
        <v>4</v>
      </c>
      <c r="H271" s="6">
        <v>81676</v>
      </c>
      <c r="I271" s="6" t="s">
        <v>17</v>
      </c>
      <c r="J271" s="6">
        <v>27379017</v>
      </c>
      <c r="K271" s="6" t="s">
        <v>1363</v>
      </c>
      <c r="L271" s="17" t="s">
        <v>1364</v>
      </c>
      <c r="M271" s="8">
        <v>219900</v>
      </c>
      <c r="N271" s="36">
        <f t="shared" si="19"/>
        <v>0.75</v>
      </c>
      <c r="O271" s="35">
        <f t="shared" si="20"/>
        <v>54975</v>
      </c>
      <c r="P271" s="33" t="s">
        <v>16</v>
      </c>
    </row>
    <row r="272" spans="1:16" x14ac:dyDescent="0.35">
      <c r="A272" s="33" t="str">
        <f t="shared" si="21"/>
        <v>2024 JAN-DEC DISC 75 LICENSE ESS</v>
      </c>
      <c r="B272" s="34">
        <f t="shared" si="21"/>
        <v>46104</v>
      </c>
      <c r="C272" s="34">
        <f t="shared" si="21"/>
        <v>46113</v>
      </c>
      <c r="D272" s="6">
        <v>3287</v>
      </c>
      <c r="E272" s="6">
        <v>338</v>
      </c>
      <c r="F272" s="6">
        <v>4</v>
      </c>
      <c r="G272" s="6">
        <v>4</v>
      </c>
      <c r="H272" s="6">
        <v>81676</v>
      </c>
      <c r="I272" s="6" t="s">
        <v>17</v>
      </c>
      <c r="J272" s="6">
        <v>27379026</v>
      </c>
      <c r="K272" s="6" t="s">
        <v>1363</v>
      </c>
      <c r="L272" s="17" t="s">
        <v>1365</v>
      </c>
      <c r="M272" s="8">
        <v>219900</v>
      </c>
      <c r="N272" s="36">
        <f t="shared" si="19"/>
        <v>0.75</v>
      </c>
      <c r="O272" s="35">
        <f t="shared" si="20"/>
        <v>54975</v>
      </c>
      <c r="P272" s="33" t="s">
        <v>16</v>
      </c>
    </row>
    <row r="273" spans="1:16" x14ac:dyDescent="0.35">
      <c r="A273" s="33" t="str">
        <f t="shared" si="21"/>
        <v>2024 JAN-DEC DISC 75 LICENSE ESS</v>
      </c>
      <c r="B273" s="34">
        <f t="shared" si="21"/>
        <v>46104</v>
      </c>
      <c r="C273" s="34">
        <f t="shared" si="21"/>
        <v>46113</v>
      </c>
      <c r="D273" s="6">
        <v>3287</v>
      </c>
      <c r="E273" s="6">
        <v>338</v>
      </c>
      <c r="F273" s="6">
        <v>4</v>
      </c>
      <c r="G273" s="6">
        <v>4</v>
      </c>
      <c r="H273" s="6">
        <v>81676</v>
      </c>
      <c r="I273" s="6" t="s">
        <v>17</v>
      </c>
      <c r="J273" s="6">
        <v>27379035</v>
      </c>
      <c r="K273" s="6" t="s">
        <v>1363</v>
      </c>
      <c r="L273" s="17" t="s">
        <v>1366</v>
      </c>
      <c r="M273" s="8">
        <v>219900</v>
      </c>
      <c r="N273" s="36">
        <f t="shared" si="19"/>
        <v>0.75</v>
      </c>
      <c r="O273" s="35">
        <f t="shared" si="20"/>
        <v>54975</v>
      </c>
      <c r="P273" s="33" t="s">
        <v>16</v>
      </c>
    </row>
    <row r="274" spans="1:16" x14ac:dyDescent="0.35">
      <c r="A274" s="33" t="str">
        <f t="shared" si="21"/>
        <v>2024 JAN-DEC DISC 75 LICENSE ESS</v>
      </c>
      <c r="B274" s="34">
        <f t="shared" si="21"/>
        <v>46104</v>
      </c>
      <c r="C274" s="34">
        <f t="shared" si="21"/>
        <v>46113</v>
      </c>
      <c r="D274" s="6">
        <v>3287</v>
      </c>
      <c r="E274" s="6">
        <v>338</v>
      </c>
      <c r="F274" s="6">
        <v>4</v>
      </c>
      <c r="G274" s="6">
        <v>4</v>
      </c>
      <c r="H274" s="6">
        <v>81676</v>
      </c>
      <c r="I274" s="6" t="s">
        <v>17</v>
      </c>
      <c r="J274" s="6">
        <v>27379044</v>
      </c>
      <c r="K274" s="6" t="s">
        <v>1363</v>
      </c>
      <c r="L274" s="17" t="s">
        <v>1367</v>
      </c>
      <c r="M274" s="8">
        <v>219900</v>
      </c>
      <c r="N274" s="36">
        <f t="shared" si="19"/>
        <v>0.75</v>
      </c>
      <c r="O274" s="35">
        <f t="shared" si="20"/>
        <v>54975</v>
      </c>
      <c r="P274" s="33" t="s">
        <v>16</v>
      </c>
    </row>
    <row r="275" spans="1:16" x14ac:dyDescent="0.35">
      <c r="A275" s="33" t="str">
        <f t="shared" si="21"/>
        <v>2024 JAN-DEC DISC 75 LICENSE ESS</v>
      </c>
      <c r="B275" s="34">
        <f t="shared" si="21"/>
        <v>46104</v>
      </c>
      <c r="C275" s="34">
        <f t="shared" si="21"/>
        <v>46113</v>
      </c>
      <c r="D275" s="6">
        <v>3287</v>
      </c>
      <c r="E275" s="6">
        <v>338</v>
      </c>
      <c r="F275" s="6">
        <v>4</v>
      </c>
      <c r="G275" s="6">
        <v>4</v>
      </c>
      <c r="H275" s="6">
        <v>81676</v>
      </c>
      <c r="I275" s="6" t="s">
        <v>17</v>
      </c>
      <c r="J275" s="6">
        <v>27379053</v>
      </c>
      <c r="K275" s="6" t="s">
        <v>1363</v>
      </c>
      <c r="L275" s="17" t="s">
        <v>1368</v>
      </c>
      <c r="M275" s="8">
        <v>229900</v>
      </c>
      <c r="N275" s="36">
        <f t="shared" si="19"/>
        <v>0.75</v>
      </c>
      <c r="O275" s="35">
        <f t="shared" si="20"/>
        <v>57475</v>
      </c>
      <c r="P275" s="33" t="s">
        <v>16</v>
      </c>
    </row>
    <row r="276" spans="1:16" x14ac:dyDescent="0.35">
      <c r="A276" s="33" t="str">
        <f t="shared" si="21"/>
        <v>2024 JAN-DEC DISC 75 LICENSE ESS</v>
      </c>
      <c r="B276" s="34">
        <f t="shared" si="21"/>
        <v>46104</v>
      </c>
      <c r="C276" s="34">
        <f t="shared" si="21"/>
        <v>46113</v>
      </c>
      <c r="D276" s="6">
        <v>3287</v>
      </c>
      <c r="E276" s="6">
        <v>338</v>
      </c>
      <c r="F276" s="6">
        <v>4</v>
      </c>
      <c r="G276" s="6">
        <v>4</v>
      </c>
      <c r="H276" s="6">
        <v>81676</v>
      </c>
      <c r="I276" s="6" t="s">
        <v>17</v>
      </c>
      <c r="J276" s="6">
        <v>27379062</v>
      </c>
      <c r="K276" s="6" t="s">
        <v>1363</v>
      </c>
      <c r="L276" s="17" t="s">
        <v>1369</v>
      </c>
      <c r="M276" s="8">
        <v>229900</v>
      </c>
      <c r="N276" s="36">
        <f t="shared" si="19"/>
        <v>0.75</v>
      </c>
      <c r="O276" s="35">
        <f t="shared" si="20"/>
        <v>57475</v>
      </c>
      <c r="P276" s="33" t="s">
        <v>16</v>
      </c>
    </row>
    <row r="277" spans="1:16" x14ac:dyDescent="0.35">
      <c r="A277" s="33" t="str">
        <f t="shared" si="21"/>
        <v>2024 JAN-DEC DISC 75 LICENSE ESS</v>
      </c>
      <c r="B277" s="34">
        <f t="shared" si="21"/>
        <v>46104</v>
      </c>
      <c r="C277" s="34">
        <f t="shared" si="21"/>
        <v>46113</v>
      </c>
      <c r="D277" s="6">
        <v>3287</v>
      </c>
      <c r="E277" s="6">
        <v>338</v>
      </c>
      <c r="F277" s="6">
        <v>4</v>
      </c>
      <c r="G277" s="6">
        <v>4</v>
      </c>
      <c r="H277" s="6">
        <v>81676</v>
      </c>
      <c r="I277" s="6" t="s">
        <v>17</v>
      </c>
      <c r="J277" s="6">
        <v>27379071</v>
      </c>
      <c r="K277" s="6" t="s">
        <v>1363</v>
      </c>
      <c r="L277" s="17" t="s">
        <v>1370</v>
      </c>
      <c r="M277" s="8">
        <v>229900</v>
      </c>
      <c r="N277" s="36">
        <f t="shared" si="19"/>
        <v>0.75</v>
      </c>
      <c r="O277" s="35">
        <f t="shared" si="20"/>
        <v>57475</v>
      </c>
      <c r="P277" s="33" t="s">
        <v>16</v>
      </c>
    </row>
    <row r="278" spans="1:16" x14ac:dyDescent="0.35">
      <c r="A278" s="33" t="str">
        <f t="shared" si="21"/>
        <v>2024 JAN-DEC DISC 75 LICENSE ESS</v>
      </c>
      <c r="B278" s="34">
        <f t="shared" si="21"/>
        <v>46104</v>
      </c>
      <c r="C278" s="34">
        <f t="shared" si="21"/>
        <v>46113</v>
      </c>
      <c r="D278" s="6">
        <v>3287</v>
      </c>
      <c r="E278" s="6">
        <v>338</v>
      </c>
      <c r="F278" s="6">
        <v>4</v>
      </c>
      <c r="G278" s="6">
        <v>4</v>
      </c>
      <c r="H278" s="6">
        <v>81676</v>
      </c>
      <c r="I278" s="6" t="s">
        <v>17</v>
      </c>
      <c r="J278" s="6">
        <v>27379080</v>
      </c>
      <c r="K278" s="6" t="s">
        <v>1363</v>
      </c>
      <c r="L278" s="17" t="s">
        <v>1371</v>
      </c>
      <c r="M278" s="8">
        <v>229900</v>
      </c>
      <c r="N278" s="36">
        <f t="shared" si="19"/>
        <v>0.75</v>
      </c>
      <c r="O278" s="35">
        <f t="shared" si="20"/>
        <v>57475</v>
      </c>
      <c r="P278" s="33" t="s">
        <v>16</v>
      </c>
    </row>
    <row r="279" spans="1:16" x14ac:dyDescent="0.35">
      <c r="A279" s="33" t="str">
        <f t="shared" si="21"/>
        <v>2024 JAN-DEC DISC 75 LICENSE ESS</v>
      </c>
      <c r="B279" s="34">
        <f t="shared" si="21"/>
        <v>46104</v>
      </c>
      <c r="C279" s="34">
        <f t="shared" si="21"/>
        <v>46113</v>
      </c>
      <c r="D279" s="6">
        <v>3287</v>
      </c>
      <c r="E279" s="6">
        <v>338</v>
      </c>
      <c r="F279" s="6">
        <v>4</v>
      </c>
      <c r="G279" s="6">
        <v>4</v>
      </c>
      <c r="H279" s="6">
        <v>81676</v>
      </c>
      <c r="I279" s="6" t="s">
        <v>17</v>
      </c>
      <c r="J279" s="6">
        <v>45812997</v>
      </c>
      <c r="K279" s="6" t="s">
        <v>1695</v>
      </c>
      <c r="L279" s="17" t="s">
        <v>1696</v>
      </c>
      <c r="M279" s="8">
        <v>219900</v>
      </c>
      <c r="N279" s="36">
        <f t="shared" si="19"/>
        <v>0.75</v>
      </c>
      <c r="O279" s="35">
        <f t="shared" si="20"/>
        <v>54975</v>
      </c>
      <c r="P279" s="33" t="s">
        <v>16</v>
      </c>
    </row>
    <row r="280" spans="1:16" x14ac:dyDescent="0.35">
      <c r="A280" s="33" t="str">
        <f t="shared" si="21"/>
        <v>2024 JAN-DEC DISC 75 LICENSE ESS</v>
      </c>
      <c r="B280" s="34">
        <f t="shared" si="21"/>
        <v>46104</v>
      </c>
      <c r="C280" s="34">
        <f t="shared" si="21"/>
        <v>46113</v>
      </c>
      <c r="D280" s="6">
        <v>3287</v>
      </c>
      <c r="E280" s="6">
        <v>338</v>
      </c>
      <c r="F280" s="6">
        <v>4</v>
      </c>
      <c r="G280" s="6">
        <v>4</v>
      </c>
      <c r="H280" s="6">
        <v>81676</v>
      </c>
      <c r="I280" s="6" t="s">
        <v>17</v>
      </c>
      <c r="J280" s="6">
        <v>45813003</v>
      </c>
      <c r="K280" s="6" t="s">
        <v>1695</v>
      </c>
      <c r="L280" s="17" t="s">
        <v>1697</v>
      </c>
      <c r="M280" s="8">
        <v>219900</v>
      </c>
      <c r="N280" s="36">
        <f t="shared" si="19"/>
        <v>0.75</v>
      </c>
      <c r="O280" s="35">
        <f t="shared" si="20"/>
        <v>54975</v>
      </c>
      <c r="P280" s="33" t="s">
        <v>16</v>
      </c>
    </row>
    <row r="281" spans="1:16" x14ac:dyDescent="0.35">
      <c r="A281" s="33" t="str">
        <f t="shared" si="21"/>
        <v>2024 JAN-DEC DISC 75 LICENSE ESS</v>
      </c>
      <c r="B281" s="34">
        <f t="shared" si="21"/>
        <v>46104</v>
      </c>
      <c r="C281" s="34">
        <f t="shared" si="21"/>
        <v>46113</v>
      </c>
      <c r="D281" s="6">
        <v>3287</v>
      </c>
      <c r="E281" s="6">
        <v>338</v>
      </c>
      <c r="F281" s="6">
        <v>4</v>
      </c>
      <c r="G281" s="6">
        <v>4</v>
      </c>
      <c r="H281" s="6">
        <v>81676</v>
      </c>
      <c r="I281" s="6" t="s">
        <v>17</v>
      </c>
      <c r="J281" s="6">
        <v>45813012</v>
      </c>
      <c r="K281" s="6" t="s">
        <v>1695</v>
      </c>
      <c r="L281" s="17" t="s">
        <v>1698</v>
      </c>
      <c r="M281" s="8">
        <v>219900</v>
      </c>
      <c r="N281" s="36">
        <f t="shared" si="19"/>
        <v>0.75</v>
      </c>
      <c r="O281" s="35">
        <f t="shared" si="20"/>
        <v>54975</v>
      </c>
      <c r="P281" s="33" t="s">
        <v>16</v>
      </c>
    </row>
    <row r="282" spans="1:16" x14ac:dyDescent="0.35">
      <c r="A282" s="33" t="str">
        <f t="shared" si="21"/>
        <v>2024 JAN-DEC DISC 75 LICENSE ESS</v>
      </c>
      <c r="B282" s="34">
        <f t="shared" si="21"/>
        <v>46104</v>
      </c>
      <c r="C282" s="34">
        <f t="shared" si="21"/>
        <v>46113</v>
      </c>
      <c r="D282" s="6">
        <v>3287</v>
      </c>
      <c r="E282" s="6">
        <v>338</v>
      </c>
      <c r="F282" s="6">
        <v>4</v>
      </c>
      <c r="G282" s="6">
        <v>4</v>
      </c>
      <c r="H282" s="6">
        <v>81676</v>
      </c>
      <c r="I282" s="6" t="s">
        <v>17</v>
      </c>
      <c r="J282" s="6">
        <v>45813021</v>
      </c>
      <c r="K282" s="6" t="s">
        <v>1695</v>
      </c>
      <c r="L282" s="17" t="s">
        <v>1699</v>
      </c>
      <c r="M282" s="8">
        <v>219900</v>
      </c>
      <c r="N282" s="36">
        <f t="shared" si="19"/>
        <v>0.75</v>
      </c>
      <c r="O282" s="35">
        <f t="shared" si="20"/>
        <v>54975</v>
      </c>
      <c r="P282" s="33" t="s">
        <v>16</v>
      </c>
    </row>
    <row r="283" spans="1:16" x14ac:dyDescent="0.35">
      <c r="A283" s="33" t="str">
        <f t="shared" si="21"/>
        <v>2024 JAN-DEC DISC 75 LICENSE ESS</v>
      </c>
      <c r="B283" s="34">
        <f t="shared" si="21"/>
        <v>46104</v>
      </c>
      <c r="C283" s="34">
        <f t="shared" si="21"/>
        <v>46113</v>
      </c>
      <c r="D283" s="6">
        <v>3287</v>
      </c>
      <c r="E283" s="6">
        <v>338</v>
      </c>
      <c r="F283" s="6">
        <v>4</v>
      </c>
      <c r="G283" s="6">
        <v>4</v>
      </c>
      <c r="H283" s="6">
        <v>81676</v>
      </c>
      <c r="I283" s="6" t="s">
        <v>17</v>
      </c>
      <c r="J283" s="6">
        <v>45813030</v>
      </c>
      <c r="K283" s="6" t="s">
        <v>1695</v>
      </c>
      <c r="L283" s="17" t="s">
        <v>1700</v>
      </c>
      <c r="M283" s="8">
        <v>229900</v>
      </c>
      <c r="N283" s="36">
        <f t="shared" si="19"/>
        <v>0.75</v>
      </c>
      <c r="O283" s="35">
        <f t="shared" si="20"/>
        <v>57475</v>
      </c>
      <c r="P283" s="33" t="s">
        <v>16</v>
      </c>
    </row>
    <row r="284" spans="1:16" x14ac:dyDescent="0.35">
      <c r="A284" s="33" t="str">
        <f t="shared" si="21"/>
        <v>2024 JAN-DEC DISC 75 LICENSE ESS</v>
      </c>
      <c r="B284" s="34">
        <f t="shared" si="21"/>
        <v>46104</v>
      </c>
      <c r="C284" s="34">
        <f t="shared" si="21"/>
        <v>46113</v>
      </c>
      <c r="D284" s="6">
        <v>3287</v>
      </c>
      <c r="E284" s="6">
        <v>338</v>
      </c>
      <c r="F284" s="6">
        <v>4</v>
      </c>
      <c r="G284" s="6">
        <v>4</v>
      </c>
      <c r="H284" s="6">
        <v>81676</v>
      </c>
      <c r="I284" s="6" t="s">
        <v>17</v>
      </c>
      <c r="J284" s="6">
        <v>45813049</v>
      </c>
      <c r="K284" s="6" t="s">
        <v>1695</v>
      </c>
      <c r="L284" s="17" t="s">
        <v>1701</v>
      </c>
      <c r="M284" s="8">
        <v>229900</v>
      </c>
      <c r="N284" s="36">
        <f t="shared" si="19"/>
        <v>0.75</v>
      </c>
      <c r="O284" s="35">
        <f t="shared" si="20"/>
        <v>57475</v>
      </c>
      <c r="P284" s="33" t="s">
        <v>16</v>
      </c>
    </row>
    <row r="285" spans="1:16" x14ac:dyDescent="0.35">
      <c r="A285" s="33" t="str">
        <f t="shared" si="21"/>
        <v>2024 JAN-DEC DISC 75 LICENSE ESS</v>
      </c>
      <c r="B285" s="34">
        <f t="shared" si="21"/>
        <v>46104</v>
      </c>
      <c r="C285" s="34">
        <f t="shared" si="21"/>
        <v>46113</v>
      </c>
      <c r="D285" s="6">
        <v>3287</v>
      </c>
      <c r="E285" s="6">
        <v>338</v>
      </c>
      <c r="F285" s="6">
        <v>4</v>
      </c>
      <c r="G285" s="6">
        <v>4</v>
      </c>
      <c r="H285" s="6">
        <v>81676</v>
      </c>
      <c r="I285" s="6" t="s">
        <v>17</v>
      </c>
      <c r="J285" s="6">
        <v>45813058</v>
      </c>
      <c r="K285" s="6" t="s">
        <v>1695</v>
      </c>
      <c r="L285" s="17" t="s">
        <v>1702</v>
      </c>
      <c r="M285" s="8">
        <v>229900</v>
      </c>
      <c r="N285" s="36">
        <f t="shared" si="19"/>
        <v>0.75</v>
      </c>
      <c r="O285" s="35">
        <f t="shared" si="20"/>
        <v>57475</v>
      </c>
      <c r="P285" s="33" t="s">
        <v>16</v>
      </c>
    </row>
    <row r="286" spans="1:16" x14ac:dyDescent="0.35">
      <c r="A286" s="33" t="str">
        <f t="shared" si="21"/>
        <v>2024 JAN-DEC DISC 75 LICENSE ESS</v>
      </c>
      <c r="B286" s="34">
        <f t="shared" si="21"/>
        <v>46104</v>
      </c>
      <c r="C286" s="34">
        <f t="shared" si="21"/>
        <v>46113</v>
      </c>
      <c r="D286" s="6">
        <v>3287</v>
      </c>
      <c r="E286" s="6">
        <v>338</v>
      </c>
      <c r="F286" s="6">
        <v>4</v>
      </c>
      <c r="G286" s="6">
        <v>4</v>
      </c>
      <c r="H286" s="6">
        <v>81676</v>
      </c>
      <c r="I286" s="6" t="s">
        <v>17</v>
      </c>
      <c r="J286" s="6">
        <v>45813067</v>
      </c>
      <c r="K286" s="6" t="s">
        <v>1695</v>
      </c>
      <c r="L286" s="17" t="s">
        <v>1703</v>
      </c>
      <c r="M286" s="8">
        <v>229900</v>
      </c>
      <c r="N286" s="36">
        <f t="shared" si="19"/>
        <v>0.75</v>
      </c>
      <c r="O286" s="35">
        <f t="shared" si="20"/>
        <v>57475</v>
      </c>
      <c r="P286" s="33" t="s">
        <v>16</v>
      </c>
    </row>
    <row r="287" spans="1:16" x14ac:dyDescent="0.35">
      <c r="A287" s="33" t="str">
        <f t="shared" si="21"/>
        <v>2024 JAN-DEC DISC 75 LICENSE ESS</v>
      </c>
      <c r="B287" s="34">
        <f t="shared" si="21"/>
        <v>46104</v>
      </c>
      <c r="C287" s="34">
        <f t="shared" si="21"/>
        <v>46113</v>
      </c>
      <c r="D287" s="6">
        <v>3287</v>
      </c>
      <c r="E287" s="6">
        <v>338</v>
      </c>
      <c r="F287" s="6">
        <v>4</v>
      </c>
      <c r="G287" s="6">
        <v>7</v>
      </c>
      <c r="H287" s="6">
        <v>81595</v>
      </c>
      <c r="I287" s="6" t="s">
        <v>17</v>
      </c>
      <c r="J287" s="6">
        <v>27377804</v>
      </c>
      <c r="K287" s="6" t="s">
        <v>1333</v>
      </c>
      <c r="L287" s="17" t="s">
        <v>1334</v>
      </c>
      <c r="M287" s="8">
        <v>35900</v>
      </c>
      <c r="N287" s="36">
        <f t="shared" si="19"/>
        <v>0.75</v>
      </c>
      <c r="O287" s="35">
        <f t="shared" si="20"/>
        <v>8975</v>
      </c>
      <c r="P287" s="33" t="s">
        <v>16</v>
      </c>
    </row>
    <row r="288" spans="1:16" x14ac:dyDescent="0.35">
      <c r="A288" s="33" t="str">
        <f t="shared" si="21"/>
        <v>2024 JAN-DEC DISC 75 LICENSE ESS</v>
      </c>
      <c r="B288" s="34">
        <f t="shared" si="21"/>
        <v>46104</v>
      </c>
      <c r="C288" s="34">
        <f t="shared" si="21"/>
        <v>46113</v>
      </c>
      <c r="D288" s="6">
        <v>3287</v>
      </c>
      <c r="E288" s="6">
        <v>338</v>
      </c>
      <c r="F288" s="6">
        <v>4</v>
      </c>
      <c r="G288" s="6">
        <v>7</v>
      </c>
      <c r="H288" s="6">
        <v>81595</v>
      </c>
      <c r="I288" s="6" t="s">
        <v>17</v>
      </c>
      <c r="J288" s="6">
        <v>27377813</v>
      </c>
      <c r="K288" s="6" t="s">
        <v>1333</v>
      </c>
      <c r="L288" s="17" t="s">
        <v>1335</v>
      </c>
      <c r="M288" s="8">
        <v>35900</v>
      </c>
      <c r="N288" s="36">
        <f t="shared" si="19"/>
        <v>0.75</v>
      </c>
      <c r="O288" s="35">
        <f t="shared" si="20"/>
        <v>8975</v>
      </c>
      <c r="P288" s="33" t="s">
        <v>16</v>
      </c>
    </row>
    <row r="289" spans="1:16" x14ac:dyDescent="0.35">
      <c r="A289" s="33" t="str">
        <f t="shared" si="21"/>
        <v>2024 JAN-DEC DISC 75 LICENSE ESS</v>
      </c>
      <c r="B289" s="34">
        <f t="shared" si="21"/>
        <v>46104</v>
      </c>
      <c r="C289" s="34">
        <f t="shared" si="21"/>
        <v>46113</v>
      </c>
      <c r="D289" s="6">
        <v>3287</v>
      </c>
      <c r="E289" s="6">
        <v>338</v>
      </c>
      <c r="F289" s="6">
        <v>4</v>
      </c>
      <c r="G289" s="6">
        <v>7</v>
      </c>
      <c r="H289" s="6">
        <v>81595</v>
      </c>
      <c r="I289" s="6" t="s">
        <v>17</v>
      </c>
      <c r="J289" s="6">
        <v>27377822</v>
      </c>
      <c r="K289" s="6" t="s">
        <v>1330</v>
      </c>
      <c r="L289" s="17" t="s">
        <v>1331</v>
      </c>
      <c r="M289" s="8">
        <v>35900</v>
      </c>
      <c r="N289" s="36">
        <f t="shared" si="19"/>
        <v>0.75</v>
      </c>
      <c r="O289" s="35">
        <f t="shared" si="20"/>
        <v>8975</v>
      </c>
      <c r="P289" s="33" t="s">
        <v>16</v>
      </c>
    </row>
    <row r="290" spans="1:16" x14ac:dyDescent="0.35">
      <c r="A290" s="33" t="str">
        <f t="shared" si="21"/>
        <v>2024 JAN-DEC DISC 75 LICENSE ESS</v>
      </c>
      <c r="B290" s="34">
        <f t="shared" si="21"/>
        <v>46104</v>
      </c>
      <c r="C290" s="34">
        <f t="shared" si="21"/>
        <v>46113</v>
      </c>
      <c r="D290" s="6">
        <v>3287</v>
      </c>
      <c r="E290" s="6">
        <v>338</v>
      </c>
      <c r="F290" s="6">
        <v>4</v>
      </c>
      <c r="G290" s="6">
        <v>7</v>
      </c>
      <c r="H290" s="6">
        <v>81595</v>
      </c>
      <c r="I290" s="6" t="s">
        <v>17</v>
      </c>
      <c r="J290" s="6">
        <v>27377831</v>
      </c>
      <c r="K290" s="6" t="s">
        <v>1330</v>
      </c>
      <c r="L290" s="17" t="s">
        <v>1332</v>
      </c>
      <c r="M290" s="8">
        <v>35900</v>
      </c>
      <c r="N290" s="36">
        <f t="shared" si="19"/>
        <v>0.75</v>
      </c>
      <c r="O290" s="35">
        <f t="shared" si="20"/>
        <v>8975</v>
      </c>
      <c r="P290" s="33" t="s">
        <v>16</v>
      </c>
    </row>
    <row r="291" spans="1:16" x14ac:dyDescent="0.35">
      <c r="A291" s="33" t="str">
        <f t="shared" si="21"/>
        <v>2024 JAN-DEC DISC 75 LICENSE ESS</v>
      </c>
      <c r="B291" s="34">
        <f t="shared" si="21"/>
        <v>46104</v>
      </c>
      <c r="C291" s="34">
        <f t="shared" si="21"/>
        <v>46113</v>
      </c>
      <c r="D291" s="6">
        <v>3287</v>
      </c>
      <c r="E291" s="6">
        <v>338</v>
      </c>
      <c r="F291" s="6">
        <v>4</v>
      </c>
      <c r="G291" s="6">
        <v>7</v>
      </c>
      <c r="H291" s="6">
        <v>81595</v>
      </c>
      <c r="I291" s="6" t="s">
        <v>17</v>
      </c>
      <c r="J291" s="6">
        <v>27377840</v>
      </c>
      <c r="K291" s="6" t="s">
        <v>1339</v>
      </c>
      <c r="L291" s="17" t="s">
        <v>1340</v>
      </c>
      <c r="M291" s="8">
        <v>35900</v>
      </c>
      <c r="N291" s="36">
        <f t="shared" si="19"/>
        <v>0.75</v>
      </c>
      <c r="O291" s="35">
        <f t="shared" si="20"/>
        <v>8975</v>
      </c>
      <c r="P291" s="33" t="s">
        <v>16</v>
      </c>
    </row>
    <row r="292" spans="1:16" x14ac:dyDescent="0.35">
      <c r="A292" s="33" t="str">
        <f t="shared" si="21"/>
        <v>2024 JAN-DEC DISC 75 LICENSE ESS</v>
      </c>
      <c r="B292" s="34">
        <f t="shared" si="21"/>
        <v>46104</v>
      </c>
      <c r="C292" s="34">
        <f t="shared" si="21"/>
        <v>46113</v>
      </c>
      <c r="D292" s="6">
        <v>3287</v>
      </c>
      <c r="E292" s="6">
        <v>338</v>
      </c>
      <c r="F292" s="6">
        <v>4</v>
      </c>
      <c r="G292" s="6">
        <v>7</v>
      </c>
      <c r="H292" s="6">
        <v>81595</v>
      </c>
      <c r="I292" s="6" t="s">
        <v>17</v>
      </c>
      <c r="J292" s="6">
        <v>27377859</v>
      </c>
      <c r="K292" s="6" t="s">
        <v>1339</v>
      </c>
      <c r="L292" s="17" t="s">
        <v>1341</v>
      </c>
      <c r="M292" s="8">
        <v>35900</v>
      </c>
      <c r="N292" s="36">
        <f t="shared" si="19"/>
        <v>0.75</v>
      </c>
      <c r="O292" s="35">
        <f t="shared" si="20"/>
        <v>8975</v>
      </c>
      <c r="P292" s="33" t="s">
        <v>16</v>
      </c>
    </row>
    <row r="293" spans="1:16" x14ac:dyDescent="0.35">
      <c r="A293" s="33" t="str">
        <f t="shared" si="21"/>
        <v>2024 JAN-DEC DISC 75 LICENSE ESS</v>
      </c>
      <c r="B293" s="34">
        <f t="shared" si="21"/>
        <v>46104</v>
      </c>
      <c r="C293" s="34">
        <f t="shared" si="21"/>
        <v>46113</v>
      </c>
      <c r="D293" s="6">
        <v>3287</v>
      </c>
      <c r="E293" s="6">
        <v>338</v>
      </c>
      <c r="F293" s="6">
        <v>4</v>
      </c>
      <c r="G293" s="6">
        <v>7</v>
      </c>
      <c r="H293" s="6">
        <v>81595</v>
      </c>
      <c r="I293" s="6" t="s">
        <v>17</v>
      </c>
      <c r="J293" s="6">
        <v>27377868</v>
      </c>
      <c r="K293" s="6" t="s">
        <v>1342</v>
      </c>
      <c r="L293" s="17" t="s">
        <v>1343</v>
      </c>
      <c r="M293" s="8">
        <v>35900</v>
      </c>
      <c r="N293" s="36">
        <f t="shared" si="19"/>
        <v>0.75</v>
      </c>
      <c r="O293" s="35">
        <f t="shared" si="20"/>
        <v>8975</v>
      </c>
      <c r="P293" s="33" t="s">
        <v>16</v>
      </c>
    </row>
    <row r="294" spans="1:16" x14ac:dyDescent="0.35">
      <c r="A294" s="33" t="str">
        <f t="shared" si="21"/>
        <v>2024 JAN-DEC DISC 75 LICENSE ESS</v>
      </c>
      <c r="B294" s="34">
        <f t="shared" si="21"/>
        <v>46104</v>
      </c>
      <c r="C294" s="34">
        <f t="shared" si="21"/>
        <v>46113</v>
      </c>
      <c r="D294" s="6">
        <v>3287</v>
      </c>
      <c r="E294" s="6">
        <v>338</v>
      </c>
      <c r="F294" s="6">
        <v>4</v>
      </c>
      <c r="G294" s="6">
        <v>7</v>
      </c>
      <c r="H294" s="6">
        <v>81595</v>
      </c>
      <c r="I294" s="6" t="s">
        <v>17</v>
      </c>
      <c r="J294" s="6">
        <v>27377877</v>
      </c>
      <c r="K294" s="6" t="s">
        <v>1342</v>
      </c>
      <c r="L294" s="17" t="s">
        <v>1344</v>
      </c>
      <c r="M294" s="8">
        <v>35900</v>
      </c>
      <c r="N294" s="36">
        <f t="shared" si="19"/>
        <v>0.75</v>
      </c>
      <c r="O294" s="35">
        <f t="shared" si="20"/>
        <v>8975</v>
      </c>
      <c r="P294" s="33" t="s">
        <v>16</v>
      </c>
    </row>
    <row r="295" spans="1:16" x14ac:dyDescent="0.35">
      <c r="A295" s="33" t="str">
        <f t="shared" si="21"/>
        <v>2024 JAN-DEC DISC 75 LICENSE ESS</v>
      </c>
      <c r="B295" s="34">
        <f t="shared" si="21"/>
        <v>46104</v>
      </c>
      <c r="C295" s="34">
        <f t="shared" si="21"/>
        <v>46113</v>
      </c>
      <c r="D295" s="6">
        <v>3287</v>
      </c>
      <c r="E295" s="6">
        <v>338</v>
      </c>
      <c r="F295" s="6">
        <v>4</v>
      </c>
      <c r="G295" s="6">
        <v>7</v>
      </c>
      <c r="H295" s="6">
        <v>81595</v>
      </c>
      <c r="I295" s="6" t="s">
        <v>17</v>
      </c>
      <c r="J295" s="6">
        <v>27377886</v>
      </c>
      <c r="K295" s="6" t="s">
        <v>1336</v>
      </c>
      <c r="L295" s="17" t="s">
        <v>1337</v>
      </c>
      <c r="M295" s="8">
        <v>35900</v>
      </c>
      <c r="N295" s="36">
        <f t="shared" si="19"/>
        <v>0.75</v>
      </c>
      <c r="O295" s="35">
        <f t="shared" si="20"/>
        <v>8975</v>
      </c>
      <c r="P295" s="33" t="s">
        <v>16</v>
      </c>
    </row>
    <row r="296" spans="1:16" x14ac:dyDescent="0.35">
      <c r="A296" s="33" t="str">
        <f t="shared" si="21"/>
        <v>2024 JAN-DEC DISC 75 LICENSE ESS</v>
      </c>
      <c r="B296" s="34">
        <f t="shared" si="21"/>
        <v>46104</v>
      </c>
      <c r="C296" s="34">
        <f t="shared" si="21"/>
        <v>46113</v>
      </c>
      <c r="D296" s="6">
        <v>3287</v>
      </c>
      <c r="E296" s="6">
        <v>338</v>
      </c>
      <c r="F296" s="6">
        <v>4</v>
      </c>
      <c r="G296" s="6">
        <v>7</v>
      </c>
      <c r="H296" s="6">
        <v>81595</v>
      </c>
      <c r="I296" s="6" t="s">
        <v>17</v>
      </c>
      <c r="J296" s="6">
        <v>27377895</v>
      </c>
      <c r="K296" s="6" t="s">
        <v>1336</v>
      </c>
      <c r="L296" s="17" t="s">
        <v>1338</v>
      </c>
      <c r="M296" s="8">
        <v>35900</v>
      </c>
      <c r="N296" s="36">
        <f t="shared" si="19"/>
        <v>0.75</v>
      </c>
      <c r="O296" s="35">
        <f t="shared" si="20"/>
        <v>8975</v>
      </c>
      <c r="P296" s="33" t="s">
        <v>16</v>
      </c>
    </row>
    <row r="297" spans="1:16" x14ac:dyDescent="0.35">
      <c r="A297" s="33" t="str">
        <f t="shared" si="21"/>
        <v>2024 JAN-DEC DISC 75 LICENSE ESS</v>
      </c>
      <c r="B297" s="34">
        <f t="shared" si="21"/>
        <v>46104</v>
      </c>
      <c r="C297" s="34">
        <f t="shared" si="21"/>
        <v>46113</v>
      </c>
      <c r="D297" s="6">
        <v>3287</v>
      </c>
      <c r="E297" s="6">
        <v>338</v>
      </c>
      <c r="F297" s="6">
        <v>4</v>
      </c>
      <c r="G297" s="6">
        <v>7</v>
      </c>
      <c r="H297" s="6">
        <v>81595</v>
      </c>
      <c r="I297" s="6" t="s">
        <v>17</v>
      </c>
      <c r="J297" s="6">
        <v>31272169</v>
      </c>
      <c r="K297" s="6" t="s">
        <v>1387</v>
      </c>
      <c r="L297" s="17" t="s">
        <v>1388</v>
      </c>
      <c r="M297" s="8">
        <v>35900</v>
      </c>
      <c r="N297" s="36">
        <f t="shared" si="19"/>
        <v>0.75</v>
      </c>
      <c r="O297" s="35">
        <f t="shared" si="20"/>
        <v>8975</v>
      </c>
      <c r="P297" s="33" t="s">
        <v>16</v>
      </c>
    </row>
    <row r="298" spans="1:16" x14ac:dyDescent="0.35">
      <c r="A298" s="33" t="str">
        <f t="shared" si="21"/>
        <v>2024 JAN-DEC DISC 75 LICENSE ESS</v>
      </c>
      <c r="B298" s="34">
        <f t="shared" si="21"/>
        <v>46104</v>
      </c>
      <c r="C298" s="34">
        <f t="shared" si="21"/>
        <v>46113</v>
      </c>
      <c r="D298" s="6">
        <v>3287</v>
      </c>
      <c r="E298" s="6">
        <v>338</v>
      </c>
      <c r="F298" s="6">
        <v>4</v>
      </c>
      <c r="G298" s="6">
        <v>7</v>
      </c>
      <c r="H298" s="6">
        <v>81595</v>
      </c>
      <c r="I298" s="6" t="s">
        <v>17</v>
      </c>
      <c r="J298" s="6">
        <v>31272178</v>
      </c>
      <c r="K298" s="6" t="s">
        <v>1387</v>
      </c>
      <c r="L298" s="17" t="s">
        <v>1389</v>
      </c>
      <c r="M298" s="8">
        <v>35900</v>
      </c>
      <c r="N298" s="36">
        <f t="shared" si="19"/>
        <v>0.75</v>
      </c>
      <c r="O298" s="35">
        <f t="shared" si="20"/>
        <v>8975</v>
      </c>
      <c r="P298" s="33" t="s">
        <v>16</v>
      </c>
    </row>
    <row r="299" spans="1:16" x14ac:dyDescent="0.35">
      <c r="A299" s="33" t="str">
        <f t="shared" si="21"/>
        <v>2024 JAN-DEC DISC 75 LICENSE ESS</v>
      </c>
      <c r="B299" s="34">
        <f t="shared" si="21"/>
        <v>46104</v>
      </c>
      <c r="C299" s="34">
        <f t="shared" si="21"/>
        <v>46113</v>
      </c>
      <c r="D299" s="6">
        <v>3287</v>
      </c>
      <c r="E299" s="6">
        <v>338</v>
      </c>
      <c r="F299" s="6">
        <v>4</v>
      </c>
      <c r="G299" s="6">
        <v>7</v>
      </c>
      <c r="H299" s="6">
        <v>81595</v>
      </c>
      <c r="I299" s="6" t="s">
        <v>17</v>
      </c>
      <c r="J299" s="6">
        <v>45812871</v>
      </c>
      <c r="K299" s="6" t="s">
        <v>1692</v>
      </c>
      <c r="L299" s="17" t="s">
        <v>1694</v>
      </c>
      <c r="M299" s="8">
        <v>35900</v>
      </c>
      <c r="N299" s="36">
        <f t="shared" si="19"/>
        <v>0.75</v>
      </c>
      <c r="O299" s="35">
        <f t="shared" si="20"/>
        <v>8975</v>
      </c>
      <c r="P299" s="33" t="s">
        <v>16</v>
      </c>
    </row>
    <row r="300" spans="1:16" x14ac:dyDescent="0.35">
      <c r="A300" s="33" t="str">
        <f t="shared" si="21"/>
        <v>2024 JAN-DEC DISC 75 LICENSE ESS</v>
      </c>
      <c r="B300" s="34">
        <f t="shared" si="21"/>
        <v>46104</v>
      </c>
      <c r="C300" s="34">
        <f t="shared" si="21"/>
        <v>46113</v>
      </c>
      <c r="D300" s="6">
        <v>3287</v>
      </c>
      <c r="E300" s="6">
        <v>338</v>
      </c>
      <c r="F300" s="6">
        <v>4</v>
      </c>
      <c r="G300" s="6">
        <v>7</v>
      </c>
      <c r="H300" s="6">
        <v>81595</v>
      </c>
      <c r="I300" s="6" t="s">
        <v>17</v>
      </c>
      <c r="J300" s="6">
        <v>45812880</v>
      </c>
      <c r="K300" s="6" t="s">
        <v>1692</v>
      </c>
      <c r="L300" s="17" t="s">
        <v>1693</v>
      </c>
      <c r="M300" s="8">
        <v>35900</v>
      </c>
      <c r="N300" s="36">
        <f t="shared" si="19"/>
        <v>0.75</v>
      </c>
      <c r="O300" s="35">
        <f t="shared" si="20"/>
        <v>8975</v>
      </c>
      <c r="P300" s="33" t="s">
        <v>16</v>
      </c>
    </row>
    <row r="301" spans="1:16" x14ac:dyDescent="0.35">
      <c r="A301" s="33" t="str">
        <f t="shared" si="21"/>
        <v>2024 JAN-DEC DISC 75 LICENSE ESS</v>
      </c>
      <c r="B301" s="34">
        <f t="shared" si="21"/>
        <v>46104</v>
      </c>
      <c r="C301" s="34">
        <f t="shared" si="21"/>
        <v>46113</v>
      </c>
      <c r="D301" s="6">
        <v>3287</v>
      </c>
      <c r="E301" s="6">
        <v>338</v>
      </c>
      <c r="F301" s="6">
        <v>4</v>
      </c>
      <c r="G301" s="6">
        <v>7</v>
      </c>
      <c r="H301" s="6">
        <v>81595</v>
      </c>
      <c r="I301" s="6" t="s">
        <v>17</v>
      </c>
      <c r="J301" s="6">
        <v>45812915</v>
      </c>
      <c r="K301" s="6" t="s">
        <v>1686</v>
      </c>
      <c r="L301" s="17" t="s">
        <v>1687</v>
      </c>
      <c r="M301" s="8">
        <v>35900</v>
      </c>
      <c r="N301" s="36">
        <f t="shared" si="19"/>
        <v>0.75</v>
      </c>
      <c r="O301" s="35">
        <f t="shared" si="20"/>
        <v>8975</v>
      </c>
      <c r="P301" s="33" t="s">
        <v>16</v>
      </c>
    </row>
    <row r="302" spans="1:16" x14ac:dyDescent="0.35">
      <c r="A302" s="33" t="str">
        <f t="shared" si="21"/>
        <v>2024 JAN-DEC DISC 75 LICENSE ESS</v>
      </c>
      <c r="B302" s="34">
        <f t="shared" si="21"/>
        <v>46104</v>
      </c>
      <c r="C302" s="34">
        <f t="shared" si="21"/>
        <v>46113</v>
      </c>
      <c r="D302" s="6">
        <v>3287</v>
      </c>
      <c r="E302" s="6">
        <v>338</v>
      </c>
      <c r="F302" s="6">
        <v>4</v>
      </c>
      <c r="G302" s="6">
        <v>7</v>
      </c>
      <c r="H302" s="6">
        <v>81595</v>
      </c>
      <c r="I302" s="6" t="s">
        <v>17</v>
      </c>
      <c r="J302" s="6">
        <v>45812924</v>
      </c>
      <c r="K302" s="6" t="s">
        <v>1686</v>
      </c>
      <c r="L302" s="17" t="s">
        <v>1688</v>
      </c>
      <c r="M302" s="8">
        <v>35900</v>
      </c>
      <c r="N302" s="36">
        <f t="shared" si="19"/>
        <v>0.75</v>
      </c>
      <c r="O302" s="35">
        <f t="shared" si="20"/>
        <v>8975</v>
      </c>
      <c r="P302" s="33" t="s">
        <v>16</v>
      </c>
    </row>
    <row r="303" spans="1:16" x14ac:dyDescent="0.35">
      <c r="A303" s="33" t="str">
        <f t="shared" si="21"/>
        <v>2024 JAN-DEC DISC 75 LICENSE ESS</v>
      </c>
      <c r="B303" s="34">
        <f t="shared" si="21"/>
        <v>46104</v>
      </c>
      <c r="C303" s="34">
        <f t="shared" si="21"/>
        <v>46113</v>
      </c>
      <c r="D303" s="6">
        <v>3287</v>
      </c>
      <c r="E303" s="6">
        <v>338</v>
      </c>
      <c r="F303" s="6">
        <v>4</v>
      </c>
      <c r="G303" s="6">
        <v>7</v>
      </c>
      <c r="H303" s="6">
        <v>81595</v>
      </c>
      <c r="I303" s="6" t="s">
        <v>17</v>
      </c>
      <c r="J303" s="6">
        <v>45812933</v>
      </c>
      <c r="K303" s="6" t="s">
        <v>1689</v>
      </c>
      <c r="L303" s="17" t="s">
        <v>1690</v>
      </c>
      <c r="M303" s="8">
        <v>35900</v>
      </c>
      <c r="N303" s="36">
        <f t="shared" si="19"/>
        <v>0.75</v>
      </c>
      <c r="O303" s="35">
        <f t="shared" si="20"/>
        <v>8975</v>
      </c>
      <c r="P303" s="33" t="s">
        <v>16</v>
      </c>
    </row>
    <row r="304" spans="1:16" x14ac:dyDescent="0.35">
      <c r="A304" s="33" t="str">
        <f t="shared" si="21"/>
        <v>2024 JAN-DEC DISC 75 LICENSE ESS</v>
      </c>
      <c r="B304" s="34">
        <f t="shared" si="21"/>
        <v>46104</v>
      </c>
      <c r="C304" s="34">
        <f t="shared" si="21"/>
        <v>46113</v>
      </c>
      <c r="D304" s="6">
        <v>3287</v>
      </c>
      <c r="E304" s="6">
        <v>338</v>
      </c>
      <c r="F304" s="6">
        <v>4</v>
      </c>
      <c r="G304" s="6">
        <v>7</v>
      </c>
      <c r="H304" s="6">
        <v>81595</v>
      </c>
      <c r="I304" s="6" t="s">
        <v>17</v>
      </c>
      <c r="J304" s="6">
        <v>45812942</v>
      </c>
      <c r="K304" s="6" t="s">
        <v>1689</v>
      </c>
      <c r="L304" s="17" t="s">
        <v>1691</v>
      </c>
      <c r="M304" s="8">
        <v>35900</v>
      </c>
      <c r="N304" s="36">
        <f t="shared" si="19"/>
        <v>0.75</v>
      </c>
      <c r="O304" s="35">
        <f t="shared" si="20"/>
        <v>8975</v>
      </c>
      <c r="P304" s="33" t="s">
        <v>16</v>
      </c>
    </row>
    <row r="305" spans="1:16" x14ac:dyDescent="0.35">
      <c r="A305" s="33" t="str">
        <f t="shared" si="21"/>
        <v>2024 JAN-DEC DISC 75 LICENSE ESS</v>
      </c>
      <c r="B305" s="34">
        <f t="shared" si="21"/>
        <v>46104</v>
      </c>
      <c r="C305" s="34">
        <f t="shared" si="21"/>
        <v>46113</v>
      </c>
      <c r="D305" s="6">
        <v>3287</v>
      </c>
      <c r="E305" s="6">
        <v>338</v>
      </c>
      <c r="F305" s="6">
        <v>4</v>
      </c>
      <c r="G305" s="6">
        <v>7</v>
      </c>
      <c r="H305" s="6">
        <v>81595</v>
      </c>
      <c r="I305" s="6" t="s">
        <v>17</v>
      </c>
      <c r="J305" s="6">
        <v>45812899</v>
      </c>
      <c r="K305" s="6" t="s">
        <v>1683</v>
      </c>
      <c r="L305" s="17" t="s">
        <v>1684</v>
      </c>
      <c r="M305" s="8">
        <v>35900</v>
      </c>
      <c r="N305" s="36">
        <f t="shared" si="19"/>
        <v>0.75</v>
      </c>
      <c r="O305" s="35">
        <f t="shared" si="20"/>
        <v>8975</v>
      </c>
      <c r="P305" s="33" t="s">
        <v>16</v>
      </c>
    </row>
    <row r="306" spans="1:16" x14ac:dyDescent="0.35">
      <c r="A306" s="33" t="str">
        <f t="shared" si="21"/>
        <v>2024 JAN-DEC DISC 75 LICENSE ESS</v>
      </c>
      <c r="B306" s="34">
        <f t="shared" si="21"/>
        <v>46104</v>
      </c>
      <c r="C306" s="34">
        <f t="shared" si="21"/>
        <v>46113</v>
      </c>
      <c r="D306" s="6">
        <v>3287</v>
      </c>
      <c r="E306" s="6">
        <v>338</v>
      </c>
      <c r="F306" s="6">
        <v>4</v>
      </c>
      <c r="G306" s="6">
        <v>7</v>
      </c>
      <c r="H306" s="6">
        <v>81595</v>
      </c>
      <c r="I306" s="6" t="s">
        <v>17</v>
      </c>
      <c r="J306" s="6">
        <v>45812906</v>
      </c>
      <c r="K306" s="6" t="s">
        <v>1683</v>
      </c>
      <c r="L306" s="17" t="s">
        <v>1685</v>
      </c>
      <c r="M306" s="8">
        <v>35900</v>
      </c>
      <c r="N306" s="36">
        <f t="shared" si="19"/>
        <v>0.75</v>
      </c>
      <c r="O306" s="35">
        <f t="shared" si="20"/>
        <v>8975</v>
      </c>
      <c r="P306" s="33" t="s">
        <v>16</v>
      </c>
    </row>
    <row r="307" spans="1:16" x14ac:dyDescent="0.35">
      <c r="A307" s="33" t="str">
        <f t="shared" si="21"/>
        <v>2024 JAN-DEC DISC 75 LICENSE ESS</v>
      </c>
      <c r="B307" s="34">
        <f t="shared" si="21"/>
        <v>46104</v>
      </c>
      <c r="C307" s="34">
        <f t="shared" si="21"/>
        <v>46113</v>
      </c>
      <c r="D307" s="6">
        <v>3287</v>
      </c>
      <c r="E307" s="6">
        <v>338</v>
      </c>
      <c r="F307" s="6">
        <v>4</v>
      </c>
      <c r="G307" s="6">
        <v>9</v>
      </c>
      <c r="H307" s="6">
        <v>81462</v>
      </c>
      <c r="I307" s="6" t="s">
        <v>17</v>
      </c>
      <c r="J307" s="6">
        <v>48225214</v>
      </c>
      <c r="K307" s="6" t="s">
        <v>2316</v>
      </c>
      <c r="L307" s="17" t="s">
        <v>2317</v>
      </c>
      <c r="M307" s="8">
        <v>229900</v>
      </c>
      <c r="N307" s="36">
        <f t="shared" si="19"/>
        <v>0.75</v>
      </c>
      <c r="O307" s="35">
        <f t="shared" si="20"/>
        <v>57475</v>
      </c>
      <c r="P307" s="33" t="s">
        <v>16</v>
      </c>
    </row>
    <row r="308" spans="1:16" x14ac:dyDescent="0.35">
      <c r="A308" s="33" t="str">
        <f t="shared" si="21"/>
        <v>2024 JAN-DEC DISC 75 LICENSE ESS</v>
      </c>
      <c r="B308" s="34">
        <f t="shared" si="21"/>
        <v>46104</v>
      </c>
      <c r="C308" s="34">
        <f t="shared" si="21"/>
        <v>46113</v>
      </c>
      <c r="D308" s="6">
        <v>3287</v>
      </c>
      <c r="E308" s="6">
        <v>338</v>
      </c>
      <c r="F308" s="6">
        <v>4</v>
      </c>
      <c r="G308" s="6">
        <v>9</v>
      </c>
      <c r="H308" s="6">
        <v>81462</v>
      </c>
      <c r="I308" s="6" t="s">
        <v>17</v>
      </c>
      <c r="J308" s="6">
        <v>48225223</v>
      </c>
      <c r="K308" s="6" t="s">
        <v>2316</v>
      </c>
      <c r="L308" s="17" t="s">
        <v>2318</v>
      </c>
      <c r="M308" s="8">
        <v>229900</v>
      </c>
      <c r="N308" s="36">
        <f t="shared" si="19"/>
        <v>0.75</v>
      </c>
      <c r="O308" s="35">
        <f t="shared" si="20"/>
        <v>57475</v>
      </c>
      <c r="P308" s="33" t="s">
        <v>16</v>
      </c>
    </row>
    <row r="309" spans="1:16" x14ac:dyDescent="0.35">
      <c r="A309" s="33" t="str">
        <f t="shared" si="21"/>
        <v>2024 JAN-DEC DISC 75 LICENSE ESS</v>
      </c>
      <c r="B309" s="34">
        <f t="shared" si="21"/>
        <v>46104</v>
      </c>
      <c r="C309" s="34">
        <f t="shared" si="21"/>
        <v>46113</v>
      </c>
      <c r="D309" s="6">
        <v>3287</v>
      </c>
      <c r="E309" s="6">
        <v>338</v>
      </c>
      <c r="F309" s="6">
        <v>4</v>
      </c>
      <c r="G309" s="6">
        <v>9</v>
      </c>
      <c r="H309" s="6">
        <v>81462</v>
      </c>
      <c r="I309" s="6" t="s">
        <v>17</v>
      </c>
      <c r="J309" s="6">
        <v>48225232</v>
      </c>
      <c r="K309" s="6" t="s">
        <v>2316</v>
      </c>
      <c r="L309" s="17" t="s">
        <v>2319</v>
      </c>
      <c r="M309" s="8">
        <v>229900</v>
      </c>
      <c r="N309" s="36">
        <f t="shared" ref="N309:N372" si="22">N308</f>
        <v>0.75</v>
      </c>
      <c r="O309" s="35">
        <f t="shared" ref="O309:O372" si="23">M309-((75*M309)/100)</f>
        <v>57475</v>
      </c>
      <c r="P309" s="33" t="s">
        <v>16</v>
      </c>
    </row>
    <row r="310" spans="1:16" x14ac:dyDescent="0.35">
      <c r="A310" s="33" t="str">
        <f t="shared" si="21"/>
        <v>2024 JAN-DEC DISC 75 LICENSE ESS</v>
      </c>
      <c r="B310" s="34">
        <f t="shared" si="21"/>
        <v>46104</v>
      </c>
      <c r="C310" s="34">
        <f t="shared" si="21"/>
        <v>46113</v>
      </c>
      <c r="D310" s="6">
        <v>3287</v>
      </c>
      <c r="E310" s="6">
        <v>338</v>
      </c>
      <c r="F310" s="6">
        <v>4</v>
      </c>
      <c r="G310" s="6">
        <v>9</v>
      </c>
      <c r="H310" s="6">
        <v>81462</v>
      </c>
      <c r="I310" s="6" t="s">
        <v>17</v>
      </c>
      <c r="J310" s="6">
        <v>48225241</v>
      </c>
      <c r="K310" s="6" t="s">
        <v>2316</v>
      </c>
      <c r="L310" s="17" t="s">
        <v>2320</v>
      </c>
      <c r="M310" s="8">
        <v>229900</v>
      </c>
      <c r="N310" s="36">
        <f t="shared" si="22"/>
        <v>0.75</v>
      </c>
      <c r="O310" s="35">
        <f t="shared" si="23"/>
        <v>57475</v>
      </c>
      <c r="P310" s="33" t="s">
        <v>16</v>
      </c>
    </row>
    <row r="311" spans="1:16" x14ac:dyDescent="0.35">
      <c r="A311" s="33" t="str">
        <f t="shared" si="21"/>
        <v>2024 JAN-DEC DISC 75 LICENSE ESS</v>
      </c>
      <c r="B311" s="34">
        <f t="shared" si="21"/>
        <v>46104</v>
      </c>
      <c r="C311" s="34">
        <f t="shared" si="21"/>
        <v>46113</v>
      </c>
      <c r="D311" s="6">
        <v>3287</v>
      </c>
      <c r="E311" s="6">
        <v>338</v>
      </c>
      <c r="F311" s="6">
        <v>4</v>
      </c>
      <c r="G311" s="6">
        <v>10</v>
      </c>
      <c r="H311" s="6">
        <v>81595</v>
      </c>
      <c r="I311" s="6" t="s">
        <v>17</v>
      </c>
      <c r="J311" s="6">
        <v>45450342</v>
      </c>
      <c r="K311" s="6" t="s">
        <v>2342</v>
      </c>
      <c r="L311" s="17" t="s">
        <v>2343</v>
      </c>
      <c r="M311" s="8">
        <v>35900</v>
      </c>
      <c r="N311" s="36">
        <f t="shared" si="22"/>
        <v>0.75</v>
      </c>
      <c r="O311" s="35">
        <f t="shared" si="23"/>
        <v>8975</v>
      </c>
      <c r="P311" s="33" t="s">
        <v>16</v>
      </c>
    </row>
    <row r="312" spans="1:16" x14ac:dyDescent="0.35">
      <c r="A312" s="33" t="str">
        <f t="shared" si="21"/>
        <v>2024 JAN-DEC DISC 75 LICENSE ESS</v>
      </c>
      <c r="B312" s="34">
        <f t="shared" si="21"/>
        <v>46104</v>
      </c>
      <c r="C312" s="34">
        <f t="shared" si="21"/>
        <v>46113</v>
      </c>
      <c r="D312" s="6">
        <v>3287</v>
      </c>
      <c r="E312" s="6">
        <v>338</v>
      </c>
      <c r="F312" s="6">
        <v>4</v>
      </c>
      <c r="G312" s="6">
        <v>10</v>
      </c>
      <c r="H312" s="6">
        <v>81595</v>
      </c>
      <c r="I312" s="6" t="s">
        <v>17</v>
      </c>
      <c r="J312" s="6">
        <v>45450351</v>
      </c>
      <c r="K312" s="6" t="s">
        <v>2342</v>
      </c>
      <c r="L312" s="17" t="s">
        <v>2344</v>
      </c>
      <c r="M312" s="8">
        <v>35900</v>
      </c>
      <c r="N312" s="36">
        <f t="shared" si="22"/>
        <v>0.75</v>
      </c>
      <c r="O312" s="35">
        <f t="shared" si="23"/>
        <v>8975</v>
      </c>
      <c r="P312" s="33" t="s">
        <v>16</v>
      </c>
    </row>
    <row r="313" spans="1:16" x14ac:dyDescent="0.35">
      <c r="A313" s="33" t="str">
        <f t="shared" si="21"/>
        <v>2024 JAN-DEC DISC 75 LICENSE ESS</v>
      </c>
      <c r="B313" s="34">
        <f t="shared" si="21"/>
        <v>46104</v>
      </c>
      <c r="C313" s="34">
        <f t="shared" si="21"/>
        <v>46113</v>
      </c>
      <c r="D313" s="6">
        <v>3287</v>
      </c>
      <c r="E313" s="6">
        <v>338</v>
      </c>
      <c r="F313" s="6">
        <v>4</v>
      </c>
      <c r="G313" s="6">
        <v>10</v>
      </c>
      <c r="H313" s="6">
        <v>81595</v>
      </c>
      <c r="I313" s="6" t="s">
        <v>17</v>
      </c>
      <c r="J313" s="6">
        <v>45450360</v>
      </c>
      <c r="K313" s="6" t="s">
        <v>2345</v>
      </c>
      <c r="L313" s="17" t="s">
        <v>2346</v>
      </c>
      <c r="M313" s="8">
        <v>35900</v>
      </c>
      <c r="N313" s="36">
        <f t="shared" si="22"/>
        <v>0.75</v>
      </c>
      <c r="O313" s="35">
        <f t="shared" si="23"/>
        <v>8975</v>
      </c>
      <c r="P313" s="33" t="s">
        <v>16</v>
      </c>
    </row>
    <row r="314" spans="1:16" x14ac:dyDescent="0.35">
      <c r="A314" s="33" t="str">
        <f t="shared" si="21"/>
        <v>2024 JAN-DEC DISC 75 LICENSE ESS</v>
      </c>
      <c r="B314" s="34">
        <f t="shared" si="21"/>
        <v>46104</v>
      </c>
      <c r="C314" s="34">
        <f t="shared" si="21"/>
        <v>46113</v>
      </c>
      <c r="D314" s="6">
        <v>3287</v>
      </c>
      <c r="E314" s="6">
        <v>338</v>
      </c>
      <c r="F314" s="6">
        <v>4</v>
      </c>
      <c r="G314" s="6">
        <v>10</v>
      </c>
      <c r="H314" s="6">
        <v>81595</v>
      </c>
      <c r="I314" s="6" t="s">
        <v>17</v>
      </c>
      <c r="J314" s="6">
        <v>45450379</v>
      </c>
      <c r="K314" s="6" t="s">
        <v>2345</v>
      </c>
      <c r="L314" s="17" t="s">
        <v>2347</v>
      </c>
      <c r="M314" s="8">
        <v>35900</v>
      </c>
      <c r="N314" s="36">
        <f t="shared" si="22"/>
        <v>0.75</v>
      </c>
      <c r="O314" s="35">
        <f t="shared" si="23"/>
        <v>8975</v>
      </c>
      <c r="P314" s="33" t="s">
        <v>16</v>
      </c>
    </row>
    <row r="315" spans="1:16" x14ac:dyDescent="0.35">
      <c r="A315" s="33" t="str">
        <f t="shared" si="21"/>
        <v>2024 JAN-DEC DISC 75 LICENSE ESS</v>
      </c>
      <c r="B315" s="34">
        <f t="shared" si="21"/>
        <v>46104</v>
      </c>
      <c r="C315" s="34">
        <f t="shared" si="21"/>
        <v>46113</v>
      </c>
      <c r="D315" s="6">
        <v>3287</v>
      </c>
      <c r="E315" s="6">
        <v>338</v>
      </c>
      <c r="F315" s="6">
        <v>4</v>
      </c>
      <c r="G315" s="6">
        <v>10</v>
      </c>
      <c r="H315" s="6">
        <v>81595</v>
      </c>
      <c r="I315" s="6" t="s">
        <v>17</v>
      </c>
      <c r="J315" s="6">
        <v>45450388</v>
      </c>
      <c r="K315" s="6" t="s">
        <v>2348</v>
      </c>
      <c r="L315" s="17" t="s">
        <v>2349</v>
      </c>
      <c r="M315" s="8">
        <v>35900</v>
      </c>
      <c r="N315" s="36">
        <f t="shared" si="22"/>
        <v>0.75</v>
      </c>
      <c r="O315" s="35">
        <f t="shared" si="23"/>
        <v>8975</v>
      </c>
      <c r="P315" s="33" t="s">
        <v>16</v>
      </c>
    </row>
    <row r="316" spans="1:16" x14ac:dyDescent="0.35">
      <c r="A316" s="33" t="str">
        <f t="shared" si="21"/>
        <v>2024 JAN-DEC DISC 75 LICENSE ESS</v>
      </c>
      <c r="B316" s="34">
        <f t="shared" si="21"/>
        <v>46104</v>
      </c>
      <c r="C316" s="34">
        <f t="shared" si="21"/>
        <v>46113</v>
      </c>
      <c r="D316" s="6">
        <v>3287</v>
      </c>
      <c r="E316" s="6">
        <v>338</v>
      </c>
      <c r="F316" s="6">
        <v>4</v>
      </c>
      <c r="G316" s="6">
        <v>10</v>
      </c>
      <c r="H316" s="6">
        <v>81595</v>
      </c>
      <c r="I316" s="6" t="s">
        <v>17</v>
      </c>
      <c r="J316" s="6">
        <v>45450397</v>
      </c>
      <c r="K316" s="6" t="s">
        <v>2348</v>
      </c>
      <c r="L316" s="17" t="s">
        <v>2350</v>
      </c>
      <c r="M316" s="8">
        <v>35900</v>
      </c>
      <c r="N316" s="36">
        <f t="shared" si="22"/>
        <v>0.75</v>
      </c>
      <c r="O316" s="35">
        <f t="shared" si="23"/>
        <v>8975</v>
      </c>
      <c r="P316" s="33" t="s">
        <v>16</v>
      </c>
    </row>
    <row r="317" spans="1:16" x14ac:dyDescent="0.35">
      <c r="A317" s="33" t="str">
        <f t="shared" si="21"/>
        <v>2024 JAN-DEC DISC 75 LICENSE ESS</v>
      </c>
      <c r="B317" s="34">
        <f t="shared" si="21"/>
        <v>46104</v>
      </c>
      <c r="C317" s="34">
        <f t="shared" si="21"/>
        <v>46113</v>
      </c>
      <c r="D317" s="6">
        <v>3287</v>
      </c>
      <c r="E317" s="6">
        <v>338</v>
      </c>
      <c r="F317" s="6">
        <v>4</v>
      </c>
      <c r="G317" s="6">
        <v>10</v>
      </c>
      <c r="H317" s="6">
        <v>81595</v>
      </c>
      <c r="I317" s="6" t="s">
        <v>17</v>
      </c>
      <c r="J317" s="6">
        <v>45450404</v>
      </c>
      <c r="K317" s="6" t="s">
        <v>2351</v>
      </c>
      <c r="L317" s="17" t="s">
        <v>2352</v>
      </c>
      <c r="M317" s="8">
        <v>35900</v>
      </c>
      <c r="N317" s="36">
        <f t="shared" si="22"/>
        <v>0.75</v>
      </c>
      <c r="O317" s="35">
        <f t="shared" si="23"/>
        <v>8975</v>
      </c>
      <c r="P317" s="33" t="s">
        <v>16</v>
      </c>
    </row>
    <row r="318" spans="1:16" x14ac:dyDescent="0.35">
      <c r="A318" s="33" t="str">
        <f t="shared" si="21"/>
        <v>2024 JAN-DEC DISC 75 LICENSE ESS</v>
      </c>
      <c r="B318" s="34">
        <f t="shared" si="21"/>
        <v>46104</v>
      </c>
      <c r="C318" s="34">
        <f t="shared" si="21"/>
        <v>46113</v>
      </c>
      <c r="D318" s="6">
        <v>3287</v>
      </c>
      <c r="E318" s="6">
        <v>338</v>
      </c>
      <c r="F318" s="6">
        <v>4</v>
      </c>
      <c r="G318" s="6">
        <v>10</v>
      </c>
      <c r="H318" s="6">
        <v>81595</v>
      </c>
      <c r="I318" s="6" t="s">
        <v>17</v>
      </c>
      <c r="J318" s="6">
        <v>45450413</v>
      </c>
      <c r="K318" s="6" t="s">
        <v>2351</v>
      </c>
      <c r="L318" s="17" t="s">
        <v>2353</v>
      </c>
      <c r="M318" s="8">
        <v>35900</v>
      </c>
      <c r="N318" s="36">
        <f t="shared" si="22"/>
        <v>0.75</v>
      </c>
      <c r="O318" s="35">
        <f t="shared" si="23"/>
        <v>8975</v>
      </c>
      <c r="P318" s="33" t="s">
        <v>16</v>
      </c>
    </row>
    <row r="319" spans="1:16" x14ac:dyDescent="0.35">
      <c r="A319" s="33" t="str">
        <f t="shared" si="21"/>
        <v>2024 JAN-DEC DISC 75 LICENSE ESS</v>
      </c>
      <c r="B319" s="34">
        <f t="shared" si="21"/>
        <v>46104</v>
      </c>
      <c r="C319" s="34">
        <f t="shared" si="21"/>
        <v>46113</v>
      </c>
      <c r="D319" s="6">
        <v>3287</v>
      </c>
      <c r="E319" s="6">
        <v>338</v>
      </c>
      <c r="F319" s="6">
        <v>4</v>
      </c>
      <c r="G319" s="6">
        <v>1</v>
      </c>
      <c r="H319" s="6">
        <v>850</v>
      </c>
      <c r="I319" s="6" t="s">
        <v>17</v>
      </c>
      <c r="J319" s="6">
        <v>27377902</v>
      </c>
      <c r="K319" s="6" t="s">
        <v>1382</v>
      </c>
      <c r="L319" s="17" t="s">
        <v>1383</v>
      </c>
      <c r="M319" s="8">
        <v>119900</v>
      </c>
      <c r="N319" s="36">
        <f t="shared" si="22"/>
        <v>0.75</v>
      </c>
      <c r="O319" s="35">
        <f t="shared" si="23"/>
        <v>29975</v>
      </c>
      <c r="P319" s="33" t="s">
        <v>16</v>
      </c>
    </row>
    <row r="320" spans="1:16" x14ac:dyDescent="0.35">
      <c r="A320" s="33" t="str">
        <f t="shared" si="21"/>
        <v>2024 JAN-DEC DISC 75 LICENSE ESS</v>
      </c>
      <c r="B320" s="34">
        <f t="shared" si="21"/>
        <v>46104</v>
      </c>
      <c r="C320" s="34">
        <f t="shared" si="21"/>
        <v>46113</v>
      </c>
      <c r="D320" s="6">
        <v>3287</v>
      </c>
      <c r="E320" s="6">
        <v>338</v>
      </c>
      <c r="F320" s="6">
        <v>4</v>
      </c>
      <c r="G320" s="6">
        <v>1</v>
      </c>
      <c r="H320" s="6">
        <v>850</v>
      </c>
      <c r="I320" s="6" t="s">
        <v>17</v>
      </c>
      <c r="J320" s="6">
        <v>27377911</v>
      </c>
      <c r="K320" s="6" t="s">
        <v>1382</v>
      </c>
      <c r="L320" s="17" t="s">
        <v>1384</v>
      </c>
      <c r="M320" s="8">
        <v>119900</v>
      </c>
      <c r="N320" s="36">
        <f t="shared" si="22"/>
        <v>0.75</v>
      </c>
      <c r="O320" s="35">
        <f t="shared" si="23"/>
        <v>29975</v>
      </c>
      <c r="P320" s="33" t="s">
        <v>16</v>
      </c>
    </row>
    <row r="321" spans="1:16" x14ac:dyDescent="0.35">
      <c r="A321" s="33" t="str">
        <f t="shared" si="21"/>
        <v>2024 JAN-DEC DISC 75 LICENSE ESS</v>
      </c>
      <c r="B321" s="34">
        <f t="shared" si="21"/>
        <v>46104</v>
      </c>
      <c r="C321" s="34">
        <f t="shared" si="21"/>
        <v>46113</v>
      </c>
      <c r="D321" s="6">
        <v>3287</v>
      </c>
      <c r="E321" s="6">
        <v>338</v>
      </c>
      <c r="F321" s="6">
        <v>4</v>
      </c>
      <c r="G321" s="6">
        <v>1</v>
      </c>
      <c r="H321" s="6">
        <v>850</v>
      </c>
      <c r="I321" s="6" t="s">
        <v>17</v>
      </c>
      <c r="J321" s="6">
        <v>27377920</v>
      </c>
      <c r="K321" s="6" t="s">
        <v>1382</v>
      </c>
      <c r="L321" s="17" t="s">
        <v>1385</v>
      </c>
      <c r="M321" s="8">
        <v>119900</v>
      </c>
      <c r="N321" s="36">
        <f t="shared" si="22"/>
        <v>0.75</v>
      </c>
      <c r="O321" s="35">
        <f t="shared" si="23"/>
        <v>29975</v>
      </c>
      <c r="P321" s="33" t="s">
        <v>16</v>
      </c>
    </row>
    <row r="322" spans="1:16" x14ac:dyDescent="0.35">
      <c r="A322" s="33" t="str">
        <f t="shared" si="21"/>
        <v>2024 JAN-DEC DISC 75 LICENSE ESS</v>
      </c>
      <c r="B322" s="34">
        <f t="shared" si="21"/>
        <v>46104</v>
      </c>
      <c r="C322" s="34">
        <f t="shared" si="21"/>
        <v>46113</v>
      </c>
      <c r="D322" s="6">
        <v>3287</v>
      </c>
      <c r="E322" s="6">
        <v>338</v>
      </c>
      <c r="F322" s="6">
        <v>4</v>
      </c>
      <c r="G322" s="6">
        <v>1</v>
      </c>
      <c r="H322" s="6">
        <v>850</v>
      </c>
      <c r="I322" s="6" t="s">
        <v>17</v>
      </c>
      <c r="J322" s="6">
        <v>27377939</v>
      </c>
      <c r="K322" s="6" t="s">
        <v>1382</v>
      </c>
      <c r="L322" s="17" t="s">
        <v>1386</v>
      </c>
      <c r="M322" s="8">
        <v>119900</v>
      </c>
      <c r="N322" s="36">
        <f t="shared" si="22"/>
        <v>0.75</v>
      </c>
      <c r="O322" s="35">
        <f t="shared" si="23"/>
        <v>29975</v>
      </c>
      <c r="P322" s="33" t="s">
        <v>16</v>
      </c>
    </row>
    <row r="323" spans="1:16" x14ac:dyDescent="0.35">
      <c r="A323" s="33" t="str">
        <f t="shared" si="21"/>
        <v>2024 JAN-DEC DISC 75 LICENSE ESS</v>
      </c>
      <c r="B323" s="34">
        <f t="shared" si="21"/>
        <v>46104</v>
      </c>
      <c r="C323" s="34">
        <f t="shared" si="21"/>
        <v>46113</v>
      </c>
      <c r="D323" s="6">
        <v>3287</v>
      </c>
      <c r="E323" s="6">
        <v>338</v>
      </c>
      <c r="F323" s="6">
        <v>4</v>
      </c>
      <c r="G323" s="6">
        <v>3</v>
      </c>
      <c r="H323" s="6">
        <v>850</v>
      </c>
      <c r="I323" s="6" t="s">
        <v>17</v>
      </c>
      <c r="J323" s="6">
        <v>27378858</v>
      </c>
      <c r="K323" s="6" t="s">
        <v>1375</v>
      </c>
      <c r="L323" s="17" t="s">
        <v>1376</v>
      </c>
      <c r="M323" s="8">
        <v>119900</v>
      </c>
      <c r="N323" s="36">
        <f t="shared" si="22"/>
        <v>0.75</v>
      </c>
      <c r="O323" s="35">
        <f t="shared" si="23"/>
        <v>29975</v>
      </c>
      <c r="P323" s="33" t="s">
        <v>16</v>
      </c>
    </row>
    <row r="324" spans="1:16" x14ac:dyDescent="0.35">
      <c r="A324" s="33" t="str">
        <f t="shared" si="21"/>
        <v>2024 JAN-DEC DISC 75 LICENSE ESS</v>
      </c>
      <c r="B324" s="34">
        <f t="shared" si="21"/>
        <v>46104</v>
      </c>
      <c r="C324" s="34">
        <f t="shared" si="21"/>
        <v>46113</v>
      </c>
      <c r="D324" s="6">
        <v>3287</v>
      </c>
      <c r="E324" s="6">
        <v>338</v>
      </c>
      <c r="F324" s="6">
        <v>4</v>
      </c>
      <c r="G324" s="6">
        <v>3</v>
      </c>
      <c r="H324" s="6">
        <v>850</v>
      </c>
      <c r="I324" s="6" t="s">
        <v>17</v>
      </c>
      <c r="J324" s="6">
        <v>27378867</v>
      </c>
      <c r="K324" s="6" t="s">
        <v>1375</v>
      </c>
      <c r="L324" s="17" t="s">
        <v>1377</v>
      </c>
      <c r="M324" s="8">
        <v>119900</v>
      </c>
      <c r="N324" s="36">
        <f t="shared" si="22"/>
        <v>0.75</v>
      </c>
      <c r="O324" s="35">
        <f t="shared" si="23"/>
        <v>29975</v>
      </c>
      <c r="P324" s="33" t="s">
        <v>16</v>
      </c>
    </row>
    <row r="325" spans="1:16" x14ac:dyDescent="0.35">
      <c r="A325" s="33" t="str">
        <f t="shared" si="21"/>
        <v>2024 JAN-DEC DISC 75 LICENSE ESS</v>
      </c>
      <c r="B325" s="34">
        <f t="shared" si="21"/>
        <v>46104</v>
      </c>
      <c r="C325" s="34">
        <f t="shared" si="21"/>
        <v>46113</v>
      </c>
      <c r="D325" s="6">
        <v>3287</v>
      </c>
      <c r="E325" s="6">
        <v>338</v>
      </c>
      <c r="F325" s="6">
        <v>4</v>
      </c>
      <c r="G325" s="6">
        <v>3</v>
      </c>
      <c r="H325" s="6">
        <v>850</v>
      </c>
      <c r="I325" s="6" t="s">
        <v>17</v>
      </c>
      <c r="J325" s="6">
        <v>27378876</v>
      </c>
      <c r="K325" s="6" t="s">
        <v>1375</v>
      </c>
      <c r="L325" s="17" t="s">
        <v>1378</v>
      </c>
      <c r="M325" s="8">
        <v>119900</v>
      </c>
      <c r="N325" s="36">
        <f t="shared" si="22"/>
        <v>0.75</v>
      </c>
      <c r="O325" s="35">
        <f t="shared" si="23"/>
        <v>29975</v>
      </c>
      <c r="P325" s="33" t="s">
        <v>16</v>
      </c>
    </row>
    <row r="326" spans="1:16" x14ac:dyDescent="0.35">
      <c r="A326" s="33" t="str">
        <f t="shared" ref="A326:C388" si="24">A325</f>
        <v>2024 JAN-DEC DISC 75 LICENSE ESS</v>
      </c>
      <c r="B326" s="34">
        <f t="shared" si="24"/>
        <v>46104</v>
      </c>
      <c r="C326" s="34">
        <f t="shared" si="24"/>
        <v>46113</v>
      </c>
      <c r="D326" s="6">
        <v>3287</v>
      </c>
      <c r="E326" s="6">
        <v>338</v>
      </c>
      <c r="F326" s="6">
        <v>4</v>
      </c>
      <c r="G326" s="6">
        <v>3</v>
      </c>
      <c r="H326" s="6">
        <v>850</v>
      </c>
      <c r="I326" s="6" t="s">
        <v>17</v>
      </c>
      <c r="J326" s="6">
        <v>27378885</v>
      </c>
      <c r="K326" s="6" t="s">
        <v>1375</v>
      </c>
      <c r="L326" s="17" t="s">
        <v>1379</v>
      </c>
      <c r="M326" s="8">
        <v>119900</v>
      </c>
      <c r="N326" s="36">
        <f t="shared" si="22"/>
        <v>0.75</v>
      </c>
      <c r="O326" s="35">
        <f t="shared" si="23"/>
        <v>29975</v>
      </c>
      <c r="P326" s="33" t="s">
        <v>16</v>
      </c>
    </row>
    <row r="327" spans="1:16" x14ac:dyDescent="0.35">
      <c r="A327" s="33" t="str">
        <f t="shared" si="24"/>
        <v>2024 JAN-DEC DISC 75 LICENSE ESS</v>
      </c>
      <c r="B327" s="34">
        <f t="shared" si="24"/>
        <v>46104</v>
      </c>
      <c r="C327" s="34">
        <f t="shared" si="24"/>
        <v>46113</v>
      </c>
      <c r="D327" s="6">
        <v>3287</v>
      </c>
      <c r="E327" s="6">
        <v>338</v>
      </c>
      <c r="F327" s="6">
        <v>4</v>
      </c>
      <c r="G327" s="6">
        <v>3</v>
      </c>
      <c r="H327" s="6">
        <v>850</v>
      </c>
      <c r="I327" s="6" t="s">
        <v>17</v>
      </c>
      <c r="J327" s="6">
        <v>27378894</v>
      </c>
      <c r="K327" s="6" t="s">
        <v>1372</v>
      </c>
      <c r="L327" s="17" t="s">
        <v>1373</v>
      </c>
      <c r="M327" s="8">
        <v>119900</v>
      </c>
      <c r="N327" s="36">
        <f t="shared" si="22"/>
        <v>0.75</v>
      </c>
      <c r="O327" s="35">
        <f t="shared" si="23"/>
        <v>29975</v>
      </c>
      <c r="P327" s="33" t="s">
        <v>16</v>
      </c>
    </row>
    <row r="328" spans="1:16" x14ac:dyDescent="0.35">
      <c r="A328" s="33" t="str">
        <f t="shared" si="24"/>
        <v>2024 JAN-DEC DISC 75 LICENSE ESS</v>
      </c>
      <c r="B328" s="34">
        <f t="shared" si="24"/>
        <v>46104</v>
      </c>
      <c r="C328" s="34">
        <f t="shared" si="24"/>
        <v>46113</v>
      </c>
      <c r="D328" s="6">
        <v>3287</v>
      </c>
      <c r="E328" s="6">
        <v>338</v>
      </c>
      <c r="F328" s="6">
        <v>4</v>
      </c>
      <c r="G328" s="6">
        <v>3</v>
      </c>
      <c r="H328" s="6">
        <v>850</v>
      </c>
      <c r="I328" s="6" t="s">
        <v>17</v>
      </c>
      <c r="J328" s="6">
        <v>27378901</v>
      </c>
      <c r="K328" s="6" t="s">
        <v>1372</v>
      </c>
      <c r="L328" s="17" t="s">
        <v>1380</v>
      </c>
      <c r="M328" s="8">
        <v>119900</v>
      </c>
      <c r="N328" s="36">
        <f t="shared" si="22"/>
        <v>0.75</v>
      </c>
      <c r="O328" s="35">
        <f t="shared" si="23"/>
        <v>29975</v>
      </c>
      <c r="P328" s="33" t="s">
        <v>16</v>
      </c>
    </row>
    <row r="329" spans="1:16" x14ac:dyDescent="0.35">
      <c r="A329" s="33" t="str">
        <f t="shared" si="24"/>
        <v>2024 JAN-DEC DISC 75 LICENSE ESS</v>
      </c>
      <c r="B329" s="34">
        <f t="shared" si="24"/>
        <v>46104</v>
      </c>
      <c r="C329" s="34">
        <f t="shared" si="24"/>
        <v>46113</v>
      </c>
      <c r="D329" s="6">
        <v>3287</v>
      </c>
      <c r="E329" s="6">
        <v>338</v>
      </c>
      <c r="F329" s="6">
        <v>4</v>
      </c>
      <c r="G329" s="6">
        <v>3</v>
      </c>
      <c r="H329" s="6">
        <v>850</v>
      </c>
      <c r="I329" s="6" t="s">
        <v>17</v>
      </c>
      <c r="J329" s="6">
        <v>27378910</v>
      </c>
      <c r="K329" s="6" t="s">
        <v>1372</v>
      </c>
      <c r="L329" s="17" t="s">
        <v>1374</v>
      </c>
      <c r="M329" s="8">
        <v>119900</v>
      </c>
      <c r="N329" s="36">
        <f t="shared" si="22"/>
        <v>0.75</v>
      </c>
      <c r="O329" s="35">
        <f t="shared" si="23"/>
        <v>29975</v>
      </c>
      <c r="P329" s="33" t="s">
        <v>16</v>
      </c>
    </row>
    <row r="330" spans="1:16" x14ac:dyDescent="0.35">
      <c r="A330" s="33" t="str">
        <f t="shared" si="24"/>
        <v>2024 JAN-DEC DISC 75 LICENSE ESS</v>
      </c>
      <c r="B330" s="34">
        <f t="shared" si="24"/>
        <v>46104</v>
      </c>
      <c r="C330" s="34">
        <f t="shared" si="24"/>
        <v>46113</v>
      </c>
      <c r="D330" s="6">
        <v>3287</v>
      </c>
      <c r="E330" s="6">
        <v>338</v>
      </c>
      <c r="F330" s="6">
        <v>4</v>
      </c>
      <c r="G330" s="6">
        <v>3</v>
      </c>
      <c r="H330" s="6">
        <v>850</v>
      </c>
      <c r="I330" s="6" t="s">
        <v>17</v>
      </c>
      <c r="J330" s="6">
        <v>27378929</v>
      </c>
      <c r="K330" s="6" t="s">
        <v>1372</v>
      </c>
      <c r="L330" s="17" t="s">
        <v>1381</v>
      </c>
      <c r="M330" s="8">
        <v>119900</v>
      </c>
      <c r="N330" s="36">
        <f t="shared" si="22"/>
        <v>0.75</v>
      </c>
      <c r="O330" s="35">
        <f t="shared" si="23"/>
        <v>29975</v>
      </c>
      <c r="P330" s="33" t="s">
        <v>16</v>
      </c>
    </row>
    <row r="331" spans="1:16" x14ac:dyDescent="0.35">
      <c r="A331" s="33" t="str">
        <f t="shared" si="24"/>
        <v>2024 JAN-DEC DISC 75 LICENSE ESS</v>
      </c>
      <c r="B331" s="34">
        <f t="shared" si="24"/>
        <v>46104</v>
      </c>
      <c r="C331" s="34">
        <f t="shared" si="24"/>
        <v>46113</v>
      </c>
      <c r="D331" s="6">
        <v>3287</v>
      </c>
      <c r="E331" s="6">
        <v>338</v>
      </c>
      <c r="F331" s="6">
        <v>4</v>
      </c>
      <c r="G331" s="6">
        <v>3</v>
      </c>
      <c r="H331" s="6">
        <v>81574</v>
      </c>
      <c r="I331" s="6" t="s">
        <v>17</v>
      </c>
      <c r="J331" s="6">
        <v>45812951</v>
      </c>
      <c r="K331" s="6" t="s">
        <v>1678</v>
      </c>
      <c r="L331" s="17" t="s">
        <v>1679</v>
      </c>
      <c r="M331" s="8">
        <v>119900</v>
      </c>
      <c r="N331" s="36">
        <f t="shared" si="22"/>
        <v>0.75</v>
      </c>
      <c r="O331" s="35">
        <f t="shared" si="23"/>
        <v>29975</v>
      </c>
      <c r="P331" s="33" t="s">
        <v>16</v>
      </c>
    </row>
    <row r="332" spans="1:16" x14ac:dyDescent="0.35">
      <c r="A332" s="33" t="str">
        <f t="shared" si="24"/>
        <v>2024 JAN-DEC DISC 75 LICENSE ESS</v>
      </c>
      <c r="B332" s="34">
        <f t="shared" si="24"/>
        <v>46104</v>
      </c>
      <c r="C332" s="34">
        <f t="shared" si="24"/>
        <v>46113</v>
      </c>
      <c r="D332" s="6">
        <v>3287</v>
      </c>
      <c r="E332" s="6">
        <v>338</v>
      </c>
      <c r="F332" s="6">
        <v>4</v>
      </c>
      <c r="G332" s="6">
        <v>3</v>
      </c>
      <c r="H332" s="6">
        <v>81574</v>
      </c>
      <c r="I332" s="6" t="s">
        <v>17</v>
      </c>
      <c r="J332" s="6">
        <v>45812960</v>
      </c>
      <c r="K332" s="6" t="s">
        <v>1678</v>
      </c>
      <c r="L332" s="17" t="s">
        <v>1680</v>
      </c>
      <c r="M332" s="8">
        <v>119900</v>
      </c>
      <c r="N332" s="36">
        <f t="shared" si="22"/>
        <v>0.75</v>
      </c>
      <c r="O332" s="35">
        <f t="shared" si="23"/>
        <v>29975</v>
      </c>
      <c r="P332" s="33" t="s">
        <v>16</v>
      </c>
    </row>
    <row r="333" spans="1:16" x14ac:dyDescent="0.35">
      <c r="A333" s="33" t="str">
        <f t="shared" si="24"/>
        <v>2024 JAN-DEC DISC 75 LICENSE ESS</v>
      </c>
      <c r="B333" s="34">
        <f t="shared" si="24"/>
        <v>46104</v>
      </c>
      <c r="C333" s="34">
        <f t="shared" si="24"/>
        <v>46113</v>
      </c>
      <c r="D333" s="6">
        <v>3287</v>
      </c>
      <c r="E333" s="6">
        <v>338</v>
      </c>
      <c r="F333" s="6">
        <v>4</v>
      </c>
      <c r="G333" s="6">
        <v>3</v>
      </c>
      <c r="H333" s="6">
        <v>81574</v>
      </c>
      <c r="I333" s="6" t="s">
        <v>17</v>
      </c>
      <c r="J333" s="6">
        <v>45812979</v>
      </c>
      <c r="K333" s="6" t="s">
        <v>1678</v>
      </c>
      <c r="L333" s="17" t="s">
        <v>1681</v>
      </c>
      <c r="M333" s="8">
        <v>119900</v>
      </c>
      <c r="N333" s="36">
        <f t="shared" si="22"/>
        <v>0.75</v>
      </c>
      <c r="O333" s="35">
        <f t="shared" si="23"/>
        <v>29975</v>
      </c>
      <c r="P333" s="33" t="s">
        <v>16</v>
      </c>
    </row>
    <row r="334" spans="1:16" x14ac:dyDescent="0.35">
      <c r="A334" s="33" t="str">
        <f t="shared" si="24"/>
        <v>2024 JAN-DEC DISC 75 LICENSE ESS</v>
      </c>
      <c r="B334" s="34">
        <f t="shared" si="24"/>
        <v>46104</v>
      </c>
      <c r="C334" s="34">
        <f t="shared" si="24"/>
        <v>46113</v>
      </c>
      <c r="D334" s="6">
        <v>3287</v>
      </c>
      <c r="E334" s="6">
        <v>338</v>
      </c>
      <c r="F334" s="6">
        <v>4</v>
      </c>
      <c r="G334" s="6">
        <v>7</v>
      </c>
      <c r="H334" s="6">
        <v>81595</v>
      </c>
      <c r="I334" s="6" t="s">
        <v>17</v>
      </c>
      <c r="J334" s="6">
        <v>45812853</v>
      </c>
      <c r="K334" s="6" t="s">
        <v>1704</v>
      </c>
      <c r="L334" s="17" t="s">
        <v>1705</v>
      </c>
      <c r="M334" s="8">
        <v>35900</v>
      </c>
      <c r="N334" s="36">
        <f t="shared" si="22"/>
        <v>0.75</v>
      </c>
      <c r="O334" s="35">
        <f t="shared" si="23"/>
        <v>8975</v>
      </c>
      <c r="P334" s="33" t="s">
        <v>16</v>
      </c>
    </row>
    <row r="335" spans="1:16" x14ac:dyDescent="0.35">
      <c r="A335" s="33" t="str">
        <f t="shared" si="24"/>
        <v>2024 JAN-DEC DISC 75 LICENSE ESS</v>
      </c>
      <c r="B335" s="34">
        <f t="shared" si="24"/>
        <v>46104</v>
      </c>
      <c r="C335" s="34">
        <f t="shared" si="24"/>
        <v>46113</v>
      </c>
      <c r="D335" s="6">
        <v>3287</v>
      </c>
      <c r="E335" s="6">
        <v>338</v>
      </c>
      <c r="F335" s="6">
        <v>4</v>
      </c>
      <c r="G335" s="6">
        <v>7</v>
      </c>
      <c r="H335" s="6">
        <v>81595</v>
      </c>
      <c r="I335" s="6" t="s">
        <v>17</v>
      </c>
      <c r="J335" s="6">
        <v>45812862</v>
      </c>
      <c r="K335" s="6" t="s">
        <v>1704</v>
      </c>
      <c r="L335" s="17" t="s">
        <v>1706</v>
      </c>
      <c r="M335" s="8">
        <v>35900</v>
      </c>
      <c r="N335" s="36">
        <f t="shared" si="22"/>
        <v>0.75</v>
      </c>
      <c r="O335" s="35">
        <f t="shared" si="23"/>
        <v>8975</v>
      </c>
      <c r="P335" s="33" t="s">
        <v>16</v>
      </c>
    </row>
    <row r="336" spans="1:16" x14ac:dyDescent="0.35">
      <c r="A336" s="33" t="str">
        <f t="shared" si="24"/>
        <v>2024 JAN-DEC DISC 75 LICENSE ESS</v>
      </c>
      <c r="B336" s="34">
        <f t="shared" si="24"/>
        <v>46104</v>
      </c>
      <c r="C336" s="34">
        <f t="shared" si="24"/>
        <v>46113</v>
      </c>
      <c r="D336" s="6">
        <v>3287</v>
      </c>
      <c r="E336" s="6">
        <v>338</v>
      </c>
      <c r="F336" s="6">
        <v>4</v>
      </c>
      <c r="G336" s="6">
        <v>7</v>
      </c>
      <c r="H336" s="6">
        <v>81595</v>
      </c>
      <c r="I336" s="6" t="s">
        <v>17</v>
      </c>
      <c r="J336" s="6">
        <v>45812835</v>
      </c>
      <c r="K336" s="6" t="s">
        <v>1707</v>
      </c>
      <c r="L336" s="17" t="s">
        <v>1708</v>
      </c>
      <c r="M336" s="8">
        <v>35900</v>
      </c>
      <c r="N336" s="36">
        <f t="shared" si="22"/>
        <v>0.75</v>
      </c>
      <c r="O336" s="35">
        <f t="shared" si="23"/>
        <v>8975</v>
      </c>
      <c r="P336" s="33" t="s">
        <v>16</v>
      </c>
    </row>
    <row r="337" spans="1:16" x14ac:dyDescent="0.35">
      <c r="A337" s="33" t="str">
        <f t="shared" si="24"/>
        <v>2024 JAN-DEC DISC 75 LICENSE ESS</v>
      </c>
      <c r="B337" s="34">
        <f t="shared" si="24"/>
        <v>46104</v>
      </c>
      <c r="C337" s="34">
        <f t="shared" si="24"/>
        <v>46113</v>
      </c>
      <c r="D337" s="6">
        <v>3287</v>
      </c>
      <c r="E337" s="6">
        <v>338</v>
      </c>
      <c r="F337" s="6">
        <v>4</v>
      </c>
      <c r="G337" s="6">
        <v>7</v>
      </c>
      <c r="H337" s="6">
        <v>81595</v>
      </c>
      <c r="I337" s="6" t="s">
        <v>17</v>
      </c>
      <c r="J337" s="6">
        <v>45812844</v>
      </c>
      <c r="K337" s="6" t="s">
        <v>1707</v>
      </c>
      <c r="L337" s="17" t="s">
        <v>1709</v>
      </c>
      <c r="M337" s="8">
        <v>35900</v>
      </c>
      <c r="N337" s="36">
        <f t="shared" si="22"/>
        <v>0.75</v>
      </c>
      <c r="O337" s="35">
        <f t="shared" si="23"/>
        <v>8975</v>
      </c>
      <c r="P337" s="33" t="s">
        <v>16</v>
      </c>
    </row>
    <row r="338" spans="1:16" x14ac:dyDescent="0.35">
      <c r="A338" s="33" t="str">
        <f t="shared" si="24"/>
        <v>2024 JAN-DEC DISC 75 LICENSE ESS</v>
      </c>
      <c r="B338" s="34">
        <f t="shared" si="24"/>
        <v>46104</v>
      </c>
      <c r="C338" s="34">
        <f t="shared" si="24"/>
        <v>46113</v>
      </c>
      <c r="D338" s="6">
        <v>3287</v>
      </c>
      <c r="E338" s="6">
        <v>338</v>
      </c>
      <c r="F338" s="6">
        <v>4</v>
      </c>
      <c r="G338" s="6">
        <v>7</v>
      </c>
      <c r="H338" s="6">
        <v>81595</v>
      </c>
      <c r="I338" s="6" t="s">
        <v>17</v>
      </c>
      <c r="J338" s="6">
        <v>45812817</v>
      </c>
      <c r="K338" s="6" t="s">
        <v>1710</v>
      </c>
      <c r="L338" s="17" t="s">
        <v>1712</v>
      </c>
      <c r="M338" s="8">
        <v>35900</v>
      </c>
      <c r="N338" s="36">
        <f t="shared" si="22"/>
        <v>0.75</v>
      </c>
      <c r="O338" s="35">
        <f t="shared" si="23"/>
        <v>8975</v>
      </c>
      <c r="P338" s="33" t="s">
        <v>16</v>
      </c>
    </row>
    <row r="339" spans="1:16" x14ac:dyDescent="0.35">
      <c r="A339" s="33" t="str">
        <f t="shared" si="24"/>
        <v>2024 JAN-DEC DISC 75 LICENSE ESS</v>
      </c>
      <c r="B339" s="34">
        <f t="shared" si="24"/>
        <v>46104</v>
      </c>
      <c r="C339" s="34">
        <f t="shared" si="24"/>
        <v>46113</v>
      </c>
      <c r="D339" s="6">
        <v>3287</v>
      </c>
      <c r="E339" s="6">
        <v>338</v>
      </c>
      <c r="F339" s="6">
        <v>4</v>
      </c>
      <c r="G339" s="6">
        <v>7</v>
      </c>
      <c r="H339" s="6">
        <v>81595</v>
      </c>
      <c r="I339" s="6" t="s">
        <v>17</v>
      </c>
      <c r="J339" s="6">
        <v>45812826</v>
      </c>
      <c r="K339" s="6" t="s">
        <v>1710</v>
      </c>
      <c r="L339" s="17" t="s">
        <v>1711</v>
      </c>
      <c r="M339" s="8">
        <v>35900</v>
      </c>
      <c r="N339" s="36">
        <f t="shared" si="22"/>
        <v>0.75</v>
      </c>
      <c r="O339" s="35">
        <f t="shared" si="23"/>
        <v>8975</v>
      </c>
      <c r="P339" s="33" t="s">
        <v>16</v>
      </c>
    </row>
    <row r="340" spans="1:16" x14ac:dyDescent="0.35">
      <c r="A340" s="33" t="str">
        <f t="shared" si="24"/>
        <v>2024 JAN-DEC DISC 75 LICENSE ESS</v>
      </c>
      <c r="B340" s="34">
        <f t="shared" si="24"/>
        <v>46104</v>
      </c>
      <c r="C340" s="34">
        <f t="shared" si="24"/>
        <v>46113</v>
      </c>
      <c r="D340" s="6">
        <v>3287</v>
      </c>
      <c r="E340" s="6">
        <v>338</v>
      </c>
      <c r="F340" s="6">
        <v>4</v>
      </c>
      <c r="G340" s="6">
        <v>10</v>
      </c>
      <c r="H340" s="6">
        <v>81595</v>
      </c>
      <c r="I340" s="6" t="s">
        <v>17</v>
      </c>
      <c r="J340" s="6">
        <v>45451225</v>
      </c>
      <c r="K340" s="6" t="s">
        <v>2354</v>
      </c>
      <c r="L340" s="17" t="s">
        <v>2355</v>
      </c>
      <c r="M340" s="8">
        <v>35900</v>
      </c>
      <c r="N340" s="36">
        <f t="shared" si="22"/>
        <v>0.75</v>
      </c>
      <c r="O340" s="35">
        <f t="shared" si="23"/>
        <v>8975</v>
      </c>
      <c r="P340" s="33" t="s">
        <v>16</v>
      </c>
    </row>
    <row r="341" spans="1:16" x14ac:dyDescent="0.35">
      <c r="A341" s="33" t="str">
        <f t="shared" si="24"/>
        <v>2024 JAN-DEC DISC 75 LICENSE ESS</v>
      </c>
      <c r="B341" s="34">
        <f t="shared" si="24"/>
        <v>46104</v>
      </c>
      <c r="C341" s="34">
        <f t="shared" si="24"/>
        <v>46113</v>
      </c>
      <c r="D341" s="6">
        <v>3287</v>
      </c>
      <c r="E341" s="6">
        <v>338</v>
      </c>
      <c r="F341" s="6">
        <v>4</v>
      </c>
      <c r="G341" s="6">
        <v>10</v>
      </c>
      <c r="H341" s="6">
        <v>81595</v>
      </c>
      <c r="I341" s="6" t="s">
        <v>17</v>
      </c>
      <c r="J341" s="6">
        <v>45451234</v>
      </c>
      <c r="K341" s="6" t="s">
        <v>2354</v>
      </c>
      <c r="L341" s="17" t="s">
        <v>2356</v>
      </c>
      <c r="M341" s="8">
        <v>35900</v>
      </c>
      <c r="N341" s="36">
        <f t="shared" si="22"/>
        <v>0.75</v>
      </c>
      <c r="O341" s="35">
        <f t="shared" si="23"/>
        <v>8975</v>
      </c>
      <c r="P341" s="33" t="s">
        <v>16</v>
      </c>
    </row>
    <row r="342" spans="1:16" x14ac:dyDescent="0.35">
      <c r="A342" s="33" t="str">
        <f t="shared" si="24"/>
        <v>2024 JAN-DEC DISC 75 LICENSE ESS</v>
      </c>
      <c r="B342" s="34">
        <f t="shared" si="24"/>
        <v>46104</v>
      </c>
      <c r="C342" s="34">
        <f t="shared" si="24"/>
        <v>46113</v>
      </c>
      <c r="D342" s="6">
        <v>3287</v>
      </c>
      <c r="E342" s="6">
        <v>338</v>
      </c>
      <c r="F342" s="6">
        <v>4</v>
      </c>
      <c r="G342" s="6">
        <v>10</v>
      </c>
      <c r="H342" s="6">
        <v>81595</v>
      </c>
      <c r="I342" s="6" t="s">
        <v>17</v>
      </c>
      <c r="J342" s="6">
        <v>45451243</v>
      </c>
      <c r="K342" s="6" t="s">
        <v>2357</v>
      </c>
      <c r="L342" s="17" t="s">
        <v>2358</v>
      </c>
      <c r="M342" s="8">
        <v>35900</v>
      </c>
      <c r="N342" s="36">
        <f t="shared" si="22"/>
        <v>0.75</v>
      </c>
      <c r="O342" s="35">
        <f t="shared" si="23"/>
        <v>8975</v>
      </c>
      <c r="P342" s="33" t="s">
        <v>16</v>
      </c>
    </row>
    <row r="343" spans="1:16" x14ac:dyDescent="0.35">
      <c r="A343" s="33" t="str">
        <f t="shared" si="24"/>
        <v>2024 JAN-DEC DISC 75 LICENSE ESS</v>
      </c>
      <c r="B343" s="34">
        <f t="shared" si="24"/>
        <v>46104</v>
      </c>
      <c r="C343" s="34">
        <f t="shared" si="24"/>
        <v>46113</v>
      </c>
      <c r="D343" s="6">
        <v>3287</v>
      </c>
      <c r="E343" s="6">
        <v>338</v>
      </c>
      <c r="F343" s="6">
        <v>4</v>
      </c>
      <c r="G343" s="6">
        <v>10</v>
      </c>
      <c r="H343" s="6">
        <v>81595</v>
      </c>
      <c r="I343" s="6" t="s">
        <v>17</v>
      </c>
      <c r="J343" s="6">
        <v>45451252</v>
      </c>
      <c r="K343" s="6" t="s">
        <v>2357</v>
      </c>
      <c r="L343" s="17" t="s">
        <v>2359</v>
      </c>
      <c r="M343" s="8">
        <v>35900</v>
      </c>
      <c r="N343" s="36">
        <f t="shared" si="22"/>
        <v>0.75</v>
      </c>
      <c r="O343" s="35">
        <f t="shared" si="23"/>
        <v>8975</v>
      </c>
      <c r="P343" s="33" t="s">
        <v>16</v>
      </c>
    </row>
    <row r="344" spans="1:16" x14ac:dyDescent="0.35">
      <c r="A344" s="33" t="str">
        <f t="shared" si="24"/>
        <v>2024 JAN-DEC DISC 75 LICENSE ESS</v>
      </c>
      <c r="B344" s="34">
        <f t="shared" si="24"/>
        <v>46104</v>
      </c>
      <c r="C344" s="34">
        <f t="shared" si="24"/>
        <v>46113</v>
      </c>
      <c r="D344" s="6">
        <v>3287</v>
      </c>
      <c r="E344" s="6">
        <v>338</v>
      </c>
      <c r="F344" s="6">
        <v>4</v>
      </c>
      <c r="G344" s="6">
        <v>3</v>
      </c>
      <c r="H344" s="6">
        <v>81574</v>
      </c>
      <c r="I344" s="6" t="s">
        <v>17</v>
      </c>
      <c r="J344" s="6">
        <v>45812988</v>
      </c>
      <c r="K344" s="6" t="s">
        <v>1678</v>
      </c>
      <c r="L344" s="17" t="s">
        <v>1682</v>
      </c>
      <c r="M344" s="8">
        <v>119900</v>
      </c>
      <c r="N344" s="36">
        <f t="shared" si="22"/>
        <v>0.75</v>
      </c>
      <c r="O344" s="35">
        <f t="shared" si="23"/>
        <v>29975</v>
      </c>
      <c r="P344" s="33" t="s">
        <v>16</v>
      </c>
    </row>
    <row r="345" spans="1:16" x14ac:dyDescent="0.35">
      <c r="A345" s="33" t="str">
        <f t="shared" si="24"/>
        <v>2024 JAN-DEC DISC 75 LICENSE ESS</v>
      </c>
      <c r="B345" s="34">
        <f t="shared" si="24"/>
        <v>46104</v>
      </c>
      <c r="C345" s="34">
        <f t="shared" si="24"/>
        <v>46113</v>
      </c>
      <c r="D345" s="6">
        <v>3287</v>
      </c>
      <c r="E345" s="6">
        <v>338</v>
      </c>
      <c r="F345" s="6">
        <v>4</v>
      </c>
      <c r="G345" s="6">
        <v>3</v>
      </c>
      <c r="H345" s="6">
        <v>81574</v>
      </c>
      <c r="I345" s="6" t="s">
        <v>17</v>
      </c>
      <c r="J345" s="6">
        <v>50341281</v>
      </c>
      <c r="K345" s="6" t="s">
        <v>1713</v>
      </c>
      <c r="L345" s="17" t="s">
        <v>1716</v>
      </c>
      <c r="M345" s="8">
        <v>119900</v>
      </c>
      <c r="N345" s="36">
        <f t="shared" si="22"/>
        <v>0.75</v>
      </c>
      <c r="O345" s="35">
        <f t="shared" si="23"/>
        <v>29975</v>
      </c>
      <c r="P345" s="33" t="s">
        <v>16</v>
      </c>
    </row>
    <row r="346" spans="1:16" x14ac:dyDescent="0.35">
      <c r="A346" s="33" t="str">
        <f t="shared" si="24"/>
        <v>2024 JAN-DEC DISC 75 LICENSE ESS</v>
      </c>
      <c r="B346" s="34">
        <f t="shared" si="24"/>
        <v>46104</v>
      </c>
      <c r="C346" s="34">
        <f t="shared" si="24"/>
        <v>46113</v>
      </c>
      <c r="D346" s="6">
        <v>3287</v>
      </c>
      <c r="E346" s="6">
        <v>338</v>
      </c>
      <c r="F346" s="6">
        <v>4</v>
      </c>
      <c r="G346" s="6">
        <v>3</v>
      </c>
      <c r="H346" s="6">
        <v>81574</v>
      </c>
      <c r="I346" s="6" t="s">
        <v>17</v>
      </c>
      <c r="J346" s="6">
        <v>50341290</v>
      </c>
      <c r="K346" s="6" t="s">
        <v>1713</v>
      </c>
      <c r="L346" s="17" t="s">
        <v>1714</v>
      </c>
      <c r="M346" s="8">
        <v>119900</v>
      </c>
      <c r="N346" s="36">
        <f t="shared" si="22"/>
        <v>0.75</v>
      </c>
      <c r="O346" s="35">
        <f t="shared" si="23"/>
        <v>29975</v>
      </c>
      <c r="P346" s="33" t="s">
        <v>16</v>
      </c>
    </row>
    <row r="347" spans="1:16" x14ac:dyDescent="0.35">
      <c r="A347" s="33" t="str">
        <f t="shared" si="24"/>
        <v>2024 JAN-DEC DISC 75 LICENSE ESS</v>
      </c>
      <c r="B347" s="34">
        <f t="shared" si="24"/>
        <v>46104</v>
      </c>
      <c r="C347" s="34">
        <f t="shared" si="24"/>
        <v>46113</v>
      </c>
      <c r="D347" s="6">
        <v>3287</v>
      </c>
      <c r="E347" s="6">
        <v>338</v>
      </c>
      <c r="F347" s="6">
        <v>4</v>
      </c>
      <c r="G347" s="6">
        <v>3</v>
      </c>
      <c r="H347" s="6">
        <v>81574</v>
      </c>
      <c r="I347" s="6" t="s">
        <v>17</v>
      </c>
      <c r="J347" s="6">
        <v>50341307</v>
      </c>
      <c r="K347" s="6" t="s">
        <v>1713</v>
      </c>
      <c r="L347" s="17" t="s">
        <v>1717</v>
      </c>
      <c r="M347" s="8">
        <v>119900</v>
      </c>
      <c r="N347" s="36">
        <f t="shared" si="22"/>
        <v>0.75</v>
      </c>
      <c r="O347" s="35">
        <f t="shared" si="23"/>
        <v>29975</v>
      </c>
      <c r="P347" s="33" t="s">
        <v>16</v>
      </c>
    </row>
    <row r="348" spans="1:16" x14ac:dyDescent="0.35">
      <c r="A348" s="33" t="str">
        <f t="shared" si="24"/>
        <v>2024 JAN-DEC DISC 75 LICENSE ESS</v>
      </c>
      <c r="B348" s="34">
        <f t="shared" si="24"/>
        <v>46104</v>
      </c>
      <c r="C348" s="34">
        <f t="shared" si="24"/>
        <v>46113</v>
      </c>
      <c r="D348" s="6">
        <v>3287</v>
      </c>
      <c r="E348" s="6">
        <v>338</v>
      </c>
      <c r="F348" s="6">
        <v>4</v>
      </c>
      <c r="G348" s="6">
        <v>3</v>
      </c>
      <c r="H348" s="6">
        <v>81574</v>
      </c>
      <c r="I348" s="6" t="s">
        <v>17</v>
      </c>
      <c r="J348" s="6">
        <v>50341316</v>
      </c>
      <c r="K348" s="6" t="s">
        <v>1713</v>
      </c>
      <c r="L348" s="17" t="s">
        <v>1715</v>
      </c>
      <c r="M348" s="8">
        <v>119900</v>
      </c>
      <c r="N348" s="36">
        <f t="shared" si="22"/>
        <v>0.75</v>
      </c>
      <c r="O348" s="35">
        <f t="shared" si="23"/>
        <v>29975</v>
      </c>
      <c r="P348" s="33" t="s">
        <v>16</v>
      </c>
    </row>
    <row r="349" spans="1:16" x14ac:dyDescent="0.35">
      <c r="A349" s="33" t="str">
        <f t="shared" si="24"/>
        <v>2024 JAN-DEC DISC 75 LICENSE ESS</v>
      </c>
      <c r="B349" s="34">
        <f t="shared" si="24"/>
        <v>46104</v>
      </c>
      <c r="C349" s="34">
        <f t="shared" si="24"/>
        <v>46113</v>
      </c>
      <c r="D349" s="6">
        <v>3287</v>
      </c>
      <c r="E349" s="6">
        <v>338</v>
      </c>
      <c r="F349" s="6">
        <v>4</v>
      </c>
      <c r="G349" s="6">
        <v>8</v>
      </c>
      <c r="H349" s="6">
        <v>81462</v>
      </c>
      <c r="I349" s="6" t="s">
        <v>17</v>
      </c>
      <c r="J349" s="6">
        <v>45450780</v>
      </c>
      <c r="K349" s="6" t="s">
        <v>2302</v>
      </c>
      <c r="L349" s="17" t="s">
        <v>2303</v>
      </c>
      <c r="M349" s="8">
        <v>119900</v>
      </c>
      <c r="N349" s="36">
        <f t="shared" si="22"/>
        <v>0.75</v>
      </c>
      <c r="O349" s="35">
        <f t="shared" si="23"/>
        <v>29975</v>
      </c>
      <c r="P349" s="33" t="s">
        <v>16</v>
      </c>
    </row>
    <row r="350" spans="1:16" x14ac:dyDescent="0.35">
      <c r="A350" s="33" t="str">
        <f t="shared" si="24"/>
        <v>2024 JAN-DEC DISC 75 LICENSE ESS</v>
      </c>
      <c r="B350" s="34">
        <f t="shared" si="24"/>
        <v>46104</v>
      </c>
      <c r="C350" s="34">
        <f t="shared" si="24"/>
        <v>46113</v>
      </c>
      <c r="D350" s="6">
        <v>3287</v>
      </c>
      <c r="E350" s="6">
        <v>338</v>
      </c>
      <c r="F350" s="6">
        <v>4</v>
      </c>
      <c r="G350" s="6">
        <v>8</v>
      </c>
      <c r="H350" s="6">
        <v>81462</v>
      </c>
      <c r="I350" s="6" t="s">
        <v>17</v>
      </c>
      <c r="J350" s="6">
        <v>45450799</v>
      </c>
      <c r="K350" s="6" t="s">
        <v>2302</v>
      </c>
      <c r="L350" s="17" t="s">
        <v>2304</v>
      </c>
      <c r="M350" s="8">
        <v>119900</v>
      </c>
      <c r="N350" s="36">
        <f t="shared" si="22"/>
        <v>0.75</v>
      </c>
      <c r="O350" s="35">
        <f t="shared" si="23"/>
        <v>29975</v>
      </c>
      <c r="P350" s="33" t="s">
        <v>16</v>
      </c>
    </row>
    <row r="351" spans="1:16" x14ac:dyDescent="0.35">
      <c r="A351" s="33" t="str">
        <f t="shared" si="24"/>
        <v>2024 JAN-DEC DISC 75 LICENSE ESS</v>
      </c>
      <c r="B351" s="34">
        <f t="shared" si="24"/>
        <v>46104</v>
      </c>
      <c r="C351" s="34">
        <f t="shared" si="24"/>
        <v>46113</v>
      </c>
      <c r="D351" s="6">
        <v>3287</v>
      </c>
      <c r="E351" s="6">
        <v>338</v>
      </c>
      <c r="F351" s="6">
        <v>4</v>
      </c>
      <c r="G351" s="6">
        <v>8</v>
      </c>
      <c r="H351" s="6">
        <v>81462</v>
      </c>
      <c r="I351" s="6" t="s">
        <v>17</v>
      </c>
      <c r="J351" s="6">
        <v>45450806</v>
      </c>
      <c r="K351" s="6" t="s">
        <v>2302</v>
      </c>
      <c r="L351" s="17" t="s">
        <v>2305</v>
      </c>
      <c r="M351" s="8">
        <v>119900</v>
      </c>
      <c r="N351" s="36">
        <f t="shared" si="22"/>
        <v>0.75</v>
      </c>
      <c r="O351" s="35">
        <f t="shared" si="23"/>
        <v>29975</v>
      </c>
      <c r="P351" s="33" t="s">
        <v>16</v>
      </c>
    </row>
    <row r="352" spans="1:16" x14ac:dyDescent="0.35">
      <c r="A352" s="33" t="str">
        <f t="shared" si="24"/>
        <v>2024 JAN-DEC DISC 75 LICENSE ESS</v>
      </c>
      <c r="B352" s="34">
        <f t="shared" si="24"/>
        <v>46104</v>
      </c>
      <c r="C352" s="34">
        <f t="shared" si="24"/>
        <v>46113</v>
      </c>
      <c r="D352" s="6">
        <v>3287</v>
      </c>
      <c r="E352" s="6">
        <v>338</v>
      </c>
      <c r="F352" s="6">
        <v>4</v>
      </c>
      <c r="G352" s="6">
        <v>8</v>
      </c>
      <c r="H352" s="6">
        <v>81462</v>
      </c>
      <c r="I352" s="6" t="s">
        <v>17</v>
      </c>
      <c r="J352" s="6">
        <v>45450815</v>
      </c>
      <c r="K352" s="6" t="s">
        <v>2302</v>
      </c>
      <c r="L352" s="17" t="s">
        <v>2306</v>
      </c>
      <c r="M352" s="8">
        <v>119900</v>
      </c>
      <c r="N352" s="36">
        <f t="shared" si="22"/>
        <v>0.75</v>
      </c>
      <c r="O352" s="35">
        <f t="shared" si="23"/>
        <v>29975</v>
      </c>
      <c r="P352" s="33" t="s">
        <v>16</v>
      </c>
    </row>
    <row r="353" spans="1:16" x14ac:dyDescent="0.35">
      <c r="A353" s="33" t="str">
        <f t="shared" si="24"/>
        <v>2024 JAN-DEC DISC 75 LICENSE ESS</v>
      </c>
      <c r="B353" s="34">
        <f t="shared" si="24"/>
        <v>46104</v>
      </c>
      <c r="C353" s="34">
        <f t="shared" si="24"/>
        <v>46113</v>
      </c>
      <c r="D353" s="6">
        <v>3287</v>
      </c>
      <c r="E353" s="6">
        <v>338</v>
      </c>
      <c r="F353" s="6">
        <v>4</v>
      </c>
      <c r="G353" s="6">
        <v>8</v>
      </c>
      <c r="H353" s="6">
        <v>81462</v>
      </c>
      <c r="I353" s="6" t="s">
        <v>17</v>
      </c>
      <c r="J353" s="6">
        <v>45450708</v>
      </c>
      <c r="K353" s="6" t="s">
        <v>2292</v>
      </c>
      <c r="L353" s="17" t="s">
        <v>2293</v>
      </c>
      <c r="M353" s="8">
        <v>119900</v>
      </c>
      <c r="N353" s="36">
        <f t="shared" si="22"/>
        <v>0.75</v>
      </c>
      <c r="O353" s="35">
        <f t="shared" si="23"/>
        <v>29975</v>
      </c>
      <c r="P353" s="33" t="s">
        <v>16</v>
      </c>
    </row>
    <row r="354" spans="1:16" x14ac:dyDescent="0.35">
      <c r="A354" s="33" t="str">
        <f t="shared" si="24"/>
        <v>2024 JAN-DEC DISC 75 LICENSE ESS</v>
      </c>
      <c r="B354" s="34">
        <f t="shared" si="24"/>
        <v>46104</v>
      </c>
      <c r="C354" s="34">
        <f t="shared" si="24"/>
        <v>46113</v>
      </c>
      <c r="D354" s="6">
        <v>3287</v>
      </c>
      <c r="E354" s="6">
        <v>338</v>
      </c>
      <c r="F354" s="6">
        <v>4</v>
      </c>
      <c r="G354" s="6">
        <v>8</v>
      </c>
      <c r="H354" s="6">
        <v>81462</v>
      </c>
      <c r="I354" s="6" t="s">
        <v>17</v>
      </c>
      <c r="J354" s="6">
        <v>45450717</v>
      </c>
      <c r="K354" s="6" t="s">
        <v>2292</v>
      </c>
      <c r="L354" s="17" t="s">
        <v>2294</v>
      </c>
      <c r="M354" s="8">
        <v>119900</v>
      </c>
      <c r="N354" s="36">
        <f t="shared" si="22"/>
        <v>0.75</v>
      </c>
      <c r="O354" s="35">
        <f t="shared" si="23"/>
        <v>29975</v>
      </c>
      <c r="P354" s="33" t="s">
        <v>16</v>
      </c>
    </row>
    <row r="355" spans="1:16" x14ac:dyDescent="0.35">
      <c r="A355" s="33" t="str">
        <f t="shared" si="24"/>
        <v>2024 JAN-DEC DISC 75 LICENSE ESS</v>
      </c>
      <c r="B355" s="34">
        <f t="shared" si="24"/>
        <v>46104</v>
      </c>
      <c r="C355" s="34">
        <f t="shared" si="24"/>
        <v>46113</v>
      </c>
      <c r="D355" s="6">
        <v>3287</v>
      </c>
      <c r="E355" s="6">
        <v>338</v>
      </c>
      <c r="F355" s="6">
        <v>4</v>
      </c>
      <c r="G355" s="6">
        <v>8</v>
      </c>
      <c r="H355" s="6">
        <v>81462</v>
      </c>
      <c r="I355" s="6" t="s">
        <v>17</v>
      </c>
      <c r="J355" s="6">
        <v>45450726</v>
      </c>
      <c r="K355" s="6" t="s">
        <v>2292</v>
      </c>
      <c r="L355" s="17" t="s">
        <v>2295</v>
      </c>
      <c r="M355" s="8">
        <v>119900</v>
      </c>
      <c r="N355" s="36">
        <f t="shared" si="22"/>
        <v>0.75</v>
      </c>
      <c r="O355" s="35">
        <f t="shared" si="23"/>
        <v>29975</v>
      </c>
      <c r="P355" s="33" t="s">
        <v>16</v>
      </c>
    </row>
    <row r="356" spans="1:16" x14ac:dyDescent="0.35">
      <c r="A356" s="33" t="str">
        <f t="shared" si="24"/>
        <v>2024 JAN-DEC DISC 75 LICENSE ESS</v>
      </c>
      <c r="B356" s="34">
        <f t="shared" si="24"/>
        <v>46104</v>
      </c>
      <c r="C356" s="34">
        <f t="shared" si="24"/>
        <v>46113</v>
      </c>
      <c r="D356" s="6">
        <v>3287</v>
      </c>
      <c r="E356" s="6">
        <v>338</v>
      </c>
      <c r="F356" s="6">
        <v>4</v>
      </c>
      <c r="G356" s="6">
        <v>8</v>
      </c>
      <c r="H356" s="6">
        <v>81462</v>
      </c>
      <c r="I356" s="6" t="s">
        <v>17</v>
      </c>
      <c r="J356" s="6">
        <v>45450735</v>
      </c>
      <c r="K356" s="6" t="s">
        <v>2292</v>
      </c>
      <c r="L356" s="17" t="s">
        <v>2296</v>
      </c>
      <c r="M356" s="8">
        <v>119900</v>
      </c>
      <c r="N356" s="36">
        <f t="shared" si="22"/>
        <v>0.75</v>
      </c>
      <c r="O356" s="35">
        <f t="shared" si="23"/>
        <v>29975</v>
      </c>
      <c r="P356" s="33" t="s">
        <v>16</v>
      </c>
    </row>
    <row r="357" spans="1:16" x14ac:dyDescent="0.35">
      <c r="A357" s="33" t="str">
        <f t="shared" si="24"/>
        <v>2024 JAN-DEC DISC 75 LICENSE ESS</v>
      </c>
      <c r="B357" s="34">
        <f t="shared" si="24"/>
        <v>46104</v>
      </c>
      <c r="C357" s="34">
        <f t="shared" si="24"/>
        <v>46113</v>
      </c>
      <c r="D357" s="6">
        <v>3287</v>
      </c>
      <c r="E357" s="6">
        <v>338</v>
      </c>
      <c r="F357" s="6">
        <v>4</v>
      </c>
      <c r="G357" s="6">
        <v>8</v>
      </c>
      <c r="H357" s="6">
        <v>81462</v>
      </c>
      <c r="I357" s="6" t="s">
        <v>17</v>
      </c>
      <c r="J357" s="6">
        <v>45450744</v>
      </c>
      <c r="K357" s="6" t="s">
        <v>2297</v>
      </c>
      <c r="L357" s="17" t="s">
        <v>2298</v>
      </c>
      <c r="M357" s="8">
        <v>119900</v>
      </c>
      <c r="N357" s="36">
        <f t="shared" si="22"/>
        <v>0.75</v>
      </c>
      <c r="O357" s="35">
        <f t="shared" si="23"/>
        <v>29975</v>
      </c>
      <c r="P357" s="33" t="s">
        <v>16</v>
      </c>
    </row>
    <row r="358" spans="1:16" x14ac:dyDescent="0.35">
      <c r="A358" s="33" t="str">
        <f t="shared" si="24"/>
        <v>2024 JAN-DEC DISC 75 LICENSE ESS</v>
      </c>
      <c r="B358" s="34">
        <f t="shared" si="24"/>
        <v>46104</v>
      </c>
      <c r="C358" s="34">
        <f t="shared" si="24"/>
        <v>46113</v>
      </c>
      <c r="D358" s="6">
        <v>3287</v>
      </c>
      <c r="E358" s="6">
        <v>338</v>
      </c>
      <c r="F358" s="6">
        <v>4</v>
      </c>
      <c r="G358" s="6">
        <v>8</v>
      </c>
      <c r="H358" s="6">
        <v>81462</v>
      </c>
      <c r="I358" s="6" t="s">
        <v>17</v>
      </c>
      <c r="J358" s="6">
        <v>45450753</v>
      </c>
      <c r="K358" s="6" t="s">
        <v>2297</v>
      </c>
      <c r="L358" s="17" t="s">
        <v>2299</v>
      </c>
      <c r="M358" s="8">
        <v>119900</v>
      </c>
      <c r="N358" s="36">
        <f t="shared" si="22"/>
        <v>0.75</v>
      </c>
      <c r="O358" s="35">
        <f t="shared" si="23"/>
        <v>29975</v>
      </c>
      <c r="P358" s="33" t="s">
        <v>16</v>
      </c>
    </row>
    <row r="359" spans="1:16" x14ac:dyDescent="0.35">
      <c r="A359" s="33" t="str">
        <f t="shared" si="24"/>
        <v>2024 JAN-DEC DISC 75 LICENSE ESS</v>
      </c>
      <c r="B359" s="34">
        <f t="shared" si="24"/>
        <v>46104</v>
      </c>
      <c r="C359" s="34">
        <f t="shared" si="24"/>
        <v>46113</v>
      </c>
      <c r="D359" s="6">
        <v>3287</v>
      </c>
      <c r="E359" s="6">
        <v>338</v>
      </c>
      <c r="F359" s="6">
        <v>4</v>
      </c>
      <c r="G359" s="6">
        <v>8</v>
      </c>
      <c r="H359" s="6">
        <v>81462</v>
      </c>
      <c r="I359" s="6" t="s">
        <v>17</v>
      </c>
      <c r="J359" s="6">
        <v>45450762</v>
      </c>
      <c r="K359" s="6" t="s">
        <v>2297</v>
      </c>
      <c r="L359" s="17" t="s">
        <v>2300</v>
      </c>
      <c r="M359" s="8">
        <v>119900</v>
      </c>
      <c r="N359" s="36">
        <f t="shared" si="22"/>
        <v>0.75</v>
      </c>
      <c r="O359" s="35">
        <f t="shared" si="23"/>
        <v>29975</v>
      </c>
      <c r="P359" s="33" t="s">
        <v>16</v>
      </c>
    </row>
    <row r="360" spans="1:16" x14ac:dyDescent="0.35">
      <c r="A360" s="33" t="str">
        <f t="shared" si="24"/>
        <v>2024 JAN-DEC DISC 75 LICENSE ESS</v>
      </c>
      <c r="B360" s="34">
        <f t="shared" si="24"/>
        <v>46104</v>
      </c>
      <c r="C360" s="34">
        <f t="shared" si="24"/>
        <v>46113</v>
      </c>
      <c r="D360" s="6">
        <v>3287</v>
      </c>
      <c r="E360" s="6">
        <v>338</v>
      </c>
      <c r="F360" s="6">
        <v>4</v>
      </c>
      <c r="G360" s="6">
        <v>8</v>
      </c>
      <c r="H360" s="6">
        <v>81462</v>
      </c>
      <c r="I360" s="6" t="s">
        <v>17</v>
      </c>
      <c r="J360" s="6">
        <v>45450771</v>
      </c>
      <c r="K360" s="6" t="s">
        <v>2297</v>
      </c>
      <c r="L360" s="17" t="s">
        <v>2301</v>
      </c>
      <c r="M360" s="8">
        <v>119900</v>
      </c>
      <c r="N360" s="36">
        <f t="shared" si="22"/>
        <v>0.75</v>
      </c>
      <c r="O360" s="35">
        <f t="shared" si="23"/>
        <v>29975</v>
      </c>
      <c r="P360" s="33" t="s">
        <v>16</v>
      </c>
    </row>
    <row r="361" spans="1:16" x14ac:dyDescent="0.35">
      <c r="A361" s="33" t="str">
        <f t="shared" si="24"/>
        <v>2024 JAN-DEC DISC 75 LICENSE ESS</v>
      </c>
      <c r="B361" s="34">
        <f t="shared" si="24"/>
        <v>46104</v>
      </c>
      <c r="C361" s="34">
        <f t="shared" si="24"/>
        <v>46113</v>
      </c>
      <c r="D361" s="6">
        <v>3287</v>
      </c>
      <c r="E361" s="6">
        <v>338</v>
      </c>
      <c r="F361" s="6">
        <v>4</v>
      </c>
      <c r="G361" s="6">
        <v>2</v>
      </c>
      <c r="H361" s="6">
        <v>850</v>
      </c>
      <c r="I361" s="6" t="s">
        <v>17</v>
      </c>
      <c r="J361" s="6">
        <v>51134691</v>
      </c>
      <c r="K361" s="6" t="s">
        <v>1820</v>
      </c>
      <c r="L361" s="17" t="s">
        <v>1821</v>
      </c>
      <c r="M361" s="8">
        <v>219900</v>
      </c>
      <c r="N361" s="36">
        <f t="shared" si="22"/>
        <v>0.75</v>
      </c>
      <c r="O361" s="35">
        <f t="shared" si="23"/>
        <v>54975</v>
      </c>
      <c r="P361" s="33" t="s">
        <v>16</v>
      </c>
    </row>
    <row r="362" spans="1:16" x14ac:dyDescent="0.35">
      <c r="A362" s="33" t="str">
        <f t="shared" si="24"/>
        <v>2024 JAN-DEC DISC 75 LICENSE ESS</v>
      </c>
      <c r="B362" s="34">
        <f t="shared" si="24"/>
        <v>46104</v>
      </c>
      <c r="C362" s="34">
        <f t="shared" si="24"/>
        <v>46113</v>
      </c>
      <c r="D362" s="6">
        <v>3287</v>
      </c>
      <c r="E362" s="6">
        <v>338</v>
      </c>
      <c r="F362" s="6">
        <v>4</v>
      </c>
      <c r="G362" s="6">
        <v>2</v>
      </c>
      <c r="H362" s="6">
        <v>850</v>
      </c>
      <c r="I362" s="6" t="s">
        <v>17</v>
      </c>
      <c r="J362" s="6">
        <v>51134708</v>
      </c>
      <c r="K362" s="6" t="s">
        <v>1820</v>
      </c>
      <c r="L362" s="17" t="s">
        <v>1827</v>
      </c>
      <c r="M362" s="8">
        <v>219900</v>
      </c>
      <c r="N362" s="36">
        <f t="shared" si="22"/>
        <v>0.75</v>
      </c>
      <c r="O362" s="35">
        <f t="shared" si="23"/>
        <v>54975</v>
      </c>
      <c r="P362" s="33" t="s">
        <v>16</v>
      </c>
    </row>
    <row r="363" spans="1:16" x14ac:dyDescent="0.35">
      <c r="A363" s="33" t="str">
        <f t="shared" si="24"/>
        <v>2024 JAN-DEC DISC 75 LICENSE ESS</v>
      </c>
      <c r="B363" s="34">
        <f t="shared" si="24"/>
        <v>46104</v>
      </c>
      <c r="C363" s="34">
        <f t="shared" si="24"/>
        <v>46113</v>
      </c>
      <c r="D363" s="6">
        <v>3287</v>
      </c>
      <c r="E363" s="6">
        <v>338</v>
      </c>
      <c r="F363" s="6">
        <v>4</v>
      </c>
      <c r="G363" s="6">
        <v>2</v>
      </c>
      <c r="H363" s="6">
        <v>850</v>
      </c>
      <c r="I363" s="6" t="s">
        <v>17</v>
      </c>
      <c r="J363" s="6">
        <v>51134717</v>
      </c>
      <c r="K363" s="6" t="s">
        <v>1820</v>
      </c>
      <c r="L363" s="17" t="s">
        <v>1828</v>
      </c>
      <c r="M363" s="8">
        <v>219900</v>
      </c>
      <c r="N363" s="36">
        <f t="shared" si="22"/>
        <v>0.75</v>
      </c>
      <c r="O363" s="35">
        <f t="shared" si="23"/>
        <v>54975</v>
      </c>
      <c r="P363" s="33" t="s">
        <v>16</v>
      </c>
    </row>
    <row r="364" spans="1:16" x14ac:dyDescent="0.35">
      <c r="A364" s="33" t="str">
        <f t="shared" si="24"/>
        <v>2024 JAN-DEC DISC 75 LICENSE ESS</v>
      </c>
      <c r="B364" s="34">
        <f t="shared" si="24"/>
        <v>46104</v>
      </c>
      <c r="C364" s="34">
        <f t="shared" si="24"/>
        <v>46113</v>
      </c>
      <c r="D364" s="6">
        <v>3287</v>
      </c>
      <c r="E364" s="6">
        <v>338</v>
      </c>
      <c r="F364" s="6">
        <v>4</v>
      </c>
      <c r="G364" s="6">
        <v>2</v>
      </c>
      <c r="H364" s="6">
        <v>850</v>
      </c>
      <c r="I364" s="6" t="s">
        <v>17</v>
      </c>
      <c r="J364" s="6">
        <v>51134726</v>
      </c>
      <c r="K364" s="6" t="s">
        <v>1820</v>
      </c>
      <c r="L364" s="17" t="s">
        <v>1822</v>
      </c>
      <c r="M364" s="8">
        <v>219900</v>
      </c>
      <c r="N364" s="36">
        <f t="shared" si="22"/>
        <v>0.75</v>
      </c>
      <c r="O364" s="35">
        <f t="shared" si="23"/>
        <v>54975</v>
      </c>
      <c r="P364" s="33" t="s">
        <v>16</v>
      </c>
    </row>
    <row r="365" spans="1:16" x14ac:dyDescent="0.35">
      <c r="A365" s="33" t="str">
        <f t="shared" si="24"/>
        <v>2024 JAN-DEC DISC 75 LICENSE ESS</v>
      </c>
      <c r="B365" s="34">
        <f t="shared" si="24"/>
        <v>46104</v>
      </c>
      <c r="C365" s="34">
        <f t="shared" si="24"/>
        <v>46113</v>
      </c>
      <c r="D365" s="6">
        <v>3287</v>
      </c>
      <c r="E365" s="6">
        <v>338</v>
      </c>
      <c r="F365" s="6">
        <v>4</v>
      </c>
      <c r="G365" s="6">
        <v>2</v>
      </c>
      <c r="H365" s="6">
        <v>850</v>
      </c>
      <c r="I365" s="6" t="s">
        <v>17</v>
      </c>
      <c r="J365" s="6">
        <v>51134735</v>
      </c>
      <c r="K365" s="6" t="s">
        <v>1820</v>
      </c>
      <c r="L365" s="17" t="s">
        <v>1826</v>
      </c>
      <c r="M365" s="8">
        <v>229900</v>
      </c>
      <c r="N365" s="36">
        <f t="shared" si="22"/>
        <v>0.75</v>
      </c>
      <c r="O365" s="35">
        <f t="shared" si="23"/>
        <v>57475</v>
      </c>
      <c r="P365" s="33" t="s">
        <v>16</v>
      </c>
    </row>
    <row r="366" spans="1:16" x14ac:dyDescent="0.35">
      <c r="A366" s="33" t="str">
        <f t="shared" si="24"/>
        <v>2024 JAN-DEC DISC 75 LICENSE ESS</v>
      </c>
      <c r="B366" s="34">
        <f t="shared" si="24"/>
        <v>46104</v>
      </c>
      <c r="C366" s="34">
        <f t="shared" si="24"/>
        <v>46113</v>
      </c>
      <c r="D366" s="6">
        <v>3287</v>
      </c>
      <c r="E366" s="6">
        <v>338</v>
      </c>
      <c r="F366" s="6">
        <v>4</v>
      </c>
      <c r="G366" s="6">
        <v>2</v>
      </c>
      <c r="H366" s="6">
        <v>850</v>
      </c>
      <c r="I366" s="6" t="s">
        <v>17</v>
      </c>
      <c r="J366" s="6">
        <v>51134744</v>
      </c>
      <c r="K366" s="6" t="s">
        <v>1820</v>
      </c>
      <c r="L366" s="17" t="s">
        <v>1824</v>
      </c>
      <c r="M366" s="8">
        <v>229900</v>
      </c>
      <c r="N366" s="36">
        <f t="shared" si="22"/>
        <v>0.75</v>
      </c>
      <c r="O366" s="35">
        <f t="shared" si="23"/>
        <v>57475</v>
      </c>
      <c r="P366" s="33" t="s">
        <v>16</v>
      </c>
    </row>
    <row r="367" spans="1:16" x14ac:dyDescent="0.35">
      <c r="A367" s="33" t="str">
        <f t="shared" si="24"/>
        <v>2024 JAN-DEC DISC 75 LICENSE ESS</v>
      </c>
      <c r="B367" s="34">
        <f t="shared" si="24"/>
        <v>46104</v>
      </c>
      <c r="C367" s="34">
        <f t="shared" si="24"/>
        <v>46113</v>
      </c>
      <c r="D367" s="6">
        <v>3287</v>
      </c>
      <c r="E367" s="6">
        <v>338</v>
      </c>
      <c r="F367" s="6">
        <v>4</v>
      </c>
      <c r="G367" s="6">
        <v>2</v>
      </c>
      <c r="H367" s="6">
        <v>850</v>
      </c>
      <c r="I367" s="6" t="s">
        <v>17</v>
      </c>
      <c r="J367" s="6">
        <v>51134753</v>
      </c>
      <c r="K367" s="6" t="s">
        <v>1820</v>
      </c>
      <c r="L367" s="17" t="s">
        <v>1825</v>
      </c>
      <c r="M367" s="8">
        <v>229900</v>
      </c>
      <c r="N367" s="36">
        <f t="shared" si="22"/>
        <v>0.75</v>
      </c>
      <c r="O367" s="35">
        <f t="shared" si="23"/>
        <v>57475</v>
      </c>
      <c r="P367" s="33" t="s">
        <v>16</v>
      </c>
    </row>
    <row r="368" spans="1:16" x14ac:dyDescent="0.35">
      <c r="A368" s="33" t="str">
        <f t="shared" si="24"/>
        <v>2024 JAN-DEC DISC 75 LICENSE ESS</v>
      </c>
      <c r="B368" s="34">
        <f t="shared" si="24"/>
        <v>46104</v>
      </c>
      <c r="C368" s="34">
        <f t="shared" si="24"/>
        <v>46113</v>
      </c>
      <c r="D368" s="6">
        <v>3287</v>
      </c>
      <c r="E368" s="6">
        <v>338</v>
      </c>
      <c r="F368" s="6">
        <v>4</v>
      </c>
      <c r="G368" s="6">
        <v>2</v>
      </c>
      <c r="H368" s="6">
        <v>850</v>
      </c>
      <c r="I368" s="6" t="s">
        <v>17</v>
      </c>
      <c r="J368" s="6">
        <v>51134762</v>
      </c>
      <c r="K368" s="6" t="s">
        <v>1820</v>
      </c>
      <c r="L368" s="17" t="s">
        <v>1823</v>
      </c>
      <c r="M368" s="8">
        <v>229900</v>
      </c>
      <c r="N368" s="36">
        <f t="shared" si="22"/>
        <v>0.75</v>
      </c>
      <c r="O368" s="35">
        <f t="shared" si="23"/>
        <v>57475</v>
      </c>
      <c r="P368" s="33" t="s">
        <v>16</v>
      </c>
    </row>
    <row r="369" spans="1:16" x14ac:dyDescent="0.35">
      <c r="A369" s="33" t="str">
        <f t="shared" si="24"/>
        <v>2024 JAN-DEC DISC 75 LICENSE ESS</v>
      </c>
      <c r="B369" s="34">
        <f t="shared" si="24"/>
        <v>46104</v>
      </c>
      <c r="C369" s="34">
        <f t="shared" si="24"/>
        <v>46113</v>
      </c>
      <c r="D369" s="6">
        <v>3287</v>
      </c>
      <c r="E369" s="6">
        <v>338</v>
      </c>
      <c r="F369" s="6">
        <v>4</v>
      </c>
      <c r="G369" s="6">
        <v>3</v>
      </c>
      <c r="H369" s="6">
        <v>81462</v>
      </c>
      <c r="I369" s="6" t="s">
        <v>17</v>
      </c>
      <c r="J369" s="6">
        <v>51395794</v>
      </c>
      <c r="K369" s="6" t="s">
        <v>1829</v>
      </c>
      <c r="L369" s="17" t="s">
        <v>1833</v>
      </c>
      <c r="M369" s="8">
        <v>119900</v>
      </c>
      <c r="N369" s="36">
        <f t="shared" si="22"/>
        <v>0.75</v>
      </c>
      <c r="O369" s="35">
        <f t="shared" si="23"/>
        <v>29975</v>
      </c>
      <c r="P369" s="33" t="s">
        <v>16</v>
      </c>
    </row>
    <row r="370" spans="1:16" x14ac:dyDescent="0.35">
      <c r="A370" s="33" t="str">
        <f t="shared" si="24"/>
        <v>2024 JAN-DEC DISC 75 LICENSE ESS</v>
      </c>
      <c r="B370" s="34">
        <f t="shared" si="24"/>
        <v>46104</v>
      </c>
      <c r="C370" s="34">
        <f t="shared" si="24"/>
        <v>46113</v>
      </c>
      <c r="D370" s="6">
        <v>3287</v>
      </c>
      <c r="E370" s="6">
        <v>338</v>
      </c>
      <c r="F370" s="6">
        <v>4</v>
      </c>
      <c r="G370" s="6">
        <v>3</v>
      </c>
      <c r="H370" s="6">
        <v>81462</v>
      </c>
      <c r="I370" s="6" t="s">
        <v>17</v>
      </c>
      <c r="J370" s="6">
        <v>51395801</v>
      </c>
      <c r="K370" s="6" t="s">
        <v>1829</v>
      </c>
      <c r="L370" s="17" t="s">
        <v>1832</v>
      </c>
      <c r="M370" s="8">
        <v>119900</v>
      </c>
      <c r="N370" s="36">
        <f t="shared" si="22"/>
        <v>0.75</v>
      </c>
      <c r="O370" s="35">
        <f t="shared" si="23"/>
        <v>29975</v>
      </c>
      <c r="P370" s="33" t="s">
        <v>16</v>
      </c>
    </row>
    <row r="371" spans="1:16" x14ac:dyDescent="0.35">
      <c r="A371" s="33" t="str">
        <f t="shared" si="24"/>
        <v>2024 JAN-DEC DISC 75 LICENSE ESS</v>
      </c>
      <c r="B371" s="34">
        <f t="shared" si="24"/>
        <v>46104</v>
      </c>
      <c r="C371" s="34">
        <f t="shared" si="24"/>
        <v>46113</v>
      </c>
      <c r="D371" s="6">
        <v>3287</v>
      </c>
      <c r="E371" s="6">
        <v>338</v>
      </c>
      <c r="F371" s="6">
        <v>4</v>
      </c>
      <c r="G371" s="6">
        <v>3</v>
      </c>
      <c r="H371" s="6">
        <v>81462</v>
      </c>
      <c r="I371" s="6" t="s">
        <v>17</v>
      </c>
      <c r="J371" s="6">
        <v>51395810</v>
      </c>
      <c r="K371" s="6" t="s">
        <v>1829</v>
      </c>
      <c r="L371" s="17" t="s">
        <v>1830</v>
      </c>
      <c r="M371" s="8">
        <v>119900</v>
      </c>
      <c r="N371" s="36">
        <f t="shared" si="22"/>
        <v>0.75</v>
      </c>
      <c r="O371" s="35">
        <f t="shared" si="23"/>
        <v>29975</v>
      </c>
      <c r="P371" s="33" t="s">
        <v>16</v>
      </c>
    </row>
    <row r="372" spans="1:16" x14ac:dyDescent="0.35">
      <c r="A372" s="33" t="str">
        <f t="shared" si="24"/>
        <v>2024 JAN-DEC DISC 75 LICENSE ESS</v>
      </c>
      <c r="B372" s="34">
        <f t="shared" si="24"/>
        <v>46104</v>
      </c>
      <c r="C372" s="34">
        <f t="shared" si="24"/>
        <v>46113</v>
      </c>
      <c r="D372" s="6">
        <v>3287</v>
      </c>
      <c r="E372" s="6">
        <v>338</v>
      </c>
      <c r="F372" s="6">
        <v>4</v>
      </c>
      <c r="G372" s="6">
        <v>3</v>
      </c>
      <c r="H372" s="6">
        <v>81462</v>
      </c>
      <c r="I372" s="6" t="s">
        <v>17</v>
      </c>
      <c r="J372" s="6">
        <v>51395829</v>
      </c>
      <c r="K372" s="6" t="s">
        <v>1829</v>
      </c>
      <c r="L372" s="17" t="s">
        <v>1831</v>
      </c>
      <c r="M372" s="8">
        <v>119900</v>
      </c>
      <c r="N372" s="36">
        <f t="shared" si="22"/>
        <v>0.75</v>
      </c>
      <c r="O372" s="35">
        <f t="shared" si="23"/>
        <v>29975</v>
      </c>
      <c r="P372" s="33" t="s">
        <v>16</v>
      </c>
    </row>
    <row r="373" spans="1:16" x14ac:dyDescent="0.35">
      <c r="A373" s="33" t="str">
        <f t="shared" si="24"/>
        <v>2024 JAN-DEC DISC 75 LICENSE ESS</v>
      </c>
      <c r="B373" s="34">
        <f t="shared" si="24"/>
        <v>46104</v>
      </c>
      <c r="C373" s="34">
        <f t="shared" si="24"/>
        <v>46113</v>
      </c>
      <c r="D373" s="6">
        <v>3287</v>
      </c>
      <c r="E373" s="6">
        <v>338</v>
      </c>
      <c r="F373" s="6">
        <v>4</v>
      </c>
      <c r="G373" s="6">
        <v>7</v>
      </c>
      <c r="H373" s="6">
        <v>81595</v>
      </c>
      <c r="I373" s="6" t="s">
        <v>17</v>
      </c>
      <c r="J373" s="6">
        <v>50341245</v>
      </c>
      <c r="K373" s="6" t="s">
        <v>1814</v>
      </c>
      <c r="L373" s="17" t="s">
        <v>1815</v>
      </c>
      <c r="M373" s="8">
        <v>35900</v>
      </c>
      <c r="N373" s="36">
        <f t="shared" ref="N373:N388" si="25">N372</f>
        <v>0.75</v>
      </c>
      <c r="O373" s="35">
        <f t="shared" ref="O373:O388" si="26">M373-((75*M373)/100)</f>
        <v>8975</v>
      </c>
      <c r="P373" s="33" t="s">
        <v>16</v>
      </c>
    </row>
    <row r="374" spans="1:16" x14ac:dyDescent="0.35">
      <c r="A374" s="33" t="str">
        <f t="shared" si="24"/>
        <v>2024 JAN-DEC DISC 75 LICENSE ESS</v>
      </c>
      <c r="B374" s="34">
        <f t="shared" si="24"/>
        <v>46104</v>
      </c>
      <c r="C374" s="34">
        <f t="shared" si="24"/>
        <v>46113</v>
      </c>
      <c r="D374" s="6">
        <v>3287</v>
      </c>
      <c r="E374" s="6">
        <v>338</v>
      </c>
      <c r="F374" s="6">
        <v>4</v>
      </c>
      <c r="G374" s="6">
        <v>7</v>
      </c>
      <c r="H374" s="6">
        <v>81595</v>
      </c>
      <c r="I374" s="6" t="s">
        <v>17</v>
      </c>
      <c r="J374" s="6">
        <v>50341254</v>
      </c>
      <c r="K374" s="6" t="s">
        <v>1814</v>
      </c>
      <c r="L374" s="17" t="s">
        <v>1818</v>
      </c>
      <c r="M374" s="8">
        <v>35900</v>
      </c>
      <c r="N374" s="36">
        <f t="shared" si="25"/>
        <v>0.75</v>
      </c>
      <c r="O374" s="35">
        <f t="shared" si="26"/>
        <v>8975</v>
      </c>
      <c r="P374" s="33" t="s">
        <v>16</v>
      </c>
    </row>
    <row r="375" spans="1:16" x14ac:dyDescent="0.35">
      <c r="A375" s="33" t="str">
        <f t="shared" si="24"/>
        <v>2024 JAN-DEC DISC 75 LICENSE ESS</v>
      </c>
      <c r="B375" s="34">
        <f t="shared" si="24"/>
        <v>46104</v>
      </c>
      <c r="C375" s="34">
        <f t="shared" si="24"/>
        <v>46113</v>
      </c>
      <c r="D375" s="6">
        <v>3287</v>
      </c>
      <c r="E375" s="6">
        <v>338</v>
      </c>
      <c r="F375" s="6">
        <v>4</v>
      </c>
      <c r="G375" s="6">
        <v>7</v>
      </c>
      <c r="H375" s="6">
        <v>81595</v>
      </c>
      <c r="I375" s="6" t="s">
        <v>17</v>
      </c>
      <c r="J375" s="6">
        <v>50341263</v>
      </c>
      <c r="K375" s="6" t="s">
        <v>1816</v>
      </c>
      <c r="L375" s="17" t="s">
        <v>1817</v>
      </c>
      <c r="M375" s="8">
        <v>35900</v>
      </c>
      <c r="N375" s="36">
        <f t="shared" si="25"/>
        <v>0.75</v>
      </c>
      <c r="O375" s="35">
        <f t="shared" si="26"/>
        <v>8975</v>
      </c>
      <c r="P375" s="33" t="s">
        <v>16</v>
      </c>
    </row>
    <row r="376" spans="1:16" x14ac:dyDescent="0.35">
      <c r="A376" s="33" t="str">
        <f t="shared" si="24"/>
        <v>2024 JAN-DEC DISC 75 LICENSE ESS</v>
      </c>
      <c r="B376" s="34">
        <f t="shared" si="24"/>
        <v>46104</v>
      </c>
      <c r="C376" s="34">
        <f t="shared" si="24"/>
        <v>46113</v>
      </c>
      <c r="D376" s="6">
        <v>3287</v>
      </c>
      <c r="E376" s="6">
        <v>338</v>
      </c>
      <c r="F376" s="6">
        <v>4</v>
      </c>
      <c r="G376" s="6">
        <v>7</v>
      </c>
      <c r="H376" s="6">
        <v>81595</v>
      </c>
      <c r="I376" s="6" t="s">
        <v>17</v>
      </c>
      <c r="J376" s="6">
        <v>50341272</v>
      </c>
      <c r="K376" s="6" t="s">
        <v>1816</v>
      </c>
      <c r="L376" s="17" t="s">
        <v>1819</v>
      </c>
      <c r="M376" s="8">
        <v>35900</v>
      </c>
      <c r="N376" s="36">
        <f t="shared" si="25"/>
        <v>0.75</v>
      </c>
      <c r="O376" s="35">
        <f t="shared" si="26"/>
        <v>8975</v>
      </c>
      <c r="P376" s="33" t="s">
        <v>16</v>
      </c>
    </row>
    <row r="377" spans="1:16" x14ac:dyDescent="0.35">
      <c r="A377" s="33" t="str">
        <f t="shared" si="24"/>
        <v>2024 JAN-DEC DISC 75 LICENSE ESS</v>
      </c>
      <c r="B377" s="34">
        <f t="shared" si="24"/>
        <v>46104</v>
      </c>
      <c r="C377" s="34">
        <f t="shared" si="24"/>
        <v>46113</v>
      </c>
      <c r="D377" s="6">
        <v>3287</v>
      </c>
      <c r="E377" s="6">
        <v>338</v>
      </c>
      <c r="F377" s="6">
        <v>4</v>
      </c>
      <c r="G377" s="6">
        <v>9</v>
      </c>
      <c r="H377" s="6">
        <v>81462</v>
      </c>
      <c r="I377" s="6" t="s">
        <v>17</v>
      </c>
      <c r="J377" s="6">
        <v>45450860</v>
      </c>
      <c r="K377" s="6" t="s">
        <v>2307</v>
      </c>
      <c r="L377" s="17" t="s">
        <v>2308</v>
      </c>
      <c r="M377" s="8">
        <v>229900</v>
      </c>
      <c r="N377" s="36">
        <f t="shared" si="25"/>
        <v>0.75</v>
      </c>
      <c r="O377" s="35">
        <f t="shared" si="26"/>
        <v>57475</v>
      </c>
      <c r="P377" s="33" t="s">
        <v>16</v>
      </c>
    </row>
    <row r="378" spans="1:16" x14ac:dyDescent="0.35">
      <c r="A378" s="33" t="str">
        <f t="shared" si="24"/>
        <v>2024 JAN-DEC DISC 75 LICENSE ESS</v>
      </c>
      <c r="B378" s="34">
        <f t="shared" si="24"/>
        <v>46104</v>
      </c>
      <c r="C378" s="34">
        <f t="shared" si="24"/>
        <v>46113</v>
      </c>
      <c r="D378" s="6">
        <v>3287</v>
      </c>
      <c r="E378" s="6">
        <v>338</v>
      </c>
      <c r="F378" s="6">
        <v>4</v>
      </c>
      <c r="G378" s="6">
        <v>9</v>
      </c>
      <c r="H378" s="6">
        <v>81462</v>
      </c>
      <c r="I378" s="6" t="s">
        <v>17</v>
      </c>
      <c r="J378" s="6">
        <v>45450879</v>
      </c>
      <c r="K378" s="6" t="s">
        <v>2307</v>
      </c>
      <c r="L378" s="17" t="s">
        <v>2309</v>
      </c>
      <c r="M378" s="8">
        <v>229900</v>
      </c>
      <c r="N378" s="36">
        <f t="shared" si="25"/>
        <v>0.75</v>
      </c>
      <c r="O378" s="35">
        <f t="shared" si="26"/>
        <v>57475</v>
      </c>
      <c r="P378" s="33" t="s">
        <v>16</v>
      </c>
    </row>
    <row r="379" spans="1:16" x14ac:dyDescent="0.35">
      <c r="A379" s="33" t="str">
        <f t="shared" si="24"/>
        <v>2024 JAN-DEC DISC 75 LICENSE ESS</v>
      </c>
      <c r="B379" s="34">
        <f t="shared" si="24"/>
        <v>46104</v>
      </c>
      <c r="C379" s="34">
        <f t="shared" si="24"/>
        <v>46113</v>
      </c>
      <c r="D379" s="6">
        <v>3287</v>
      </c>
      <c r="E379" s="6">
        <v>338</v>
      </c>
      <c r="F379" s="6">
        <v>4</v>
      </c>
      <c r="G379" s="6">
        <v>9</v>
      </c>
      <c r="H379" s="6">
        <v>81462</v>
      </c>
      <c r="I379" s="6" t="s">
        <v>17</v>
      </c>
      <c r="J379" s="6">
        <v>45450888</v>
      </c>
      <c r="K379" s="6" t="s">
        <v>2307</v>
      </c>
      <c r="L379" s="17" t="s">
        <v>2310</v>
      </c>
      <c r="M379" s="8">
        <v>229900</v>
      </c>
      <c r="N379" s="36">
        <f t="shared" si="25"/>
        <v>0.75</v>
      </c>
      <c r="O379" s="35">
        <f t="shared" si="26"/>
        <v>57475</v>
      </c>
      <c r="P379" s="33" t="s">
        <v>16</v>
      </c>
    </row>
    <row r="380" spans="1:16" x14ac:dyDescent="0.35">
      <c r="A380" s="33" t="str">
        <f t="shared" si="24"/>
        <v>2024 JAN-DEC DISC 75 LICENSE ESS</v>
      </c>
      <c r="B380" s="34">
        <f t="shared" si="24"/>
        <v>46104</v>
      </c>
      <c r="C380" s="34">
        <f t="shared" si="24"/>
        <v>46113</v>
      </c>
      <c r="D380" s="6">
        <v>3287</v>
      </c>
      <c r="E380" s="6">
        <v>338</v>
      </c>
      <c r="F380" s="6">
        <v>4</v>
      </c>
      <c r="G380" s="6">
        <v>9</v>
      </c>
      <c r="H380" s="6">
        <v>81462</v>
      </c>
      <c r="I380" s="6" t="s">
        <v>17</v>
      </c>
      <c r="J380" s="6">
        <v>45450897</v>
      </c>
      <c r="K380" s="6" t="s">
        <v>2307</v>
      </c>
      <c r="L380" s="17" t="s">
        <v>2311</v>
      </c>
      <c r="M380" s="8">
        <v>229900</v>
      </c>
      <c r="N380" s="36">
        <f t="shared" si="25"/>
        <v>0.75</v>
      </c>
      <c r="O380" s="35">
        <f t="shared" si="26"/>
        <v>57475</v>
      </c>
      <c r="P380" s="33" t="s">
        <v>16</v>
      </c>
    </row>
    <row r="381" spans="1:16" x14ac:dyDescent="0.35">
      <c r="A381" s="33" t="str">
        <f t="shared" si="24"/>
        <v>2024 JAN-DEC DISC 75 LICENSE ESS</v>
      </c>
      <c r="B381" s="34">
        <f t="shared" si="24"/>
        <v>46104</v>
      </c>
      <c r="C381" s="34">
        <f t="shared" si="24"/>
        <v>46113</v>
      </c>
      <c r="D381" s="6">
        <v>3287</v>
      </c>
      <c r="E381" s="6">
        <v>338</v>
      </c>
      <c r="F381" s="6">
        <v>4</v>
      </c>
      <c r="G381" s="6">
        <v>9</v>
      </c>
      <c r="H381" s="6">
        <v>81462</v>
      </c>
      <c r="I381" s="6" t="s">
        <v>17</v>
      </c>
      <c r="J381" s="6">
        <v>45450904</v>
      </c>
      <c r="K381" s="6" t="s">
        <v>2307</v>
      </c>
      <c r="L381" s="17" t="s">
        <v>2312</v>
      </c>
      <c r="M381" s="8">
        <v>239900</v>
      </c>
      <c r="N381" s="36">
        <f t="shared" si="25"/>
        <v>0.75</v>
      </c>
      <c r="O381" s="35">
        <f t="shared" si="26"/>
        <v>59975</v>
      </c>
      <c r="P381" s="33" t="s">
        <v>16</v>
      </c>
    </row>
    <row r="382" spans="1:16" x14ac:dyDescent="0.35">
      <c r="A382" s="33" t="str">
        <f t="shared" si="24"/>
        <v>2024 JAN-DEC DISC 75 LICENSE ESS</v>
      </c>
      <c r="B382" s="34">
        <f t="shared" si="24"/>
        <v>46104</v>
      </c>
      <c r="C382" s="34">
        <f t="shared" si="24"/>
        <v>46113</v>
      </c>
      <c r="D382" s="6">
        <v>3287</v>
      </c>
      <c r="E382" s="6">
        <v>338</v>
      </c>
      <c r="F382" s="6">
        <v>4</v>
      </c>
      <c r="G382" s="6">
        <v>9</v>
      </c>
      <c r="H382" s="6">
        <v>81462</v>
      </c>
      <c r="I382" s="6" t="s">
        <v>17</v>
      </c>
      <c r="J382" s="6">
        <v>45450913</v>
      </c>
      <c r="K382" s="6" t="s">
        <v>2307</v>
      </c>
      <c r="L382" s="17" t="s">
        <v>2313</v>
      </c>
      <c r="M382" s="8">
        <v>239900</v>
      </c>
      <c r="N382" s="36">
        <f t="shared" si="25"/>
        <v>0.75</v>
      </c>
      <c r="O382" s="35">
        <f t="shared" si="26"/>
        <v>59975</v>
      </c>
      <c r="P382" s="33" t="s">
        <v>16</v>
      </c>
    </row>
    <row r="383" spans="1:16" x14ac:dyDescent="0.35">
      <c r="A383" s="33" t="str">
        <f t="shared" si="24"/>
        <v>2024 JAN-DEC DISC 75 LICENSE ESS</v>
      </c>
      <c r="B383" s="34">
        <f t="shared" si="24"/>
        <v>46104</v>
      </c>
      <c r="C383" s="34">
        <f t="shared" si="24"/>
        <v>46113</v>
      </c>
      <c r="D383" s="6">
        <v>3287</v>
      </c>
      <c r="E383" s="6">
        <v>338</v>
      </c>
      <c r="F383" s="6">
        <v>4</v>
      </c>
      <c r="G383" s="6">
        <v>9</v>
      </c>
      <c r="H383" s="6">
        <v>81462</v>
      </c>
      <c r="I383" s="6" t="s">
        <v>17</v>
      </c>
      <c r="J383" s="6">
        <v>45450922</v>
      </c>
      <c r="K383" s="6" t="s">
        <v>2307</v>
      </c>
      <c r="L383" s="17" t="s">
        <v>2314</v>
      </c>
      <c r="M383" s="8">
        <v>239900</v>
      </c>
      <c r="N383" s="36">
        <f t="shared" si="25"/>
        <v>0.75</v>
      </c>
      <c r="O383" s="35">
        <f t="shared" si="26"/>
        <v>59975</v>
      </c>
      <c r="P383" s="33" t="s">
        <v>16</v>
      </c>
    </row>
    <row r="384" spans="1:16" x14ac:dyDescent="0.35">
      <c r="A384" s="33" t="str">
        <f t="shared" si="24"/>
        <v>2024 JAN-DEC DISC 75 LICENSE ESS</v>
      </c>
      <c r="B384" s="34">
        <f t="shared" si="24"/>
        <v>46104</v>
      </c>
      <c r="C384" s="34">
        <f t="shared" si="24"/>
        <v>46113</v>
      </c>
      <c r="D384" s="6">
        <v>3287</v>
      </c>
      <c r="E384" s="6">
        <v>338</v>
      </c>
      <c r="F384" s="6">
        <v>4</v>
      </c>
      <c r="G384" s="6">
        <v>9</v>
      </c>
      <c r="H384" s="6">
        <v>81462</v>
      </c>
      <c r="I384" s="6" t="s">
        <v>17</v>
      </c>
      <c r="J384" s="6">
        <v>45450931</v>
      </c>
      <c r="K384" s="6" t="s">
        <v>2307</v>
      </c>
      <c r="L384" s="17" t="s">
        <v>2315</v>
      </c>
      <c r="M384" s="8">
        <v>239900</v>
      </c>
      <c r="N384" s="36">
        <f t="shared" si="25"/>
        <v>0.75</v>
      </c>
      <c r="O384" s="35">
        <f t="shared" si="26"/>
        <v>59975</v>
      </c>
      <c r="P384" s="33" t="s">
        <v>16</v>
      </c>
    </row>
    <row r="385" spans="1:16" x14ac:dyDescent="0.35">
      <c r="A385" s="33" t="str">
        <f t="shared" si="24"/>
        <v>2024 JAN-DEC DISC 75 LICENSE ESS</v>
      </c>
      <c r="B385" s="34">
        <f t="shared" si="24"/>
        <v>46104</v>
      </c>
      <c r="C385" s="34">
        <f t="shared" si="24"/>
        <v>46113</v>
      </c>
      <c r="D385" s="6">
        <v>3287</v>
      </c>
      <c r="E385" s="6">
        <v>338</v>
      </c>
      <c r="F385" s="6">
        <v>4</v>
      </c>
      <c r="G385" s="6">
        <v>10</v>
      </c>
      <c r="H385" s="6">
        <v>81595</v>
      </c>
      <c r="I385" s="6" t="s">
        <v>17</v>
      </c>
      <c r="J385" s="6">
        <v>50036316</v>
      </c>
      <c r="K385" s="6" t="s">
        <v>2360</v>
      </c>
      <c r="L385" s="17" t="s">
        <v>2361</v>
      </c>
      <c r="M385" s="8">
        <v>35900</v>
      </c>
      <c r="N385" s="36">
        <f t="shared" si="25"/>
        <v>0.75</v>
      </c>
      <c r="O385" s="35">
        <f t="shared" si="26"/>
        <v>8975</v>
      </c>
      <c r="P385" s="33" t="s">
        <v>16</v>
      </c>
    </row>
    <row r="386" spans="1:16" x14ac:dyDescent="0.35">
      <c r="A386" s="33" t="str">
        <f t="shared" si="24"/>
        <v>2024 JAN-DEC DISC 75 LICENSE ESS</v>
      </c>
      <c r="B386" s="34">
        <f t="shared" si="24"/>
        <v>46104</v>
      </c>
      <c r="C386" s="34">
        <f t="shared" si="24"/>
        <v>46113</v>
      </c>
      <c r="D386" s="6">
        <v>3287</v>
      </c>
      <c r="E386" s="6">
        <v>338</v>
      </c>
      <c r="F386" s="6">
        <v>4</v>
      </c>
      <c r="G386" s="6">
        <v>10</v>
      </c>
      <c r="H386" s="6">
        <v>81595</v>
      </c>
      <c r="I386" s="6" t="s">
        <v>17</v>
      </c>
      <c r="J386" s="6">
        <v>50036325</v>
      </c>
      <c r="K386" s="6" t="s">
        <v>2360</v>
      </c>
      <c r="L386" s="17" t="s">
        <v>2362</v>
      </c>
      <c r="M386" s="8">
        <v>35900</v>
      </c>
      <c r="N386" s="36">
        <f t="shared" si="25"/>
        <v>0.75</v>
      </c>
      <c r="O386" s="35">
        <f t="shared" si="26"/>
        <v>8975</v>
      </c>
      <c r="P386" s="33" t="s">
        <v>16</v>
      </c>
    </row>
    <row r="387" spans="1:16" x14ac:dyDescent="0.35">
      <c r="A387" s="33" t="str">
        <f t="shared" si="24"/>
        <v>2024 JAN-DEC DISC 75 LICENSE ESS</v>
      </c>
      <c r="B387" s="34">
        <f t="shared" si="24"/>
        <v>46104</v>
      </c>
      <c r="C387" s="34">
        <f t="shared" si="24"/>
        <v>46113</v>
      </c>
      <c r="D387" s="6">
        <v>3287</v>
      </c>
      <c r="E387" s="6">
        <v>338</v>
      </c>
      <c r="F387" s="6">
        <v>4</v>
      </c>
      <c r="G387" s="6">
        <v>10</v>
      </c>
      <c r="H387" s="6">
        <v>81595</v>
      </c>
      <c r="I387" s="6" t="s">
        <v>17</v>
      </c>
      <c r="J387" s="6">
        <v>50036334</v>
      </c>
      <c r="K387" s="6" t="s">
        <v>2363</v>
      </c>
      <c r="L387" s="17" t="s">
        <v>2364</v>
      </c>
      <c r="M387" s="8">
        <v>35900</v>
      </c>
      <c r="N387" s="36">
        <f t="shared" si="25"/>
        <v>0.75</v>
      </c>
      <c r="O387" s="35">
        <f t="shared" si="26"/>
        <v>8975</v>
      </c>
      <c r="P387" s="33" t="s">
        <v>16</v>
      </c>
    </row>
    <row r="388" spans="1:16" x14ac:dyDescent="0.35">
      <c r="A388" s="33" t="str">
        <f t="shared" si="24"/>
        <v>2024 JAN-DEC DISC 75 LICENSE ESS</v>
      </c>
      <c r="B388" s="34">
        <f t="shared" si="24"/>
        <v>46104</v>
      </c>
      <c r="C388" s="34">
        <f t="shared" si="24"/>
        <v>46113</v>
      </c>
      <c r="D388" s="6">
        <v>3287</v>
      </c>
      <c r="E388" s="6">
        <v>338</v>
      </c>
      <c r="F388" s="6">
        <v>4</v>
      </c>
      <c r="G388" s="6">
        <v>10</v>
      </c>
      <c r="H388" s="6">
        <v>81595</v>
      </c>
      <c r="I388" s="6" t="s">
        <v>17</v>
      </c>
      <c r="J388" s="6">
        <v>50036343</v>
      </c>
      <c r="K388" s="6" t="s">
        <v>2363</v>
      </c>
      <c r="L388" s="17" t="s">
        <v>2365</v>
      </c>
      <c r="M388" s="8">
        <v>35900</v>
      </c>
      <c r="N388" s="36">
        <f t="shared" si="25"/>
        <v>0.75</v>
      </c>
      <c r="O388" s="35">
        <f t="shared" si="26"/>
        <v>8975</v>
      </c>
      <c r="P388" s="33" t="s">
        <v>16</v>
      </c>
    </row>
  </sheetData>
  <phoneticPr fontId="8" type="noConversion"/>
  <conditionalFormatting sqref="J1:J1048576">
    <cfRule type="duplicateValues" dxfId="0" priority="1"/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2025 OCT D30- 3321</vt:lpstr>
      <vt:lpstr>2025 SEPT B1G1 - 3321</vt:lpstr>
      <vt:lpstr>2025 JAN-JUN D70 - 3321</vt:lpstr>
      <vt:lpstr>2024 JAN-SEP D75 - 3321</vt:lpstr>
      <vt:lpstr>2025 NOV D30 -3281</vt:lpstr>
      <vt:lpstr>2025 OCT D30 - 3281</vt:lpstr>
      <vt:lpstr>2025 JAN-APR D70 - 3281</vt:lpstr>
      <vt:lpstr>2024 JAN-DEC D75 - 3281</vt:lpstr>
      <vt:lpstr>2025 SEPT B1G1 -3284</vt:lpstr>
      <vt:lpstr>2025 JAN-JUN D70 - 3284</vt:lpstr>
      <vt:lpstr>2024 JAN-DEC D75-3284 LC  BABY</vt:lpstr>
      <vt:lpstr>2025 OCT D30- 3287</vt:lpstr>
      <vt:lpstr>2025 SEPT B1G1 - 3287 LC</vt:lpstr>
      <vt:lpstr>2025 JAN-JUN D70 - 3287 LC ESS</vt:lpstr>
      <vt:lpstr>2024 JAN-DEC D75-3287 LC 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Imas Hastuti</cp:lastModifiedBy>
  <dcterms:created xsi:type="dcterms:W3CDTF">2023-12-06T09:25:54Z</dcterms:created>
  <dcterms:modified xsi:type="dcterms:W3CDTF">2026-03-17T08:30:27Z</dcterms:modified>
</cp:coreProperties>
</file>