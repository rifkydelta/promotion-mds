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ROMO\"/>
    </mc:Choice>
  </mc:AlternateContent>
  <xr:revisionPtr revIDLastSave="0" documentId="8_{032CB486-0067-4EE6-AE8E-B3640F383B95}" xr6:coauthVersionLast="47" xr6:coauthVersionMax="47" xr10:uidLastSave="{00000000-0000-0000-0000-000000000000}"/>
  <bookViews>
    <workbookView xWindow="-120" yWindow="-120" windowWidth="20730" windowHeight="11160" activeTab="1" xr2:uid="{2E3B2676-79AF-4E9A-8EA7-FCF4FE39512A}"/>
  </bookViews>
  <sheets>
    <sheet name="FEB 2025 D50" sheetId="1" r:id="rId1"/>
    <sheet name="MEI JUN 2025 D50" sheetId="2" r:id="rId2"/>
    <sheet name="JAN 2026 NORMAL PRICE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O3" i="2" l="1"/>
  <c r="O4" i="2"/>
  <c r="O5" i="2"/>
  <c r="O6" i="2"/>
  <c r="O7" i="2"/>
  <c r="O8" i="2"/>
  <c r="O9" i="2"/>
  <c r="O10" i="2"/>
  <c r="O11" i="2"/>
  <c r="O12" i="2"/>
  <c r="O13" i="2"/>
  <c r="O14" i="2"/>
  <c r="O15" i="2"/>
  <c r="O16" i="2"/>
  <c r="O17" i="2"/>
  <c r="O18" i="2"/>
  <c r="O19" i="2"/>
  <c r="O20" i="2"/>
  <c r="O21" i="2"/>
  <c r="O22" i="2"/>
  <c r="O23" i="2"/>
  <c r="O24" i="2"/>
  <c r="O25" i="2"/>
  <c r="O26" i="2"/>
  <c r="O27" i="2"/>
  <c r="O28" i="2"/>
  <c r="O29" i="2"/>
  <c r="O30" i="2"/>
  <c r="O31" i="2"/>
  <c r="O32" i="2"/>
  <c r="O33" i="2"/>
  <c r="O34" i="2"/>
  <c r="O35" i="2"/>
  <c r="O36" i="2"/>
  <c r="O37" i="2"/>
  <c r="O38" i="2"/>
  <c r="O39" i="2"/>
  <c r="O40" i="2"/>
  <c r="O41" i="2"/>
  <c r="O42" i="2"/>
  <c r="O43" i="2"/>
  <c r="O44" i="2"/>
  <c r="O45" i="2"/>
  <c r="O46" i="2"/>
  <c r="O47" i="2"/>
  <c r="O2" i="2"/>
  <c r="N4" i="2"/>
  <c r="N5" i="2" s="1"/>
  <c r="N6" i="2" s="1"/>
  <c r="N7" i="2" s="1"/>
  <c r="N8" i="2" s="1"/>
  <c r="N9" i="2" s="1"/>
  <c r="N10" i="2" s="1"/>
  <c r="N11" i="2" s="1"/>
  <c r="N12" i="2" s="1"/>
  <c r="N13" i="2" s="1"/>
  <c r="N14" i="2" s="1"/>
  <c r="N15" i="2" s="1"/>
  <c r="N16" i="2" s="1"/>
  <c r="N17" i="2" s="1"/>
  <c r="N18" i="2" s="1"/>
  <c r="N19" i="2" s="1"/>
  <c r="N20" i="2" s="1"/>
  <c r="N21" i="2" s="1"/>
  <c r="N22" i="2" s="1"/>
  <c r="N23" i="2" s="1"/>
  <c r="N24" i="2" s="1"/>
  <c r="N25" i="2" s="1"/>
  <c r="N26" i="2" s="1"/>
  <c r="N27" i="2" s="1"/>
  <c r="N28" i="2" s="1"/>
  <c r="N29" i="2" s="1"/>
  <c r="N30" i="2" s="1"/>
  <c r="N31" i="2" s="1"/>
  <c r="N32" i="2" s="1"/>
  <c r="N33" i="2" s="1"/>
  <c r="N34" i="2" s="1"/>
  <c r="N35" i="2" s="1"/>
  <c r="N36" i="2" s="1"/>
  <c r="N37" i="2" s="1"/>
  <c r="N38" i="2" s="1"/>
  <c r="N39" i="2" s="1"/>
  <c r="N40" i="2" s="1"/>
  <c r="N41" i="2" s="1"/>
  <c r="N42" i="2" s="1"/>
  <c r="N43" i="2" s="1"/>
  <c r="N44" i="2" s="1"/>
  <c r="N45" i="2" s="1"/>
  <c r="N46" i="2" s="1"/>
  <c r="N47" i="2" s="1"/>
  <c r="N3" i="2"/>
  <c r="O3" i="1"/>
  <c r="O4" i="1"/>
  <c r="O5" i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O36" i="1"/>
  <c r="O37" i="1"/>
  <c r="O38" i="1"/>
  <c r="O39" i="1"/>
  <c r="O40" i="1"/>
  <c r="O41" i="1"/>
  <c r="O42" i="1"/>
  <c r="O43" i="1"/>
  <c r="O44" i="1"/>
  <c r="O45" i="1"/>
  <c r="O46" i="1"/>
  <c r="O47" i="1"/>
  <c r="O48" i="1"/>
  <c r="O49" i="1"/>
  <c r="O50" i="1"/>
  <c r="O51" i="1"/>
  <c r="O52" i="1"/>
  <c r="O53" i="1"/>
  <c r="O54" i="1"/>
  <c r="O55" i="1"/>
  <c r="O56" i="1"/>
  <c r="O57" i="1"/>
  <c r="O58" i="1"/>
  <c r="O59" i="1"/>
  <c r="O60" i="1"/>
  <c r="O61" i="1"/>
  <c r="O62" i="1"/>
  <c r="O63" i="1"/>
  <c r="O64" i="1"/>
  <c r="O65" i="1"/>
  <c r="O66" i="1"/>
  <c r="O67" i="1"/>
  <c r="O68" i="1"/>
  <c r="O69" i="1"/>
  <c r="O70" i="1"/>
  <c r="O71" i="1"/>
  <c r="O72" i="1"/>
  <c r="O73" i="1"/>
  <c r="O74" i="1"/>
  <c r="O75" i="1"/>
  <c r="O76" i="1"/>
  <c r="O77" i="1"/>
  <c r="O78" i="1"/>
  <c r="O79" i="1"/>
  <c r="O80" i="1"/>
  <c r="O81" i="1"/>
  <c r="O82" i="1"/>
  <c r="O83" i="1"/>
  <c r="O84" i="1"/>
  <c r="O85" i="1"/>
  <c r="O86" i="1"/>
  <c r="O87" i="1"/>
  <c r="O88" i="1"/>
  <c r="O89" i="1"/>
  <c r="O90" i="1"/>
  <c r="O91" i="1"/>
  <c r="O92" i="1"/>
  <c r="O93" i="1"/>
  <c r="O94" i="1"/>
  <c r="O95" i="1"/>
  <c r="O96" i="1"/>
  <c r="O97" i="1"/>
  <c r="O98" i="1"/>
  <c r="O99" i="1"/>
  <c r="O100" i="1"/>
  <c r="O101" i="1"/>
  <c r="O102" i="1"/>
  <c r="O103" i="1"/>
  <c r="O2" i="1"/>
  <c r="D4" i="3"/>
  <c r="D5" i="3" s="1"/>
  <c r="D6" i="3" s="1"/>
  <c r="D7" i="3" s="1"/>
  <c r="D8" i="3" s="1"/>
  <c r="D9" i="3" s="1"/>
  <c r="D10" i="3" s="1"/>
  <c r="D11" i="3" s="1"/>
  <c r="D12" i="3" s="1"/>
  <c r="D13" i="3" s="1"/>
  <c r="D14" i="3" s="1"/>
  <c r="D15" i="3" s="1"/>
  <c r="D16" i="3" s="1"/>
  <c r="D17" i="3" s="1"/>
  <c r="D18" i="3" s="1"/>
  <c r="D19" i="3" s="1"/>
  <c r="D20" i="3" s="1"/>
  <c r="D21" i="3" s="1"/>
  <c r="D22" i="3" s="1"/>
  <c r="D23" i="3" s="1"/>
  <c r="D24" i="3" s="1"/>
  <c r="D25" i="3" s="1"/>
  <c r="D26" i="3" s="1"/>
  <c r="D27" i="3" s="1"/>
  <c r="D28" i="3" s="1"/>
  <c r="D29" i="3" s="1"/>
  <c r="D30" i="3" s="1"/>
  <c r="D31" i="3" s="1"/>
  <c r="D32" i="3" s="1"/>
  <c r="D33" i="3" s="1"/>
  <c r="D34" i="3" s="1"/>
  <c r="D35" i="3" s="1"/>
  <c r="D36" i="3" s="1"/>
  <c r="D37" i="3" s="1"/>
  <c r="D38" i="3" s="1"/>
  <c r="D39" i="3" s="1"/>
  <c r="D40" i="3" s="1"/>
  <c r="D41" i="3" s="1"/>
  <c r="D42" i="3" s="1"/>
  <c r="D43" i="3" s="1"/>
  <c r="D44" i="3" s="1"/>
  <c r="D45" i="3" s="1"/>
  <c r="A4" i="3"/>
  <c r="A5" i="3" s="1"/>
  <c r="A6" i="3" s="1"/>
  <c r="A7" i="3" s="1"/>
  <c r="A8" i="3" s="1"/>
  <c r="A9" i="3" s="1"/>
  <c r="A10" i="3" s="1"/>
  <c r="A11" i="3" s="1"/>
  <c r="A12" i="3" s="1"/>
  <c r="A13" i="3" s="1"/>
  <c r="A14" i="3" s="1"/>
  <c r="A15" i="3" s="1"/>
  <c r="A16" i="3" s="1"/>
  <c r="A17" i="3" s="1"/>
  <c r="A18" i="3" s="1"/>
  <c r="A19" i="3" s="1"/>
  <c r="A20" i="3" s="1"/>
  <c r="A21" i="3" s="1"/>
  <c r="A22" i="3" s="1"/>
  <c r="A23" i="3" s="1"/>
  <c r="A24" i="3" s="1"/>
  <c r="A25" i="3" s="1"/>
  <c r="A26" i="3" s="1"/>
  <c r="A27" i="3" s="1"/>
  <c r="A28" i="3" s="1"/>
  <c r="A29" i="3" s="1"/>
  <c r="A30" i="3" s="1"/>
  <c r="A31" i="3" s="1"/>
  <c r="A32" i="3" s="1"/>
  <c r="A33" i="3" s="1"/>
  <c r="A34" i="3" s="1"/>
  <c r="A35" i="3" s="1"/>
  <c r="A36" i="3" s="1"/>
  <c r="A37" i="3" s="1"/>
  <c r="A38" i="3" s="1"/>
  <c r="A39" i="3" s="1"/>
  <c r="A40" i="3" s="1"/>
  <c r="A41" i="3" s="1"/>
  <c r="A42" i="3" s="1"/>
  <c r="A43" i="3" s="1"/>
  <c r="A44" i="3" s="1"/>
  <c r="A45" i="3" s="1"/>
  <c r="F3" i="3"/>
  <c r="F4" i="3" s="1"/>
  <c r="F5" i="3" s="1"/>
  <c r="F6" i="3" s="1"/>
  <c r="F7" i="3" s="1"/>
  <c r="F8" i="3" s="1"/>
  <c r="F9" i="3" s="1"/>
  <c r="F10" i="3" s="1"/>
  <c r="F11" i="3" s="1"/>
  <c r="F12" i="3" s="1"/>
  <c r="F13" i="3" s="1"/>
  <c r="F14" i="3" s="1"/>
  <c r="F15" i="3" s="1"/>
  <c r="F16" i="3" s="1"/>
  <c r="F17" i="3" s="1"/>
  <c r="F18" i="3" s="1"/>
  <c r="F19" i="3" s="1"/>
  <c r="F20" i="3" s="1"/>
  <c r="F21" i="3" s="1"/>
  <c r="F22" i="3" s="1"/>
  <c r="F23" i="3" s="1"/>
  <c r="F24" i="3" s="1"/>
  <c r="F25" i="3" s="1"/>
  <c r="F26" i="3" s="1"/>
  <c r="F27" i="3" s="1"/>
  <c r="F28" i="3" s="1"/>
  <c r="F29" i="3" s="1"/>
  <c r="F30" i="3" s="1"/>
  <c r="F31" i="3" s="1"/>
  <c r="F32" i="3" s="1"/>
  <c r="F33" i="3" s="1"/>
  <c r="F34" i="3" s="1"/>
  <c r="F35" i="3" s="1"/>
  <c r="F36" i="3" s="1"/>
  <c r="F37" i="3" s="1"/>
  <c r="F38" i="3" s="1"/>
  <c r="F39" i="3" s="1"/>
  <c r="F40" i="3" s="1"/>
  <c r="F41" i="3" s="1"/>
  <c r="F42" i="3" s="1"/>
  <c r="F43" i="3" s="1"/>
  <c r="F44" i="3" s="1"/>
  <c r="F45" i="3" s="1"/>
  <c r="E3" i="3"/>
  <c r="E4" i="3" s="1"/>
  <c r="E5" i="3" s="1"/>
  <c r="E6" i="3" s="1"/>
  <c r="E7" i="3" s="1"/>
  <c r="E8" i="3" s="1"/>
  <c r="E9" i="3" s="1"/>
  <c r="E10" i="3" s="1"/>
  <c r="E11" i="3" s="1"/>
  <c r="E12" i="3" s="1"/>
  <c r="E13" i="3" s="1"/>
  <c r="E14" i="3" s="1"/>
  <c r="E15" i="3" s="1"/>
  <c r="E16" i="3" s="1"/>
  <c r="E17" i="3" s="1"/>
  <c r="E18" i="3" s="1"/>
  <c r="E19" i="3" s="1"/>
  <c r="E20" i="3" s="1"/>
  <c r="E21" i="3" s="1"/>
  <c r="E22" i="3" s="1"/>
  <c r="E23" i="3" s="1"/>
  <c r="E24" i="3" s="1"/>
  <c r="E25" i="3" s="1"/>
  <c r="E26" i="3" s="1"/>
  <c r="E27" i="3" s="1"/>
  <c r="E28" i="3" s="1"/>
  <c r="E29" i="3" s="1"/>
  <c r="E30" i="3" s="1"/>
  <c r="E31" i="3" s="1"/>
  <c r="E32" i="3" s="1"/>
  <c r="E33" i="3" s="1"/>
  <c r="E34" i="3" s="1"/>
  <c r="E35" i="3" s="1"/>
  <c r="E36" i="3" s="1"/>
  <c r="E37" i="3" s="1"/>
  <c r="E38" i="3" s="1"/>
  <c r="E39" i="3" s="1"/>
  <c r="E40" i="3" s="1"/>
  <c r="E41" i="3" s="1"/>
  <c r="E42" i="3" s="1"/>
  <c r="E43" i="3" s="1"/>
  <c r="E44" i="3" s="1"/>
  <c r="E45" i="3" s="1"/>
  <c r="D3" i="3"/>
  <c r="A3" i="3"/>
  <c r="C2" i="3"/>
  <c r="C3" i="3" s="1"/>
  <c r="C4" i="3" s="1"/>
  <c r="C5" i="3" s="1"/>
  <c r="C6" i="3" s="1"/>
  <c r="C7" i="3" s="1"/>
  <c r="C8" i="3" s="1"/>
  <c r="C9" i="3" s="1"/>
  <c r="C10" i="3" s="1"/>
  <c r="C11" i="3" s="1"/>
  <c r="C12" i="3" s="1"/>
  <c r="C13" i="3" s="1"/>
  <c r="C14" i="3" s="1"/>
  <c r="C15" i="3" s="1"/>
  <c r="C16" i="3" s="1"/>
  <c r="C17" i="3" s="1"/>
  <c r="C18" i="3" s="1"/>
  <c r="C19" i="3" s="1"/>
  <c r="C20" i="3" s="1"/>
  <c r="C21" i="3" s="1"/>
  <c r="C22" i="3" s="1"/>
  <c r="C23" i="3" s="1"/>
  <c r="C24" i="3" s="1"/>
  <c r="C25" i="3" s="1"/>
  <c r="C26" i="3" s="1"/>
  <c r="C27" i="3" s="1"/>
  <c r="C28" i="3" s="1"/>
  <c r="C29" i="3" s="1"/>
  <c r="C30" i="3" s="1"/>
  <c r="C31" i="3" s="1"/>
  <c r="C32" i="3" s="1"/>
  <c r="C33" i="3" s="1"/>
  <c r="C34" i="3" s="1"/>
  <c r="C35" i="3" s="1"/>
  <c r="C36" i="3" s="1"/>
  <c r="C37" i="3" s="1"/>
  <c r="C38" i="3" s="1"/>
  <c r="C39" i="3" s="1"/>
  <c r="C40" i="3" s="1"/>
  <c r="C41" i="3" s="1"/>
  <c r="C42" i="3" s="1"/>
  <c r="C43" i="3" s="1"/>
  <c r="C44" i="3" s="1"/>
  <c r="C45" i="3" s="1"/>
  <c r="B2" i="3"/>
  <c r="B3" i="3" s="1"/>
  <c r="B4" i="3" s="1"/>
  <c r="B5" i="3" s="1"/>
  <c r="B6" i="3" s="1"/>
  <c r="B7" i="3" s="1"/>
  <c r="B8" i="3" s="1"/>
  <c r="B9" i="3" s="1"/>
  <c r="B10" i="3" s="1"/>
  <c r="B11" i="3" s="1"/>
  <c r="B12" i="3" s="1"/>
  <c r="B13" i="3" s="1"/>
  <c r="B14" i="3" s="1"/>
  <c r="B15" i="3" s="1"/>
  <c r="B16" i="3" s="1"/>
  <c r="B17" i="3" s="1"/>
  <c r="B18" i="3" s="1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  <c r="B30" i="3" s="1"/>
  <c r="B31" i="3" s="1"/>
  <c r="B32" i="3" s="1"/>
  <c r="B33" i="3" s="1"/>
  <c r="B34" i="3" s="1"/>
  <c r="B35" i="3" s="1"/>
  <c r="B36" i="3" s="1"/>
  <c r="B37" i="3" s="1"/>
  <c r="B38" i="3" s="1"/>
  <c r="B39" i="3" s="1"/>
  <c r="B40" i="3" s="1"/>
  <c r="B41" i="3" s="1"/>
  <c r="B42" i="3" s="1"/>
  <c r="B43" i="3" s="1"/>
  <c r="B44" i="3" s="1"/>
  <c r="B45" i="3" s="1"/>
  <c r="C3" i="1" l="1"/>
  <c r="C2" i="2"/>
  <c r="B2" i="2"/>
  <c r="N3" i="1"/>
  <c r="N4" i="1" s="1"/>
  <c r="N5" i="1" s="1"/>
  <c r="N6" i="1" s="1"/>
  <c r="N7" i="1" s="1"/>
  <c r="N8" i="1" s="1"/>
  <c r="N9" i="1" s="1"/>
  <c r="N10" i="1" s="1"/>
  <c r="N11" i="1" s="1"/>
  <c r="N12" i="1" s="1"/>
  <c r="N13" i="1" s="1"/>
  <c r="N14" i="1" s="1"/>
  <c r="N15" i="1" s="1"/>
  <c r="N16" i="1" s="1"/>
  <c r="N17" i="1" s="1"/>
  <c r="N18" i="1" s="1"/>
  <c r="N19" i="1" s="1"/>
  <c r="N20" i="1" s="1"/>
  <c r="N21" i="1" s="1"/>
  <c r="N22" i="1" s="1"/>
  <c r="N23" i="1" s="1"/>
  <c r="N24" i="1" s="1"/>
  <c r="N25" i="1" s="1"/>
  <c r="N26" i="1" s="1"/>
  <c r="N27" i="1" s="1"/>
  <c r="N28" i="1" s="1"/>
  <c r="N29" i="1" s="1"/>
  <c r="N30" i="1" s="1"/>
  <c r="N31" i="1" s="1"/>
  <c r="N32" i="1" s="1"/>
  <c r="N33" i="1" s="1"/>
  <c r="N34" i="1" s="1"/>
  <c r="N35" i="1" s="1"/>
  <c r="N36" i="1" s="1"/>
  <c r="N37" i="1" s="1"/>
  <c r="N38" i="1" s="1"/>
  <c r="N39" i="1" s="1"/>
  <c r="N40" i="1" s="1"/>
  <c r="N41" i="1" s="1"/>
  <c r="N42" i="1" s="1"/>
  <c r="N43" i="1" s="1"/>
  <c r="N44" i="1" s="1"/>
  <c r="N45" i="1" s="1"/>
  <c r="N46" i="1" s="1"/>
  <c r="N47" i="1" s="1"/>
  <c r="N48" i="1" s="1"/>
  <c r="N49" i="1" s="1"/>
  <c r="N50" i="1" s="1"/>
  <c r="N51" i="1" s="1"/>
  <c r="N52" i="1" s="1"/>
  <c r="N53" i="1" s="1"/>
  <c r="N54" i="1" s="1"/>
  <c r="N55" i="1" s="1"/>
  <c r="N56" i="1" s="1"/>
  <c r="N57" i="1" s="1"/>
  <c r="N58" i="1" s="1"/>
  <c r="N59" i="1" s="1"/>
  <c r="N60" i="1" s="1"/>
  <c r="N61" i="1" s="1"/>
  <c r="N62" i="1" s="1"/>
  <c r="N63" i="1" s="1"/>
  <c r="N64" i="1" s="1"/>
  <c r="N65" i="1" s="1"/>
  <c r="N66" i="1" s="1"/>
  <c r="N67" i="1" s="1"/>
  <c r="N68" i="1" s="1"/>
  <c r="N69" i="1" s="1"/>
  <c r="N70" i="1" s="1"/>
  <c r="N71" i="1" s="1"/>
  <c r="N72" i="1" s="1"/>
  <c r="N73" i="1" s="1"/>
  <c r="N74" i="1" s="1"/>
  <c r="N75" i="1" s="1"/>
  <c r="N76" i="1" s="1"/>
  <c r="N77" i="1" s="1"/>
  <c r="N78" i="1" s="1"/>
  <c r="N79" i="1" s="1"/>
  <c r="N80" i="1" s="1"/>
  <c r="N81" i="1" s="1"/>
  <c r="N82" i="1" s="1"/>
  <c r="N83" i="1" s="1"/>
  <c r="N84" i="1" s="1"/>
  <c r="N85" i="1" s="1"/>
  <c r="N86" i="1" s="1"/>
  <c r="N87" i="1" s="1"/>
  <c r="N88" i="1" s="1"/>
  <c r="N89" i="1" s="1"/>
  <c r="N90" i="1" s="1"/>
  <c r="N91" i="1" s="1"/>
  <c r="N92" i="1" s="1"/>
  <c r="N93" i="1" s="1"/>
  <c r="N94" i="1" s="1"/>
  <c r="N95" i="1" s="1"/>
  <c r="N96" i="1" s="1"/>
  <c r="N97" i="1" s="1"/>
  <c r="N98" i="1" s="1"/>
  <c r="N99" i="1" s="1"/>
  <c r="N100" i="1" s="1"/>
  <c r="N101" i="1" s="1"/>
  <c r="N102" i="1" s="1"/>
  <c r="N103" i="1" s="1"/>
  <c r="F19" i="2" l="1"/>
  <c r="F20" i="2" s="1"/>
  <c r="F21" i="2" s="1"/>
  <c r="F22" i="2" s="1"/>
  <c r="F23" i="2" s="1"/>
  <c r="F24" i="2" s="1"/>
  <c r="F25" i="2" s="1"/>
  <c r="F26" i="2" s="1"/>
  <c r="F27" i="2" s="1"/>
  <c r="F28" i="2" s="1"/>
  <c r="F29" i="2" s="1"/>
  <c r="F30" i="2" s="1"/>
  <c r="F31" i="2" s="1"/>
  <c r="F32" i="2" s="1"/>
  <c r="F33" i="2" s="1"/>
  <c r="F34" i="2" s="1"/>
  <c r="F35" i="2" s="1"/>
  <c r="F36" i="2" s="1"/>
  <c r="F37" i="2" s="1"/>
  <c r="F38" i="2" s="1"/>
  <c r="F39" i="2" s="1"/>
  <c r="F40" i="2" s="1"/>
  <c r="F41" i="2" s="1"/>
  <c r="F42" i="2" s="1"/>
  <c r="F43" i="2" s="1"/>
  <c r="F44" i="2" s="1"/>
  <c r="F45" i="2" s="1"/>
  <c r="F46" i="2" s="1"/>
  <c r="F47" i="2" s="1"/>
  <c r="E19" i="2"/>
  <c r="E20" i="2" s="1"/>
  <c r="E21" i="2" s="1"/>
  <c r="E22" i="2" s="1"/>
  <c r="E23" i="2" s="1"/>
  <c r="E24" i="2" s="1"/>
  <c r="E25" i="2" s="1"/>
  <c r="E26" i="2" s="1"/>
  <c r="E27" i="2" s="1"/>
  <c r="E28" i="2" s="1"/>
  <c r="E29" i="2" s="1"/>
  <c r="E30" i="2" s="1"/>
  <c r="E31" i="2" s="1"/>
  <c r="E32" i="2" s="1"/>
  <c r="E33" i="2" s="1"/>
  <c r="E34" i="2" s="1"/>
  <c r="E35" i="2" s="1"/>
  <c r="E36" i="2" s="1"/>
  <c r="E37" i="2" s="1"/>
  <c r="E38" i="2" s="1"/>
  <c r="E39" i="2" s="1"/>
  <c r="E40" i="2" s="1"/>
  <c r="E41" i="2" s="1"/>
  <c r="E42" i="2" s="1"/>
  <c r="E43" i="2" s="1"/>
  <c r="E44" i="2" s="1"/>
  <c r="E45" i="2" s="1"/>
  <c r="E46" i="2" s="1"/>
  <c r="E47" i="2" s="1"/>
  <c r="D19" i="2"/>
  <c r="D20" i="2" s="1"/>
  <c r="D21" i="2" s="1"/>
  <c r="D22" i="2" s="1"/>
  <c r="D23" i="2" s="1"/>
  <c r="D24" i="2" s="1"/>
  <c r="D25" i="2" s="1"/>
  <c r="D26" i="2" s="1"/>
  <c r="D27" i="2" s="1"/>
  <c r="D28" i="2" s="1"/>
  <c r="D29" i="2" s="1"/>
  <c r="D30" i="2" s="1"/>
  <c r="D31" i="2" s="1"/>
  <c r="D32" i="2" s="1"/>
  <c r="D33" i="2" s="1"/>
  <c r="D34" i="2" s="1"/>
  <c r="D35" i="2" s="1"/>
  <c r="D36" i="2" s="1"/>
  <c r="D37" i="2" s="1"/>
  <c r="D38" i="2" s="1"/>
  <c r="D39" i="2" s="1"/>
  <c r="D40" i="2" s="1"/>
  <c r="D41" i="2" s="1"/>
  <c r="D42" i="2" s="1"/>
  <c r="D43" i="2" s="1"/>
  <c r="D44" i="2" s="1"/>
  <c r="D45" i="2" s="1"/>
  <c r="D46" i="2" s="1"/>
  <c r="D47" i="2" s="1"/>
  <c r="F18" i="2"/>
  <c r="E18" i="2"/>
  <c r="D18" i="2"/>
  <c r="F17" i="2"/>
  <c r="E17" i="2"/>
  <c r="D17" i="2"/>
  <c r="F16" i="2"/>
  <c r="E16" i="2"/>
  <c r="D16" i="2"/>
  <c r="I16" i="2"/>
  <c r="I17" i="2" s="1"/>
  <c r="I18" i="2" s="1"/>
  <c r="I19" i="2" s="1"/>
  <c r="I20" i="2" s="1"/>
  <c r="I21" i="2" s="1"/>
  <c r="I22" i="2" s="1"/>
  <c r="I23" i="2" s="1"/>
  <c r="I24" i="2" s="1"/>
  <c r="I25" i="2" s="1"/>
  <c r="I26" i="2" s="1"/>
  <c r="I27" i="2" s="1"/>
  <c r="I28" i="2" s="1"/>
  <c r="I29" i="2" s="1"/>
  <c r="I30" i="2" s="1"/>
  <c r="I31" i="2" s="1"/>
  <c r="I32" i="2" s="1"/>
  <c r="I33" i="2" s="1"/>
  <c r="I34" i="2" s="1"/>
  <c r="I35" i="2" s="1"/>
  <c r="I36" i="2" s="1"/>
  <c r="I37" i="2" s="1"/>
  <c r="I38" i="2" s="1"/>
  <c r="I39" i="2" s="1"/>
  <c r="I40" i="2" s="1"/>
  <c r="I41" i="2" s="1"/>
  <c r="I42" i="2" s="1"/>
  <c r="I43" i="2" s="1"/>
  <c r="I44" i="2" s="1"/>
  <c r="I45" i="2" s="1"/>
  <c r="I46" i="2" s="1"/>
  <c r="I47" i="2" s="1"/>
  <c r="P3" i="1" l="1"/>
  <c r="P4" i="1" s="1"/>
  <c r="P5" i="1" s="1"/>
  <c r="P6" i="1" s="1"/>
  <c r="P7" i="1" s="1"/>
  <c r="P8" i="1" s="1"/>
  <c r="P9" i="1" s="1"/>
  <c r="P10" i="1" s="1"/>
  <c r="P11" i="1" s="1"/>
  <c r="P12" i="1" s="1"/>
  <c r="P13" i="1" s="1"/>
  <c r="P14" i="1" s="1"/>
  <c r="P15" i="1" s="1"/>
  <c r="P16" i="1" s="1"/>
  <c r="P17" i="1" s="1"/>
  <c r="P18" i="1" s="1"/>
  <c r="P19" i="1" s="1"/>
  <c r="P20" i="1" s="1"/>
  <c r="P21" i="1" s="1"/>
  <c r="P22" i="1" s="1"/>
  <c r="P23" i="1" s="1"/>
  <c r="P24" i="1" s="1"/>
  <c r="P25" i="1" s="1"/>
  <c r="P26" i="1" s="1"/>
  <c r="P27" i="1" s="1"/>
  <c r="P28" i="1" s="1"/>
  <c r="P29" i="1" s="1"/>
  <c r="P30" i="1" s="1"/>
  <c r="P31" i="1" s="1"/>
  <c r="P32" i="1" s="1"/>
  <c r="P33" i="1" s="1"/>
  <c r="P34" i="1" s="1"/>
  <c r="P35" i="1" s="1"/>
  <c r="P36" i="1" s="1"/>
  <c r="P37" i="1" s="1"/>
  <c r="P38" i="1" s="1"/>
  <c r="P39" i="1" s="1"/>
  <c r="P40" i="1" s="1"/>
  <c r="P41" i="1" s="1"/>
  <c r="P42" i="1" s="1"/>
  <c r="P43" i="1" s="1"/>
  <c r="P44" i="1" s="1"/>
  <c r="P45" i="1" s="1"/>
  <c r="P46" i="1" s="1"/>
  <c r="P47" i="1" s="1"/>
  <c r="P48" i="1" s="1"/>
  <c r="P49" i="1" s="1"/>
  <c r="P50" i="1" s="1"/>
  <c r="P51" i="1" s="1"/>
  <c r="P52" i="1" s="1"/>
  <c r="P53" i="1" s="1"/>
  <c r="P54" i="1" s="1"/>
  <c r="P55" i="1" s="1"/>
  <c r="P56" i="1" s="1"/>
  <c r="P57" i="1" s="1"/>
  <c r="P58" i="1" s="1"/>
  <c r="P59" i="1" s="1"/>
  <c r="P60" i="1" s="1"/>
  <c r="P61" i="1" s="1"/>
  <c r="P62" i="1" s="1"/>
  <c r="P63" i="1" s="1"/>
  <c r="P64" i="1" s="1"/>
  <c r="P65" i="1" s="1"/>
  <c r="P66" i="1" s="1"/>
  <c r="P67" i="1" s="1"/>
  <c r="P68" i="1" s="1"/>
  <c r="P69" i="1" s="1"/>
  <c r="P70" i="1" s="1"/>
  <c r="P71" i="1" s="1"/>
  <c r="P72" i="1" s="1"/>
  <c r="P73" i="1" s="1"/>
  <c r="P74" i="1" s="1"/>
  <c r="P75" i="1" s="1"/>
  <c r="P76" i="1" s="1"/>
  <c r="P77" i="1" s="1"/>
  <c r="P78" i="1" s="1"/>
  <c r="P79" i="1" s="1"/>
  <c r="P80" i="1" s="1"/>
  <c r="P81" i="1" s="1"/>
  <c r="P82" i="1" s="1"/>
  <c r="P83" i="1" s="1"/>
  <c r="P84" i="1" s="1"/>
  <c r="P85" i="1" s="1"/>
  <c r="P86" i="1" s="1"/>
  <c r="P87" i="1" s="1"/>
  <c r="P88" i="1" s="1"/>
  <c r="P89" i="1" s="1"/>
  <c r="P90" i="1" s="1"/>
  <c r="P91" i="1" s="1"/>
  <c r="P92" i="1" s="1"/>
  <c r="P93" i="1" s="1"/>
  <c r="P94" i="1" s="1"/>
  <c r="P95" i="1" s="1"/>
  <c r="P96" i="1" s="1"/>
  <c r="P97" i="1" s="1"/>
  <c r="P98" i="1" s="1"/>
  <c r="P99" i="1" s="1"/>
  <c r="P100" i="1" s="1"/>
  <c r="P101" i="1" s="1"/>
  <c r="P102" i="1" s="1"/>
  <c r="P103" i="1" s="1"/>
  <c r="A3" i="2" l="1"/>
  <c r="A4" i="2" s="1"/>
  <c r="A5" i="2" s="1"/>
  <c r="A6" i="2" s="1"/>
  <c r="A7" i="2" s="1"/>
  <c r="A8" i="2" s="1"/>
  <c r="A9" i="2" s="1"/>
  <c r="A10" i="2" s="1"/>
  <c r="A11" i="2" s="1"/>
  <c r="A12" i="2" s="1"/>
  <c r="A13" i="2" s="1"/>
  <c r="A14" i="2" s="1"/>
  <c r="A15" i="2" s="1"/>
  <c r="A16" i="2" s="1"/>
  <c r="A17" i="2" s="1"/>
  <c r="A18" i="2" s="1"/>
  <c r="A19" i="2" s="1"/>
  <c r="A20" i="2" s="1"/>
  <c r="A21" i="2" s="1"/>
  <c r="A22" i="2" s="1"/>
  <c r="A23" i="2" s="1"/>
  <c r="A24" i="2" s="1"/>
  <c r="A25" i="2" s="1"/>
  <c r="A26" i="2" s="1"/>
  <c r="A27" i="2" s="1"/>
  <c r="A28" i="2" s="1"/>
  <c r="A29" i="2" s="1"/>
  <c r="A30" i="2" s="1"/>
  <c r="A31" i="2" s="1"/>
  <c r="A32" i="2" s="1"/>
  <c r="A33" i="2" s="1"/>
  <c r="A34" i="2" s="1"/>
  <c r="A35" i="2" s="1"/>
  <c r="A36" i="2" s="1"/>
  <c r="A37" i="2" s="1"/>
  <c r="A38" i="2" s="1"/>
  <c r="A39" i="2" s="1"/>
  <c r="A40" i="2" s="1"/>
  <c r="A41" i="2" s="1"/>
  <c r="A42" i="2" s="1"/>
  <c r="A43" i="2" s="1"/>
  <c r="A44" i="2" s="1"/>
  <c r="A45" i="2" s="1"/>
  <c r="A46" i="2" s="1"/>
  <c r="A47" i="2" s="1"/>
  <c r="D3" i="2"/>
  <c r="D4" i="2" s="1"/>
  <c r="D5" i="2" s="1"/>
  <c r="D6" i="2" s="1"/>
  <c r="D7" i="2" s="1"/>
  <c r="D8" i="2" s="1"/>
  <c r="D9" i="2" s="1"/>
  <c r="D10" i="2" s="1"/>
  <c r="D11" i="2" s="1"/>
  <c r="D12" i="2" s="1"/>
  <c r="D13" i="2" s="1"/>
  <c r="D14" i="2" s="1"/>
  <c r="D15" i="2" s="1"/>
  <c r="C3" i="2"/>
  <c r="C4" i="2" s="1"/>
  <c r="C5" i="2" s="1"/>
  <c r="C6" i="2" s="1"/>
  <c r="C7" i="2" s="1"/>
  <c r="C8" i="2" s="1"/>
  <c r="C9" i="2" s="1"/>
  <c r="C10" i="2" s="1"/>
  <c r="C11" i="2" s="1"/>
  <c r="C12" i="2" s="1"/>
  <c r="C13" i="2" s="1"/>
  <c r="C14" i="2" s="1"/>
  <c r="C15" i="2" s="1"/>
  <c r="C16" i="2" s="1"/>
  <c r="C17" i="2" s="1"/>
  <c r="C18" i="2" s="1"/>
  <c r="C19" i="2" s="1"/>
  <c r="C20" i="2" s="1"/>
  <c r="C21" i="2" s="1"/>
  <c r="C22" i="2" s="1"/>
  <c r="C23" i="2" s="1"/>
  <c r="C24" i="2" s="1"/>
  <c r="C25" i="2" s="1"/>
  <c r="C26" i="2" s="1"/>
  <c r="C27" i="2" s="1"/>
  <c r="C28" i="2" s="1"/>
  <c r="C29" i="2" s="1"/>
  <c r="C30" i="2" s="1"/>
  <c r="C31" i="2" s="1"/>
  <c r="C32" i="2" s="1"/>
  <c r="C33" i="2" s="1"/>
  <c r="C34" i="2" s="1"/>
  <c r="C35" i="2" s="1"/>
  <c r="C36" i="2" s="1"/>
  <c r="C37" i="2" s="1"/>
  <c r="C38" i="2" s="1"/>
  <c r="C39" i="2" s="1"/>
  <c r="C40" i="2" s="1"/>
  <c r="C41" i="2" s="1"/>
  <c r="C42" i="2" s="1"/>
  <c r="C43" i="2" s="1"/>
  <c r="C44" i="2" s="1"/>
  <c r="C45" i="2" s="1"/>
  <c r="C46" i="2" s="1"/>
  <c r="C47" i="2" s="1"/>
  <c r="F3" i="2"/>
  <c r="F4" i="2" s="1"/>
  <c r="F5" i="2" s="1"/>
  <c r="F6" i="2" s="1"/>
  <c r="F7" i="2" s="1"/>
  <c r="F8" i="2" s="1"/>
  <c r="F9" i="2" s="1"/>
  <c r="F10" i="2" s="1"/>
  <c r="F11" i="2" s="1"/>
  <c r="F12" i="2" s="1"/>
  <c r="F13" i="2" s="1"/>
  <c r="F14" i="2" s="1"/>
  <c r="F15" i="2" s="1"/>
  <c r="E3" i="2"/>
  <c r="E4" i="2" s="1"/>
  <c r="E5" i="2" s="1"/>
  <c r="E6" i="2" s="1"/>
  <c r="E7" i="2" s="1"/>
  <c r="E8" i="2" s="1"/>
  <c r="E9" i="2" s="1"/>
  <c r="E10" i="2" s="1"/>
  <c r="E11" i="2" s="1"/>
  <c r="E12" i="2" s="1"/>
  <c r="E13" i="2" s="1"/>
  <c r="E14" i="2" s="1"/>
  <c r="E15" i="2" s="1"/>
  <c r="B3" i="2"/>
  <c r="B4" i="2" s="1"/>
  <c r="B5" i="2" s="1"/>
  <c r="B6" i="2" s="1"/>
  <c r="B7" i="2" s="1"/>
  <c r="B8" i="2" s="1"/>
  <c r="B9" i="2" s="1"/>
  <c r="B10" i="2" s="1"/>
  <c r="B11" i="2" s="1"/>
  <c r="B12" i="2" s="1"/>
  <c r="B13" i="2" s="1"/>
  <c r="B14" i="2" s="1"/>
  <c r="B15" i="2" s="1"/>
  <c r="B16" i="2" s="1"/>
  <c r="B17" i="2" s="1"/>
  <c r="B18" i="2" s="1"/>
  <c r="B19" i="2" s="1"/>
  <c r="B20" i="2" s="1"/>
  <c r="B21" i="2" s="1"/>
  <c r="B22" i="2" s="1"/>
  <c r="B23" i="2" s="1"/>
  <c r="B24" i="2" s="1"/>
  <c r="B25" i="2" s="1"/>
  <c r="B26" i="2" s="1"/>
  <c r="B27" i="2" s="1"/>
  <c r="B28" i="2" s="1"/>
  <c r="B29" i="2" s="1"/>
  <c r="B30" i="2" s="1"/>
  <c r="B31" i="2" s="1"/>
  <c r="B32" i="2" s="1"/>
  <c r="B33" i="2" s="1"/>
  <c r="B34" i="2" s="1"/>
  <c r="B35" i="2" s="1"/>
  <c r="B36" i="2" s="1"/>
  <c r="B37" i="2" s="1"/>
  <c r="B38" i="2" s="1"/>
  <c r="B39" i="2" s="1"/>
  <c r="B40" i="2" s="1"/>
  <c r="B41" i="2" s="1"/>
  <c r="B42" i="2" s="1"/>
  <c r="B43" i="2" s="1"/>
  <c r="B44" i="2" s="1"/>
  <c r="B45" i="2" s="1"/>
  <c r="B46" i="2" s="1"/>
  <c r="B47" i="2" s="1"/>
  <c r="I3" i="2"/>
  <c r="I4" i="2" s="1"/>
  <c r="I5" i="2" s="1"/>
  <c r="I6" i="2" s="1"/>
  <c r="I7" i="2" s="1"/>
  <c r="I8" i="2" s="1"/>
  <c r="I9" i="2" s="1"/>
  <c r="I10" i="2" s="1"/>
  <c r="I11" i="2" s="1"/>
  <c r="I12" i="2" s="1"/>
  <c r="I13" i="2" s="1"/>
  <c r="I14" i="2" s="1"/>
  <c r="I15" i="2" s="1"/>
  <c r="C4" i="1" l="1"/>
  <c r="C5" i="1" s="1"/>
  <c r="C6" i="1" s="1"/>
  <c r="C7" i="1" s="1"/>
  <c r="C8" i="1" s="1"/>
  <c r="C9" i="1" s="1"/>
  <c r="C10" i="1" s="1"/>
  <c r="C11" i="1" s="1"/>
  <c r="C12" i="1" s="1"/>
  <c r="C13" i="1" s="1"/>
  <c r="C14" i="1" s="1"/>
  <c r="C15" i="1" s="1"/>
  <c r="C16" i="1" s="1"/>
  <c r="C17" i="1" s="1"/>
  <c r="C18" i="1" s="1"/>
  <c r="C19" i="1" s="1"/>
  <c r="C20" i="1" s="1"/>
  <c r="C21" i="1" s="1"/>
  <c r="C22" i="1" s="1"/>
  <c r="C23" i="1" s="1"/>
  <c r="C24" i="1" s="1"/>
  <c r="C25" i="1" s="1"/>
  <c r="C26" i="1" s="1"/>
  <c r="C27" i="1" s="1"/>
  <c r="C28" i="1" s="1"/>
  <c r="C29" i="1" s="1"/>
  <c r="C30" i="1" s="1"/>
  <c r="C31" i="1" s="1"/>
  <c r="C32" i="1" s="1"/>
  <c r="C33" i="1" s="1"/>
  <c r="C34" i="1" s="1"/>
  <c r="C35" i="1" s="1"/>
  <c r="C36" i="1" s="1"/>
  <c r="C37" i="1" s="1"/>
  <c r="C38" i="1" s="1"/>
  <c r="C39" i="1" s="1"/>
  <c r="C40" i="1" s="1"/>
  <c r="C41" i="1" s="1"/>
  <c r="C42" i="1" s="1"/>
  <c r="C43" i="1" s="1"/>
  <c r="C44" i="1" s="1"/>
  <c r="C45" i="1" s="1"/>
  <c r="C46" i="1" s="1"/>
  <c r="C47" i="1" s="1"/>
  <c r="C48" i="1" s="1"/>
  <c r="C49" i="1" s="1"/>
  <c r="C50" i="1" s="1"/>
  <c r="C51" i="1" s="1"/>
  <c r="C52" i="1" s="1"/>
  <c r="C53" i="1" s="1"/>
  <c r="C54" i="1" s="1"/>
  <c r="C55" i="1" s="1"/>
  <c r="C56" i="1" s="1"/>
  <c r="C57" i="1" s="1"/>
  <c r="C58" i="1" s="1"/>
  <c r="C59" i="1" s="1"/>
  <c r="C60" i="1" s="1"/>
  <c r="C61" i="1" s="1"/>
  <c r="C62" i="1" s="1"/>
  <c r="C63" i="1" s="1"/>
  <c r="C64" i="1" s="1"/>
  <c r="C65" i="1" s="1"/>
  <c r="C66" i="1" s="1"/>
  <c r="C67" i="1" s="1"/>
  <c r="C68" i="1" s="1"/>
  <c r="C69" i="1" s="1"/>
  <c r="C70" i="1" s="1"/>
  <c r="C71" i="1" s="1"/>
  <c r="C72" i="1" s="1"/>
  <c r="C73" i="1" s="1"/>
  <c r="C74" i="1" s="1"/>
  <c r="C75" i="1" s="1"/>
  <c r="C76" i="1" s="1"/>
  <c r="C77" i="1" s="1"/>
  <c r="C78" i="1" s="1"/>
  <c r="C79" i="1" s="1"/>
  <c r="C80" i="1" s="1"/>
  <c r="C81" i="1" s="1"/>
  <c r="C82" i="1" s="1"/>
  <c r="C83" i="1" s="1"/>
  <c r="C84" i="1" s="1"/>
  <c r="C85" i="1" s="1"/>
  <c r="C86" i="1" s="1"/>
  <c r="C87" i="1" s="1"/>
  <c r="C88" i="1" s="1"/>
  <c r="C89" i="1" s="1"/>
  <c r="C90" i="1" s="1"/>
  <c r="C91" i="1" s="1"/>
  <c r="C92" i="1" s="1"/>
  <c r="C93" i="1" s="1"/>
  <c r="C94" i="1" s="1"/>
  <c r="C95" i="1" s="1"/>
  <c r="C96" i="1" s="1"/>
  <c r="C97" i="1" s="1"/>
  <c r="C98" i="1" s="1"/>
  <c r="C99" i="1" s="1"/>
  <c r="C100" i="1" s="1"/>
  <c r="C101" i="1" s="1"/>
  <c r="C102" i="1" s="1"/>
  <c r="C103" i="1" s="1"/>
  <c r="B3" i="1"/>
  <c r="B4" i="1" s="1"/>
  <c r="B5" i="1" s="1"/>
  <c r="B6" i="1" s="1"/>
  <c r="B7" i="1" s="1"/>
  <c r="B8" i="1" s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B22" i="1" s="1"/>
  <c r="B23" i="1" s="1"/>
  <c r="B24" i="1" s="1"/>
  <c r="B25" i="1" s="1"/>
  <c r="B26" i="1" s="1"/>
  <c r="B27" i="1" s="1"/>
  <c r="B28" i="1" s="1"/>
  <c r="B29" i="1" s="1"/>
  <c r="B30" i="1" s="1"/>
  <c r="B31" i="1" s="1"/>
  <c r="B32" i="1" s="1"/>
  <c r="B33" i="1" s="1"/>
  <c r="B34" i="1" s="1"/>
  <c r="B35" i="1" s="1"/>
  <c r="B36" i="1" s="1"/>
  <c r="B37" i="1" s="1"/>
  <c r="B38" i="1" s="1"/>
  <c r="B39" i="1" s="1"/>
  <c r="B40" i="1" s="1"/>
  <c r="B41" i="1" s="1"/>
  <c r="B42" i="1" s="1"/>
  <c r="B43" i="1" s="1"/>
  <c r="B44" i="1" s="1"/>
  <c r="B45" i="1" s="1"/>
  <c r="B46" i="1" s="1"/>
  <c r="B47" i="1" s="1"/>
  <c r="B48" i="1" s="1"/>
  <c r="B49" i="1" s="1"/>
  <c r="B50" i="1" s="1"/>
  <c r="B51" i="1" s="1"/>
  <c r="B52" i="1" s="1"/>
  <c r="B53" i="1" s="1"/>
  <c r="B54" i="1" s="1"/>
  <c r="B55" i="1" s="1"/>
  <c r="B56" i="1" s="1"/>
  <c r="B57" i="1" s="1"/>
  <c r="B58" i="1" s="1"/>
  <c r="B59" i="1" s="1"/>
  <c r="B60" i="1" s="1"/>
  <c r="B61" i="1" s="1"/>
  <c r="B62" i="1" s="1"/>
  <c r="B63" i="1" s="1"/>
  <c r="B64" i="1" s="1"/>
  <c r="B65" i="1" s="1"/>
  <c r="B66" i="1" s="1"/>
  <c r="B67" i="1" s="1"/>
  <c r="B68" i="1" s="1"/>
  <c r="B69" i="1" s="1"/>
  <c r="B70" i="1" s="1"/>
  <c r="B71" i="1" s="1"/>
  <c r="B72" i="1" s="1"/>
  <c r="B73" i="1" s="1"/>
  <c r="B74" i="1" s="1"/>
  <c r="B75" i="1" s="1"/>
  <c r="B76" i="1" s="1"/>
  <c r="B77" i="1" s="1"/>
  <c r="B78" i="1" s="1"/>
  <c r="B79" i="1" s="1"/>
  <c r="B80" i="1" s="1"/>
  <c r="B81" i="1" s="1"/>
  <c r="B82" i="1" s="1"/>
  <c r="B83" i="1" s="1"/>
  <c r="B84" i="1" s="1"/>
  <c r="B85" i="1" s="1"/>
  <c r="B86" i="1" s="1"/>
  <c r="B87" i="1" s="1"/>
  <c r="B88" i="1" s="1"/>
  <c r="B89" i="1" s="1"/>
  <c r="B90" i="1" s="1"/>
  <c r="B91" i="1" s="1"/>
  <c r="B92" i="1" s="1"/>
  <c r="B93" i="1" s="1"/>
  <c r="B94" i="1" s="1"/>
  <c r="B95" i="1" s="1"/>
  <c r="B96" i="1" s="1"/>
  <c r="B97" i="1" s="1"/>
  <c r="B98" i="1" s="1"/>
  <c r="B99" i="1" s="1"/>
  <c r="B100" i="1" s="1"/>
  <c r="B101" i="1" s="1"/>
  <c r="B102" i="1" s="1"/>
  <c r="B103" i="1" s="1"/>
  <c r="I3" i="1"/>
  <c r="I4" i="1" s="1"/>
  <c r="I5" i="1" s="1"/>
  <c r="I6" i="1" s="1"/>
  <c r="I7" i="1" s="1"/>
  <c r="I8" i="1" s="1"/>
  <c r="I9" i="1" s="1"/>
  <c r="I10" i="1" s="1"/>
  <c r="I11" i="1" s="1"/>
  <c r="I12" i="1" s="1"/>
  <c r="I13" i="1" s="1"/>
  <c r="I14" i="1" s="1"/>
  <c r="I15" i="1" s="1"/>
  <c r="I16" i="1" s="1"/>
  <c r="I17" i="1" s="1"/>
  <c r="I18" i="1" s="1"/>
  <c r="I19" i="1" s="1"/>
  <c r="I20" i="1" s="1"/>
  <c r="I21" i="1" s="1"/>
  <c r="I22" i="1" s="1"/>
  <c r="I23" i="1" s="1"/>
  <c r="I24" i="1" s="1"/>
  <c r="I25" i="1" s="1"/>
  <c r="I26" i="1" s="1"/>
  <c r="I27" i="1" s="1"/>
  <c r="I28" i="1" s="1"/>
  <c r="I29" i="1" s="1"/>
  <c r="I30" i="1" s="1"/>
  <c r="I31" i="1" s="1"/>
  <c r="I32" i="1" s="1"/>
  <c r="I33" i="1" s="1"/>
  <c r="I34" i="1" s="1"/>
  <c r="I35" i="1" s="1"/>
  <c r="I36" i="1" s="1"/>
  <c r="I37" i="1" s="1"/>
  <c r="I38" i="1" s="1"/>
  <c r="I39" i="1" s="1"/>
  <c r="I40" i="1" s="1"/>
  <c r="I41" i="1" s="1"/>
  <c r="I42" i="1" s="1"/>
  <c r="I43" i="1" s="1"/>
  <c r="I44" i="1" s="1"/>
  <c r="I45" i="1" s="1"/>
  <c r="I46" i="1" s="1"/>
  <c r="I47" i="1" s="1"/>
  <c r="I48" i="1" s="1"/>
  <c r="I49" i="1" s="1"/>
  <c r="I50" i="1" s="1"/>
  <c r="I51" i="1" s="1"/>
  <c r="I52" i="1" s="1"/>
  <c r="I53" i="1" s="1"/>
  <c r="I54" i="1" s="1"/>
  <c r="I55" i="1" s="1"/>
  <c r="I56" i="1" s="1"/>
  <c r="I57" i="1" s="1"/>
  <c r="I58" i="1" s="1"/>
  <c r="I59" i="1" s="1"/>
  <c r="I60" i="1" s="1"/>
  <c r="I61" i="1" s="1"/>
  <c r="I62" i="1" s="1"/>
  <c r="I63" i="1" s="1"/>
  <c r="I64" i="1" s="1"/>
  <c r="I65" i="1" s="1"/>
  <c r="I66" i="1" s="1"/>
  <c r="I67" i="1" s="1"/>
  <c r="I68" i="1" s="1"/>
  <c r="I69" i="1" s="1"/>
  <c r="I70" i="1" s="1"/>
  <c r="I71" i="1" s="1"/>
  <c r="I72" i="1" s="1"/>
  <c r="I73" i="1" s="1"/>
  <c r="I74" i="1" s="1"/>
  <c r="I75" i="1" s="1"/>
  <c r="I76" i="1" s="1"/>
  <c r="I77" i="1" s="1"/>
  <c r="I78" i="1" s="1"/>
  <c r="I79" i="1" s="1"/>
  <c r="I80" i="1" s="1"/>
  <c r="I81" i="1" s="1"/>
  <c r="I82" i="1" s="1"/>
  <c r="I83" i="1" s="1"/>
  <c r="I84" i="1" s="1"/>
  <c r="I85" i="1" s="1"/>
  <c r="I86" i="1" s="1"/>
  <c r="I87" i="1" s="1"/>
  <c r="I88" i="1" s="1"/>
  <c r="I89" i="1" s="1"/>
  <c r="I90" i="1" s="1"/>
  <c r="I91" i="1" s="1"/>
  <c r="I92" i="1" s="1"/>
  <c r="I93" i="1" s="1"/>
  <c r="I94" i="1" s="1"/>
  <c r="I95" i="1" s="1"/>
  <c r="I96" i="1" s="1"/>
  <c r="I97" i="1" s="1"/>
  <c r="I98" i="1" s="1"/>
  <c r="I99" i="1" s="1"/>
  <c r="I100" i="1" s="1"/>
  <c r="I101" i="1" s="1"/>
  <c r="I102" i="1" s="1"/>
  <c r="I103" i="1" s="1"/>
  <c r="F3" i="1"/>
  <c r="F4" i="1" s="1"/>
  <c r="F5" i="1" s="1"/>
  <c r="F6" i="1" s="1"/>
  <c r="F7" i="1" s="1"/>
  <c r="F8" i="1" s="1"/>
  <c r="F9" i="1" s="1"/>
  <c r="F10" i="1" s="1"/>
  <c r="F11" i="1" s="1"/>
  <c r="F12" i="1" s="1"/>
  <c r="F13" i="1" s="1"/>
  <c r="F14" i="1" s="1"/>
  <c r="F15" i="1" s="1"/>
  <c r="F16" i="1" s="1"/>
  <c r="F17" i="1" s="1"/>
  <c r="F18" i="1" s="1"/>
  <c r="F19" i="1" s="1"/>
  <c r="F20" i="1" s="1"/>
  <c r="F21" i="1" s="1"/>
  <c r="F22" i="1" s="1"/>
  <c r="F23" i="1" s="1"/>
  <c r="F24" i="1" s="1"/>
  <c r="F25" i="1" s="1"/>
  <c r="F26" i="1" s="1"/>
  <c r="F27" i="1" s="1"/>
  <c r="F28" i="1" s="1"/>
  <c r="F29" i="1" s="1"/>
  <c r="F30" i="1" s="1"/>
  <c r="F31" i="1" s="1"/>
  <c r="F32" i="1" s="1"/>
  <c r="F33" i="1" s="1"/>
  <c r="F34" i="1" s="1"/>
  <c r="F35" i="1" s="1"/>
  <c r="F36" i="1" s="1"/>
  <c r="F37" i="1" s="1"/>
  <c r="F38" i="1" s="1"/>
  <c r="F39" i="1" s="1"/>
  <c r="F40" i="1" s="1"/>
  <c r="F41" i="1" s="1"/>
  <c r="F42" i="1" s="1"/>
  <c r="F43" i="1" s="1"/>
  <c r="F44" i="1" s="1"/>
  <c r="F45" i="1" s="1"/>
  <c r="F46" i="1" s="1"/>
  <c r="F47" i="1" s="1"/>
  <c r="F48" i="1" s="1"/>
  <c r="F49" i="1" s="1"/>
  <c r="F50" i="1" s="1"/>
  <c r="F51" i="1" s="1"/>
  <c r="F52" i="1" s="1"/>
  <c r="F53" i="1" s="1"/>
  <c r="F54" i="1" s="1"/>
  <c r="F55" i="1" s="1"/>
  <c r="F56" i="1" s="1"/>
  <c r="F57" i="1" s="1"/>
  <c r="F58" i="1" s="1"/>
  <c r="F59" i="1" s="1"/>
  <c r="F60" i="1" s="1"/>
  <c r="F61" i="1" s="1"/>
  <c r="F62" i="1" s="1"/>
  <c r="F63" i="1" s="1"/>
  <c r="F64" i="1" s="1"/>
  <c r="F65" i="1" s="1"/>
  <c r="F66" i="1" s="1"/>
  <c r="F67" i="1" s="1"/>
  <c r="F68" i="1" s="1"/>
  <c r="F69" i="1" s="1"/>
  <c r="F70" i="1" s="1"/>
  <c r="F71" i="1" s="1"/>
  <c r="F72" i="1" s="1"/>
  <c r="F73" i="1" s="1"/>
  <c r="F74" i="1" s="1"/>
  <c r="F75" i="1" s="1"/>
  <c r="F76" i="1" s="1"/>
  <c r="F77" i="1" s="1"/>
  <c r="F78" i="1" s="1"/>
  <c r="F79" i="1" s="1"/>
  <c r="F80" i="1" s="1"/>
  <c r="F81" i="1" s="1"/>
  <c r="F82" i="1" s="1"/>
  <c r="F83" i="1" s="1"/>
  <c r="F84" i="1" s="1"/>
  <c r="F85" i="1" s="1"/>
  <c r="F86" i="1" s="1"/>
  <c r="F87" i="1" s="1"/>
  <c r="F88" i="1" s="1"/>
  <c r="F89" i="1" s="1"/>
  <c r="F90" i="1" s="1"/>
  <c r="F91" i="1" s="1"/>
  <c r="F92" i="1" s="1"/>
  <c r="F93" i="1" s="1"/>
  <c r="F94" i="1" s="1"/>
  <c r="F95" i="1" s="1"/>
  <c r="F96" i="1" s="1"/>
  <c r="F97" i="1" s="1"/>
  <c r="F98" i="1" s="1"/>
  <c r="F99" i="1" s="1"/>
  <c r="F100" i="1" s="1"/>
  <c r="F101" i="1" s="1"/>
  <c r="F102" i="1" s="1"/>
  <c r="F103" i="1" s="1"/>
  <c r="E3" i="1"/>
  <c r="E4" i="1" s="1"/>
  <c r="E5" i="1" s="1"/>
  <c r="E6" i="1" s="1"/>
  <c r="E7" i="1" s="1"/>
  <c r="E8" i="1" s="1"/>
  <c r="E9" i="1" s="1"/>
  <c r="E10" i="1" s="1"/>
  <c r="E11" i="1" s="1"/>
  <c r="E12" i="1" s="1"/>
  <c r="E13" i="1" s="1"/>
  <c r="E14" i="1" s="1"/>
  <c r="E15" i="1" s="1"/>
  <c r="E16" i="1" s="1"/>
  <c r="E17" i="1" s="1"/>
  <c r="E18" i="1" s="1"/>
  <c r="E19" i="1" s="1"/>
  <c r="E20" i="1" s="1"/>
  <c r="E21" i="1" s="1"/>
  <c r="E22" i="1" s="1"/>
  <c r="E23" i="1" s="1"/>
  <c r="E24" i="1" s="1"/>
  <c r="E25" i="1" s="1"/>
  <c r="E26" i="1" s="1"/>
  <c r="E27" i="1" s="1"/>
  <c r="E28" i="1" s="1"/>
  <c r="E29" i="1" s="1"/>
  <c r="E30" i="1" s="1"/>
  <c r="E31" i="1" s="1"/>
  <c r="E32" i="1" s="1"/>
  <c r="E33" i="1" s="1"/>
  <c r="E34" i="1" s="1"/>
  <c r="E35" i="1" s="1"/>
  <c r="E36" i="1" s="1"/>
  <c r="E37" i="1" s="1"/>
  <c r="E38" i="1" s="1"/>
  <c r="E39" i="1" s="1"/>
  <c r="E40" i="1" s="1"/>
  <c r="E41" i="1" s="1"/>
  <c r="E42" i="1" s="1"/>
  <c r="E43" i="1" s="1"/>
  <c r="E44" i="1" s="1"/>
  <c r="E45" i="1" s="1"/>
  <c r="E46" i="1" s="1"/>
  <c r="E47" i="1" s="1"/>
  <c r="E48" i="1" s="1"/>
  <c r="E49" i="1" s="1"/>
  <c r="E50" i="1" s="1"/>
  <c r="E51" i="1" s="1"/>
  <c r="E52" i="1" s="1"/>
  <c r="E53" i="1" s="1"/>
  <c r="E54" i="1" s="1"/>
  <c r="E55" i="1" s="1"/>
  <c r="E56" i="1" s="1"/>
  <c r="E57" i="1" s="1"/>
  <c r="E58" i="1" s="1"/>
  <c r="E59" i="1" s="1"/>
  <c r="E60" i="1" s="1"/>
  <c r="E61" i="1" s="1"/>
  <c r="E62" i="1" s="1"/>
  <c r="E63" i="1" s="1"/>
  <c r="E64" i="1" s="1"/>
  <c r="E65" i="1" s="1"/>
  <c r="E66" i="1" s="1"/>
  <c r="E67" i="1" s="1"/>
  <c r="E68" i="1" s="1"/>
  <c r="E69" i="1" s="1"/>
  <c r="E70" i="1" s="1"/>
  <c r="E71" i="1" s="1"/>
  <c r="E72" i="1" s="1"/>
  <c r="E73" i="1" s="1"/>
  <c r="E74" i="1" s="1"/>
  <c r="E75" i="1" s="1"/>
  <c r="E76" i="1" s="1"/>
  <c r="E77" i="1" s="1"/>
  <c r="E78" i="1" s="1"/>
  <c r="E79" i="1" s="1"/>
  <c r="E80" i="1" s="1"/>
  <c r="E81" i="1" s="1"/>
  <c r="E82" i="1" s="1"/>
  <c r="E83" i="1" s="1"/>
  <c r="E84" i="1" s="1"/>
  <c r="E85" i="1" s="1"/>
  <c r="E86" i="1" s="1"/>
  <c r="E87" i="1" s="1"/>
  <c r="E88" i="1" s="1"/>
  <c r="E89" i="1" s="1"/>
  <c r="E90" i="1" s="1"/>
  <c r="E91" i="1" s="1"/>
  <c r="E92" i="1" s="1"/>
  <c r="E93" i="1" s="1"/>
  <c r="E94" i="1" s="1"/>
  <c r="E95" i="1" s="1"/>
  <c r="E96" i="1" s="1"/>
  <c r="E97" i="1" s="1"/>
  <c r="E98" i="1" s="1"/>
  <c r="E99" i="1" s="1"/>
  <c r="E100" i="1" s="1"/>
  <c r="E101" i="1" s="1"/>
  <c r="E102" i="1" s="1"/>
  <c r="E103" i="1" s="1"/>
  <c r="D3" i="1"/>
  <c r="D4" i="1" s="1"/>
  <c r="D5" i="1" s="1"/>
  <c r="D6" i="1" s="1"/>
  <c r="D7" i="1" s="1"/>
  <c r="D8" i="1" s="1"/>
  <c r="D9" i="1" s="1"/>
  <c r="D10" i="1" s="1"/>
  <c r="D11" i="1" s="1"/>
  <c r="D12" i="1" s="1"/>
  <c r="D13" i="1" s="1"/>
  <c r="D14" i="1" s="1"/>
  <c r="D15" i="1" s="1"/>
  <c r="D16" i="1" s="1"/>
  <c r="D17" i="1" s="1"/>
  <c r="D18" i="1" s="1"/>
  <c r="D19" i="1" s="1"/>
  <c r="D20" i="1" s="1"/>
  <c r="D21" i="1" s="1"/>
  <c r="D22" i="1" s="1"/>
  <c r="D23" i="1" s="1"/>
  <c r="D24" i="1" s="1"/>
  <c r="D25" i="1" s="1"/>
  <c r="D26" i="1" s="1"/>
  <c r="D27" i="1" s="1"/>
  <c r="D28" i="1" s="1"/>
  <c r="D29" i="1" s="1"/>
  <c r="D30" i="1" s="1"/>
  <c r="D31" i="1" s="1"/>
  <c r="D32" i="1" s="1"/>
  <c r="D33" i="1" s="1"/>
  <c r="D34" i="1" s="1"/>
  <c r="D35" i="1" s="1"/>
  <c r="D36" i="1" s="1"/>
  <c r="D37" i="1" s="1"/>
  <c r="D38" i="1" s="1"/>
  <c r="D39" i="1" s="1"/>
  <c r="D40" i="1" s="1"/>
  <c r="D41" i="1" s="1"/>
  <c r="D42" i="1" s="1"/>
  <c r="D43" i="1" s="1"/>
  <c r="D44" i="1" s="1"/>
  <c r="D45" i="1" s="1"/>
  <c r="D46" i="1" s="1"/>
  <c r="D47" i="1" s="1"/>
  <c r="D48" i="1" s="1"/>
  <c r="D49" i="1" s="1"/>
  <c r="D50" i="1" s="1"/>
  <c r="D51" i="1" s="1"/>
  <c r="D52" i="1" s="1"/>
  <c r="D53" i="1" s="1"/>
  <c r="D54" i="1" s="1"/>
  <c r="D55" i="1" s="1"/>
  <c r="D56" i="1" s="1"/>
  <c r="D57" i="1" s="1"/>
  <c r="D58" i="1" s="1"/>
  <c r="D59" i="1" s="1"/>
  <c r="D60" i="1" s="1"/>
  <c r="D61" i="1" s="1"/>
  <c r="D62" i="1" s="1"/>
  <c r="D63" i="1" s="1"/>
  <c r="D64" i="1" s="1"/>
  <c r="D65" i="1" s="1"/>
  <c r="D66" i="1" s="1"/>
  <c r="D67" i="1" s="1"/>
  <c r="D68" i="1" s="1"/>
  <c r="D69" i="1" s="1"/>
  <c r="D70" i="1" s="1"/>
  <c r="D71" i="1" s="1"/>
  <c r="D72" i="1" s="1"/>
  <c r="D73" i="1" s="1"/>
  <c r="D74" i="1" s="1"/>
  <c r="D75" i="1" s="1"/>
  <c r="D76" i="1" s="1"/>
  <c r="D77" i="1" s="1"/>
  <c r="D78" i="1" s="1"/>
  <c r="D79" i="1" s="1"/>
  <c r="D80" i="1" s="1"/>
  <c r="D81" i="1" s="1"/>
  <c r="D82" i="1" s="1"/>
  <c r="D83" i="1" s="1"/>
  <c r="D84" i="1" s="1"/>
  <c r="D85" i="1" s="1"/>
  <c r="D86" i="1" s="1"/>
  <c r="D87" i="1" s="1"/>
  <c r="D88" i="1" s="1"/>
  <c r="D89" i="1" s="1"/>
  <c r="D90" i="1" s="1"/>
  <c r="D91" i="1" s="1"/>
  <c r="D92" i="1" s="1"/>
  <c r="D93" i="1" s="1"/>
  <c r="D94" i="1" s="1"/>
  <c r="D95" i="1" s="1"/>
  <c r="D96" i="1" s="1"/>
  <c r="D97" i="1" s="1"/>
  <c r="D98" i="1" s="1"/>
  <c r="D99" i="1" s="1"/>
  <c r="D100" i="1" s="1"/>
  <c r="D101" i="1" s="1"/>
  <c r="D102" i="1" s="1"/>
  <c r="D103" i="1" s="1"/>
  <c r="A3" i="1"/>
  <c r="A4" i="1" s="1"/>
  <c r="A5" i="1" s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60" i="1" s="1"/>
  <c r="A61" i="1" s="1"/>
  <c r="A62" i="1" s="1"/>
  <c r="A63" i="1" s="1"/>
  <c r="A64" i="1" s="1"/>
  <c r="A65" i="1" s="1"/>
  <c r="A66" i="1" s="1"/>
  <c r="A67" i="1" s="1"/>
  <c r="A68" i="1" s="1"/>
  <c r="A69" i="1" s="1"/>
  <c r="A70" i="1" s="1"/>
  <c r="A71" i="1" s="1"/>
  <c r="A72" i="1" s="1"/>
  <c r="A73" i="1" s="1"/>
  <c r="A74" i="1" s="1"/>
  <c r="A75" i="1" s="1"/>
  <c r="A76" i="1" s="1"/>
  <c r="A77" i="1" s="1"/>
  <c r="A78" i="1" s="1"/>
  <c r="A79" i="1" s="1"/>
  <c r="A80" i="1" s="1"/>
  <c r="A81" i="1" s="1"/>
  <c r="A82" i="1" s="1"/>
  <c r="A83" i="1" s="1"/>
  <c r="A84" i="1" s="1"/>
  <c r="A85" i="1" s="1"/>
  <c r="A86" i="1" s="1"/>
  <c r="A87" i="1" s="1"/>
  <c r="A88" i="1" s="1"/>
  <c r="A89" i="1" s="1"/>
  <c r="A90" i="1" s="1"/>
  <c r="A91" i="1" s="1"/>
  <c r="A92" i="1" s="1"/>
  <c r="A93" i="1" s="1"/>
  <c r="A94" i="1" s="1"/>
  <c r="A95" i="1" s="1"/>
  <c r="A96" i="1" s="1"/>
  <c r="A97" i="1" s="1"/>
  <c r="A98" i="1" s="1"/>
  <c r="A99" i="1" s="1"/>
  <c r="A100" i="1" s="1"/>
  <c r="A101" i="1" s="1"/>
  <c r="A102" i="1" s="1"/>
  <c r="A103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92C6A779-6F6A-44C2-A41F-4BD8C71752A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764329CB-F34A-40C2-865E-D81C68A94EB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3C3DE446-B863-4CDF-AC72-B382034A454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57947FA8-E546-44C3-997B-983979760D4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DCC15FFD-0D42-49AA-9FB8-23BA80D8DC0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23A37135-0401-4A7D-B462-E8C9C965DDC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B010B951-471C-497D-A13D-FB85F8D5D27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7DF64B51-E052-4388-A5DE-4912E00F704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3E87EEAC-41FE-4884-9EDD-3B67809E426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4414577B-E5D7-47D2-95CD-CCC0847802ED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55837013-018F-4F8E-9431-8A470AEA1CD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5D3149F6-9162-4FA9-94AB-6065C5EDA53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745A071B-9B3C-43D3-B9FB-9B88B7505CB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C1E976D6-A610-4092-9958-22667FBB7B9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60D18F87-6B4B-453B-9F67-A943235582D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CC461911-C501-4FC0-A281-4559922F759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D747A042-A6D0-435A-946E-D703DEEF1D4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32438E08-30B8-4FA7-A0DC-7D6C481416F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7B396AE2-D55C-4541-9928-5E51E8AB694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1EB61EFC-4081-414D-947A-8F74F356DEA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3D1771FA-04FA-4BB9-BA24-19065290AA6D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FE0837B6-478A-4A3A-AF11-7F634900CACD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AC88F2FF-7C68-4FDC-AA0F-4E7B9DFBFA0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14061EEC-2D8B-42A1-ABC4-15A479FD2C6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5F932D51-E23B-429B-94BC-510252DCE90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9A8A009A-B73F-4CB8-AF80-D6408F0C9AD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ECEAAA79-03E5-4E50-BFF6-D6122421BF2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70949D4C-0DCC-4A95-9E76-3E070F1C94F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C941FCDB-3DC8-4F8E-8097-09FADD8FADE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ACC08056-0835-4BC5-BDD9-56AA3DD7F49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C83F1005-37CF-4633-A0FD-FD15B379A4A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A52AD6E-D6AD-4FB8-9381-0051FA7FF25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20C62ACA-0659-4F80-960B-BD13565C8ED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52B05C25-003D-42C0-ABC7-D7520D21D4E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9D70E64-91C0-445C-82FC-C1E8C6EF68E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ED3E90C0-BC10-4320-834D-FBA05CAB211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70038B77-84FB-47E2-A822-C6E31629B08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7A01CDCC-8D2B-431F-9344-408BEF97C6B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4F5316AB-5494-4959-B19D-8E93B630D2B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A4D01D8D-90D5-449A-B779-528A90E1BD9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2DF43A1A-C21B-4707-BC01-1FE592C9E80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6C872D0F-C492-4199-BF0D-71572A0C33D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sharedStrings.xml><?xml version="1.0" encoding="utf-8"?>
<sst xmlns="http://schemas.openxmlformats.org/spreadsheetml/2006/main" count="616" uniqueCount="261">
  <si>
    <t>ACARA</t>
  </si>
  <si>
    <t>FROM DATE</t>
  </si>
  <si>
    <t>TO DATE</t>
  </si>
  <si>
    <t>DEPT</t>
  </si>
  <si>
    <t>WORLD</t>
  </si>
  <si>
    <t>DIVISION</t>
  </si>
  <si>
    <t>CLASS</t>
  </si>
  <si>
    <t>SUPPLIER</t>
  </si>
  <si>
    <t>BRAND</t>
  </si>
  <si>
    <t>SKU</t>
  </si>
  <si>
    <t>ARTICLE</t>
  </si>
  <si>
    <t>DESCRIPTION</t>
  </si>
  <si>
    <t>HARGA NORMAL</t>
  </si>
  <si>
    <t>DISKON</t>
  </si>
  <si>
    <t>HARGA PROMO</t>
  </si>
  <si>
    <t>DISCOUNT TYPE</t>
  </si>
  <si>
    <t>LVK91A100Y4Z</t>
  </si>
  <si>
    <t>LVK81A100C8D</t>
  </si>
  <si>
    <t>LVK91A100C8D</t>
  </si>
  <si>
    <t>LVK31M398AFS</t>
  </si>
  <si>
    <t>LVK31K827001</t>
  </si>
  <si>
    <t>LVK41K825Y81</t>
  </si>
  <si>
    <t>LVK41K827001</t>
  </si>
  <si>
    <t>LVK81A100Y4Z</t>
  </si>
  <si>
    <t>LVK41M159W86</t>
  </si>
  <si>
    <t>LVK41M166W1T</t>
  </si>
  <si>
    <t>LVK91C706001</t>
  </si>
  <si>
    <t>LVK91C706023</t>
  </si>
  <si>
    <t>LVK81C706023</t>
  </si>
  <si>
    <t>LVK81C706001</t>
  </si>
  <si>
    <t>LVK41M160N8D</t>
  </si>
  <si>
    <t>LVK912058M8X</t>
  </si>
  <si>
    <t>LVK819078U9B</t>
  </si>
  <si>
    <t>LVK919078U9B</t>
  </si>
  <si>
    <t>LVK41M271L9V</t>
  </si>
  <si>
    <t>LVK912008508</t>
  </si>
  <si>
    <t>LVK812008508</t>
  </si>
  <si>
    <t>LVK91D517M0P</t>
  </si>
  <si>
    <t>LVK81D517M0P</t>
  </si>
  <si>
    <t>SS T-SHIRT LVB BATWING CHEST HIT TS LVK91A100Y4Z:PASTEL YELLOW:S:GRAPHIC:SS T-SHIRT</t>
  </si>
  <si>
    <t>SS T-SHIRT LVB BATWING CHEST HIT TS LVK91A100Y4Z:PASTEL YELLOW:M:GRAPHIC:SS T-SHIRT</t>
  </si>
  <si>
    <t>SS T-SHIRT LVB BATWING CHEST HIT TS LVK91A100Y4Z:PASTEL YELLOW:L:GRAPHIC:SS T-SHIRT</t>
  </si>
  <si>
    <t>SS T-SHIRT LVB BATWING CHEST HIT TS LVK91A100Y4Z:PASTEL YELLOW:XL:GRAPHIC:SS T-SHIRT</t>
  </si>
  <si>
    <t>SS T-SHIRT LVB BATWING CHEST HIT TS LVK81A100C8D:NAVY BLUE:4:GRAPHIC:SS T-SHIRT</t>
  </si>
  <si>
    <t>SS T-SHIRT LVB BATWING CHEST HIT TS LVK81A100C8D:NAVY BLUE:5:GRAPHIC:SS T-SHIRT</t>
  </si>
  <si>
    <t>SS T-SHIRT LVB BATWING CHEST HIT TS LVK81A100C8D:NAVY BLUE:6:GRAPHIC:SS T-SHIRT</t>
  </si>
  <si>
    <t>SS T-SHIRT LVB BATWING CHEST HIT TS LVK81A100C8D:NAVY BLUE:7:GRAPHIC:SS T-SHIRT</t>
  </si>
  <si>
    <t>SS T-SHIRT LVB BATWING CHEST HIT TS LVK91A100C8D:NAVY BLUE:S:GRAPHIC:SS T-SHIRT</t>
  </si>
  <si>
    <t>SS T-SHIRT LVB BATWING CHEST HIT TS LVK91A100C8D:NAVY BLUE:M:GRAPHIC:SS T-SHIRT</t>
  </si>
  <si>
    <t>SS T-SHIRT LVB BATWING CHEST HIT TS LVK91A100C8D:NAVY BLUE:L:GRAPHIC:SS T-SHIRT</t>
  </si>
  <si>
    <t>SS T-SHIRT LVB BATWING CHEST HIT TS LVK91A100C8D:NAVY BLUE:XL:GRAPHIC:SS T-SHIRT</t>
  </si>
  <si>
    <t>SS T-SHIRT LVG OVERSIZE EMBROIDERY FLORAL LVK31M398AFS:PASTEL PINK:4:GRAPHIC:SS T-SHIRT</t>
  </si>
  <si>
    <t>SS T-SHIRT LVG OVERSIZE EMBROIDERY FLORAL LVK31M398AFS:PASTEL PINK:5:GRAPHIC:SS T-SHIRT</t>
  </si>
  <si>
    <t>SS T-SHIRT LVG OVERSIZE EMBROIDERY FLORAL LVK31M398AFS:PASTEL PINK:6:GRAPHIC:SS T-SHIRT</t>
  </si>
  <si>
    <t>SS T-SHIRT LVG OVERSIZE EMBROIDERY FLORAL LVK31M398AFS:PASTEL PINK:6X:GRAPHIC:SS T-SHIRT</t>
  </si>
  <si>
    <t>SS T-SHIRT LVG SPORTSWEAR LOGO TEE LVK31K827001:WHITE:4:GRAPHIC:SS T-SHIRT</t>
  </si>
  <si>
    <t>SS T-SHIRT LVG SPORTSWEAR LOGO TEE LVK31K827001:WHITE:5:GRAPHIC:SS T-SHIRT</t>
  </si>
  <si>
    <t>SS T-SHIRT LVG SPORTSWEAR LOGO TEE LVK31K827001:WHITE:6:GRAPHIC:SS T-SHIRT</t>
  </si>
  <si>
    <t>SS T-SHIRT LVG SPORTSWEAR LOGO TEE LVK31K827001:WHITE:6X:GRAPHIC:SS T-SHIRT</t>
  </si>
  <si>
    <t>SS T-SHIRT LVG BATWING TEE LVK41K825Y81:PASTEL YELLOW:S:GRAPHIC:SS T-SHIRT</t>
  </si>
  <si>
    <t>SS T-SHIRT LVG BATWING TEE LVK41K825Y81:PASTEL YELLOW:M:GRAPHIC:SS T-SHIRT</t>
  </si>
  <si>
    <t>SS T-SHIRT LVG BATWING TEE LVK41K825Y81:PASTEL YELLOW:L:GRAPHIC:SS T-SHIRT</t>
  </si>
  <si>
    <t>SS T-SHIRT LVG BATWING TEE LVK41K825Y81:PASTEL YELLOW:XL:GRAPHIC:SS T-SHIRT</t>
  </si>
  <si>
    <t>SS T-SHIRT LVG SPORTSWEAR LOGO TEE LVK41K827001:WHITE:S:GRAPHIC:SS T-SHIRT</t>
  </si>
  <si>
    <t>SS T-SHIRT LVG SPORTSWEAR LOGO TEE LVK41K827001:WHITE:M:GRAPHIC:SS T-SHIRT</t>
  </si>
  <si>
    <t>SS T-SHIRT LVG SPORTSWEAR LOGO TEE LVK41K827001:WHITE:L:GRAPHIC:SS T-SHIRT</t>
  </si>
  <si>
    <t>SS T-SHIRT LVG SPORTSWEAR LOGO TEE LVK41K827001:WHITE:XL:GRAPHIC:SS T-SHIRT</t>
  </si>
  <si>
    <t>SS T-SHIRT LVB BATWING CHEST HIT TS LVK81A100Y4Z:PASTEL YELLOW:4:GRAPHIC:SS T-SHIRT</t>
  </si>
  <si>
    <t>SS T-SHIRT LVB BATWING CHEST HIT TS LVK81A100Y4Z:PASTEL YELLOW:5:GRAPHIC:SS T-SHIRT</t>
  </si>
  <si>
    <t>SS T-SHIRT LVB BATWING CHEST HIT TS LVK81A100Y4Z:PASTEL YELLOW:6:GRAPHIC:SS T-SHIRT</t>
  </si>
  <si>
    <t>SS T-SHIRT LVB BATWING CHEST HIT TS LVK81A100Y4Z:PASTEL YELLOW:7:GRAPHIC:SS T-SHIRT</t>
  </si>
  <si>
    <t>SS T-SHIRT LVG DOUBLE CUFF TEE LVK41M159W86:PASTEL YELLOW:S:GRAPHIC:SS T-SHIRT</t>
  </si>
  <si>
    <t>SS T-SHIRT LVG DOUBLE CUFF TEE LVK41M159W86:PASTEL YELLOW:M:GRAPHIC:SS T-SHIRT</t>
  </si>
  <si>
    <t>SS T-SHIRT LVG DOUBLE CUFF TEE LVK41M159W86:PASTEL YELLOW:L:GRAPHIC:SS T-SHIRT</t>
  </si>
  <si>
    <t>SS T-SHIRT LVG DOUBLE CUFF TEE LVK41M159W86:PASTEL YELLOW:XL:GRAPHIC:SS T-SHIRT</t>
  </si>
  <si>
    <t>SS T-SHIRT LVG ROLL CUFF MEET AND GREET TEE LVK41M166W1T:WHITE:S:GRAPHIC:SS T-SHIRT</t>
  </si>
  <si>
    <t>SS T-SHIRT LVG ROLL CUFF MEET AND GREET TEE LVK41M166W1T:WHITE:M:GRAPHIC:SS T-SHIRT</t>
  </si>
  <si>
    <t>SS T-SHIRT LVG ROLL CUFF MEET AND GREET TEE LVK41M166W1T:WHITE:L:GRAPHIC:SS T-SHIRT</t>
  </si>
  <si>
    <t>SS T-SHIRT LVG ROLL CUFF MEET AND GREET TEE LVK41M166W1T:WHITE:XL:GRAPHIC:SS T-SHIRT</t>
  </si>
  <si>
    <t>LS T-SHIRT LVB GRAPHIC TEE SHIRT LS LVK91C706001:WHITE:S:GRAPHIC:LS T-SHIRT</t>
  </si>
  <si>
    <t>LS T-SHIRT LVB GRAPHIC TEE SHIRT LS LVK91C706001:WHITE:M:GRAPHIC:LS T-SHIRT</t>
  </si>
  <si>
    <t>LS T-SHIRT LVB GRAPHIC TEE SHIRT LS LVK91C706001:WHITE:L:GRAPHIC:LS T-SHIRT</t>
  </si>
  <si>
    <t>LS T-SHIRT LVB GRAPHIC TEE SHIRT LS LVK91C706001:WHITE:XL:GRAPHIC:LS T-SHIRT</t>
  </si>
  <si>
    <t>LS T-SHIRT LVB GRAPHIC TEE SHIRT LS LVK91C706023:BLACK:S:GRAPHIC:LS T-SHIRT</t>
  </si>
  <si>
    <t>LS T-SHIRT LVB GRAPHIC TEE SHIRT LS LVK91C706023:BLACK:M:GRAPHIC:LS T-SHIRT</t>
  </si>
  <si>
    <t>LS T-SHIRT LVB GRAPHIC TEE SHIRT LS LVK91C706023:BLACK:L:GRAPHIC:LS T-SHIRT</t>
  </si>
  <si>
    <t>LS T-SHIRT LVB GRAPHIC TEE SHIRT LS LVK91C706023:BLACK:XL:GRAPHIC:LS T-SHIRT</t>
  </si>
  <si>
    <t>LS T-SHIRT LVB GRAPHIC TEE SHIRT LS LVK81C706023:BLACK:4:GRAPHIC:LS T-SHIRT</t>
  </si>
  <si>
    <t>LS T-SHIRT LVB GRAPHIC TEE SHIRT LS LVK81C706023:BLACK:5:GRAPHIC:LS T-SHIRT</t>
  </si>
  <si>
    <t>LS T-SHIRT LVB GRAPHIC TEE SHIRT LS LVK81C706023:BLACK:6:GRAPHIC:LS T-SHIRT</t>
  </si>
  <si>
    <t>LS T-SHIRT LVB GRAPHIC TEE SHIRT LS LVK81C706023:BLACK:7:GRAPHIC:LS T-SHIRT</t>
  </si>
  <si>
    <t>LS T-SHIRT LVB GRAPHIC TEE SHIRT LS LVK81C706001:WHITE:4:GRAPHIC:LS T-SHIRT</t>
  </si>
  <si>
    <t>LS T-SHIRT LVB GRAPHIC TEE SHIRT LS LVK81C706001:WHITE:5:GRAPHIC:LS T-SHIRT</t>
  </si>
  <si>
    <t>LS T-SHIRT LVB GRAPHIC TEE SHIRT LS LVK81C706001:WHITE:6:GRAPHIC:LS T-SHIRT</t>
  </si>
  <si>
    <t>LS T-SHIRT LVB GRAPHIC TEE SHIRT LS LVK81C706001:WHITE:7:GRAPHIC:LS T-SHIRT</t>
  </si>
  <si>
    <t>SS T-SHIRT LVG DOUBLE CUFF GRAPHIC TEE LVK41M160N8D:CLASSIC RED:S:GRAPHIC:SS T-SHIRT</t>
  </si>
  <si>
    <t>SS T-SHIRT LVG DOUBLE CUFF GRAPHIC TEE LVK41M160N8D:CLASSIC RED:M:GRAPHIC:SS T-SHIRT</t>
  </si>
  <si>
    <t>SS T-SHIRT LVG DOUBLE CUFF GRAPHIC TEE LVK41M160N8D:CLASSIC RED:L:GRAPHIC:SS T-SHIRT</t>
  </si>
  <si>
    <t>SS T-SHIRT LVG DOUBLE CUFF GRAPHIC TEE LVK41M160N8D:CLASSIC RED:XL:GRAPHIC:SS T-SHIRT</t>
  </si>
  <si>
    <t>DENIM JACKET LVB TRUCKER LVK912058M8X:MEDIUM DENIM:S:SOLID:DENIM JACKET</t>
  </si>
  <si>
    <t>DENIM JACKET LVB TRUCKER LVK912058M8X:MEDIUM DENIM:M:SOLID:DENIM JACKET</t>
  </si>
  <si>
    <t>DENIM JACKET LVB TRUCKER LVK912058M8X:MEDIUM DENIM:L:SOLID:DENIM JACKET</t>
  </si>
  <si>
    <t>DENIM JACKET LVB TRUCKER LVK912058M8X:MEDIUM DENIM:XL:SOLID:DENIM JACKET</t>
  </si>
  <si>
    <t>SWEATSHIRT LVB FRENCH TERRY BATWING PO LVK819078U9B:CLASSIC BLUE:4:GRAPHIC:SWEATSHIRT</t>
  </si>
  <si>
    <t>SWEATSHIRT LVB FRENCH TERRY BATWING PO LVK819078U9B:CLASSIC BLUE:5:GRAPHIC:SWEATSHIRT</t>
  </si>
  <si>
    <t>SWEATSHIRT LVB FRENCH TERRY BATWING PO LVK819078U9B:CLASSIC BLUE:6:GRAPHIC:SWEATSHIRT</t>
  </si>
  <si>
    <t>SWEATSHIRT LVB FRENCH TERRY BATWING PO LVK819078U9B:CLASSIC BLUE:7:GRAPHIC:SWEATSHIRT</t>
  </si>
  <si>
    <t>SWEATSHIRT LVB FRENCH TERRY BATWING PO LVK919078U9B:CLASSIC BLUE:S:GRAPHIC:SWEATSHIRT</t>
  </si>
  <si>
    <t>SWEATSHIRT LVB FRENCH TERRY BATWING PO LVK919078U9B:CLASSIC BLUE:M:GRAPHIC:SWEATSHIRT</t>
  </si>
  <si>
    <t>SWEATSHIRT LVB FRENCH TERRY BATWING PO LVK919078U9B:CLASSIC BLUE:L:GRAPHIC:SWEATSHIRT</t>
  </si>
  <si>
    <t>SWEATSHIRT LVB FRENCH TERRY BATWING PO LVK919078U9B:CLASSIC BLUE:XL:GRAPHIC:SWEATSHIRT</t>
  </si>
  <si>
    <t>DENIM SKIRT LVG MASH UP LVK41M271L9V:LIGHT DENIM:7:GRAPHIC:DENIM SKIRT</t>
  </si>
  <si>
    <t>DENIM SKIRT LVG MASH UP LVK41M271L9V:LIGHT DENIM:8:GRAPHIC:DENIM SKIRT</t>
  </si>
  <si>
    <t>DENIM SKIRT LVG MASH UP LVK41M271L9V:LIGHT DENIM:10:GRAPHIC:DENIM SKIRT</t>
  </si>
  <si>
    <t>DENIM SKIRT LVG MASH UP LVK41M271L9V:LIGHT DENIM:12:GRAPHIC:DENIM SKIRT</t>
  </si>
  <si>
    <t>DENIM SKIRT LVG MASH UP LVK41M271L9V:LIGHT DENIM:14:GRAPHIC:DENIM SKIRT</t>
  </si>
  <si>
    <t>DENIM SKIRT LVG MASH UP LVK41M271L9V:LIGHT DENIM:16:GRAPHIC:DENIM SKIRT</t>
  </si>
  <si>
    <t>DENIM LONG PANTS LVB 510 STRETCH JEANS LVK912008508:BLACK:8:SOLID:DENIM LONG PANTS</t>
  </si>
  <si>
    <t>DENIM LONG PANTS LVB 510 STRETCH JEANS LVK912008508:BLACK:10:SOLID:DENIM LONG PANTS</t>
  </si>
  <si>
    <t>DENIM LONG PANTS LVB 510 STRETCH JEANS LVK912008508:BLACK:12:SOLID:DENIM LONG PANTS</t>
  </si>
  <si>
    <t>DENIM LONG PANTS LVB 510 STRETCH JEANS LVK912008508:BLACK:14:SOLID:DENIM LONG PANTS</t>
  </si>
  <si>
    <t>DENIM LONG PANTS LVB 510 STRETCH JEANS LVK912008508:BLACK:16:SOLID:DENIM LONG PANTS</t>
  </si>
  <si>
    <t>DENIM LONG PANTS LVB 510 STRETCH JEANS LVK912008508:BLACK:18:SOLID:DENIM LONG PANTS</t>
  </si>
  <si>
    <t>DENIM LONG PANTS LVB 510 STRETCH JEANS LVK912008508:BLACK:20:SOLID:DENIM LONG PANTS</t>
  </si>
  <si>
    <t>DENIM LONG PANTS LVB 510 STRETCH JEANS LVK812008508:BLACK:4:SOLID:DENIM LONG PANTS</t>
  </si>
  <si>
    <t>DENIM LONG PANTS LVB 510 STRETCH JEANS LVK812008508:BLACK:5:SOLID:DENIM LONG PANTS</t>
  </si>
  <si>
    <t>DENIM LONG PANTS LVB 510 STRETCH JEANS LVK812008508:BLACK:6:SOLID:DENIM LONG PANTS</t>
  </si>
  <si>
    <t>DENIM LONG PANTS LVB 510 STRETCH JEANS LVK812008508:BLACK:7:SOLID:DENIM LONG PANTS</t>
  </si>
  <si>
    <t>DENIM LONG PANTS LVB 510 STRETCH JEANS LVK812008508:BLACK:7X:SOLID:DENIM LONG PANTS</t>
  </si>
  <si>
    <t>DENIM LONG PANTS LVB SINNY TAPER JEANS LVK91D517M0P:LIGHT DENIM:8:SOLID:DENIM LONG PANTS</t>
  </si>
  <si>
    <t>DENIM LONG PANTS LVB SINNY TAPER JEANS LVK91D517M0P:LIGHT DENIM:10:SOLID:DENIM LONG PANTS</t>
  </si>
  <si>
    <t>DENIM LONG PANTS LVB SINNY TAPER JEANS LVK91D517M0P:LIGHT DENIM:12:SOLID:DENIM LONG PANTS</t>
  </si>
  <si>
    <t>DENIM LONG PANTS LVB SINNY TAPER JEANS LVK91D517M0P:LIGHT DENIM:14:SOLID:DENIM LONG PANTS</t>
  </si>
  <si>
    <t>DENIM LONG PANTS LVB SINNY TAPER JEANS LVK91D517M0P:LIGHT DENIM:16:SOLID:DENIM LONG PANTS</t>
  </si>
  <si>
    <t>DENIM LONG PANTS LVB SINNY TAPER JEANS LVK91D517M0P:LIGHT DENIM:18:SOLID:DENIM LONG PANTS</t>
  </si>
  <si>
    <t>DENIM LONG PANTS LVB SINNY TAPER JEANS LVK91D517M0P:LIGHT DENIM:20:SOLID:DENIM LONG PANTS</t>
  </si>
  <si>
    <t>DENIM LONG PANTS LVB SINNY TAPER JEANS LVK81D517M0P:LIGHT DENIM:4:SOLID:DENIM LONG PANTS</t>
  </si>
  <si>
    <t>DENIM LONG PANTS LVB SINNY TAPER JEANS LVK81D517M0P:LIGHT DENIM:5:SOLID:DENIM LONG PANTS</t>
  </si>
  <si>
    <t>DENIM LONG PANTS LVB SINNY TAPER JEANS LVK81D517M0P:LIGHT DENIM:6:SOLID:DENIM LONG PANTS</t>
  </si>
  <si>
    <t>DENIM LONG PANTS LVB SINNY TAPER JEANS LVK81D517M0P:LIGHT DENIM:7:SOLID:DENIM LONG PANTS</t>
  </si>
  <si>
    <t>DENIM LONG PANTS LVB SINNY TAPER JEANS LVK81D517M0P:LIGHT DENIM:7X:SOLID:DENIM LONG PANTS</t>
  </si>
  <si>
    <t>NORMAL PRICE</t>
  </si>
  <si>
    <t>AMOUNT</t>
  </si>
  <si>
    <t>DENIM LONG PANTS LVB 511 STRETCH LVK912006D5R:MEDIUM DENIM:8:SOLID:DENIM LONG PANTS</t>
  </si>
  <si>
    <t>DENIM LONG PANTS LVB 511 STRETCH LVK912006D5R:MEDIUM DENIM:10:SOLID:DENIM LONG PANTS</t>
  </si>
  <si>
    <t>DENIM LONG PANTS LVB 511 STRETCH LVK912006D5R:MEDIUM DENIM:12:SOLID:DENIM LONG PANTS</t>
  </si>
  <si>
    <t>DENIM LONG PANTS LVB 511 STRETCH LVK912006D5R:MEDIUM DENIM:14:SOLID:DENIM LONG PANTS</t>
  </si>
  <si>
    <t>DENIM LONG PANTS LVB 511 STRETCH LVK912006D5R:MEDIUM DENIM:16:SOLID:DENIM LONG PANTS</t>
  </si>
  <si>
    <t>DENIM LONG PANTS LVB 511 STRETCH LVK912006D5R:MEDIUM DENIM:18:SOLID:DENIM LONG PANTS</t>
  </si>
  <si>
    <t>DENIM LONG PANTS LVB 511 STRETCH LVK912006D5R:MEDIUM DENIM:20:SOLID:DENIM LONG PANTS</t>
  </si>
  <si>
    <t>DENIM LONG PANTS LVB 511 STRETCH LVK812006M8N:MEDIUM DENIM:4:SOLID:DENIM LONG PANTS</t>
  </si>
  <si>
    <t>DENIM LONG PANTS LVB 511 STRETCH LVK812006M8N:MEDIUM DENIM:5:SOLID:DENIM LONG PANTS</t>
  </si>
  <si>
    <t>DENIM LONG PANTS LVB 511 STRETCH LVK812006M8N:MEDIUM DENIM:6:SOLID:DENIM LONG PANTS</t>
  </si>
  <si>
    <t>DENIM LONG PANTS LVB 511 STRETCH LVK812006M8N:MEDIUM DENIM:7:SOLID:DENIM LONG PANTS</t>
  </si>
  <si>
    <t>DENIM LONG PANTS LVB 511 STRETCH LVK812006M8N:MEDIUM DENIM:7X:SOLID:DENIM LONG PANTS</t>
  </si>
  <si>
    <t>CAPS LVK RICHMOND BATWING CURVE BRIM LVK9A8615AFS:PASTEL PINK:F:EMBRO:CAPS</t>
  </si>
  <si>
    <t>CAPS LVK RICHMOND BATWING CURVE BRIM LVK9A8615023:BLACK:F:EMBRO:CAPS</t>
  </si>
  <si>
    <t>LVK912006D5R</t>
  </si>
  <si>
    <t>LVK812006M8N</t>
  </si>
  <si>
    <t>LVK9A8615AFS</t>
  </si>
  <si>
    <t>LVK9A8615023</t>
  </si>
  <si>
    <t>LEVIS</t>
  </si>
  <si>
    <t>LVK81M304X4S</t>
  </si>
  <si>
    <t>LVK91M304X4S</t>
  </si>
  <si>
    <t>LVK81M295W1T</t>
  </si>
  <si>
    <t>LVK91M295W1T</t>
  </si>
  <si>
    <t>LVK81M650W1T</t>
  </si>
  <si>
    <t>LVK91M650W1T</t>
  </si>
  <si>
    <t>LVK41M638AJF</t>
  </si>
  <si>
    <t>LVK31M638AJF</t>
  </si>
  <si>
    <t>SS T-SHIRT LVB BIG BURGER TEE LVK81M304X4S:VANILLA:4:GRAPHIC:SS T-SHIRT</t>
  </si>
  <si>
    <t>SS T-SHIRT LVB BIG BURGER TEE LVK81M304X4S:VANILLA:5:GRAPHIC:SS T-SHIRT</t>
  </si>
  <si>
    <t>SS T-SHIRT LVB BIG BURGER TEE LVK81M304X4S:VANILLA:6:GRAPHIC:SS T-SHIRT</t>
  </si>
  <si>
    <t>SS T-SHIRT LVB BIG BURGER TEE LVK81M304X4S:VANILLA:7:GRAPHIC:SS T-SHIRT</t>
  </si>
  <si>
    <t>SS T-SHIRT LVB BIG BURGER TEE LVK91M304X4S:VANILLA:S:GRAPHIC:SS T-SHIRT</t>
  </si>
  <si>
    <t>SS T-SHIRT LVB BIG BURGER TEE LVK91M304X4S:VANILLA:M:GRAPHIC:SS T-SHIRT</t>
  </si>
  <si>
    <t>SS T-SHIRT LVB BIG BURGER TEE LVK91M304X4S:VANILLA:L:GRAPHIC:SS T-SHIRT</t>
  </si>
  <si>
    <t>SS T-SHIRT LVB BIG BURGER TEE LVK91M304X4S:VANILLA:XL:GRAPHIC:SS T-SHIRT</t>
  </si>
  <si>
    <t>SS T-SHIRT LVB GOLDEN GLOW BATWING TEE LVK81M295W1T:WHITE:4:GRAPHIC:SS T-SHIRT</t>
  </si>
  <si>
    <t>SS T-SHIRT LVB GOLDEN GLOW BATWING TEE LVK81M295W1T:WHITE:5:GRAPHIC:SS T-SHIRT</t>
  </si>
  <si>
    <t>SS T-SHIRT LVB GOLDEN GLOW BATWING TEE LVK81M295W1T:WHITE:6:GRAPHIC:SS T-SHIRT</t>
  </si>
  <si>
    <t>SS T-SHIRT LVB GOLDEN GLOW BATWING TEE LVK81M295W1T:WHITE:7:GRAPHIC:SS T-SHIRT</t>
  </si>
  <si>
    <t>SS T-SHIRT LVB GOLDEN GLOW BATWING TEE LVK91M295W1T:WHITE:S:GRAPHIC:SS T-SHIRT</t>
  </si>
  <si>
    <t>SS T-SHIRT LVB GOLDEN GLOW BATWING TEE LVK91M295W1T:WHITE:M:GRAPHIC:SS T-SHIRT</t>
  </si>
  <si>
    <t>SS T-SHIRT LVB GOLDEN GLOW BATWING TEE LVK91M295W1T:WHITE:L:GRAPHIC:SS T-SHIRT</t>
  </si>
  <si>
    <t>SS T-SHIRT LVB GOLDEN GLOW BATWING TEE LVK91M295W1T:WHITE:XL:GRAPHIC:SS T-SHIRT</t>
  </si>
  <si>
    <t>SS T-SHIRT LVB CRASHING WAVES BATWING TEE LVK81M650W1T:WHITE:4:GRAPHIC:SS T-SHIRT</t>
  </si>
  <si>
    <t>SS T-SHIRT LVB CRASHING WAVES BATWING TEE LVK81M650W1T:WHITE:5:GRAPHIC:SS T-SHIRT</t>
  </si>
  <si>
    <t>SS T-SHIRT LVB CRASHING WAVES BATWING TEE LVK81M650W1T:WHITE:6:GRAPHIC:SS T-SHIRT</t>
  </si>
  <si>
    <t>SS T-SHIRT LVB CRASHING WAVES BATWING TEE LVK81M650W1T:WHITE:7:GRAPHIC:SS T-SHIRT</t>
  </si>
  <si>
    <t>SS T-SHIRT LVB CRASHING WAVES BATWING TEE LVK91M650W1T:WHITE:S:GRAPHIC:SS T-SHIRT</t>
  </si>
  <si>
    <t>SS T-SHIRT LVB CRASHING WAVES BATWING TEE LVK91M650W1T:WHITE:M:GRAPHIC:SS T-SHIRT</t>
  </si>
  <si>
    <t>SS T-SHIRT LVB CRASHING WAVES BATWING TEE LVK91M650W1T:WHITE:L:GRAPHIC:SS T-SHIRT</t>
  </si>
  <si>
    <t>SS T-SHIRT LVB CRASHING WAVES BATWING TEE LVK91M650W1T:WHITE:XL:GRAPHIC:SS T-SHIRT</t>
  </si>
  <si>
    <t>SS T-SHIRT LVG HOT AIR BALLOON BATWING TE LVK41M638AJF:PASTEL PINK:S:GRAPHIC:SS T-SHIRT</t>
  </si>
  <si>
    <t>SS T-SHIRT LVG HOT AIR BALLOON BATWING TE LVK41M638AJF:PASTEL PINK:M:GRAPHIC:SS T-SHIRT</t>
  </si>
  <si>
    <t>SS T-SHIRT LVG HOT AIR BALLOON BATWING TE LVK41M638AJF:PASTEL PINK:L:GRAPHIC:SS T-SHIRT</t>
  </si>
  <si>
    <t>SS T-SHIRT LVG HOT AIR BALLOON BATWING TE LVK41M638AJF:PASTEL PINK:XL:GRAPHIC:SS T-SHIRT</t>
  </si>
  <si>
    <t>SS T-SHIRT LVG HOT AIR BALLOON BATWING TE LVK31M638AJF:PASTEL PINK:4:GRAPHIC:SS T-SHIRT</t>
  </si>
  <si>
    <t>SS T-SHIRT LVG HOT AIR BALLOON BATWING TE LVK31M638AJF:PASTEL PINK:5:GRAPHIC:SS T-SHIRT</t>
  </si>
  <si>
    <t>SS T-SHIRT LVG HOT AIR BALLOON BATWING TE LVK31M638AJF:PASTEL PINK:6:GRAPHIC:SS T-SHIRT</t>
  </si>
  <si>
    <t>SS T-SHIRT LVG HOT AIR BALLOON BATWING TE LVK31M638AJF:PASTEL PINK:6X:GRAPHIC:SS T-SHIRT</t>
  </si>
  <si>
    <t>JAN 2026 NORMAL PRICE</t>
  </si>
  <si>
    <t>LVK918157FAF</t>
  </si>
  <si>
    <t>LVK818157UF6</t>
  </si>
  <si>
    <t>LVK918157UF6</t>
  </si>
  <si>
    <t>LVK818157FAF</t>
  </si>
  <si>
    <t>LVK31K825GB5</t>
  </si>
  <si>
    <t>LVK41K825GB5</t>
  </si>
  <si>
    <t>LVK31K826AKR</t>
  </si>
  <si>
    <t>LVK41K826AKR</t>
  </si>
  <si>
    <t>LVK41P571R1L</t>
  </si>
  <si>
    <t>LVK91E910UF6</t>
  </si>
  <si>
    <t>LVK81E910UF6</t>
  </si>
  <si>
    <t>SS T-SHIRT LVB BATWING TEE LVK918157FAF:PASTEL GREEN:S:GRAPHIC:SS T-SHIRT</t>
  </si>
  <si>
    <t>SS T-SHIRT LVB BATWING TEE LVK918157FAF:PASTEL GREEN:M:GRAPHIC:SS T-SHIRT</t>
  </si>
  <si>
    <t>SS T-SHIRT LVB BATWING TEE LVK918157FAF:PASTEL GREEN:L:GRAPHIC:SS T-SHIRT</t>
  </si>
  <si>
    <t>SS T-SHIRT LVB BATWING TEE LVK918157FAF:PASTEL GREEN:XL:GRAPHIC:SS T-SHIRT</t>
  </si>
  <si>
    <t>SS T-SHIRT LVB BATWING TEE LVK818157UF6:PASTEL BLUE:4:GRAPHIC:SS T-SHIRT</t>
  </si>
  <si>
    <t>SS T-SHIRT LVB BATWING TEE LVK818157UF6:PASTEL BLUE:5:GRAPHIC:SS T-SHIRT</t>
  </si>
  <si>
    <t>SS T-SHIRT LVB BATWING TEE LVK818157UF6:PASTEL BLUE:6:GRAPHIC:SS T-SHIRT</t>
  </si>
  <si>
    <t>SS T-SHIRT LVB BATWING TEE LVK818157UF6:PASTEL BLUE:7:GRAPHIC:SS T-SHIRT</t>
  </si>
  <si>
    <t>SS T-SHIRT LVB BATWING TEE LVK918157UF6:PASTEL BLUE:S:GRAPHIC:SS T-SHIRT</t>
  </si>
  <si>
    <t>SS T-SHIRT LVB BATWING TEE LVK918157UF6:PASTEL BLUE:M:GRAPHIC:SS T-SHIRT</t>
  </si>
  <si>
    <t>SS T-SHIRT LVB BATWING TEE LVK918157UF6:PASTEL BLUE:L:GRAPHIC:SS T-SHIRT</t>
  </si>
  <si>
    <t>SS T-SHIRT LVB BATWING TEE LVK918157UF6:PASTEL BLUE:XL:GRAPHIC:SS T-SHIRT</t>
  </si>
  <si>
    <t>SS T-SHIRT LVB BATWING TEE LVK818157FAF:PASTEL GREEN:4:GRAPHIC:SS T-SHIRT</t>
  </si>
  <si>
    <t>SS T-SHIRT LVB BATWING TEE LVK818157FAF:PASTEL GREEN:5:GRAPHIC:SS T-SHIRT</t>
  </si>
  <si>
    <t>SS T-SHIRT LVB BATWING TEE LVK818157FAF:PASTEL GREEN:6:GRAPHIC:SS T-SHIRT</t>
  </si>
  <si>
    <t>SS T-SHIRT LVB BATWING TEE LVK818157FAF:PASTEL GREEN:7:GRAPHIC:SS T-SHIRT</t>
  </si>
  <si>
    <t>SS T-SHIRT LVG BATWING TEE LVK31K825GB5:PASTEL GREEN:4:GRAPHIC:SS T-SHIRT</t>
  </si>
  <si>
    <t>SS T-SHIRT LVG BATWING TEE LVK31K825GB5:PASTEL GREEN:5:GRAPHIC:SS T-SHIRT</t>
  </si>
  <si>
    <t>SS T-SHIRT LVG BATWING TEE LVK31K825GB5:PASTEL GREEN:6:GRAPHIC:SS T-SHIRT</t>
  </si>
  <si>
    <t>SS T-SHIRT LVG BATWING TEE LVK31K825GB5:PASTEL GREEN:6X:GRAPHIC:SS T-SHIRT</t>
  </si>
  <si>
    <t>SS T-SHIRT LVG BATWING TEE LVK41K825GB5:PASTEL GREEN:S:GRAPHIC:SS T-SHIRT</t>
  </si>
  <si>
    <t>SS T-SHIRT LVG BATWING TEE LVK41K825GB5:PASTEL GREEN:M:GRAPHIC:SS T-SHIRT</t>
  </si>
  <si>
    <t>SS T-SHIRT LVG BATWING TEE LVK41K825GB5:PASTEL GREEN:L:GRAPHIC:SS T-SHIRT</t>
  </si>
  <si>
    <t>SS T-SHIRT LVG BATWING TEE LVK41K825GB5:PASTEL GREEN:XL:GRAPHIC:SS T-SHIRT</t>
  </si>
  <si>
    <t>SS T-SHIRT LVK BATWING CHEST HIT TEE LVK31K826AKR:PASTEL PINK:4:EMBRO:SS T-SHIRT</t>
  </si>
  <si>
    <t>SS T-SHIRT LVK BATWING CHEST HIT TEE LVK31K826AKR:PASTEL PINK:5:EMBRO:SS T-SHIRT</t>
  </si>
  <si>
    <t>SS T-SHIRT LVK BATWING CHEST HIT TEE LVK31K826AKR:PASTEL PINK:6:EMBRO:SS T-SHIRT</t>
  </si>
  <si>
    <t>SS T-SHIRT LVK BATWING CHEST HIT TEE LVK31K826AKR:PASTEL PINK:6X:EMBRO:SS T-SHIRT</t>
  </si>
  <si>
    <t>SS T-SHIRT LVK BATWING CHEST HIT TEE LVK41K826AKR:PASTEL PINK:S:EMBRO:SS T-SHIRT</t>
  </si>
  <si>
    <t>SS T-SHIRT LVK BATWING CHEST HIT TEE LVK41K826AKR:PASTEL PINK:M:EMBRO:SS T-SHIRT</t>
  </si>
  <si>
    <t>SS T-SHIRT LVK BATWING CHEST HIT TEE LVK41K826AKR:PASTEL PINK:L:EMBRO:SS T-SHIRT</t>
  </si>
  <si>
    <t>SS T-SHIRT LVK BATWING CHEST HIT TEE LVK41K826AKR:PASTEL PINK:XL:EMBRO:SS T-SHIRT</t>
  </si>
  <si>
    <t>SS T-SHIRT LVG LEVIS CHAMBRAY APPLIQUE TO LVK41P571R1L:PINK CORAL:S:GRAPHIC:SS T-SHIRT</t>
  </si>
  <si>
    <t>SS T-SHIRT LVG LEVIS CHAMBRAY APPLIQUE TO LVK41P571R1L:PINK CORAL:M:GRAPHIC:SS T-SHIRT</t>
  </si>
  <si>
    <t>SS T-SHIRT LVG LEVIS CHAMBRAY APPLIQUE TO LVK41P571R1L:PINK CORAL:L:GRAPHIC:SS T-SHIRT</t>
  </si>
  <si>
    <t>SS T-SHIRT LVG LEVIS CHAMBRAY APPLIQUE TO LVK41P571R1L:PINK CORAL:XL:GRAPHIC:SS T-SHIRT</t>
  </si>
  <si>
    <t>SWEATSHIRT FRENCH TERRY BATWING PULLOVER LVK91E910UF6:PASTEL BLUE:S:GRAPHIC:SWEATSHIRT</t>
  </si>
  <si>
    <t>SWEATSHIRT FRENCH TERRY BATWING PULLOVER LVK91E910UF6:PASTEL BLUE:M:GRAPHIC:SWEATSHIRT</t>
  </si>
  <si>
    <t>SWEATSHIRT FRENCH TERRY BATWING PULLOVER LVK91E910UF6:PASTEL BLUE:L:GRAPHIC:SWEATSHIRT</t>
  </si>
  <si>
    <t>SWEATSHIRT FRENCH TERRY BATWING PULLOVER LVK91E910UF6:PASTEL BLUE:XL:GRAPHIC:SWEATSHIRT</t>
  </si>
  <si>
    <t>SWEATSHIRT FRENCH TERRY BATWING PULLOVER LVK81E910UF6:PASTEL BLUE:4:GRAPHIC:SWEATSHIRT</t>
  </si>
  <si>
    <t>SWEATSHIRT FRENCH TERRY BATWING PULLOVER LVK81E910UF6:PASTEL BLUE:5:GRAPHIC:SWEATSHIRT</t>
  </si>
  <si>
    <t>SWEATSHIRT FRENCH TERRY BATWING PULLOVER LVK81E910UF6:PASTEL BLUE:6:GRAPHIC:SWEATSHIRT</t>
  </si>
  <si>
    <t>SWEATSHIRT FRENCH TERRY BATWING PULLOVER LVK81E910UF6:PASTEL BLUE:7:GRAPHIC:SWEATSHIRT</t>
  </si>
  <si>
    <t>FEB 2025 D50</t>
  </si>
  <si>
    <t>PERCENTAGE</t>
  </si>
  <si>
    <t>MEI JUN 2025 D50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</si>
</sst>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yyyy\-mm\-dd;@"/>
    <numFmt numFmtId="165" formatCode="_(* #,##0_);_(* \(#,##0\);_(* &quot;-&quot;??_);_(@_)"/>
  </numFmts>
  <fonts count="6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name val="Aptos Narrow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25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164" fontId="2" fillId="2" borderId="1" xfId="0" applyNumberFormat="1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3" fontId="2" fillId="2" borderId="1" xfId="0" applyNumberFormat="1" applyFont="1" applyFill="1" applyBorder="1" applyAlignment="1">
      <alignment horizontal="center" vertical="center"/>
    </xf>
    <xf numFmtId="3" fontId="2" fillId="2" borderId="1" xfId="1" applyNumberFormat="1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3" fontId="0" fillId="0" borderId="1" xfId="0" applyNumberFormat="1" applyBorder="1" applyAlignment="1">
      <alignment horizontal="center" vertical="center"/>
    </xf>
    <xf numFmtId="9" fontId="3" fillId="0" borderId="1" xfId="1" applyFont="1" applyBorder="1" applyAlignment="1">
      <alignment horizontal="center" vertical="center"/>
    </xf>
    <xf numFmtId="0" fontId="3" fillId="0" borderId="1" xfId="1" applyNumberFormat="1" applyFont="1" applyBorder="1" applyAlignment="1">
      <alignment horizontal="center" vertical="center"/>
    </xf>
    <xf numFmtId="0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/>
    </xf>
    <xf numFmtId="9" fontId="3" fillId="0" borderId="1" xfId="1" applyNumberFormat="1" applyFont="1" applyBorder="1" applyAlignment="1">
      <alignment horizontal="center" vertical="center"/>
    </xf>
    <xf numFmtId="9" fontId="0" fillId="0" borderId="1" xfId="1" applyFont="1" applyBorder="1" applyAlignment="1">
      <alignment horizontal="center" vertical="center"/>
    </xf>
    <xf numFmtId="165" fontId="2" fillId="2" borderId="1" xfId="2" applyNumberFormat="1" applyFont="1" applyFill="1" applyBorder="1" applyAlignment="1">
      <alignment horizontal="center" vertical="center"/>
    </xf>
    <xf numFmtId="165" fontId="0" fillId="0" borderId="0" xfId="2" applyNumberFormat="1" applyFont="1" applyAlignment="1">
      <alignment horizontal="center" vertical="center"/>
    </xf>
    <xf numFmtId="0" fontId="0" fillId="0" borderId="1" xfId="0" applyBorder="1" applyAlignment="1">
      <alignment horizontal="left"/>
    </xf>
    <xf numFmtId="3" fontId="0" fillId="0" borderId="1" xfId="0" applyNumberFormat="1" applyBorder="1" applyAlignment="1">
      <alignment horizontal="left"/>
    </xf>
    <xf numFmtId="0" fontId="0" fillId="0" borderId="1" xfId="0" applyBorder="1"/>
    <xf numFmtId="0" fontId="0" fillId="0" borderId="0" xfId="0" applyAlignment="1">
      <alignment horizontal="center"/>
    </xf>
    <xf numFmtId="165" fontId="3" fillId="0" borderId="1" xfId="2" applyNumberFormat="1" applyFont="1" applyBorder="1" applyAlignment="1">
      <alignment vertical="center"/>
    </xf>
    <xf numFmtId="3" fontId="2" fillId="2" borderId="1" xfId="0" applyNumberFormat="1" applyFont="1" applyFill="1" applyBorder="1" applyAlignment="1">
      <alignment vertical="center"/>
    </xf>
    <xf numFmtId="0" fontId="0" fillId="0" borderId="0" xfId="0" applyAlignment="1">
      <alignment vertical="center"/>
    </xf>
  </cellXfs>
  <cellStyles count="3">
    <cellStyle name="Comma" xfId="2" builtinId="3"/>
    <cellStyle name="Normal" xfId="0" builtinId="0"/>
    <cellStyle name="Percent" xfId="1" builtinId="5"/>
  </cellStyles>
  <dxfs count="11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BB848C-9096-40D6-BD0E-8F7E71BD58FA}">
  <dimension ref="A1:P103"/>
  <sheetViews>
    <sheetView zoomScale="85" zoomScaleNormal="85" workbookViewId="0">
      <selection activeCell="C3" sqref="C3"/>
    </sheetView>
  </sheetViews>
  <sheetFormatPr defaultRowHeight="15" x14ac:dyDescent="0.25"/>
  <cols>
    <col min="1" max="1" width="32.28515625" customWidth="1"/>
    <col min="2" max="3" width="12" customWidth="1"/>
    <col min="4" max="4" width="10.28515625" bestFit="1" customWidth="1"/>
    <col min="5" max="5" width="7.140625" bestFit="1" customWidth="1"/>
    <col min="6" max="6" width="8.42578125" bestFit="1" customWidth="1"/>
    <col min="7" max="7" width="6.28515625" bestFit="1" customWidth="1"/>
    <col min="8" max="8" width="9" bestFit="1" customWidth="1"/>
    <col min="9" max="9" width="11.28515625" bestFit="1" customWidth="1"/>
    <col min="10" max="10" width="9.5703125" bestFit="1" customWidth="1"/>
    <col min="11" max="11" width="14" bestFit="1" customWidth="1"/>
    <col min="12" max="12" width="91.28515625" bestFit="1" customWidth="1"/>
    <col min="13" max="13" width="14.28515625" bestFit="1" customWidth="1"/>
    <col min="14" max="14" width="7.7109375" bestFit="1" customWidth="1"/>
    <col min="15" max="15" width="17.7109375" style="17" bestFit="1" customWidth="1"/>
    <col min="16" max="16" width="14.5703125" bestFit="1" customWidth="1"/>
  </cols>
  <sheetData>
    <row r="1" spans="1:16" s="6" customFormat="1" ht="30.75" customHeight="1" x14ac:dyDescent="0.25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4" t="s">
        <v>12</v>
      </c>
      <c r="N1" s="5" t="s">
        <v>13</v>
      </c>
      <c r="O1" s="16" t="s">
        <v>14</v>
      </c>
      <c r="P1" s="1" t="s">
        <v>15</v>
      </c>
    </row>
    <row r="2" spans="1:16" s="6" customFormat="1" x14ac:dyDescent="0.25">
      <c r="A2" s="7" t="s">
        <v>258</v>
      </c>
      <c r="B2" s="8">
        <v>46114</v>
      </c>
      <c r="C2" s="8">
        <v>46120</v>
      </c>
      <c r="D2" s="7">
        <v>3320</v>
      </c>
      <c r="E2" s="7">
        <v>336</v>
      </c>
      <c r="F2" s="7">
        <v>4</v>
      </c>
      <c r="G2" s="7">
        <v>1</v>
      </c>
      <c r="H2" s="7">
        <v>81755</v>
      </c>
      <c r="I2" s="7" t="s">
        <v>161</v>
      </c>
      <c r="J2" s="7">
        <v>52452792</v>
      </c>
      <c r="K2" s="7" t="s">
        <v>16</v>
      </c>
      <c r="L2" s="7" t="s">
        <v>39</v>
      </c>
      <c r="M2" s="9">
        <v>259000</v>
      </c>
      <c r="N2" s="15">
        <v>0.5</v>
      </c>
      <c r="O2" s="9">
        <f>M2*N2</f>
        <v>129500</v>
      </c>
      <c r="P2" s="7" t="s">
        <v>259</v>
      </c>
    </row>
    <row r="3" spans="1:16" x14ac:dyDescent="0.25">
      <c r="A3" s="7" t="str">
        <f>A2</f>
        <v>FEB 2025 D50</v>
      </c>
      <c r="B3" s="8">
        <f>B2</f>
        <v>46114</v>
      </c>
      <c r="C3" s="8">
        <f>C2</f>
        <v>46120</v>
      </c>
      <c r="D3" s="12">
        <f>D2</f>
        <v>3320</v>
      </c>
      <c r="E3" s="12">
        <f t="shared" ref="E3:F3" si="0">E2</f>
        <v>336</v>
      </c>
      <c r="F3" s="12">
        <f t="shared" si="0"/>
        <v>4</v>
      </c>
      <c r="G3" s="7">
        <v>1</v>
      </c>
      <c r="H3" s="7">
        <v>81755</v>
      </c>
      <c r="I3" s="7" t="str">
        <f>I2</f>
        <v>LEVIS</v>
      </c>
      <c r="J3" s="7">
        <v>52452809</v>
      </c>
      <c r="K3" s="7" t="s">
        <v>16</v>
      </c>
      <c r="L3" s="7" t="s">
        <v>40</v>
      </c>
      <c r="M3" s="7">
        <v>259000</v>
      </c>
      <c r="N3" s="15">
        <f>N2</f>
        <v>0.5</v>
      </c>
      <c r="O3" s="9">
        <f t="shared" ref="O3:O66" si="1">M3*N3</f>
        <v>129500</v>
      </c>
      <c r="P3" s="14" t="str">
        <f>P2</f>
        <v>PERCENTAGE</v>
      </c>
    </row>
    <row r="4" spans="1:16" x14ac:dyDescent="0.25">
      <c r="A4" s="7" t="str">
        <f t="shared" ref="A4:C67" si="2">A3</f>
        <v>FEB 2025 D50</v>
      </c>
      <c r="B4" s="8">
        <f t="shared" si="2"/>
        <v>46114</v>
      </c>
      <c r="C4" s="8">
        <f t="shared" si="2"/>
        <v>46120</v>
      </c>
      <c r="D4" s="12">
        <f t="shared" ref="D4:D67" si="3">D3</f>
        <v>3320</v>
      </c>
      <c r="E4" s="12">
        <f t="shared" ref="E4:E67" si="4">E3</f>
        <v>336</v>
      </c>
      <c r="F4" s="12">
        <f t="shared" ref="F4:F67" si="5">F3</f>
        <v>4</v>
      </c>
      <c r="G4" s="7">
        <v>1</v>
      </c>
      <c r="H4" s="7">
        <v>81755</v>
      </c>
      <c r="I4" s="7" t="str">
        <f t="shared" ref="I4:I67" si="6">I3</f>
        <v>LEVIS</v>
      </c>
      <c r="J4" s="7">
        <v>52452818</v>
      </c>
      <c r="K4" s="7" t="s">
        <v>16</v>
      </c>
      <c r="L4" s="7" t="s">
        <v>41</v>
      </c>
      <c r="M4" s="7">
        <v>259000</v>
      </c>
      <c r="N4" s="15">
        <f t="shared" ref="N4:N67" si="7">N3</f>
        <v>0.5</v>
      </c>
      <c r="O4" s="9">
        <f t="shared" si="1"/>
        <v>129500</v>
      </c>
      <c r="P4" s="14" t="str">
        <f t="shared" ref="P4:P67" si="8">P3</f>
        <v>PERCENTAGE</v>
      </c>
    </row>
    <row r="5" spans="1:16" x14ac:dyDescent="0.25">
      <c r="A5" s="7" t="str">
        <f t="shared" si="2"/>
        <v>FEB 2025 D50</v>
      </c>
      <c r="B5" s="8">
        <f t="shared" si="2"/>
        <v>46114</v>
      </c>
      <c r="C5" s="8">
        <f t="shared" si="2"/>
        <v>46120</v>
      </c>
      <c r="D5" s="12">
        <f t="shared" si="3"/>
        <v>3320</v>
      </c>
      <c r="E5" s="12">
        <f t="shared" si="4"/>
        <v>336</v>
      </c>
      <c r="F5" s="12">
        <f t="shared" si="5"/>
        <v>4</v>
      </c>
      <c r="G5" s="7">
        <v>1</v>
      </c>
      <c r="H5" s="7">
        <v>81755</v>
      </c>
      <c r="I5" s="7" t="str">
        <f t="shared" si="6"/>
        <v>LEVIS</v>
      </c>
      <c r="J5" s="7">
        <v>52452827</v>
      </c>
      <c r="K5" s="7" t="s">
        <v>16</v>
      </c>
      <c r="L5" s="7" t="s">
        <v>42</v>
      </c>
      <c r="M5" s="7">
        <v>259000</v>
      </c>
      <c r="N5" s="15">
        <f t="shared" si="7"/>
        <v>0.5</v>
      </c>
      <c r="O5" s="9">
        <f t="shared" si="1"/>
        <v>129500</v>
      </c>
      <c r="P5" s="14" t="str">
        <f t="shared" si="8"/>
        <v>PERCENTAGE</v>
      </c>
    </row>
    <row r="6" spans="1:16" x14ac:dyDescent="0.25">
      <c r="A6" s="7" t="str">
        <f t="shared" si="2"/>
        <v>FEB 2025 D50</v>
      </c>
      <c r="B6" s="8">
        <f t="shared" si="2"/>
        <v>46114</v>
      </c>
      <c r="C6" s="8">
        <f t="shared" si="2"/>
        <v>46120</v>
      </c>
      <c r="D6" s="12">
        <f t="shared" si="3"/>
        <v>3320</v>
      </c>
      <c r="E6" s="12">
        <f t="shared" si="4"/>
        <v>336</v>
      </c>
      <c r="F6" s="12">
        <f t="shared" si="5"/>
        <v>4</v>
      </c>
      <c r="G6" s="7">
        <v>1</v>
      </c>
      <c r="H6" s="7">
        <v>81755</v>
      </c>
      <c r="I6" s="7" t="str">
        <f t="shared" si="6"/>
        <v>LEVIS</v>
      </c>
      <c r="J6" s="7">
        <v>52452756</v>
      </c>
      <c r="K6" s="7" t="s">
        <v>17</v>
      </c>
      <c r="L6" s="7" t="s">
        <v>43</v>
      </c>
      <c r="M6" s="7">
        <v>259000</v>
      </c>
      <c r="N6" s="15">
        <f t="shared" si="7"/>
        <v>0.5</v>
      </c>
      <c r="O6" s="9">
        <f t="shared" si="1"/>
        <v>129500</v>
      </c>
      <c r="P6" s="14" t="str">
        <f t="shared" si="8"/>
        <v>PERCENTAGE</v>
      </c>
    </row>
    <row r="7" spans="1:16" x14ac:dyDescent="0.25">
      <c r="A7" s="7" t="str">
        <f t="shared" si="2"/>
        <v>FEB 2025 D50</v>
      </c>
      <c r="B7" s="8">
        <f t="shared" si="2"/>
        <v>46114</v>
      </c>
      <c r="C7" s="8">
        <f t="shared" si="2"/>
        <v>46120</v>
      </c>
      <c r="D7" s="12">
        <f t="shared" si="3"/>
        <v>3320</v>
      </c>
      <c r="E7" s="12">
        <f t="shared" si="4"/>
        <v>336</v>
      </c>
      <c r="F7" s="12">
        <f t="shared" si="5"/>
        <v>4</v>
      </c>
      <c r="G7" s="7">
        <v>1</v>
      </c>
      <c r="H7" s="7">
        <v>81755</v>
      </c>
      <c r="I7" s="7" t="str">
        <f t="shared" si="6"/>
        <v>LEVIS</v>
      </c>
      <c r="J7" s="7">
        <v>52452765</v>
      </c>
      <c r="K7" s="7" t="s">
        <v>17</v>
      </c>
      <c r="L7" s="7" t="s">
        <v>44</v>
      </c>
      <c r="M7" s="7">
        <v>259000</v>
      </c>
      <c r="N7" s="15">
        <f t="shared" si="7"/>
        <v>0.5</v>
      </c>
      <c r="O7" s="9">
        <f t="shared" si="1"/>
        <v>129500</v>
      </c>
      <c r="P7" s="14" t="str">
        <f t="shared" si="8"/>
        <v>PERCENTAGE</v>
      </c>
    </row>
    <row r="8" spans="1:16" x14ac:dyDescent="0.25">
      <c r="A8" s="7" t="str">
        <f t="shared" si="2"/>
        <v>FEB 2025 D50</v>
      </c>
      <c r="B8" s="8">
        <f t="shared" si="2"/>
        <v>46114</v>
      </c>
      <c r="C8" s="8">
        <f t="shared" si="2"/>
        <v>46120</v>
      </c>
      <c r="D8" s="12">
        <f t="shared" si="3"/>
        <v>3320</v>
      </c>
      <c r="E8" s="12">
        <f t="shared" si="4"/>
        <v>336</v>
      </c>
      <c r="F8" s="12">
        <f t="shared" si="5"/>
        <v>4</v>
      </c>
      <c r="G8" s="7">
        <v>1</v>
      </c>
      <c r="H8" s="7">
        <v>81755</v>
      </c>
      <c r="I8" s="7" t="str">
        <f t="shared" si="6"/>
        <v>LEVIS</v>
      </c>
      <c r="J8" s="7">
        <v>52452774</v>
      </c>
      <c r="K8" s="7" t="s">
        <v>17</v>
      </c>
      <c r="L8" s="7" t="s">
        <v>45</v>
      </c>
      <c r="M8" s="7">
        <v>259000</v>
      </c>
      <c r="N8" s="15">
        <f t="shared" si="7"/>
        <v>0.5</v>
      </c>
      <c r="O8" s="9">
        <f t="shared" si="1"/>
        <v>129500</v>
      </c>
      <c r="P8" s="14" t="str">
        <f t="shared" si="8"/>
        <v>PERCENTAGE</v>
      </c>
    </row>
    <row r="9" spans="1:16" x14ac:dyDescent="0.25">
      <c r="A9" s="7" t="str">
        <f t="shared" si="2"/>
        <v>FEB 2025 D50</v>
      </c>
      <c r="B9" s="8">
        <f t="shared" si="2"/>
        <v>46114</v>
      </c>
      <c r="C9" s="8">
        <f t="shared" si="2"/>
        <v>46120</v>
      </c>
      <c r="D9" s="12">
        <f t="shared" si="3"/>
        <v>3320</v>
      </c>
      <c r="E9" s="12">
        <f t="shared" si="4"/>
        <v>336</v>
      </c>
      <c r="F9" s="12">
        <f t="shared" si="5"/>
        <v>4</v>
      </c>
      <c r="G9" s="7">
        <v>1</v>
      </c>
      <c r="H9" s="7">
        <v>81755</v>
      </c>
      <c r="I9" s="7" t="str">
        <f t="shared" si="6"/>
        <v>LEVIS</v>
      </c>
      <c r="J9" s="7">
        <v>52452783</v>
      </c>
      <c r="K9" s="7" t="s">
        <v>17</v>
      </c>
      <c r="L9" s="7" t="s">
        <v>46</v>
      </c>
      <c r="M9" s="7">
        <v>259000</v>
      </c>
      <c r="N9" s="15">
        <f t="shared" si="7"/>
        <v>0.5</v>
      </c>
      <c r="O9" s="9">
        <f t="shared" si="1"/>
        <v>129500</v>
      </c>
      <c r="P9" s="14" t="str">
        <f t="shared" si="8"/>
        <v>PERCENTAGE</v>
      </c>
    </row>
    <row r="10" spans="1:16" x14ac:dyDescent="0.25">
      <c r="A10" s="7" t="str">
        <f t="shared" si="2"/>
        <v>FEB 2025 D50</v>
      </c>
      <c r="B10" s="8">
        <f t="shared" si="2"/>
        <v>46114</v>
      </c>
      <c r="C10" s="8">
        <f t="shared" si="2"/>
        <v>46120</v>
      </c>
      <c r="D10" s="12">
        <f t="shared" si="3"/>
        <v>3320</v>
      </c>
      <c r="E10" s="12">
        <f t="shared" si="4"/>
        <v>336</v>
      </c>
      <c r="F10" s="12">
        <f t="shared" si="5"/>
        <v>4</v>
      </c>
      <c r="G10" s="7">
        <v>1</v>
      </c>
      <c r="H10" s="7">
        <v>81755</v>
      </c>
      <c r="I10" s="7" t="str">
        <f t="shared" si="6"/>
        <v>LEVIS</v>
      </c>
      <c r="J10" s="7">
        <v>52452710</v>
      </c>
      <c r="K10" s="7" t="s">
        <v>18</v>
      </c>
      <c r="L10" s="7" t="s">
        <v>47</v>
      </c>
      <c r="M10" s="7">
        <v>259000</v>
      </c>
      <c r="N10" s="15">
        <f t="shared" si="7"/>
        <v>0.5</v>
      </c>
      <c r="O10" s="9">
        <f t="shared" si="1"/>
        <v>129500</v>
      </c>
      <c r="P10" s="14" t="str">
        <f t="shared" si="8"/>
        <v>PERCENTAGE</v>
      </c>
    </row>
    <row r="11" spans="1:16" x14ac:dyDescent="0.25">
      <c r="A11" s="7" t="str">
        <f t="shared" si="2"/>
        <v>FEB 2025 D50</v>
      </c>
      <c r="B11" s="8">
        <f t="shared" si="2"/>
        <v>46114</v>
      </c>
      <c r="C11" s="8">
        <f t="shared" si="2"/>
        <v>46120</v>
      </c>
      <c r="D11" s="12">
        <f t="shared" si="3"/>
        <v>3320</v>
      </c>
      <c r="E11" s="12">
        <f t="shared" si="4"/>
        <v>336</v>
      </c>
      <c r="F11" s="12">
        <f t="shared" si="5"/>
        <v>4</v>
      </c>
      <c r="G11" s="7">
        <v>1</v>
      </c>
      <c r="H11" s="7">
        <v>81755</v>
      </c>
      <c r="I11" s="7" t="str">
        <f t="shared" si="6"/>
        <v>LEVIS</v>
      </c>
      <c r="J11" s="7">
        <v>52452729</v>
      </c>
      <c r="K11" s="7" t="s">
        <v>18</v>
      </c>
      <c r="L11" s="7" t="s">
        <v>48</v>
      </c>
      <c r="M11" s="7">
        <v>259000</v>
      </c>
      <c r="N11" s="15">
        <f t="shared" si="7"/>
        <v>0.5</v>
      </c>
      <c r="O11" s="9">
        <f t="shared" si="1"/>
        <v>129500</v>
      </c>
      <c r="P11" s="14" t="str">
        <f t="shared" si="8"/>
        <v>PERCENTAGE</v>
      </c>
    </row>
    <row r="12" spans="1:16" x14ac:dyDescent="0.25">
      <c r="A12" s="7" t="str">
        <f t="shared" si="2"/>
        <v>FEB 2025 D50</v>
      </c>
      <c r="B12" s="8">
        <f t="shared" si="2"/>
        <v>46114</v>
      </c>
      <c r="C12" s="8">
        <f t="shared" si="2"/>
        <v>46120</v>
      </c>
      <c r="D12" s="12">
        <f t="shared" si="3"/>
        <v>3320</v>
      </c>
      <c r="E12" s="12">
        <f t="shared" si="4"/>
        <v>336</v>
      </c>
      <c r="F12" s="12">
        <f t="shared" si="5"/>
        <v>4</v>
      </c>
      <c r="G12" s="7">
        <v>1</v>
      </c>
      <c r="H12" s="7">
        <v>81755</v>
      </c>
      <c r="I12" s="7" t="str">
        <f t="shared" si="6"/>
        <v>LEVIS</v>
      </c>
      <c r="J12" s="7">
        <v>52452738</v>
      </c>
      <c r="K12" s="7" t="s">
        <v>18</v>
      </c>
      <c r="L12" s="7" t="s">
        <v>49</v>
      </c>
      <c r="M12" s="7">
        <v>259000</v>
      </c>
      <c r="N12" s="15">
        <f t="shared" si="7"/>
        <v>0.5</v>
      </c>
      <c r="O12" s="9">
        <f t="shared" si="1"/>
        <v>129500</v>
      </c>
      <c r="P12" s="14" t="str">
        <f t="shared" si="8"/>
        <v>PERCENTAGE</v>
      </c>
    </row>
    <row r="13" spans="1:16" x14ac:dyDescent="0.25">
      <c r="A13" s="7" t="str">
        <f t="shared" si="2"/>
        <v>FEB 2025 D50</v>
      </c>
      <c r="B13" s="8">
        <f t="shared" si="2"/>
        <v>46114</v>
      </c>
      <c r="C13" s="8">
        <f t="shared" si="2"/>
        <v>46120</v>
      </c>
      <c r="D13" s="12">
        <f t="shared" si="3"/>
        <v>3320</v>
      </c>
      <c r="E13" s="12">
        <f t="shared" si="4"/>
        <v>336</v>
      </c>
      <c r="F13" s="12">
        <f t="shared" si="5"/>
        <v>4</v>
      </c>
      <c r="G13" s="7">
        <v>1</v>
      </c>
      <c r="H13" s="7">
        <v>81755</v>
      </c>
      <c r="I13" s="7" t="str">
        <f t="shared" si="6"/>
        <v>LEVIS</v>
      </c>
      <c r="J13" s="7">
        <v>52452747</v>
      </c>
      <c r="K13" s="7" t="s">
        <v>18</v>
      </c>
      <c r="L13" s="7" t="s">
        <v>50</v>
      </c>
      <c r="M13" s="7">
        <v>259000</v>
      </c>
      <c r="N13" s="15">
        <f t="shared" si="7"/>
        <v>0.5</v>
      </c>
      <c r="O13" s="9">
        <f t="shared" si="1"/>
        <v>129500</v>
      </c>
      <c r="P13" s="14" t="str">
        <f t="shared" si="8"/>
        <v>PERCENTAGE</v>
      </c>
    </row>
    <row r="14" spans="1:16" x14ac:dyDescent="0.25">
      <c r="A14" s="7" t="str">
        <f t="shared" si="2"/>
        <v>FEB 2025 D50</v>
      </c>
      <c r="B14" s="8">
        <f t="shared" si="2"/>
        <v>46114</v>
      </c>
      <c r="C14" s="8">
        <f t="shared" si="2"/>
        <v>46120</v>
      </c>
      <c r="D14" s="12">
        <f t="shared" si="3"/>
        <v>3320</v>
      </c>
      <c r="E14" s="12">
        <f t="shared" si="4"/>
        <v>336</v>
      </c>
      <c r="F14" s="12">
        <f t="shared" si="5"/>
        <v>4</v>
      </c>
      <c r="G14" s="7">
        <v>1</v>
      </c>
      <c r="H14" s="7">
        <v>81755</v>
      </c>
      <c r="I14" s="7" t="str">
        <f t="shared" si="6"/>
        <v>LEVIS</v>
      </c>
      <c r="J14" s="7">
        <v>52417071</v>
      </c>
      <c r="K14" s="7" t="s">
        <v>19</v>
      </c>
      <c r="L14" s="7" t="s">
        <v>51</v>
      </c>
      <c r="M14" s="7">
        <v>299000</v>
      </c>
      <c r="N14" s="15">
        <f t="shared" si="7"/>
        <v>0.5</v>
      </c>
      <c r="O14" s="9">
        <f t="shared" si="1"/>
        <v>149500</v>
      </c>
      <c r="P14" s="14" t="str">
        <f t="shared" si="8"/>
        <v>PERCENTAGE</v>
      </c>
    </row>
    <row r="15" spans="1:16" x14ac:dyDescent="0.25">
      <c r="A15" s="7" t="str">
        <f t="shared" si="2"/>
        <v>FEB 2025 D50</v>
      </c>
      <c r="B15" s="8">
        <f t="shared" si="2"/>
        <v>46114</v>
      </c>
      <c r="C15" s="8">
        <f t="shared" si="2"/>
        <v>46120</v>
      </c>
      <c r="D15" s="12">
        <f t="shared" si="3"/>
        <v>3320</v>
      </c>
      <c r="E15" s="12">
        <f t="shared" si="4"/>
        <v>336</v>
      </c>
      <c r="F15" s="12">
        <f t="shared" si="5"/>
        <v>4</v>
      </c>
      <c r="G15" s="7">
        <v>1</v>
      </c>
      <c r="H15" s="7">
        <v>81755</v>
      </c>
      <c r="I15" s="7" t="str">
        <f t="shared" si="6"/>
        <v>LEVIS</v>
      </c>
      <c r="J15" s="7">
        <v>52417080</v>
      </c>
      <c r="K15" s="7" t="s">
        <v>19</v>
      </c>
      <c r="L15" s="7" t="s">
        <v>52</v>
      </c>
      <c r="M15" s="7">
        <v>299000</v>
      </c>
      <c r="N15" s="15">
        <f t="shared" si="7"/>
        <v>0.5</v>
      </c>
      <c r="O15" s="9">
        <f t="shared" si="1"/>
        <v>149500</v>
      </c>
      <c r="P15" s="14" t="str">
        <f t="shared" si="8"/>
        <v>PERCENTAGE</v>
      </c>
    </row>
    <row r="16" spans="1:16" x14ac:dyDescent="0.25">
      <c r="A16" s="7" t="str">
        <f t="shared" si="2"/>
        <v>FEB 2025 D50</v>
      </c>
      <c r="B16" s="8">
        <f t="shared" si="2"/>
        <v>46114</v>
      </c>
      <c r="C16" s="8">
        <f t="shared" si="2"/>
        <v>46120</v>
      </c>
      <c r="D16" s="12">
        <f t="shared" si="3"/>
        <v>3320</v>
      </c>
      <c r="E16" s="12">
        <f t="shared" si="4"/>
        <v>336</v>
      </c>
      <c r="F16" s="12">
        <f t="shared" si="5"/>
        <v>4</v>
      </c>
      <c r="G16" s="7">
        <v>1</v>
      </c>
      <c r="H16" s="7">
        <v>81755</v>
      </c>
      <c r="I16" s="7" t="str">
        <f t="shared" si="6"/>
        <v>LEVIS</v>
      </c>
      <c r="J16" s="7">
        <v>52417099</v>
      </c>
      <c r="K16" s="7" t="s">
        <v>19</v>
      </c>
      <c r="L16" s="7" t="s">
        <v>53</v>
      </c>
      <c r="M16" s="7">
        <v>299000</v>
      </c>
      <c r="N16" s="15">
        <f t="shared" si="7"/>
        <v>0.5</v>
      </c>
      <c r="O16" s="9">
        <f t="shared" si="1"/>
        <v>149500</v>
      </c>
      <c r="P16" s="14" t="str">
        <f t="shared" si="8"/>
        <v>PERCENTAGE</v>
      </c>
    </row>
    <row r="17" spans="1:16" x14ac:dyDescent="0.25">
      <c r="A17" s="7" t="str">
        <f t="shared" si="2"/>
        <v>FEB 2025 D50</v>
      </c>
      <c r="B17" s="8">
        <f t="shared" si="2"/>
        <v>46114</v>
      </c>
      <c r="C17" s="8">
        <f t="shared" si="2"/>
        <v>46120</v>
      </c>
      <c r="D17" s="12">
        <f t="shared" si="3"/>
        <v>3320</v>
      </c>
      <c r="E17" s="12">
        <f t="shared" si="4"/>
        <v>336</v>
      </c>
      <c r="F17" s="12">
        <f t="shared" si="5"/>
        <v>4</v>
      </c>
      <c r="G17" s="7">
        <v>1</v>
      </c>
      <c r="H17" s="7">
        <v>81755</v>
      </c>
      <c r="I17" s="7" t="str">
        <f t="shared" si="6"/>
        <v>LEVIS</v>
      </c>
      <c r="J17" s="7">
        <v>52439244</v>
      </c>
      <c r="K17" s="7" t="s">
        <v>19</v>
      </c>
      <c r="L17" s="7" t="s">
        <v>54</v>
      </c>
      <c r="M17" s="7">
        <v>299000</v>
      </c>
      <c r="N17" s="15">
        <f t="shared" si="7"/>
        <v>0.5</v>
      </c>
      <c r="O17" s="9">
        <f t="shared" si="1"/>
        <v>149500</v>
      </c>
      <c r="P17" s="14" t="str">
        <f t="shared" si="8"/>
        <v>PERCENTAGE</v>
      </c>
    </row>
    <row r="18" spans="1:16" x14ac:dyDescent="0.25">
      <c r="A18" s="7" t="str">
        <f t="shared" si="2"/>
        <v>FEB 2025 D50</v>
      </c>
      <c r="B18" s="8">
        <f t="shared" si="2"/>
        <v>46114</v>
      </c>
      <c r="C18" s="8">
        <f t="shared" si="2"/>
        <v>46120</v>
      </c>
      <c r="D18" s="12">
        <f t="shared" si="3"/>
        <v>3320</v>
      </c>
      <c r="E18" s="12">
        <f t="shared" si="4"/>
        <v>336</v>
      </c>
      <c r="F18" s="12">
        <f t="shared" si="5"/>
        <v>4</v>
      </c>
      <c r="G18" s="7">
        <v>1</v>
      </c>
      <c r="H18" s="7">
        <v>81755</v>
      </c>
      <c r="I18" s="7" t="str">
        <f t="shared" si="6"/>
        <v>LEVIS</v>
      </c>
      <c r="J18" s="7">
        <v>52416929</v>
      </c>
      <c r="K18" s="7" t="s">
        <v>20</v>
      </c>
      <c r="L18" s="7" t="s">
        <v>55</v>
      </c>
      <c r="M18" s="7">
        <v>259000</v>
      </c>
      <c r="N18" s="15">
        <f t="shared" si="7"/>
        <v>0.5</v>
      </c>
      <c r="O18" s="9">
        <f t="shared" si="1"/>
        <v>129500</v>
      </c>
      <c r="P18" s="14" t="str">
        <f t="shared" si="8"/>
        <v>PERCENTAGE</v>
      </c>
    </row>
    <row r="19" spans="1:16" x14ac:dyDescent="0.25">
      <c r="A19" s="7" t="str">
        <f t="shared" si="2"/>
        <v>FEB 2025 D50</v>
      </c>
      <c r="B19" s="8">
        <f t="shared" si="2"/>
        <v>46114</v>
      </c>
      <c r="C19" s="8">
        <f t="shared" si="2"/>
        <v>46120</v>
      </c>
      <c r="D19" s="12">
        <f t="shared" si="3"/>
        <v>3320</v>
      </c>
      <c r="E19" s="12">
        <f t="shared" si="4"/>
        <v>336</v>
      </c>
      <c r="F19" s="12">
        <f t="shared" si="5"/>
        <v>4</v>
      </c>
      <c r="G19" s="7">
        <v>1</v>
      </c>
      <c r="H19" s="7">
        <v>81755</v>
      </c>
      <c r="I19" s="7" t="str">
        <f t="shared" si="6"/>
        <v>LEVIS</v>
      </c>
      <c r="J19" s="7">
        <v>52416938</v>
      </c>
      <c r="K19" s="7" t="s">
        <v>20</v>
      </c>
      <c r="L19" s="7" t="s">
        <v>56</v>
      </c>
      <c r="M19" s="7">
        <v>259000</v>
      </c>
      <c r="N19" s="15">
        <f t="shared" si="7"/>
        <v>0.5</v>
      </c>
      <c r="O19" s="9">
        <f t="shared" si="1"/>
        <v>129500</v>
      </c>
      <c r="P19" s="14" t="str">
        <f t="shared" si="8"/>
        <v>PERCENTAGE</v>
      </c>
    </row>
    <row r="20" spans="1:16" x14ac:dyDescent="0.25">
      <c r="A20" s="7" t="str">
        <f t="shared" si="2"/>
        <v>FEB 2025 D50</v>
      </c>
      <c r="B20" s="8">
        <f t="shared" si="2"/>
        <v>46114</v>
      </c>
      <c r="C20" s="8">
        <f t="shared" si="2"/>
        <v>46120</v>
      </c>
      <c r="D20" s="12">
        <f t="shared" si="3"/>
        <v>3320</v>
      </c>
      <c r="E20" s="12">
        <f t="shared" si="4"/>
        <v>336</v>
      </c>
      <c r="F20" s="12">
        <f t="shared" si="5"/>
        <v>4</v>
      </c>
      <c r="G20" s="7">
        <v>1</v>
      </c>
      <c r="H20" s="7">
        <v>81755</v>
      </c>
      <c r="I20" s="7" t="str">
        <f t="shared" si="6"/>
        <v>LEVIS</v>
      </c>
      <c r="J20" s="7">
        <v>52416947</v>
      </c>
      <c r="K20" s="7" t="s">
        <v>20</v>
      </c>
      <c r="L20" s="7" t="s">
        <v>57</v>
      </c>
      <c r="M20" s="7">
        <v>259000</v>
      </c>
      <c r="N20" s="15">
        <f t="shared" si="7"/>
        <v>0.5</v>
      </c>
      <c r="O20" s="9">
        <f t="shared" si="1"/>
        <v>129500</v>
      </c>
      <c r="P20" s="14" t="str">
        <f t="shared" si="8"/>
        <v>PERCENTAGE</v>
      </c>
    </row>
    <row r="21" spans="1:16" x14ac:dyDescent="0.25">
      <c r="A21" s="7" t="str">
        <f t="shared" si="2"/>
        <v>FEB 2025 D50</v>
      </c>
      <c r="B21" s="8">
        <f t="shared" si="2"/>
        <v>46114</v>
      </c>
      <c r="C21" s="8">
        <f t="shared" si="2"/>
        <v>46120</v>
      </c>
      <c r="D21" s="12">
        <f t="shared" si="3"/>
        <v>3320</v>
      </c>
      <c r="E21" s="12">
        <f t="shared" si="4"/>
        <v>336</v>
      </c>
      <c r="F21" s="12">
        <f t="shared" si="5"/>
        <v>4</v>
      </c>
      <c r="G21" s="7">
        <v>1</v>
      </c>
      <c r="H21" s="7">
        <v>81755</v>
      </c>
      <c r="I21" s="7" t="str">
        <f t="shared" si="6"/>
        <v>LEVIS</v>
      </c>
      <c r="J21" s="7">
        <v>52439235</v>
      </c>
      <c r="K21" s="7" t="s">
        <v>20</v>
      </c>
      <c r="L21" s="7" t="s">
        <v>58</v>
      </c>
      <c r="M21" s="7">
        <v>259000</v>
      </c>
      <c r="N21" s="15">
        <f t="shared" si="7"/>
        <v>0.5</v>
      </c>
      <c r="O21" s="9">
        <f t="shared" si="1"/>
        <v>129500</v>
      </c>
      <c r="P21" s="14" t="str">
        <f t="shared" si="8"/>
        <v>PERCENTAGE</v>
      </c>
    </row>
    <row r="22" spans="1:16" x14ac:dyDescent="0.25">
      <c r="A22" s="7" t="str">
        <f t="shared" si="2"/>
        <v>FEB 2025 D50</v>
      </c>
      <c r="B22" s="8">
        <f t="shared" si="2"/>
        <v>46114</v>
      </c>
      <c r="C22" s="8">
        <f t="shared" si="2"/>
        <v>46120</v>
      </c>
      <c r="D22" s="12">
        <f t="shared" si="3"/>
        <v>3320</v>
      </c>
      <c r="E22" s="12">
        <f t="shared" si="4"/>
        <v>336</v>
      </c>
      <c r="F22" s="12">
        <f t="shared" si="5"/>
        <v>4</v>
      </c>
      <c r="G22" s="7">
        <v>1</v>
      </c>
      <c r="H22" s="7">
        <v>81755</v>
      </c>
      <c r="I22" s="7" t="str">
        <f t="shared" si="6"/>
        <v>LEVIS</v>
      </c>
      <c r="J22" s="7">
        <v>52416885</v>
      </c>
      <c r="K22" s="7" t="s">
        <v>21</v>
      </c>
      <c r="L22" s="7" t="s">
        <v>59</v>
      </c>
      <c r="M22" s="7">
        <v>259000</v>
      </c>
      <c r="N22" s="15">
        <f t="shared" si="7"/>
        <v>0.5</v>
      </c>
      <c r="O22" s="9">
        <f t="shared" si="1"/>
        <v>129500</v>
      </c>
      <c r="P22" s="14" t="str">
        <f t="shared" si="8"/>
        <v>PERCENTAGE</v>
      </c>
    </row>
    <row r="23" spans="1:16" x14ac:dyDescent="0.25">
      <c r="A23" s="7" t="str">
        <f t="shared" si="2"/>
        <v>FEB 2025 D50</v>
      </c>
      <c r="B23" s="8">
        <f t="shared" si="2"/>
        <v>46114</v>
      </c>
      <c r="C23" s="8">
        <f t="shared" si="2"/>
        <v>46120</v>
      </c>
      <c r="D23" s="12">
        <f t="shared" si="3"/>
        <v>3320</v>
      </c>
      <c r="E23" s="12">
        <f t="shared" si="4"/>
        <v>336</v>
      </c>
      <c r="F23" s="12">
        <f t="shared" si="5"/>
        <v>4</v>
      </c>
      <c r="G23" s="7">
        <v>1</v>
      </c>
      <c r="H23" s="7">
        <v>81755</v>
      </c>
      <c r="I23" s="7" t="str">
        <f t="shared" si="6"/>
        <v>LEVIS</v>
      </c>
      <c r="J23" s="7">
        <v>52416894</v>
      </c>
      <c r="K23" s="7" t="s">
        <v>21</v>
      </c>
      <c r="L23" s="7" t="s">
        <v>60</v>
      </c>
      <c r="M23" s="7">
        <v>259000</v>
      </c>
      <c r="N23" s="15">
        <f t="shared" si="7"/>
        <v>0.5</v>
      </c>
      <c r="O23" s="9">
        <f t="shared" si="1"/>
        <v>129500</v>
      </c>
      <c r="P23" s="14" t="str">
        <f t="shared" si="8"/>
        <v>PERCENTAGE</v>
      </c>
    </row>
    <row r="24" spans="1:16" x14ac:dyDescent="0.25">
      <c r="A24" s="7" t="str">
        <f t="shared" si="2"/>
        <v>FEB 2025 D50</v>
      </c>
      <c r="B24" s="8">
        <f t="shared" si="2"/>
        <v>46114</v>
      </c>
      <c r="C24" s="8">
        <f t="shared" si="2"/>
        <v>46120</v>
      </c>
      <c r="D24" s="12">
        <f t="shared" si="3"/>
        <v>3320</v>
      </c>
      <c r="E24" s="12">
        <f t="shared" si="4"/>
        <v>336</v>
      </c>
      <c r="F24" s="12">
        <f t="shared" si="5"/>
        <v>4</v>
      </c>
      <c r="G24" s="7">
        <v>1</v>
      </c>
      <c r="H24" s="7">
        <v>81755</v>
      </c>
      <c r="I24" s="7" t="str">
        <f t="shared" si="6"/>
        <v>LEVIS</v>
      </c>
      <c r="J24" s="7">
        <v>52416901</v>
      </c>
      <c r="K24" s="7" t="s">
        <v>21</v>
      </c>
      <c r="L24" s="7" t="s">
        <v>61</v>
      </c>
      <c r="M24" s="7">
        <v>259000</v>
      </c>
      <c r="N24" s="15">
        <f t="shared" si="7"/>
        <v>0.5</v>
      </c>
      <c r="O24" s="9">
        <f t="shared" si="1"/>
        <v>129500</v>
      </c>
      <c r="P24" s="14" t="str">
        <f t="shared" si="8"/>
        <v>PERCENTAGE</v>
      </c>
    </row>
    <row r="25" spans="1:16" x14ac:dyDescent="0.25">
      <c r="A25" s="7" t="str">
        <f t="shared" si="2"/>
        <v>FEB 2025 D50</v>
      </c>
      <c r="B25" s="8">
        <f t="shared" si="2"/>
        <v>46114</v>
      </c>
      <c r="C25" s="8">
        <f t="shared" si="2"/>
        <v>46120</v>
      </c>
      <c r="D25" s="12">
        <f t="shared" si="3"/>
        <v>3320</v>
      </c>
      <c r="E25" s="12">
        <f t="shared" si="4"/>
        <v>336</v>
      </c>
      <c r="F25" s="12">
        <f t="shared" si="5"/>
        <v>4</v>
      </c>
      <c r="G25" s="7">
        <v>1</v>
      </c>
      <c r="H25" s="7">
        <v>81755</v>
      </c>
      <c r="I25" s="7" t="str">
        <f t="shared" si="6"/>
        <v>LEVIS</v>
      </c>
      <c r="J25" s="7">
        <v>52416910</v>
      </c>
      <c r="K25" s="7" t="s">
        <v>21</v>
      </c>
      <c r="L25" s="7" t="s">
        <v>62</v>
      </c>
      <c r="M25" s="7">
        <v>259000</v>
      </c>
      <c r="N25" s="15">
        <f t="shared" si="7"/>
        <v>0.5</v>
      </c>
      <c r="O25" s="9">
        <f t="shared" si="1"/>
        <v>129500</v>
      </c>
      <c r="P25" s="14" t="str">
        <f t="shared" si="8"/>
        <v>PERCENTAGE</v>
      </c>
    </row>
    <row r="26" spans="1:16" x14ac:dyDescent="0.25">
      <c r="A26" s="7" t="str">
        <f t="shared" si="2"/>
        <v>FEB 2025 D50</v>
      </c>
      <c r="B26" s="8">
        <f t="shared" si="2"/>
        <v>46114</v>
      </c>
      <c r="C26" s="8">
        <f t="shared" si="2"/>
        <v>46120</v>
      </c>
      <c r="D26" s="12">
        <f t="shared" si="3"/>
        <v>3320</v>
      </c>
      <c r="E26" s="12">
        <f t="shared" si="4"/>
        <v>336</v>
      </c>
      <c r="F26" s="12">
        <f t="shared" si="5"/>
        <v>4</v>
      </c>
      <c r="G26" s="7">
        <v>1</v>
      </c>
      <c r="H26" s="7">
        <v>81755</v>
      </c>
      <c r="I26" s="7" t="str">
        <f t="shared" si="6"/>
        <v>LEVIS</v>
      </c>
      <c r="J26" s="7">
        <v>52416956</v>
      </c>
      <c r="K26" s="7" t="s">
        <v>22</v>
      </c>
      <c r="L26" s="7" t="s">
        <v>63</v>
      </c>
      <c r="M26" s="7">
        <v>259000</v>
      </c>
      <c r="N26" s="15">
        <f t="shared" si="7"/>
        <v>0.5</v>
      </c>
      <c r="O26" s="9">
        <f t="shared" si="1"/>
        <v>129500</v>
      </c>
      <c r="P26" s="14" t="str">
        <f t="shared" si="8"/>
        <v>PERCENTAGE</v>
      </c>
    </row>
    <row r="27" spans="1:16" x14ac:dyDescent="0.25">
      <c r="A27" s="7" t="str">
        <f t="shared" si="2"/>
        <v>FEB 2025 D50</v>
      </c>
      <c r="B27" s="8">
        <f t="shared" si="2"/>
        <v>46114</v>
      </c>
      <c r="C27" s="8">
        <f t="shared" si="2"/>
        <v>46120</v>
      </c>
      <c r="D27" s="12">
        <f t="shared" si="3"/>
        <v>3320</v>
      </c>
      <c r="E27" s="12">
        <f t="shared" si="4"/>
        <v>336</v>
      </c>
      <c r="F27" s="12">
        <f t="shared" si="5"/>
        <v>4</v>
      </c>
      <c r="G27" s="7">
        <v>1</v>
      </c>
      <c r="H27" s="7">
        <v>81755</v>
      </c>
      <c r="I27" s="7" t="str">
        <f t="shared" si="6"/>
        <v>LEVIS</v>
      </c>
      <c r="J27" s="7">
        <v>52416965</v>
      </c>
      <c r="K27" s="7" t="s">
        <v>22</v>
      </c>
      <c r="L27" s="7" t="s">
        <v>64</v>
      </c>
      <c r="M27" s="7">
        <v>259000</v>
      </c>
      <c r="N27" s="15">
        <f t="shared" si="7"/>
        <v>0.5</v>
      </c>
      <c r="O27" s="9">
        <f t="shared" si="1"/>
        <v>129500</v>
      </c>
      <c r="P27" s="14" t="str">
        <f t="shared" si="8"/>
        <v>PERCENTAGE</v>
      </c>
    </row>
    <row r="28" spans="1:16" x14ac:dyDescent="0.25">
      <c r="A28" s="7" t="str">
        <f t="shared" si="2"/>
        <v>FEB 2025 D50</v>
      </c>
      <c r="B28" s="8">
        <f t="shared" si="2"/>
        <v>46114</v>
      </c>
      <c r="C28" s="8">
        <f t="shared" si="2"/>
        <v>46120</v>
      </c>
      <c r="D28" s="12">
        <f t="shared" si="3"/>
        <v>3320</v>
      </c>
      <c r="E28" s="12">
        <f t="shared" si="4"/>
        <v>336</v>
      </c>
      <c r="F28" s="12">
        <f t="shared" si="5"/>
        <v>4</v>
      </c>
      <c r="G28" s="7">
        <v>1</v>
      </c>
      <c r="H28" s="7">
        <v>81755</v>
      </c>
      <c r="I28" s="7" t="str">
        <f t="shared" si="6"/>
        <v>LEVIS</v>
      </c>
      <c r="J28" s="7">
        <v>52416974</v>
      </c>
      <c r="K28" s="7" t="s">
        <v>22</v>
      </c>
      <c r="L28" s="7" t="s">
        <v>65</v>
      </c>
      <c r="M28" s="7">
        <v>259000</v>
      </c>
      <c r="N28" s="15">
        <f t="shared" si="7"/>
        <v>0.5</v>
      </c>
      <c r="O28" s="9">
        <f t="shared" si="1"/>
        <v>129500</v>
      </c>
      <c r="P28" s="14" t="str">
        <f t="shared" si="8"/>
        <v>PERCENTAGE</v>
      </c>
    </row>
    <row r="29" spans="1:16" x14ac:dyDescent="0.25">
      <c r="A29" s="7" t="str">
        <f t="shared" si="2"/>
        <v>FEB 2025 D50</v>
      </c>
      <c r="B29" s="8">
        <f t="shared" si="2"/>
        <v>46114</v>
      </c>
      <c r="C29" s="8">
        <f t="shared" si="2"/>
        <v>46120</v>
      </c>
      <c r="D29" s="12">
        <f t="shared" si="3"/>
        <v>3320</v>
      </c>
      <c r="E29" s="12">
        <f t="shared" si="4"/>
        <v>336</v>
      </c>
      <c r="F29" s="12">
        <f t="shared" si="5"/>
        <v>4</v>
      </c>
      <c r="G29" s="7">
        <v>1</v>
      </c>
      <c r="H29" s="7">
        <v>81755</v>
      </c>
      <c r="I29" s="7" t="str">
        <f t="shared" si="6"/>
        <v>LEVIS</v>
      </c>
      <c r="J29" s="7">
        <v>52416983</v>
      </c>
      <c r="K29" s="7" t="s">
        <v>22</v>
      </c>
      <c r="L29" s="7" t="s">
        <v>66</v>
      </c>
      <c r="M29" s="7">
        <v>259000</v>
      </c>
      <c r="N29" s="15">
        <f t="shared" si="7"/>
        <v>0.5</v>
      </c>
      <c r="O29" s="9">
        <f t="shared" si="1"/>
        <v>129500</v>
      </c>
      <c r="P29" s="14" t="str">
        <f t="shared" si="8"/>
        <v>PERCENTAGE</v>
      </c>
    </row>
    <row r="30" spans="1:16" x14ac:dyDescent="0.25">
      <c r="A30" s="7" t="str">
        <f t="shared" si="2"/>
        <v>FEB 2025 D50</v>
      </c>
      <c r="B30" s="8">
        <f t="shared" si="2"/>
        <v>46114</v>
      </c>
      <c r="C30" s="8">
        <f t="shared" si="2"/>
        <v>46120</v>
      </c>
      <c r="D30" s="12">
        <f t="shared" si="3"/>
        <v>3320</v>
      </c>
      <c r="E30" s="12">
        <f t="shared" si="4"/>
        <v>336</v>
      </c>
      <c r="F30" s="12">
        <f t="shared" si="5"/>
        <v>4</v>
      </c>
      <c r="G30" s="7">
        <v>1</v>
      </c>
      <c r="H30" s="7">
        <v>81755</v>
      </c>
      <c r="I30" s="7" t="str">
        <f t="shared" si="6"/>
        <v>LEVIS</v>
      </c>
      <c r="J30" s="7">
        <v>52452676</v>
      </c>
      <c r="K30" s="7" t="s">
        <v>23</v>
      </c>
      <c r="L30" s="7" t="s">
        <v>67</v>
      </c>
      <c r="M30" s="7">
        <v>259000</v>
      </c>
      <c r="N30" s="15">
        <f t="shared" si="7"/>
        <v>0.5</v>
      </c>
      <c r="O30" s="9">
        <f t="shared" si="1"/>
        <v>129500</v>
      </c>
      <c r="P30" s="14" t="str">
        <f t="shared" si="8"/>
        <v>PERCENTAGE</v>
      </c>
    </row>
    <row r="31" spans="1:16" x14ac:dyDescent="0.25">
      <c r="A31" s="7" t="str">
        <f t="shared" si="2"/>
        <v>FEB 2025 D50</v>
      </c>
      <c r="B31" s="8">
        <f t="shared" si="2"/>
        <v>46114</v>
      </c>
      <c r="C31" s="8">
        <f t="shared" si="2"/>
        <v>46120</v>
      </c>
      <c r="D31" s="12">
        <f t="shared" si="3"/>
        <v>3320</v>
      </c>
      <c r="E31" s="12">
        <f t="shared" si="4"/>
        <v>336</v>
      </c>
      <c r="F31" s="12">
        <f t="shared" si="5"/>
        <v>4</v>
      </c>
      <c r="G31" s="7">
        <v>1</v>
      </c>
      <c r="H31" s="7">
        <v>81755</v>
      </c>
      <c r="I31" s="7" t="str">
        <f t="shared" si="6"/>
        <v>LEVIS</v>
      </c>
      <c r="J31" s="7">
        <v>52452685</v>
      </c>
      <c r="K31" s="7" t="s">
        <v>23</v>
      </c>
      <c r="L31" s="7" t="s">
        <v>68</v>
      </c>
      <c r="M31" s="7">
        <v>259000</v>
      </c>
      <c r="N31" s="15">
        <f t="shared" si="7"/>
        <v>0.5</v>
      </c>
      <c r="O31" s="9">
        <f t="shared" si="1"/>
        <v>129500</v>
      </c>
      <c r="P31" s="14" t="str">
        <f t="shared" si="8"/>
        <v>PERCENTAGE</v>
      </c>
    </row>
    <row r="32" spans="1:16" x14ac:dyDescent="0.25">
      <c r="A32" s="7" t="str">
        <f t="shared" si="2"/>
        <v>FEB 2025 D50</v>
      </c>
      <c r="B32" s="8">
        <f t="shared" si="2"/>
        <v>46114</v>
      </c>
      <c r="C32" s="8">
        <f t="shared" si="2"/>
        <v>46120</v>
      </c>
      <c r="D32" s="12">
        <f t="shared" si="3"/>
        <v>3320</v>
      </c>
      <c r="E32" s="12">
        <f t="shared" si="4"/>
        <v>336</v>
      </c>
      <c r="F32" s="12">
        <f t="shared" si="5"/>
        <v>4</v>
      </c>
      <c r="G32" s="7">
        <v>1</v>
      </c>
      <c r="H32" s="7">
        <v>81755</v>
      </c>
      <c r="I32" s="7" t="str">
        <f t="shared" si="6"/>
        <v>LEVIS</v>
      </c>
      <c r="J32" s="7">
        <v>52452694</v>
      </c>
      <c r="K32" s="7" t="s">
        <v>23</v>
      </c>
      <c r="L32" s="7" t="s">
        <v>69</v>
      </c>
      <c r="M32" s="7">
        <v>259000</v>
      </c>
      <c r="N32" s="15">
        <f t="shared" si="7"/>
        <v>0.5</v>
      </c>
      <c r="O32" s="9">
        <f t="shared" si="1"/>
        <v>129500</v>
      </c>
      <c r="P32" s="14" t="str">
        <f t="shared" si="8"/>
        <v>PERCENTAGE</v>
      </c>
    </row>
    <row r="33" spans="1:16" x14ac:dyDescent="0.25">
      <c r="A33" s="7" t="str">
        <f t="shared" si="2"/>
        <v>FEB 2025 D50</v>
      </c>
      <c r="B33" s="8">
        <f t="shared" si="2"/>
        <v>46114</v>
      </c>
      <c r="C33" s="8">
        <f t="shared" si="2"/>
        <v>46120</v>
      </c>
      <c r="D33" s="12">
        <f t="shared" si="3"/>
        <v>3320</v>
      </c>
      <c r="E33" s="12">
        <f t="shared" si="4"/>
        <v>336</v>
      </c>
      <c r="F33" s="12">
        <f t="shared" si="5"/>
        <v>4</v>
      </c>
      <c r="G33" s="7">
        <v>1</v>
      </c>
      <c r="H33" s="7">
        <v>81755</v>
      </c>
      <c r="I33" s="7" t="str">
        <f t="shared" si="6"/>
        <v>LEVIS</v>
      </c>
      <c r="J33" s="7">
        <v>52452701</v>
      </c>
      <c r="K33" s="7" t="s">
        <v>23</v>
      </c>
      <c r="L33" s="7" t="s">
        <v>70</v>
      </c>
      <c r="M33" s="7">
        <v>259000</v>
      </c>
      <c r="N33" s="15">
        <f t="shared" si="7"/>
        <v>0.5</v>
      </c>
      <c r="O33" s="9">
        <f t="shared" si="1"/>
        <v>129500</v>
      </c>
      <c r="P33" s="14" t="str">
        <f t="shared" si="8"/>
        <v>PERCENTAGE</v>
      </c>
    </row>
    <row r="34" spans="1:16" x14ac:dyDescent="0.25">
      <c r="A34" s="7" t="str">
        <f t="shared" si="2"/>
        <v>FEB 2025 D50</v>
      </c>
      <c r="B34" s="8">
        <f t="shared" si="2"/>
        <v>46114</v>
      </c>
      <c r="C34" s="8">
        <f t="shared" si="2"/>
        <v>46120</v>
      </c>
      <c r="D34" s="12">
        <f t="shared" si="3"/>
        <v>3320</v>
      </c>
      <c r="E34" s="12">
        <f t="shared" si="4"/>
        <v>336</v>
      </c>
      <c r="F34" s="12">
        <f t="shared" si="5"/>
        <v>4</v>
      </c>
      <c r="G34" s="7">
        <v>1</v>
      </c>
      <c r="H34" s="7">
        <v>81755</v>
      </c>
      <c r="I34" s="7" t="str">
        <f t="shared" si="6"/>
        <v>LEVIS</v>
      </c>
      <c r="J34" s="7">
        <v>52417035</v>
      </c>
      <c r="K34" s="7" t="s">
        <v>24</v>
      </c>
      <c r="L34" s="7" t="s">
        <v>71</v>
      </c>
      <c r="M34" s="7">
        <v>299000</v>
      </c>
      <c r="N34" s="15">
        <f t="shared" si="7"/>
        <v>0.5</v>
      </c>
      <c r="O34" s="9">
        <f t="shared" si="1"/>
        <v>149500</v>
      </c>
      <c r="P34" s="14" t="str">
        <f t="shared" si="8"/>
        <v>PERCENTAGE</v>
      </c>
    </row>
    <row r="35" spans="1:16" x14ac:dyDescent="0.25">
      <c r="A35" s="7" t="str">
        <f t="shared" si="2"/>
        <v>FEB 2025 D50</v>
      </c>
      <c r="B35" s="8">
        <f t="shared" si="2"/>
        <v>46114</v>
      </c>
      <c r="C35" s="8">
        <f t="shared" si="2"/>
        <v>46120</v>
      </c>
      <c r="D35" s="12">
        <f t="shared" si="3"/>
        <v>3320</v>
      </c>
      <c r="E35" s="12">
        <f t="shared" si="4"/>
        <v>336</v>
      </c>
      <c r="F35" s="12">
        <f t="shared" si="5"/>
        <v>4</v>
      </c>
      <c r="G35" s="7">
        <v>1</v>
      </c>
      <c r="H35" s="7">
        <v>81755</v>
      </c>
      <c r="I35" s="7" t="str">
        <f t="shared" si="6"/>
        <v>LEVIS</v>
      </c>
      <c r="J35" s="7">
        <v>52417044</v>
      </c>
      <c r="K35" s="7" t="s">
        <v>24</v>
      </c>
      <c r="L35" s="7" t="s">
        <v>72</v>
      </c>
      <c r="M35" s="7">
        <v>299000</v>
      </c>
      <c r="N35" s="15">
        <f t="shared" si="7"/>
        <v>0.5</v>
      </c>
      <c r="O35" s="9">
        <f t="shared" si="1"/>
        <v>149500</v>
      </c>
      <c r="P35" s="14" t="str">
        <f t="shared" si="8"/>
        <v>PERCENTAGE</v>
      </c>
    </row>
    <row r="36" spans="1:16" x14ac:dyDescent="0.25">
      <c r="A36" s="7" t="str">
        <f t="shared" si="2"/>
        <v>FEB 2025 D50</v>
      </c>
      <c r="B36" s="8">
        <f t="shared" si="2"/>
        <v>46114</v>
      </c>
      <c r="C36" s="8">
        <f t="shared" si="2"/>
        <v>46120</v>
      </c>
      <c r="D36" s="12">
        <f t="shared" si="3"/>
        <v>3320</v>
      </c>
      <c r="E36" s="12">
        <f t="shared" si="4"/>
        <v>336</v>
      </c>
      <c r="F36" s="12">
        <f t="shared" si="5"/>
        <v>4</v>
      </c>
      <c r="G36" s="7">
        <v>1</v>
      </c>
      <c r="H36" s="7">
        <v>81755</v>
      </c>
      <c r="I36" s="7" t="str">
        <f t="shared" si="6"/>
        <v>LEVIS</v>
      </c>
      <c r="J36" s="7">
        <v>52417053</v>
      </c>
      <c r="K36" s="7" t="s">
        <v>24</v>
      </c>
      <c r="L36" s="7" t="s">
        <v>73</v>
      </c>
      <c r="M36" s="7">
        <v>299000</v>
      </c>
      <c r="N36" s="15">
        <f t="shared" si="7"/>
        <v>0.5</v>
      </c>
      <c r="O36" s="9">
        <f t="shared" si="1"/>
        <v>149500</v>
      </c>
      <c r="P36" s="14" t="str">
        <f t="shared" si="8"/>
        <v>PERCENTAGE</v>
      </c>
    </row>
    <row r="37" spans="1:16" x14ac:dyDescent="0.25">
      <c r="A37" s="7" t="str">
        <f t="shared" si="2"/>
        <v>FEB 2025 D50</v>
      </c>
      <c r="B37" s="8">
        <f t="shared" si="2"/>
        <v>46114</v>
      </c>
      <c r="C37" s="8">
        <f t="shared" si="2"/>
        <v>46120</v>
      </c>
      <c r="D37" s="12">
        <f t="shared" si="3"/>
        <v>3320</v>
      </c>
      <c r="E37" s="12">
        <f t="shared" si="4"/>
        <v>336</v>
      </c>
      <c r="F37" s="12">
        <f t="shared" si="5"/>
        <v>4</v>
      </c>
      <c r="G37" s="7">
        <v>1</v>
      </c>
      <c r="H37" s="7">
        <v>81755</v>
      </c>
      <c r="I37" s="7" t="str">
        <f t="shared" si="6"/>
        <v>LEVIS</v>
      </c>
      <c r="J37" s="7">
        <v>52417062</v>
      </c>
      <c r="K37" s="7" t="s">
        <v>24</v>
      </c>
      <c r="L37" s="7" t="s">
        <v>74</v>
      </c>
      <c r="M37" s="7">
        <v>299000</v>
      </c>
      <c r="N37" s="15">
        <f t="shared" si="7"/>
        <v>0.5</v>
      </c>
      <c r="O37" s="9">
        <f t="shared" si="1"/>
        <v>149500</v>
      </c>
      <c r="P37" s="14" t="str">
        <f t="shared" si="8"/>
        <v>PERCENTAGE</v>
      </c>
    </row>
    <row r="38" spans="1:16" x14ac:dyDescent="0.25">
      <c r="A38" s="7" t="str">
        <f t="shared" si="2"/>
        <v>FEB 2025 D50</v>
      </c>
      <c r="B38" s="8">
        <f t="shared" si="2"/>
        <v>46114</v>
      </c>
      <c r="C38" s="8">
        <f t="shared" si="2"/>
        <v>46120</v>
      </c>
      <c r="D38" s="12">
        <f t="shared" si="3"/>
        <v>3320</v>
      </c>
      <c r="E38" s="12">
        <f t="shared" si="4"/>
        <v>336</v>
      </c>
      <c r="F38" s="12">
        <f t="shared" si="5"/>
        <v>4</v>
      </c>
      <c r="G38" s="7">
        <v>1</v>
      </c>
      <c r="H38" s="7">
        <v>81755</v>
      </c>
      <c r="I38" s="7" t="str">
        <f t="shared" si="6"/>
        <v>LEVIS</v>
      </c>
      <c r="J38" s="7">
        <v>52416992</v>
      </c>
      <c r="K38" s="7" t="s">
        <v>25</v>
      </c>
      <c r="L38" s="7" t="s">
        <v>75</v>
      </c>
      <c r="M38" s="7">
        <v>299000</v>
      </c>
      <c r="N38" s="15">
        <f t="shared" si="7"/>
        <v>0.5</v>
      </c>
      <c r="O38" s="9">
        <f t="shared" si="1"/>
        <v>149500</v>
      </c>
      <c r="P38" s="14" t="str">
        <f t="shared" si="8"/>
        <v>PERCENTAGE</v>
      </c>
    </row>
    <row r="39" spans="1:16" x14ac:dyDescent="0.25">
      <c r="A39" s="7" t="str">
        <f t="shared" si="2"/>
        <v>FEB 2025 D50</v>
      </c>
      <c r="B39" s="8">
        <f t="shared" si="2"/>
        <v>46114</v>
      </c>
      <c r="C39" s="8">
        <f t="shared" si="2"/>
        <v>46120</v>
      </c>
      <c r="D39" s="12">
        <f t="shared" si="3"/>
        <v>3320</v>
      </c>
      <c r="E39" s="12">
        <f t="shared" si="4"/>
        <v>336</v>
      </c>
      <c r="F39" s="12">
        <f t="shared" si="5"/>
        <v>4</v>
      </c>
      <c r="G39" s="7">
        <v>1</v>
      </c>
      <c r="H39" s="7">
        <v>81755</v>
      </c>
      <c r="I39" s="7" t="str">
        <f t="shared" si="6"/>
        <v>LEVIS</v>
      </c>
      <c r="J39" s="7">
        <v>52417008</v>
      </c>
      <c r="K39" s="7" t="s">
        <v>25</v>
      </c>
      <c r="L39" s="7" t="s">
        <v>76</v>
      </c>
      <c r="M39" s="7">
        <v>299000</v>
      </c>
      <c r="N39" s="15">
        <f t="shared" si="7"/>
        <v>0.5</v>
      </c>
      <c r="O39" s="9">
        <f t="shared" si="1"/>
        <v>149500</v>
      </c>
      <c r="P39" s="14" t="str">
        <f t="shared" si="8"/>
        <v>PERCENTAGE</v>
      </c>
    </row>
    <row r="40" spans="1:16" x14ac:dyDescent="0.25">
      <c r="A40" s="7" t="str">
        <f t="shared" si="2"/>
        <v>FEB 2025 D50</v>
      </c>
      <c r="B40" s="8">
        <f t="shared" si="2"/>
        <v>46114</v>
      </c>
      <c r="C40" s="8">
        <f t="shared" si="2"/>
        <v>46120</v>
      </c>
      <c r="D40" s="12">
        <f t="shared" si="3"/>
        <v>3320</v>
      </c>
      <c r="E40" s="12">
        <f t="shared" si="4"/>
        <v>336</v>
      </c>
      <c r="F40" s="12">
        <f t="shared" si="5"/>
        <v>4</v>
      </c>
      <c r="G40" s="7">
        <v>1</v>
      </c>
      <c r="H40" s="7">
        <v>81755</v>
      </c>
      <c r="I40" s="7" t="str">
        <f t="shared" si="6"/>
        <v>LEVIS</v>
      </c>
      <c r="J40" s="7">
        <v>52417017</v>
      </c>
      <c r="K40" s="7" t="s">
        <v>25</v>
      </c>
      <c r="L40" s="7" t="s">
        <v>77</v>
      </c>
      <c r="M40" s="7">
        <v>299000</v>
      </c>
      <c r="N40" s="15">
        <f t="shared" si="7"/>
        <v>0.5</v>
      </c>
      <c r="O40" s="9">
        <f t="shared" si="1"/>
        <v>149500</v>
      </c>
      <c r="P40" s="14" t="str">
        <f t="shared" si="8"/>
        <v>PERCENTAGE</v>
      </c>
    </row>
    <row r="41" spans="1:16" x14ac:dyDescent="0.25">
      <c r="A41" s="7" t="str">
        <f t="shared" si="2"/>
        <v>FEB 2025 D50</v>
      </c>
      <c r="B41" s="8">
        <f t="shared" si="2"/>
        <v>46114</v>
      </c>
      <c r="C41" s="8">
        <f t="shared" si="2"/>
        <v>46120</v>
      </c>
      <c r="D41" s="12">
        <f t="shared" si="3"/>
        <v>3320</v>
      </c>
      <c r="E41" s="12">
        <f t="shared" si="4"/>
        <v>336</v>
      </c>
      <c r="F41" s="12">
        <f t="shared" si="5"/>
        <v>4</v>
      </c>
      <c r="G41" s="7">
        <v>1</v>
      </c>
      <c r="H41" s="7">
        <v>81755</v>
      </c>
      <c r="I41" s="7" t="str">
        <f t="shared" si="6"/>
        <v>LEVIS</v>
      </c>
      <c r="J41" s="7">
        <v>52417026</v>
      </c>
      <c r="K41" s="7" t="s">
        <v>25</v>
      </c>
      <c r="L41" s="7" t="s">
        <v>78</v>
      </c>
      <c r="M41" s="7">
        <v>299000</v>
      </c>
      <c r="N41" s="15">
        <f t="shared" si="7"/>
        <v>0.5</v>
      </c>
      <c r="O41" s="9">
        <f t="shared" si="1"/>
        <v>149500</v>
      </c>
      <c r="P41" s="14" t="str">
        <f t="shared" si="8"/>
        <v>PERCENTAGE</v>
      </c>
    </row>
    <row r="42" spans="1:16" x14ac:dyDescent="0.25">
      <c r="A42" s="7" t="str">
        <f t="shared" si="2"/>
        <v>FEB 2025 D50</v>
      </c>
      <c r="B42" s="8">
        <f t="shared" si="2"/>
        <v>46114</v>
      </c>
      <c r="C42" s="8">
        <f t="shared" si="2"/>
        <v>46120</v>
      </c>
      <c r="D42" s="12">
        <f t="shared" si="3"/>
        <v>3320</v>
      </c>
      <c r="E42" s="12">
        <f t="shared" si="4"/>
        <v>336</v>
      </c>
      <c r="F42" s="12">
        <f t="shared" si="5"/>
        <v>4</v>
      </c>
      <c r="G42" s="7">
        <v>1</v>
      </c>
      <c r="H42" s="7">
        <v>81755</v>
      </c>
      <c r="I42" s="7" t="str">
        <f t="shared" si="6"/>
        <v>LEVIS</v>
      </c>
      <c r="J42" s="7">
        <v>52452836</v>
      </c>
      <c r="K42" s="7" t="s">
        <v>26</v>
      </c>
      <c r="L42" s="7" t="s">
        <v>79</v>
      </c>
      <c r="M42" s="7">
        <v>359000</v>
      </c>
      <c r="N42" s="15">
        <f t="shared" si="7"/>
        <v>0.5</v>
      </c>
      <c r="O42" s="9">
        <f t="shared" si="1"/>
        <v>179500</v>
      </c>
      <c r="P42" s="14" t="str">
        <f t="shared" si="8"/>
        <v>PERCENTAGE</v>
      </c>
    </row>
    <row r="43" spans="1:16" x14ac:dyDescent="0.25">
      <c r="A43" s="7" t="str">
        <f t="shared" si="2"/>
        <v>FEB 2025 D50</v>
      </c>
      <c r="B43" s="8">
        <f t="shared" si="2"/>
        <v>46114</v>
      </c>
      <c r="C43" s="8">
        <f t="shared" si="2"/>
        <v>46120</v>
      </c>
      <c r="D43" s="12">
        <f t="shared" si="3"/>
        <v>3320</v>
      </c>
      <c r="E43" s="12">
        <f t="shared" si="4"/>
        <v>336</v>
      </c>
      <c r="F43" s="12">
        <f t="shared" si="5"/>
        <v>4</v>
      </c>
      <c r="G43" s="7">
        <v>1</v>
      </c>
      <c r="H43" s="7">
        <v>81755</v>
      </c>
      <c r="I43" s="7" t="str">
        <f t="shared" si="6"/>
        <v>LEVIS</v>
      </c>
      <c r="J43" s="7">
        <v>52452845</v>
      </c>
      <c r="K43" s="7" t="s">
        <v>26</v>
      </c>
      <c r="L43" s="7" t="s">
        <v>80</v>
      </c>
      <c r="M43" s="7">
        <v>359000</v>
      </c>
      <c r="N43" s="15">
        <f t="shared" si="7"/>
        <v>0.5</v>
      </c>
      <c r="O43" s="9">
        <f t="shared" si="1"/>
        <v>179500</v>
      </c>
      <c r="P43" s="14" t="str">
        <f t="shared" si="8"/>
        <v>PERCENTAGE</v>
      </c>
    </row>
    <row r="44" spans="1:16" x14ac:dyDescent="0.25">
      <c r="A44" s="7" t="str">
        <f t="shared" si="2"/>
        <v>FEB 2025 D50</v>
      </c>
      <c r="B44" s="8">
        <f t="shared" si="2"/>
        <v>46114</v>
      </c>
      <c r="C44" s="8">
        <f t="shared" si="2"/>
        <v>46120</v>
      </c>
      <c r="D44" s="12">
        <f t="shared" si="3"/>
        <v>3320</v>
      </c>
      <c r="E44" s="12">
        <f t="shared" si="4"/>
        <v>336</v>
      </c>
      <c r="F44" s="12">
        <f t="shared" si="5"/>
        <v>4</v>
      </c>
      <c r="G44" s="7">
        <v>1</v>
      </c>
      <c r="H44" s="7">
        <v>81755</v>
      </c>
      <c r="I44" s="7" t="str">
        <f t="shared" si="6"/>
        <v>LEVIS</v>
      </c>
      <c r="J44" s="7">
        <v>52452854</v>
      </c>
      <c r="K44" s="7" t="s">
        <v>26</v>
      </c>
      <c r="L44" s="7" t="s">
        <v>81</v>
      </c>
      <c r="M44" s="7">
        <v>359000</v>
      </c>
      <c r="N44" s="15">
        <f t="shared" si="7"/>
        <v>0.5</v>
      </c>
      <c r="O44" s="9">
        <f t="shared" si="1"/>
        <v>179500</v>
      </c>
      <c r="P44" s="14" t="str">
        <f t="shared" si="8"/>
        <v>PERCENTAGE</v>
      </c>
    </row>
    <row r="45" spans="1:16" x14ac:dyDescent="0.25">
      <c r="A45" s="7" t="str">
        <f t="shared" si="2"/>
        <v>FEB 2025 D50</v>
      </c>
      <c r="B45" s="8">
        <f t="shared" si="2"/>
        <v>46114</v>
      </c>
      <c r="C45" s="8">
        <f t="shared" si="2"/>
        <v>46120</v>
      </c>
      <c r="D45" s="12">
        <f t="shared" si="3"/>
        <v>3320</v>
      </c>
      <c r="E45" s="12">
        <f t="shared" si="4"/>
        <v>336</v>
      </c>
      <c r="F45" s="12">
        <f t="shared" si="5"/>
        <v>4</v>
      </c>
      <c r="G45" s="7">
        <v>1</v>
      </c>
      <c r="H45" s="7">
        <v>81755</v>
      </c>
      <c r="I45" s="7" t="str">
        <f t="shared" si="6"/>
        <v>LEVIS</v>
      </c>
      <c r="J45" s="7">
        <v>52452863</v>
      </c>
      <c r="K45" s="7" t="s">
        <v>26</v>
      </c>
      <c r="L45" s="7" t="s">
        <v>82</v>
      </c>
      <c r="M45" s="7">
        <v>359000</v>
      </c>
      <c r="N45" s="15">
        <f t="shared" si="7"/>
        <v>0.5</v>
      </c>
      <c r="O45" s="9">
        <f t="shared" si="1"/>
        <v>179500</v>
      </c>
      <c r="P45" s="14" t="str">
        <f t="shared" si="8"/>
        <v>PERCENTAGE</v>
      </c>
    </row>
    <row r="46" spans="1:16" x14ac:dyDescent="0.25">
      <c r="A46" s="7" t="str">
        <f t="shared" si="2"/>
        <v>FEB 2025 D50</v>
      </c>
      <c r="B46" s="8">
        <f t="shared" si="2"/>
        <v>46114</v>
      </c>
      <c r="C46" s="8">
        <f t="shared" si="2"/>
        <v>46120</v>
      </c>
      <c r="D46" s="12">
        <f t="shared" si="3"/>
        <v>3320</v>
      </c>
      <c r="E46" s="12">
        <f t="shared" si="4"/>
        <v>336</v>
      </c>
      <c r="F46" s="12">
        <f t="shared" si="5"/>
        <v>4</v>
      </c>
      <c r="G46" s="7">
        <v>1</v>
      </c>
      <c r="H46" s="7">
        <v>81755</v>
      </c>
      <c r="I46" s="7" t="str">
        <f t="shared" si="6"/>
        <v>LEVIS</v>
      </c>
      <c r="J46" s="7">
        <v>52452872</v>
      </c>
      <c r="K46" s="7" t="s">
        <v>27</v>
      </c>
      <c r="L46" s="7" t="s">
        <v>83</v>
      </c>
      <c r="M46" s="7">
        <v>359000</v>
      </c>
      <c r="N46" s="15">
        <f t="shared" si="7"/>
        <v>0.5</v>
      </c>
      <c r="O46" s="9">
        <f t="shared" si="1"/>
        <v>179500</v>
      </c>
      <c r="P46" s="14" t="str">
        <f t="shared" si="8"/>
        <v>PERCENTAGE</v>
      </c>
    </row>
    <row r="47" spans="1:16" x14ac:dyDescent="0.25">
      <c r="A47" s="7" t="str">
        <f t="shared" si="2"/>
        <v>FEB 2025 D50</v>
      </c>
      <c r="B47" s="8">
        <f t="shared" si="2"/>
        <v>46114</v>
      </c>
      <c r="C47" s="8">
        <f t="shared" si="2"/>
        <v>46120</v>
      </c>
      <c r="D47" s="12">
        <f t="shared" si="3"/>
        <v>3320</v>
      </c>
      <c r="E47" s="12">
        <f t="shared" si="4"/>
        <v>336</v>
      </c>
      <c r="F47" s="12">
        <f t="shared" si="5"/>
        <v>4</v>
      </c>
      <c r="G47" s="7">
        <v>1</v>
      </c>
      <c r="H47" s="7">
        <v>81755</v>
      </c>
      <c r="I47" s="7" t="str">
        <f t="shared" si="6"/>
        <v>LEVIS</v>
      </c>
      <c r="J47" s="7">
        <v>52452881</v>
      </c>
      <c r="K47" s="7" t="s">
        <v>27</v>
      </c>
      <c r="L47" s="7" t="s">
        <v>84</v>
      </c>
      <c r="M47" s="7">
        <v>359000</v>
      </c>
      <c r="N47" s="15">
        <f t="shared" si="7"/>
        <v>0.5</v>
      </c>
      <c r="O47" s="9">
        <f t="shared" si="1"/>
        <v>179500</v>
      </c>
      <c r="P47" s="14" t="str">
        <f t="shared" si="8"/>
        <v>PERCENTAGE</v>
      </c>
    </row>
    <row r="48" spans="1:16" x14ac:dyDescent="0.25">
      <c r="A48" s="7" t="str">
        <f t="shared" si="2"/>
        <v>FEB 2025 D50</v>
      </c>
      <c r="B48" s="8">
        <f t="shared" si="2"/>
        <v>46114</v>
      </c>
      <c r="C48" s="8">
        <f t="shared" si="2"/>
        <v>46120</v>
      </c>
      <c r="D48" s="12">
        <f t="shared" si="3"/>
        <v>3320</v>
      </c>
      <c r="E48" s="12">
        <f t="shared" si="4"/>
        <v>336</v>
      </c>
      <c r="F48" s="12">
        <f t="shared" si="5"/>
        <v>4</v>
      </c>
      <c r="G48" s="7">
        <v>1</v>
      </c>
      <c r="H48" s="7">
        <v>81755</v>
      </c>
      <c r="I48" s="7" t="str">
        <f t="shared" si="6"/>
        <v>LEVIS</v>
      </c>
      <c r="J48" s="7">
        <v>52452890</v>
      </c>
      <c r="K48" s="7" t="s">
        <v>27</v>
      </c>
      <c r="L48" s="7" t="s">
        <v>85</v>
      </c>
      <c r="M48" s="7">
        <v>359000</v>
      </c>
      <c r="N48" s="15">
        <f t="shared" si="7"/>
        <v>0.5</v>
      </c>
      <c r="O48" s="9">
        <f t="shared" si="1"/>
        <v>179500</v>
      </c>
      <c r="P48" s="14" t="str">
        <f t="shared" si="8"/>
        <v>PERCENTAGE</v>
      </c>
    </row>
    <row r="49" spans="1:16" x14ac:dyDescent="0.25">
      <c r="A49" s="7" t="str">
        <f t="shared" si="2"/>
        <v>FEB 2025 D50</v>
      </c>
      <c r="B49" s="8">
        <f t="shared" si="2"/>
        <v>46114</v>
      </c>
      <c r="C49" s="8">
        <f t="shared" si="2"/>
        <v>46120</v>
      </c>
      <c r="D49" s="12">
        <f t="shared" si="3"/>
        <v>3320</v>
      </c>
      <c r="E49" s="12">
        <f t="shared" si="4"/>
        <v>336</v>
      </c>
      <c r="F49" s="12">
        <f t="shared" si="5"/>
        <v>4</v>
      </c>
      <c r="G49" s="7">
        <v>1</v>
      </c>
      <c r="H49" s="7">
        <v>81755</v>
      </c>
      <c r="I49" s="7" t="str">
        <f t="shared" si="6"/>
        <v>LEVIS</v>
      </c>
      <c r="J49" s="7">
        <v>52452907</v>
      </c>
      <c r="K49" s="7" t="s">
        <v>27</v>
      </c>
      <c r="L49" s="7" t="s">
        <v>86</v>
      </c>
      <c r="M49" s="7">
        <v>359000</v>
      </c>
      <c r="N49" s="15">
        <f t="shared" si="7"/>
        <v>0.5</v>
      </c>
      <c r="O49" s="9">
        <f t="shared" si="1"/>
        <v>179500</v>
      </c>
      <c r="P49" s="14" t="str">
        <f t="shared" si="8"/>
        <v>PERCENTAGE</v>
      </c>
    </row>
    <row r="50" spans="1:16" x14ac:dyDescent="0.25">
      <c r="A50" s="7" t="str">
        <f t="shared" si="2"/>
        <v>FEB 2025 D50</v>
      </c>
      <c r="B50" s="8">
        <f t="shared" si="2"/>
        <v>46114</v>
      </c>
      <c r="C50" s="8">
        <f t="shared" si="2"/>
        <v>46120</v>
      </c>
      <c r="D50" s="12">
        <f t="shared" si="3"/>
        <v>3320</v>
      </c>
      <c r="E50" s="12">
        <f t="shared" si="4"/>
        <v>336</v>
      </c>
      <c r="F50" s="12">
        <f t="shared" si="5"/>
        <v>4</v>
      </c>
      <c r="G50" s="7">
        <v>1</v>
      </c>
      <c r="H50" s="7">
        <v>81755</v>
      </c>
      <c r="I50" s="7" t="str">
        <f t="shared" si="6"/>
        <v>LEVIS</v>
      </c>
      <c r="J50" s="7">
        <v>52452916</v>
      </c>
      <c r="K50" s="7" t="s">
        <v>28</v>
      </c>
      <c r="L50" s="7" t="s">
        <v>87</v>
      </c>
      <c r="M50" s="7">
        <v>299000</v>
      </c>
      <c r="N50" s="15">
        <f t="shared" si="7"/>
        <v>0.5</v>
      </c>
      <c r="O50" s="9">
        <f t="shared" si="1"/>
        <v>149500</v>
      </c>
      <c r="P50" s="14" t="str">
        <f t="shared" si="8"/>
        <v>PERCENTAGE</v>
      </c>
    </row>
    <row r="51" spans="1:16" x14ac:dyDescent="0.25">
      <c r="A51" s="7" t="str">
        <f t="shared" si="2"/>
        <v>FEB 2025 D50</v>
      </c>
      <c r="B51" s="8">
        <f t="shared" si="2"/>
        <v>46114</v>
      </c>
      <c r="C51" s="8">
        <f t="shared" si="2"/>
        <v>46120</v>
      </c>
      <c r="D51" s="12">
        <f t="shared" si="3"/>
        <v>3320</v>
      </c>
      <c r="E51" s="12">
        <f t="shared" si="4"/>
        <v>336</v>
      </c>
      <c r="F51" s="12">
        <f t="shared" si="5"/>
        <v>4</v>
      </c>
      <c r="G51" s="7">
        <v>1</v>
      </c>
      <c r="H51" s="7">
        <v>81755</v>
      </c>
      <c r="I51" s="7" t="str">
        <f t="shared" si="6"/>
        <v>LEVIS</v>
      </c>
      <c r="J51" s="7">
        <v>52452925</v>
      </c>
      <c r="K51" s="7" t="s">
        <v>28</v>
      </c>
      <c r="L51" s="7" t="s">
        <v>88</v>
      </c>
      <c r="M51" s="7">
        <v>299000</v>
      </c>
      <c r="N51" s="15">
        <f t="shared" si="7"/>
        <v>0.5</v>
      </c>
      <c r="O51" s="9">
        <f t="shared" si="1"/>
        <v>149500</v>
      </c>
      <c r="P51" s="14" t="str">
        <f t="shared" si="8"/>
        <v>PERCENTAGE</v>
      </c>
    </row>
    <row r="52" spans="1:16" x14ac:dyDescent="0.25">
      <c r="A52" s="7" t="str">
        <f t="shared" si="2"/>
        <v>FEB 2025 D50</v>
      </c>
      <c r="B52" s="8">
        <f t="shared" si="2"/>
        <v>46114</v>
      </c>
      <c r="C52" s="8">
        <f t="shared" si="2"/>
        <v>46120</v>
      </c>
      <c r="D52" s="12">
        <f t="shared" si="3"/>
        <v>3320</v>
      </c>
      <c r="E52" s="12">
        <f t="shared" si="4"/>
        <v>336</v>
      </c>
      <c r="F52" s="12">
        <f t="shared" si="5"/>
        <v>4</v>
      </c>
      <c r="G52" s="7">
        <v>1</v>
      </c>
      <c r="H52" s="7">
        <v>81755</v>
      </c>
      <c r="I52" s="7" t="str">
        <f t="shared" si="6"/>
        <v>LEVIS</v>
      </c>
      <c r="J52" s="7">
        <v>52452934</v>
      </c>
      <c r="K52" s="7" t="s">
        <v>28</v>
      </c>
      <c r="L52" s="7" t="s">
        <v>89</v>
      </c>
      <c r="M52" s="7">
        <v>299000</v>
      </c>
      <c r="N52" s="15">
        <f t="shared" si="7"/>
        <v>0.5</v>
      </c>
      <c r="O52" s="9">
        <f t="shared" si="1"/>
        <v>149500</v>
      </c>
      <c r="P52" s="14" t="str">
        <f t="shared" si="8"/>
        <v>PERCENTAGE</v>
      </c>
    </row>
    <row r="53" spans="1:16" x14ac:dyDescent="0.25">
      <c r="A53" s="7" t="str">
        <f t="shared" si="2"/>
        <v>FEB 2025 D50</v>
      </c>
      <c r="B53" s="8">
        <f t="shared" si="2"/>
        <v>46114</v>
      </c>
      <c r="C53" s="8">
        <f t="shared" si="2"/>
        <v>46120</v>
      </c>
      <c r="D53" s="12">
        <f t="shared" si="3"/>
        <v>3320</v>
      </c>
      <c r="E53" s="12">
        <f t="shared" si="4"/>
        <v>336</v>
      </c>
      <c r="F53" s="12">
        <f t="shared" si="5"/>
        <v>4</v>
      </c>
      <c r="G53" s="7">
        <v>1</v>
      </c>
      <c r="H53" s="7">
        <v>81755</v>
      </c>
      <c r="I53" s="7" t="str">
        <f t="shared" si="6"/>
        <v>LEVIS</v>
      </c>
      <c r="J53" s="7">
        <v>52452943</v>
      </c>
      <c r="K53" s="7" t="s">
        <v>28</v>
      </c>
      <c r="L53" s="7" t="s">
        <v>90</v>
      </c>
      <c r="M53" s="7">
        <v>299000</v>
      </c>
      <c r="N53" s="15">
        <f t="shared" si="7"/>
        <v>0.5</v>
      </c>
      <c r="O53" s="9">
        <f t="shared" si="1"/>
        <v>149500</v>
      </c>
      <c r="P53" s="14" t="str">
        <f t="shared" si="8"/>
        <v>PERCENTAGE</v>
      </c>
    </row>
    <row r="54" spans="1:16" x14ac:dyDescent="0.25">
      <c r="A54" s="7" t="str">
        <f t="shared" si="2"/>
        <v>FEB 2025 D50</v>
      </c>
      <c r="B54" s="8">
        <f t="shared" si="2"/>
        <v>46114</v>
      </c>
      <c r="C54" s="8">
        <f t="shared" si="2"/>
        <v>46120</v>
      </c>
      <c r="D54" s="12">
        <f t="shared" si="3"/>
        <v>3320</v>
      </c>
      <c r="E54" s="12">
        <f t="shared" si="4"/>
        <v>336</v>
      </c>
      <c r="F54" s="12">
        <f t="shared" si="5"/>
        <v>4</v>
      </c>
      <c r="G54" s="7">
        <v>1</v>
      </c>
      <c r="H54" s="7">
        <v>81755</v>
      </c>
      <c r="I54" s="7" t="str">
        <f t="shared" si="6"/>
        <v>LEVIS</v>
      </c>
      <c r="J54" s="7">
        <v>52452952</v>
      </c>
      <c r="K54" s="7" t="s">
        <v>29</v>
      </c>
      <c r="L54" s="7" t="s">
        <v>91</v>
      </c>
      <c r="M54" s="7">
        <v>299000</v>
      </c>
      <c r="N54" s="15">
        <f t="shared" si="7"/>
        <v>0.5</v>
      </c>
      <c r="O54" s="9">
        <f t="shared" si="1"/>
        <v>149500</v>
      </c>
      <c r="P54" s="14" t="str">
        <f t="shared" si="8"/>
        <v>PERCENTAGE</v>
      </c>
    </row>
    <row r="55" spans="1:16" x14ac:dyDescent="0.25">
      <c r="A55" s="7" t="str">
        <f t="shared" si="2"/>
        <v>FEB 2025 D50</v>
      </c>
      <c r="B55" s="8">
        <f t="shared" si="2"/>
        <v>46114</v>
      </c>
      <c r="C55" s="8">
        <f t="shared" si="2"/>
        <v>46120</v>
      </c>
      <c r="D55" s="12">
        <f t="shared" si="3"/>
        <v>3320</v>
      </c>
      <c r="E55" s="12">
        <f t="shared" si="4"/>
        <v>336</v>
      </c>
      <c r="F55" s="12">
        <f t="shared" si="5"/>
        <v>4</v>
      </c>
      <c r="G55" s="7">
        <v>1</v>
      </c>
      <c r="H55" s="7">
        <v>81755</v>
      </c>
      <c r="I55" s="7" t="str">
        <f t="shared" si="6"/>
        <v>LEVIS</v>
      </c>
      <c r="J55" s="7">
        <v>52452961</v>
      </c>
      <c r="K55" s="7" t="s">
        <v>29</v>
      </c>
      <c r="L55" s="7" t="s">
        <v>92</v>
      </c>
      <c r="M55" s="7">
        <v>299000</v>
      </c>
      <c r="N55" s="15">
        <f t="shared" si="7"/>
        <v>0.5</v>
      </c>
      <c r="O55" s="9">
        <f t="shared" si="1"/>
        <v>149500</v>
      </c>
      <c r="P55" s="14" t="str">
        <f t="shared" si="8"/>
        <v>PERCENTAGE</v>
      </c>
    </row>
    <row r="56" spans="1:16" x14ac:dyDescent="0.25">
      <c r="A56" s="7" t="str">
        <f t="shared" si="2"/>
        <v>FEB 2025 D50</v>
      </c>
      <c r="B56" s="8">
        <f t="shared" si="2"/>
        <v>46114</v>
      </c>
      <c r="C56" s="8">
        <f t="shared" si="2"/>
        <v>46120</v>
      </c>
      <c r="D56" s="12">
        <f t="shared" si="3"/>
        <v>3320</v>
      </c>
      <c r="E56" s="12">
        <f t="shared" si="4"/>
        <v>336</v>
      </c>
      <c r="F56" s="12">
        <f t="shared" si="5"/>
        <v>4</v>
      </c>
      <c r="G56" s="7">
        <v>1</v>
      </c>
      <c r="H56" s="7">
        <v>81755</v>
      </c>
      <c r="I56" s="7" t="str">
        <f t="shared" si="6"/>
        <v>LEVIS</v>
      </c>
      <c r="J56" s="7">
        <v>52452970</v>
      </c>
      <c r="K56" s="7" t="s">
        <v>29</v>
      </c>
      <c r="L56" s="7" t="s">
        <v>93</v>
      </c>
      <c r="M56" s="7">
        <v>299000</v>
      </c>
      <c r="N56" s="15">
        <f t="shared" si="7"/>
        <v>0.5</v>
      </c>
      <c r="O56" s="9">
        <f t="shared" si="1"/>
        <v>149500</v>
      </c>
      <c r="P56" s="14" t="str">
        <f t="shared" si="8"/>
        <v>PERCENTAGE</v>
      </c>
    </row>
    <row r="57" spans="1:16" x14ac:dyDescent="0.25">
      <c r="A57" s="7" t="str">
        <f t="shared" si="2"/>
        <v>FEB 2025 D50</v>
      </c>
      <c r="B57" s="8">
        <f t="shared" si="2"/>
        <v>46114</v>
      </c>
      <c r="C57" s="8">
        <f t="shared" si="2"/>
        <v>46120</v>
      </c>
      <c r="D57" s="12">
        <f t="shared" si="3"/>
        <v>3320</v>
      </c>
      <c r="E57" s="12">
        <f t="shared" si="4"/>
        <v>336</v>
      </c>
      <c r="F57" s="12">
        <f t="shared" si="5"/>
        <v>4</v>
      </c>
      <c r="G57" s="7">
        <v>1</v>
      </c>
      <c r="H57" s="7">
        <v>81755</v>
      </c>
      <c r="I57" s="7" t="str">
        <f t="shared" si="6"/>
        <v>LEVIS</v>
      </c>
      <c r="J57" s="7">
        <v>52452989</v>
      </c>
      <c r="K57" s="7" t="s">
        <v>29</v>
      </c>
      <c r="L57" s="7" t="s">
        <v>94</v>
      </c>
      <c r="M57" s="7">
        <v>299000</v>
      </c>
      <c r="N57" s="15">
        <f t="shared" si="7"/>
        <v>0.5</v>
      </c>
      <c r="O57" s="9">
        <f t="shared" si="1"/>
        <v>149500</v>
      </c>
      <c r="P57" s="14" t="str">
        <f t="shared" si="8"/>
        <v>PERCENTAGE</v>
      </c>
    </row>
    <row r="58" spans="1:16" x14ac:dyDescent="0.25">
      <c r="A58" s="7" t="str">
        <f t="shared" si="2"/>
        <v>FEB 2025 D50</v>
      </c>
      <c r="B58" s="8">
        <f t="shared" si="2"/>
        <v>46114</v>
      </c>
      <c r="C58" s="8">
        <f t="shared" si="2"/>
        <v>46120</v>
      </c>
      <c r="D58" s="12">
        <f t="shared" si="3"/>
        <v>3320</v>
      </c>
      <c r="E58" s="12">
        <f t="shared" si="4"/>
        <v>336</v>
      </c>
      <c r="F58" s="12">
        <f t="shared" si="5"/>
        <v>4</v>
      </c>
      <c r="G58" s="7">
        <v>1</v>
      </c>
      <c r="H58" s="7">
        <v>81755</v>
      </c>
      <c r="I58" s="7" t="str">
        <f t="shared" si="6"/>
        <v>LEVIS</v>
      </c>
      <c r="J58" s="7">
        <v>52772357</v>
      </c>
      <c r="K58" s="7" t="s">
        <v>30</v>
      </c>
      <c r="L58" s="7" t="s">
        <v>95</v>
      </c>
      <c r="M58" s="7">
        <v>359000</v>
      </c>
      <c r="N58" s="15">
        <f t="shared" si="7"/>
        <v>0.5</v>
      </c>
      <c r="O58" s="9">
        <f t="shared" si="1"/>
        <v>179500</v>
      </c>
      <c r="P58" s="14" t="str">
        <f t="shared" si="8"/>
        <v>PERCENTAGE</v>
      </c>
    </row>
    <row r="59" spans="1:16" x14ac:dyDescent="0.25">
      <c r="A59" s="7" t="str">
        <f t="shared" si="2"/>
        <v>FEB 2025 D50</v>
      </c>
      <c r="B59" s="8">
        <f t="shared" si="2"/>
        <v>46114</v>
      </c>
      <c r="C59" s="8">
        <f t="shared" si="2"/>
        <v>46120</v>
      </c>
      <c r="D59" s="12">
        <f t="shared" si="3"/>
        <v>3320</v>
      </c>
      <c r="E59" s="12">
        <f t="shared" si="4"/>
        <v>336</v>
      </c>
      <c r="F59" s="12">
        <f t="shared" si="5"/>
        <v>4</v>
      </c>
      <c r="G59" s="7">
        <v>1</v>
      </c>
      <c r="H59" s="7">
        <v>81755</v>
      </c>
      <c r="I59" s="7" t="str">
        <f t="shared" si="6"/>
        <v>LEVIS</v>
      </c>
      <c r="J59" s="7">
        <v>52772366</v>
      </c>
      <c r="K59" s="7" t="s">
        <v>30</v>
      </c>
      <c r="L59" s="7" t="s">
        <v>96</v>
      </c>
      <c r="M59" s="7">
        <v>359000</v>
      </c>
      <c r="N59" s="15">
        <f t="shared" si="7"/>
        <v>0.5</v>
      </c>
      <c r="O59" s="9">
        <f t="shared" si="1"/>
        <v>179500</v>
      </c>
      <c r="P59" s="14" t="str">
        <f t="shared" si="8"/>
        <v>PERCENTAGE</v>
      </c>
    </row>
    <row r="60" spans="1:16" x14ac:dyDescent="0.25">
      <c r="A60" s="7" t="str">
        <f t="shared" si="2"/>
        <v>FEB 2025 D50</v>
      </c>
      <c r="B60" s="8">
        <f t="shared" si="2"/>
        <v>46114</v>
      </c>
      <c r="C60" s="8">
        <f t="shared" si="2"/>
        <v>46120</v>
      </c>
      <c r="D60" s="12">
        <f t="shared" si="3"/>
        <v>3320</v>
      </c>
      <c r="E60" s="12">
        <f t="shared" si="4"/>
        <v>336</v>
      </c>
      <c r="F60" s="12">
        <f t="shared" si="5"/>
        <v>4</v>
      </c>
      <c r="G60" s="7">
        <v>1</v>
      </c>
      <c r="H60" s="7">
        <v>81755</v>
      </c>
      <c r="I60" s="7" t="str">
        <f t="shared" si="6"/>
        <v>LEVIS</v>
      </c>
      <c r="J60" s="7">
        <v>52772375</v>
      </c>
      <c r="K60" s="7" t="s">
        <v>30</v>
      </c>
      <c r="L60" s="7" t="s">
        <v>97</v>
      </c>
      <c r="M60" s="7">
        <v>359000</v>
      </c>
      <c r="N60" s="15">
        <f t="shared" si="7"/>
        <v>0.5</v>
      </c>
      <c r="O60" s="9">
        <f t="shared" si="1"/>
        <v>179500</v>
      </c>
      <c r="P60" s="14" t="str">
        <f t="shared" si="8"/>
        <v>PERCENTAGE</v>
      </c>
    </row>
    <row r="61" spans="1:16" x14ac:dyDescent="0.25">
      <c r="A61" s="7" t="str">
        <f t="shared" si="2"/>
        <v>FEB 2025 D50</v>
      </c>
      <c r="B61" s="8">
        <f t="shared" si="2"/>
        <v>46114</v>
      </c>
      <c r="C61" s="8">
        <f t="shared" si="2"/>
        <v>46120</v>
      </c>
      <c r="D61" s="12">
        <f t="shared" si="3"/>
        <v>3320</v>
      </c>
      <c r="E61" s="12">
        <f t="shared" si="4"/>
        <v>336</v>
      </c>
      <c r="F61" s="12">
        <f t="shared" si="5"/>
        <v>4</v>
      </c>
      <c r="G61" s="7">
        <v>1</v>
      </c>
      <c r="H61" s="7">
        <v>81755</v>
      </c>
      <c r="I61" s="7" t="str">
        <f t="shared" si="6"/>
        <v>LEVIS</v>
      </c>
      <c r="J61" s="7">
        <v>52772384</v>
      </c>
      <c r="K61" s="7" t="s">
        <v>30</v>
      </c>
      <c r="L61" s="7" t="s">
        <v>98</v>
      </c>
      <c r="M61" s="7">
        <v>359000</v>
      </c>
      <c r="N61" s="15">
        <f t="shared" si="7"/>
        <v>0.5</v>
      </c>
      <c r="O61" s="9">
        <f t="shared" si="1"/>
        <v>179500</v>
      </c>
      <c r="P61" s="14" t="str">
        <f t="shared" si="8"/>
        <v>PERCENTAGE</v>
      </c>
    </row>
    <row r="62" spans="1:16" x14ac:dyDescent="0.25">
      <c r="A62" s="7" t="str">
        <f t="shared" si="2"/>
        <v>FEB 2025 D50</v>
      </c>
      <c r="B62" s="8">
        <f t="shared" si="2"/>
        <v>46114</v>
      </c>
      <c r="C62" s="8">
        <f t="shared" si="2"/>
        <v>46120</v>
      </c>
      <c r="D62" s="12">
        <f t="shared" si="3"/>
        <v>3320</v>
      </c>
      <c r="E62" s="12">
        <f t="shared" si="4"/>
        <v>336</v>
      </c>
      <c r="F62" s="12">
        <f t="shared" si="5"/>
        <v>4</v>
      </c>
      <c r="G62" s="7">
        <v>1</v>
      </c>
      <c r="H62" s="7">
        <v>81755</v>
      </c>
      <c r="I62" s="7" t="str">
        <f t="shared" si="6"/>
        <v>LEVIS</v>
      </c>
      <c r="J62" s="7">
        <v>52452630</v>
      </c>
      <c r="K62" s="7" t="s">
        <v>31</v>
      </c>
      <c r="L62" s="7" t="s">
        <v>99</v>
      </c>
      <c r="M62" s="7">
        <v>799000</v>
      </c>
      <c r="N62" s="15">
        <f t="shared" si="7"/>
        <v>0.5</v>
      </c>
      <c r="O62" s="9">
        <f t="shared" si="1"/>
        <v>399500</v>
      </c>
      <c r="P62" s="14" t="str">
        <f t="shared" si="8"/>
        <v>PERCENTAGE</v>
      </c>
    </row>
    <row r="63" spans="1:16" x14ac:dyDescent="0.25">
      <c r="A63" s="7" t="str">
        <f t="shared" si="2"/>
        <v>FEB 2025 D50</v>
      </c>
      <c r="B63" s="8">
        <f t="shared" si="2"/>
        <v>46114</v>
      </c>
      <c r="C63" s="8">
        <f t="shared" si="2"/>
        <v>46120</v>
      </c>
      <c r="D63" s="12">
        <f t="shared" si="3"/>
        <v>3320</v>
      </c>
      <c r="E63" s="12">
        <f t="shared" si="4"/>
        <v>336</v>
      </c>
      <c r="F63" s="12">
        <f t="shared" si="5"/>
        <v>4</v>
      </c>
      <c r="G63" s="7">
        <v>2</v>
      </c>
      <c r="H63" s="7">
        <v>81755</v>
      </c>
      <c r="I63" s="7" t="str">
        <f t="shared" si="6"/>
        <v>LEVIS</v>
      </c>
      <c r="J63" s="7">
        <v>52452649</v>
      </c>
      <c r="K63" s="7" t="s">
        <v>31</v>
      </c>
      <c r="L63" s="7" t="s">
        <v>100</v>
      </c>
      <c r="M63" s="7">
        <v>799000</v>
      </c>
      <c r="N63" s="15">
        <f t="shared" si="7"/>
        <v>0.5</v>
      </c>
      <c r="O63" s="9">
        <f t="shared" si="1"/>
        <v>399500</v>
      </c>
      <c r="P63" s="14" t="str">
        <f t="shared" si="8"/>
        <v>PERCENTAGE</v>
      </c>
    </row>
    <row r="64" spans="1:16" x14ac:dyDescent="0.25">
      <c r="A64" s="7" t="str">
        <f t="shared" si="2"/>
        <v>FEB 2025 D50</v>
      </c>
      <c r="B64" s="8">
        <f t="shared" si="2"/>
        <v>46114</v>
      </c>
      <c r="C64" s="8">
        <f t="shared" si="2"/>
        <v>46120</v>
      </c>
      <c r="D64" s="12">
        <f t="shared" si="3"/>
        <v>3320</v>
      </c>
      <c r="E64" s="12">
        <f t="shared" si="4"/>
        <v>336</v>
      </c>
      <c r="F64" s="12">
        <f t="shared" si="5"/>
        <v>4</v>
      </c>
      <c r="G64" s="7">
        <v>2</v>
      </c>
      <c r="H64" s="7">
        <v>81755</v>
      </c>
      <c r="I64" s="7" t="str">
        <f t="shared" si="6"/>
        <v>LEVIS</v>
      </c>
      <c r="J64" s="7">
        <v>52452658</v>
      </c>
      <c r="K64" s="7" t="s">
        <v>31</v>
      </c>
      <c r="L64" s="7" t="s">
        <v>101</v>
      </c>
      <c r="M64" s="7">
        <v>799000</v>
      </c>
      <c r="N64" s="15">
        <f t="shared" si="7"/>
        <v>0.5</v>
      </c>
      <c r="O64" s="9">
        <f t="shared" si="1"/>
        <v>399500</v>
      </c>
      <c r="P64" s="14" t="str">
        <f t="shared" si="8"/>
        <v>PERCENTAGE</v>
      </c>
    </row>
    <row r="65" spans="1:16" x14ac:dyDescent="0.25">
      <c r="A65" s="7" t="str">
        <f t="shared" si="2"/>
        <v>FEB 2025 D50</v>
      </c>
      <c r="B65" s="8">
        <f t="shared" si="2"/>
        <v>46114</v>
      </c>
      <c r="C65" s="8">
        <f t="shared" si="2"/>
        <v>46120</v>
      </c>
      <c r="D65" s="12">
        <f t="shared" si="3"/>
        <v>3320</v>
      </c>
      <c r="E65" s="12">
        <f t="shared" si="4"/>
        <v>336</v>
      </c>
      <c r="F65" s="12">
        <f t="shared" si="5"/>
        <v>4</v>
      </c>
      <c r="G65" s="7">
        <v>2</v>
      </c>
      <c r="H65" s="7">
        <v>81755</v>
      </c>
      <c r="I65" s="7" t="str">
        <f t="shared" si="6"/>
        <v>LEVIS</v>
      </c>
      <c r="J65" s="7">
        <v>52452667</v>
      </c>
      <c r="K65" s="7" t="s">
        <v>31</v>
      </c>
      <c r="L65" s="7" t="s">
        <v>102</v>
      </c>
      <c r="M65" s="7">
        <v>799000</v>
      </c>
      <c r="N65" s="15">
        <f t="shared" si="7"/>
        <v>0.5</v>
      </c>
      <c r="O65" s="9">
        <f t="shared" si="1"/>
        <v>399500</v>
      </c>
      <c r="P65" s="14" t="str">
        <f t="shared" si="8"/>
        <v>PERCENTAGE</v>
      </c>
    </row>
    <row r="66" spans="1:16" x14ac:dyDescent="0.25">
      <c r="A66" s="7" t="str">
        <f t="shared" si="2"/>
        <v>FEB 2025 D50</v>
      </c>
      <c r="B66" s="8">
        <f t="shared" si="2"/>
        <v>46114</v>
      </c>
      <c r="C66" s="8">
        <f t="shared" si="2"/>
        <v>46120</v>
      </c>
      <c r="D66" s="12">
        <f t="shared" si="3"/>
        <v>3320</v>
      </c>
      <c r="E66" s="12">
        <f t="shared" si="4"/>
        <v>336</v>
      </c>
      <c r="F66" s="12">
        <f t="shared" si="5"/>
        <v>4</v>
      </c>
      <c r="G66" s="7">
        <v>2</v>
      </c>
      <c r="H66" s="7">
        <v>81755</v>
      </c>
      <c r="I66" s="7" t="str">
        <f t="shared" si="6"/>
        <v>LEVIS</v>
      </c>
      <c r="J66" s="7">
        <v>52768700</v>
      </c>
      <c r="K66" s="7" t="s">
        <v>32</v>
      </c>
      <c r="L66" s="7" t="s">
        <v>103</v>
      </c>
      <c r="M66" s="7">
        <v>459000</v>
      </c>
      <c r="N66" s="15">
        <f t="shared" si="7"/>
        <v>0.5</v>
      </c>
      <c r="O66" s="9">
        <f t="shared" si="1"/>
        <v>229500</v>
      </c>
      <c r="P66" s="14" t="str">
        <f t="shared" si="8"/>
        <v>PERCENTAGE</v>
      </c>
    </row>
    <row r="67" spans="1:16" x14ac:dyDescent="0.25">
      <c r="A67" s="7" t="str">
        <f t="shared" si="2"/>
        <v>FEB 2025 D50</v>
      </c>
      <c r="B67" s="8">
        <f t="shared" si="2"/>
        <v>46114</v>
      </c>
      <c r="C67" s="8">
        <f t="shared" si="2"/>
        <v>46120</v>
      </c>
      <c r="D67" s="12">
        <f t="shared" si="3"/>
        <v>3320</v>
      </c>
      <c r="E67" s="12">
        <f t="shared" si="4"/>
        <v>336</v>
      </c>
      <c r="F67" s="12">
        <f t="shared" si="5"/>
        <v>4</v>
      </c>
      <c r="G67" s="7">
        <v>2</v>
      </c>
      <c r="H67" s="7">
        <v>81755</v>
      </c>
      <c r="I67" s="7" t="str">
        <f t="shared" si="6"/>
        <v>LEVIS</v>
      </c>
      <c r="J67" s="7">
        <v>52768719</v>
      </c>
      <c r="K67" s="7" t="s">
        <v>32</v>
      </c>
      <c r="L67" s="7" t="s">
        <v>104</v>
      </c>
      <c r="M67" s="7">
        <v>459000</v>
      </c>
      <c r="N67" s="15">
        <f t="shared" si="7"/>
        <v>0.5</v>
      </c>
      <c r="O67" s="9">
        <f t="shared" ref="O67:O103" si="9">M67*N67</f>
        <v>229500</v>
      </c>
      <c r="P67" s="14" t="str">
        <f t="shared" si="8"/>
        <v>PERCENTAGE</v>
      </c>
    </row>
    <row r="68" spans="1:16" x14ac:dyDescent="0.25">
      <c r="A68" s="7" t="str">
        <f t="shared" ref="A68:C103" si="10">A67</f>
        <v>FEB 2025 D50</v>
      </c>
      <c r="B68" s="8">
        <f t="shared" si="10"/>
        <v>46114</v>
      </c>
      <c r="C68" s="8">
        <f t="shared" si="10"/>
        <v>46120</v>
      </c>
      <c r="D68" s="12">
        <f t="shared" ref="D68:D103" si="11">D67</f>
        <v>3320</v>
      </c>
      <c r="E68" s="12">
        <f t="shared" ref="E68:E103" si="12">E67</f>
        <v>336</v>
      </c>
      <c r="F68" s="12">
        <f t="shared" ref="F68:F103" si="13">F67</f>
        <v>4</v>
      </c>
      <c r="G68" s="7">
        <v>2</v>
      </c>
      <c r="H68" s="7">
        <v>81755</v>
      </c>
      <c r="I68" s="7" t="str">
        <f t="shared" ref="I68:I103" si="14">I67</f>
        <v>LEVIS</v>
      </c>
      <c r="J68" s="7">
        <v>52768728</v>
      </c>
      <c r="K68" s="7" t="s">
        <v>32</v>
      </c>
      <c r="L68" s="7" t="s">
        <v>105</v>
      </c>
      <c r="M68" s="7">
        <v>459000</v>
      </c>
      <c r="N68" s="15">
        <f t="shared" ref="N68:N103" si="15">N67</f>
        <v>0.5</v>
      </c>
      <c r="O68" s="9">
        <f t="shared" si="9"/>
        <v>229500</v>
      </c>
      <c r="P68" s="14" t="str">
        <f t="shared" ref="P68:P103" si="16">P67</f>
        <v>PERCENTAGE</v>
      </c>
    </row>
    <row r="69" spans="1:16" x14ac:dyDescent="0.25">
      <c r="A69" s="7" t="str">
        <f t="shared" si="10"/>
        <v>FEB 2025 D50</v>
      </c>
      <c r="B69" s="8">
        <f t="shared" si="10"/>
        <v>46114</v>
      </c>
      <c r="C69" s="8">
        <f t="shared" si="10"/>
        <v>46120</v>
      </c>
      <c r="D69" s="12">
        <f t="shared" si="11"/>
        <v>3320</v>
      </c>
      <c r="E69" s="12">
        <f t="shared" si="12"/>
        <v>336</v>
      </c>
      <c r="F69" s="12">
        <f t="shared" si="13"/>
        <v>4</v>
      </c>
      <c r="G69" s="7">
        <v>2</v>
      </c>
      <c r="H69" s="7">
        <v>81755</v>
      </c>
      <c r="I69" s="7" t="str">
        <f t="shared" si="14"/>
        <v>LEVIS</v>
      </c>
      <c r="J69" s="7">
        <v>52768737</v>
      </c>
      <c r="K69" s="7" t="s">
        <v>32</v>
      </c>
      <c r="L69" s="7" t="s">
        <v>106</v>
      </c>
      <c r="M69" s="7">
        <v>459000</v>
      </c>
      <c r="N69" s="15">
        <f t="shared" si="15"/>
        <v>0.5</v>
      </c>
      <c r="O69" s="9">
        <f t="shared" si="9"/>
        <v>229500</v>
      </c>
      <c r="P69" s="14" t="str">
        <f t="shared" si="16"/>
        <v>PERCENTAGE</v>
      </c>
    </row>
    <row r="70" spans="1:16" x14ac:dyDescent="0.25">
      <c r="A70" s="7" t="str">
        <f t="shared" si="10"/>
        <v>FEB 2025 D50</v>
      </c>
      <c r="B70" s="8">
        <f t="shared" si="10"/>
        <v>46114</v>
      </c>
      <c r="C70" s="8">
        <f t="shared" si="10"/>
        <v>46120</v>
      </c>
      <c r="D70" s="12">
        <f t="shared" si="11"/>
        <v>3320</v>
      </c>
      <c r="E70" s="12">
        <f t="shared" si="12"/>
        <v>336</v>
      </c>
      <c r="F70" s="12">
        <f t="shared" si="13"/>
        <v>4</v>
      </c>
      <c r="G70" s="7">
        <v>2</v>
      </c>
      <c r="H70" s="7">
        <v>81755</v>
      </c>
      <c r="I70" s="7" t="str">
        <f t="shared" si="14"/>
        <v>LEVIS</v>
      </c>
      <c r="J70" s="7">
        <v>52768746</v>
      </c>
      <c r="K70" s="7" t="s">
        <v>33</v>
      </c>
      <c r="L70" s="7" t="s">
        <v>107</v>
      </c>
      <c r="M70" s="7">
        <v>499000</v>
      </c>
      <c r="N70" s="15">
        <f t="shared" si="15"/>
        <v>0.5</v>
      </c>
      <c r="O70" s="9">
        <f t="shared" si="9"/>
        <v>249500</v>
      </c>
      <c r="P70" s="14" t="str">
        <f t="shared" si="16"/>
        <v>PERCENTAGE</v>
      </c>
    </row>
    <row r="71" spans="1:16" x14ac:dyDescent="0.25">
      <c r="A71" s="7" t="str">
        <f t="shared" si="10"/>
        <v>FEB 2025 D50</v>
      </c>
      <c r="B71" s="8">
        <f t="shared" si="10"/>
        <v>46114</v>
      </c>
      <c r="C71" s="8">
        <f t="shared" si="10"/>
        <v>46120</v>
      </c>
      <c r="D71" s="12">
        <f t="shared" si="11"/>
        <v>3320</v>
      </c>
      <c r="E71" s="12">
        <f t="shared" si="12"/>
        <v>336</v>
      </c>
      <c r="F71" s="12">
        <f t="shared" si="13"/>
        <v>4</v>
      </c>
      <c r="G71" s="7">
        <v>2</v>
      </c>
      <c r="H71" s="7">
        <v>81755</v>
      </c>
      <c r="I71" s="7" t="str">
        <f t="shared" si="14"/>
        <v>LEVIS</v>
      </c>
      <c r="J71" s="7">
        <v>52768755</v>
      </c>
      <c r="K71" s="7" t="s">
        <v>33</v>
      </c>
      <c r="L71" s="7" t="s">
        <v>108</v>
      </c>
      <c r="M71" s="7">
        <v>499000</v>
      </c>
      <c r="N71" s="15">
        <f t="shared" si="15"/>
        <v>0.5</v>
      </c>
      <c r="O71" s="9">
        <f t="shared" si="9"/>
        <v>249500</v>
      </c>
      <c r="P71" s="14" t="str">
        <f t="shared" si="16"/>
        <v>PERCENTAGE</v>
      </c>
    </row>
    <row r="72" spans="1:16" x14ac:dyDescent="0.25">
      <c r="A72" s="7" t="str">
        <f t="shared" si="10"/>
        <v>FEB 2025 D50</v>
      </c>
      <c r="B72" s="8">
        <f t="shared" si="10"/>
        <v>46114</v>
      </c>
      <c r="C72" s="8">
        <f t="shared" si="10"/>
        <v>46120</v>
      </c>
      <c r="D72" s="12">
        <f t="shared" si="11"/>
        <v>3320</v>
      </c>
      <c r="E72" s="12">
        <f t="shared" si="12"/>
        <v>336</v>
      </c>
      <c r="F72" s="12">
        <f t="shared" si="13"/>
        <v>4</v>
      </c>
      <c r="G72" s="7">
        <v>2</v>
      </c>
      <c r="H72" s="7">
        <v>81755</v>
      </c>
      <c r="I72" s="7" t="str">
        <f t="shared" si="14"/>
        <v>LEVIS</v>
      </c>
      <c r="J72" s="7">
        <v>52768764</v>
      </c>
      <c r="K72" s="7" t="s">
        <v>33</v>
      </c>
      <c r="L72" s="7" t="s">
        <v>109</v>
      </c>
      <c r="M72" s="7">
        <v>499000</v>
      </c>
      <c r="N72" s="15">
        <f t="shared" si="15"/>
        <v>0.5</v>
      </c>
      <c r="O72" s="9">
        <f t="shared" si="9"/>
        <v>249500</v>
      </c>
      <c r="P72" s="14" t="str">
        <f t="shared" si="16"/>
        <v>PERCENTAGE</v>
      </c>
    </row>
    <row r="73" spans="1:16" x14ac:dyDescent="0.25">
      <c r="A73" s="7" t="str">
        <f t="shared" si="10"/>
        <v>FEB 2025 D50</v>
      </c>
      <c r="B73" s="8">
        <f t="shared" si="10"/>
        <v>46114</v>
      </c>
      <c r="C73" s="8">
        <f t="shared" si="10"/>
        <v>46120</v>
      </c>
      <c r="D73" s="12">
        <f t="shared" si="11"/>
        <v>3320</v>
      </c>
      <c r="E73" s="12">
        <f t="shared" si="12"/>
        <v>336</v>
      </c>
      <c r="F73" s="12">
        <f t="shared" si="13"/>
        <v>4</v>
      </c>
      <c r="G73" s="7">
        <v>2</v>
      </c>
      <c r="H73" s="7">
        <v>81755</v>
      </c>
      <c r="I73" s="7" t="str">
        <f t="shared" si="14"/>
        <v>LEVIS</v>
      </c>
      <c r="J73" s="7">
        <v>52768773</v>
      </c>
      <c r="K73" s="7" t="s">
        <v>33</v>
      </c>
      <c r="L73" s="7" t="s">
        <v>110</v>
      </c>
      <c r="M73" s="7">
        <v>499000</v>
      </c>
      <c r="N73" s="15">
        <f t="shared" si="15"/>
        <v>0.5</v>
      </c>
      <c r="O73" s="9">
        <f t="shared" si="9"/>
        <v>249500</v>
      </c>
      <c r="P73" s="14" t="str">
        <f t="shared" si="16"/>
        <v>PERCENTAGE</v>
      </c>
    </row>
    <row r="74" spans="1:16" x14ac:dyDescent="0.25">
      <c r="A74" s="7" t="str">
        <f t="shared" si="10"/>
        <v>FEB 2025 D50</v>
      </c>
      <c r="B74" s="8">
        <f t="shared" si="10"/>
        <v>46114</v>
      </c>
      <c r="C74" s="8">
        <f t="shared" si="10"/>
        <v>46120</v>
      </c>
      <c r="D74" s="12">
        <f t="shared" si="11"/>
        <v>3320</v>
      </c>
      <c r="E74" s="12">
        <f t="shared" si="12"/>
        <v>336</v>
      </c>
      <c r="F74" s="12">
        <f t="shared" si="13"/>
        <v>4</v>
      </c>
      <c r="G74" s="7">
        <v>2</v>
      </c>
      <c r="H74" s="7">
        <v>81755</v>
      </c>
      <c r="I74" s="7" t="str">
        <f t="shared" si="14"/>
        <v>LEVIS</v>
      </c>
      <c r="J74" s="7">
        <v>52416821</v>
      </c>
      <c r="K74" s="7" t="s">
        <v>34</v>
      </c>
      <c r="L74" s="7" t="s">
        <v>111</v>
      </c>
      <c r="M74" s="7">
        <v>599000</v>
      </c>
      <c r="N74" s="15">
        <f t="shared" si="15"/>
        <v>0.5</v>
      </c>
      <c r="O74" s="9">
        <f t="shared" si="9"/>
        <v>299500</v>
      </c>
      <c r="P74" s="14" t="str">
        <f t="shared" si="16"/>
        <v>PERCENTAGE</v>
      </c>
    </row>
    <row r="75" spans="1:16" x14ac:dyDescent="0.25">
      <c r="A75" s="7" t="str">
        <f t="shared" si="10"/>
        <v>FEB 2025 D50</v>
      </c>
      <c r="B75" s="8">
        <f t="shared" si="10"/>
        <v>46114</v>
      </c>
      <c r="C75" s="8">
        <f t="shared" si="10"/>
        <v>46120</v>
      </c>
      <c r="D75" s="12">
        <f t="shared" si="11"/>
        <v>3320</v>
      </c>
      <c r="E75" s="12">
        <f t="shared" si="12"/>
        <v>336</v>
      </c>
      <c r="F75" s="12">
        <f t="shared" si="13"/>
        <v>4</v>
      </c>
      <c r="G75" s="7">
        <v>2</v>
      </c>
      <c r="H75" s="7">
        <v>81755</v>
      </c>
      <c r="I75" s="7" t="str">
        <f t="shared" si="14"/>
        <v>LEVIS</v>
      </c>
      <c r="J75" s="7">
        <v>52416830</v>
      </c>
      <c r="K75" s="7" t="s">
        <v>34</v>
      </c>
      <c r="L75" s="7" t="s">
        <v>112</v>
      </c>
      <c r="M75" s="7">
        <v>599000</v>
      </c>
      <c r="N75" s="15">
        <f t="shared" si="15"/>
        <v>0.5</v>
      </c>
      <c r="O75" s="9">
        <f t="shared" si="9"/>
        <v>299500</v>
      </c>
      <c r="P75" s="14" t="str">
        <f t="shared" si="16"/>
        <v>PERCENTAGE</v>
      </c>
    </row>
    <row r="76" spans="1:16" x14ac:dyDescent="0.25">
      <c r="A76" s="7" t="str">
        <f t="shared" si="10"/>
        <v>FEB 2025 D50</v>
      </c>
      <c r="B76" s="8">
        <f t="shared" si="10"/>
        <v>46114</v>
      </c>
      <c r="C76" s="8">
        <f t="shared" si="10"/>
        <v>46120</v>
      </c>
      <c r="D76" s="12">
        <f t="shared" si="11"/>
        <v>3320</v>
      </c>
      <c r="E76" s="12">
        <f t="shared" si="12"/>
        <v>336</v>
      </c>
      <c r="F76" s="12">
        <f t="shared" si="13"/>
        <v>4</v>
      </c>
      <c r="G76" s="7">
        <v>3</v>
      </c>
      <c r="H76" s="7">
        <v>81755</v>
      </c>
      <c r="I76" s="7" t="str">
        <f t="shared" si="14"/>
        <v>LEVIS</v>
      </c>
      <c r="J76" s="7">
        <v>52416849</v>
      </c>
      <c r="K76" s="7" t="s">
        <v>34</v>
      </c>
      <c r="L76" s="7" t="s">
        <v>113</v>
      </c>
      <c r="M76" s="7">
        <v>599000</v>
      </c>
      <c r="N76" s="15">
        <f t="shared" si="15"/>
        <v>0.5</v>
      </c>
      <c r="O76" s="9">
        <f t="shared" si="9"/>
        <v>299500</v>
      </c>
      <c r="P76" s="14" t="str">
        <f t="shared" si="16"/>
        <v>PERCENTAGE</v>
      </c>
    </row>
    <row r="77" spans="1:16" x14ac:dyDescent="0.25">
      <c r="A77" s="7" t="str">
        <f t="shared" si="10"/>
        <v>FEB 2025 D50</v>
      </c>
      <c r="B77" s="8">
        <f t="shared" si="10"/>
        <v>46114</v>
      </c>
      <c r="C77" s="8">
        <f t="shared" si="10"/>
        <v>46120</v>
      </c>
      <c r="D77" s="12">
        <f t="shared" si="11"/>
        <v>3320</v>
      </c>
      <c r="E77" s="12">
        <f t="shared" si="12"/>
        <v>336</v>
      </c>
      <c r="F77" s="12">
        <f t="shared" si="13"/>
        <v>4</v>
      </c>
      <c r="G77" s="7">
        <v>3</v>
      </c>
      <c r="H77" s="7">
        <v>81755</v>
      </c>
      <c r="I77" s="7" t="str">
        <f t="shared" si="14"/>
        <v>LEVIS</v>
      </c>
      <c r="J77" s="7">
        <v>52416858</v>
      </c>
      <c r="K77" s="7" t="s">
        <v>34</v>
      </c>
      <c r="L77" s="7" t="s">
        <v>114</v>
      </c>
      <c r="M77" s="7">
        <v>599000</v>
      </c>
      <c r="N77" s="15">
        <f t="shared" si="15"/>
        <v>0.5</v>
      </c>
      <c r="O77" s="9">
        <f t="shared" si="9"/>
        <v>299500</v>
      </c>
      <c r="P77" s="14" t="str">
        <f t="shared" si="16"/>
        <v>PERCENTAGE</v>
      </c>
    </row>
    <row r="78" spans="1:16" x14ac:dyDescent="0.25">
      <c r="A78" s="7" t="str">
        <f t="shared" si="10"/>
        <v>FEB 2025 D50</v>
      </c>
      <c r="B78" s="8">
        <f t="shared" si="10"/>
        <v>46114</v>
      </c>
      <c r="C78" s="8">
        <f t="shared" si="10"/>
        <v>46120</v>
      </c>
      <c r="D78" s="12">
        <f t="shared" si="11"/>
        <v>3320</v>
      </c>
      <c r="E78" s="12">
        <f t="shared" si="12"/>
        <v>336</v>
      </c>
      <c r="F78" s="12">
        <f t="shared" si="13"/>
        <v>4</v>
      </c>
      <c r="G78" s="7">
        <v>3</v>
      </c>
      <c r="H78" s="7">
        <v>81755</v>
      </c>
      <c r="I78" s="7" t="str">
        <f t="shared" si="14"/>
        <v>LEVIS</v>
      </c>
      <c r="J78" s="7">
        <v>52416867</v>
      </c>
      <c r="K78" s="7" t="s">
        <v>34</v>
      </c>
      <c r="L78" s="7" t="s">
        <v>115</v>
      </c>
      <c r="M78" s="7">
        <v>599000</v>
      </c>
      <c r="N78" s="15">
        <f t="shared" si="15"/>
        <v>0.5</v>
      </c>
      <c r="O78" s="9">
        <f t="shared" si="9"/>
        <v>299500</v>
      </c>
      <c r="P78" s="14" t="str">
        <f t="shared" si="16"/>
        <v>PERCENTAGE</v>
      </c>
    </row>
    <row r="79" spans="1:16" x14ac:dyDescent="0.25">
      <c r="A79" s="7" t="str">
        <f t="shared" si="10"/>
        <v>FEB 2025 D50</v>
      </c>
      <c r="B79" s="8">
        <f t="shared" si="10"/>
        <v>46114</v>
      </c>
      <c r="C79" s="8">
        <f t="shared" si="10"/>
        <v>46120</v>
      </c>
      <c r="D79" s="12">
        <f t="shared" si="11"/>
        <v>3320</v>
      </c>
      <c r="E79" s="12">
        <f t="shared" si="12"/>
        <v>336</v>
      </c>
      <c r="F79" s="12">
        <f t="shared" si="13"/>
        <v>4</v>
      </c>
      <c r="G79" s="7">
        <v>3</v>
      </c>
      <c r="H79" s="7">
        <v>81755</v>
      </c>
      <c r="I79" s="7" t="str">
        <f t="shared" si="14"/>
        <v>LEVIS</v>
      </c>
      <c r="J79" s="7">
        <v>52416876</v>
      </c>
      <c r="K79" s="7" t="s">
        <v>34</v>
      </c>
      <c r="L79" s="7" t="s">
        <v>116</v>
      </c>
      <c r="M79" s="7">
        <v>599000</v>
      </c>
      <c r="N79" s="15">
        <f t="shared" si="15"/>
        <v>0.5</v>
      </c>
      <c r="O79" s="9">
        <f t="shared" si="9"/>
        <v>299500</v>
      </c>
      <c r="P79" s="14" t="str">
        <f t="shared" si="16"/>
        <v>PERCENTAGE</v>
      </c>
    </row>
    <row r="80" spans="1:16" x14ac:dyDescent="0.25">
      <c r="A80" s="7" t="str">
        <f t="shared" si="10"/>
        <v>FEB 2025 D50</v>
      </c>
      <c r="B80" s="8">
        <f t="shared" si="10"/>
        <v>46114</v>
      </c>
      <c r="C80" s="8">
        <f t="shared" si="10"/>
        <v>46120</v>
      </c>
      <c r="D80" s="12">
        <f t="shared" si="11"/>
        <v>3320</v>
      </c>
      <c r="E80" s="12">
        <f t="shared" si="12"/>
        <v>336</v>
      </c>
      <c r="F80" s="12">
        <f t="shared" si="13"/>
        <v>4</v>
      </c>
      <c r="G80" s="7">
        <v>3</v>
      </c>
      <c r="H80" s="7">
        <v>81755</v>
      </c>
      <c r="I80" s="7" t="str">
        <f t="shared" si="14"/>
        <v>LEVIS</v>
      </c>
      <c r="J80" s="7">
        <v>52452390</v>
      </c>
      <c r="K80" s="7" t="s">
        <v>35</v>
      </c>
      <c r="L80" s="7" t="s">
        <v>117</v>
      </c>
      <c r="M80" s="7">
        <v>599000</v>
      </c>
      <c r="N80" s="15">
        <f t="shared" si="15"/>
        <v>0.5</v>
      </c>
      <c r="O80" s="9">
        <f t="shared" si="9"/>
        <v>299500</v>
      </c>
      <c r="P80" s="14" t="str">
        <f t="shared" si="16"/>
        <v>PERCENTAGE</v>
      </c>
    </row>
    <row r="81" spans="1:16" x14ac:dyDescent="0.25">
      <c r="A81" s="7" t="str">
        <f t="shared" si="10"/>
        <v>FEB 2025 D50</v>
      </c>
      <c r="B81" s="8">
        <f t="shared" si="10"/>
        <v>46114</v>
      </c>
      <c r="C81" s="8">
        <f t="shared" si="10"/>
        <v>46120</v>
      </c>
      <c r="D81" s="12">
        <f t="shared" si="11"/>
        <v>3320</v>
      </c>
      <c r="E81" s="12">
        <f t="shared" si="12"/>
        <v>336</v>
      </c>
      <c r="F81" s="12">
        <f t="shared" si="13"/>
        <v>4</v>
      </c>
      <c r="G81" s="7">
        <v>3</v>
      </c>
      <c r="H81" s="7">
        <v>81755</v>
      </c>
      <c r="I81" s="7" t="str">
        <f t="shared" si="14"/>
        <v>LEVIS</v>
      </c>
      <c r="J81" s="7">
        <v>52452407</v>
      </c>
      <c r="K81" s="7" t="s">
        <v>35</v>
      </c>
      <c r="L81" s="7" t="s">
        <v>118</v>
      </c>
      <c r="M81" s="7">
        <v>599000</v>
      </c>
      <c r="N81" s="15">
        <f t="shared" si="15"/>
        <v>0.5</v>
      </c>
      <c r="O81" s="9">
        <f t="shared" si="9"/>
        <v>299500</v>
      </c>
      <c r="P81" s="14" t="str">
        <f t="shared" si="16"/>
        <v>PERCENTAGE</v>
      </c>
    </row>
    <row r="82" spans="1:16" x14ac:dyDescent="0.25">
      <c r="A82" s="7" t="str">
        <f t="shared" si="10"/>
        <v>FEB 2025 D50</v>
      </c>
      <c r="B82" s="8">
        <f t="shared" si="10"/>
        <v>46114</v>
      </c>
      <c r="C82" s="8">
        <f t="shared" si="10"/>
        <v>46120</v>
      </c>
      <c r="D82" s="12">
        <f t="shared" si="11"/>
        <v>3320</v>
      </c>
      <c r="E82" s="12">
        <f t="shared" si="12"/>
        <v>336</v>
      </c>
      <c r="F82" s="12">
        <f t="shared" si="13"/>
        <v>4</v>
      </c>
      <c r="G82" s="7">
        <v>3</v>
      </c>
      <c r="H82" s="7">
        <v>81755</v>
      </c>
      <c r="I82" s="7" t="str">
        <f t="shared" si="14"/>
        <v>LEVIS</v>
      </c>
      <c r="J82" s="7">
        <v>52452416</v>
      </c>
      <c r="K82" s="7" t="s">
        <v>35</v>
      </c>
      <c r="L82" s="7" t="s">
        <v>119</v>
      </c>
      <c r="M82" s="7">
        <v>599000</v>
      </c>
      <c r="N82" s="15">
        <f t="shared" si="15"/>
        <v>0.5</v>
      </c>
      <c r="O82" s="9">
        <f t="shared" si="9"/>
        <v>299500</v>
      </c>
      <c r="P82" s="14" t="str">
        <f t="shared" si="16"/>
        <v>PERCENTAGE</v>
      </c>
    </row>
    <row r="83" spans="1:16" x14ac:dyDescent="0.25">
      <c r="A83" s="7" t="str">
        <f t="shared" si="10"/>
        <v>FEB 2025 D50</v>
      </c>
      <c r="B83" s="8">
        <f t="shared" si="10"/>
        <v>46114</v>
      </c>
      <c r="C83" s="8">
        <f t="shared" si="10"/>
        <v>46120</v>
      </c>
      <c r="D83" s="12">
        <f t="shared" si="11"/>
        <v>3320</v>
      </c>
      <c r="E83" s="12">
        <f t="shared" si="12"/>
        <v>336</v>
      </c>
      <c r="F83" s="12">
        <f t="shared" si="13"/>
        <v>4</v>
      </c>
      <c r="G83" s="7">
        <v>4</v>
      </c>
      <c r="H83" s="7">
        <v>81755</v>
      </c>
      <c r="I83" s="7" t="str">
        <f t="shared" si="14"/>
        <v>LEVIS</v>
      </c>
      <c r="J83" s="7">
        <v>52452425</v>
      </c>
      <c r="K83" s="7" t="s">
        <v>35</v>
      </c>
      <c r="L83" s="7" t="s">
        <v>120</v>
      </c>
      <c r="M83" s="7">
        <v>599000</v>
      </c>
      <c r="N83" s="15">
        <f t="shared" si="15"/>
        <v>0.5</v>
      </c>
      <c r="O83" s="9">
        <f t="shared" si="9"/>
        <v>299500</v>
      </c>
      <c r="P83" s="14" t="str">
        <f t="shared" si="16"/>
        <v>PERCENTAGE</v>
      </c>
    </row>
    <row r="84" spans="1:16" x14ac:dyDescent="0.25">
      <c r="A84" s="7" t="str">
        <f t="shared" si="10"/>
        <v>FEB 2025 D50</v>
      </c>
      <c r="B84" s="8">
        <f t="shared" si="10"/>
        <v>46114</v>
      </c>
      <c r="C84" s="8">
        <f t="shared" si="10"/>
        <v>46120</v>
      </c>
      <c r="D84" s="12">
        <f t="shared" si="11"/>
        <v>3320</v>
      </c>
      <c r="E84" s="12">
        <f t="shared" si="12"/>
        <v>336</v>
      </c>
      <c r="F84" s="12">
        <f t="shared" si="13"/>
        <v>4</v>
      </c>
      <c r="G84" s="7">
        <v>4</v>
      </c>
      <c r="H84" s="7">
        <v>81755</v>
      </c>
      <c r="I84" s="7" t="str">
        <f t="shared" si="14"/>
        <v>LEVIS</v>
      </c>
      <c r="J84" s="7">
        <v>52452434</v>
      </c>
      <c r="K84" s="7" t="s">
        <v>35</v>
      </c>
      <c r="L84" s="7" t="s">
        <v>121</v>
      </c>
      <c r="M84" s="7">
        <v>599000</v>
      </c>
      <c r="N84" s="15">
        <f t="shared" si="15"/>
        <v>0.5</v>
      </c>
      <c r="O84" s="9">
        <f t="shared" si="9"/>
        <v>299500</v>
      </c>
      <c r="P84" s="14" t="str">
        <f t="shared" si="16"/>
        <v>PERCENTAGE</v>
      </c>
    </row>
    <row r="85" spans="1:16" x14ac:dyDescent="0.25">
      <c r="A85" s="7" t="str">
        <f t="shared" si="10"/>
        <v>FEB 2025 D50</v>
      </c>
      <c r="B85" s="8">
        <f t="shared" si="10"/>
        <v>46114</v>
      </c>
      <c r="C85" s="8">
        <f t="shared" si="10"/>
        <v>46120</v>
      </c>
      <c r="D85" s="12">
        <f t="shared" si="11"/>
        <v>3320</v>
      </c>
      <c r="E85" s="12">
        <f t="shared" si="12"/>
        <v>336</v>
      </c>
      <c r="F85" s="12">
        <f t="shared" si="13"/>
        <v>4</v>
      </c>
      <c r="G85" s="7">
        <v>4</v>
      </c>
      <c r="H85" s="7">
        <v>81755</v>
      </c>
      <c r="I85" s="7" t="str">
        <f t="shared" si="14"/>
        <v>LEVIS</v>
      </c>
      <c r="J85" s="7">
        <v>52452443</v>
      </c>
      <c r="K85" s="7" t="s">
        <v>35</v>
      </c>
      <c r="L85" s="7" t="s">
        <v>122</v>
      </c>
      <c r="M85" s="7">
        <v>599000</v>
      </c>
      <c r="N85" s="15">
        <f t="shared" si="15"/>
        <v>0.5</v>
      </c>
      <c r="O85" s="9">
        <f t="shared" si="9"/>
        <v>299500</v>
      </c>
      <c r="P85" s="14" t="str">
        <f t="shared" si="16"/>
        <v>PERCENTAGE</v>
      </c>
    </row>
    <row r="86" spans="1:16" x14ac:dyDescent="0.25">
      <c r="A86" s="7" t="str">
        <f t="shared" si="10"/>
        <v>FEB 2025 D50</v>
      </c>
      <c r="B86" s="8">
        <f t="shared" si="10"/>
        <v>46114</v>
      </c>
      <c r="C86" s="8">
        <f t="shared" si="10"/>
        <v>46120</v>
      </c>
      <c r="D86" s="12">
        <f t="shared" si="11"/>
        <v>3320</v>
      </c>
      <c r="E86" s="12">
        <f t="shared" si="12"/>
        <v>336</v>
      </c>
      <c r="F86" s="12">
        <f t="shared" si="13"/>
        <v>4</v>
      </c>
      <c r="G86" s="7">
        <v>4</v>
      </c>
      <c r="H86" s="7">
        <v>81755</v>
      </c>
      <c r="I86" s="7" t="str">
        <f t="shared" si="14"/>
        <v>LEVIS</v>
      </c>
      <c r="J86" s="7">
        <v>52452452</v>
      </c>
      <c r="K86" s="7" t="s">
        <v>35</v>
      </c>
      <c r="L86" s="7" t="s">
        <v>123</v>
      </c>
      <c r="M86" s="7">
        <v>599000</v>
      </c>
      <c r="N86" s="15">
        <f t="shared" si="15"/>
        <v>0.5</v>
      </c>
      <c r="O86" s="9">
        <f t="shared" si="9"/>
        <v>299500</v>
      </c>
      <c r="P86" s="14" t="str">
        <f t="shared" si="16"/>
        <v>PERCENTAGE</v>
      </c>
    </row>
    <row r="87" spans="1:16" x14ac:dyDescent="0.25">
      <c r="A87" s="7" t="str">
        <f t="shared" si="10"/>
        <v>FEB 2025 D50</v>
      </c>
      <c r="B87" s="8">
        <f t="shared" si="10"/>
        <v>46114</v>
      </c>
      <c r="C87" s="8">
        <f t="shared" si="10"/>
        <v>46120</v>
      </c>
      <c r="D87" s="12">
        <f t="shared" si="11"/>
        <v>3320</v>
      </c>
      <c r="E87" s="12">
        <f t="shared" si="12"/>
        <v>336</v>
      </c>
      <c r="F87" s="12">
        <f t="shared" si="13"/>
        <v>4</v>
      </c>
      <c r="G87" s="7">
        <v>4</v>
      </c>
      <c r="H87" s="7">
        <v>81755</v>
      </c>
      <c r="I87" s="7" t="str">
        <f t="shared" si="14"/>
        <v>LEVIS</v>
      </c>
      <c r="J87" s="7">
        <v>52452461</v>
      </c>
      <c r="K87" s="7" t="s">
        <v>36</v>
      </c>
      <c r="L87" s="7" t="s">
        <v>124</v>
      </c>
      <c r="M87" s="7">
        <v>559000</v>
      </c>
      <c r="N87" s="15">
        <f t="shared" si="15"/>
        <v>0.5</v>
      </c>
      <c r="O87" s="9">
        <f t="shared" si="9"/>
        <v>279500</v>
      </c>
      <c r="P87" s="14" t="str">
        <f t="shared" si="16"/>
        <v>PERCENTAGE</v>
      </c>
    </row>
    <row r="88" spans="1:16" x14ac:dyDescent="0.25">
      <c r="A88" s="7" t="str">
        <f t="shared" si="10"/>
        <v>FEB 2025 D50</v>
      </c>
      <c r="B88" s="8">
        <f t="shared" si="10"/>
        <v>46114</v>
      </c>
      <c r="C88" s="8">
        <f t="shared" si="10"/>
        <v>46120</v>
      </c>
      <c r="D88" s="12">
        <f t="shared" si="11"/>
        <v>3320</v>
      </c>
      <c r="E88" s="12">
        <f t="shared" si="12"/>
        <v>336</v>
      </c>
      <c r="F88" s="12">
        <f t="shared" si="13"/>
        <v>4</v>
      </c>
      <c r="G88" s="7">
        <v>4</v>
      </c>
      <c r="H88" s="7">
        <v>81755</v>
      </c>
      <c r="I88" s="7" t="str">
        <f t="shared" si="14"/>
        <v>LEVIS</v>
      </c>
      <c r="J88" s="7">
        <v>52452470</v>
      </c>
      <c r="K88" s="7" t="s">
        <v>36</v>
      </c>
      <c r="L88" s="7" t="s">
        <v>125</v>
      </c>
      <c r="M88" s="7">
        <v>559000</v>
      </c>
      <c r="N88" s="15">
        <f t="shared" si="15"/>
        <v>0.5</v>
      </c>
      <c r="O88" s="9">
        <f t="shared" si="9"/>
        <v>279500</v>
      </c>
      <c r="P88" s="14" t="str">
        <f t="shared" si="16"/>
        <v>PERCENTAGE</v>
      </c>
    </row>
    <row r="89" spans="1:16" x14ac:dyDescent="0.25">
      <c r="A89" s="7" t="str">
        <f t="shared" si="10"/>
        <v>FEB 2025 D50</v>
      </c>
      <c r="B89" s="8">
        <f t="shared" si="10"/>
        <v>46114</v>
      </c>
      <c r="C89" s="8">
        <f t="shared" si="10"/>
        <v>46120</v>
      </c>
      <c r="D89" s="12">
        <f t="shared" si="11"/>
        <v>3320</v>
      </c>
      <c r="E89" s="12">
        <f t="shared" si="12"/>
        <v>336</v>
      </c>
      <c r="F89" s="12">
        <f t="shared" si="13"/>
        <v>4</v>
      </c>
      <c r="G89" s="7">
        <v>4</v>
      </c>
      <c r="H89" s="7">
        <v>81755</v>
      </c>
      <c r="I89" s="7" t="str">
        <f t="shared" si="14"/>
        <v>LEVIS</v>
      </c>
      <c r="J89" s="7">
        <v>52452489</v>
      </c>
      <c r="K89" s="7" t="s">
        <v>36</v>
      </c>
      <c r="L89" s="7" t="s">
        <v>126</v>
      </c>
      <c r="M89" s="7">
        <v>559000</v>
      </c>
      <c r="N89" s="15">
        <f t="shared" si="15"/>
        <v>0.5</v>
      </c>
      <c r="O89" s="9">
        <f t="shared" si="9"/>
        <v>279500</v>
      </c>
      <c r="P89" s="14" t="str">
        <f t="shared" si="16"/>
        <v>PERCENTAGE</v>
      </c>
    </row>
    <row r="90" spans="1:16" x14ac:dyDescent="0.25">
      <c r="A90" s="7" t="str">
        <f t="shared" si="10"/>
        <v>FEB 2025 D50</v>
      </c>
      <c r="B90" s="8">
        <f t="shared" si="10"/>
        <v>46114</v>
      </c>
      <c r="C90" s="8">
        <f t="shared" si="10"/>
        <v>46120</v>
      </c>
      <c r="D90" s="12">
        <f t="shared" si="11"/>
        <v>3320</v>
      </c>
      <c r="E90" s="12">
        <f t="shared" si="12"/>
        <v>336</v>
      </c>
      <c r="F90" s="12">
        <f t="shared" si="13"/>
        <v>4</v>
      </c>
      <c r="G90" s="7">
        <v>4</v>
      </c>
      <c r="H90" s="7">
        <v>81755</v>
      </c>
      <c r="I90" s="7" t="str">
        <f t="shared" si="14"/>
        <v>LEVIS</v>
      </c>
      <c r="J90" s="7">
        <v>52452498</v>
      </c>
      <c r="K90" s="7" t="s">
        <v>36</v>
      </c>
      <c r="L90" s="7" t="s">
        <v>127</v>
      </c>
      <c r="M90" s="7">
        <v>559000</v>
      </c>
      <c r="N90" s="15">
        <f t="shared" si="15"/>
        <v>0.5</v>
      </c>
      <c r="O90" s="9">
        <f t="shared" si="9"/>
        <v>279500</v>
      </c>
      <c r="P90" s="14" t="str">
        <f t="shared" si="16"/>
        <v>PERCENTAGE</v>
      </c>
    </row>
    <row r="91" spans="1:16" x14ac:dyDescent="0.25">
      <c r="A91" s="7" t="str">
        <f t="shared" si="10"/>
        <v>FEB 2025 D50</v>
      </c>
      <c r="B91" s="8">
        <f t="shared" si="10"/>
        <v>46114</v>
      </c>
      <c r="C91" s="8">
        <f t="shared" si="10"/>
        <v>46120</v>
      </c>
      <c r="D91" s="12">
        <f t="shared" si="11"/>
        <v>3320</v>
      </c>
      <c r="E91" s="12">
        <f t="shared" si="12"/>
        <v>336</v>
      </c>
      <c r="F91" s="12">
        <f t="shared" si="13"/>
        <v>4</v>
      </c>
      <c r="G91" s="7">
        <v>4</v>
      </c>
      <c r="H91" s="7">
        <v>81755</v>
      </c>
      <c r="I91" s="7" t="str">
        <f t="shared" si="14"/>
        <v>LEVIS</v>
      </c>
      <c r="J91" s="7">
        <v>52452505</v>
      </c>
      <c r="K91" s="7" t="s">
        <v>36</v>
      </c>
      <c r="L91" s="7" t="s">
        <v>128</v>
      </c>
      <c r="M91" s="7">
        <v>559000</v>
      </c>
      <c r="N91" s="15">
        <f t="shared" si="15"/>
        <v>0.5</v>
      </c>
      <c r="O91" s="9">
        <f t="shared" si="9"/>
        <v>279500</v>
      </c>
      <c r="P91" s="14" t="str">
        <f t="shared" si="16"/>
        <v>PERCENTAGE</v>
      </c>
    </row>
    <row r="92" spans="1:16" x14ac:dyDescent="0.25">
      <c r="A92" s="7" t="str">
        <f t="shared" si="10"/>
        <v>FEB 2025 D50</v>
      </c>
      <c r="B92" s="8">
        <f t="shared" si="10"/>
        <v>46114</v>
      </c>
      <c r="C92" s="8">
        <f t="shared" si="10"/>
        <v>46120</v>
      </c>
      <c r="D92" s="12">
        <f t="shared" si="11"/>
        <v>3320</v>
      </c>
      <c r="E92" s="12">
        <f t="shared" si="12"/>
        <v>336</v>
      </c>
      <c r="F92" s="12">
        <f t="shared" si="13"/>
        <v>4</v>
      </c>
      <c r="G92" s="7">
        <v>4</v>
      </c>
      <c r="H92" s="7">
        <v>81755</v>
      </c>
      <c r="I92" s="7" t="str">
        <f t="shared" si="14"/>
        <v>LEVIS</v>
      </c>
      <c r="J92" s="7">
        <v>52452514</v>
      </c>
      <c r="K92" s="7" t="s">
        <v>37</v>
      </c>
      <c r="L92" s="7" t="s">
        <v>129</v>
      </c>
      <c r="M92" s="7">
        <v>599000</v>
      </c>
      <c r="N92" s="15">
        <f t="shared" si="15"/>
        <v>0.5</v>
      </c>
      <c r="O92" s="9">
        <f t="shared" si="9"/>
        <v>299500</v>
      </c>
      <c r="P92" s="14" t="str">
        <f t="shared" si="16"/>
        <v>PERCENTAGE</v>
      </c>
    </row>
    <row r="93" spans="1:16" x14ac:dyDescent="0.25">
      <c r="A93" s="7" t="str">
        <f t="shared" si="10"/>
        <v>FEB 2025 D50</v>
      </c>
      <c r="B93" s="8">
        <f t="shared" si="10"/>
        <v>46114</v>
      </c>
      <c r="C93" s="8">
        <f t="shared" si="10"/>
        <v>46120</v>
      </c>
      <c r="D93" s="12">
        <f t="shared" si="11"/>
        <v>3320</v>
      </c>
      <c r="E93" s="12">
        <f t="shared" si="12"/>
        <v>336</v>
      </c>
      <c r="F93" s="12">
        <f t="shared" si="13"/>
        <v>4</v>
      </c>
      <c r="G93" s="7">
        <v>4</v>
      </c>
      <c r="H93" s="7">
        <v>81755</v>
      </c>
      <c r="I93" s="7" t="str">
        <f t="shared" si="14"/>
        <v>LEVIS</v>
      </c>
      <c r="J93" s="7">
        <v>52452523</v>
      </c>
      <c r="K93" s="7" t="s">
        <v>37</v>
      </c>
      <c r="L93" s="7" t="s">
        <v>130</v>
      </c>
      <c r="M93" s="7">
        <v>599000</v>
      </c>
      <c r="N93" s="15">
        <f t="shared" si="15"/>
        <v>0.5</v>
      </c>
      <c r="O93" s="9">
        <f t="shared" si="9"/>
        <v>299500</v>
      </c>
      <c r="P93" s="14" t="str">
        <f t="shared" si="16"/>
        <v>PERCENTAGE</v>
      </c>
    </row>
    <row r="94" spans="1:16" x14ac:dyDescent="0.25">
      <c r="A94" s="7" t="str">
        <f t="shared" si="10"/>
        <v>FEB 2025 D50</v>
      </c>
      <c r="B94" s="8">
        <f t="shared" si="10"/>
        <v>46114</v>
      </c>
      <c r="C94" s="8">
        <f t="shared" si="10"/>
        <v>46120</v>
      </c>
      <c r="D94" s="12">
        <f t="shared" si="11"/>
        <v>3320</v>
      </c>
      <c r="E94" s="12">
        <f t="shared" si="12"/>
        <v>336</v>
      </c>
      <c r="F94" s="12">
        <f t="shared" si="13"/>
        <v>4</v>
      </c>
      <c r="G94" s="7">
        <v>4</v>
      </c>
      <c r="H94" s="7">
        <v>81755</v>
      </c>
      <c r="I94" s="7" t="str">
        <f t="shared" si="14"/>
        <v>LEVIS</v>
      </c>
      <c r="J94" s="7">
        <v>52452532</v>
      </c>
      <c r="K94" s="7" t="s">
        <v>37</v>
      </c>
      <c r="L94" s="7" t="s">
        <v>131</v>
      </c>
      <c r="M94" s="7">
        <v>599000</v>
      </c>
      <c r="N94" s="15">
        <f t="shared" si="15"/>
        <v>0.5</v>
      </c>
      <c r="O94" s="9">
        <f t="shared" si="9"/>
        <v>299500</v>
      </c>
      <c r="P94" s="14" t="str">
        <f t="shared" si="16"/>
        <v>PERCENTAGE</v>
      </c>
    </row>
    <row r="95" spans="1:16" x14ac:dyDescent="0.25">
      <c r="A95" s="7" t="str">
        <f t="shared" si="10"/>
        <v>FEB 2025 D50</v>
      </c>
      <c r="B95" s="8">
        <f t="shared" si="10"/>
        <v>46114</v>
      </c>
      <c r="C95" s="8">
        <f t="shared" si="10"/>
        <v>46120</v>
      </c>
      <c r="D95" s="12">
        <f t="shared" si="11"/>
        <v>3320</v>
      </c>
      <c r="E95" s="12">
        <f t="shared" si="12"/>
        <v>336</v>
      </c>
      <c r="F95" s="12">
        <f t="shared" si="13"/>
        <v>4</v>
      </c>
      <c r="G95" s="7">
        <v>4</v>
      </c>
      <c r="H95" s="7">
        <v>81755</v>
      </c>
      <c r="I95" s="7" t="str">
        <f t="shared" si="14"/>
        <v>LEVIS</v>
      </c>
      <c r="J95" s="7">
        <v>52452541</v>
      </c>
      <c r="K95" s="7" t="s">
        <v>37</v>
      </c>
      <c r="L95" s="7" t="s">
        <v>132</v>
      </c>
      <c r="M95" s="7">
        <v>599000</v>
      </c>
      <c r="N95" s="15">
        <f t="shared" si="15"/>
        <v>0.5</v>
      </c>
      <c r="O95" s="9">
        <f t="shared" si="9"/>
        <v>299500</v>
      </c>
      <c r="P95" s="14" t="str">
        <f t="shared" si="16"/>
        <v>PERCENTAGE</v>
      </c>
    </row>
    <row r="96" spans="1:16" x14ac:dyDescent="0.25">
      <c r="A96" s="7" t="str">
        <f t="shared" si="10"/>
        <v>FEB 2025 D50</v>
      </c>
      <c r="B96" s="8">
        <f t="shared" si="10"/>
        <v>46114</v>
      </c>
      <c r="C96" s="8">
        <f t="shared" si="10"/>
        <v>46120</v>
      </c>
      <c r="D96" s="12">
        <f t="shared" si="11"/>
        <v>3320</v>
      </c>
      <c r="E96" s="12">
        <f t="shared" si="12"/>
        <v>336</v>
      </c>
      <c r="F96" s="12">
        <f t="shared" si="13"/>
        <v>4</v>
      </c>
      <c r="G96" s="7">
        <v>4</v>
      </c>
      <c r="H96" s="7">
        <v>81755</v>
      </c>
      <c r="I96" s="7" t="str">
        <f t="shared" si="14"/>
        <v>LEVIS</v>
      </c>
      <c r="J96" s="7">
        <v>52452550</v>
      </c>
      <c r="K96" s="7" t="s">
        <v>37</v>
      </c>
      <c r="L96" s="7" t="s">
        <v>133</v>
      </c>
      <c r="M96" s="7">
        <v>599000</v>
      </c>
      <c r="N96" s="15">
        <f t="shared" si="15"/>
        <v>0.5</v>
      </c>
      <c r="O96" s="9">
        <f t="shared" si="9"/>
        <v>299500</v>
      </c>
      <c r="P96" s="14" t="str">
        <f t="shared" si="16"/>
        <v>PERCENTAGE</v>
      </c>
    </row>
    <row r="97" spans="1:16" x14ac:dyDescent="0.25">
      <c r="A97" s="7" t="str">
        <f t="shared" si="10"/>
        <v>FEB 2025 D50</v>
      </c>
      <c r="B97" s="8">
        <f t="shared" si="10"/>
        <v>46114</v>
      </c>
      <c r="C97" s="8">
        <f t="shared" si="10"/>
        <v>46120</v>
      </c>
      <c r="D97" s="12">
        <f t="shared" si="11"/>
        <v>3320</v>
      </c>
      <c r="E97" s="12">
        <f t="shared" si="12"/>
        <v>336</v>
      </c>
      <c r="F97" s="12">
        <f t="shared" si="13"/>
        <v>4</v>
      </c>
      <c r="G97" s="7">
        <v>4</v>
      </c>
      <c r="H97" s="7">
        <v>81755</v>
      </c>
      <c r="I97" s="7" t="str">
        <f t="shared" si="14"/>
        <v>LEVIS</v>
      </c>
      <c r="J97" s="7">
        <v>52452569</v>
      </c>
      <c r="K97" s="7" t="s">
        <v>37</v>
      </c>
      <c r="L97" s="7" t="s">
        <v>134</v>
      </c>
      <c r="M97" s="7">
        <v>599000</v>
      </c>
      <c r="N97" s="15">
        <f t="shared" si="15"/>
        <v>0.5</v>
      </c>
      <c r="O97" s="9">
        <f t="shared" si="9"/>
        <v>299500</v>
      </c>
      <c r="P97" s="14" t="str">
        <f t="shared" si="16"/>
        <v>PERCENTAGE</v>
      </c>
    </row>
    <row r="98" spans="1:16" x14ac:dyDescent="0.25">
      <c r="A98" s="7" t="str">
        <f t="shared" si="10"/>
        <v>FEB 2025 D50</v>
      </c>
      <c r="B98" s="8">
        <f t="shared" si="10"/>
        <v>46114</v>
      </c>
      <c r="C98" s="8">
        <f t="shared" si="10"/>
        <v>46120</v>
      </c>
      <c r="D98" s="12">
        <f t="shared" si="11"/>
        <v>3320</v>
      </c>
      <c r="E98" s="12">
        <f t="shared" si="12"/>
        <v>336</v>
      </c>
      <c r="F98" s="12">
        <f t="shared" si="13"/>
        <v>4</v>
      </c>
      <c r="G98" s="7">
        <v>4</v>
      </c>
      <c r="H98" s="7">
        <v>81755</v>
      </c>
      <c r="I98" s="7" t="str">
        <f t="shared" si="14"/>
        <v>LEVIS</v>
      </c>
      <c r="J98" s="7">
        <v>52452578</v>
      </c>
      <c r="K98" s="7" t="s">
        <v>37</v>
      </c>
      <c r="L98" s="7" t="s">
        <v>135</v>
      </c>
      <c r="M98" s="7">
        <v>599000</v>
      </c>
      <c r="N98" s="15">
        <f t="shared" si="15"/>
        <v>0.5</v>
      </c>
      <c r="O98" s="9">
        <f t="shared" si="9"/>
        <v>299500</v>
      </c>
      <c r="P98" s="14" t="str">
        <f t="shared" si="16"/>
        <v>PERCENTAGE</v>
      </c>
    </row>
    <row r="99" spans="1:16" x14ac:dyDescent="0.25">
      <c r="A99" s="7" t="str">
        <f t="shared" si="10"/>
        <v>FEB 2025 D50</v>
      </c>
      <c r="B99" s="8">
        <f t="shared" si="10"/>
        <v>46114</v>
      </c>
      <c r="C99" s="8">
        <f t="shared" si="10"/>
        <v>46120</v>
      </c>
      <c r="D99" s="12">
        <f t="shared" si="11"/>
        <v>3320</v>
      </c>
      <c r="E99" s="12">
        <f t="shared" si="12"/>
        <v>336</v>
      </c>
      <c r="F99" s="12">
        <f t="shared" si="13"/>
        <v>4</v>
      </c>
      <c r="G99" s="7">
        <v>4</v>
      </c>
      <c r="H99" s="7">
        <v>81755</v>
      </c>
      <c r="I99" s="7" t="str">
        <f t="shared" si="14"/>
        <v>LEVIS</v>
      </c>
      <c r="J99" s="7">
        <v>52452587</v>
      </c>
      <c r="K99" s="7" t="s">
        <v>38</v>
      </c>
      <c r="L99" s="7" t="s">
        <v>136</v>
      </c>
      <c r="M99" s="7">
        <v>559000</v>
      </c>
      <c r="N99" s="15">
        <f t="shared" si="15"/>
        <v>0.5</v>
      </c>
      <c r="O99" s="9">
        <f t="shared" si="9"/>
        <v>279500</v>
      </c>
      <c r="P99" s="14" t="str">
        <f t="shared" si="16"/>
        <v>PERCENTAGE</v>
      </c>
    </row>
    <row r="100" spans="1:16" x14ac:dyDescent="0.25">
      <c r="A100" s="7" t="str">
        <f t="shared" si="10"/>
        <v>FEB 2025 D50</v>
      </c>
      <c r="B100" s="8">
        <f t="shared" si="10"/>
        <v>46114</v>
      </c>
      <c r="C100" s="8">
        <f t="shared" si="10"/>
        <v>46120</v>
      </c>
      <c r="D100" s="12">
        <f t="shared" si="11"/>
        <v>3320</v>
      </c>
      <c r="E100" s="12">
        <f t="shared" si="12"/>
        <v>336</v>
      </c>
      <c r="F100" s="12">
        <f t="shared" si="13"/>
        <v>4</v>
      </c>
      <c r="G100" s="7">
        <v>4</v>
      </c>
      <c r="H100" s="7">
        <v>81755</v>
      </c>
      <c r="I100" s="7" t="str">
        <f t="shared" si="14"/>
        <v>LEVIS</v>
      </c>
      <c r="J100" s="7">
        <v>52452596</v>
      </c>
      <c r="K100" s="7" t="s">
        <v>38</v>
      </c>
      <c r="L100" s="7" t="s">
        <v>137</v>
      </c>
      <c r="M100" s="7">
        <v>559000</v>
      </c>
      <c r="N100" s="15">
        <f t="shared" si="15"/>
        <v>0.5</v>
      </c>
      <c r="O100" s="9">
        <f t="shared" si="9"/>
        <v>279500</v>
      </c>
      <c r="P100" s="14" t="str">
        <f t="shared" si="16"/>
        <v>PERCENTAGE</v>
      </c>
    </row>
    <row r="101" spans="1:16" x14ac:dyDescent="0.25">
      <c r="A101" s="7" t="str">
        <f t="shared" si="10"/>
        <v>FEB 2025 D50</v>
      </c>
      <c r="B101" s="8">
        <f t="shared" si="10"/>
        <v>46114</v>
      </c>
      <c r="C101" s="8">
        <f t="shared" si="10"/>
        <v>46120</v>
      </c>
      <c r="D101" s="12">
        <f t="shared" si="11"/>
        <v>3320</v>
      </c>
      <c r="E101" s="12">
        <f t="shared" si="12"/>
        <v>336</v>
      </c>
      <c r="F101" s="12">
        <f t="shared" si="13"/>
        <v>4</v>
      </c>
      <c r="G101" s="7">
        <v>4</v>
      </c>
      <c r="H101" s="7">
        <v>81755</v>
      </c>
      <c r="I101" s="7" t="str">
        <f t="shared" si="14"/>
        <v>LEVIS</v>
      </c>
      <c r="J101" s="7">
        <v>52452603</v>
      </c>
      <c r="K101" s="7" t="s">
        <v>38</v>
      </c>
      <c r="L101" s="7" t="s">
        <v>138</v>
      </c>
      <c r="M101" s="7">
        <v>559000</v>
      </c>
      <c r="N101" s="15">
        <f t="shared" si="15"/>
        <v>0.5</v>
      </c>
      <c r="O101" s="9">
        <f t="shared" si="9"/>
        <v>279500</v>
      </c>
      <c r="P101" s="14" t="str">
        <f t="shared" si="16"/>
        <v>PERCENTAGE</v>
      </c>
    </row>
    <row r="102" spans="1:16" x14ac:dyDescent="0.25">
      <c r="A102" s="7" t="str">
        <f t="shared" si="10"/>
        <v>FEB 2025 D50</v>
      </c>
      <c r="B102" s="8">
        <f t="shared" si="10"/>
        <v>46114</v>
      </c>
      <c r="C102" s="8">
        <f t="shared" si="10"/>
        <v>46120</v>
      </c>
      <c r="D102" s="12">
        <f t="shared" si="11"/>
        <v>3320</v>
      </c>
      <c r="E102" s="12">
        <f t="shared" si="12"/>
        <v>336</v>
      </c>
      <c r="F102" s="12">
        <f t="shared" si="13"/>
        <v>4</v>
      </c>
      <c r="G102" s="7">
        <v>4</v>
      </c>
      <c r="H102" s="7">
        <v>81755</v>
      </c>
      <c r="I102" s="7" t="str">
        <f t="shared" si="14"/>
        <v>LEVIS</v>
      </c>
      <c r="J102" s="7">
        <v>52452612</v>
      </c>
      <c r="K102" s="7" t="s">
        <v>38</v>
      </c>
      <c r="L102" s="7" t="s">
        <v>139</v>
      </c>
      <c r="M102" s="7">
        <v>559000</v>
      </c>
      <c r="N102" s="15">
        <f t="shared" si="15"/>
        <v>0.5</v>
      </c>
      <c r="O102" s="9">
        <f t="shared" si="9"/>
        <v>279500</v>
      </c>
      <c r="P102" s="14" t="str">
        <f t="shared" si="16"/>
        <v>PERCENTAGE</v>
      </c>
    </row>
    <row r="103" spans="1:16" x14ac:dyDescent="0.25">
      <c r="A103" s="7" t="str">
        <f t="shared" si="10"/>
        <v>FEB 2025 D50</v>
      </c>
      <c r="B103" s="8">
        <f t="shared" si="10"/>
        <v>46114</v>
      </c>
      <c r="C103" s="8">
        <f t="shared" si="10"/>
        <v>46120</v>
      </c>
      <c r="D103" s="12">
        <f t="shared" si="11"/>
        <v>3320</v>
      </c>
      <c r="E103" s="12">
        <f t="shared" si="12"/>
        <v>336</v>
      </c>
      <c r="F103" s="12">
        <f t="shared" si="13"/>
        <v>4</v>
      </c>
      <c r="G103" s="7">
        <v>4</v>
      </c>
      <c r="H103" s="7">
        <v>81755</v>
      </c>
      <c r="I103" s="7" t="str">
        <f t="shared" si="14"/>
        <v>LEVIS</v>
      </c>
      <c r="J103" s="7">
        <v>52452621</v>
      </c>
      <c r="K103" s="7" t="s">
        <v>38</v>
      </c>
      <c r="L103" s="7" t="s">
        <v>140</v>
      </c>
      <c r="M103" s="7">
        <v>559000</v>
      </c>
      <c r="N103" s="15">
        <f t="shared" si="15"/>
        <v>0.5</v>
      </c>
      <c r="O103" s="9">
        <f t="shared" si="9"/>
        <v>279500</v>
      </c>
      <c r="P103" s="14" t="str">
        <f t="shared" si="16"/>
        <v>PERCENTAGE</v>
      </c>
    </row>
  </sheetData>
  <conditionalFormatting sqref="J1:J2">
    <cfRule type="duplicateValues" dxfId="10" priority="3"/>
    <cfRule type="duplicateValues" dxfId="9" priority="4"/>
  </conditionalFormatting>
  <conditionalFormatting sqref="J1:J1048576">
    <cfRule type="duplicateValues" dxfId="8" priority="7"/>
  </conditionalFormatting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E57171-C1E7-4660-8552-AABB22212534}">
  <dimension ref="A1:P47"/>
  <sheetViews>
    <sheetView tabSelected="1" zoomScale="85" zoomScaleNormal="85" workbookViewId="0">
      <selection activeCell="B2" sqref="B2"/>
    </sheetView>
  </sheetViews>
  <sheetFormatPr defaultRowHeight="15" x14ac:dyDescent="0.25"/>
  <cols>
    <col min="1" max="1" width="32" customWidth="1"/>
    <col min="2" max="2" width="14.28515625" bestFit="1" customWidth="1"/>
    <col min="3" max="3" width="12.42578125" bestFit="1" customWidth="1"/>
    <col min="4" max="4" width="7.42578125" bestFit="1" customWidth="1"/>
    <col min="5" max="5" width="9.7109375" bestFit="1" customWidth="1"/>
    <col min="6" max="6" width="11.28515625" bestFit="1" customWidth="1"/>
    <col min="7" max="7" width="9.28515625" bestFit="1" customWidth="1"/>
    <col min="8" max="8" width="12.7109375" bestFit="1" customWidth="1"/>
    <col min="9" max="9" width="9.28515625" bestFit="1" customWidth="1"/>
    <col min="10" max="10" width="10.5703125" bestFit="1" customWidth="1"/>
    <col min="11" max="11" width="15.85546875" bestFit="1" customWidth="1"/>
    <col min="12" max="12" width="98" bestFit="1" customWidth="1"/>
    <col min="13" max="13" width="19.7109375" bestFit="1" customWidth="1"/>
    <col min="14" max="14" width="10.28515625" bestFit="1" customWidth="1"/>
    <col min="15" max="15" width="14.85546875" style="24" bestFit="1" customWidth="1"/>
    <col min="16" max="16" width="19.7109375" bestFit="1" customWidth="1"/>
  </cols>
  <sheetData>
    <row r="1" spans="1:16" s="6" customFormat="1" ht="30.75" customHeight="1" x14ac:dyDescent="0.25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4" t="s">
        <v>12</v>
      </c>
      <c r="N1" s="5" t="s">
        <v>13</v>
      </c>
      <c r="O1" s="23" t="s">
        <v>14</v>
      </c>
      <c r="P1" s="1" t="s">
        <v>15</v>
      </c>
    </row>
    <row r="2" spans="1:16" s="6" customFormat="1" x14ac:dyDescent="0.25">
      <c r="A2" s="7" t="s">
        <v>260</v>
      </c>
      <c r="B2" s="8">
        <f>'FEB 2025 D50'!B2</f>
        <v>46114</v>
      </c>
      <c r="C2" s="8">
        <f>'FEB 2025 D50'!C2</f>
        <v>46120</v>
      </c>
      <c r="D2" s="7">
        <v>3320</v>
      </c>
      <c r="E2" s="7">
        <v>336</v>
      </c>
      <c r="F2" s="12">
        <v>4</v>
      </c>
      <c r="G2" s="13">
        <v>4</v>
      </c>
      <c r="H2" s="7">
        <v>81755</v>
      </c>
      <c r="I2" s="7" t="s">
        <v>161</v>
      </c>
      <c r="J2" s="13">
        <v>54440676</v>
      </c>
      <c r="K2" s="13" t="s">
        <v>157</v>
      </c>
      <c r="L2" s="13" t="s">
        <v>143</v>
      </c>
      <c r="M2" s="9">
        <v>599000</v>
      </c>
      <c r="N2" s="14">
        <v>0.5</v>
      </c>
      <c r="O2" s="22">
        <f>M2*N2</f>
        <v>299500</v>
      </c>
      <c r="P2" s="10" t="s">
        <v>259</v>
      </c>
    </row>
    <row r="3" spans="1:16" x14ac:dyDescent="0.25">
      <c r="A3" s="7" t="str">
        <f t="shared" ref="A3:F13" si="0">A2</f>
        <v>MEI JUN 2025 D50</v>
      </c>
      <c r="B3" s="8">
        <f t="shared" si="0"/>
        <v>46114</v>
      </c>
      <c r="C3" s="8">
        <f t="shared" si="0"/>
        <v>46120</v>
      </c>
      <c r="D3" s="12">
        <f t="shared" si="0"/>
        <v>3320</v>
      </c>
      <c r="E3" s="12">
        <f t="shared" si="0"/>
        <v>336</v>
      </c>
      <c r="F3" s="12">
        <f t="shared" si="0"/>
        <v>4</v>
      </c>
      <c r="G3" s="13">
        <v>4</v>
      </c>
      <c r="H3" s="7">
        <v>81755</v>
      </c>
      <c r="I3" s="7" t="str">
        <f t="shared" ref="I3:I47" si="1">I2</f>
        <v>LEVIS</v>
      </c>
      <c r="J3" s="13">
        <v>54440685</v>
      </c>
      <c r="K3" s="13" t="s">
        <v>157</v>
      </c>
      <c r="L3" s="13" t="s">
        <v>144</v>
      </c>
      <c r="M3" s="9">
        <v>599000</v>
      </c>
      <c r="N3" s="14">
        <f>N2</f>
        <v>0.5</v>
      </c>
      <c r="O3" s="22">
        <f t="shared" ref="O3:O47" si="2">M3*N3</f>
        <v>299500</v>
      </c>
      <c r="P3" s="10" t="s">
        <v>259</v>
      </c>
    </row>
    <row r="4" spans="1:16" x14ac:dyDescent="0.25">
      <c r="A4" s="7" t="str">
        <f t="shared" si="0"/>
        <v>MEI JUN 2025 D50</v>
      </c>
      <c r="B4" s="8">
        <f t="shared" si="0"/>
        <v>46114</v>
      </c>
      <c r="C4" s="8">
        <f t="shared" si="0"/>
        <v>46120</v>
      </c>
      <c r="D4" s="12">
        <f t="shared" si="0"/>
        <v>3320</v>
      </c>
      <c r="E4" s="12">
        <f t="shared" si="0"/>
        <v>336</v>
      </c>
      <c r="F4" s="12">
        <f t="shared" si="0"/>
        <v>4</v>
      </c>
      <c r="G4" s="13">
        <v>4</v>
      </c>
      <c r="H4" s="7">
        <v>81755</v>
      </c>
      <c r="I4" s="7" t="str">
        <f t="shared" si="1"/>
        <v>LEVIS</v>
      </c>
      <c r="J4" s="13">
        <v>54440694</v>
      </c>
      <c r="K4" s="13" t="s">
        <v>157</v>
      </c>
      <c r="L4" s="13" t="s">
        <v>145</v>
      </c>
      <c r="M4" s="9">
        <v>599000</v>
      </c>
      <c r="N4" s="14">
        <f t="shared" ref="N4:N47" si="3">N3</f>
        <v>0.5</v>
      </c>
      <c r="O4" s="22">
        <f t="shared" si="2"/>
        <v>299500</v>
      </c>
      <c r="P4" s="10" t="s">
        <v>259</v>
      </c>
    </row>
    <row r="5" spans="1:16" x14ac:dyDescent="0.25">
      <c r="A5" s="7" t="str">
        <f t="shared" si="0"/>
        <v>MEI JUN 2025 D50</v>
      </c>
      <c r="B5" s="8">
        <f t="shared" si="0"/>
        <v>46114</v>
      </c>
      <c r="C5" s="8">
        <f t="shared" si="0"/>
        <v>46120</v>
      </c>
      <c r="D5" s="12">
        <f t="shared" si="0"/>
        <v>3320</v>
      </c>
      <c r="E5" s="12">
        <f t="shared" si="0"/>
        <v>336</v>
      </c>
      <c r="F5" s="12">
        <f t="shared" si="0"/>
        <v>4</v>
      </c>
      <c r="G5" s="13">
        <v>4</v>
      </c>
      <c r="H5" s="7">
        <v>81755</v>
      </c>
      <c r="I5" s="7" t="str">
        <f t="shared" si="1"/>
        <v>LEVIS</v>
      </c>
      <c r="J5" s="13">
        <v>54440701</v>
      </c>
      <c r="K5" s="13" t="s">
        <v>157</v>
      </c>
      <c r="L5" s="13" t="s">
        <v>146</v>
      </c>
      <c r="M5" s="9">
        <v>599000</v>
      </c>
      <c r="N5" s="14">
        <f t="shared" si="3"/>
        <v>0.5</v>
      </c>
      <c r="O5" s="22">
        <f t="shared" si="2"/>
        <v>299500</v>
      </c>
      <c r="P5" s="10" t="s">
        <v>259</v>
      </c>
    </row>
    <row r="6" spans="1:16" x14ac:dyDescent="0.25">
      <c r="A6" s="7" t="str">
        <f t="shared" si="0"/>
        <v>MEI JUN 2025 D50</v>
      </c>
      <c r="B6" s="8">
        <f t="shared" si="0"/>
        <v>46114</v>
      </c>
      <c r="C6" s="8">
        <f t="shared" si="0"/>
        <v>46120</v>
      </c>
      <c r="D6" s="12">
        <f t="shared" si="0"/>
        <v>3320</v>
      </c>
      <c r="E6" s="12">
        <f t="shared" si="0"/>
        <v>336</v>
      </c>
      <c r="F6" s="12">
        <f t="shared" si="0"/>
        <v>4</v>
      </c>
      <c r="G6" s="13">
        <v>4</v>
      </c>
      <c r="H6" s="7">
        <v>81755</v>
      </c>
      <c r="I6" s="7" t="str">
        <f t="shared" si="1"/>
        <v>LEVIS</v>
      </c>
      <c r="J6" s="13">
        <v>54440710</v>
      </c>
      <c r="K6" s="13" t="s">
        <v>157</v>
      </c>
      <c r="L6" s="13" t="s">
        <v>147</v>
      </c>
      <c r="M6" s="9">
        <v>599000</v>
      </c>
      <c r="N6" s="14">
        <f t="shared" si="3"/>
        <v>0.5</v>
      </c>
      <c r="O6" s="22">
        <f t="shared" si="2"/>
        <v>299500</v>
      </c>
      <c r="P6" s="10" t="s">
        <v>259</v>
      </c>
    </row>
    <row r="7" spans="1:16" x14ac:dyDescent="0.25">
      <c r="A7" s="7" t="str">
        <f t="shared" si="0"/>
        <v>MEI JUN 2025 D50</v>
      </c>
      <c r="B7" s="8">
        <f t="shared" si="0"/>
        <v>46114</v>
      </c>
      <c r="C7" s="8">
        <f t="shared" si="0"/>
        <v>46120</v>
      </c>
      <c r="D7" s="12">
        <f t="shared" si="0"/>
        <v>3320</v>
      </c>
      <c r="E7" s="12">
        <f t="shared" si="0"/>
        <v>336</v>
      </c>
      <c r="F7" s="12">
        <f t="shared" si="0"/>
        <v>4</v>
      </c>
      <c r="G7" s="13">
        <v>4</v>
      </c>
      <c r="H7" s="7">
        <v>81755</v>
      </c>
      <c r="I7" s="7" t="str">
        <f t="shared" si="1"/>
        <v>LEVIS</v>
      </c>
      <c r="J7" s="13">
        <v>54440729</v>
      </c>
      <c r="K7" s="13" t="s">
        <v>157</v>
      </c>
      <c r="L7" s="13" t="s">
        <v>148</v>
      </c>
      <c r="M7" s="9">
        <v>599000</v>
      </c>
      <c r="N7" s="14">
        <f t="shared" si="3"/>
        <v>0.5</v>
      </c>
      <c r="O7" s="22">
        <f t="shared" si="2"/>
        <v>299500</v>
      </c>
      <c r="P7" s="10" t="s">
        <v>259</v>
      </c>
    </row>
    <row r="8" spans="1:16" x14ac:dyDescent="0.25">
      <c r="A8" s="7" t="str">
        <f t="shared" si="0"/>
        <v>MEI JUN 2025 D50</v>
      </c>
      <c r="B8" s="8">
        <f t="shared" si="0"/>
        <v>46114</v>
      </c>
      <c r="C8" s="8">
        <f t="shared" si="0"/>
        <v>46120</v>
      </c>
      <c r="D8" s="12">
        <f t="shared" si="0"/>
        <v>3320</v>
      </c>
      <c r="E8" s="12">
        <f t="shared" si="0"/>
        <v>336</v>
      </c>
      <c r="F8" s="12">
        <f t="shared" si="0"/>
        <v>4</v>
      </c>
      <c r="G8" s="13">
        <v>4</v>
      </c>
      <c r="H8" s="7">
        <v>81755</v>
      </c>
      <c r="I8" s="7" t="str">
        <f t="shared" si="1"/>
        <v>LEVIS</v>
      </c>
      <c r="J8" s="13">
        <v>54440738</v>
      </c>
      <c r="K8" s="13" t="s">
        <v>157</v>
      </c>
      <c r="L8" s="13" t="s">
        <v>149</v>
      </c>
      <c r="M8" s="9">
        <v>599000</v>
      </c>
      <c r="N8" s="14">
        <f t="shared" si="3"/>
        <v>0.5</v>
      </c>
      <c r="O8" s="22">
        <f t="shared" si="2"/>
        <v>299500</v>
      </c>
      <c r="P8" s="10" t="s">
        <v>259</v>
      </c>
    </row>
    <row r="9" spans="1:16" x14ac:dyDescent="0.25">
      <c r="A9" s="7" t="str">
        <f t="shared" si="0"/>
        <v>MEI JUN 2025 D50</v>
      </c>
      <c r="B9" s="8">
        <f t="shared" si="0"/>
        <v>46114</v>
      </c>
      <c r="C9" s="8">
        <f t="shared" si="0"/>
        <v>46120</v>
      </c>
      <c r="D9" s="12">
        <f t="shared" si="0"/>
        <v>3320</v>
      </c>
      <c r="E9" s="12">
        <f t="shared" si="0"/>
        <v>336</v>
      </c>
      <c r="F9" s="12">
        <f t="shared" si="0"/>
        <v>4</v>
      </c>
      <c r="G9" s="13">
        <v>4</v>
      </c>
      <c r="H9" s="7">
        <v>81755</v>
      </c>
      <c r="I9" s="7" t="str">
        <f t="shared" si="1"/>
        <v>LEVIS</v>
      </c>
      <c r="J9" s="13">
        <v>54440621</v>
      </c>
      <c r="K9" s="13" t="s">
        <v>158</v>
      </c>
      <c r="L9" s="13" t="s">
        <v>150</v>
      </c>
      <c r="M9" s="9">
        <v>559000</v>
      </c>
      <c r="N9" s="14">
        <f t="shared" si="3"/>
        <v>0.5</v>
      </c>
      <c r="O9" s="22">
        <f t="shared" si="2"/>
        <v>279500</v>
      </c>
      <c r="P9" s="10" t="s">
        <v>259</v>
      </c>
    </row>
    <row r="10" spans="1:16" x14ac:dyDescent="0.25">
      <c r="A10" s="7" t="str">
        <f t="shared" si="0"/>
        <v>MEI JUN 2025 D50</v>
      </c>
      <c r="B10" s="8">
        <f t="shared" si="0"/>
        <v>46114</v>
      </c>
      <c r="C10" s="8">
        <f t="shared" si="0"/>
        <v>46120</v>
      </c>
      <c r="D10" s="12">
        <f t="shared" si="0"/>
        <v>3320</v>
      </c>
      <c r="E10" s="12">
        <f t="shared" si="0"/>
        <v>336</v>
      </c>
      <c r="F10" s="12">
        <f t="shared" si="0"/>
        <v>4</v>
      </c>
      <c r="G10" s="13">
        <v>4</v>
      </c>
      <c r="H10" s="7">
        <v>81755</v>
      </c>
      <c r="I10" s="7" t="str">
        <f t="shared" si="1"/>
        <v>LEVIS</v>
      </c>
      <c r="J10" s="13">
        <v>54440630</v>
      </c>
      <c r="K10" s="13" t="s">
        <v>158</v>
      </c>
      <c r="L10" s="13" t="s">
        <v>151</v>
      </c>
      <c r="M10" s="9">
        <v>559000</v>
      </c>
      <c r="N10" s="14">
        <f t="shared" si="3"/>
        <v>0.5</v>
      </c>
      <c r="O10" s="22">
        <f t="shared" si="2"/>
        <v>279500</v>
      </c>
      <c r="P10" s="10" t="s">
        <v>259</v>
      </c>
    </row>
    <row r="11" spans="1:16" x14ac:dyDescent="0.25">
      <c r="A11" s="7" t="str">
        <f t="shared" si="0"/>
        <v>MEI JUN 2025 D50</v>
      </c>
      <c r="B11" s="8">
        <f t="shared" si="0"/>
        <v>46114</v>
      </c>
      <c r="C11" s="8">
        <f t="shared" si="0"/>
        <v>46120</v>
      </c>
      <c r="D11" s="12">
        <f t="shared" si="0"/>
        <v>3320</v>
      </c>
      <c r="E11" s="12">
        <f t="shared" si="0"/>
        <v>336</v>
      </c>
      <c r="F11" s="12">
        <f t="shared" si="0"/>
        <v>4</v>
      </c>
      <c r="G11" s="13">
        <v>4</v>
      </c>
      <c r="H11" s="7">
        <v>81755</v>
      </c>
      <c r="I11" s="7" t="str">
        <f t="shared" si="1"/>
        <v>LEVIS</v>
      </c>
      <c r="J11" s="13">
        <v>54440649</v>
      </c>
      <c r="K11" s="13" t="s">
        <v>158</v>
      </c>
      <c r="L11" s="13" t="s">
        <v>152</v>
      </c>
      <c r="M11" s="9">
        <v>559000</v>
      </c>
      <c r="N11" s="14">
        <f t="shared" si="3"/>
        <v>0.5</v>
      </c>
      <c r="O11" s="22">
        <f t="shared" si="2"/>
        <v>279500</v>
      </c>
      <c r="P11" s="10" t="s">
        <v>259</v>
      </c>
    </row>
    <row r="12" spans="1:16" x14ac:dyDescent="0.25">
      <c r="A12" s="7" t="str">
        <f t="shared" si="0"/>
        <v>MEI JUN 2025 D50</v>
      </c>
      <c r="B12" s="8">
        <f t="shared" si="0"/>
        <v>46114</v>
      </c>
      <c r="C12" s="8">
        <f t="shared" si="0"/>
        <v>46120</v>
      </c>
      <c r="D12" s="12">
        <f t="shared" si="0"/>
        <v>3320</v>
      </c>
      <c r="E12" s="12">
        <f t="shared" si="0"/>
        <v>336</v>
      </c>
      <c r="F12" s="12">
        <f t="shared" si="0"/>
        <v>4</v>
      </c>
      <c r="G12" s="13">
        <v>4</v>
      </c>
      <c r="H12" s="7">
        <v>81755</v>
      </c>
      <c r="I12" s="7" t="str">
        <f t="shared" si="1"/>
        <v>LEVIS</v>
      </c>
      <c r="J12" s="13">
        <v>54440658</v>
      </c>
      <c r="K12" s="13" t="s">
        <v>158</v>
      </c>
      <c r="L12" s="13" t="s">
        <v>153</v>
      </c>
      <c r="M12" s="9">
        <v>559000</v>
      </c>
      <c r="N12" s="14">
        <f t="shared" si="3"/>
        <v>0.5</v>
      </c>
      <c r="O12" s="22">
        <f t="shared" si="2"/>
        <v>279500</v>
      </c>
      <c r="P12" s="10" t="s">
        <v>259</v>
      </c>
    </row>
    <row r="13" spans="1:16" x14ac:dyDescent="0.25">
      <c r="A13" s="7" t="str">
        <f t="shared" si="0"/>
        <v>MEI JUN 2025 D50</v>
      </c>
      <c r="B13" s="8">
        <f t="shared" si="0"/>
        <v>46114</v>
      </c>
      <c r="C13" s="8">
        <f t="shared" si="0"/>
        <v>46120</v>
      </c>
      <c r="D13" s="12">
        <f t="shared" si="0"/>
        <v>3320</v>
      </c>
      <c r="E13" s="12">
        <f t="shared" si="0"/>
        <v>336</v>
      </c>
      <c r="F13" s="12">
        <f t="shared" si="0"/>
        <v>4</v>
      </c>
      <c r="G13" s="13">
        <v>4</v>
      </c>
      <c r="H13" s="7">
        <v>81755</v>
      </c>
      <c r="I13" s="7" t="str">
        <f t="shared" si="1"/>
        <v>LEVIS</v>
      </c>
      <c r="J13" s="13">
        <v>54440667</v>
      </c>
      <c r="K13" s="13" t="s">
        <v>158</v>
      </c>
      <c r="L13" s="13" t="s">
        <v>154</v>
      </c>
      <c r="M13" s="9">
        <v>559000</v>
      </c>
      <c r="N13" s="14">
        <f t="shared" si="3"/>
        <v>0.5</v>
      </c>
      <c r="O13" s="22">
        <f t="shared" si="2"/>
        <v>279500</v>
      </c>
      <c r="P13" s="10" t="s">
        <v>259</v>
      </c>
    </row>
    <row r="14" spans="1:16" x14ac:dyDescent="0.25">
      <c r="A14" s="7" t="str">
        <f t="shared" ref="A14:F17" si="4">A13</f>
        <v>MEI JUN 2025 D50</v>
      </c>
      <c r="B14" s="8">
        <f t="shared" si="4"/>
        <v>46114</v>
      </c>
      <c r="C14" s="8">
        <f t="shared" si="4"/>
        <v>46120</v>
      </c>
      <c r="D14" s="12">
        <f t="shared" si="4"/>
        <v>3320</v>
      </c>
      <c r="E14" s="12">
        <f t="shared" si="4"/>
        <v>336</v>
      </c>
      <c r="F14" s="12">
        <f t="shared" si="4"/>
        <v>4</v>
      </c>
      <c r="G14" s="13">
        <v>5</v>
      </c>
      <c r="H14" s="7">
        <v>81755</v>
      </c>
      <c r="I14" s="7" t="str">
        <f t="shared" si="1"/>
        <v>LEVIS</v>
      </c>
      <c r="J14" s="13">
        <v>54446698</v>
      </c>
      <c r="K14" s="13" t="s">
        <v>159</v>
      </c>
      <c r="L14" s="13" t="s">
        <v>155</v>
      </c>
      <c r="M14" s="9">
        <v>199000</v>
      </c>
      <c r="N14" s="14">
        <f t="shared" si="3"/>
        <v>0.5</v>
      </c>
      <c r="O14" s="22">
        <f t="shared" si="2"/>
        <v>99500</v>
      </c>
      <c r="P14" s="10" t="s">
        <v>259</v>
      </c>
    </row>
    <row r="15" spans="1:16" x14ac:dyDescent="0.25">
      <c r="A15" s="7" t="str">
        <f t="shared" si="4"/>
        <v>MEI JUN 2025 D50</v>
      </c>
      <c r="B15" s="8">
        <f t="shared" si="4"/>
        <v>46114</v>
      </c>
      <c r="C15" s="8">
        <f t="shared" si="4"/>
        <v>46120</v>
      </c>
      <c r="D15" s="12">
        <f t="shared" si="4"/>
        <v>3320</v>
      </c>
      <c r="E15" s="12">
        <f t="shared" si="4"/>
        <v>336</v>
      </c>
      <c r="F15" s="12">
        <f t="shared" si="4"/>
        <v>4</v>
      </c>
      <c r="G15" s="13">
        <v>5</v>
      </c>
      <c r="H15" s="7">
        <v>81755</v>
      </c>
      <c r="I15" s="7" t="str">
        <f t="shared" si="1"/>
        <v>LEVIS</v>
      </c>
      <c r="J15" s="13">
        <v>54440747</v>
      </c>
      <c r="K15" s="13" t="s">
        <v>160</v>
      </c>
      <c r="L15" s="13" t="s">
        <v>156</v>
      </c>
      <c r="M15" s="9">
        <v>199000</v>
      </c>
      <c r="N15" s="14">
        <f t="shared" si="3"/>
        <v>0.5</v>
      </c>
      <c r="O15" s="22">
        <f t="shared" si="2"/>
        <v>99500</v>
      </c>
      <c r="P15" s="10" t="s">
        <v>259</v>
      </c>
    </row>
    <row r="16" spans="1:16" x14ac:dyDescent="0.25">
      <c r="A16" s="7" t="str">
        <f t="shared" si="4"/>
        <v>MEI JUN 2025 D50</v>
      </c>
      <c r="B16" s="8">
        <f t="shared" si="4"/>
        <v>46114</v>
      </c>
      <c r="C16" s="8">
        <f t="shared" si="4"/>
        <v>46120</v>
      </c>
      <c r="D16" s="12">
        <f t="shared" si="4"/>
        <v>3320</v>
      </c>
      <c r="E16" s="12">
        <f t="shared" si="4"/>
        <v>336</v>
      </c>
      <c r="F16" s="12">
        <f t="shared" si="4"/>
        <v>4</v>
      </c>
      <c r="G16" s="13">
        <v>1</v>
      </c>
      <c r="H16" s="7">
        <v>81755</v>
      </c>
      <c r="I16" s="7" t="str">
        <f t="shared" si="1"/>
        <v>LEVIS</v>
      </c>
      <c r="J16" s="13">
        <v>54618690</v>
      </c>
      <c r="K16" s="13" t="s">
        <v>162</v>
      </c>
      <c r="L16" s="13" t="s">
        <v>170</v>
      </c>
      <c r="M16" s="7">
        <v>259000</v>
      </c>
      <c r="N16" s="14">
        <f t="shared" si="3"/>
        <v>0.5</v>
      </c>
      <c r="O16" s="22">
        <f t="shared" si="2"/>
        <v>129500</v>
      </c>
      <c r="P16" s="10" t="s">
        <v>259</v>
      </c>
    </row>
    <row r="17" spans="1:16" x14ac:dyDescent="0.25">
      <c r="A17" s="7" t="str">
        <f t="shared" si="4"/>
        <v>MEI JUN 2025 D50</v>
      </c>
      <c r="B17" s="8">
        <f t="shared" si="4"/>
        <v>46114</v>
      </c>
      <c r="C17" s="8">
        <f t="shared" si="4"/>
        <v>46120</v>
      </c>
      <c r="D17" s="12">
        <f t="shared" si="4"/>
        <v>3320</v>
      </c>
      <c r="E17" s="12">
        <f t="shared" si="4"/>
        <v>336</v>
      </c>
      <c r="F17" s="12">
        <f t="shared" si="4"/>
        <v>4</v>
      </c>
      <c r="G17" s="13">
        <v>1</v>
      </c>
      <c r="H17" s="7">
        <v>81755</v>
      </c>
      <c r="I17" s="7" t="str">
        <f t="shared" si="1"/>
        <v>LEVIS</v>
      </c>
      <c r="J17" s="13">
        <v>54618707</v>
      </c>
      <c r="K17" s="13" t="s">
        <v>162</v>
      </c>
      <c r="L17" s="13" t="s">
        <v>171</v>
      </c>
      <c r="M17" s="7">
        <v>259000</v>
      </c>
      <c r="N17" s="14">
        <f t="shared" si="3"/>
        <v>0.5</v>
      </c>
      <c r="O17" s="22">
        <f t="shared" si="2"/>
        <v>129500</v>
      </c>
      <c r="P17" s="10" t="s">
        <v>259</v>
      </c>
    </row>
    <row r="18" spans="1:16" x14ac:dyDescent="0.25">
      <c r="A18" s="7" t="str">
        <f t="shared" ref="A18:F18" si="5">A17</f>
        <v>MEI JUN 2025 D50</v>
      </c>
      <c r="B18" s="8">
        <f t="shared" si="5"/>
        <v>46114</v>
      </c>
      <c r="C18" s="8">
        <f t="shared" si="5"/>
        <v>46120</v>
      </c>
      <c r="D18" s="12">
        <f t="shared" si="5"/>
        <v>3320</v>
      </c>
      <c r="E18" s="12">
        <f t="shared" si="5"/>
        <v>336</v>
      </c>
      <c r="F18" s="12">
        <f t="shared" si="5"/>
        <v>4</v>
      </c>
      <c r="G18" s="13">
        <v>1</v>
      </c>
      <c r="H18" s="7">
        <v>81755</v>
      </c>
      <c r="I18" s="7" t="str">
        <f t="shared" si="1"/>
        <v>LEVIS</v>
      </c>
      <c r="J18" s="13">
        <v>54618716</v>
      </c>
      <c r="K18" s="13" t="s">
        <v>162</v>
      </c>
      <c r="L18" s="13" t="s">
        <v>172</v>
      </c>
      <c r="M18" s="7">
        <v>259000</v>
      </c>
      <c r="N18" s="14">
        <f t="shared" si="3"/>
        <v>0.5</v>
      </c>
      <c r="O18" s="22">
        <f t="shared" si="2"/>
        <v>129500</v>
      </c>
      <c r="P18" s="10" t="s">
        <v>259</v>
      </c>
    </row>
    <row r="19" spans="1:16" x14ac:dyDescent="0.25">
      <c r="A19" s="7" t="str">
        <f t="shared" ref="A19:F19" si="6">A18</f>
        <v>MEI JUN 2025 D50</v>
      </c>
      <c r="B19" s="8">
        <f t="shared" si="6"/>
        <v>46114</v>
      </c>
      <c r="C19" s="8">
        <f t="shared" si="6"/>
        <v>46120</v>
      </c>
      <c r="D19" s="12">
        <f t="shared" si="6"/>
        <v>3320</v>
      </c>
      <c r="E19" s="12">
        <f t="shared" si="6"/>
        <v>336</v>
      </c>
      <c r="F19" s="12">
        <f t="shared" si="6"/>
        <v>4</v>
      </c>
      <c r="G19" s="13">
        <v>1</v>
      </c>
      <c r="H19" s="7">
        <v>81755</v>
      </c>
      <c r="I19" s="7" t="str">
        <f t="shared" si="1"/>
        <v>LEVIS</v>
      </c>
      <c r="J19" s="13">
        <v>54618725</v>
      </c>
      <c r="K19" s="13" t="s">
        <v>162</v>
      </c>
      <c r="L19" s="13" t="s">
        <v>173</v>
      </c>
      <c r="M19" s="7">
        <v>259000</v>
      </c>
      <c r="N19" s="14">
        <f t="shared" si="3"/>
        <v>0.5</v>
      </c>
      <c r="O19" s="22">
        <f t="shared" si="2"/>
        <v>129500</v>
      </c>
      <c r="P19" s="10" t="s">
        <v>259</v>
      </c>
    </row>
    <row r="20" spans="1:16" x14ac:dyDescent="0.25">
      <c r="A20" s="7" t="str">
        <f t="shared" ref="A20:F20" si="7">A19</f>
        <v>MEI JUN 2025 D50</v>
      </c>
      <c r="B20" s="8">
        <f t="shared" si="7"/>
        <v>46114</v>
      </c>
      <c r="C20" s="8">
        <f t="shared" si="7"/>
        <v>46120</v>
      </c>
      <c r="D20" s="12">
        <f t="shared" si="7"/>
        <v>3320</v>
      </c>
      <c r="E20" s="12">
        <f t="shared" si="7"/>
        <v>336</v>
      </c>
      <c r="F20" s="12">
        <f t="shared" si="7"/>
        <v>4</v>
      </c>
      <c r="G20" s="13">
        <v>1</v>
      </c>
      <c r="H20" s="7">
        <v>81755</v>
      </c>
      <c r="I20" s="7" t="str">
        <f t="shared" si="1"/>
        <v>LEVIS</v>
      </c>
      <c r="J20" s="13">
        <v>54618734</v>
      </c>
      <c r="K20" s="13" t="s">
        <v>163</v>
      </c>
      <c r="L20" s="13" t="s">
        <v>174</v>
      </c>
      <c r="M20" s="7">
        <v>259000</v>
      </c>
      <c r="N20" s="14">
        <f t="shared" si="3"/>
        <v>0.5</v>
      </c>
      <c r="O20" s="22">
        <f t="shared" si="2"/>
        <v>129500</v>
      </c>
      <c r="P20" s="10" t="s">
        <v>259</v>
      </c>
    </row>
    <row r="21" spans="1:16" x14ac:dyDescent="0.25">
      <c r="A21" s="7" t="str">
        <f t="shared" ref="A21:F21" si="8">A20</f>
        <v>MEI JUN 2025 D50</v>
      </c>
      <c r="B21" s="8">
        <f t="shared" si="8"/>
        <v>46114</v>
      </c>
      <c r="C21" s="8">
        <f t="shared" si="8"/>
        <v>46120</v>
      </c>
      <c r="D21" s="12">
        <f t="shared" si="8"/>
        <v>3320</v>
      </c>
      <c r="E21" s="12">
        <f t="shared" si="8"/>
        <v>336</v>
      </c>
      <c r="F21" s="12">
        <f t="shared" si="8"/>
        <v>4</v>
      </c>
      <c r="G21" s="13">
        <v>1</v>
      </c>
      <c r="H21" s="7">
        <v>81755</v>
      </c>
      <c r="I21" s="7" t="str">
        <f t="shared" si="1"/>
        <v>LEVIS</v>
      </c>
      <c r="J21" s="13">
        <v>54618743</v>
      </c>
      <c r="K21" s="13" t="s">
        <v>163</v>
      </c>
      <c r="L21" s="13" t="s">
        <v>175</v>
      </c>
      <c r="M21" s="7">
        <v>259000</v>
      </c>
      <c r="N21" s="14">
        <f t="shared" si="3"/>
        <v>0.5</v>
      </c>
      <c r="O21" s="22">
        <f t="shared" si="2"/>
        <v>129500</v>
      </c>
      <c r="P21" s="10" t="s">
        <v>259</v>
      </c>
    </row>
    <row r="22" spans="1:16" x14ac:dyDescent="0.25">
      <c r="A22" s="7" t="str">
        <f t="shared" ref="A22:F22" si="9">A21</f>
        <v>MEI JUN 2025 D50</v>
      </c>
      <c r="B22" s="8">
        <f t="shared" si="9"/>
        <v>46114</v>
      </c>
      <c r="C22" s="8">
        <f t="shared" si="9"/>
        <v>46120</v>
      </c>
      <c r="D22" s="12">
        <f t="shared" si="9"/>
        <v>3320</v>
      </c>
      <c r="E22" s="12">
        <f t="shared" si="9"/>
        <v>336</v>
      </c>
      <c r="F22" s="12">
        <f t="shared" si="9"/>
        <v>4</v>
      </c>
      <c r="G22" s="13">
        <v>1</v>
      </c>
      <c r="H22" s="7">
        <v>81755</v>
      </c>
      <c r="I22" s="7" t="str">
        <f t="shared" si="1"/>
        <v>LEVIS</v>
      </c>
      <c r="J22" s="13">
        <v>54618752</v>
      </c>
      <c r="K22" s="13" t="s">
        <v>163</v>
      </c>
      <c r="L22" s="13" t="s">
        <v>176</v>
      </c>
      <c r="M22" s="7">
        <v>259000</v>
      </c>
      <c r="N22" s="14">
        <f t="shared" si="3"/>
        <v>0.5</v>
      </c>
      <c r="O22" s="22">
        <f t="shared" si="2"/>
        <v>129500</v>
      </c>
      <c r="P22" s="10" t="s">
        <v>259</v>
      </c>
    </row>
    <row r="23" spans="1:16" x14ac:dyDescent="0.25">
      <c r="A23" s="7" t="str">
        <f t="shared" ref="A23:F23" si="10">A22</f>
        <v>MEI JUN 2025 D50</v>
      </c>
      <c r="B23" s="8">
        <f t="shared" si="10"/>
        <v>46114</v>
      </c>
      <c r="C23" s="8">
        <f t="shared" si="10"/>
        <v>46120</v>
      </c>
      <c r="D23" s="12">
        <f t="shared" si="10"/>
        <v>3320</v>
      </c>
      <c r="E23" s="12">
        <f t="shared" si="10"/>
        <v>336</v>
      </c>
      <c r="F23" s="12">
        <f t="shared" si="10"/>
        <v>4</v>
      </c>
      <c r="G23" s="13">
        <v>1</v>
      </c>
      <c r="H23" s="7">
        <v>81755</v>
      </c>
      <c r="I23" s="7" t="str">
        <f t="shared" si="1"/>
        <v>LEVIS</v>
      </c>
      <c r="J23" s="13">
        <v>54618761</v>
      </c>
      <c r="K23" s="13" t="s">
        <v>163</v>
      </c>
      <c r="L23" s="13" t="s">
        <v>177</v>
      </c>
      <c r="M23" s="7">
        <v>259000</v>
      </c>
      <c r="N23" s="14">
        <f t="shared" si="3"/>
        <v>0.5</v>
      </c>
      <c r="O23" s="22">
        <f t="shared" si="2"/>
        <v>129500</v>
      </c>
      <c r="P23" s="10" t="s">
        <v>259</v>
      </c>
    </row>
    <row r="24" spans="1:16" x14ac:dyDescent="0.25">
      <c r="A24" s="7" t="str">
        <f t="shared" ref="A24:F24" si="11">A23</f>
        <v>MEI JUN 2025 D50</v>
      </c>
      <c r="B24" s="8">
        <f t="shared" si="11"/>
        <v>46114</v>
      </c>
      <c r="C24" s="8">
        <f t="shared" si="11"/>
        <v>46120</v>
      </c>
      <c r="D24" s="12">
        <f t="shared" si="11"/>
        <v>3320</v>
      </c>
      <c r="E24" s="12">
        <f t="shared" si="11"/>
        <v>336</v>
      </c>
      <c r="F24" s="12">
        <f t="shared" si="11"/>
        <v>4</v>
      </c>
      <c r="G24" s="13">
        <v>1</v>
      </c>
      <c r="H24" s="7">
        <v>81755</v>
      </c>
      <c r="I24" s="7" t="str">
        <f t="shared" si="1"/>
        <v>LEVIS</v>
      </c>
      <c r="J24" s="13">
        <v>54618770</v>
      </c>
      <c r="K24" s="13" t="s">
        <v>164</v>
      </c>
      <c r="L24" s="13" t="s">
        <v>178</v>
      </c>
      <c r="M24" s="7">
        <v>199000</v>
      </c>
      <c r="N24" s="14">
        <f t="shared" si="3"/>
        <v>0.5</v>
      </c>
      <c r="O24" s="22">
        <f t="shared" si="2"/>
        <v>99500</v>
      </c>
      <c r="P24" s="10" t="s">
        <v>259</v>
      </c>
    </row>
    <row r="25" spans="1:16" x14ac:dyDescent="0.25">
      <c r="A25" s="7" t="str">
        <f t="shared" ref="A25:F25" si="12">A24</f>
        <v>MEI JUN 2025 D50</v>
      </c>
      <c r="B25" s="8">
        <f t="shared" si="12"/>
        <v>46114</v>
      </c>
      <c r="C25" s="8">
        <f t="shared" si="12"/>
        <v>46120</v>
      </c>
      <c r="D25" s="12">
        <f t="shared" si="12"/>
        <v>3320</v>
      </c>
      <c r="E25" s="12">
        <f t="shared" si="12"/>
        <v>336</v>
      </c>
      <c r="F25" s="12">
        <f t="shared" si="12"/>
        <v>4</v>
      </c>
      <c r="G25" s="13">
        <v>1</v>
      </c>
      <c r="H25" s="7">
        <v>81755</v>
      </c>
      <c r="I25" s="7" t="str">
        <f t="shared" si="1"/>
        <v>LEVIS</v>
      </c>
      <c r="J25" s="13">
        <v>54618789</v>
      </c>
      <c r="K25" s="13" t="s">
        <v>164</v>
      </c>
      <c r="L25" s="13" t="s">
        <v>179</v>
      </c>
      <c r="M25" s="7">
        <v>199000</v>
      </c>
      <c r="N25" s="14">
        <f t="shared" si="3"/>
        <v>0.5</v>
      </c>
      <c r="O25" s="22">
        <f t="shared" si="2"/>
        <v>99500</v>
      </c>
      <c r="P25" s="10" t="s">
        <v>259</v>
      </c>
    </row>
    <row r="26" spans="1:16" x14ac:dyDescent="0.25">
      <c r="A26" s="7" t="str">
        <f t="shared" ref="A26:F26" si="13">A25</f>
        <v>MEI JUN 2025 D50</v>
      </c>
      <c r="B26" s="8">
        <f t="shared" si="13"/>
        <v>46114</v>
      </c>
      <c r="C26" s="8">
        <f t="shared" si="13"/>
        <v>46120</v>
      </c>
      <c r="D26" s="12">
        <f t="shared" si="13"/>
        <v>3320</v>
      </c>
      <c r="E26" s="12">
        <f t="shared" si="13"/>
        <v>336</v>
      </c>
      <c r="F26" s="12">
        <f t="shared" si="13"/>
        <v>4</v>
      </c>
      <c r="G26" s="13">
        <v>1</v>
      </c>
      <c r="H26" s="7">
        <v>81755</v>
      </c>
      <c r="I26" s="7" t="str">
        <f t="shared" si="1"/>
        <v>LEVIS</v>
      </c>
      <c r="J26" s="13">
        <v>54618798</v>
      </c>
      <c r="K26" s="13" t="s">
        <v>164</v>
      </c>
      <c r="L26" s="13" t="s">
        <v>180</v>
      </c>
      <c r="M26" s="7">
        <v>199000</v>
      </c>
      <c r="N26" s="14">
        <f t="shared" si="3"/>
        <v>0.5</v>
      </c>
      <c r="O26" s="22">
        <f t="shared" si="2"/>
        <v>99500</v>
      </c>
      <c r="P26" s="10" t="s">
        <v>259</v>
      </c>
    </row>
    <row r="27" spans="1:16" x14ac:dyDescent="0.25">
      <c r="A27" s="7" t="str">
        <f t="shared" ref="A27:F27" si="14">A26</f>
        <v>MEI JUN 2025 D50</v>
      </c>
      <c r="B27" s="8">
        <f t="shared" si="14"/>
        <v>46114</v>
      </c>
      <c r="C27" s="8">
        <f t="shared" si="14"/>
        <v>46120</v>
      </c>
      <c r="D27" s="12">
        <f t="shared" si="14"/>
        <v>3320</v>
      </c>
      <c r="E27" s="12">
        <f t="shared" si="14"/>
        <v>336</v>
      </c>
      <c r="F27" s="12">
        <f t="shared" si="14"/>
        <v>4</v>
      </c>
      <c r="G27" s="13">
        <v>1</v>
      </c>
      <c r="H27" s="7">
        <v>81755</v>
      </c>
      <c r="I27" s="7" t="str">
        <f t="shared" si="1"/>
        <v>LEVIS</v>
      </c>
      <c r="J27" s="13">
        <v>54618805</v>
      </c>
      <c r="K27" s="13" t="s">
        <v>164</v>
      </c>
      <c r="L27" s="13" t="s">
        <v>181</v>
      </c>
      <c r="M27" s="7">
        <v>199000</v>
      </c>
      <c r="N27" s="14">
        <f t="shared" si="3"/>
        <v>0.5</v>
      </c>
      <c r="O27" s="22">
        <f t="shared" si="2"/>
        <v>99500</v>
      </c>
      <c r="P27" s="10" t="s">
        <v>259</v>
      </c>
    </row>
    <row r="28" spans="1:16" x14ac:dyDescent="0.25">
      <c r="A28" s="7" t="str">
        <f t="shared" ref="A28:F28" si="15">A27</f>
        <v>MEI JUN 2025 D50</v>
      </c>
      <c r="B28" s="8">
        <f t="shared" si="15"/>
        <v>46114</v>
      </c>
      <c r="C28" s="8">
        <f t="shared" si="15"/>
        <v>46120</v>
      </c>
      <c r="D28" s="12">
        <f t="shared" si="15"/>
        <v>3320</v>
      </c>
      <c r="E28" s="12">
        <f t="shared" si="15"/>
        <v>336</v>
      </c>
      <c r="F28" s="12">
        <f t="shared" si="15"/>
        <v>4</v>
      </c>
      <c r="G28" s="13">
        <v>1</v>
      </c>
      <c r="H28" s="7">
        <v>81755</v>
      </c>
      <c r="I28" s="7" t="str">
        <f t="shared" si="1"/>
        <v>LEVIS</v>
      </c>
      <c r="J28" s="13">
        <v>54618814</v>
      </c>
      <c r="K28" s="13" t="s">
        <v>165</v>
      </c>
      <c r="L28" s="13" t="s">
        <v>182</v>
      </c>
      <c r="M28" s="7">
        <v>259000</v>
      </c>
      <c r="N28" s="14">
        <f t="shared" si="3"/>
        <v>0.5</v>
      </c>
      <c r="O28" s="22">
        <f t="shared" si="2"/>
        <v>129500</v>
      </c>
      <c r="P28" s="10" t="s">
        <v>259</v>
      </c>
    </row>
    <row r="29" spans="1:16" x14ac:dyDescent="0.25">
      <c r="A29" s="7" t="str">
        <f t="shared" ref="A29:F29" si="16">A28</f>
        <v>MEI JUN 2025 D50</v>
      </c>
      <c r="B29" s="8">
        <f t="shared" si="16"/>
        <v>46114</v>
      </c>
      <c r="C29" s="8">
        <f t="shared" si="16"/>
        <v>46120</v>
      </c>
      <c r="D29" s="12">
        <f t="shared" si="16"/>
        <v>3320</v>
      </c>
      <c r="E29" s="12">
        <f t="shared" si="16"/>
        <v>336</v>
      </c>
      <c r="F29" s="12">
        <f t="shared" si="16"/>
        <v>4</v>
      </c>
      <c r="G29" s="13">
        <v>1</v>
      </c>
      <c r="H29" s="7">
        <v>81755</v>
      </c>
      <c r="I29" s="7" t="str">
        <f t="shared" si="1"/>
        <v>LEVIS</v>
      </c>
      <c r="J29" s="13">
        <v>54618823</v>
      </c>
      <c r="K29" s="13" t="s">
        <v>165</v>
      </c>
      <c r="L29" s="13" t="s">
        <v>183</v>
      </c>
      <c r="M29" s="7">
        <v>259000</v>
      </c>
      <c r="N29" s="14">
        <f t="shared" si="3"/>
        <v>0.5</v>
      </c>
      <c r="O29" s="22">
        <f t="shared" si="2"/>
        <v>129500</v>
      </c>
      <c r="P29" s="10" t="s">
        <v>259</v>
      </c>
    </row>
    <row r="30" spans="1:16" x14ac:dyDescent="0.25">
      <c r="A30" s="7" t="str">
        <f t="shared" ref="A30:F30" si="17">A29</f>
        <v>MEI JUN 2025 D50</v>
      </c>
      <c r="B30" s="8">
        <f t="shared" si="17"/>
        <v>46114</v>
      </c>
      <c r="C30" s="8">
        <f t="shared" si="17"/>
        <v>46120</v>
      </c>
      <c r="D30" s="12">
        <f t="shared" si="17"/>
        <v>3320</v>
      </c>
      <c r="E30" s="12">
        <f t="shared" si="17"/>
        <v>336</v>
      </c>
      <c r="F30" s="12">
        <f t="shared" si="17"/>
        <v>4</v>
      </c>
      <c r="G30" s="13">
        <v>1</v>
      </c>
      <c r="H30" s="7">
        <v>81755</v>
      </c>
      <c r="I30" s="7" t="str">
        <f t="shared" si="1"/>
        <v>LEVIS</v>
      </c>
      <c r="J30" s="13">
        <v>54618832</v>
      </c>
      <c r="K30" s="13" t="s">
        <v>165</v>
      </c>
      <c r="L30" s="13" t="s">
        <v>184</v>
      </c>
      <c r="M30" s="7">
        <v>259000</v>
      </c>
      <c r="N30" s="14">
        <f t="shared" si="3"/>
        <v>0.5</v>
      </c>
      <c r="O30" s="22">
        <f t="shared" si="2"/>
        <v>129500</v>
      </c>
      <c r="P30" s="10" t="s">
        <v>259</v>
      </c>
    </row>
    <row r="31" spans="1:16" x14ac:dyDescent="0.25">
      <c r="A31" s="7" t="str">
        <f t="shared" ref="A31:F31" si="18">A30</f>
        <v>MEI JUN 2025 D50</v>
      </c>
      <c r="B31" s="8">
        <f t="shared" si="18"/>
        <v>46114</v>
      </c>
      <c r="C31" s="8">
        <f t="shared" si="18"/>
        <v>46120</v>
      </c>
      <c r="D31" s="12">
        <f t="shared" si="18"/>
        <v>3320</v>
      </c>
      <c r="E31" s="12">
        <f t="shared" si="18"/>
        <v>336</v>
      </c>
      <c r="F31" s="12">
        <f t="shared" si="18"/>
        <v>4</v>
      </c>
      <c r="G31" s="13">
        <v>1</v>
      </c>
      <c r="H31" s="7">
        <v>81755</v>
      </c>
      <c r="I31" s="7" t="str">
        <f t="shared" si="1"/>
        <v>LEVIS</v>
      </c>
      <c r="J31" s="13">
        <v>54618841</v>
      </c>
      <c r="K31" s="13" t="s">
        <v>165</v>
      </c>
      <c r="L31" s="13" t="s">
        <v>185</v>
      </c>
      <c r="M31" s="7">
        <v>259000</v>
      </c>
      <c r="N31" s="14">
        <f t="shared" si="3"/>
        <v>0.5</v>
      </c>
      <c r="O31" s="22">
        <f t="shared" si="2"/>
        <v>129500</v>
      </c>
      <c r="P31" s="10" t="s">
        <v>259</v>
      </c>
    </row>
    <row r="32" spans="1:16" x14ac:dyDescent="0.25">
      <c r="A32" s="7" t="str">
        <f t="shared" ref="A32:F32" si="19">A31</f>
        <v>MEI JUN 2025 D50</v>
      </c>
      <c r="B32" s="8">
        <f t="shared" si="19"/>
        <v>46114</v>
      </c>
      <c r="C32" s="8">
        <f t="shared" si="19"/>
        <v>46120</v>
      </c>
      <c r="D32" s="12">
        <f t="shared" si="19"/>
        <v>3320</v>
      </c>
      <c r="E32" s="12">
        <f t="shared" si="19"/>
        <v>336</v>
      </c>
      <c r="F32" s="12">
        <f t="shared" si="19"/>
        <v>4</v>
      </c>
      <c r="G32" s="13">
        <v>1</v>
      </c>
      <c r="H32" s="7">
        <v>81755</v>
      </c>
      <c r="I32" s="7" t="str">
        <f t="shared" si="1"/>
        <v>LEVIS</v>
      </c>
      <c r="J32" s="13">
        <v>54618850</v>
      </c>
      <c r="K32" s="13" t="s">
        <v>166</v>
      </c>
      <c r="L32" s="13" t="s">
        <v>186</v>
      </c>
      <c r="M32" s="7">
        <v>259000</v>
      </c>
      <c r="N32" s="14">
        <f t="shared" si="3"/>
        <v>0.5</v>
      </c>
      <c r="O32" s="22">
        <f t="shared" si="2"/>
        <v>129500</v>
      </c>
      <c r="P32" s="10" t="s">
        <v>259</v>
      </c>
    </row>
    <row r="33" spans="1:16" x14ac:dyDescent="0.25">
      <c r="A33" s="7" t="str">
        <f t="shared" ref="A33:F33" si="20">A32</f>
        <v>MEI JUN 2025 D50</v>
      </c>
      <c r="B33" s="8">
        <f t="shared" si="20"/>
        <v>46114</v>
      </c>
      <c r="C33" s="8">
        <f t="shared" si="20"/>
        <v>46120</v>
      </c>
      <c r="D33" s="12">
        <f t="shared" si="20"/>
        <v>3320</v>
      </c>
      <c r="E33" s="12">
        <f t="shared" si="20"/>
        <v>336</v>
      </c>
      <c r="F33" s="12">
        <f t="shared" si="20"/>
        <v>4</v>
      </c>
      <c r="G33" s="13">
        <v>1</v>
      </c>
      <c r="H33" s="7">
        <v>81755</v>
      </c>
      <c r="I33" s="7" t="str">
        <f t="shared" si="1"/>
        <v>LEVIS</v>
      </c>
      <c r="J33" s="13">
        <v>54618869</v>
      </c>
      <c r="K33" s="13" t="s">
        <v>166</v>
      </c>
      <c r="L33" s="13" t="s">
        <v>187</v>
      </c>
      <c r="M33" s="7">
        <v>259000</v>
      </c>
      <c r="N33" s="14">
        <f t="shared" si="3"/>
        <v>0.5</v>
      </c>
      <c r="O33" s="22">
        <f t="shared" si="2"/>
        <v>129500</v>
      </c>
      <c r="P33" s="10" t="s">
        <v>259</v>
      </c>
    </row>
    <row r="34" spans="1:16" x14ac:dyDescent="0.25">
      <c r="A34" s="7" t="str">
        <f t="shared" ref="A34:F34" si="21">A33</f>
        <v>MEI JUN 2025 D50</v>
      </c>
      <c r="B34" s="8">
        <f t="shared" si="21"/>
        <v>46114</v>
      </c>
      <c r="C34" s="8">
        <f t="shared" si="21"/>
        <v>46120</v>
      </c>
      <c r="D34" s="12">
        <f t="shared" si="21"/>
        <v>3320</v>
      </c>
      <c r="E34" s="12">
        <f t="shared" si="21"/>
        <v>336</v>
      </c>
      <c r="F34" s="12">
        <f t="shared" si="21"/>
        <v>4</v>
      </c>
      <c r="G34" s="13">
        <v>1</v>
      </c>
      <c r="H34" s="7">
        <v>81755</v>
      </c>
      <c r="I34" s="7" t="str">
        <f t="shared" si="1"/>
        <v>LEVIS</v>
      </c>
      <c r="J34" s="13">
        <v>54618878</v>
      </c>
      <c r="K34" s="13" t="s">
        <v>166</v>
      </c>
      <c r="L34" s="13" t="s">
        <v>188</v>
      </c>
      <c r="M34" s="7">
        <v>259000</v>
      </c>
      <c r="N34" s="14">
        <f t="shared" si="3"/>
        <v>0.5</v>
      </c>
      <c r="O34" s="22">
        <f t="shared" si="2"/>
        <v>129500</v>
      </c>
      <c r="P34" s="10" t="s">
        <v>259</v>
      </c>
    </row>
    <row r="35" spans="1:16" x14ac:dyDescent="0.25">
      <c r="A35" s="7" t="str">
        <f t="shared" ref="A35:F35" si="22">A34</f>
        <v>MEI JUN 2025 D50</v>
      </c>
      <c r="B35" s="8">
        <f t="shared" si="22"/>
        <v>46114</v>
      </c>
      <c r="C35" s="8">
        <f t="shared" si="22"/>
        <v>46120</v>
      </c>
      <c r="D35" s="12">
        <f t="shared" si="22"/>
        <v>3320</v>
      </c>
      <c r="E35" s="12">
        <f t="shared" si="22"/>
        <v>336</v>
      </c>
      <c r="F35" s="12">
        <f t="shared" si="22"/>
        <v>4</v>
      </c>
      <c r="G35" s="13">
        <v>1</v>
      </c>
      <c r="H35" s="7">
        <v>81755</v>
      </c>
      <c r="I35" s="7" t="str">
        <f t="shared" si="1"/>
        <v>LEVIS</v>
      </c>
      <c r="J35" s="13">
        <v>54618887</v>
      </c>
      <c r="K35" s="13" t="s">
        <v>166</v>
      </c>
      <c r="L35" s="13" t="s">
        <v>189</v>
      </c>
      <c r="M35" s="7">
        <v>259000</v>
      </c>
      <c r="N35" s="14">
        <f t="shared" si="3"/>
        <v>0.5</v>
      </c>
      <c r="O35" s="22">
        <f t="shared" si="2"/>
        <v>129500</v>
      </c>
      <c r="P35" s="10" t="s">
        <v>259</v>
      </c>
    </row>
    <row r="36" spans="1:16" x14ac:dyDescent="0.25">
      <c r="A36" s="7" t="str">
        <f t="shared" ref="A36:F36" si="23">A35</f>
        <v>MEI JUN 2025 D50</v>
      </c>
      <c r="B36" s="8">
        <f t="shared" si="23"/>
        <v>46114</v>
      </c>
      <c r="C36" s="8">
        <f t="shared" si="23"/>
        <v>46120</v>
      </c>
      <c r="D36" s="12">
        <f t="shared" si="23"/>
        <v>3320</v>
      </c>
      <c r="E36" s="12">
        <f t="shared" si="23"/>
        <v>336</v>
      </c>
      <c r="F36" s="12">
        <f t="shared" si="23"/>
        <v>4</v>
      </c>
      <c r="G36" s="13">
        <v>1</v>
      </c>
      <c r="H36" s="7">
        <v>81755</v>
      </c>
      <c r="I36" s="7" t="str">
        <f t="shared" si="1"/>
        <v>LEVIS</v>
      </c>
      <c r="J36" s="13">
        <v>54618896</v>
      </c>
      <c r="K36" s="13" t="s">
        <v>167</v>
      </c>
      <c r="L36" s="13" t="s">
        <v>190</v>
      </c>
      <c r="M36" s="7">
        <v>259000</v>
      </c>
      <c r="N36" s="14">
        <f t="shared" si="3"/>
        <v>0.5</v>
      </c>
      <c r="O36" s="22">
        <f t="shared" si="2"/>
        <v>129500</v>
      </c>
      <c r="P36" s="10" t="s">
        <v>259</v>
      </c>
    </row>
    <row r="37" spans="1:16" x14ac:dyDescent="0.25">
      <c r="A37" s="7" t="str">
        <f t="shared" ref="A37:F37" si="24">A36</f>
        <v>MEI JUN 2025 D50</v>
      </c>
      <c r="B37" s="8">
        <f t="shared" si="24"/>
        <v>46114</v>
      </c>
      <c r="C37" s="8">
        <f t="shared" si="24"/>
        <v>46120</v>
      </c>
      <c r="D37" s="12">
        <f t="shared" si="24"/>
        <v>3320</v>
      </c>
      <c r="E37" s="12">
        <f t="shared" si="24"/>
        <v>336</v>
      </c>
      <c r="F37" s="12">
        <f t="shared" si="24"/>
        <v>4</v>
      </c>
      <c r="G37" s="13">
        <v>1</v>
      </c>
      <c r="H37" s="7">
        <v>81755</v>
      </c>
      <c r="I37" s="7" t="str">
        <f t="shared" si="1"/>
        <v>LEVIS</v>
      </c>
      <c r="J37" s="13">
        <v>54618903</v>
      </c>
      <c r="K37" s="13" t="s">
        <v>167</v>
      </c>
      <c r="L37" s="13" t="s">
        <v>191</v>
      </c>
      <c r="M37" s="7">
        <v>259000</v>
      </c>
      <c r="N37" s="14">
        <f t="shared" si="3"/>
        <v>0.5</v>
      </c>
      <c r="O37" s="22">
        <f t="shared" si="2"/>
        <v>129500</v>
      </c>
      <c r="P37" s="10" t="s">
        <v>259</v>
      </c>
    </row>
    <row r="38" spans="1:16" x14ac:dyDescent="0.25">
      <c r="A38" s="7" t="str">
        <f t="shared" ref="A38:F38" si="25">A37</f>
        <v>MEI JUN 2025 D50</v>
      </c>
      <c r="B38" s="8">
        <f t="shared" si="25"/>
        <v>46114</v>
      </c>
      <c r="C38" s="8">
        <f t="shared" si="25"/>
        <v>46120</v>
      </c>
      <c r="D38" s="12">
        <f t="shared" si="25"/>
        <v>3320</v>
      </c>
      <c r="E38" s="12">
        <f t="shared" si="25"/>
        <v>336</v>
      </c>
      <c r="F38" s="12">
        <f t="shared" si="25"/>
        <v>4</v>
      </c>
      <c r="G38" s="13">
        <v>1</v>
      </c>
      <c r="H38" s="7">
        <v>81755</v>
      </c>
      <c r="I38" s="7" t="str">
        <f t="shared" si="1"/>
        <v>LEVIS</v>
      </c>
      <c r="J38" s="13">
        <v>54618912</v>
      </c>
      <c r="K38" s="13" t="s">
        <v>167</v>
      </c>
      <c r="L38" s="13" t="s">
        <v>192</v>
      </c>
      <c r="M38" s="7">
        <v>259000</v>
      </c>
      <c r="N38" s="14">
        <f t="shared" si="3"/>
        <v>0.5</v>
      </c>
      <c r="O38" s="22">
        <f t="shared" si="2"/>
        <v>129500</v>
      </c>
      <c r="P38" s="10" t="s">
        <v>259</v>
      </c>
    </row>
    <row r="39" spans="1:16" x14ac:dyDescent="0.25">
      <c r="A39" s="7" t="str">
        <f t="shared" ref="A39:F39" si="26">A38</f>
        <v>MEI JUN 2025 D50</v>
      </c>
      <c r="B39" s="8">
        <f t="shared" si="26"/>
        <v>46114</v>
      </c>
      <c r="C39" s="8">
        <f t="shared" si="26"/>
        <v>46120</v>
      </c>
      <c r="D39" s="12">
        <f t="shared" si="26"/>
        <v>3320</v>
      </c>
      <c r="E39" s="12">
        <f t="shared" si="26"/>
        <v>336</v>
      </c>
      <c r="F39" s="12">
        <f t="shared" si="26"/>
        <v>4</v>
      </c>
      <c r="G39" s="13">
        <v>1</v>
      </c>
      <c r="H39" s="7">
        <v>81755</v>
      </c>
      <c r="I39" s="7" t="str">
        <f t="shared" si="1"/>
        <v>LEVIS</v>
      </c>
      <c r="J39" s="13">
        <v>54618921</v>
      </c>
      <c r="K39" s="13" t="s">
        <v>167</v>
      </c>
      <c r="L39" s="13" t="s">
        <v>193</v>
      </c>
      <c r="M39" s="7">
        <v>259000</v>
      </c>
      <c r="N39" s="14">
        <f t="shared" si="3"/>
        <v>0.5</v>
      </c>
      <c r="O39" s="22">
        <f t="shared" si="2"/>
        <v>129500</v>
      </c>
      <c r="P39" s="10" t="s">
        <v>259</v>
      </c>
    </row>
    <row r="40" spans="1:16" x14ac:dyDescent="0.25">
      <c r="A40" s="7" t="str">
        <f t="shared" ref="A40:F40" si="27">A39</f>
        <v>MEI JUN 2025 D50</v>
      </c>
      <c r="B40" s="8">
        <f t="shared" si="27"/>
        <v>46114</v>
      </c>
      <c r="C40" s="8">
        <f t="shared" si="27"/>
        <v>46120</v>
      </c>
      <c r="D40" s="12">
        <f t="shared" si="27"/>
        <v>3320</v>
      </c>
      <c r="E40" s="12">
        <f t="shared" si="27"/>
        <v>336</v>
      </c>
      <c r="F40" s="12">
        <f t="shared" si="27"/>
        <v>4</v>
      </c>
      <c r="G40" s="13">
        <v>1</v>
      </c>
      <c r="H40" s="7">
        <v>81755</v>
      </c>
      <c r="I40" s="7" t="str">
        <f t="shared" si="1"/>
        <v>LEVIS</v>
      </c>
      <c r="J40" s="13">
        <v>54618930</v>
      </c>
      <c r="K40" s="13" t="s">
        <v>168</v>
      </c>
      <c r="L40" s="13" t="s">
        <v>194</v>
      </c>
      <c r="M40" s="7">
        <v>259000</v>
      </c>
      <c r="N40" s="14">
        <f t="shared" si="3"/>
        <v>0.5</v>
      </c>
      <c r="O40" s="22">
        <f t="shared" si="2"/>
        <v>129500</v>
      </c>
      <c r="P40" s="10" t="s">
        <v>259</v>
      </c>
    </row>
    <row r="41" spans="1:16" x14ac:dyDescent="0.25">
      <c r="A41" s="7" t="str">
        <f t="shared" ref="A41:F41" si="28">A40</f>
        <v>MEI JUN 2025 D50</v>
      </c>
      <c r="B41" s="8">
        <f t="shared" si="28"/>
        <v>46114</v>
      </c>
      <c r="C41" s="8">
        <f t="shared" si="28"/>
        <v>46120</v>
      </c>
      <c r="D41" s="12">
        <f t="shared" si="28"/>
        <v>3320</v>
      </c>
      <c r="E41" s="12">
        <f t="shared" si="28"/>
        <v>336</v>
      </c>
      <c r="F41" s="12">
        <f t="shared" si="28"/>
        <v>4</v>
      </c>
      <c r="G41" s="13">
        <v>1</v>
      </c>
      <c r="H41" s="7">
        <v>81755</v>
      </c>
      <c r="I41" s="7" t="str">
        <f t="shared" si="1"/>
        <v>LEVIS</v>
      </c>
      <c r="J41" s="13">
        <v>54618949</v>
      </c>
      <c r="K41" s="13" t="s">
        <v>168</v>
      </c>
      <c r="L41" s="13" t="s">
        <v>195</v>
      </c>
      <c r="M41" s="7">
        <v>259000</v>
      </c>
      <c r="N41" s="14">
        <f t="shared" si="3"/>
        <v>0.5</v>
      </c>
      <c r="O41" s="22">
        <f t="shared" si="2"/>
        <v>129500</v>
      </c>
      <c r="P41" s="10" t="s">
        <v>259</v>
      </c>
    </row>
    <row r="42" spans="1:16" x14ac:dyDescent="0.25">
      <c r="A42" s="7" t="str">
        <f t="shared" ref="A42:F42" si="29">A41</f>
        <v>MEI JUN 2025 D50</v>
      </c>
      <c r="B42" s="8">
        <f t="shared" si="29"/>
        <v>46114</v>
      </c>
      <c r="C42" s="8">
        <f t="shared" si="29"/>
        <v>46120</v>
      </c>
      <c r="D42" s="12">
        <f t="shared" si="29"/>
        <v>3320</v>
      </c>
      <c r="E42" s="12">
        <f t="shared" si="29"/>
        <v>336</v>
      </c>
      <c r="F42" s="12">
        <f t="shared" si="29"/>
        <v>4</v>
      </c>
      <c r="G42" s="13">
        <v>1</v>
      </c>
      <c r="H42" s="7">
        <v>81755</v>
      </c>
      <c r="I42" s="7" t="str">
        <f t="shared" si="1"/>
        <v>LEVIS</v>
      </c>
      <c r="J42" s="13">
        <v>54618958</v>
      </c>
      <c r="K42" s="13" t="s">
        <v>168</v>
      </c>
      <c r="L42" s="13" t="s">
        <v>196</v>
      </c>
      <c r="M42" s="7">
        <v>259000</v>
      </c>
      <c r="N42" s="14">
        <f t="shared" si="3"/>
        <v>0.5</v>
      </c>
      <c r="O42" s="22">
        <f t="shared" si="2"/>
        <v>129500</v>
      </c>
      <c r="P42" s="10" t="s">
        <v>259</v>
      </c>
    </row>
    <row r="43" spans="1:16" x14ac:dyDescent="0.25">
      <c r="A43" s="7" t="str">
        <f t="shared" ref="A43:F43" si="30">A42</f>
        <v>MEI JUN 2025 D50</v>
      </c>
      <c r="B43" s="8">
        <f t="shared" si="30"/>
        <v>46114</v>
      </c>
      <c r="C43" s="8">
        <f t="shared" si="30"/>
        <v>46120</v>
      </c>
      <c r="D43" s="12">
        <f t="shared" si="30"/>
        <v>3320</v>
      </c>
      <c r="E43" s="12">
        <f t="shared" si="30"/>
        <v>336</v>
      </c>
      <c r="F43" s="12">
        <f t="shared" si="30"/>
        <v>4</v>
      </c>
      <c r="G43" s="13">
        <v>1</v>
      </c>
      <c r="H43" s="7">
        <v>81755</v>
      </c>
      <c r="I43" s="7" t="str">
        <f t="shared" si="1"/>
        <v>LEVIS</v>
      </c>
      <c r="J43" s="13">
        <v>54618967</v>
      </c>
      <c r="K43" s="13" t="s">
        <v>168</v>
      </c>
      <c r="L43" s="13" t="s">
        <v>197</v>
      </c>
      <c r="M43" s="7">
        <v>259000</v>
      </c>
      <c r="N43" s="14">
        <f t="shared" si="3"/>
        <v>0.5</v>
      </c>
      <c r="O43" s="22">
        <f t="shared" si="2"/>
        <v>129500</v>
      </c>
      <c r="P43" s="10" t="s">
        <v>259</v>
      </c>
    </row>
    <row r="44" spans="1:16" x14ac:dyDescent="0.25">
      <c r="A44" s="7" t="str">
        <f t="shared" ref="A44:F44" si="31">A43</f>
        <v>MEI JUN 2025 D50</v>
      </c>
      <c r="B44" s="8">
        <f t="shared" si="31"/>
        <v>46114</v>
      </c>
      <c r="C44" s="8">
        <f t="shared" si="31"/>
        <v>46120</v>
      </c>
      <c r="D44" s="12">
        <f t="shared" si="31"/>
        <v>3320</v>
      </c>
      <c r="E44" s="12">
        <f t="shared" si="31"/>
        <v>336</v>
      </c>
      <c r="F44" s="12">
        <f t="shared" si="31"/>
        <v>4</v>
      </c>
      <c r="G44" s="13">
        <v>1</v>
      </c>
      <c r="H44" s="7">
        <v>81755</v>
      </c>
      <c r="I44" s="7" t="str">
        <f t="shared" si="1"/>
        <v>LEVIS</v>
      </c>
      <c r="J44" s="13">
        <v>54618976</v>
      </c>
      <c r="K44" s="13" t="s">
        <v>169</v>
      </c>
      <c r="L44" s="13" t="s">
        <v>198</v>
      </c>
      <c r="M44" s="7">
        <v>199000</v>
      </c>
      <c r="N44" s="14">
        <f t="shared" si="3"/>
        <v>0.5</v>
      </c>
      <c r="O44" s="22">
        <f t="shared" si="2"/>
        <v>99500</v>
      </c>
      <c r="P44" s="10" t="s">
        <v>259</v>
      </c>
    </row>
    <row r="45" spans="1:16" x14ac:dyDescent="0.25">
      <c r="A45" s="7" t="str">
        <f t="shared" ref="A45:F45" si="32">A44</f>
        <v>MEI JUN 2025 D50</v>
      </c>
      <c r="B45" s="8">
        <f t="shared" si="32"/>
        <v>46114</v>
      </c>
      <c r="C45" s="8">
        <f t="shared" si="32"/>
        <v>46120</v>
      </c>
      <c r="D45" s="12">
        <f t="shared" si="32"/>
        <v>3320</v>
      </c>
      <c r="E45" s="12">
        <f t="shared" si="32"/>
        <v>336</v>
      </c>
      <c r="F45" s="12">
        <f t="shared" si="32"/>
        <v>4</v>
      </c>
      <c r="G45" s="13">
        <v>1</v>
      </c>
      <c r="H45" s="7">
        <v>81755</v>
      </c>
      <c r="I45" s="7" t="str">
        <f t="shared" si="1"/>
        <v>LEVIS</v>
      </c>
      <c r="J45" s="13">
        <v>54618985</v>
      </c>
      <c r="K45" s="13" t="s">
        <v>169</v>
      </c>
      <c r="L45" s="13" t="s">
        <v>199</v>
      </c>
      <c r="M45" s="7">
        <v>199000</v>
      </c>
      <c r="N45" s="14">
        <f t="shared" si="3"/>
        <v>0.5</v>
      </c>
      <c r="O45" s="22">
        <f t="shared" si="2"/>
        <v>99500</v>
      </c>
      <c r="P45" s="10" t="s">
        <v>259</v>
      </c>
    </row>
    <row r="46" spans="1:16" x14ac:dyDescent="0.25">
      <c r="A46" s="7" t="str">
        <f t="shared" ref="A46:F46" si="33">A45</f>
        <v>MEI JUN 2025 D50</v>
      </c>
      <c r="B46" s="8">
        <f t="shared" si="33"/>
        <v>46114</v>
      </c>
      <c r="C46" s="8">
        <f t="shared" si="33"/>
        <v>46120</v>
      </c>
      <c r="D46" s="12">
        <f t="shared" si="33"/>
        <v>3320</v>
      </c>
      <c r="E46" s="12">
        <f t="shared" si="33"/>
        <v>336</v>
      </c>
      <c r="F46" s="12">
        <f t="shared" si="33"/>
        <v>4</v>
      </c>
      <c r="G46" s="13">
        <v>1</v>
      </c>
      <c r="H46" s="7">
        <v>81755</v>
      </c>
      <c r="I46" s="7" t="str">
        <f t="shared" si="1"/>
        <v>LEVIS</v>
      </c>
      <c r="J46" s="13">
        <v>54618994</v>
      </c>
      <c r="K46" s="13" t="s">
        <v>169</v>
      </c>
      <c r="L46" s="13" t="s">
        <v>200</v>
      </c>
      <c r="M46" s="7">
        <v>199000</v>
      </c>
      <c r="N46" s="14">
        <f t="shared" si="3"/>
        <v>0.5</v>
      </c>
      <c r="O46" s="22">
        <f t="shared" si="2"/>
        <v>99500</v>
      </c>
      <c r="P46" s="10" t="s">
        <v>259</v>
      </c>
    </row>
    <row r="47" spans="1:16" x14ac:dyDescent="0.25">
      <c r="A47" s="7" t="str">
        <f t="shared" ref="A47:F47" si="34">A46</f>
        <v>MEI JUN 2025 D50</v>
      </c>
      <c r="B47" s="8">
        <f t="shared" si="34"/>
        <v>46114</v>
      </c>
      <c r="C47" s="8">
        <f t="shared" si="34"/>
        <v>46120</v>
      </c>
      <c r="D47" s="12">
        <f t="shared" si="34"/>
        <v>3320</v>
      </c>
      <c r="E47" s="12">
        <f t="shared" si="34"/>
        <v>336</v>
      </c>
      <c r="F47" s="12">
        <f t="shared" si="34"/>
        <v>4</v>
      </c>
      <c r="G47" s="13">
        <v>1</v>
      </c>
      <c r="H47" s="7">
        <v>81755</v>
      </c>
      <c r="I47" s="7" t="str">
        <f t="shared" si="1"/>
        <v>LEVIS</v>
      </c>
      <c r="J47" s="13">
        <v>54619000</v>
      </c>
      <c r="K47" s="13" t="s">
        <v>169</v>
      </c>
      <c r="L47" s="13" t="s">
        <v>201</v>
      </c>
      <c r="M47" s="7">
        <v>199000</v>
      </c>
      <c r="N47" s="14">
        <f t="shared" si="3"/>
        <v>0.5</v>
      </c>
      <c r="O47" s="22">
        <f t="shared" si="2"/>
        <v>99500</v>
      </c>
      <c r="P47" s="10" t="s">
        <v>259</v>
      </c>
    </row>
  </sheetData>
  <conditionalFormatting sqref="J1">
    <cfRule type="duplicateValues" dxfId="7" priority="5"/>
    <cfRule type="duplicateValues" dxfId="6" priority="6"/>
  </conditionalFormatting>
  <conditionalFormatting sqref="J1:J1048576">
    <cfRule type="duplicateValues" dxfId="5" priority="8"/>
  </conditionalFormatting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88F48C-8623-43CC-AC0A-D83EDC9BEB60}">
  <dimension ref="A1:P45"/>
  <sheetViews>
    <sheetView workbookViewId="0">
      <selection activeCell="C2" sqref="C2"/>
    </sheetView>
  </sheetViews>
  <sheetFormatPr defaultRowHeight="15" x14ac:dyDescent="0.25"/>
  <cols>
    <col min="1" max="1" width="24.85546875" bestFit="1" customWidth="1"/>
    <col min="2" max="2" width="10.42578125" bestFit="1" customWidth="1"/>
    <col min="3" max="3" width="10.28515625" bestFit="1" customWidth="1"/>
    <col min="7" max="7" width="8.85546875" style="21"/>
    <col min="11" max="11" width="13.5703125" bestFit="1" customWidth="1"/>
    <col min="12" max="12" width="88.85546875" bestFit="1" customWidth="1"/>
    <col min="13" max="13" width="14.7109375" bestFit="1" customWidth="1"/>
    <col min="15" max="15" width="13.7109375" bestFit="1" customWidth="1"/>
  </cols>
  <sheetData>
    <row r="1" spans="1:16" s="6" customFormat="1" ht="30.75" customHeight="1" x14ac:dyDescent="0.25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4" t="s">
        <v>12</v>
      </c>
      <c r="N1" s="5" t="s">
        <v>13</v>
      </c>
      <c r="O1" s="4" t="s">
        <v>14</v>
      </c>
      <c r="P1" s="1" t="s">
        <v>15</v>
      </c>
    </row>
    <row r="2" spans="1:16" s="6" customFormat="1" x14ac:dyDescent="0.25">
      <c r="A2" s="7" t="s">
        <v>202</v>
      </c>
      <c r="B2" s="8">
        <f>'FEB 2025 D50'!B2</f>
        <v>46114</v>
      </c>
      <c r="C2" s="8">
        <f>'FEB 2025 D50'!C2</f>
        <v>46120</v>
      </c>
      <c r="D2" s="7">
        <v>3320</v>
      </c>
      <c r="E2" s="7">
        <v>336</v>
      </c>
      <c r="F2" s="12">
        <v>4</v>
      </c>
      <c r="G2" s="13">
        <v>1</v>
      </c>
      <c r="H2" s="7">
        <v>81755</v>
      </c>
      <c r="I2" s="7" t="s">
        <v>161</v>
      </c>
      <c r="J2" s="13">
        <v>69703499</v>
      </c>
      <c r="K2" s="13" t="s">
        <v>203</v>
      </c>
      <c r="L2" s="18" t="s">
        <v>214</v>
      </c>
      <c r="M2" s="19">
        <v>259000</v>
      </c>
      <c r="N2" s="11">
        <v>0</v>
      </c>
      <c r="O2" s="10" t="s">
        <v>141</v>
      </c>
      <c r="P2" s="10" t="s">
        <v>142</v>
      </c>
    </row>
    <row r="3" spans="1:16" x14ac:dyDescent="0.25">
      <c r="A3" s="7" t="str">
        <f t="shared" ref="A3:F3" si="0">A2</f>
        <v>JAN 2026 NORMAL PRICE</v>
      </c>
      <c r="B3" s="8">
        <f t="shared" si="0"/>
        <v>46114</v>
      </c>
      <c r="C3" s="8">
        <f t="shared" si="0"/>
        <v>46120</v>
      </c>
      <c r="D3" s="12">
        <f t="shared" si="0"/>
        <v>3320</v>
      </c>
      <c r="E3" s="12">
        <f t="shared" si="0"/>
        <v>336</v>
      </c>
      <c r="F3" s="12">
        <f t="shared" si="0"/>
        <v>4</v>
      </c>
      <c r="G3" s="13">
        <v>1</v>
      </c>
      <c r="H3" s="7">
        <v>81755</v>
      </c>
      <c r="I3" s="7" t="s">
        <v>161</v>
      </c>
      <c r="J3" s="20">
        <v>69703506</v>
      </c>
      <c r="K3" s="20" t="s">
        <v>203</v>
      </c>
      <c r="L3" s="18" t="s">
        <v>215</v>
      </c>
      <c r="M3" s="18">
        <v>259000</v>
      </c>
      <c r="N3" s="11">
        <v>0</v>
      </c>
      <c r="O3" s="10" t="s">
        <v>141</v>
      </c>
      <c r="P3" s="10" t="s">
        <v>142</v>
      </c>
    </row>
    <row r="4" spans="1:16" x14ac:dyDescent="0.25">
      <c r="A4" s="7" t="str">
        <f t="shared" ref="A4:F4" si="1">A3</f>
        <v>JAN 2026 NORMAL PRICE</v>
      </c>
      <c r="B4" s="8">
        <f t="shared" si="1"/>
        <v>46114</v>
      </c>
      <c r="C4" s="8">
        <f t="shared" si="1"/>
        <v>46120</v>
      </c>
      <c r="D4" s="12">
        <f t="shared" si="1"/>
        <v>3320</v>
      </c>
      <c r="E4" s="12">
        <f t="shared" si="1"/>
        <v>336</v>
      </c>
      <c r="F4" s="12">
        <f t="shared" si="1"/>
        <v>4</v>
      </c>
      <c r="G4" s="13">
        <v>1</v>
      </c>
      <c r="H4" s="7">
        <v>81755</v>
      </c>
      <c r="I4" s="7" t="s">
        <v>161</v>
      </c>
      <c r="J4" s="20">
        <v>69703515</v>
      </c>
      <c r="K4" s="20" t="s">
        <v>203</v>
      </c>
      <c r="L4" s="18" t="s">
        <v>216</v>
      </c>
      <c r="M4" s="18">
        <v>259000</v>
      </c>
      <c r="N4" s="11">
        <v>0</v>
      </c>
      <c r="O4" s="10" t="s">
        <v>141</v>
      </c>
      <c r="P4" s="10" t="s">
        <v>142</v>
      </c>
    </row>
    <row r="5" spans="1:16" x14ac:dyDescent="0.25">
      <c r="A5" s="7" t="str">
        <f t="shared" ref="A5:F5" si="2">A4</f>
        <v>JAN 2026 NORMAL PRICE</v>
      </c>
      <c r="B5" s="8">
        <f t="shared" si="2"/>
        <v>46114</v>
      </c>
      <c r="C5" s="8">
        <f t="shared" si="2"/>
        <v>46120</v>
      </c>
      <c r="D5" s="12">
        <f t="shared" si="2"/>
        <v>3320</v>
      </c>
      <c r="E5" s="12">
        <f t="shared" si="2"/>
        <v>336</v>
      </c>
      <c r="F5" s="12">
        <f t="shared" si="2"/>
        <v>4</v>
      </c>
      <c r="G5" s="13">
        <v>1</v>
      </c>
      <c r="H5" s="7">
        <v>81755</v>
      </c>
      <c r="I5" s="7" t="s">
        <v>161</v>
      </c>
      <c r="J5" s="20">
        <v>69703524</v>
      </c>
      <c r="K5" s="20" t="s">
        <v>203</v>
      </c>
      <c r="L5" s="18" t="s">
        <v>217</v>
      </c>
      <c r="M5" s="18">
        <v>259000</v>
      </c>
      <c r="N5" s="11">
        <v>0</v>
      </c>
      <c r="O5" s="10" t="s">
        <v>141</v>
      </c>
      <c r="P5" s="10" t="s">
        <v>142</v>
      </c>
    </row>
    <row r="6" spans="1:16" x14ac:dyDescent="0.25">
      <c r="A6" s="7" t="str">
        <f t="shared" ref="A6:F6" si="3">A5</f>
        <v>JAN 2026 NORMAL PRICE</v>
      </c>
      <c r="B6" s="8">
        <f t="shared" si="3"/>
        <v>46114</v>
      </c>
      <c r="C6" s="8">
        <f t="shared" si="3"/>
        <v>46120</v>
      </c>
      <c r="D6" s="12">
        <f t="shared" si="3"/>
        <v>3320</v>
      </c>
      <c r="E6" s="12">
        <f t="shared" si="3"/>
        <v>336</v>
      </c>
      <c r="F6" s="12">
        <f t="shared" si="3"/>
        <v>4</v>
      </c>
      <c r="G6" s="13">
        <v>1</v>
      </c>
      <c r="H6" s="7">
        <v>81755</v>
      </c>
      <c r="I6" s="7" t="s">
        <v>161</v>
      </c>
      <c r="J6" s="20">
        <v>69703533</v>
      </c>
      <c r="K6" s="20" t="s">
        <v>204</v>
      </c>
      <c r="L6" s="18" t="s">
        <v>218</v>
      </c>
      <c r="M6" s="18">
        <v>199000</v>
      </c>
      <c r="N6" s="11">
        <v>0</v>
      </c>
      <c r="O6" s="10" t="s">
        <v>141</v>
      </c>
      <c r="P6" s="10" t="s">
        <v>142</v>
      </c>
    </row>
    <row r="7" spans="1:16" x14ac:dyDescent="0.25">
      <c r="A7" s="7" t="str">
        <f t="shared" ref="A7:F7" si="4">A6</f>
        <v>JAN 2026 NORMAL PRICE</v>
      </c>
      <c r="B7" s="8">
        <f t="shared" si="4"/>
        <v>46114</v>
      </c>
      <c r="C7" s="8">
        <f t="shared" si="4"/>
        <v>46120</v>
      </c>
      <c r="D7" s="12">
        <f t="shared" si="4"/>
        <v>3320</v>
      </c>
      <c r="E7" s="12">
        <f t="shared" si="4"/>
        <v>336</v>
      </c>
      <c r="F7" s="12">
        <f t="shared" si="4"/>
        <v>4</v>
      </c>
      <c r="G7" s="13">
        <v>1</v>
      </c>
      <c r="H7" s="7">
        <v>81755</v>
      </c>
      <c r="I7" s="7" t="s">
        <v>161</v>
      </c>
      <c r="J7" s="20">
        <v>69703542</v>
      </c>
      <c r="K7" s="20" t="s">
        <v>204</v>
      </c>
      <c r="L7" s="18" t="s">
        <v>219</v>
      </c>
      <c r="M7" s="18">
        <v>199000</v>
      </c>
      <c r="N7" s="11">
        <v>0</v>
      </c>
      <c r="O7" s="10" t="s">
        <v>141</v>
      </c>
      <c r="P7" s="10" t="s">
        <v>142</v>
      </c>
    </row>
    <row r="8" spans="1:16" x14ac:dyDescent="0.25">
      <c r="A8" s="7" t="str">
        <f t="shared" ref="A8:F8" si="5">A7</f>
        <v>JAN 2026 NORMAL PRICE</v>
      </c>
      <c r="B8" s="8">
        <f t="shared" si="5"/>
        <v>46114</v>
      </c>
      <c r="C8" s="8">
        <f t="shared" si="5"/>
        <v>46120</v>
      </c>
      <c r="D8" s="12">
        <f t="shared" si="5"/>
        <v>3320</v>
      </c>
      <c r="E8" s="12">
        <f t="shared" si="5"/>
        <v>336</v>
      </c>
      <c r="F8" s="12">
        <f t="shared" si="5"/>
        <v>4</v>
      </c>
      <c r="G8" s="13">
        <v>1</v>
      </c>
      <c r="H8" s="7">
        <v>81755</v>
      </c>
      <c r="I8" s="7" t="s">
        <v>161</v>
      </c>
      <c r="J8" s="20">
        <v>69703551</v>
      </c>
      <c r="K8" s="20" t="s">
        <v>204</v>
      </c>
      <c r="L8" s="18" t="s">
        <v>220</v>
      </c>
      <c r="M8" s="18">
        <v>199000</v>
      </c>
      <c r="N8" s="11">
        <v>0</v>
      </c>
      <c r="O8" s="10" t="s">
        <v>141</v>
      </c>
      <c r="P8" s="10" t="s">
        <v>142</v>
      </c>
    </row>
    <row r="9" spans="1:16" x14ac:dyDescent="0.25">
      <c r="A9" s="7" t="str">
        <f t="shared" ref="A9:F9" si="6">A8</f>
        <v>JAN 2026 NORMAL PRICE</v>
      </c>
      <c r="B9" s="8">
        <f t="shared" si="6"/>
        <v>46114</v>
      </c>
      <c r="C9" s="8">
        <f t="shared" si="6"/>
        <v>46120</v>
      </c>
      <c r="D9" s="12">
        <f t="shared" si="6"/>
        <v>3320</v>
      </c>
      <c r="E9" s="12">
        <f t="shared" si="6"/>
        <v>336</v>
      </c>
      <c r="F9" s="12">
        <f t="shared" si="6"/>
        <v>4</v>
      </c>
      <c r="G9" s="13">
        <v>1</v>
      </c>
      <c r="H9" s="7">
        <v>81755</v>
      </c>
      <c r="I9" s="7" t="s">
        <v>161</v>
      </c>
      <c r="J9" s="20">
        <v>69703560</v>
      </c>
      <c r="K9" s="20" t="s">
        <v>204</v>
      </c>
      <c r="L9" s="18" t="s">
        <v>221</v>
      </c>
      <c r="M9" s="18">
        <v>199000</v>
      </c>
      <c r="N9" s="11">
        <v>0</v>
      </c>
      <c r="O9" s="10" t="s">
        <v>141</v>
      </c>
      <c r="P9" s="10" t="s">
        <v>142</v>
      </c>
    </row>
    <row r="10" spans="1:16" x14ac:dyDescent="0.25">
      <c r="A10" s="7" t="str">
        <f t="shared" ref="A10:F10" si="7">A9</f>
        <v>JAN 2026 NORMAL PRICE</v>
      </c>
      <c r="B10" s="8">
        <f t="shared" si="7"/>
        <v>46114</v>
      </c>
      <c r="C10" s="8">
        <f t="shared" si="7"/>
        <v>46120</v>
      </c>
      <c r="D10" s="12">
        <f t="shared" si="7"/>
        <v>3320</v>
      </c>
      <c r="E10" s="12">
        <f t="shared" si="7"/>
        <v>336</v>
      </c>
      <c r="F10" s="12">
        <f t="shared" si="7"/>
        <v>4</v>
      </c>
      <c r="G10" s="13">
        <v>1</v>
      </c>
      <c r="H10" s="7">
        <v>81755</v>
      </c>
      <c r="I10" s="7" t="s">
        <v>161</v>
      </c>
      <c r="J10" s="20">
        <v>69703579</v>
      </c>
      <c r="K10" s="20" t="s">
        <v>205</v>
      </c>
      <c r="L10" s="18" t="s">
        <v>222</v>
      </c>
      <c r="M10" s="18">
        <v>259000</v>
      </c>
      <c r="N10" s="11">
        <v>0</v>
      </c>
      <c r="O10" s="10" t="s">
        <v>141</v>
      </c>
      <c r="P10" s="10" t="s">
        <v>142</v>
      </c>
    </row>
    <row r="11" spans="1:16" x14ac:dyDescent="0.25">
      <c r="A11" s="7" t="str">
        <f t="shared" ref="A11:F11" si="8">A10</f>
        <v>JAN 2026 NORMAL PRICE</v>
      </c>
      <c r="B11" s="8">
        <f t="shared" si="8"/>
        <v>46114</v>
      </c>
      <c r="C11" s="8">
        <f t="shared" si="8"/>
        <v>46120</v>
      </c>
      <c r="D11" s="12">
        <f t="shared" si="8"/>
        <v>3320</v>
      </c>
      <c r="E11" s="12">
        <f t="shared" si="8"/>
        <v>336</v>
      </c>
      <c r="F11" s="12">
        <f t="shared" si="8"/>
        <v>4</v>
      </c>
      <c r="G11" s="13">
        <v>1</v>
      </c>
      <c r="H11" s="7">
        <v>81755</v>
      </c>
      <c r="I11" s="7" t="s">
        <v>161</v>
      </c>
      <c r="J11" s="20">
        <v>69703588</v>
      </c>
      <c r="K11" s="20" t="s">
        <v>205</v>
      </c>
      <c r="L11" s="18" t="s">
        <v>223</v>
      </c>
      <c r="M11" s="18">
        <v>259000</v>
      </c>
      <c r="N11" s="11">
        <v>0</v>
      </c>
      <c r="O11" s="10" t="s">
        <v>141</v>
      </c>
      <c r="P11" s="10" t="s">
        <v>142</v>
      </c>
    </row>
    <row r="12" spans="1:16" x14ac:dyDescent="0.25">
      <c r="A12" s="7" t="str">
        <f t="shared" ref="A12:F12" si="9">A11</f>
        <v>JAN 2026 NORMAL PRICE</v>
      </c>
      <c r="B12" s="8">
        <f t="shared" si="9"/>
        <v>46114</v>
      </c>
      <c r="C12" s="8">
        <f t="shared" si="9"/>
        <v>46120</v>
      </c>
      <c r="D12" s="12">
        <f t="shared" si="9"/>
        <v>3320</v>
      </c>
      <c r="E12" s="12">
        <f t="shared" si="9"/>
        <v>336</v>
      </c>
      <c r="F12" s="12">
        <f t="shared" si="9"/>
        <v>4</v>
      </c>
      <c r="G12" s="13">
        <v>1</v>
      </c>
      <c r="H12" s="7">
        <v>81755</v>
      </c>
      <c r="I12" s="7" t="s">
        <v>161</v>
      </c>
      <c r="J12" s="20">
        <v>69703597</v>
      </c>
      <c r="K12" s="20" t="s">
        <v>205</v>
      </c>
      <c r="L12" s="18" t="s">
        <v>224</v>
      </c>
      <c r="M12" s="18">
        <v>259000</v>
      </c>
      <c r="N12" s="11">
        <v>0</v>
      </c>
      <c r="O12" s="10" t="s">
        <v>141</v>
      </c>
      <c r="P12" s="10" t="s">
        <v>142</v>
      </c>
    </row>
    <row r="13" spans="1:16" x14ac:dyDescent="0.25">
      <c r="A13" s="7" t="str">
        <f t="shared" ref="A13:F13" si="10">A12</f>
        <v>JAN 2026 NORMAL PRICE</v>
      </c>
      <c r="B13" s="8">
        <f t="shared" si="10"/>
        <v>46114</v>
      </c>
      <c r="C13" s="8">
        <f t="shared" si="10"/>
        <v>46120</v>
      </c>
      <c r="D13" s="12">
        <f t="shared" si="10"/>
        <v>3320</v>
      </c>
      <c r="E13" s="12">
        <f t="shared" si="10"/>
        <v>336</v>
      </c>
      <c r="F13" s="12">
        <f t="shared" si="10"/>
        <v>4</v>
      </c>
      <c r="G13" s="13">
        <v>1</v>
      </c>
      <c r="H13" s="7">
        <v>81755</v>
      </c>
      <c r="I13" s="7" t="s">
        <v>161</v>
      </c>
      <c r="J13" s="20">
        <v>69703604</v>
      </c>
      <c r="K13" s="20" t="s">
        <v>205</v>
      </c>
      <c r="L13" s="18" t="s">
        <v>225</v>
      </c>
      <c r="M13" s="18">
        <v>259000</v>
      </c>
      <c r="N13" s="11">
        <v>0</v>
      </c>
      <c r="O13" s="10" t="s">
        <v>141</v>
      </c>
      <c r="P13" s="10" t="s">
        <v>142</v>
      </c>
    </row>
    <row r="14" spans="1:16" x14ac:dyDescent="0.25">
      <c r="A14" s="7" t="str">
        <f t="shared" ref="A14:F14" si="11">A13</f>
        <v>JAN 2026 NORMAL PRICE</v>
      </c>
      <c r="B14" s="8">
        <f t="shared" si="11"/>
        <v>46114</v>
      </c>
      <c r="C14" s="8">
        <f t="shared" si="11"/>
        <v>46120</v>
      </c>
      <c r="D14" s="12">
        <f t="shared" si="11"/>
        <v>3320</v>
      </c>
      <c r="E14" s="12">
        <f t="shared" si="11"/>
        <v>336</v>
      </c>
      <c r="F14" s="12">
        <f t="shared" si="11"/>
        <v>4</v>
      </c>
      <c r="G14" s="13">
        <v>1</v>
      </c>
      <c r="H14" s="7">
        <v>81755</v>
      </c>
      <c r="I14" s="7" t="s">
        <v>161</v>
      </c>
      <c r="J14" s="20">
        <v>69703613</v>
      </c>
      <c r="K14" s="20" t="s">
        <v>206</v>
      </c>
      <c r="L14" s="18" t="s">
        <v>226</v>
      </c>
      <c r="M14" s="18">
        <v>199000</v>
      </c>
      <c r="N14" s="11">
        <v>0</v>
      </c>
      <c r="O14" s="10" t="s">
        <v>141</v>
      </c>
      <c r="P14" s="10" t="s">
        <v>142</v>
      </c>
    </row>
    <row r="15" spans="1:16" x14ac:dyDescent="0.25">
      <c r="A15" s="7" t="str">
        <f t="shared" ref="A15:F15" si="12">A14</f>
        <v>JAN 2026 NORMAL PRICE</v>
      </c>
      <c r="B15" s="8">
        <f t="shared" si="12"/>
        <v>46114</v>
      </c>
      <c r="C15" s="8">
        <f t="shared" si="12"/>
        <v>46120</v>
      </c>
      <c r="D15" s="12">
        <f t="shared" si="12"/>
        <v>3320</v>
      </c>
      <c r="E15" s="12">
        <f t="shared" si="12"/>
        <v>336</v>
      </c>
      <c r="F15" s="12">
        <f t="shared" si="12"/>
        <v>4</v>
      </c>
      <c r="G15" s="13">
        <v>1</v>
      </c>
      <c r="H15" s="7">
        <v>81755</v>
      </c>
      <c r="I15" s="7" t="s">
        <v>161</v>
      </c>
      <c r="J15" s="20">
        <v>69703622</v>
      </c>
      <c r="K15" s="20" t="s">
        <v>206</v>
      </c>
      <c r="L15" s="18" t="s">
        <v>227</v>
      </c>
      <c r="M15" s="18">
        <v>199000</v>
      </c>
      <c r="N15" s="11">
        <v>0</v>
      </c>
      <c r="O15" s="10" t="s">
        <v>141</v>
      </c>
      <c r="P15" s="10" t="s">
        <v>142</v>
      </c>
    </row>
    <row r="16" spans="1:16" x14ac:dyDescent="0.25">
      <c r="A16" s="7" t="str">
        <f t="shared" ref="A16:F16" si="13">A15</f>
        <v>JAN 2026 NORMAL PRICE</v>
      </c>
      <c r="B16" s="8">
        <f t="shared" si="13"/>
        <v>46114</v>
      </c>
      <c r="C16" s="8">
        <f t="shared" si="13"/>
        <v>46120</v>
      </c>
      <c r="D16" s="12">
        <f t="shared" si="13"/>
        <v>3320</v>
      </c>
      <c r="E16" s="12">
        <f t="shared" si="13"/>
        <v>336</v>
      </c>
      <c r="F16" s="12">
        <f t="shared" si="13"/>
        <v>4</v>
      </c>
      <c r="G16" s="13">
        <v>1</v>
      </c>
      <c r="H16" s="7">
        <v>81755</v>
      </c>
      <c r="I16" s="7" t="s">
        <v>161</v>
      </c>
      <c r="J16" s="20">
        <v>69703631</v>
      </c>
      <c r="K16" s="20" t="s">
        <v>206</v>
      </c>
      <c r="L16" s="18" t="s">
        <v>228</v>
      </c>
      <c r="M16" s="18">
        <v>199000</v>
      </c>
      <c r="N16" s="11">
        <v>0</v>
      </c>
      <c r="O16" s="10" t="s">
        <v>141</v>
      </c>
      <c r="P16" s="10" t="s">
        <v>142</v>
      </c>
    </row>
    <row r="17" spans="1:16" x14ac:dyDescent="0.25">
      <c r="A17" s="7" t="str">
        <f t="shared" ref="A17:F17" si="14">A16</f>
        <v>JAN 2026 NORMAL PRICE</v>
      </c>
      <c r="B17" s="8">
        <f t="shared" si="14"/>
        <v>46114</v>
      </c>
      <c r="C17" s="8">
        <f t="shared" si="14"/>
        <v>46120</v>
      </c>
      <c r="D17" s="12">
        <f t="shared" si="14"/>
        <v>3320</v>
      </c>
      <c r="E17" s="12">
        <f t="shared" si="14"/>
        <v>336</v>
      </c>
      <c r="F17" s="12">
        <f t="shared" si="14"/>
        <v>4</v>
      </c>
      <c r="G17" s="13">
        <v>1</v>
      </c>
      <c r="H17" s="7">
        <v>81755</v>
      </c>
      <c r="I17" s="7" t="s">
        <v>161</v>
      </c>
      <c r="J17" s="20">
        <v>69703640</v>
      </c>
      <c r="K17" s="20" t="s">
        <v>206</v>
      </c>
      <c r="L17" s="18" t="s">
        <v>229</v>
      </c>
      <c r="M17" s="18">
        <v>199000</v>
      </c>
      <c r="N17" s="11">
        <v>0</v>
      </c>
      <c r="O17" s="10" t="s">
        <v>141</v>
      </c>
      <c r="P17" s="10" t="s">
        <v>142</v>
      </c>
    </row>
    <row r="18" spans="1:16" x14ac:dyDescent="0.25">
      <c r="A18" s="7" t="str">
        <f t="shared" ref="A18:F18" si="15">A17</f>
        <v>JAN 2026 NORMAL PRICE</v>
      </c>
      <c r="B18" s="8">
        <f t="shared" si="15"/>
        <v>46114</v>
      </c>
      <c r="C18" s="8">
        <f t="shared" si="15"/>
        <v>46120</v>
      </c>
      <c r="D18" s="12">
        <f t="shared" si="15"/>
        <v>3320</v>
      </c>
      <c r="E18" s="12">
        <f t="shared" si="15"/>
        <v>336</v>
      </c>
      <c r="F18" s="12">
        <f t="shared" si="15"/>
        <v>4</v>
      </c>
      <c r="G18" s="13">
        <v>1</v>
      </c>
      <c r="H18" s="7">
        <v>81755</v>
      </c>
      <c r="I18" s="7" t="s">
        <v>161</v>
      </c>
      <c r="J18" s="20">
        <v>69703739</v>
      </c>
      <c r="K18" s="20" t="s">
        <v>207</v>
      </c>
      <c r="L18" s="18" t="s">
        <v>230</v>
      </c>
      <c r="M18" s="18">
        <v>199000</v>
      </c>
      <c r="N18" s="11">
        <v>0</v>
      </c>
      <c r="O18" s="10" t="s">
        <v>141</v>
      </c>
      <c r="P18" s="10" t="s">
        <v>142</v>
      </c>
    </row>
    <row r="19" spans="1:16" x14ac:dyDescent="0.25">
      <c r="A19" s="7" t="str">
        <f t="shared" ref="A19:F19" si="16">A18</f>
        <v>JAN 2026 NORMAL PRICE</v>
      </c>
      <c r="B19" s="8">
        <f t="shared" si="16"/>
        <v>46114</v>
      </c>
      <c r="C19" s="8">
        <f t="shared" si="16"/>
        <v>46120</v>
      </c>
      <c r="D19" s="12">
        <f t="shared" si="16"/>
        <v>3320</v>
      </c>
      <c r="E19" s="12">
        <f t="shared" si="16"/>
        <v>336</v>
      </c>
      <c r="F19" s="12">
        <f t="shared" si="16"/>
        <v>4</v>
      </c>
      <c r="G19" s="13">
        <v>1</v>
      </c>
      <c r="H19" s="7">
        <v>81755</v>
      </c>
      <c r="I19" s="7" t="s">
        <v>161</v>
      </c>
      <c r="J19" s="20">
        <v>69703748</v>
      </c>
      <c r="K19" s="20" t="s">
        <v>207</v>
      </c>
      <c r="L19" s="18" t="s">
        <v>231</v>
      </c>
      <c r="M19" s="18">
        <v>199000</v>
      </c>
      <c r="N19" s="11">
        <v>0</v>
      </c>
      <c r="O19" s="10" t="s">
        <v>141</v>
      </c>
      <c r="P19" s="10" t="s">
        <v>142</v>
      </c>
    </row>
    <row r="20" spans="1:16" x14ac:dyDescent="0.25">
      <c r="A20" s="7" t="str">
        <f t="shared" ref="A20:F20" si="17">A19</f>
        <v>JAN 2026 NORMAL PRICE</v>
      </c>
      <c r="B20" s="8">
        <f t="shared" si="17"/>
        <v>46114</v>
      </c>
      <c r="C20" s="8">
        <f t="shared" si="17"/>
        <v>46120</v>
      </c>
      <c r="D20" s="12">
        <f t="shared" si="17"/>
        <v>3320</v>
      </c>
      <c r="E20" s="12">
        <f t="shared" si="17"/>
        <v>336</v>
      </c>
      <c r="F20" s="12">
        <f t="shared" si="17"/>
        <v>4</v>
      </c>
      <c r="G20" s="13">
        <v>1</v>
      </c>
      <c r="H20" s="7">
        <v>81755</v>
      </c>
      <c r="I20" s="7" t="s">
        <v>161</v>
      </c>
      <c r="J20" s="20">
        <v>69703757</v>
      </c>
      <c r="K20" s="20" t="s">
        <v>207</v>
      </c>
      <c r="L20" s="18" t="s">
        <v>232</v>
      </c>
      <c r="M20" s="18">
        <v>199000</v>
      </c>
      <c r="N20" s="11">
        <v>0</v>
      </c>
      <c r="O20" s="10" t="s">
        <v>141</v>
      </c>
      <c r="P20" s="10" t="s">
        <v>142</v>
      </c>
    </row>
    <row r="21" spans="1:16" x14ac:dyDescent="0.25">
      <c r="A21" s="7" t="str">
        <f t="shared" ref="A21:F21" si="18">A20</f>
        <v>JAN 2026 NORMAL PRICE</v>
      </c>
      <c r="B21" s="8">
        <f t="shared" si="18"/>
        <v>46114</v>
      </c>
      <c r="C21" s="8">
        <f t="shared" si="18"/>
        <v>46120</v>
      </c>
      <c r="D21" s="12">
        <f t="shared" si="18"/>
        <v>3320</v>
      </c>
      <c r="E21" s="12">
        <f t="shared" si="18"/>
        <v>336</v>
      </c>
      <c r="F21" s="12">
        <f t="shared" si="18"/>
        <v>4</v>
      </c>
      <c r="G21" s="13">
        <v>1</v>
      </c>
      <c r="H21" s="7">
        <v>81755</v>
      </c>
      <c r="I21" s="7" t="s">
        <v>161</v>
      </c>
      <c r="J21" s="20">
        <v>69703766</v>
      </c>
      <c r="K21" s="20" t="s">
        <v>207</v>
      </c>
      <c r="L21" s="18" t="s">
        <v>233</v>
      </c>
      <c r="M21" s="18">
        <v>199000</v>
      </c>
      <c r="N21" s="11">
        <v>0</v>
      </c>
      <c r="O21" s="10" t="s">
        <v>141</v>
      </c>
      <c r="P21" s="10" t="s">
        <v>142</v>
      </c>
    </row>
    <row r="22" spans="1:16" x14ac:dyDescent="0.25">
      <c r="A22" s="7" t="str">
        <f t="shared" ref="A22:F22" si="19">A21</f>
        <v>JAN 2026 NORMAL PRICE</v>
      </c>
      <c r="B22" s="8">
        <f t="shared" si="19"/>
        <v>46114</v>
      </c>
      <c r="C22" s="8">
        <f t="shared" si="19"/>
        <v>46120</v>
      </c>
      <c r="D22" s="12">
        <f t="shared" si="19"/>
        <v>3320</v>
      </c>
      <c r="E22" s="12">
        <f t="shared" si="19"/>
        <v>336</v>
      </c>
      <c r="F22" s="12">
        <f t="shared" si="19"/>
        <v>4</v>
      </c>
      <c r="G22" s="13">
        <v>1</v>
      </c>
      <c r="H22" s="7">
        <v>81755</v>
      </c>
      <c r="I22" s="7" t="s">
        <v>161</v>
      </c>
      <c r="J22" s="20">
        <v>69703775</v>
      </c>
      <c r="K22" s="20" t="s">
        <v>208</v>
      </c>
      <c r="L22" s="18" t="s">
        <v>234</v>
      </c>
      <c r="M22" s="18">
        <v>259000</v>
      </c>
      <c r="N22" s="11">
        <v>0</v>
      </c>
      <c r="O22" s="10" t="s">
        <v>141</v>
      </c>
      <c r="P22" s="10" t="s">
        <v>142</v>
      </c>
    </row>
    <row r="23" spans="1:16" x14ac:dyDescent="0.25">
      <c r="A23" s="7" t="str">
        <f t="shared" ref="A23:F23" si="20">A22</f>
        <v>JAN 2026 NORMAL PRICE</v>
      </c>
      <c r="B23" s="8">
        <f t="shared" si="20"/>
        <v>46114</v>
      </c>
      <c r="C23" s="8">
        <f t="shared" si="20"/>
        <v>46120</v>
      </c>
      <c r="D23" s="12">
        <f t="shared" si="20"/>
        <v>3320</v>
      </c>
      <c r="E23" s="12">
        <f t="shared" si="20"/>
        <v>336</v>
      </c>
      <c r="F23" s="12">
        <f t="shared" si="20"/>
        <v>4</v>
      </c>
      <c r="G23" s="13">
        <v>1</v>
      </c>
      <c r="H23" s="7">
        <v>81755</v>
      </c>
      <c r="I23" s="7" t="s">
        <v>161</v>
      </c>
      <c r="J23" s="20">
        <v>69703784</v>
      </c>
      <c r="K23" s="20" t="s">
        <v>208</v>
      </c>
      <c r="L23" s="18" t="s">
        <v>235</v>
      </c>
      <c r="M23" s="18">
        <v>259000</v>
      </c>
      <c r="N23" s="11">
        <v>0</v>
      </c>
      <c r="O23" s="10" t="s">
        <v>141</v>
      </c>
      <c r="P23" s="10" t="s">
        <v>142</v>
      </c>
    </row>
    <row r="24" spans="1:16" x14ac:dyDescent="0.25">
      <c r="A24" s="7" t="str">
        <f t="shared" ref="A24:F24" si="21">A23</f>
        <v>JAN 2026 NORMAL PRICE</v>
      </c>
      <c r="B24" s="8">
        <f t="shared" si="21"/>
        <v>46114</v>
      </c>
      <c r="C24" s="8">
        <f t="shared" si="21"/>
        <v>46120</v>
      </c>
      <c r="D24" s="12">
        <f t="shared" si="21"/>
        <v>3320</v>
      </c>
      <c r="E24" s="12">
        <f t="shared" si="21"/>
        <v>336</v>
      </c>
      <c r="F24" s="12">
        <f t="shared" si="21"/>
        <v>4</v>
      </c>
      <c r="G24" s="13">
        <v>1</v>
      </c>
      <c r="H24" s="7">
        <v>81755</v>
      </c>
      <c r="I24" s="7" t="s">
        <v>161</v>
      </c>
      <c r="J24" s="20">
        <v>69703793</v>
      </c>
      <c r="K24" s="20" t="s">
        <v>208</v>
      </c>
      <c r="L24" s="18" t="s">
        <v>236</v>
      </c>
      <c r="M24" s="18">
        <v>259000</v>
      </c>
      <c r="N24" s="11">
        <v>0</v>
      </c>
      <c r="O24" s="10" t="s">
        <v>141</v>
      </c>
      <c r="P24" s="10" t="s">
        <v>142</v>
      </c>
    </row>
    <row r="25" spans="1:16" x14ac:dyDescent="0.25">
      <c r="A25" s="7" t="str">
        <f t="shared" ref="A25:F25" si="22">A24</f>
        <v>JAN 2026 NORMAL PRICE</v>
      </c>
      <c r="B25" s="8">
        <f t="shared" si="22"/>
        <v>46114</v>
      </c>
      <c r="C25" s="8">
        <f t="shared" si="22"/>
        <v>46120</v>
      </c>
      <c r="D25" s="12">
        <f t="shared" si="22"/>
        <v>3320</v>
      </c>
      <c r="E25" s="12">
        <f t="shared" si="22"/>
        <v>336</v>
      </c>
      <c r="F25" s="12">
        <f t="shared" si="22"/>
        <v>4</v>
      </c>
      <c r="G25" s="13">
        <v>1</v>
      </c>
      <c r="H25" s="7">
        <v>81755</v>
      </c>
      <c r="I25" s="7" t="s">
        <v>161</v>
      </c>
      <c r="J25" s="20">
        <v>69703800</v>
      </c>
      <c r="K25" s="20" t="s">
        <v>208</v>
      </c>
      <c r="L25" s="18" t="s">
        <v>237</v>
      </c>
      <c r="M25" s="18">
        <v>259000</v>
      </c>
      <c r="N25" s="11">
        <v>0</v>
      </c>
      <c r="O25" s="10" t="s">
        <v>141</v>
      </c>
      <c r="P25" s="10" t="s">
        <v>142</v>
      </c>
    </row>
    <row r="26" spans="1:16" x14ac:dyDescent="0.25">
      <c r="A26" s="7" t="str">
        <f t="shared" ref="A26:F26" si="23">A25</f>
        <v>JAN 2026 NORMAL PRICE</v>
      </c>
      <c r="B26" s="8">
        <f t="shared" si="23"/>
        <v>46114</v>
      </c>
      <c r="C26" s="8">
        <f t="shared" si="23"/>
        <v>46120</v>
      </c>
      <c r="D26" s="12">
        <f t="shared" si="23"/>
        <v>3320</v>
      </c>
      <c r="E26" s="12">
        <f t="shared" si="23"/>
        <v>336</v>
      </c>
      <c r="F26" s="12">
        <f t="shared" si="23"/>
        <v>4</v>
      </c>
      <c r="G26" s="13">
        <v>1</v>
      </c>
      <c r="H26" s="7">
        <v>81755</v>
      </c>
      <c r="I26" s="7" t="s">
        <v>161</v>
      </c>
      <c r="J26" s="20">
        <v>69703819</v>
      </c>
      <c r="K26" s="20" t="s">
        <v>209</v>
      </c>
      <c r="L26" s="18" t="s">
        <v>238</v>
      </c>
      <c r="M26" s="18">
        <v>199000</v>
      </c>
      <c r="N26" s="11">
        <v>0</v>
      </c>
      <c r="O26" s="10" t="s">
        <v>141</v>
      </c>
      <c r="P26" s="10" t="s">
        <v>142</v>
      </c>
    </row>
    <row r="27" spans="1:16" x14ac:dyDescent="0.25">
      <c r="A27" s="7" t="str">
        <f t="shared" ref="A27:F27" si="24">A26</f>
        <v>JAN 2026 NORMAL PRICE</v>
      </c>
      <c r="B27" s="8">
        <f t="shared" si="24"/>
        <v>46114</v>
      </c>
      <c r="C27" s="8">
        <f t="shared" si="24"/>
        <v>46120</v>
      </c>
      <c r="D27" s="12">
        <f t="shared" si="24"/>
        <v>3320</v>
      </c>
      <c r="E27" s="12">
        <f t="shared" si="24"/>
        <v>336</v>
      </c>
      <c r="F27" s="12">
        <f t="shared" si="24"/>
        <v>4</v>
      </c>
      <c r="G27" s="13">
        <v>1</v>
      </c>
      <c r="H27" s="7">
        <v>81755</v>
      </c>
      <c r="I27" s="7" t="s">
        <v>161</v>
      </c>
      <c r="J27" s="20">
        <v>69703828</v>
      </c>
      <c r="K27" s="20" t="s">
        <v>209</v>
      </c>
      <c r="L27" s="18" t="s">
        <v>239</v>
      </c>
      <c r="M27" s="18">
        <v>199000</v>
      </c>
      <c r="N27" s="11">
        <v>0</v>
      </c>
      <c r="O27" s="10" t="s">
        <v>141</v>
      </c>
      <c r="P27" s="10" t="s">
        <v>142</v>
      </c>
    </row>
    <row r="28" spans="1:16" x14ac:dyDescent="0.25">
      <c r="A28" s="7" t="str">
        <f t="shared" ref="A28:F28" si="25">A27</f>
        <v>JAN 2026 NORMAL PRICE</v>
      </c>
      <c r="B28" s="8">
        <f t="shared" si="25"/>
        <v>46114</v>
      </c>
      <c r="C28" s="8">
        <f t="shared" si="25"/>
        <v>46120</v>
      </c>
      <c r="D28" s="12">
        <f t="shared" si="25"/>
        <v>3320</v>
      </c>
      <c r="E28" s="12">
        <f t="shared" si="25"/>
        <v>336</v>
      </c>
      <c r="F28" s="12">
        <f t="shared" si="25"/>
        <v>4</v>
      </c>
      <c r="G28" s="13">
        <v>1</v>
      </c>
      <c r="H28" s="7">
        <v>81755</v>
      </c>
      <c r="I28" s="7" t="s">
        <v>161</v>
      </c>
      <c r="J28" s="20">
        <v>69703837</v>
      </c>
      <c r="K28" s="20" t="s">
        <v>209</v>
      </c>
      <c r="L28" s="18" t="s">
        <v>240</v>
      </c>
      <c r="M28" s="18">
        <v>199000</v>
      </c>
      <c r="N28" s="11">
        <v>0</v>
      </c>
      <c r="O28" s="10" t="s">
        <v>141</v>
      </c>
      <c r="P28" s="10" t="s">
        <v>142</v>
      </c>
    </row>
    <row r="29" spans="1:16" x14ac:dyDescent="0.25">
      <c r="A29" s="7" t="str">
        <f t="shared" ref="A29:F29" si="26">A28</f>
        <v>JAN 2026 NORMAL PRICE</v>
      </c>
      <c r="B29" s="8">
        <f t="shared" si="26"/>
        <v>46114</v>
      </c>
      <c r="C29" s="8">
        <f t="shared" si="26"/>
        <v>46120</v>
      </c>
      <c r="D29" s="12">
        <f t="shared" si="26"/>
        <v>3320</v>
      </c>
      <c r="E29" s="12">
        <f t="shared" si="26"/>
        <v>336</v>
      </c>
      <c r="F29" s="12">
        <f t="shared" si="26"/>
        <v>4</v>
      </c>
      <c r="G29" s="13">
        <v>1</v>
      </c>
      <c r="H29" s="7">
        <v>81755</v>
      </c>
      <c r="I29" s="7" t="s">
        <v>161</v>
      </c>
      <c r="J29" s="20">
        <v>69703846</v>
      </c>
      <c r="K29" s="20" t="s">
        <v>209</v>
      </c>
      <c r="L29" s="18" t="s">
        <v>241</v>
      </c>
      <c r="M29" s="18">
        <v>199000</v>
      </c>
      <c r="N29" s="11">
        <v>0</v>
      </c>
      <c r="O29" s="10" t="s">
        <v>141</v>
      </c>
      <c r="P29" s="10" t="s">
        <v>142</v>
      </c>
    </row>
    <row r="30" spans="1:16" x14ac:dyDescent="0.25">
      <c r="A30" s="7" t="str">
        <f t="shared" ref="A30:F30" si="27">A29</f>
        <v>JAN 2026 NORMAL PRICE</v>
      </c>
      <c r="B30" s="8">
        <f t="shared" si="27"/>
        <v>46114</v>
      </c>
      <c r="C30" s="8">
        <f t="shared" si="27"/>
        <v>46120</v>
      </c>
      <c r="D30" s="12">
        <f t="shared" si="27"/>
        <v>3320</v>
      </c>
      <c r="E30" s="12">
        <f t="shared" si="27"/>
        <v>336</v>
      </c>
      <c r="F30" s="12">
        <f t="shared" si="27"/>
        <v>4</v>
      </c>
      <c r="G30" s="13">
        <v>1</v>
      </c>
      <c r="H30" s="7">
        <v>81755</v>
      </c>
      <c r="I30" s="7" t="s">
        <v>161</v>
      </c>
      <c r="J30" s="20">
        <v>69703855</v>
      </c>
      <c r="K30" s="20" t="s">
        <v>210</v>
      </c>
      <c r="L30" s="18" t="s">
        <v>242</v>
      </c>
      <c r="M30" s="18">
        <v>259000</v>
      </c>
      <c r="N30" s="11">
        <v>0</v>
      </c>
      <c r="O30" s="10" t="s">
        <v>141</v>
      </c>
      <c r="P30" s="10" t="s">
        <v>142</v>
      </c>
    </row>
    <row r="31" spans="1:16" x14ac:dyDescent="0.25">
      <c r="A31" s="7" t="str">
        <f t="shared" ref="A31:F31" si="28">A30</f>
        <v>JAN 2026 NORMAL PRICE</v>
      </c>
      <c r="B31" s="8">
        <f t="shared" si="28"/>
        <v>46114</v>
      </c>
      <c r="C31" s="8">
        <f t="shared" si="28"/>
        <v>46120</v>
      </c>
      <c r="D31" s="12">
        <f t="shared" si="28"/>
        <v>3320</v>
      </c>
      <c r="E31" s="12">
        <f t="shared" si="28"/>
        <v>336</v>
      </c>
      <c r="F31" s="12">
        <f t="shared" si="28"/>
        <v>4</v>
      </c>
      <c r="G31" s="13">
        <v>1</v>
      </c>
      <c r="H31" s="7">
        <v>81755</v>
      </c>
      <c r="I31" s="7" t="s">
        <v>161</v>
      </c>
      <c r="J31" s="20">
        <v>69703864</v>
      </c>
      <c r="K31" s="20" t="s">
        <v>210</v>
      </c>
      <c r="L31" s="18" t="s">
        <v>243</v>
      </c>
      <c r="M31" s="18">
        <v>259000</v>
      </c>
      <c r="N31" s="11">
        <v>0</v>
      </c>
      <c r="O31" s="10" t="s">
        <v>141</v>
      </c>
      <c r="P31" s="10" t="s">
        <v>142</v>
      </c>
    </row>
    <row r="32" spans="1:16" x14ac:dyDescent="0.25">
      <c r="A32" s="7" t="str">
        <f t="shared" ref="A32:F32" si="29">A31</f>
        <v>JAN 2026 NORMAL PRICE</v>
      </c>
      <c r="B32" s="8">
        <f t="shared" si="29"/>
        <v>46114</v>
      </c>
      <c r="C32" s="8">
        <f t="shared" si="29"/>
        <v>46120</v>
      </c>
      <c r="D32" s="12">
        <f t="shared" si="29"/>
        <v>3320</v>
      </c>
      <c r="E32" s="12">
        <f t="shared" si="29"/>
        <v>336</v>
      </c>
      <c r="F32" s="12">
        <f t="shared" si="29"/>
        <v>4</v>
      </c>
      <c r="G32" s="13">
        <v>1</v>
      </c>
      <c r="H32" s="7">
        <v>81755</v>
      </c>
      <c r="I32" s="7" t="s">
        <v>161</v>
      </c>
      <c r="J32" s="20">
        <v>69703873</v>
      </c>
      <c r="K32" s="20" t="s">
        <v>210</v>
      </c>
      <c r="L32" s="18" t="s">
        <v>244</v>
      </c>
      <c r="M32" s="18">
        <v>259000</v>
      </c>
      <c r="N32" s="11">
        <v>0</v>
      </c>
      <c r="O32" s="10" t="s">
        <v>141</v>
      </c>
      <c r="P32" s="10" t="s">
        <v>142</v>
      </c>
    </row>
    <row r="33" spans="1:16" x14ac:dyDescent="0.25">
      <c r="A33" s="7" t="str">
        <f t="shared" ref="A33:F33" si="30">A32</f>
        <v>JAN 2026 NORMAL PRICE</v>
      </c>
      <c r="B33" s="8">
        <f t="shared" si="30"/>
        <v>46114</v>
      </c>
      <c r="C33" s="8">
        <f t="shared" si="30"/>
        <v>46120</v>
      </c>
      <c r="D33" s="12">
        <f t="shared" si="30"/>
        <v>3320</v>
      </c>
      <c r="E33" s="12">
        <f t="shared" si="30"/>
        <v>336</v>
      </c>
      <c r="F33" s="12">
        <f t="shared" si="30"/>
        <v>4</v>
      </c>
      <c r="G33" s="13">
        <v>1</v>
      </c>
      <c r="H33" s="7">
        <v>81755</v>
      </c>
      <c r="I33" s="7" t="s">
        <v>161</v>
      </c>
      <c r="J33" s="20">
        <v>69703882</v>
      </c>
      <c r="K33" s="20" t="s">
        <v>210</v>
      </c>
      <c r="L33" s="18" t="s">
        <v>245</v>
      </c>
      <c r="M33" s="18">
        <v>259000</v>
      </c>
      <c r="N33" s="11">
        <v>0</v>
      </c>
      <c r="O33" s="10" t="s">
        <v>141</v>
      </c>
      <c r="P33" s="10" t="s">
        <v>142</v>
      </c>
    </row>
    <row r="34" spans="1:16" x14ac:dyDescent="0.25">
      <c r="A34" s="7" t="str">
        <f t="shared" ref="A34:F34" si="31">A33</f>
        <v>JAN 2026 NORMAL PRICE</v>
      </c>
      <c r="B34" s="8">
        <f t="shared" si="31"/>
        <v>46114</v>
      </c>
      <c r="C34" s="8">
        <f t="shared" si="31"/>
        <v>46120</v>
      </c>
      <c r="D34" s="12">
        <f t="shared" si="31"/>
        <v>3320</v>
      </c>
      <c r="E34" s="12">
        <f t="shared" si="31"/>
        <v>336</v>
      </c>
      <c r="F34" s="12">
        <f t="shared" si="31"/>
        <v>4</v>
      </c>
      <c r="G34" s="13">
        <v>1</v>
      </c>
      <c r="H34" s="7">
        <v>81755</v>
      </c>
      <c r="I34" s="7" t="s">
        <v>161</v>
      </c>
      <c r="J34" s="20">
        <v>69703891</v>
      </c>
      <c r="K34" s="20" t="s">
        <v>211</v>
      </c>
      <c r="L34" s="18" t="s">
        <v>246</v>
      </c>
      <c r="M34" s="18">
        <v>259000</v>
      </c>
      <c r="N34" s="11">
        <v>0</v>
      </c>
      <c r="O34" s="10" t="s">
        <v>141</v>
      </c>
      <c r="P34" s="10" t="s">
        <v>142</v>
      </c>
    </row>
    <row r="35" spans="1:16" x14ac:dyDescent="0.25">
      <c r="A35" s="7" t="str">
        <f t="shared" ref="A35:F35" si="32">A34</f>
        <v>JAN 2026 NORMAL PRICE</v>
      </c>
      <c r="B35" s="8">
        <f t="shared" si="32"/>
        <v>46114</v>
      </c>
      <c r="C35" s="8">
        <f t="shared" si="32"/>
        <v>46120</v>
      </c>
      <c r="D35" s="12">
        <f t="shared" si="32"/>
        <v>3320</v>
      </c>
      <c r="E35" s="12">
        <f t="shared" si="32"/>
        <v>336</v>
      </c>
      <c r="F35" s="12">
        <f t="shared" si="32"/>
        <v>4</v>
      </c>
      <c r="G35" s="13">
        <v>1</v>
      </c>
      <c r="H35" s="7">
        <v>81755</v>
      </c>
      <c r="I35" s="7" t="s">
        <v>161</v>
      </c>
      <c r="J35" s="20">
        <v>69703908</v>
      </c>
      <c r="K35" s="20" t="s">
        <v>211</v>
      </c>
      <c r="L35" s="18" t="s">
        <v>247</v>
      </c>
      <c r="M35" s="18">
        <v>259000</v>
      </c>
      <c r="N35" s="11">
        <v>0</v>
      </c>
      <c r="O35" s="10" t="s">
        <v>141</v>
      </c>
      <c r="P35" s="10" t="s">
        <v>142</v>
      </c>
    </row>
    <row r="36" spans="1:16" x14ac:dyDescent="0.25">
      <c r="A36" s="7" t="str">
        <f t="shared" ref="A36:F36" si="33">A35</f>
        <v>JAN 2026 NORMAL PRICE</v>
      </c>
      <c r="B36" s="8">
        <f t="shared" si="33"/>
        <v>46114</v>
      </c>
      <c r="C36" s="8">
        <f t="shared" si="33"/>
        <v>46120</v>
      </c>
      <c r="D36" s="12">
        <f t="shared" si="33"/>
        <v>3320</v>
      </c>
      <c r="E36" s="12">
        <f t="shared" si="33"/>
        <v>336</v>
      </c>
      <c r="F36" s="12">
        <f t="shared" si="33"/>
        <v>4</v>
      </c>
      <c r="G36" s="13">
        <v>1</v>
      </c>
      <c r="H36" s="7">
        <v>81755</v>
      </c>
      <c r="I36" s="7" t="s">
        <v>161</v>
      </c>
      <c r="J36" s="20">
        <v>69703917</v>
      </c>
      <c r="K36" s="20" t="s">
        <v>211</v>
      </c>
      <c r="L36" s="18" t="s">
        <v>248</v>
      </c>
      <c r="M36" s="18">
        <v>259000</v>
      </c>
      <c r="N36" s="11">
        <v>0</v>
      </c>
      <c r="O36" s="10" t="s">
        <v>141</v>
      </c>
      <c r="P36" s="10" t="s">
        <v>142</v>
      </c>
    </row>
    <row r="37" spans="1:16" x14ac:dyDescent="0.25">
      <c r="A37" s="7" t="str">
        <f t="shared" ref="A37:F37" si="34">A36</f>
        <v>JAN 2026 NORMAL PRICE</v>
      </c>
      <c r="B37" s="8">
        <f t="shared" si="34"/>
        <v>46114</v>
      </c>
      <c r="C37" s="8">
        <f t="shared" si="34"/>
        <v>46120</v>
      </c>
      <c r="D37" s="12">
        <f t="shared" si="34"/>
        <v>3320</v>
      </c>
      <c r="E37" s="12">
        <f t="shared" si="34"/>
        <v>336</v>
      </c>
      <c r="F37" s="12">
        <f t="shared" si="34"/>
        <v>4</v>
      </c>
      <c r="G37" s="13">
        <v>1</v>
      </c>
      <c r="H37" s="7">
        <v>81755</v>
      </c>
      <c r="I37" s="7" t="s">
        <v>161</v>
      </c>
      <c r="J37" s="20">
        <v>69703926</v>
      </c>
      <c r="K37" s="20" t="s">
        <v>211</v>
      </c>
      <c r="L37" s="18" t="s">
        <v>249</v>
      </c>
      <c r="M37" s="18">
        <v>259000</v>
      </c>
      <c r="N37" s="11">
        <v>0</v>
      </c>
      <c r="O37" s="10" t="s">
        <v>141</v>
      </c>
      <c r="P37" s="10" t="s">
        <v>142</v>
      </c>
    </row>
    <row r="38" spans="1:16" x14ac:dyDescent="0.25">
      <c r="A38" s="7" t="str">
        <f t="shared" ref="A38:F38" si="35">A37</f>
        <v>JAN 2026 NORMAL PRICE</v>
      </c>
      <c r="B38" s="8">
        <f t="shared" si="35"/>
        <v>46114</v>
      </c>
      <c r="C38" s="8">
        <f t="shared" si="35"/>
        <v>46120</v>
      </c>
      <c r="D38" s="12">
        <f t="shared" si="35"/>
        <v>3320</v>
      </c>
      <c r="E38" s="12">
        <f t="shared" si="35"/>
        <v>336</v>
      </c>
      <c r="F38" s="12">
        <f t="shared" si="35"/>
        <v>4</v>
      </c>
      <c r="G38" s="13">
        <v>2</v>
      </c>
      <c r="H38" s="7">
        <v>81755</v>
      </c>
      <c r="I38" s="7" t="s">
        <v>161</v>
      </c>
      <c r="J38" s="20">
        <v>69703659</v>
      </c>
      <c r="K38" s="20" t="s">
        <v>212</v>
      </c>
      <c r="L38" s="18" t="s">
        <v>250</v>
      </c>
      <c r="M38" s="18">
        <v>499000</v>
      </c>
      <c r="N38" s="11">
        <v>0</v>
      </c>
      <c r="O38" s="10" t="s">
        <v>141</v>
      </c>
      <c r="P38" s="10" t="s">
        <v>142</v>
      </c>
    </row>
    <row r="39" spans="1:16" x14ac:dyDescent="0.25">
      <c r="A39" s="7" t="str">
        <f t="shared" ref="A39:F39" si="36">A38</f>
        <v>JAN 2026 NORMAL PRICE</v>
      </c>
      <c r="B39" s="8">
        <f t="shared" si="36"/>
        <v>46114</v>
      </c>
      <c r="C39" s="8">
        <f t="shared" si="36"/>
        <v>46120</v>
      </c>
      <c r="D39" s="12">
        <f t="shared" si="36"/>
        <v>3320</v>
      </c>
      <c r="E39" s="12">
        <f t="shared" si="36"/>
        <v>336</v>
      </c>
      <c r="F39" s="12">
        <f t="shared" si="36"/>
        <v>4</v>
      </c>
      <c r="G39" s="13">
        <v>2</v>
      </c>
      <c r="H39" s="7">
        <v>81755</v>
      </c>
      <c r="I39" s="7" t="s">
        <v>161</v>
      </c>
      <c r="J39" s="20">
        <v>69703668</v>
      </c>
      <c r="K39" s="20" t="s">
        <v>212</v>
      </c>
      <c r="L39" s="18" t="s">
        <v>251</v>
      </c>
      <c r="M39" s="18">
        <v>499000</v>
      </c>
      <c r="N39" s="11">
        <v>0</v>
      </c>
      <c r="O39" s="10" t="s">
        <v>141</v>
      </c>
      <c r="P39" s="10" t="s">
        <v>142</v>
      </c>
    </row>
    <row r="40" spans="1:16" x14ac:dyDescent="0.25">
      <c r="A40" s="7" t="str">
        <f t="shared" ref="A40:F40" si="37">A39</f>
        <v>JAN 2026 NORMAL PRICE</v>
      </c>
      <c r="B40" s="8">
        <f t="shared" si="37"/>
        <v>46114</v>
      </c>
      <c r="C40" s="8">
        <f t="shared" si="37"/>
        <v>46120</v>
      </c>
      <c r="D40" s="12">
        <f t="shared" si="37"/>
        <v>3320</v>
      </c>
      <c r="E40" s="12">
        <f t="shared" si="37"/>
        <v>336</v>
      </c>
      <c r="F40" s="12">
        <f t="shared" si="37"/>
        <v>4</v>
      </c>
      <c r="G40" s="13">
        <v>2</v>
      </c>
      <c r="H40" s="7">
        <v>81755</v>
      </c>
      <c r="I40" s="7" t="s">
        <v>161</v>
      </c>
      <c r="J40" s="20">
        <v>69703677</v>
      </c>
      <c r="K40" s="20" t="s">
        <v>212</v>
      </c>
      <c r="L40" s="18" t="s">
        <v>252</v>
      </c>
      <c r="M40" s="18">
        <v>499000</v>
      </c>
      <c r="N40" s="11">
        <v>0</v>
      </c>
      <c r="O40" s="10" t="s">
        <v>141</v>
      </c>
      <c r="P40" s="10" t="s">
        <v>142</v>
      </c>
    </row>
    <row r="41" spans="1:16" x14ac:dyDescent="0.25">
      <c r="A41" s="7" t="str">
        <f t="shared" ref="A41:F41" si="38">A40</f>
        <v>JAN 2026 NORMAL PRICE</v>
      </c>
      <c r="B41" s="8">
        <f t="shared" si="38"/>
        <v>46114</v>
      </c>
      <c r="C41" s="8">
        <f t="shared" si="38"/>
        <v>46120</v>
      </c>
      <c r="D41" s="12">
        <f t="shared" si="38"/>
        <v>3320</v>
      </c>
      <c r="E41" s="12">
        <f t="shared" si="38"/>
        <v>336</v>
      </c>
      <c r="F41" s="12">
        <f t="shared" si="38"/>
        <v>4</v>
      </c>
      <c r="G41" s="13">
        <v>2</v>
      </c>
      <c r="H41" s="7">
        <v>81755</v>
      </c>
      <c r="I41" s="7" t="s">
        <v>161</v>
      </c>
      <c r="J41" s="20">
        <v>69703686</v>
      </c>
      <c r="K41" s="20" t="s">
        <v>212</v>
      </c>
      <c r="L41" s="18" t="s">
        <v>253</v>
      </c>
      <c r="M41" s="18">
        <v>499000</v>
      </c>
      <c r="N41" s="11">
        <v>0</v>
      </c>
      <c r="O41" s="10" t="s">
        <v>141</v>
      </c>
      <c r="P41" s="10" t="s">
        <v>142</v>
      </c>
    </row>
    <row r="42" spans="1:16" x14ac:dyDescent="0.25">
      <c r="A42" s="7" t="str">
        <f t="shared" ref="A42:F42" si="39">A41</f>
        <v>JAN 2026 NORMAL PRICE</v>
      </c>
      <c r="B42" s="8">
        <f t="shared" si="39"/>
        <v>46114</v>
      </c>
      <c r="C42" s="8">
        <f t="shared" si="39"/>
        <v>46120</v>
      </c>
      <c r="D42" s="12">
        <f t="shared" si="39"/>
        <v>3320</v>
      </c>
      <c r="E42" s="12">
        <f t="shared" si="39"/>
        <v>336</v>
      </c>
      <c r="F42" s="12">
        <f t="shared" si="39"/>
        <v>4</v>
      </c>
      <c r="G42" s="13">
        <v>2</v>
      </c>
      <c r="H42" s="7">
        <v>81755</v>
      </c>
      <c r="I42" s="7" t="s">
        <v>161</v>
      </c>
      <c r="J42" s="20">
        <v>69703695</v>
      </c>
      <c r="K42" s="20" t="s">
        <v>213</v>
      </c>
      <c r="L42" s="18" t="s">
        <v>254</v>
      </c>
      <c r="M42" s="18">
        <v>459000</v>
      </c>
      <c r="N42" s="11">
        <v>0</v>
      </c>
      <c r="O42" s="10" t="s">
        <v>141</v>
      </c>
      <c r="P42" s="10" t="s">
        <v>142</v>
      </c>
    </row>
    <row r="43" spans="1:16" x14ac:dyDescent="0.25">
      <c r="A43" s="7" t="str">
        <f t="shared" ref="A43:F43" si="40">A42</f>
        <v>JAN 2026 NORMAL PRICE</v>
      </c>
      <c r="B43" s="8">
        <f t="shared" si="40"/>
        <v>46114</v>
      </c>
      <c r="C43" s="8">
        <f t="shared" si="40"/>
        <v>46120</v>
      </c>
      <c r="D43" s="12">
        <f t="shared" si="40"/>
        <v>3320</v>
      </c>
      <c r="E43" s="12">
        <f t="shared" si="40"/>
        <v>336</v>
      </c>
      <c r="F43" s="12">
        <f t="shared" si="40"/>
        <v>4</v>
      </c>
      <c r="G43" s="13">
        <v>2</v>
      </c>
      <c r="H43" s="7">
        <v>81755</v>
      </c>
      <c r="I43" s="7" t="s">
        <v>161</v>
      </c>
      <c r="J43" s="20">
        <v>69703702</v>
      </c>
      <c r="K43" s="20" t="s">
        <v>213</v>
      </c>
      <c r="L43" s="18" t="s">
        <v>255</v>
      </c>
      <c r="M43" s="18">
        <v>459000</v>
      </c>
      <c r="N43" s="11">
        <v>0</v>
      </c>
      <c r="O43" s="10" t="s">
        <v>141</v>
      </c>
      <c r="P43" s="10" t="s">
        <v>142</v>
      </c>
    </row>
    <row r="44" spans="1:16" x14ac:dyDescent="0.25">
      <c r="A44" s="7" t="str">
        <f t="shared" ref="A44:F44" si="41">A43</f>
        <v>JAN 2026 NORMAL PRICE</v>
      </c>
      <c r="B44" s="8">
        <f t="shared" si="41"/>
        <v>46114</v>
      </c>
      <c r="C44" s="8">
        <f t="shared" si="41"/>
        <v>46120</v>
      </c>
      <c r="D44" s="12">
        <f t="shared" si="41"/>
        <v>3320</v>
      </c>
      <c r="E44" s="12">
        <f t="shared" si="41"/>
        <v>336</v>
      </c>
      <c r="F44" s="12">
        <f t="shared" si="41"/>
        <v>4</v>
      </c>
      <c r="G44" s="13">
        <v>2</v>
      </c>
      <c r="H44" s="7">
        <v>81755</v>
      </c>
      <c r="I44" s="7" t="s">
        <v>161</v>
      </c>
      <c r="J44" s="20">
        <v>69703711</v>
      </c>
      <c r="K44" s="20" t="s">
        <v>213</v>
      </c>
      <c r="L44" s="18" t="s">
        <v>256</v>
      </c>
      <c r="M44" s="18">
        <v>459000</v>
      </c>
      <c r="N44" s="11">
        <v>0</v>
      </c>
      <c r="O44" s="10" t="s">
        <v>141</v>
      </c>
      <c r="P44" s="10" t="s">
        <v>142</v>
      </c>
    </row>
    <row r="45" spans="1:16" x14ac:dyDescent="0.25">
      <c r="A45" s="7" t="str">
        <f t="shared" ref="A45:F45" si="42">A44</f>
        <v>JAN 2026 NORMAL PRICE</v>
      </c>
      <c r="B45" s="8">
        <f t="shared" si="42"/>
        <v>46114</v>
      </c>
      <c r="C45" s="8">
        <f t="shared" si="42"/>
        <v>46120</v>
      </c>
      <c r="D45" s="12">
        <f t="shared" si="42"/>
        <v>3320</v>
      </c>
      <c r="E45" s="12">
        <f t="shared" si="42"/>
        <v>336</v>
      </c>
      <c r="F45" s="12">
        <f t="shared" si="42"/>
        <v>4</v>
      </c>
      <c r="G45" s="13">
        <v>2</v>
      </c>
      <c r="H45" s="7">
        <v>81755</v>
      </c>
      <c r="I45" s="7" t="s">
        <v>161</v>
      </c>
      <c r="J45" s="20">
        <v>69703720</v>
      </c>
      <c r="K45" s="20" t="s">
        <v>213</v>
      </c>
      <c r="L45" s="18" t="s">
        <v>257</v>
      </c>
      <c r="M45" s="18">
        <v>459000</v>
      </c>
      <c r="N45" s="11">
        <v>0</v>
      </c>
      <c r="O45" s="10" t="s">
        <v>141</v>
      </c>
      <c r="P45" s="10" t="s">
        <v>142</v>
      </c>
    </row>
  </sheetData>
  <conditionalFormatting sqref="J1">
    <cfRule type="duplicateValues" dxfId="4" priority="3"/>
    <cfRule type="duplicateValues" dxfId="3" priority="4"/>
    <cfRule type="duplicateValues" dxfId="2" priority="5"/>
  </conditionalFormatting>
  <conditionalFormatting sqref="J1:J1048576">
    <cfRule type="duplicateValues" dxfId="1" priority="9"/>
  </conditionalFormatting>
  <conditionalFormatting sqref="J2">
    <cfRule type="duplicateValues" dxfId="0" priority="2"/>
  </conditionalFormatting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FEB 2025 D50</vt:lpstr>
      <vt:lpstr>MEI JUN 2025 D50</vt:lpstr>
      <vt:lpstr>JAN 2026 NORMAL PRICE</vt:lpstr>
    </vt:vector>
  </TitlesOfParts>
  <Company>PT. Matahari Department Store, Tbk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Angela Taruli Eilien</dc:creator>
  <cp:lastModifiedBy>Maydelline Pui</cp:lastModifiedBy>
  <dcterms:created xsi:type="dcterms:W3CDTF">2025-02-11T09:42:06Z</dcterms:created>
  <dcterms:modified xsi:type="dcterms:W3CDTF">2026-03-31T06:53:56Z</dcterms:modified>
</cp:coreProperties>
</file>