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238C7415-6250-403F-9FE3-13979404EF09}" xr6:coauthVersionLast="47" xr6:coauthVersionMax="47" xr10:uidLastSave="{00000000-0000-0000-0000-000000000000}"/>
  <bookViews>
    <workbookView xWindow="-120" yWindow="-120" windowWidth="20730" windowHeight="11160" tabRatio="654" activeTab="1" xr2:uid="{00000000-000D-0000-FFFF-FFFF00000000}"/>
  </bookViews>
  <sheets>
    <sheet name="SERAGAM D85" sheetId="1" r:id="rId1"/>
    <sheet name="ADIDAS D80" sheetId="7" r:id="rId2"/>
  </sheets>
  <definedNames>
    <definedName name="_xlnm._FilterDatabase" localSheetId="1" hidden="1">'ADIDAS D80'!$A$1:$P$1</definedName>
    <definedName name="_xlnm._FilterDatabase" localSheetId="0" hidden="1">'SERAGAM D85'!$A$1:$P$1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O27" i="7"/>
  <c r="O2" i="1"/>
  <c r="O2" i="7"/>
  <c r="C2" i="7"/>
  <c r="C3" i="7" s="1"/>
  <c r="B2" i="7"/>
  <c r="B3" i="7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N4" i="7"/>
  <c r="N5" i="7" s="1"/>
  <c r="N3" i="7"/>
  <c r="O3" i="7" s="1"/>
  <c r="A3" i="7"/>
  <c r="N6" i="7" l="1"/>
  <c r="O5" i="7"/>
  <c r="O4" i="7"/>
  <c r="B4" i="7"/>
  <c r="B5" i="7" s="1"/>
  <c r="B6" i="7" s="1"/>
  <c r="B7" i="7" s="1"/>
  <c r="B8" i="7" s="1"/>
  <c r="B9" i="7" s="1"/>
  <c r="B10" i="7" s="1"/>
  <c r="B11" i="7" s="1"/>
  <c r="B12" i="7" s="1"/>
  <c r="B13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N7" i="7" l="1"/>
  <c r="O6" i="7"/>
  <c r="C14" i="7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15" i="7" l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N8" i="7"/>
  <c r="O7" i="7"/>
  <c r="N9" i="7" l="1"/>
  <c r="O8" i="7"/>
  <c r="N10" i="7" l="1"/>
  <c r="O9" i="7"/>
  <c r="O10" i="7" l="1"/>
  <c r="N11" i="7"/>
  <c r="O11" i="7" l="1"/>
  <c r="N12" i="7"/>
  <c r="O12" i="7" l="1"/>
  <c r="N13" i="7"/>
  <c r="O13" i="7" l="1"/>
  <c r="N14" i="7"/>
  <c r="N15" i="7" l="1"/>
  <c r="O14" i="7"/>
  <c r="N16" i="7" l="1"/>
  <c r="O15" i="7"/>
  <c r="N17" i="7" l="1"/>
  <c r="O16" i="7"/>
  <c r="N18" i="7" l="1"/>
  <c r="O17" i="7"/>
  <c r="N19" i="7" l="1"/>
  <c r="O18" i="7"/>
  <c r="N20" i="7" l="1"/>
  <c r="O19" i="7"/>
  <c r="N21" i="7" l="1"/>
  <c r="O20" i="7"/>
  <c r="N22" i="7" l="1"/>
  <c r="O21" i="7"/>
  <c r="N23" i="7" l="1"/>
  <c r="O22" i="7"/>
  <c r="O23" i="7" l="1"/>
  <c r="N24" i="7"/>
  <c r="O24" i="7" l="1"/>
  <c r="N25" i="7"/>
  <c r="O25" i="7" l="1"/>
  <c r="N26" i="7"/>
  <c r="O26" i="7" l="1"/>
  <c r="N27" i="7"/>
  <c r="N28" i="7" l="1"/>
  <c r="N29" i="7" l="1"/>
  <c r="O28" i="7"/>
  <c r="N30" i="7" l="1"/>
  <c r="O29" i="7"/>
  <c r="N31" i="7" l="1"/>
  <c r="O31" i="7" s="1"/>
  <c r="O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<sst xmlns="http://schemas.openxmlformats.org/spreadsheetml/2006/main" count="331" uniqueCount="94">
  <si>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</si>
  <si>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</si>
  <si>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</si>
  <si>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</si>
  <si>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</si>
  <si>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</si>
  <si>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</si>
  <si>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</si>
  <si>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</si>
  <si>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</si>
  <si>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</si>
  <si>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</si>
  <si>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</si>
  <si>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</si>
  <si>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</si>
  <si>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</si>
  <si>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</si>
  <si>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SRGSD-P</t>
  </si>
  <si>
    <t>CELANA PENDEK SERAGAM SD SRGSD-P:CLASSIC RED:S:SOLID:SHORT PANTS</t>
  </si>
  <si>
    <t>CELANA PENDEK SERAGAM SD SRGSD-P:CLASSIC RED:M:SOLID:SHORT PANTS</t>
  </si>
  <si>
    <t>CELANA PENDEK SERAGAM SD SRGSD-P:CLASSIC RED:L:SOLID:SHORT PANTS</t>
  </si>
  <si>
    <t>CELANA PENDEK SERAGAM SD SRGSD-P:CLASSIC RED:XL:SOLID:SHORT PANTS</t>
  </si>
  <si>
    <t>CELANA PENDEK SERAGAM SD SRGSD-P:CLASSIC RED:XXL:SOLID:SHORT PANTS</t>
  </si>
  <si>
    <t>SRGSM-K</t>
  </si>
  <si>
    <t>KEMEJA SERAGAM SMP SRGSM-K:WHITE:S:SOLID:SS SHIRT</t>
  </si>
  <si>
    <t>KEMEJA SERAGAM SMP SRGSM-K:WHITE:M:SOLID:SS SHIRT</t>
  </si>
  <si>
    <t>KEMEJA SERAGAM SMP SRGSM-K:WHITE:L:SOLID:SS SHIRT</t>
  </si>
  <si>
    <t>KEMEJA SERAGAM SMP SRGSM-K:WHITE:XL:SOLID:SS SHIRT</t>
  </si>
  <si>
    <t>KEMEJA SERAGAM SMP SRGSM-K:WHITE:XXL:SOLID:SS SHIRT</t>
  </si>
  <si>
    <t>SRGSM-P</t>
  </si>
  <si>
    <t>CELANA PANJANG SERAGAM SMP SRGSM-P:CLASSIC BLUE:S:SOLID:LONG PANTS</t>
  </si>
  <si>
    <t>CELANA PANJANG SERAGAM SMP SRGSM-P:CLASSIC BLUE:M:SOLID:LONG PANTS</t>
  </si>
  <si>
    <t>CELANA PANJANG SERAGAM SMP SRGSM-P:CLASSIC BLUE:L:SOLID:LONG PANTS</t>
  </si>
  <si>
    <t>CELANA PANJANG SERAGAM SMP SRGSM-P:CLASSIC BLUE:XL:SOLID:LONG PANTS</t>
  </si>
  <si>
    <t>CELANA PANJANG SERAGAM SMP SRGSM-P:CLASSIC BLUE:XXL:SOLID:LONG PANTS</t>
  </si>
  <si>
    <t>SRGSDK</t>
  </si>
  <si>
    <t>KEMEJA SERAGAM SD SRGSD-K:WHITE:S:SOLID:SS SHIRT</t>
  </si>
  <si>
    <t>KEMEJA SERAGAM SD SRGSD-K:WHITE:M:SOLID:SS SHIRT</t>
  </si>
  <si>
    <t>KEMEJA SERAGAM SD SRGSD-K:WHITE:L:SOLID:SS SHIRT</t>
  </si>
  <si>
    <t>KEMEJA SERAGAM SD SRGSD-K:WHITE:XL:SOLID:SS SHIRT</t>
  </si>
  <si>
    <t>KEMEJA SERAGAM SD SRGSD-K:WHITE:XXL:SOLID:SS SHIRT</t>
  </si>
  <si>
    <t>SRGSD-R</t>
  </si>
  <si>
    <t>ROK PENDEK SERAGAM SD SRGSD-R:CLASSIC RED:S:SOLID:MIDI SKIRT</t>
  </si>
  <si>
    <t>ROK PENDEK SERAGAM SD SRGSD-R:CLASSIC RED:M:SOLID:MIDI SKIRT</t>
  </si>
  <si>
    <t>ROK PENDEK SERAGAM SD SRGSD-R:CLASSIC RED:L:SOLID:MIDI SKIRT</t>
  </si>
  <si>
    <t>ROK PENDEK SERAGAM SD SRGSD-R:CLASSIC RED:XL:SOLID:MIDI SKIRT</t>
  </si>
  <si>
    <t>ROK PENDEK SERAGAM SD SRGSD-R:CLASSIC RED:XXL:SOLID:MIDI SKIRT</t>
  </si>
  <si>
    <t>SRGSM-R</t>
  </si>
  <si>
    <t>ROK PANJANG SERAGAM SMP SRGSM-R:CLASSIC BLUE:S:SOLID:MAXI SKIRT</t>
  </si>
  <si>
    <t>ROK PANJANG SERAGAM SMP SRGSM-R:CLASSIC BLUE:M:SOLID:MAXI SKIRT</t>
  </si>
  <si>
    <t>ROK PANJANG SERAGAM SMP SRGSM-R:CLASSIC BLUE:L:SOLID:MAXI SKIRT</t>
  </si>
  <si>
    <t>ROK PANJANG SERAGAM SMP SRGSM-R:CLASSIC BLUE:XL:SOLID:MAXI SKIRT</t>
  </si>
  <si>
    <t>ROK PANJANG SERAGAM SMP SRGSM-R:CLASSIC BLUE:XXL:SOLID:MAXI SKIRT</t>
  </si>
  <si>
    <t>MATAHARI</t>
  </si>
  <si>
    <t>HS1606</t>
  </si>
  <si>
    <t>SHORTS (1/2) HS1606:BLACK:128:SOLID:SHORT PANTS</t>
  </si>
  <si>
    <t>SHORTS (1/2) HS1606:BLACK:140:SOLID:SHORT PANTS</t>
  </si>
  <si>
    <t>SHORTS (1/2) HS1606:BLACK:152:SOLID:SHORT PANTS</t>
  </si>
  <si>
    <t>SHORTS (1/2) HS1606:BLACK:164:SOLID:SHORT PANTS</t>
  </si>
  <si>
    <t>SHORTS (1/2) HS1606:BLACK:176:SOLID:SHORT PANTS</t>
  </si>
  <si>
    <t>IC5659</t>
  </si>
  <si>
    <t>T-SHIRT (SHORT SLEEVE) IC5659:BLACK:128:SOLID:SS T-SHIRT</t>
  </si>
  <si>
    <t>T-SHIRT (SHORT SLEEVE) IC5659:BLACK:140:SOLID:SS T-SHIRT</t>
  </si>
  <si>
    <t>T-SHIRT (SHORT SLEEVE) IC5659:BLACK:164:SOLID:SS T-SHIRT</t>
  </si>
  <si>
    <t>T-SHIRT (SHORT SLEEVE) IC5659:BLACK:176:SOLID:SS T-SHIRT</t>
  </si>
  <si>
    <t>IB8775</t>
  </si>
  <si>
    <t>T-SHIRT (SHORT SLEEVE) IB8775:BLACK:128:SOLID:SS T-SHIRT</t>
  </si>
  <si>
    <t>T-SHIRT (SHORT SLEEVE) IB8775:BLACK:140:SOLID:SS T-SHIRT</t>
  </si>
  <si>
    <t>T-SHIRT (SHORT SLEEVE) IB8775:BLACK:152:SOLID:SS T-SHIRT</t>
  </si>
  <si>
    <t>T-SHIRT (SHORT SLEEVE) IB8775:BLACK:164:SOLID:SS T-SHIRT</t>
  </si>
  <si>
    <t>T-SHIRT (SHORT SLEEVE) IB8775:BLACK:176:SOLID:SS T-SHIRT</t>
  </si>
  <si>
    <t>IC3831</t>
  </si>
  <si>
    <t>T-SHIRT (SHORT SLEEVE) IC3831:CLASSIC RED:104:SOLID:SS T-SHIRT</t>
  </si>
  <si>
    <t>T-SHIRT (SHORT SLEEVE) IC3831:CLASSIC RED:116:SOLID:SS T-SHIRT</t>
  </si>
  <si>
    <t>T-SHIRT (SHORT SLEEVE) IC3831:CLASSIC RED:122:SOLID:SS T-SHIRT</t>
  </si>
  <si>
    <t>T-SHIRT (SHORT SLEEVE) IC3831:CLASSIC RED:128:SOLID:SS T-SHIRT</t>
  </si>
  <si>
    <t>T-SHIRT (SHORT SLEEVE) IC3831:CLASSIC RED:110:SOLID:SS T-SHIRT</t>
  </si>
  <si>
    <t>IC9135</t>
  </si>
  <si>
    <t>T-SHIRT (SHORT SLEEVE) IC9135:BLACK:104:SOLID:SS T-SHIRT</t>
  </si>
  <si>
    <t>T-SHIRT (SHORT SLEEVE) IC9135:BLACK:116:SOLID:SS T-SHIRT</t>
  </si>
  <si>
    <t>T-SHIRT (SHORT SLEEVE) IC9135:BLACK:122:SOLID:SS T-SHIRT</t>
  </si>
  <si>
    <t>T-SHIRT (SHORT SLEEVE) IC9135:BLACK:128:SOLID:SS T-SHIRT</t>
  </si>
  <si>
    <t>T-SHIRT (SHORT SLEEVE) IC9135:BLACK:110:SOLID:SS T-SHIRT</t>
  </si>
  <si>
    <t>IC5670</t>
  </si>
  <si>
    <t>OTHER SUIT IC5670:BLACK:128:SOLID:TOP - BOTTOM SET</t>
  </si>
  <si>
    <t>OTHER SUIT IC5670:BLACK:140:SOLID:TOP - BOTTOM SET</t>
  </si>
  <si>
    <t>OTHER SUIT IC5670:BLACK:176:SOLID:TOP - BOTTOM SET</t>
  </si>
  <si>
    <t>IC9136</t>
  </si>
  <si>
    <t>JACKET IC9136:BLACK:116:SOLID:JACKET</t>
  </si>
  <si>
    <t>JACKET IC9136:BLACK:128:SOLID:JACKET</t>
  </si>
  <si>
    <t>JACKET IC9136:BLACK:110:SOLID:JACKET</t>
  </si>
  <si>
    <t>ADIDAS</t>
  </si>
  <si>
    <t>SERAGAM D85</t>
  </si>
  <si>
    <t>ADIDAS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</si>
</sst>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93" zoomScaleNormal="93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3.28515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2.5703125" style="6" bestFit="1" customWidth="1"/>
    <col min="12" max="12" width="94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92</v>
      </c>
      <c r="B2" s="8">
        <v>46114</v>
      </c>
      <c r="C2" s="8">
        <v>46120</v>
      </c>
      <c r="D2" s="7">
        <v>3326</v>
      </c>
      <c r="E2" s="7">
        <v>336</v>
      </c>
      <c r="F2" s="7">
        <v>4</v>
      </c>
      <c r="G2" s="7">
        <v>3</v>
      </c>
      <c r="H2" s="7">
        <v>81495</v>
      </c>
      <c r="I2" s="7" t="s">
        <v>53</v>
      </c>
      <c r="J2" s="7">
        <v>82641316</v>
      </c>
      <c r="K2" s="7" t="s">
        <v>17</v>
      </c>
      <c r="L2" s="7" t="s">
        <v>18</v>
      </c>
      <c r="M2" s="9">
        <v>169900</v>
      </c>
      <c r="N2" s="10">
        <v>0.85</v>
      </c>
      <c r="O2" s="9">
        <f>M2*(1-N2)</f>
        <v>25485.000000000004</v>
      </c>
      <c r="P2" s="7" t="s">
        <v>16</v>
      </c>
    </row>
    <row r="3" spans="1:16" x14ac:dyDescent="0.25">
      <c r="A3" s="7" t="s">
        <v>92</v>
      </c>
      <c r="B3" s="8">
        <f>B2</f>
        <v>46114</v>
      </c>
      <c r="C3" s="8">
        <f>C2</f>
        <v>46120</v>
      </c>
      <c r="D3" s="7">
        <v>3326</v>
      </c>
      <c r="E3" s="7">
        <v>336</v>
      </c>
      <c r="F3" s="7">
        <v>4</v>
      </c>
      <c r="G3" s="7">
        <v>3</v>
      </c>
      <c r="H3" s="7">
        <v>81495</v>
      </c>
      <c r="I3" s="7" t="s">
        <v>53</v>
      </c>
      <c r="J3" s="7">
        <v>82675969</v>
      </c>
      <c r="K3" s="7" t="s">
        <v>17</v>
      </c>
      <c r="L3" s="7" t="s">
        <v>19</v>
      </c>
      <c r="M3" s="9">
        <v>169900</v>
      </c>
      <c r="N3" s="10">
        <v>0.85</v>
      </c>
      <c r="O3" s="9">
        <f t="shared" ref="O3:O31" si="0">M3*(1-N3)</f>
        <v>25485.000000000004</v>
      </c>
      <c r="P3" s="7" t="s">
        <v>16</v>
      </c>
    </row>
    <row r="4" spans="1:16" x14ac:dyDescent="0.25">
      <c r="A4" s="7" t="s">
        <v>92</v>
      </c>
      <c r="B4" s="8">
        <f t="shared" ref="B4:C31" si="1">B3</f>
        <v>46114</v>
      </c>
      <c r="C4" s="8">
        <f t="shared" si="1"/>
        <v>46120</v>
      </c>
      <c r="D4" s="7">
        <v>3326</v>
      </c>
      <c r="E4" s="7">
        <v>336</v>
      </c>
      <c r="F4" s="7">
        <v>4</v>
      </c>
      <c r="G4" s="7">
        <v>3</v>
      </c>
      <c r="H4" s="7">
        <v>81495</v>
      </c>
      <c r="I4" s="7" t="s">
        <v>53</v>
      </c>
      <c r="J4" s="7">
        <v>82675978</v>
      </c>
      <c r="K4" s="7" t="s">
        <v>17</v>
      </c>
      <c r="L4" s="7" t="s">
        <v>20</v>
      </c>
      <c r="M4" s="9">
        <v>169900</v>
      </c>
      <c r="N4" s="10">
        <v>0.85</v>
      </c>
      <c r="O4" s="9">
        <f t="shared" si="0"/>
        <v>25485.000000000004</v>
      </c>
      <c r="P4" s="7" t="s">
        <v>16</v>
      </c>
    </row>
    <row r="5" spans="1:16" x14ac:dyDescent="0.25">
      <c r="A5" s="7" t="s">
        <v>92</v>
      </c>
      <c r="B5" s="8">
        <f t="shared" si="1"/>
        <v>46114</v>
      </c>
      <c r="C5" s="8">
        <f t="shared" si="1"/>
        <v>46120</v>
      </c>
      <c r="D5" s="7">
        <v>3326</v>
      </c>
      <c r="E5" s="7">
        <v>336</v>
      </c>
      <c r="F5" s="7">
        <v>4</v>
      </c>
      <c r="G5" s="7">
        <v>3</v>
      </c>
      <c r="H5" s="7">
        <v>81495</v>
      </c>
      <c r="I5" s="7" t="s">
        <v>53</v>
      </c>
      <c r="J5" s="7">
        <v>82675987</v>
      </c>
      <c r="K5" s="7" t="s">
        <v>17</v>
      </c>
      <c r="L5" s="7" t="s">
        <v>21</v>
      </c>
      <c r="M5" s="9">
        <v>169900</v>
      </c>
      <c r="N5" s="10">
        <v>0.85</v>
      </c>
      <c r="O5" s="9">
        <f t="shared" si="0"/>
        <v>25485.000000000004</v>
      </c>
      <c r="P5" s="7" t="s">
        <v>16</v>
      </c>
    </row>
    <row r="6" spans="1:16" x14ac:dyDescent="0.25">
      <c r="A6" s="7" t="s">
        <v>92</v>
      </c>
      <c r="B6" s="8">
        <f t="shared" si="1"/>
        <v>46114</v>
      </c>
      <c r="C6" s="8">
        <f t="shared" si="1"/>
        <v>46120</v>
      </c>
      <c r="D6" s="7">
        <v>3326</v>
      </c>
      <c r="E6" s="7">
        <v>336</v>
      </c>
      <c r="F6" s="7">
        <v>4</v>
      </c>
      <c r="G6" s="7">
        <v>3</v>
      </c>
      <c r="H6" s="7">
        <v>81495</v>
      </c>
      <c r="I6" s="7" t="s">
        <v>53</v>
      </c>
      <c r="J6" s="7">
        <v>82675996</v>
      </c>
      <c r="K6" s="7" t="s">
        <v>17</v>
      </c>
      <c r="L6" s="7" t="s">
        <v>22</v>
      </c>
      <c r="M6" s="9">
        <v>169900</v>
      </c>
      <c r="N6" s="10">
        <v>0.85</v>
      </c>
      <c r="O6" s="9">
        <f t="shared" si="0"/>
        <v>25485.000000000004</v>
      </c>
      <c r="P6" s="7" t="s">
        <v>16</v>
      </c>
    </row>
    <row r="7" spans="1:16" x14ac:dyDescent="0.25">
      <c r="A7" s="7" t="s">
        <v>92</v>
      </c>
      <c r="B7" s="8">
        <f t="shared" si="1"/>
        <v>46114</v>
      </c>
      <c r="C7" s="8">
        <f t="shared" si="1"/>
        <v>46120</v>
      </c>
      <c r="D7" s="7">
        <v>3326</v>
      </c>
      <c r="E7" s="7">
        <v>336</v>
      </c>
      <c r="F7" s="7">
        <v>4</v>
      </c>
      <c r="G7" s="7">
        <v>3</v>
      </c>
      <c r="H7" s="7">
        <v>81495</v>
      </c>
      <c r="I7" s="7" t="s">
        <v>53</v>
      </c>
      <c r="J7" s="7">
        <v>82641414</v>
      </c>
      <c r="K7" s="7" t="s">
        <v>23</v>
      </c>
      <c r="L7" s="7" t="s">
        <v>24</v>
      </c>
      <c r="M7" s="9">
        <v>179900</v>
      </c>
      <c r="N7" s="10">
        <v>0.85</v>
      </c>
      <c r="O7" s="9">
        <f t="shared" si="0"/>
        <v>26985.000000000004</v>
      </c>
      <c r="P7" s="7" t="s">
        <v>16</v>
      </c>
    </row>
    <row r="8" spans="1:16" x14ac:dyDescent="0.25">
      <c r="A8" s="7" t="s">
        <v>92</v>
      </c>
      <c r="B8" s="8">
        <f t="shared" si="1"/>
        <v>46114</v>
      </c>
      <c r="C8" s="8">
        <f t="shared" si="1"/>
        <v>46120</v>
      </c>
      <c r="D8" s="7">
        <v>3326</v>
      </c>
      <c r="E8" s="7">
        <v>336</v>
      </c>
      <c r="F8" s="7">
        <v>4</v>
      </c>
      <c r="G8" s="7">
        <v>3</v>
      </c>
      <c r="H8" s="7">
        <v>81495</v>
      </c>
      <c r="I8" s="7" t="s">
        <v>53</v>
      </c>
      <c r="J8" s="7">
        <v>82641423</v>
      </c>
      <c r="K8" s="7" t="s">
        <v>23</v>
      </c>
      <c r="L8" s="7" t="s">
        <v>25</v>
      </c>
      <c r="M8" s="9">
        <v>179900</v>
      </c>
      <c r="N8" s="10">
        <v>0.85</v>
      </c>
      <c r="O8" s="9">
        <f t="shared" si="0"/>
        <v>26985.000000000004</v>
      </c>
      <c r="P8" s="7" t="s">
        <v>16</v>
      </c>
    </row>
    <row r="9" spans="1:16" x14ac:dyDescent="0.25">
      <c r="A9" s="7" t="s">
        <v>92</v>
      </c>
      <c r="B9" s="8">
        <f t="shared" si="1"/>
        <v>46114</v>
      </c>
      <c r="C9" s="8">
        <f t="shared" si="1"/>
        <v>46120</v>
      </c>
      <c r="D9" s="7">
        <v>3326</v>
      </c>
      <c r="E9" s="7">
        <v>336</v>
      </c>
      <c r="F9" s="7">
        <v>4</v>
      </c>
      <c r="G9" s="7">
        <v>3</v>
      </c>
      <c r="H9" s="7">
        <v>81495</v>
      </c>
      <c r="I9" s="7" t="s">
        <v>53</v>
      </c>
      <c r="J9" s="7">
        <v>82641432</v>
      </c>
      <c r="K9" s="7" t="s">
        <v>23</v>
      </c>
      <c r="L9" s="7" t="s">
        <v>26</v>
      </c>
      <c r="M9" s="9">
        <v>179900</v>
      </c>
      <c r="N9" s="10">
        <v>0.85</v>
      </c>
      <c r="O9" s="9">
        <f t="shared" si="0"/>
        <v>26985.000000000004</v>
      </c>
      <c r="P9" s="7" t="s">
        <v>16</v>
      </c>
    </row>
    <row r="10" spans="1:16" x14ac:dyDescent="0.25">
      <c r="A10" s="7" t="s">
        <v>92</v>
      </c>
      <c r="B10" s="8">
        <f t="shared" si="1"/>
        <v>46114</v>
      </c>
      <c r="C10" s="8">
        <f t="shared" si="1"/>
        <v>46120</v>
      </c>
      <c r="D10" s="7">
        <v>3326</v>
      </c>
      <c r="E10" s="7">
        <v>336</v>
      </c>
      <c r="F10" s="7">
        <v>4</v>
      </c>
      <c r="G10" s="7">
        <v>3</v>
      </c>
      <c r="H10" s="7">
        <v>81495</v>
      </c>
      <c r="I10" s="7" t="s">
        <v>53</v>
      </c>
      <c r="J10" s="7">
        <v>82641441</v>
      </c>
      <c r="K10" s="7" t="s">
        <v>23</v>
      </c>
      <c r="L10" s="7" t="s">
        <v>27</v>
      </c>
      <c r="M10" s="9">
        <v>179900</v>
      </c>
      <c r="N10" s="10">
        <v>0.85</v>
      </c>
      <c r="O10" s="9">
        <f t="shared" si="0"/>
        <v>26985.000000000004</v>
      </c>
      <c r="P10" s="7" t="s">
        <v>16</v>
      </c>
    </row>
    <row r="11" spans="1:16" x14ac:dyDescent="0.25">
      <c r="A11" s="7" t="s">
        <v>92</v>
      </c>
      <c r="B11" s="8">
        <f t="shared" si="1"/>
        <v>46114</v>
      </c>
      <c r="C11" s="8">
        <f t="shared" si="1"/>
        <v>46120</v>
      </c>
      <c r="D11" s="7">
        <v>3326</v>
      </c>
      <c r="E11" s="7">
        <v>336</v>
      </c>
      <c r="F11" s="7">
        <v>4</v>
      </c>
      <c r="G11" s="7">
        <v>3</v>
      </c>
      <c r="H11" s="7">
        <v>81495</v>
      </c>
      <c r="I11" s="7" t="s">
        <v>53</v>
      </c>
      <c r="J11" s="7">
        <v>82641450</v>
      </c>
      <c r="K11" s="7" t="s">
        <v>23</v>
      </c>
      <c r="L11" s="7" t="s">
        <v>28</v>
      </c>
      <c r="M11" s="9">
        <v>179900</v>
      </c>
      <c r="N11" s="10">
        <v>0.85</v>
      </c>
      <c r="O11" s="9">
        <f t="shared" si="0"/>
        <v>26985.000000000004</v>
      </c>
      <c r="P11" s="7" t="s">
        <v>16</v>
      </c>
    </row>
    <row r="12" spans="1:16" x14ac:dyDescent="0.25">
      <c r="A12" s="7" t="s">
        <v>92</v>
      </c>
      <c r="B12" s="8">
        <f t="shared" si="1"/>
        <v>46114</v>
      </c>
      <c r="C12" s="8">
        <f t="shared" si="1"/>
        <v>46120</v>
      </c>
      <c r="D12" s="7">
        <v>3326</v>
      </c>
      <c r="E12" s="7">
        <v>336</v>
      </c>
      <c r="F12" s="7">
        <v>4</v>
      </c>
      <c r="G12" s="7">
        <v>3</v>
      </c>
      <c r="H12" s="7">
        <v>81495</v>
      </c>
      <c r="I12" s="7" t="s">
        <v>53</v>
      </c>
      <c r="J12" s="7">
        <v>82641469</v>
      </c>
      <c r="K12" s="7" t="s">
        <v>29</v>
      </c>
      <c r="L12" s="7" t="s">
        <v>30</v>
      </c>
      <c r="M12" s="9">
        <v>189900</v>
      </c>
      <c r="N12" s="10">
        <v>0.85</v>
      </c>
      <c r="O12" s="9">
        <f t="shared" si="0"/>
        <v>28485.000000000004</v>
      </c>
      <c r="P12" s="7" t="s">
        <v>16</v>
      </c>
    </row>
    <row r="13" spans="1:16" x14ac:dyDescent="0.25">
      <c r="A13" s="7" t="s">
        <v>92</v>
      </c>
      <c r="B13" s="8">
        <f t="shared" si="1"/>
        <v>46114</v>
      </c>
      <c r="C13" s="8">
        <f t="shared" si="1"/>
        <v>46120</v>
      </c>
      <c r="D13" s="7">
        <v>3326</v>
      </c>
      <c r="E13" s="7">
        <v>336</v>
      </c>
      <c r="F13" s="7">
        <v>4</v>
      </c>
      <c r="G13" s="7">
        <v>3</v>
      </c>
      <c r="H13" s="7">
        <v>81495</v>
      </c>
      <c r="I13" s="7" t="s">
        <v>53</v>
      </c>
      <c r="J13" s="7">
        <v>82641478</v>
      </c>
      <c r="K13" s="7" t="s">
        <v>29</v>
      </c>
      <c r="L13" s="7" t="s">
        <v>31</v>
      </c>
      <c r="M13" s="9">
        <v>189900</v>
      </c>
      <c r="N13" s="10">
        <v>0.85</v>
      </c>
      <c r="O13" s="9">
        <f t="shared" si="0"/>
        <v>28485.000000000004</v>
      </c>
      <c r="P13" s="7" t="s">
        <v>16</v>
      </c>
    </row>
    <row r="14" spans="1:16" x14ac:dyDescent="0.25">
      <c r="A14" s="7" t="s">
        <v>92</v>
      </c>
      <c r="B14" s="8">
        <f t="shared" si="1"/>
        <v>46114</v>
      </c>
      <c r="C14" s="8">
        <f t="shared" si="1"/>
        <v>46120</v>
      </c>
      <c r="D14" s="7">
        <v>3326</v>
      </c>
      <c r="E14" s="7">
        <v>336</v>
      </c>
      <c r="F14" s="7">
        <v>4</v>
      </c>
      <c r="G14" s="7">
        <v>3</v>
      </c>
      <c r="H14" s="7">
        <v>81495</v>
      </c>
      <c r="I14" s="7" t="s">
        <v>53</v>
      </c>
      <c r="J14" s="7">
        <v>82641487</v>
      </c>
      <c r="K14" s="7" t="s">
        <v>29</v>
      </c>
      <c r="L14" s="7" t="s">
        <v>32</v>
      </c>
      <c r="M14" s="9">
        <v>189900</v>
      </c>
      <c r="N14" s="10">
        <v>0.85</v>
      </c>
      <c r="O14" s="9">
        <f t="shared" si="0"/>
        <v>28485.000000000004</v>
      </c>
      <c r="P14" s="7" t="s">
        <v>16</v>
      </c>
    </row>
    <row r="15" spans="1:16" x14ac:dyDescent="0.25">
      <c r="A15" s="7" t="s">
        <v>92</v>
      </c>
      <c r="B15" s="8">
        <f t="shared" si="1"/>
        <v>46114</v>
      </c>
      <c r="C15" s="8">
        <f t="shared" si="1"/>
        <v>46120</v>
      </c>
      <c r="D15" s="7">
        <v>3326</v>
      </c>
      <c r="E15" s="7">
        <v>336</v>
      </c>
      <c r="F15" s="7">
        <v>4</v>
      </c>
      <c r="G15" s="7">
        <v>3</v>
      </c>
      <c r="H15" s="7">
        <v>81495</v>
      </c>
      <c r="I15" s="7" t="s">
        <v>53</v>
      </c>
      <c r="J15" s="7">
        <v>82641496</v>
      </c>
      <c r="K15" s="7" t="s">
        <v>29</v>
      </c>
      <c r="L15" s="7" t="s">
        <v>33</v>
      </c>
      <c r="M15" s="9">
        <v>189900</v>
      </c>
      <c r="N15" s="10">
        <v>0.85</v>
      </c>
      <c r="O15" s="9">
        <f t="shared" si="0"/>
        <v>28485.000000000004</v>
      </c>
      <c r="P15" s="7" t="s">
        <v>16</v>
      </c>
    </row>
    <row r="16" spans="1:16" x14ac:dyDescent="0.25">
      <c r="A16" s="7" t="s">
        <v>92</v>
      </c>
      <c r="B16" s="8">
        <f t="shared" si="1"/>
        <v>46114</v>
      </c>
      <c r="C16" s="8">
        <f t="shared" si="1"/>
        <v>46120</v>
      </c>
      <c r="D16" s="7">
        <v>3326</v>
      </c>
      <c r="E16" s="7">
        <v>336</v>
      </c>
      <c r="F16" s="7">
        <v>4</v>
      </c>
      <c r="G16" s="7">
        <v>3</v>
      </c>
      <c r="H16" s="7">
        <v>81495</v>
      </c>
      <c r="I16" s="7" t="s">
        <v>53</v>
      </c>
      <c r="J16" s="7">
        <v>82641503</v>
      </c>
      <c r="K16" s="7" t="s">
        <v>29</v>
      </c>
      <c r="L16" s="7" t="s">
        <v>34</v>
      </c>
      <c r="M16" s="9">
        <v>189900</v>
      </c>
      <c r="N16" s="10">
        <v>0.85</v>
      </c>
      <c r="O16" s="9">
        <f t="shared" si="0"/>
        <v>28485.000000000004</v>
      </c>
      <c r="P16" s="7" t="s">
        <v>16</v>
      </c>
    </row>
    <row r="17" spans="1:16" x14ac:dyDescent="0.25">
      <c r="A17" s="7" t="s">
        <v>92</v>
      </c>
      <c r="B17" s="8">
        <f t="shared" si="1"/>
        <v>46114</v>
      </c>
      <c r="C17" s="8">
        <f t="shared" si="1"/>
        <v>46120</v>
      </c>
      <c r="D17" s="7">
        <v>3326</v>
      </c>
      <c r="E17" s="7">
        <v>336</v>
      </c>
      <c r="F17" s="7">
        <v>4</v>
      </c>
      <c r="G17" s="7">
        <v>3</v>
      </c>
      <c r="H17" s="7">
        <v>81495</v>
      </c>
      <c r="I17" s="7" t="s">
        <v>53</v>
      </c>
      <c r="J17" s="7">
        <v>82675914</v>
      </c>
      <c r="K17" s="7" t="s">
        <v>35</v>
      </c>
      <c r="L17" s="7" t="s">
        <v>36</v>
      </c>
      <c r="M17" s="9">
        <v>159900</v>
      </c>
      <c r="N17" s="10">
        <v>0.85</v>
      </c>
      <c r="O17" s="9">
        <f t="shared" si="0"/>
        <v>23985.000000000004</v>
      </c>
      <c r="P17" s="7" t="s">
        <v>16</v>
      </c>
    </row>
    <row r="18" spans="1:16" x14ac:dyDescent="0.25">
      <c r="A18" s="7" t="s">
        <v>92</v>
      </c>
      <c r="B18" s="8">
        <f t="shared" si="1"/>
        <v>46114</v>
      </c>
      <c r="C18" s="8">
        <f t="shared" si="1"/>
        <v>46120</v>
      </c>
      <c r="D18" s="7">
        <v>3326</v>
      </c>
      <c r="E18" s="7">
        <v>336</v>
      </c>
      <c r="F18" s="7">
        <v>4</v>
      </c>
      <c r="G18" s="7">
        <v>3</v>
      </c>
      <c r="H18" s="7">
        <v>81495</v>
      </c>
      <c r="I18" s="7" t="s">
        <v>53</v>
      </c>
      <c r="J18" s="7">
        <v>82675923</v>
      </c>
      <c r="K18" s="7" t="s">
        <v>35</v>
      </c>
      <c r="L18" s="7" t="s">
        <v>37</v>
      </c>
      <c r="M18" s="9">
        <v>159900</v>
      </c>
      <c r="N18" s="10">
        <v>0.85</v>
      </c>
      <c r="O18" s="9">
        <f t="shared" si="0"/>
        <v>23985.000000000004</v>
      </c>
      <c r="P18" s="7" t="s">
        <v>16</v>
      </c>
    </row>
    <row r="19" spans="1:16" x14ac:dyDescent="0.25">
      <c r="A19" s="7" t="s">
        <v>92</v>
      </c>
      <c r="B19" s="8">
        <f t="shared" si="1"/>
        <v>46114</v>
      </c>
      <c r="C19" s="8">
        <f t="shared" si="1"/>
        <v>46120</v>
      </c>
      <c r="D19" s="7">
        <v>3326</v>
      </c>
      <c r="E19" s="7">
        <v>336</v>
      </c>
      <c r="F19" s="7">
        <v>4</v>
      </c>
      <c r="G19" s="7">
        <v>3</v>
      </c>
      <c r="H19" s="7">
        <v>81495</v>
      </c>
      <c r="I19" s="7" t="s">
        <v>53</v>
      </c>
      <c r="J19" s="7">
        <v>82675932</v>
      </c>
      <c r="K19" s="7" t="s">
        <v>35</v>
      </c>
      <c r="L19" s="7" t="s">
        <v>38</v>
      </c>
      <c r="M19" s="9">
        <v>159900</v>
      </c>
      <c r="N19" s="10">
        <v>0.85</v>
      </c>
      <c r="O19" s="9">
        <f t="shared" si="0"/>
        <v>23985.000000000004</v>
      </c>
      <c r="P19" s="7" t="s">
        <v>16</v>
      </c>
    </row>
    <row r="20" spans="1:16" x14ac:dyDescent="0.25">
      <c r="A20" s="7" t="s">
        <v>92</v>
      </c>
      <c r="B20" s="8">
        <f t="shared" si="1"/>
        <v>46114</v>
      </c>
      <c r="C20" s="8">
        <f t="shared" si="1"/>
        <v>46120</v>
      </c>
      <c r="D20" s="7">
        <v>3326</v>
      </c>
      <c r="E20" s="7">
        <v>336</v>
      </c>
      <c r="F20" s="7">
        <v>4</v>
      </c>
      <c r="G20" s="7">
        <v>3</v>
      </c>
      <c r="H20" s="7">
        <v>81495</v>
      </c>
      <c r="I20" s="7" t="s">
        <v>53</v>
      </c>
      <c r="J20" s="7">
        <v>82675941</v>
      </c>
      <c r="K20" s="7" t="s">
        <v>35</v>
      </c>
      <c r="L20" s="7" t="s">
        <v>39</v>
      </c>
      <c r="M20" s="9">
        <v>159900</v>
      </c>
      <c r="N20" s="10">
        <v>0.85</v>
      </c>
      <c r="O20" s="9">
        <f t="shared" si="0"/>
        <v>23985.000000000004</v>
      </c>
      <c r="P20" s="7" t="s">
        <v>16</v>
      </c>
    </row>
    <row r="21" spans="1:16" x14ac:dyDescent="0.25">
      <c r="A21" s="7" t="s">
        <v>92</v>
      </c>
      <c r="B21" s="8">
        <f t="shared" si="1"/>
        <v>46114</v>
      </c>
      <c r="C21" s="8">
        <f t="shared" si="1"/>
        <v>46120</v>
      </c>
      <c r="D21" s="7">
        <v>3326</v>
      </c>
      <c r="E21" s="7">
        <v>336</v>
      </c>
      <c r="F21" s="7">
        <v>4</v>
      </c>
      <c r="G21" s="7">
        <v>3</v>
      </c>
      <c r="H21" s="7">
        <v>81495</v>
      </c>
      <c r="I21" s="7" t="s">
        <v>53</v>
      </c>
      <c r="J21" s="7">
        <v>82675950</v>
      </c>
      <c r="K21" s="7" t="s">
        <v>35</v>
      </c>
      <c r="L21" s="7" t="s">
        <v>40</v>
      </c>
      <c r="M21" s="9">
        <v>159900</v>
      </c>
      <c r="N21" s="10">
        <v>0.85</v>
      </c>
      <c r="O21" s="9">
        <f t="shared" si="0"/>
        <v>23985.000000000004</v>
      </c>
      <c r="P21" s="7" t="s">
        <v>16</v>
      </c>
    </row>
    <row r="22" spans="1:16" x14ac:dyDescent="0.25">
      <c r="A22" s="7" t="s">
        <v>92</v>
      </c>
      <c r="B22" s="8">
        <f t="shared" si="1"/>
        <v>46114</v>
      </c>
      <c r="C22" s="8">
        <f t="shared" si="1"/>
        <v>46120</v>
      </c>
      <c r="D22" s="7">
        <v>3326</v>
      </c>
      <c r="E22" s="7">
        <v>336</v>
      </c>
      <c r="F22" s="7">
        <v>4</v>
      </c>
      <c r="G22" s="7">
        <v>4</v>
      </c>
      <c r="H22" s="7">
        <v>81495</v>
      </c>
      <c r="I22" s="7" t="s">
        <v>53</v>
      </c>
      <c r="J22" s="7">
        <v>82641361</v>
      </c>
      <c r="K22" s="7" t="s">
        <v>41</v>
      </c>
      <c r="L22" s="7" t="s">
        <v>42</v>
      </c>
      <c r="M22" s="9">
        <v>179900</v>
      </c>
      <c r="N22" s="10">
        <v>0.85</v>
      </c>
      <c r="O22" s="9">
        <f t="shared" si="0"/>
        <v>26985.000000000004</v>
      </c>
      <c r="P22" s="7" t="s">
        <v>16</v>
      </c>
    </row>
    <row r="23" spans="1:16" x14ac:dyDescent="0.25">
      <c r="A23" s="7" t="s">
        <v>92</v>
      </c>
      <c r="B23" s="8">
        <f t="shared" si="1"/>
        <v>46114</v>
      </c>
      <c r="C23" s="8">
        <f t="shared" si="1"/>
        <v>46120</v>
      </c>
      <c r="D23" s="7">
        <v>3326</v>
      </c>
      <c r="E23" s="7">
        <v>336</v>
      </c>
      <c r="F23" s="7">
        <v>4</v>
      </c>
      <c r="G23" s="7">
        <v>4</v>
      </c>
      <c r="H23" s="7">
        <v>81495</v>
      </c>
      <c r="I23" s="7" t="s">
        <v>53</v>
      </c>
      <c r="J23" s="7">
        <v>82676002</v>
      </c>
      <c r="K23" s="7" t="s">
        <v>41</v>
      </c>
      <c r="L23" s="7" t="s">
        <v>43</v>
      </c>
      <c r="M23" s="9">
        <v>179900</v>
      </c>
      <c r="N23" s="10">
        <v>0.85</v>
      </c>
      <c r="O23" s="9">
        <f t="shared" si="0"/>
        <v>26985.000000000004</v>
      </c>
      <c r="P23" s="7" t="s">
        <v>16</v>
      </c>
    </row>
    <row r="24" spans="1:16" x14ac:dyDescent="0.25">
      <c r="A24" s="7" t="s">
        <v>92</v>
      </c>
      <c r="B24" s="8">
        <f t="shared" si="1"/>
        <v>46114</v>
      </c>
      <c r="C24" s="8">
        <f t="shared" si="1"/>
        <v>46120</v>
      </c>
      <c r="D24" s="7">
        <v>3326</v>
      </c>
      <c r="E24" s="7">
        <v>336</v>
      </c>
      <c r="F24" s="7">
        <v>4</v>
      </c>
      <c r="G24" s="7">
        <v>4</v>
      </c>
      <c r="H24" s="7">
        <v>81495</v>
      </c>
      <c r="I24" s="7" t="s">
        <v>53</v>
      </c>
      <c r="J24" s="7">
        <v>82676011</v>
      </c>
      <c r="K24" s="7" t="s">
        <v>41</v>
      </c>
      <c r="L24" s="7" t="s">
        <v>44</v>
      </c>
      <c r="M24" s="9">
        <v>179900</v>
      </c>
      <c r="N24" s="10">
        <v>0.85</v>
      </c>
      <c r="O24" s="9">
        <f t="shared" si="0"/>
        <v>26985.000000000004</v>
      </c>
      <c r="P24" s="7" t="s">
        <v>16</v>
      </c>
    </row>
    <row r="25" spans="1:16" x14ac:dyDescent="0.25">
      <c r="A25" s="7" t="s">
        <v>92</v>
      </c>
      <c r="B25" s="8">
        <f t="shared" si="1"/>
        <v>46114</v>
      </c>
      <c r="C25" s="8">
        <f t="shared" si="1"/>
        <v>46120</v>
      </c>
      <c r="D25" s="7">
        <v>3326</v>
      </c>
      <c r="E25" s="7">
        <v>336</v>
      </c>
      <c r="F25" s="7">
        <v>4</v>
      </c>
      <c r="G25" s="7">
        <v>4</v>
      </c>
      <c r="H25" s="7">
        <v>81495</v>
      </c>
      <c r="I25" s="7" t="s">
        <v>53</v>
      </c>
      <c r="J25" s="7">
        <v>82676020</v>
      </c>
      <c r="K25" s="7" t="s">
        <v>41</v>
      </c>
      <c r="L25" s="7" t="s">
        <v>45</v>
      </c>
      <c r="M25" s="9">
        <v>179900</v>
      </c>
      <c r="N25" s="10">
        <v>0.85</v>
      </c>
      <c r="O25" s="9">
        <f t="shared" si="0"/>
        <v>26985.000000000004</v>
      </c>
      <c r="P25" s="7" t="s">
        <v>16</v>
      </c>
    </row>
    <row r="26" spans="1:16" x14ac:dyDescent="0.25">
      <c r="A26" s="7" t="s">
        <v>92</v>
      </c>
      <c r="B26" s="8">
        <f t="shared" si="1"/>
        <v>46114</v>
      </c>
      <c r="C26" s="8">
        <f t="shared" si="1"/>
        <v>46120</v>
      </c>
      <c r="D26" s="7">
        <v>3326</v>
      </c>
      <c r="E26" s="7">
        <v>336</v>
      </c>
      <c r="F26" s="7">
        <v>4</v>
      </c>
      <c r="G26" s="7">
        <v>4</v>
      </c>
      <c r="H26" s="7">
        <v>81495</v>
      </c>
      <c r="I26" s="7" t="s">
        <v>53</v>
      </c>
      <c r="J26" s="7">
        <v>82676039</v>
      </c>
      <c r="K26" s="7" t="s">
        <v>41</v>
      </c>
      <c r="L26" s="7" t="s">
        <v>46</v>
      </c>
      <c r="M26" s="9">
        <v>179900</v>
      </c>
      <c r="N26" s="10">
        <v>0.85</v>
      </c>
      <c r="O26" s="9">
        <f t="shared" si="0"/>
        <v>26985.000000000004</v>
      </c>
      <c r="P26" s="7" t="s">
        <v>16</v>
      </c>
    </row>
    <row r="27" spans="1:16" x14ac:dyDescent="0.25">
      <c r="A27" s="7" t="s">
        <v>92</v>
      </c>
      <c r="B27" s="8">
        <f t="shared" si="1"/>
        <v>46114</v>
      </c>
      <c r="C27" s="8">
        <f t="shared" si="1"/>
        <v>46120</v>
      </c>
      <c r="D27" s="7">
        <v>3326</v>
      </c>
      <c r="E27" s="7">
        <v>336</v>
      </c>
      <c r="F27" s="7">
        <v>4</v>
      </c>
      <c r="G27" s="7">
        <v>4</v>
      </c>
      <c r="H27" s="7">
        <v>81495</v>
      </c>
      <c r="I27" s="7" t="s">
        <v>53</v>
      </c>
      <c r="J27" s="7">
        <v>82641512</v>
      </c>
      <c r="K27" s="7" t="s">
        <v>47</v>
      </c>
      <c r="L27" s="7" t="s">
        <v>48</v>
      </c>
      <c r="M27" s="9">
        <v>199900</v>
      </c>
      <c r="N27" s="10">
        <v>0.85</v>
      </c>
      <c r="O27" s="9">
        <f t="shared" si="0"/>
        <v>29985.000000000004</v>
      </c>
      <c r="P27" s="7" t="s">
        <v>16</v>
      </c>
    </row>
    <row r="28" spans="1:16" x14ac:dyDescent="0.25">
      <c r="A28" s="7" t="s">
        <v>92</v>
      </c>
      <c r="B28" s="8">
        <f t="shared" si="1"/>
        <v>46114</v>
      </c>
      <c r="C28" s="8">
        <f t="shared" si="1"/>
        <v>46120</v>
      </c>
      <c r="D28" s="7">
        <v>3326</v>
      </c>
      <c r="E28" s="7">
        <v>336</v>
      </c>
      <c r="F28" s="7">
        <v>4</v>
      </c>
      <c r="G28" s="7">
        <v>4</v>
      </c>
      <c r="H28" s="7">
        <v>81495</v>
      </c>
      <c r="I28" s="7" t="s">
        <v>53</v>
      </c>
      <c r="J28" s="7">
        <v>82641521</v>
      </c>
      <c r="K28" s="7" t="s">
        <v>47</v>
      </c>
      <c r="L28" s="7" t="s">
        <v>49</v>
      </c>
      <c r="M28" s="9">
        <v>199900</v>
      </c>
      <c r="N28" s="10">
        <v>0.85</v>
      </c>
      <c r="O28" s="9">
        <f t="shared" si="0"/>
        <v>29985.000000000004</v>
      </c>
      <c r="P28" s="7" t="s">
        <v>16</v>
      </c>
    </row>
    <row r="29" spans="1:16" x14ac:dyDescent="0.25">
      <c r="A29" s="7" t="s">
        <v>92</v>
      </c>
      <c r="B29" s="8">
        <f t="shared" si="1"/>
        <v>46114</v>
      </c>
      <c r="C29" s="8">
        <f t="shared" si="1"/>
        <v>46120</v>
      </c>
      <c r="D29" s="7">
        <v>3326</v>
      </c>
      <c r="E29" s="7">
        <v>336</v>
      </c>
      <c r="F29" s="7">
        <v>4</v>
      </c>
      <c r="G29" s="7">
        <v>4</v>
      </c>
      <c r="H29" s="7">
        <v>81495</v>
      </c>
      <c r="I29" s="7" t="s">
        <v>53</v>
      </c>
      <c r="J29" s="7">
        <v>82641530</v>
      </c>
      <c r="K29" s="7" t="s">
        <v>47</v>
      </c>
      <c r="L29" s="7" t="s">
        <v>50</v>
      </c>
      <c r="M29" s="9">
        <v>199900</v>
      </c>
      <c r="N29" s="10">
        <v>0.85</v>
      </c>
      <c r="O29" s="9">
        <f t="shared" si="0"/>
        <v>29985.000000000004</v>
      </c>
      <c r="P29" s="7" t="s">
        <v>16</v>
      </c>
    </row>
    <row r="30" spans="1:16" x14ac:dyDescent="0.25">
      <c r="A30" s="7" t="s">
        <v>92</v>
      </c>
      <c r="B30" s="8">
        <f t="shared" si="1"/>
        <v>46114</v>
      </c>
      <c r="C30" s="8">
        <f t="shared" si="1"/>
        <v>46120</v>
      </c>
      <c r="D30" s="7">
        <v>3326</v>
      </c>
      <c r="E30" s="7">
        <v>336</v>
      </c>
      <c r="F30" s="7">
        <v>4</v>
      </c>
      <c r="G30" s="7">
        <v>4</v>
      </c>
      <c r="H30" s="7">
        <v>81495</v>
      </c>
      <c r="I30" s="7" t="s">
        <v>53</v>
      </c>
      <c r="J30" s="7">
        <v>82641549</v>
      </c>
      <c r="K30" s="7" t="s">
        <v>47</v>
      </c>
      <c r="L30" s="7" t="s">
        <v>51</v>
      </c>
      <c r="M30" s="9">
        <v>199900</v>
      </c>
      <c r="N30" s="10">
        <v>0.85</v>
      </c>
      <c r="O30" s="9">
        <f t="shared" si="0"/>
        <v>29985.000000000004</v>
      </c>
      <c r="P30" s="7" t="s">
        <v>16</v>
      </c>
    </row>
    <row r="31" spans="1:16" x14ac:dyDescent="0.25">
      <c r="A31" s="7" t="s">
        <v>92</v>
      </c>
      <c r="B31" s="8">
        <f t="shared" si="1"/>
        <v>46114</v>
      </c>
      <c r="C31" s="8">
        <f t="shared" si="1"/>
        <v>46120</v>
      </c>
      <c r="D31" s="7">
        <v>3326</v>
      </c>
      <c r="E31" s="7">
        <v>336</v>
      </c>
      <c r="F31" s="7">
        <v>4</v>
      </c>
      <c r="G31" s="7">
        <v>4</v>
      </c>
      <c r="H31" s="7">
        <v>81495</v>
      </c>
      <c r="I31" s="7" t="s">
        <v>53</v>
      </c>
      <c r="J31" s="7">
        <v>82641558</v>
      </c>
      <c r="K31" s="7" t="s">
        <v>47</v>
      </c>
      <c r="L31" s="7" t="s">
        <v>52</v>
      </c>
      <c r="M31" s="9">
        <v>199900</v>
      </c>
      <c r="N31" s="10">
        <v>0.85</v>
      </c>
      <c r="O31" s="9">
        <f t="shared" si="0"/>
        <v>29985.000000000004</v>
      </c>
      <c r="P31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zoomScale="112" zoomScaleNormal="112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1.42578125" style="6" bestFit="1" customWidth="1"/>
    <col min="2" max="2" width="16.140625" style="11" bestFit="1" customWidth="1"/>
    <col min="3" max="3" width="19.425781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2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93</v>
      </c>
      <c r="B2" s="8">
        <f>'SERAGAM D85'!B2</f>
        <v>46114</v>
      </c>
      <c r="C2" s="8">
        <f>'SERAGAM D85'!C2</f>
        <v>46120</v>
      </c>
      <c r="D2" s="7">
        <v>3326</v>
      </c>
      <c r="E2" s="7">
        <v>336</v>
      </c>
      <c r="F2" s="7">
        <v>4</v>
      </c>
      <c r="G2" s="7">
        <v>1</v>
      </c>
      <c r="H2" s="7">
        <v>81759</v>
      </c>
      <c r="I2" s="7" t="s">
        <v>91</v>
      </c>
      <c r="J2" s="7">
        <v>83445250</v>
      </c>
      <c r="K2" s="7" t="s">
        <v>54</v>
      </c>
      <c r="L2" s="7" t="s">
        <v>55</v>
      </c>
      <c r="M2" s="9">
        <v>450000</v>
      </c>
      <c r="N2" s="10">
        <v>0.8</v>
      </c>
      <c r="O2" s="9">
        <f>M2*(1-N2)</f>
        <v>89999.999999999985</v>
      </c>
      <c r="P2" s="7" t="s">
        <v>16</v>
      </c>
    </row>
    <row r="3" spans="1:16" x14ac:dyDescent="0.25">
      <c r="A3" s="7" t="str">
        <f>A2</f>
        <v>ADIDAS D80</v>
      </c>
      <c r="B3" s="8">
        <f>B2</f>
        <v>46114</v>
      </c>
      <c r="C3" s="8">
        <f>C2</f>
        <v>46120</v>
      </c>
      <c r="D3" s="7">
        <v>3326</v>
      </c>
      <c r="E3" s="7">
        <v>336</v>
      </c>
      <c r="F3" s="7">
        <v>4</v>
      </c>
      <c r="G3" s="7">
        <v>1</v>
      </c>
      <c r="H3" s="7">
        <v>81759</v>
      </c>
      <c r="I3" s="7" t="s">
        <v>91</v>
      </c>
      <c r="J3" s="7">
        <v>83445269</v>
      </c>
      <c r="K3" s="7" t="s">
        <v>54</v>
      </c>
      <c r="L3" s="7" t="s">
        <v>56</v>
      </c>
      <c r="M3" s="9">
        <v>450000</v>
      </c>
      <c r="N3" s="10">
        <f>N2</f>
        <v>0.8</v>
      </c>
      <c r="O3" s="9">
        <f t="shared" ref="O3:O31" si="0">M3*(1-N3)</f>
        <v>89999.999999999985</v>
      </c>
      <c r="P3" s="7" t="s">
        <v>16</v>
      </c>
    </row>
    <row r="4" spans="1:16" x14ac:dyDescent="0.25">
      <c r="A4" s="7" t="s">
        <v>93</v>
      </c>
      <c r="B4" s="8">
        <f t="shared" ref="B4:B31" si="1">B3</f>
        <v>46114</v>
      </c>
      <c r="C4" s="8">
        <f t="shared" ref="C4:C31" si="2">C3</f>
        <v>46120</v>
      </c>
      <c r="D4" s="7">
        <v>3326</v>
      </c>
      <c r="E4" s="7">
        <v>336</v>
      </c>
      <c r="F4" s="7">
        <v>4</v>
      </c>
      <c r="G4" s="7">
        <v>1</v>
      </c>
      <c r="H4" s="7">
        <v>81759</v>
      </c>
      <c r="I4" s="7" t="s">
        <v>91</v>
      </c>
      <c r="J4" s="7">
        <v>83445278</v>
      </c>
      <c r="K4" s="7" t="s">
        <v>54</v>
      </c>
      <c r="L4" s="7" t="s">
        <v>57</v>
      </c>
      <c r="M4" s="9">
        <v>450000</v>
      </c>
      <c r="N4" s="10">
        <f t="shared" ref="N4:N31" si="3">N3</f>
        <v>0.8</v>
      </c>
      <c r="O4" s="9">
        <f t="shared" si="0"/>
        <v>89999.999999999985</v>
      </c>
      <c r="P4" s="7" t="s">
        <v>16</v>
      </c>
    </row>
    <row r="5" spans="1:16" x14ac:dyDescent="0.25">
      <c r="A5" s="7" t="s">
        <v>93</v>
      </c>
      <c r="B5" s="8">
        <f t="shared" si="1"/>
        <v>46114</v>
      </c>
      <c r="C5" s="8">
        <f t="shared" si="2"/>
        <v>46120</v>
      </c>
      <c r="D5" s="7">
        <v>3326</v>
      </c>
      <c r="E5" s="7">
        <v>336</v>
      </c>
      <c r="F5" s="7">
        <v>4</v>
      </c>
      <c r="G5" s="7">
        <v>1</v>
      </c>
      <c r="H5" s="7">
        <v>81759</v>
      </c>
      <c r="I5" s="7" t="s">
        <v>91</v>
      </c>
      <c r="J5" s="7">
        <v>83445287</v>
      </c>
      <c r="K5" s="7" t="s">
        <v>54</v>
      </c>
      <c r="L5" s="7" t="s">
        <v>58</v>
      </c>
      <c r="M5" s="9">
        <v>450000</v>
      </c>
      <c r="N5" s="10">
        <f t="shared" si="3"/>
        <v>0.8</v>
      </c>
      <c r="O5" s="9">
        <f t="shared" si="0"/>
        <v>89999.999999999985</v>
      </c>
      <c r="P5" s="7" t="s">
        <v>16</v>
      </c>
    </row>
    <row r="6" spans="1:16" x14ac:dyDescent="0.25">
      <c r="A6" s="7" t="s">
        <v>93</v>
      </c>
      <c r="B6" s="8">
        <f t="shared" si="1"/>
        <v>46114</v>
      </c>
      <c r="C6" s="8">
        <f t="shared" si="2"/>
        <v>46120</v>
      </c>
      <c r="D6" s="7">
        <v>3326</v>
      </c>
      <c r="E6" s="7">
        <v>336</v>
      </c>
      <c r="F6" s="7">
        <v>4</v>
      </c>
      <c r="G6" s="7">
        <v>1</v>
      </c>
      <c r="H6" s="7">
        <v>81759</v>
      </c>
      <c r="I6" s="7" t="s">
        <v>91</v>
      </c>
      <c r="J6" s="7">
        <v>83445296</v>
      </c>
      <c r="K6" s="7" t="s">
        <v>54</v>
      </c>
      <c r="L6" s="7" t="s">
        <v>59</v>
      </c>
      <c r="M6" s="9">
        <v>450000</v>
      </c>
      <c r="N6" s="10">
        <f t="shared" si="3"/>
        <v>0.8</v>
      </c>
      <c r="O6" s="9">
        <f t="shared" si="0"/>
        <v>89999.999999999985</v>
      </c>
      <c r="P6" s="7" t="s">
        <v>16</v>
      </c>
    </row>
    <row r="7" spans="1:16" x14ac:dyDescent="0.25">
      <c r="A7" s="7" t="s">
        <v>93</v>
      </c>
      <c r="B7" s="8">
        <f t="shared" si="1"/>
        <v>46114</v>
      </c>
      <c r="C7" s="8">
        <f t="shared" si="2"/>
        <v>46120</v>
      </c>
      <c r="D7" s="7">
        <v>3326</v>
      </c>
      <c r="E7" s="7">
        <v>336</v>
      </c>
      <c r="F7" s="7">
        <v>4</v>
      </c>
      <c r="G7" s="7">
        <v>1</v>
      </c>
      <c r="H7" s="7">
        <v>81759</v>
      </c>
      <c r="I7" s="7" t="s">
        <v>91</v>
      </c>
      <c r="J7" s="7">
        <v>83445027</v>
      </c>
      <c r="K7" s="7" t="s">
        <v>60</v>
      </c>
      <c r="L7" s="7" t="s">
        <v>61</v>
      </c>
      <c r="M7" s="9">
        <v>350000</v>
      </c>
      <c r="N7" s="10">
        <f t="shared" si="3"/>
        <v>0.8</v>
      </c>
      <c r="O7" s="9">
        <f t="shared" si="0"/>
        <v>69999.999999999985</v>
      </c>
      <c r="P7" s="7" t="s">
        <v>16</v>
      </c>
    </row>
    <row r="8" spans="1:16" x14ac:dyDescent="0.25">
      <c r="A8" s="7" t="s">
        <v>93</v>
      </c>
      <c r="B8" s="8">
        <f t="shared" si="1"/>
        <v>46114</v>
      </c>
      <c r="C8" s="8">
        <f t="shared" si="2"/>
        <v>46120</v>
      </c>
      <c r="D8" s="7">
        <v>3326</v>
      </c>
      <c r="E8" s="7">
        <v>336</v>
      </c>
      <c r="F8" s="7">
        <v>4</v>
      </c>
      <c r="G8" s="7">
        <v>1</v>
      </c>
      <c r="H8" s="7">
        <v>81759</v>
      </c>
      <c r="I8" s="7" t="s">
        <v>91</v>
      </c>
      <c r="J8" s="7">
        <v>83445036</v>
      </c>
      <c r="K8" s="7" t="s">
        <v>60</v>
      </c>
      <c r="L8" s="7" t="s">
        <v>62</v>
      </c>
      <c r="M8" s="9">
        <v>350000</v>
      </c>
      <c r="N8" s="10">
        <f t="shared" si="3"/>
        <v>0.8</v>
      </c>
      <c r="O8" s="9">
        <f t="shared" si="0"/>
        <v>69999.999999999985</v>
      </c>
      <c r="P8" s="7" t="s">
        <v>16</v>
      </c>
    </row>
    <row r="9" spans="1:16" x14ac:dyDescent="0.25">
      <c r="A9" s="7" t="s">
        <v>93</v>
      </c>
      <c r="B9" s="8">
        <f t="shared" si="1"/>
        <v>46114</v>
      </c>
      <c r="C9" s="8">
        <f t="shared" si="2"/>
        <v>46120</v>
      </c>
      <c r="D9" s="7">
        <v>3326</v>
      </c>
      <c r="E9" s="7">
        <v>336</v>
      </c>
      <c r="F9" s="7">
        <v>4</v>
      </c>
      <c r="G9" s="7">
        <v>1</v>
      </c>
      <c r="H9" s="7">
        <v>81759</v>
      </c>
      <c r="I9" s="7" t="s">
        <v>91</v>
      </c>
      <c r="J9" s="7">
        <v>83445054</v>
      </c>
      <c r="K9" s="7" t="s">
        <v>60</v>
      </c>
      <c r="L9" s="7" t="s">
        <v>63</v>
      </c>
      <c r="M9" s="9">
        <v>350000</v>
      </c>
      <c r="N9" s="10">
        <f t="shared" si="3"/>
        <v>0.8</v>
      </c>
      <c r="O9" s="9">
        <f t="shared" si="0"/>
        <v>69999.999999999985</v>
      </c>
      <c r="P9" s="7" t="s">
        <v>16</v>
      </c>
    </row>
    <row r="10" spans="1:16" x14ac:dyDescent="0.25">
      <c r="A10" s="7" t="s">
        <v>93</v>
      </c>
      <c r="B10" s="8">
        <f t="shared" si="1"/>
        <v>46114</v>
      </c>
      <c r="C10" s="8">
        <f t="shared" si="2"/>
        <v>46120</v>
      </c>
      <c r="D10" s="7">
        <v>3326</v>
      </c>
      <c r="E10" s="7">
        <v>336</v>
      </c>
      <c r="F10" s="7">
        <v>4</v>
      </c>
      <c r="G10" s="7">
        <v>1</v>
      </c>
      <c r="H10" s="7">
        <v>81759</v>
      </c>
      <c r="I10" s="7" t="s">
        <v>91</v>
      </c>
      <c r="J10" s="7">
        <v>83445063</v>
      </c>
      <c r="K10" s="7" t="s">
        <v>60</v>
      </c>
      <c r="L10" s="7" t="s">
        <v>64</v>
      </c>
      <c r="M10" s="9">
        <v>350000</v>
      </c>
      <c r="N10" s="10">
        <f t="shared" si="3"/>
        <v>0.8</v>
      </c>
      <c r="O10" s="9">
        <f t="shared" si="0"/>
        <v>69999.999999999985</v>
      </c>
      <c r="P10" s="7" t="s">
        <v>16</v>
      </c>
    </row>
    <row r="11" spans="1:16" x14ac:dyDescent="0.25">
      <c r="A11" s="7" t="s">
        <v>93</v>
      </c>
      <c r="B11" s="8">
        <f t="shared" si="1"/>
        <v>46114</v>
      </c>
      <c r="C11" s="8">
        <f t="shared" si="2"/>
        <v>46120</v>
      </c>
      <c r="D11" s="7">
        <v>3326</v>
      </c>
      <c r="E11" s="7">
        <v>336</v>
      </c>
      <c r="F11" s="7">
        <v>4</v>
      </c>
      <c r="G11" s="7">
        <v>1</v>
      </c>
      <c r="H11" s="7">
        <v>81759</v>
      </c>
      <c r="I11" s="7" t="s">
        <v>91</v>
      </c>
      <c r="J11" s="7">
        <v>83445072</v>
      </c>
      <c r="K11" s="7" t="s">
        <v>65</v>
      </c>
      <c r="L11" s="7" t="s">
        <v>66</v>
      </c>
      <c r="M11" s="9">
        <v>350000</v>
      </c>
      <c r="N11" s="10">
        <f t="shared" si="3"/>
        <v>0.8</v>
      </c>
      <c r="O11" s="9">
        <f t="shared" si="0"/>
        <v>69999.999999999985</v>
      </c>
      <c r="P11" s="7" t="s">
        <v>16</v>
      </c>
    </row>
    <row r="12" spans="1:16" x14ac:dyDescent="0.25">
      <c r="A12" s="7" t="s">
        <v>93</v>
      </c>
      <c r="B12" s="8">
        <f t="shared" si="1"/>
        <v>46114</v>
      </c>
      <c r="C12" s="8">
        <f t="shared" si="2"/>
        <v>46120</v>
      </c>
      <c r="D12" s="7">
        <v>3326</v>
      </c>
      <c r="E12" s="7">
        <v>336</v>
      </c>
      <c r="F12" s="7">
        <v>4</v>
      </c>
      <c r="G12" s="7">
        <v>1</v>
      </c>
      <c r="H12" s="7">
        <v>81759</v>
      </c>
      <c r="I12" s="7" t="s">
        <v>91</v>
      </c>
      <c r="J12" s="7">
        <v>83445081</v>
      </c>
      <c r="K12" s="7" t="s">
        <v>65</v>
      </c>
      <c r="L12" s="7" t="s">
        <v>67</v>
      </c>
      <c r="M12" s="9">
        <v>350000</v>
      </c>
      <c r="N12" s="10">
        <f t="shared" si="3"/>
        <v>0.8</v>
      </c>
      <c r="O12" s="9">
        <f t="shared" si="0"/>
        <v>69999.999999999985</v>
      </c>
      <c r="P12" s="7" t="s">
        <v>16</v>
      </c>
    </row>
    <row r="13" spans="1:16" x14ac:dyDescent="0.25">
      <c r="A13" s="7" t="s">
        <v>93</v>
      </c>
      <c r="B13" s="8">
        <f t="shared" si="1"/>
        <v>46114</v>
      </c>
      <c r="C13" s="8">
        <f t="shared" si="2"/>
        <v>46120</v>
      </c>
      <c r="D13" s="7">
        <v>3326</v>
      </c>
      <c r="E13" s="7">
        <v>336</v>
      </c>
      <c r="F13" s="7">
        <v>4</v>
      </c>
      <c r="G13" s="7">
        <v>1</v>
      </c>
      <c r="H13" s="7">
        <v>81759</v>
      </c>
      <c r="I13" s="7" t="s">
        <v>91</v>
      </c>
      <c r="J13" s="7">
        <v>83445090</v>
      </c>
      <c r="K13" s="7" t="s">
        <v>65</v>
      </c>
      <c r="L13" s="7" t="s">
        <v>68</v>
      </c>
      <c r="M13" s="9">
        <v>350000</v>
      </c>
      <c r="N13" s="10">
        <f t="shared" si="3"/>
        <v>0.8</v>
      </c>
      <c r="O13" s="9">
        <f t="shared" si="0"/>
        <v>69999.999999999985</v>
      </c>
      <c r="P13" s="7" t="s">
        <v>16</v>
      </c>
    </row>
    <row r="14" spans="1:16" x14ac:dyDescent="0.25">
      <c r="A14" s="7" t="s">
        <v>93</v>
      </c>
      <c r="B14" s="8">
        <f t="shared" si="1"/>
        <v>46114</v>
      </c>
      <c r="C14" s="8">
        <f t="shared" si="2"/>
        <v>46120</v>
      </c>
      <c r="D14" s="7">
        <v>3326</v>
      </c>
      <c r="E14" s="7">
        <v>336</v>
      </c>
      <c r="F14" s="7">
        <v>4</v>
      </c>
      <c r="G14" s="7">
        <v>1</v>
      </c>
      <c r="H14" s="7">
        <v>81759</v>
      </c>
      <c r="I14" s="7" t="s">
        <v>91</v>
      </c>
      <c r="J14" s="7">
        <v>83445107</v>
      </c>
      <c r="K14" s="7" t="s">
        <v>65</v>
      </c>
      <c r="L14" s="7" t="s">
        <v>69</v>
      </c>
      <c r="M14" s="9">
        <v>350000</v>
      </c>
      <c r="N14" s="10">
        <f t="shared" si="3"/>
        <v>0.8</v>
      </c>
      <c r="O14" s="9">
        <f t="shared" si="0"/>
        <v>69999.999999999985</v>
      </c>
      <c r="P14" s="7" t="s">
        <v>16</v>
      </c>
    </row>
    <row r="15" spans="1:16" x14ac:dyDescent="0.25">
      <c r="A15" s="7" t="s">
        <v>93</v>
      </c>
      <c r="B15" s="8">
        <f t="shared" si="1"/>
        <v>46114</v>
      </c>
      <c r="C15" s="8">
        <f>C14</f>
        <v>46120</v>
      </c>
      <c r="D15" s="7">
        <v>3326</v>
      </c>
      <c r="E15" s="7">
        <v>336</v>
      </c>
      <c r="F15" s="7">
        <v>4</v>
      </c>
      <c r="G15" s="7">
        <v>1</v>
      </c>
      <c r="H15" s="7">
        <v>81759</v>
      </c>
      <c r="I15" s="7" t="s">
        <v>91</v>
      </c>
      <c r="J15" s="7">
        <v>83445116</v>
      </c>
      <c r="K15" s="7" t="s">
        <v>65</v>
      </c>
      <c r="L15" s="7" t="s">
        <v>70</v>
      </c>
      <c r="M15" s="9">
        <v>350000</v>
      </c>
      <c r="N15" s="10">
        <f t="shared" si="3"/>
        <v>0.8</v>
      </c>
      <c r="O15" s="9">
        <f t="shared" si="0"/>
        <v>69999.999999999985</v>
      </c>
      <c r="P15" s="7" t="s">
        <v>16</v>
      </c>
    </row>
    <row r="16" spans="1:16" x14ac:dyDescent="0.25">
      <c r="A16" s="7" t="s">
        <v>93</v>
      </c>
      <c r="B16" s="8">
        <f t="shared" si="1"/>
        <v>46114</v>
      </c>
      <c r="C16" s="8">
        <f t="shared" si="2"/>
        <v>46120</v>
      </c>
      <c r="D16" s="7">
        <v>3326</v>
      </c>
      <c r="E16" s="7">
        <v>336</v>
      </c>
      <c r="F16" s="7">
        <v>4</v>
      </c>
      <c r="G16" s="7">
        <v>1</v>
      </c>
      <c r="H16" s="7">
        <v>81759</v>
      </c>
      <c r="I16" s="7" t="s">
        <v>91</v>
      </c>
      <c r="J16" s="7">
        <v>83445125</v>
      </c>
      <c r="K16" s="7" t="s">
        <v>71</v>
      </c>
      <c r="L16" s="7" t="s">
        <v>72</v>
      </c>
      <c r="M16" s="9">
        <v>350000</v>
      </c>
      <c r="N16" s="10">
        <f t="shared" si="3"/>
        <v>0.8</v>
      </c>
      <c r="O16" s="9">
        <f t="shared" si="0"/>
        <v>69999.999999999985</v>
      </c>
      <c r="P16" s="7" t="s">
        <v>16</v>
      </c>
    </row>
    <row r="17" spans="1:16" x14ac:dyDescent="0.25">
      <c r="A17" s="7" t="s">
        <v>93</v>
      </c>
      <c r="B17" s="8">
        <f t="shared" si="1"/>
        <v>46114</v>
      </c>
      <c r="C17" s="8">
        <f t="shared" si="2"/>
        <v>46120</v>
      </c>
      <c r="D17" s="7">
        <v>3326</v>
      </c>
      <c r="E17" s="7">
        <v>336</v>
      </c>
      <c r="F17" s="7">
        <v>4</v>
      </c>
      <c r="G17" s="7">
        <v>1</v>
      </c>
      <c r="H17" s="7">
        <v>81759</v>
      </c>
      <c r="I17" s="7" t="s">
        <v>91</v>
      </c>
      <c r="J17" s="7">
        <v>83445134</v>
      </c>
      <c r="K17" s="7" t="s">
        <v>71</v>
      </c>
      <c r="L17" s="7" t="s">
        <v>73</v>
      </c>
      <c r="M17" s="9">
        <v>350000</v>
      </c>
      <c r="N17" s="10">
        <f t="shared" si="3"/>
        <v>0.8</v>
      </c>
      <c r="O17" s="9">
        <f t="shared" si="0"/>
        <v>69999.999999999985</v>
      </c>
      <c r="P17" s="7" t="s">
        <v>16</v>
      </c>
    </row>
    <row r="18" spans="1:16" x14ac:dyDescent="0.25">
      <c r="A18" s="7" t="s">
        <v>93</v>
      </c>
      <c r="B18" s="8">
        <f t="shared" si="1"/>
        <v>46114</v>
      </c>
      <c r="C18" s="8">
        <f t="shared" si="2"/>
        <v>46120</v>
      </c>
      <c r="D18" s="7">
        <v>3326</v>
      </c>
      <c r="E18" s="7">
        <v>336</v>
      </c>
      <c r="F18" s="7">
        <v>4</v>
      </c>
      <c r="G18" s="7">
        <v>1</v>
      </c>
      <c r="H18" s="7">
        <v>81759</v>
      </c>
      <c r="I18" s="7" t="s">
        <v>91</v>
      </c>
      <c r="J18" s="7">
        <v>83445143</v>
      </c>
      <c r="K18" s="7" t="s">
        <v>71</v>
      </c>
      <c r="L18" s="7" t="s">
        <v>74</v>
      </c>
      <c r="M18" s="9">
        <v>350000</v>
      </c>
      <c r="N18" s="10">
        <f t="shared" si="3"/>
        <v>0.8</v>
      </c>
      <c r="O18" s="9">
        <f t="shared" si="0"/>
        <v>69999.999999999985</v>
      </c>
      <c r="P18" s="7" t="s">
        <v>16</v>
      </c>
    </row>
    <row r="19" spans="1:16" x14ac:dyDescent="0.25">
      <c r="A19" s="7" t="s">
        <v>93</v>
      </c>
      <c r="B19" s="8">
        <f t="shared" si="1"/>
        <v>46114</v>
      </c>
      <c r="C19" s="8">
        <f t="shared" si="2"/>
        <v>46120</v>
      </c>
      <c r="D19" s="7">
        <v>3326</v>
      </c>
      <c r="E19" s="7">
        <v>336</v>
      </c>
      <c r="F19" s="7">
        <v>4</v>
      </c>
      <c r="G19" s="7">
        <v>1</v>
      </c>
      <c r="H19" s="7">
        <v>81759</v>
      </c>
      <c r="I19" s="7" t="s">
        <v>91</v>
      </c>
      <c r="J19" s="7">
        <v>83445152</v>
      </c>
      <c r="K19" s="7" t="s">
        <v>71</v>
      </c>
      <c r="L19" s="7" t="s">
        <v>75</v>
      </c>
      <c r="M19" s="9">
        <v>350000</v>
      </c>
      <c r="N19" s="10">
        <f t="shared" si="3"/>
        <v>0.8</v>
      </c>
      <c r="O19" s="9">
        <f t="shared" si="0"/>
        <v>69999.999999999985</v>
      </c>
      <c r="P19" s="7" t="s">
        <v>16</v>
      </c>
    </row>
    <row r="20" spans="1:16" x14ac:dyDescent="0.25">
      <c r="A20" s="7" t="s">
        <v>93</v>
      </c>
      <c r="B20" s="8">
        <f t="shared" si="1"/>
        <v>46114</v>
      </c>
      <c r="C20" s="8">
        <f t="shared" si="2"/>
        <v>46120</v>
      </c>
      <c r="D20" s="7">
        <v>3326</v>
      </c>
      <c r="E20" s="7">
        <v>336</v>
      </c>
      <c r="F20" s="7">
        <v>4</v>
      </c>
      <c r="G20" s="7">
        <v>1</v>
      </c>
      <c r="H20" s="7">
        <v>81759</v>
      </c>
      <c r="I20" s="7" t="s">
        <v>91</v>
      </c>
      <c r="J20" s="7">
        <v>83474906</v>
      </c>
      <c r="K20" s="7" t="s">
        <v>71</v>
      </c>
      <c r="L20" s="7" t="s">
        <v>76</v>
      </c>
      <c r="M20" s="9">
        <v>350000</v>
      </c>
      <c r="N20" s="10">
        <f t="shared" si="3"/>
        <v>0.8</v>
      </c>
      <c r="O20" s="9">
        <f t="shared" si="0"/>
        <v>69999.999999999985</v>
      </c>
      <c r="P20" s="7" t="s">
        <v>16</v>
      </c>
    </row>
    <row r="21" spans="1:16" x14ac:dyDescent="0.25">
      <c r="A21" s="7" t="s">
        <v>93</v>
      </c>
      <c r="B21" s="8">
        <f t="shared" si="1"/>
        <v>46114</v>
      </c>
      <c r="C21" s="8">
        <f t="shared" si="2"/>
        <v>46120</v>
      </c>
      <c r="D21" s="7">
        <v>3326</v>
      </c>
      <c r="E21" s="7">
        <v>336</v>
      </c>
      <c r="F21" s="7">
        <v>4</v>
      </c>
      <c r="G21" s="7">
        <v>1</v>
      </c>
      <c r="H21" s="7">
        <v>81759</v>
      </c>
      <c r="I21" s="7" t="s">
        <v>91</v>
      </c>
      <c r="J21" s="7">
        <v>83445214</v>
      </c>
      <c r="K21" s="7" t="s">
        <v>77</v>
      </c>
      <c r="L21" s="7" t="s">
        <v>78</v>
      </c>
      <c r="M21" s="9">
        <v>350000</v>
      </c>
      <c r="N21" s="10">
        <f t="shared" si="3"/>
        <v>0.8</v>
      </c>
      <c r="O21" s="9">
        <f t="shared" si="0"/>
        <v>69999.999999999985</v>
      </c>
      <c r="P21" s="7" t="s">
        <v>16</v>
      </c>
    </row>
    <row r="22" spans="1:16" x14ac:dyDescent="0.25">
      <c r="A22" s="7" t="s">
        <v>93</v>
      </c>
      <c r="B22" s="8">
        <f t="shared" si="1"/>
        <v>46114</v>
      </c>
      <c r="C22" s="8">
        <f t="shared" si="2"/>
        <v>46120</v>
      </c>
      <c r="D22" s="7">
        <v>3326</v>
      </c>
      <c r="E22" s="7">
        <v>336</v>
      </c>
      <c r="F22" s="7">
        <v>4</v>
      </c>
      <c r="G22" s="7">
        <v>1</v>
      </c>
      <c r="H22" s="7">
        <v>81759</v>
      </c>
      <c r="I22" s="7" t="s">
        <v>91</v>
      </c>
      <c r="J22" s="7">
        <v>83445223</v>
      </c>
      <c r="K22" s="7" t="s">
        <v>77</v>
      </c>
      <c r="L22" s="7" t="s">
        <v>79</v>
      </c>
      <c r="M22" s="9">
        <v>350000</v>
      </c>
      <c r="N22" s="10">
        <f t="shared" si="3"/>
        <v>0.8</v>
      </c>
      <c r="O22" s="9">
        <f t="shared" si="0"/>
        <v>69999.999999999985</v>
      </c>
      <c r="P22" s="7" t="s">
        <v>16</v>
      </c>
    </row>
    <row r="23" spans="1:16" x14ac:dyDescent="0.25">
      <c r="A23" s="7" t="s">
        <v>93</v>
      </c>
      <c r="B23" s="8">
        <f t="shared" si="1"/>
        <v>46114</v>
      </c>
      <c r="C23" s="8">
        <f t="shared" si="2"/>
        <v>46120</v>
      </c>
      <c r="D23" s="7">
        <v>3326</v>
      </c>
      <c r="E23" s="7">
        <v>336</v>
      </c>
      <c r="F23" s="7">
        <v>4</v>
      </c>
      <c r="G23" s="7">
        <v>1</v>
      </c>
      <c r="H23" s="7">
        <v>81759</v>
      </c>
      <c r="I23" s="7" t="s">
        <v>91</v>
      </c>
      <c r="J23" s="7">
        <v>83445232</v>
      </c>
      <c r="K23" s="7" t="s">
        <v>77</v>
      </c>
      <c r="L23" s="7" t="s">
        <v>80</v>
      </c>
      <c r="M23" s="9">
        <v>350000</v>
      </c>
      <c r="N23" s="10">
        <f t="shared" si="3"/>
        <v>0.8</v>
      </c>
      <c r="O23" s="9">
        <f t="shared" si="0"/>
        <v>69999.999999999985</v>
      </c>
      <c r="P23" s="7" t="s">
        <v>16</v>
      </c>
    </row>
    <row r="24" spans="1:16" x14ac:dyDescent="0.25">
      <c r="A24" s="7" t="s">
        <v>93</v>
      </c>
      <c r="B24" s="8">
        <f t="shared" si="1"/>
        <v>46114</v>
      </c>
      <c r="C24" s="8">
        <f t="shared" si="2"/>
        <v>46120</v>
      </c>
      <c r="D24" s="7">
        <v>3326</v>
      </c>
      <c r="E24" s="7">
        <v>336</v>
      </c>
      <c r="F24" s="7">
        <v>4</v>
      </c>
      <c r="G24" s="7">
        <v>1</v>
      </c>
      <c r="H24" s="7">
        <v>81759</v>
      </c>
      <c r="I24" s="7" t="s">
        <v>91</v>
      </c>
      <c r="J24" s="7">
        <v>83445241</v>
      </c>
      <c r="K24" s="7" t="s">
        <v>77</v>
      </c>
      <c r="L24" s="7" t="s">
        <v>81</v>
      </c>
      <c r="M24" s="9">
        <v>350000</v>
      </c>
      <c r="N24" s="10">
        <f t="shared" si="3"/>
        <v>0.8</v>
      </c>
      <c r="O24" s="9">
        <f t="shared" si="0"/>
        <v>69999.999999999985</v>
      </c>
      <c r="P24" s="7" t="s">
        <v>16</v>
      </c>
    </row>
    <row r="25" spans="1:16" x14ac:dyDescent="0.25">
      <c r="A25" s="7" t="s">
        <v>93</v>
      </c>
      <c r="B25" s="8">
        <f t="shared" si="1"/>
        <v>46114</v>
      </c>
      <c r="C25" s="8">
        <f t="shared" si="2"/>
        <v>46120</v>
      </c>
      <c r="D25" s="7">
        <v>3326</v>
      </c>
      <c r="E25" s="7">
        <v>336</v>
      </c>
      <c r="F25" s="7">
        <v>4</v>
      </c>
      <c r="G25" s="7">
        <v>1</v>
      </c>
      <c r="H25" s="7">
        <v>81759</v>
      </c>
      <c r="I25" s="7" t="s">
        <v>91</v>
      </c>
      <c r="J25" s="7">
        <v>83474915</v>
      </c>
      <c r="K25" s="7" t="s">
        <v>77</v>
      </c>
      <c r="L25" s="7" t="s">
        <v>82</v>
      </c>
      <c r="M25" s="9">
        <v>350000</v>
      </c>
      <c r="N25" s="10">
        <f t="shared" si="3"/>
        <v>0.8</v>
      </c>
      <c r="O25" s="9">
        <f t="shared" si="0"/>
        <v>69999.999999999985</v>
      </c>
      <c r="P25" s="7" t="s">
        <v>16</v>
      </c>
    </row>
    <row r="26" spans="1:16" x14ac:dyDescent="0.25">
      <c r="A26" s="7" t="s">
        <v>93</v>
      </c>
      <c r="B26" s="8">
        <f t="shared" si="1"/>
        <v>46114</v>
      </c>
      <c r="C26" s="8">
        <f t="shared" si="2"/>
        <v>46120</v>
      </c>
      <c r="D26" s="7">
        <v>3326</v>
      </c>
      <c r="E26" s="7">
        <v>336</v>
      </c>
      <c r="F26" s="7">
        <v>4</v>
      </c>
      <c r="G26" s="7">
        <v>1</v>
      </c>
      <c r="H26" s="7">
        <v>81759</v>
      </c>
      <c r="I26" s="7" t="s">
        <v>91</v>
      </c>
      <c r="J26" s="7">
        <v>83445161</v>
      </c>
      <c r="K26" s="7" t="s">
        <v>83</v>
      </c>
      <c r="L26" s="7" t="s">
        <v>84</v>
      </c>
      <c r="M26" s="9">
        <v>550000</v>
      </c>
      <c r="N26" s="10">
        <f t="shared" si="3"/>
        <v>0.8</v>
      </c>
      <c r="O26" s="9">
        <f t="shared" si="0"/>
        <v>109999.99999999997</v>
      </c>
      <c r="P26" s="7" t="s">
        <v>16</v>
      </c>
    </row>
    <row r="27" spans="1:16" x14ac:dyDescent="0.25">
      <c r="A27" s="7" t="s">
        <v>93</v>
      </c>
      <c r="B27" s="8">
        <f t="shared" si="1"/>
        <v>46114</v>
      </c>
      <c r="C27" s="8">
        <f t="shared" si="2"/>
        <v>46120</v>
      </c>
      <c r="D27" s="7">
        <v>3326</v>
      </c>
      <c r="E27" s="7">
        <v>336</v>
      </c>
      <c r="F27" s="7">
        <v>4</v>
      </c>
      <c r="G27" s="7">
        <v>1</v>
      </c>
      <c r="H27" s="7">
        <v>81759</v>
      </c>
      <c r="I27" s="7" t="s">
        <v>91</v>
      </c>
      <c r="J27" s="7">
        <v>83445170</v>
      </c>
      <c r="K27" s="7" t="s">
        <v>83</v>
      </c>
      <c r="L27" s="7" t="s">
        <v>85</v>
      </c>
      <c r="M27" s="9">
        <v>550000</v>
      </c>
      <c r="N27" s="10">
        <f t="shared" si="3"/>
        <v>0.8</v>
      </c>
      <c r="O27" s="9">
        <f>M27*(1-N27)</f>
        <v>109999.99999999997</v>
      </c>
      <c r="P27" s="7" t="s">
        <v>16</v>
      </c>
    </row>
    <row r="28" spans="1:16" x14ac:dyDescent="0.25">
      <c r="A28" s="7" t="s">
        <v>93</v>
      </c>
      <c r="B28" s="8">
        <f t="shared" si="1"/>
        <v>46114</v>
      </c>
      <c r="C28" s="8">
        <f t="shared" si="2"/>
        <v>46120</v>
      </c>
      <c r="D28" s="7">
        <v>3326</v>
      </c>
      <c r="E28" s="7">
        <v>336</v>
      </c>
      <c r="F28" s="7">
        <v>4</v>
      </c>
      <c r="G28" s="7">
        <v>1</v>
      </c>
      <c r="H28" s="7">
        <v>81759</v>
      </c>
      <c r="I28" s="7" t="s">
        <v>91</v>
      </c>
      <c r="J28" s="7">
        <v>83445205</v>
      </c>
      <c r="K28" s="7" t="s">
        <v>83</v>
      </c>
      <c r="L28" s="7" t="s">
        <v>86</v>
      </c>
      <c r="M28" s="9">
        <v>550000</v>
      </c>
      <c r="N28" s="10">
        <f t="shared" si="3"/>
        <v>0.8</v>
      </c>
      <c r="O28" s="9">
        <f t="shared" si="0"/>
        <v>109999.99999999997</v>
      </c>
      <c r="P28" s="7" t="s">
        <v>16</v>
      </c>
    </row>
    <row r="29" spans="1:16" x14ac:dyDescent="0.25">
      <c r="A29" s="7" t="s">
        <v>93</v>
      </c>
      <c r="B29" s="8">
        <f t="shared" si="1"/>
        <v>46114</v>
      </c>
      <c r="C29" s="8">
        <f t="shared" si="2"/>
        <v>46120</v>
      </c>
      <c r="D29" s="7">
        <v>3326</v>
      </c>
      <c r="E29" s="7">
        <v>336</v>
      </c>
      <c r="F29" s="7">
        <v>4</v>
      </c>
      <c r="G29" s="7">
        <v>1</v>
      </c>
      <c r="H29" s="7">
        <v>81759</v>
      </c>
      <c r="I29" s="7" t="s">
        <v>91</v>
      </c>
      <c r="J29" s="7">
        <v>83445303</v>
      </c>
      <c r="K29" s="7" t="s">
        <v>87</v>
      </c>
      <c r="L29" s="7" t="s">
        <v>88</v>
      </c>
      <c r="M29" s="9">
        <v>650000</v>
      </c>
      <c r="N29" s="10">
        <f t="shared" si="3"/>
        <v>0.8</v>
      </c>
      <c r="O29" s="9">
        <f t="shared" si="0"/>
        <v>129999.99999999997</v>
      </c>
      <c r="P29" s="7" t="s">
        <v>16</v>
      </c>
    </row>
    <row r="30" spans="1:16" x14ac:dyDescent="0.25">
      <c r="A30" s="7" t="s">
        <v>93</v>
      </c>
      <c r="B30" s="8">
        <f t="shared" si="1"/>
        <v>46114</v>
      </c>
      <c r="C30" s="8">
        <f t="shared" si="2"/>
        <v>46120</v>
      </c>
      <c r="D30" s="7">
        <v>3326</v>
      </c>
      <c r="E30" s="7">
        <v>336</v>
      </c>
      <c r="F30" s="7">
        <v>4</v>
      </c>
      <c r="G30" s="7">
        <v>1</v>
      </c>
      <c r="H30" s="7">
        <v>81759</v>
      </c>
      <c r="I30" s="7" t="s">
        <v>91</v>
      </c>
      <c r="J30" s="7">
        <v>83445312</v>
      </c>
      <c r="K30" s="7" t="s">
        <v>87</v>
      </c>
      <c r="L30" s="7" t="s">
        <v>89</v>
      </c>
      <c r="M30" s="9">
        <v>650000</v>
      </c>
      <c r="N30" s="10">
        <f t="shared" si="3"/>
        <v>0.8</v>
      </c>
      <c r="O30" s="9">
        <f t="shared" si="0"/>
        <v>129999.99999999997</v>
      </c>
      <c r="P30" s="7" t="s">
        <v>16</v>
      </c>
    </row>
    <row r="31" spans="1:16" x14ac:dyDescent="0.25">
      <c r="A31" s="7" t="s">
        <v>93</v>
      </c>
      <c r="B31" s="8">
        <f t="shared" si="1"/>
        <v>46114</v>
      </c>
      <c r="C31" s="8">
        <f t="shared" si="2"/>
        <v>46120</v>
      </c>
      <c r="D31" s="7">
        <v>3326</v>
      </c>
      <c r="E31" s="7">
        <v>336</v>
      </c>
      <c r="F31" s="7">
        <v>4</v>
      </c>
      <c r="G31" s="7">
        <v>1</v>
      </c>
      <c r="H31" s="7">
        <v>81759</v>
      </c>
      <c r="I31" s="7" t="s">
        <v>91</v>
      </c>
      <c r="J31" s="7">
        <v>83474924</v>
      </c>
      <c r="K31" s="7" t="s">
        <v>87</v>
      </c>
      <c r="L31" s="7" t="s">
        <v>90</v>
      </c>
      <c r="M31" s="9">
        <v>650000</v>
      </c>
      <c r="N31" s="10">
        <f t="shared" si="3"/>
        <v>0.8</v>
      </c>
      <c r="O31" s="9">
        <f t="shared" si="0"/>
        <v>129999.99999999997</v>
      </c>
      <c r="P31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SERAGAM D85</vt:lpstr>
      <vt:lpstr>ADIDAS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dcterms:created xsi:type="dcterms:W3CDTF">2024-02-20T02:43:26Z</dcterms:created>
  <dcterms:modified xsi:type="dcterms:W3CDTF">2026-03-31T06:51:08Z</dcterms:modified>
</cp:coreProperties>
</file>