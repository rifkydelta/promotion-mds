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213569\Documents\PROMO\ATT\"/>
    </mc:Choice>
  </mc:AlternateContent>
  <xr:revisionPtr revIDLastSave="0" documentId="13_ncr:1_{23FF9D24-9A8A-4FD6-9A43-096AAFE50BD2}" xr6:coauthVersionLast="47" xr6:coauthVersionMax="47" xr10:uidLastSave="{00000000-0000-0000-0000-000000000000}"/>
  <bookViews>
    <workbookView xWindow="-110" yWindow="-110" windowWidth="19420" windowHeight="10300" activeTab="1" xr2:uid="{610CF3A6-27F3-4B64-87C4-E2A787548752}"/>
  </bookViews>
  <sheets>
    <sheet name="2026 BAMUS B1G1 - 3321" sheetId="1" r:id="rId1"/>
    <sheet name="2026 BAMUS B1G1 - 3281" sheetId="2" r:id="rId2"/>
  </sheets>
  <definedNames>
    <definedName name="_xlnm._FilterDatabase" localSheetId="1" hidden="1">'2026 BAMUS B1G1 - 3281'!$A$1:$P$1</definedName>
    <definedName name="_xlnm._FilterDatabase" localSheetId="0" hidden="1">'2026 BAMUS B1G1 - 3321'!$A$1:$P$1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" i="1" l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" i="1"/>
  <c r="O4" i="1" s="1"/>
  <c r="O5" i="1" s="1"/>
  <c r="O6" i="1" s="1"/>
  <c r="O7" i="1" s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N4" i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" i="1"/>
  <c r="O23" i="2"/>
  <c r="O24" i="2"/>
  <c r="O25" i="2"/>
  <c r="O26" i="2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A3" i="2"/>
  <c r="O3" i="2" l="1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C3" i="2" l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8036310-AA8C-4672-BBE1-AEFD5D797F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64D5EA2-8D44-404C-BE25-317703FE0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FA7658B-E05D-4FCC-B33C-490FAEE973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ACF1D57-6553-43C7-AE86-E80F4A271A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D7A515F-F1BB-4849-BFC6-4CB37858A4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14A007D-F1CD-4021-B782-CDAC2492E1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0C64BF8-D772-4D0F-BFB2-706B8944C6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C82315D-7A41-49AF-9E24-C8503131D3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B44102C-D5CF-4787-B060-45269C904E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B6BD225-5547-4F7B-8A6B-D525A791E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C9A4420-7D0E-4873-85E8-5149FB4551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3DF7699-984B-4183-BA7B-8DE0279FAD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E9A162B-5D01-44E8-A254-7AF2B567AE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4B88E2-5FAE-450B-9636-35AFBF5BC3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54D1E45-DD23-42BB-B00B-4EC845454F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A11A308-D614-406C-9D80-7FBD82DA4B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F1E3DD9-553D-4E6A-B488-B6EB47CD19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CA5BBF-DC46-400B-8275-1FD808FB9A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CBF9DB6-74D9-432F-9BBE-22137C88F5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0E5A8CF-6D27-4401-99BD-8DD76F4FB4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714C0A6-0CF9-43CF-A58B-55E4236E2D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53D26CE-68BF-4C39-997B-D436B922AB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42439BC-4A73-4239-BF6D-3FA7B40599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5ADAF22-D127-40AD-9E3D-2A6A9C67C1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DCC3D5E-A87F-4E8E-AFE6-4F4E41CDFB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E36E43B-2A8B-4A14-AFF5-7035875EDA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2C0F26-4F8D-455C-B92F-5746B3AE7D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83665B1-5EA3-4AD5-A1D4-849526B85D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<sst xmlns="http://schemas.openxmlformats.org/spreadsheetml/2006/main" count="262" uniqueCount="107">
  <si>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</si>
  <si>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</si>
  <si>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</si>
  <si>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</si>
  <si>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</si>
  <si>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</si>
  <si>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</si>
  <si>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</si>
  <si>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</si>
  <si>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</si>
  <si>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</si>
  <si>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</si>
  <si>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</si>
  <si>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</si>
  <si>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</si>
  <si>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</si>
  <si>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CHARACTER</t>
  </si>
  <si>
    <t>34SRFMM</t>
  </si>
  <si>
    <t>3/4 SHIRT WOMEN RUFFLE MY MELODY 34SRFMM:CLASSIC GREEN:4:GRAPHIC:3/4 SHIRT</t>
  </si>
  <si>
    <t>3/4 SHIRT WOMEN RUFFLE MY MELODY 34SRFMM:CLASSIC GREEN:5:GRAPHIC:3/4 SHIRT</t>
  </si>
  <si>
    <t>3/4 SHIRT WOMEN RUFFLE MY MELODY 34SRFMM:CLASSIC GREEN:6:GRAPHIC:3/4 SHIRT</t>
  </si>
  <si>
    <t>3/4 SHIRT WOMEN RUFFLE MY MELODY 34SRFMM:CLASSIC GREEN:7-8:GRAPHIC:3/4 SHIRT</t>
  </si>
  <si>
    <t>3/4 SHIRT WOMEN RUFFLE MY MELODY 34SRFMM:CLASSIC GREEN:9-10:GRAPHIC:3/4 SHIRT</t>
  </si>
  <si>
    <t>3/4 SHIRT WOMEN RUFFLE MY MELODY 34SRFMM:CLASSIC GREEN:11-12:GRAPHIC:3/4 SHIRT</t>
  </si>
  <si>
    <t>DLSEERKU</t>
  </si>
  <si>
    <t>LS MIDI DRESS WOVEN KIMONO KUROMI DLSEERKU:KHAKI:4:GRAPHIC:LS MIDI DRESS</t>
  </si>
  <si>
    <t>LS MIDI DRESS WOVEN KIMONO KUROMI DLSEERKU:KHAKI:5:GRAPHIC:LS MIDI DRESS</t>
  </si>
  <si>
    <t>LS MIDI DRESS WOVEN KIMONO KUROMI DLSEERKU:KHAKI:6:GRAPHIC:LS MIDI DRESS</t>
  </si>
  <si>
    <t>LS MIDI DRESS WOVEN KIMONO KUROMI DLSEERKU:KHAKI:7-8:GRAPHIC:LS MIDI DRESS</t>
  </si>
  <si>
    <t>LS MIDI DRESS WOVEN KIMONO KUROMI DLSEERKU:KHAKI:9-10:GRAPHIC:LS MIDI DRESS</t>
  </si>
  <si>
    <t>LS MIDI DRESS WOVEN KIMONO KUROMI DLSEERKU:KHAKI:11-12:GRAPHIC:LS MIDI DRESS</t>
  </si>
  <si>
    <t>LS MIDI DRESS WOVEN KIMONO KUROMI DLSEERKU:KHAKI:13-14:GRAPHIC:LS MIDI DRESS</t>
  </si>
  <si>
    <t>LPBARKU</t>
  </si>
  <si>
    <t>LONG PANTS BARREL WOVEN KUROMI LPBARKU:RUSTIC BROWN:4:GRAPHIC:LONG PANTS</t>
  </si>
  <si>
    <t>LONG PANTS BARREL WOVEN KUROMI LPBARKU:RUSTIC BROWN:5:GRAPHIC:LONG PANTS</t>
  </si>
  <si>
    <t>LONG PANTS BARREL WOVEN KUROMI LPBARKU:RUSTIC BROWN:6:GRAPHIC:LONG PANTS</t>
  </si>
  <si>
    <t>LONG PANTS BARREL WOVEN KUROMI LPBARKU:RUSTIC BROWN:7-8:GRAPHIC:LONG PANTS</t>
  </si>
  <si>
    <t>LONG PANTS BARREL WOVEN KUROMI LPBARKU:RUSTIC BROWN:9-10:GRAPHIC:LONG PANTS</t>
  </si>
  <si>
    <t>LONG PANTS BARREL WOVEN KUROMI LPBARKU:RUSTIC BROWN:11-12:GRAPHIC:LONG PANTS</t>
  </si>
  <si>
    <t>LONG PANTS BARREL WOVEN KUROMI LPBARKU:RUSTIC BROWN:13-14:GRAPHIC:LONG PANTS</t>
  </si>
  <si>
    <t>SETMMSS</t>
  </si>
  <si>
    <t>TOP - BOTTOM SET MY MELODY SETMMSS:PASTEL GREEN:4:GRAPHIC:TOP - BOTTOM SET</t>
  </si>
  <si>
    <t>TOP - BOTTOM SET MY MELODY SETMMSS:PASTEL GREEN:5:GRAPHIC:TOP - BOTTOM SET</t>
  </si>
  <si>
    <t>TOP - BOTTOM SET MY MELODY SETMMSS:PASTEL GREEN:6:GRAPHIC:TOP - BOTTOM SET</t>
  </si>
  <si>
    <t>TOP - BOTTOM SET MY MELODY SETMMSS:PASTEL GREEN:7-8:GRAPHIC:TOP - BOTTOM SET</t>
  </si>
  <si>
    <t>TOP - BOTTOM SET MY MELODY SETMMSS:PASTEL GREEN:9-10:GRAPHIC:TOP - BOTTOM SET</t>
  </si>
  <si>
    <t>TOP - BOTTOM SET MY MELODY SETMMSS:PASTEL GREEN:11-12:GRAPHIC:TOP - BOTTOM SET</t>
  </si>
  <si>
    <t>TOP - BOTTOM SET MY MELODY SETMMSS:PASTEL GREEN:13-14:GRAPHIC:TOP - BOTTOM SET</t>
  </si>
  <si>
    <t>LSROMKU</t>
  </si>
  <si>
    <t>LS SHIRT WOVEN ROMPI KUROMI LSROMKU:RUSTIC BROWN:4:GRAPHIC:LS SHIRT</t>
  </si>
  <si>
    <t>LS SHIRT WOVEN ROMPI KUROMI LSROMKU:RUSTIC BROWN:5:GRAPHIC:LS SHIRT</t>
  </si>
  <si>
    <t>LS SHIRT WOVEN ROMPI KUROMI LSROMKU:RUSTIC BROWN:6:GRAPHIC:LS SHIRT</t>
  </si>
  <si>
    <t>LS SHIRT WOVEN ROMPI KUROMI LSROMKU:RUSTIC BROWN:7-8:GRAPHIC:LS SHIRT</t>
  </si>
  <si>
    <t>LS SHIRT WOVEN ROMPI KUROMI LSROMKU:RUSTIC BROWN:9-10:GRAPHIC:LS SHIRT</t>
  </si>
  <si>
    <t>LS SHIRT WOVEN ROMPI KUROMI LSROMKU:RUSTIC BROWN:11-12:GRAPHIC:LS SHIRT</t>
  </si>
  <si>
    <t>LS SHIRT WOVEN ROMPI KUROMI LSROMKU:RUSTIC BROWN:13-14:GRAPHIC:LS SHIRT</t>
  </si>
  <si>
    <t>DISNEY</t>
  </si>
  <si>
    <t>SSL26PR3</t>
  </si>
  <si>
    <t>SS SHIRT TOP WOVEN PRINCESS SSL26PR3:DUSTY PINK:4:GRAPHIC:SS SHIRT</t>
  </si>
  <si>
    <t>SS SHIRT TOP WOVEN PRINCESS SSL26PR3:DUSTY PINK:5:GRAPHIC:SS SHIRT</t>
  </si>
  <si>
    <t>SS SHIRT TOP WOVEN PRINCESS SSL26PR3:DUSTY PINK:6:GRAPHIC:SS SHIRT</t>
  </si>
  <si>
    <t>SS SHIRT TOP WOVEN PRINCESS SSL26PR3:DUSTY PINK:7-8:GRAPHIC:SS SHIRT</t>
  </si>
  <si>
    <t>SS SHIRT TOP WOVEN PRINCESS SSL26PR3:DUSTY PINK:9-10:GRAPHIC:SS SHIRT</t>
  </si>
  <si>
    <t>SS SHIRT TOP WOVEN PRINCESS SSL26PR3:DUSTY PINK:11-12:GRAPHIC:SS SHIRT</t>
  </si>
  <si>
    <t>SS SHIRT TOP WOVEN PRINCESS SSL26PR3:DUSTY PINK:13-14:GRAPHIC:SS SHIRT</t>
  </si>
  <si>
    <t>LS34PRN</t>
  </si>
  <si>
    <t>3/4 SHIRT PRINCESS WOVEN LS34PRN:KHAKI:4:GRAPHIC:3/4 SHIRT</t>
  </si>
  <si>
    <t>3/4 SHIRT PRINCESS WOVEN LS34PRN:KHAKI:5:GRAPHIC:3/4 SHIRT</t>
  </si>
  <si>
    <t>3/4 SHIRT PRINCESS WOVEN LS34PRN:KHAKI:6:GRAPHIC:3/4 SHIRT</t>
  </si>
  <si>
    <t>3/4 SHIRT PRINCESS WOVEN LS34PRN:KHAKI:7-8:GRAPHIC:3/4 SHIRT</t>
  </si>
  <si>
    <t>3/4 SHIRT PRINCESS WOVEN LS34PRN:KHAKI:9-10:GRAPHIC:3/4 SHIRT</t>
  </si>
  <si>
    <t>3/4 SHIRT PRINCESS WOVEN LS34PRN:KHAKI:11-12:GRAPHIC:3/4 SHIRT</t>
  </si>
  <si>
    <t>3/4 SHIRT PRINCESS WOVEN LS34PRN:KHAKI:13-14:GRAPHIC:3/4 SHIRT</t>
  </si>
  <si>
    <t>LPWPRN</t>
  </si>
  <si>
    <t>LONG PANTS WOVEN PRINCESS LPWPRN:DUSTY PINK:4:GRAPHIC:LONG PANTS</t>
  </si>
  <si>
    <t>LONG PANTS WOVEN PRINCESS LPWPRN:DUSTY PINK:5:GRAPHIC:LONG PANTS</t>
  </si>
  <si>
    <t>LONG PANTS WOVEN PRINCESS LPWPRN:DUSTY PINK:6:GRAPHIC:LONG PANTS</t>
  </si>
  <si>
    <t>LONG PANTS WOVEN PRINCESS LPWPRN:DUSTY PINK:7-8:GRAPHIC:LONG PANTS</t>
  </si>
  <si>
    <t>LONG PANTS WOVEN PRINCESS LPWPRN:DUSTY PINK:9-10:GRAPHIC:LONG PANTS</t>
  </si>
  <si>
    <t>LONG PANTS WOVEN PRINCESS LPWPRN:DUSTY PINK:11-12:GRAPHIC:LONG PANTS</t>
  </si>
  <si>
    <t>LONG PANTS WOVEN PRINCESS LPWPRN:DUSTY PINK:13-14:GRAPHIC:LONG PANTS</t>
  </si>
  <si>
    <t>DLPRN26</t>
  </si>
  <si>
    <t>LS MIDI DRESS PRINCESS WOVEN DLPRN26:PASTEL PINK:4:GRAPHIC:LS MIDI DRESS</t>
  </si>
  <si>
    <t>LS MIDI DRESS PRINCESS WOVEN DLPRN26:PASTEL PINK:5:GRAPHIC:LS MIDI DRESS</t>
  </si>
  <si>
    <t>LS MIDI DRESS PRINCESS WOVEN DLPRN26:PASTEL PINK:6:GRAPHIC:LS MIDI DRESS</t>
  </si>
  <si>
    <t>LS MIDI DRESS PRINCESS WOVEN DLPRN26:PASTEL PINK:7-8:GRAPHIC:LS MIDI DRESS</t>
  </si>
  <si>
    <t>LS MIDI DRESS PRINCESS WOVEN DLPRN26:PASTEL PINK:9-10:GRAPHIC:LS MIDI DRESS</t>
  </si>
  <si>
    <t>LS MIDI DRESS PRINCESS WOVEN DLPRN26:PASTEL PINK:11-12:GRAPHIC:LS MIDI DRESS</t>
  </si>
  <si>
    <t>LS MIDI DRESS PRINCESS WOVEN DLPRN26:PASTEL PINK:13-14:GRAPHIC:LS MIDI DRESS</t>
  </si>
  <si>
    <t>DSSCMIN</t>
  </si>
  <si>
    <t>SETSCMIN</t>
  </si>
  <si>
    <t>SSSCMIN</t>
  </si>
  <si>
    <t>SS MIDI DRESS MINNIE SNACK CLUB DSSCMIN:PASTEL PINK:4:GRAPHIC:SS MIDI DRESS</t>
  </si>
  <si>
    <t>SS MIDI DRESS MINNIE SNACK CLUB DSSCMIN:PASTEL PINK:5:GRAPHIC:SS MIDI DRESS</t>
  </si>
  <si>
    <t>SS MIDI DRESS MINNIE SNACK CLUB DSSCMIN:PASTEL PINK:6:GRAPHIC:SS MIDI DRESS</t>
  </si>
  <si>
    <t>SS MIDI DRESS MINNIE SNACK CLUB DSSCMIN:PASTEL PINK:7-8:GRAPHIC:SS MIDI DRESS</t>
  </si>
  <si>
    <t>TOP - BOTTOM SET MINNIE SNACK CLUB SETSCMIN:OFF WHITE:4:GRAPHIC:TOP - BOTTOM SET</t>
  </si>
  <si>
    <t>TOP - BOTTOM SET MINNIE SNACK CLUB SETSCMIN:OFF WHITE:5:GRAPHIC:TOP - BOTTOM SET</t>
  </si>
  <si>
    <t>TOP - BOTTOM SET MINNIE SNACK CLUB SETSCMIN:OFF WHITE:6:GRAPHIC:TOP - BOTTOM SET</t>
  </si>
  <si>
    <t>TOP - BOTTOM SET MINNIE SNACK CLUB SETSCMIN:OFF WHITE:7-8:GRAPHIC:TOP - BOTTOM SET</t>
  </si>
  <si>
    <t>SS T-SHIRT MINNIE SNACK CLUB SSSCMIN:OFF WHITE:4:GRAPHIC:SS T-SHIRT</t>
  </si>
  <si>
    <t>SS T-SHIRT MINNIE SNACK CLUB SSSCMIN:OFF WHITE:5:GRAPHIC:SS T-SHIRT</t>
  </si>
  <si>
    <t>SS T-SHIRT MINNIE SNACK CLUB SSSCMIN:OFF WHITE:6:GRAPHIC:SS T-SHIRT</t>
  </si>
  <si>
    <t>SS T-SHIRT MINNIE SNACK CLUB SSSCMIN:OFF WHITE:7-8:GRAPHIC:SS T-SHIRT</t>
  </si>
  <si>
    <t>2026 BAMUS B1G1</t>
  </si>
  <si>
    <t>BXGY</t>
  </si>
  <si>
    <t>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</si>
</sst>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3" fontId="0" fillId="0" borderId="2" xfId="0" applyNumberForma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5" xfId="0" applyBorder="1"/>
    <xf numFmtId="3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E1A5-72D5-4BBA-98A6-0028C62E1FD6}">
  <sheetPr>
    <tabColor rgb="FFFFFF00"/>
  </sheetPr>
  <dimension ref="A1:P35"/>
  <sheetViews>
    <sheetView zoomScale="75" zoomScaleNormal="71" workbookViewId="0">
      <pane ySplit="1" topLeftCell="A2" activePane="bottomLeft" state="frozen"/>
      <selection activeCell="J25" sqref="J25"/>
      <selection pane="bottomLeft" activeCell="C13" sqref="C13"/>
    </sheetView>
  </sheetViews>
  <sheetFormatPr defaultColWidth="8.81640625" defaultRowHeight="14.5" x14ac:dyDescent="0.35"/>
  <cols>
    <col min="1" max="1" width="24.54296875" style="6" customWidth="1"/>
    <col min="2" max="2" width="12.08984375" style="19" customWidth="1"/>
    <col min="3" max="3" width="11.1796875" style="19" customWidth="1"/>
    <col min="4" max="4" width="10" style="6" bestFit="1" customWidth="1"/>
    <col min="5" max="5" width="9.81640625" style="6" customWidth="1"/>
    <col min="6" max="6" width="8.81640625" style="6" customWidth="1"/>
    <col min="7" max="7" width="10" style="6" customWidth="1"/>
    <col min="8" max="8" width="9.54296875" style="6" customWidth="1"/>
    <col min="9" max="9" width="12.54296875" style="6" customWidth="1"/>
    <col min="10" max="10" width="13.54296875" style="6" customWidth="1"/>
    <col min="11" max="11" width="12.453125" style="6" bestFit="1" customWidth="1"/>
    <col min="12" max="12" width="74.6328125" style="20" customWidth="1"/>
    <col min="13" max="13" width="16.54296875" style="21" customWidth="1"/>
    <col min="14" max="14" width="12" style="22" customWidth="1"/>
    <col min="15" max="15" width="22" style="21" customWidth="1"/>
    <col min="16" max="16" width="17.1796875" style="6" customWidth="1"/>
    <col min="17" max="16384" width="8.81640625" style="6"/>
  </cols>
  <sheetData>
    <row r="1" spans="1:16" ht="30.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104</v>
      </c>
      <c r="B2" s="8">
        <v>46097</v>
      </c>
      <c r="C2" s="8">
        <v>46098</v>
      </c>
      <c r="D2" s="7">
        <v>3321</v>
      </c>
      <c r="E2" s="7">
        <v>337</v>
      </c>
      <c r="F2" s="7">
        <v>4</v>
      </c>
      <c r="G2" s="9">
        <v>2</v>
      </c>
      <c r="H2" s="9">
        <v>81005</v>
      </c>
      <c r="I2" s="7" t="s">
        <v>16</v>
      </c>
      <c r="J2" s="10">
        <v>68416337</v>
      </c>
      <c r="K2" s="10" t="s">
        <v>17</v>
      </c>
      <c r="L2" s="11" t="s">
        <v>18</v>
      </c>
      <c r="M2" s="12">
        <v>199900</v>
      </c>
      <c r="N2" s="7" t="s">
        <v>105</v>
      </c>
      <c r="O2" s="13" t="s">
        <v>106</v>
      </c>
      <c r="P2" s="7" t="s">
        <v>105</v>
      </c>
    </row>
    <row r="3" spans="1:16" x14ac:dyDescent="0.35">
      <c r="A3" s="7" t="str">
        <f t="shared" ref="A3:C28" si="0">A2</f>
        <v>2026 BAMUS B1G1</v>
      </c>
      <c r="B3" s="8">
        <f t="shared" si="0"/>
        <v>46097</v>
      </c>
      <c r="C3" s="8">
        <f t="shared" si="0"/>
        <v>46098</v>
      </c>
      <c r="D3" s="7">
        <v>3321</v>
      </c>
      <c r="E3" s="7">
        <v>337</v>
      </c>
      <c r="F3" s="7">
        <v>4</v>
      </c>
      <c r="G3" s="9">
        <v>2</v>
      </c>
      <c r="H3" s="9">
        <v>81005</v>
      </c>
      <c r="I3" s="7" t="s">
        <v>16</v>
      </c>
      <c r="J3" s="10">
        <v>68416346</v>
      </c>
      <c r="K3" s="10" t="s">
        <v>17</v>
      </c>
      <c r="L3" s="11" t="s">
        <v>19</v>
      </c>
      <c r="M3" s="12">
        <v>199900</v>
      </c>
      <c r="N3" s="7" t="str">
        <f>N2</f>
        <v>BXGY</v>
      </c>
      <c r="O3" s="13" t="str">
        <f>O2</f>
        <v>B1G1</v>
      </c>
      <c r="P3" s="7" t="str">
        <f>P2</f>
        <v>BXGY</v>
      </c>
    </row>
    <row r="4" spans="1:16" x14ac:dyDescent="0.35">
      <c r="A4" s="7" t="str">
        <f t="shared" si="0"/>
        <v>2026 BAMUS B1G1</v>
      </c>
      <c r="B4" s="8">
        <f t="shared" si="0"/>
        <v>46097</v>
      </c>
      <c r="C4" s="8">
        <f t="shared" si="0"/>
        <v>46098</v>
      </c>
      <c r="D4" s="7">
        <v>3321</v>
      </c>
      <c r="E4" s="7">
        <v>337</v>
      </c>
      <c r="F4" s="7">
        <v>4</v>
      </c>
      <c r="G4" s="9">
        <v>2</v>
      </c>
      <c r="H4" s="9">
        <v>81005</v>
      </c>
      <c r="I4" s="7" t="s">
        <v>16</v>
      </c>
      <c r="J4" s="10">
        <v>68416355</v>
      </c>
      <c r="K4" s="10" t="s">
        <v>17</v>
      </c>
      <c r="L4" s="11" t="s">
        <v>20</v>
      </c>
      <c r="M4" s="12">
        <v>199900</v>
      </c>
      <c r="N4" s="7" t="str">
        <f t="shared" ref="N4:N35" si="1">N3</f>
        <v>BXGY</v>
      </c>
      <c r="O4" s="13" t="str">
        <f t="shared" ref="O4:P7" si="2">O3</f>
        <v>B1G1</v>
      </c>
      <c r="P4" s="7" t="str">
        <f t="shared" si="2"/>
        <v>BXGY</v>
      </c>
    </row>
    <row r="5" spans="1:16" x14ac:dyDescent="0.35">
      <c r="A5" s="7" t="str">
        <f t="shared" si="0"/>
        <v>2026 BAMUS B1G1</v>
      </c>
      <c r="B5" s="8">
        <f t="shared" si="0"/>
        <v>46097</v>
      </c>
      <c r="C5" s="8">
        <f t="shared" si="0"/>
        <v>46098</v>
      </c>
      <c r="D5" s="7">
        <v>3321</v>
      </c>
      <c r="E5" s="7">
        <v>337</v>
      </c>
      <c r="F5" s="7">
        <v>4</v>
      </c>
      <c r="G5" s="9">
        <v>2</v>
      </c>
      <c r="H5" s="9">
        <v>81005</v>
      </c>
      <c r="I5" s="7" t="s">
        <v>16</v>
      </c>
      <c r="J5" s="10">
        <v>68416364</v>
      </c>
      <c r="K5" s="10" t="s">
        <v>17</v>
      </c>
      <c r="L5" s="11" t="s">
        <v>21</v>
      </c>
      <c r="M5" s="12">
        <v>199900</v>
      </c>
      <c r="N5" s="7" t="str">
        <f t="shared" si="1"/>
        <v>BXGY</v>
      </c>
      <c r="O5" s="13" t="str">
        <f t="shared" si="2"/>
        <v>B1G1</v>
      </c>
      <c r="P5" s="7" t="str">
        <f t="shared" si="2"/>
        <v>BXGY</v>
      </c>
    </row>
    <row r="6" spans="1:16" x14ac:dyDescent="0.35">
      <c r="A6" s="7" t="str">
        <f t="shared" si="0"/>
        <v>2026 BAMUS B1G1</v>
      </c>
      <c r="B6" s="8">
        <f t="shared" si="0"/>
        <v>46097</v>
      </c>
      <c r="C6" s="8">
        <f t="shared" si="0"/>
        <v>46098</v>
      </c>
      <c r="D6" s="7">
        <v>3321</v>
      </c>
      <c r="E6" s="7">
        <v>337</v>
      </c>
      <c r="F6" s="7">
        <v>4</v>
      </c>
      <c r="G6" s="9">
        <v>2</v>
      </c>
      <c r="H6" s="9">
        <v>81005</v>
      </c>
      <c r="I6" s="7" t="s">
        <v>16</v>
      </c>
      <c r="J6" s="10">
        <v>68416373</v>
      </c>
      <c r="K6" s="10" t="s">
        <v>17</v>
      </c>
      <c r="L6" s="11" t="s">
        <v>22</v>
      </c>
      <c r="M6" s="12">
        <v>199900</v>
      </c>
      <c r="N6" s="7" t="str">
        <f t="shared" si="1"/>
        <v>BXGY</v>
      </c>
      <c r="O6" s="13" t="str">
        <f t="shared" si="2"/>
        <v>B1G1</v>
      </c>
      <c r="P6" s="7" t="str">
        <f t="shared" si="2"/>
        <v>BXGY</v>
      </c>
    </row>
    <row r="7" spans="1:16" x14ac:dyDescent="0.35">
      <c r="A7" s="7" t="str">
        <f t="shared" si="0"/>
        <v>2026 BAMUS B1G1</v>
      </c>
      <c r="B7" s="8">
        <f t="shared" si="0"/>
        <v>46097</v>
      </c>
      <c r="C7" s="8">
        <f t="shared" si="0"/>
        <v>46098</v>
      </c>
      <c r="D7" s="7">
        <v>3321</v>
      </c>
      <c r="E7" s="7">
        <v>337</v>
      </c>
      <c r="F7" s="7">
        <v>4</v>
      </c>
      <c r="G7" s="9">
        <v>2</v>
      </c>
      <c r="H7" s="9">
        <v>81005</v>
      </c>
      <c r="I7" s="7" t="s">
        <v>16</v>
      </c>
      <c r="J7" s="10">
        <v>68416382</v>
      </c>
      <c r="K7" s="10" t="s">
        <v>17</v>
      </c>
      <c r="L7" s="11" t="s">
        <v>23</v>
      </c>
      <c r="M7" s="12">
        <v>199900</v>
      </c>
      <c r="N7" s="7" t="str">
        <f t="shared" si="1"/>
        <v>BXGY</v>
      </c>
      <c r="O7" s="13" t="str">
        <f t="shared" si="2"/>
        <v>B1G1</v>
      </c>
      <c r="P7" s="7" t="str">
        <f t="shared" si="2"/>
        <v>BXGY</v>
      </c>
    </row>
    <row r="8" spans="1:16" x14ac:dyDescent="0.35">
      <c r="A8" s="7" t="str">
        <f t="shared" si="0"/>
        <v>2026 BAMUS B1G1</v>
      </c>
      <c r="B8" s="8">
        <f t="shared" si="0"/>
        <v>46097</v>
      </c>
      <c r="C8" s="8">
        <f t="shared" si="0"/>
        <v>46098</v>
      </c>
      <c r="D8" s="7">
        <v>3321</v>
      </c>
      <c r="E8" s="7">
        <v>337</v>
      </c>
      <c r="F8" s="7">
        <v>4</v>
      </c>
      <c r="G8" s="9">
        <v>5</v>
      </c>
      <c r="H8" s="9">
        <v>81698</v>
      </c>
      <c r="I8" s="7" t="s">
        <v>16</v>
      </c>
      <c r="J8" s="10">
        <v>68416542</v>
      </c>
      <c r="K8" s="10" t="s">
        <v>24</v>
      </c>
      <c r="L8" s="11" t="s">
        <v>25</v>
      </c>
      <c r="M8" s="12">
        <v>249900</v>
      </c>
      <c r="N8" s="7" t="str">
        <f t="shared" si="1"/>
        <v>BXGY</v>
      </c>
      <c r="O8" s="13" t="str">
        <f>O7</f>
        <v>B1G1</v>
      </c>
      <c r="P8" s="7" t="str">
        <f t="shared" ref="P8:P35" si="3">P7</f>
        <v>BXGY</v>
      </c>
    </row>
    <row r="9" spans="1:16" x14ac:dyDescent="0.35">
      <c r="A9" s="7" t="str">
        <f t="shared" si="0"/>
        <v>2026 BAMUS B1G1</v>
      </c>
      <c r="B9" s="8">
        <f t="shared" si="0"/>
        <v>46097</v>
      </c>
      <c r="C9" s="8">
        <f t="shared" si="0"/>
        <v>46098</v>
      </c>
      <c r="D9" s="7">
        <v>3321</v>
      </c>
      <c r="E9" s="7">
        <v>337</v>
      </c>
      <c r="F9" s="7">
        <v>4</v>
      </c>
      <c r="G9" s="9">
        <v>5</v>
      </c>
      <c r="H9" s="9">
        <v>81698</v>
      </c>
      <c r="I9" s="7" t="s">
        <v>16</v>
      </c>
      <c r="J9" s="10">
        <v>68416551</v>
      </c>
      <c r="K9" s="10" t="s">
        <v>24</v>
      </c>
      <c r="L9" s="11" t="s">
        <v>26</v>
      </c>
      <c r="M9" s="12">
        <v>249900</v>
      </c>
      <c r="N9" s="7" t="str">
        <f t="shared" si="1"/>
        <v>BXGY</v>
      </c>
      <c r="O9" s="13" t="str">
        <f t="shared" ref="O9:O35" si="4">O8</f>
        <v>B1G1</v>
      </c>
      <c r="P9" s="7" t="str">
        <f t="shared" si="3"/>
        <v>BXGY</v>
      </c>
    </row>
    <row r="10" spans="1:16" x14ac:dyDescent="0.35">
      <c r="A10" s="7" t="str">
        <f t="shared" si="0"/>
        <v>2026 BAMUS B1G1</v>
      </c>
      <c r="B10" s="8">
        <f t="shared" si="0"/>
        <v>46097</v>
      </c>
      <c r="C10" s="8">
        <f t="shared" si="0"/>
        <v>46098</v>
      </c>
      <c r="D10" s="7">
        <v>3321</v>
      </c>
      <c r="E10" s="7">
        <v>337</v>
      </c>
      <c r="F10" s="7">
        <v>4</v>
      </c>
      <c r="G10" s="9">
        <v>5</v>
      </c>
      <c r="H10" s="9">
        <v>81698</v>
      </c>
      <c r="I10" s="7" t="s">
        <v>16</v>
      </c>
      <c r="J10" s="10">
        <v>68416560</v>
      </c>
      <c r="K10" s="10" t="s">
        <v>24</v>
      </c>
      <c r="L10" s="11" t="s">
        <v>27</v>
      </c>
      <c r="M10" s="12">
        <v>249900</v>
      </c>
      <c r="N10" s="7" t="str">
        <f t="shared" si="1"/>
        <v>BXGY</v>
      </c>
      <c r="O10" s="13" t="str">
        <f t="shared" si="4"/>
        <v>B1G1</v>
      </c>
      <c r="P10" s="7" t="str">
        <f t="shared" si="3"/>
        <v>BXGY</v>
      </c>
    </row>
    <row r="11" spans="1:16" x14ac:dyDescent="0.35">
      <c r="A11" s="7" t="str">
        <f t="shared" si="0"/>
        <v>2026 BAMUS B1G1</v>
      </c>
      <c r="B11" s="8">
        <f t="shared" si="0"/>
        <v>46097</v>
      </c>
      <c r="C11" s="8">
        <f t="shared" si="0"/>
        <v>46098</v>
      </c>
      <c r="D11" s="7">
        <v>3321</v>
      </c>
      <c r="E11" s="7">
        <v>337</v>
      </c>
      <c r="F11" s="7">
        <v>4</v>
      </c>
      <c r="G11" s="9">
        <v>5</v>
      </c>
      <c r="H11" s="9">
        <v>81698</v>
      </c>
      <c r="I11" s="7" t="s">
        <v>16</v>
      </c>
      <c r="J11" s="10">
        <v>68416579</v>
      </c>
      <c r="K11" s="10" t="s">
        <v>24</v>
      </c>
      <c r="L11" s="11" t="s">
        <v>28</v>
      </c>
      <c r="M11" s="12">
        <v>249900</v>
      </c>
      <c r="N11" s="7" t="str">
        <f t="shared" si="1"/>
        <v>BXGY</v>
      </c>
      <c r="O11" s="13" t="str">
        <f t="shared" si="4"/>
        <v>B1G1</v>
      </c>
      <c r="P11" s="7" t="str">
        <f t="shared" si="3"/>
        <v>BXGY</v>
      </c>
    </row>
    <row r="12" spans="1:16" x14ac:dyDescent="0.35">
      <c r="A12" s="7" t="str">
        <f t="shared" si="0"/>
        <v>2026 BAMUS B1G1</v>
      </c>
      <c r="B12" s="8">
        <f t="shared" si="0"/>
        <v>46097</v>
      </c>
      <c r="C12" s="8">
        <f t="shared" si="0"/>
        <v>46098</v>
      </c>
      <c r="D12" s="7">
        <v>3321</v>
      </c>
      <c r="E12" s="7">
        <v>337</v>
      </c>
      <c r="F12" s="7">
        <v>4</v>
      </c>
      <c r="G12" s="9">
        <v>5</v>
      </c>
      <c r="H12" s="9">
        <v>81698</v>
      </c>
      <c r="I12" s="7" t="s">
        <v>16</v>
      </c>
      <c r="J12" s="10">
        <v>68416588</v>
      </c>
      <c r="K12" s="10" t="s">
        <v>24</v>
      </c>
      <c r="L12" s="11" t="s">
        <v>29</v>
      </c>
      <c r="M12" s="12">
        <v>249900</v>
      </c>
      <c r="N12" s="7" t="str">
        <f t="shared" si="1"/>
        <v>BXGY</v>
      </c>
      <c r="O12" s="13" t="str">
        <f t="shared" si="4"/>
        <v>B1G1</v>
      </c>
      <c r="P12" s="7" t="str">
        <f t="shared" si="3"/>
        <v>BXGY</v>
      </c>
    </row>
    <row r="13" spans="1:16" x14ac:dyDescent="0.35">
      <c r="A13" s="7" t="str">
        <f t="shared" si="0"/>
        <v>2026 BAMUS B1G1</v>
      </c>
      <c r="B13" s="8">
        <f t="shared" si="0"/>
        <v>46097</v>
      </c>
      <c r="C13" s="8">
        <f t="shared" si="0"/>
        <v>46098</v>
      </c>
      <c r="D13" s="7">
        <v>3321</v>
      </c>
      <c r="E13" s="7">
        <v>337</v>
      </c>
      <c r="F13" s="7">
        <v>4</v>
      </c>
      <c r="G13" s="9">
        <v>5</v>
      </c>
      <c r="H13" s="9">
        <v>81698</v>
      </c>
      <c r="I13" s="7" t="s">
        <v>16</v>
      </c>
      <c r="J13" s="10">
        <v>68416597</v>
      </c>
      <c r="K13" s="10" t="s">
        <v>24</v>
      </c>
      <c r="L13" s="11" t="s">
        <v>30</v>
      </c>
      <c r="M13" s="12">
        <v>249900</v>
      </c>
      <c r="N13" s="7" t="str">
        <f t="shared" si="1"/>
        <v>BXGY</v>
      </c>
      <c r="O13" s="13" t="str">
        <f t="shared" si="4"/>
        <v>B1G1</v>
      </c>
      <c r="P13" s="7" t="str">
        <f t="shared" si="3"/>
        <v>BXGY</v>
      </c>
    </row>
    <row r="14" spans="1:16" x14ac:dyDescent="0.35">
      <c r="A14" s="7" t="str">
        <f t="shared" si="0"/>
        <v>2026 BAMUS B1G1</v>
      </c>
      <c r="B14" s="8">
        <f t="shared" si="0"/>
        <v>46097</v>
      </c>
      <c r="C14" s="8">
        <f t="shared" si="0"/>
        <v>46098</v>
      </c>
      <c r="D14" s="7">
        <v>3321</v>
      </c>
      <c r="E14" s="7">
        <v>337</v>
      </c>
      <c r="F14" s="7">
        <v>4</v>
      </c>
      <c r="G14" s="9">
        <v>5</v>
      </c>
      <c r="H14" s="9">
        <v>81698</v>
      </c>
      <c r="I14" s="7" t="s">
        <v>16</v>
      </c>
      <c r="J14" s="10">
        <v>68416604</v>
      </c>
      <c r="K14" s="10" t="s">
        <v>24</v>
      </c>
      <c r="L14" s="11" t="s">
        <v>31</v>
      </c>
      <c r="M14" s="12">
        <v>249900</v>
      </c>
      <c r="N14" s="7" t="str">
        <f t="shared" si="1"/>
        <v>BXGY</v>
      </c>
      <c r="O14" s="13" t="str">
        <f t="shared" si="4"/>
        <v>B1G1</v>
      </c>
      <c r="P14" s="7" t="str">
        <f t="shared" si="3"/>
        <v>BXGY</v>
      </c>
    </row>
    <row r="15" spans="1:16" x14ac:dyDescent="0.35">
      <c r="A15" s="7" t="str">
        <f t="shared" si="0"/>
        <v>2026 BAMUS B1G1</v>
      </c>
      <c r="B15" s="8">
        <f t="shared" si="0"/>
        <v>46097</v>
      </c>
      <c r="C15" s="8">
        <f t="shared" si="0"/>
        <v>46098</v>
      </c>
      <c r="D15" s="7">
        <v>3321</v>
      </c>
      <c r="E15" s="7">
        <v>337</v>
      </c>
      <c r="F15" s="7">
        <v>4</v>
      </c>
      <c r="G15" s="9">
        <v>4</v>
      </c>
      <c r="H15" s="9">
        <v>81005</v>
      </c>
      <c r="I15" s="7" t="s">
        <v>16</v>
      </c>
      <c r="J15" s="10">
        <v>68397546</v>
      </c>
      <c r="K15" s="10" t="s">
        <v>32</v>
      </c>
      <c r="L15" s="11" t="s">
        <v>33</v>
      </c>
      <c r="M15" s="12">
        <v>179900</v>
      </c>
      <c r="N15" s="7" t="str">
        <f t="shared" si="1"/>
        <v>BXGY</v>
      </c>
      <c r="O15" s="13" t="str">
        <f t="shared" si="4"/>
        <v>B1G1</v>
      </c>
      <c r="P15" s="7" t="str">
        <f t="shared" si="3"/>
        <v>BXGY</v>
      </c>
    </row>
    <row r="16" spans="1:16" x14ac:dyDescent="0.35">
      <c r="A16" s="7" t="str">
        <f t="shared" si="0"/>
        <v>2026 BAMUS B1G1</v>
      </c>
      <c r="B16" s="8">
        <f t="shared" si="0"/>
        <v>46097</v>
      </c>
      <c r="C16" s="8">
        <f t="shared" si="0"/>
        <v>46098</v>
      </c>
      <c r="D16" s="7">
        <v>3321</v>
      </c>
      <c r="E16" s="7">
        <v>337</v>
      </c>
      <c r="F16" s="7">
        <v>4</v>
      </c>
      <c r="G16" s="9">
        <v>4</v>
      </c>
      <c r="H16" s="9">
        <v>81005</v>
      </c>
      <c r="I16" s="7" t="s">
        <v>16</v>
      </c>
      <c r="J16" s="10">
        <v>68397555</v>
      </c>
      <c r="K16" s="10" t="s">
        <v>32</v>
      </c>
      <c r="L16" s="11" t="s">
        <v>34</v>
      </c>
      <c r="M16" s="12">
        <v>179900</v>
      </c>
      <c r="N16" s="7" t="str">
        <f t="shared" si="1"/>
        <v>BXGY</v>
      </c>
      <c r="O16" s="13" t="str">
        <f t="shared" si="4"/>
        <v>B1G1</v>
      </c>
      <c r="P16" s="7" t="str">
        <f t="shared" si="3"/>
        <v>BXGY</v>
      </c>
    </row>
    <row r="17" spans="1:16" x14ac:dyDescent="0.35">
      <c r="A17" s="7" t="str">
        <f t="shared" si="0"/>
        <v>2026 BAMUS B1G1</v>
      </c>
      <c r="B17" s="8">
        <f t="shared" si="0"/>
        <v>46097</v>
      </c>
      <c r="C17" s="8">
        <f t="shared" si="0"/>
        <v>46098</v>
      </c>
      <c r="D17" s="7">
        <v>3321</v>
      </c>
      <c r="E17" s="7">
        <v>337</v>
      </c>
      <c r="F17" s="7">
        <v>4</v>
      </c>
      <c r="G17" s="9">
        <v>4</v>
      </c>
      <c r="H17" s="9">
        <v>81005</v>
      </c>
      <c r="I17" s="7" t="s">
        <v>16</v>
      </c>
      <c r="J17" s="10">
        <v>68397564</v>
      </c>
      <c r="K17" s="10" t="s">
        <v>32</v>
      </c>
      <c r="L17" s="11" t="s">
        <v>35</v>
      </c>
      <c r="M17" s="12">
        <v>179900</v>
      </c>
      <c r="N17" s="7" t="str">
        <f t="shared" si="1"/>
        <v>BXGY</v>
      </c>
      <c r="O17" s="13" t="str">
        <f t="shared" si="4"/>
        <v>B1G1</v>
      </c>
      <c r="P17" s="7" t="str">
        <f t="shared" si="3"/>
        <v>BXGY</v>
      </c>
    </row>
    <row r="18" spans="1:16" x14ac:dyDescent="0.35">
      <c r="A18" s="7" t="str">
        <f t="shared" si="0"/>
        <v>2026 BAMUS B1G1</v>
      </c>
      <c r="B18" s="8">
        <f t="shared" si="0"/>
        <v>46097</v>
      </c>
      <c r="C18" s="8">
        <f t="shared" si="0"/>
        <v>46098</v>
      </c>
      <c r="D18" s="7">
        <v>3321</v>
      </c>
      <c r="E18" s="7">
        <v>337</v>
      </c>
      <c r="F18" s="7">
        <v>4</v>
      </c>
      <c r="G18" s="9">
        <v>4</v>
      </c>
      <c r="H18" s="9">
        <v>81005</v>
      </c>
      <c r="I18" s="7" t="s">
        <v>16</v>
      </c>
      <c r="J18" s="10">
        <v>68397573</v>
      </c>
      <c r="K18" s="10" t="s">
        <v>32</v>
      </c>
      <c r="L18" s="11" t="s">
        <v>36</v>
      </c>
      <c r="M18" s="12">
        <v>179900</v>
      </c>
      <c r="N18" s="7" t="str">
        <f t="shared" si="1"/>
        <v>BXGY</v>
      </c>
      <c r="O18" s="13" t="str">
        <f t="shared" si="4"/>
        <v>B1G1</v>
      </c>
      <c r="P18" s="7" t="str">
        <f t="shared" si="3"/>
        <v>BXGY</v>
      </c>
    </row>
    <row r="19" spans="1:16" x14ac:dyDescent="0.35">
      <c r="A19" s="7" t="str">
        <f t="shared" si="0"/>
        <v>2026 BAMUS B1G1</v>
      </c>
      <c r="B19" s="8">
        <f t="shared" si="0"/>
        <v>46097</v>
      </c>
      <c r="C19" s="8">
        <f t="shared" si="0"/>
        <v>46098</v>
      </c>
      <c r="D19" s="7">
        <v>3321</v>
      </c>
      <c r="E19" s="7">
        <v>337</v>
      </c>
      <c r="F19" s="7">
        <v>4</v>
      </c>
      <c r="G19" s="9">
        <v>4</v>
      </c>
      <c r="H19" s="9">
        <v>81005</v>
      </c>
      <c r="I19" s="7" t="s">
        <v>16</v>
      </c>
      <c r="J19" s="10">
        <v>68397582</v>
      </c>
      <c r="K19" s="10" t="s">
        <v>32</v>
      </c>
      <c r="L19" s="11" t="s">
        <v>37</v>
      </c>
      <c r="M19" s="12">
        <v>179900</v>
      </c>
      <c r="N19" s="7" t="str">
        <f t="shared" si="1"/>
        <v>BXGY</v>
      </c>
      <c r="O19" s="13" t="str">
        <f t="shared" si="4"/>
        <v>B1G1</v>
      </c>
      <c r="P19" s="7" t="str">
        <f t="shared" si="3"/>
        <v>BXGY</v>
      </c>
    </row>
    <row r="20" spans="1:16" x14ac:dyDescent="0.35">
      <c r="A20" s="7" t="str">
        <f t="shared" si="0"/>
        <v>2026 BAMUS B1G1</v>
      </c>
      <c r="B20" s="8">
        <f t="shared" si="0"/>
        <v>46097</v>
      </c>
      <c r="C20" s="8">
        <f t="shared" si="0"/>
        <v>46098</v>
      </c>
      <c r="D20" s="7">
        <v>3321</v>
      </c>
      <c r="E20" s="7">
        <v>337</v>
      </c>
      <c r="F20" s="7">
        <v>4</v>
      </c>
      <c r="G20" s="9">
        <v>4</v>
      </c>
      <c r="H20" s="9">
        <v>81005</v>
      </c>
      <c r="I20" s="7" t="s">
        <v>16</v>
      </c>
      <c r="J20" s="10">
        <v>68397591</v>
      </c>
      <c r="K20" s="10" t="s">
        <v>32</v>
      </c>
      <c r="L20" s="11" t="s">
        <v>38</v>
      </c>
      <c r="M20" s="12">
        <v>179900</v>
      </c>
      <c r="N20" s="7" t="str">
        <f t="shared" si="1"/>
        <v>BXGY</v>
      </c>
      <c r="O20" s="13" t="str">
        <f t="shared" si="4"/>
        <v>B1G1</v>
      </c>
      <c r="P20" s="7" t="str">
        <f t="shared" si="3"/>
        <v>BXGY</v>
      </c>
    </row>
    <row r="21" spans="1:16" x14ac:dyDescent="0.35">
      <c r="A21" s="7" t="str">
        <f t="shared" si="0"/>
        <v>2026 BAMUS B1G1</v>
      </c>
      <c r="B21" s="8">
        <f t="shared" si="0"/>
        <v>46097</v>
      </c>
      <c r="C21" s="8">
        <f t="shared" si="0"/>
        <v>46098</v>
      </c>
      <c r="D21" s="7">
        <v>3321</v>
      </c>
      <c r="E21" s="7">
        <v>337</v>
      </c>
      <c r="F21" s="7">
        <v>4</v>
      </c>
      <c r="G21" s="9">
        <v>4</v>
      </c>
      <c r="H21" s="9">
        <v>81005</v>
      </c>
      <c r="I21" s="7" t="s">
        <v>16</v>
      </c>
      <c r="J21" s="10">
        <v>68397608</v>
      </c>
      <c r="K21" s="10" t="s">
        <v>32</v>
      </c>
      <c r="L21" s="11" t="s">
        <v>39</v>
      </c>
      <c r="M21" s="12">
        <v>179900</v>
      </c>
      <c r="N21" s="7" t="str">
        <f t="shared" si="1"/>
        <v>BXGY</v>
      </c>
      <c r="O21" s="13" t="str">
        <f t="shared" si="4"/>
        <v>B1G1</v>
      </c>
      <c r="P21" s="7" t="str">
        <f t="shared" si="3"/>
        <v>BXGY</v>
      </c>
    </row>
    <row r="22" spans="1:16" x14ac:dyDescent="0.35">
      <c r="A22" s="7" t="str">
        <f t="shared" si="0"/>
        <v>2026 BAMUS B1G1</v>
      </c>
      <c r="B22" s="8">
        <f t="shared" si="0"/>
        <v>46097</v>
      </c>
      <c r="C22" s="8">
        <f t="shared" si="0"/>
        <v>46098</v>
      </c>
      <c r="D22" s="7">
        <v>3321</v>
      </c>
      <c r="E22" s="7">
        <v>337</v>
      </c>
      <c r="F22" s="7">
        <v>4</v>
      </c>
      <c r="G22" s="9">
        <v>5</v>
      </c>
      <c r="H22" s="9">
        <v>81005</v>
      </c>
      <c r="I22" s="7" t="s">
        <v>16</v>
      </c>
      <c r="J22" s="10">
        <v>69563524</v>
      </c>
      <c r="K22" s="10" t="s">
        <v>40</v>
      </c>
      <c r="L22" s="11" t="s">
        <v>41</v>
      </c>
      <c r="M22" s="12">
        <v>249900</v>
      </c>
      <c r="N22" s="7" t="str">
        <f t="shared" si="1"/>
        <v>BXGY</v>
      </c>
      <c r="O22" s="13" t="str">
        <f t="shared" si="4"/>
        <v>B1G1</v>
      </c>
      <c r="P22" s="7" t="str">
        <f t="shared" si="3"/>
        <v>BXGY</v>
      </c>
    </row>
    <row r="23" spans="1:16" x14ac:dyDescent="0.35">
      <c r="A23" s="7" t="str">
        <f t="shared" si="0"/>
        <v>2026 BAMUS B1G1</v>
      </c>
      <c r="B23" s="8">
        <f t="shared" si="0"/>
        <v>46097</v>
      </c>
      <c r="C23" s="8">
        <f t="shared" si="0"/>
        <v>46098</v>
      </c>
      <c r="D23" s="7">
        <v>3321</v>
      </c>
      <c r="E23" s="7">
        <v>337</v>
      </c>
      <c r="F23" s="7">
        <v>4</v>
      </c>
      <c r="G23" s="9">
        <v>5</v>
      </c>
      <c r="H23" s="9">
        <v>81005</v>
      </c>
      <c r="I23" s="7" t="s">
        <v>16</v>
      </c>
      <c r="J23" s="10">
        <v>69563533</v>
      </c>
      <c r="K23" s="10" t="s">
        <v>40</v>
      </c>
      <c r="L23" s="11" t="s">
        <v>42</v>
      </c>
      <c r="M23" s="12">
        <v>249900</v>
      </c>
      <c r="N23" s="7" t="str">
        <f t="shared" si="1"/>
        <v>BXGY</v>
      </c>
      <c r="O23" s="13" t="str">
        <f t="shared" si="4"/>
        <v>B1G1</v>
      </c>
      <c r="P23" s="7" t="str">
        <f t="shared" si="3"/>
        <v>BXGY</v>
      </c>
    </row>
    <row r="24" spans="1:16" x14ac:dyDescent="0.35">
      <c r="A24" s="7" t="str">
        <f t="shared" si="0"/>
        <v>2026 BAMUS B1G1</v>
      </c>
      <c r="B24" s="8">
        <f t="shared" si="0"/>
        <v>46097</v>
      </c>
      <c r="C24" s="8">
        <f t="shared" si="0"/>
        <v>46098</v>
      </c>
      <c r="D24" s="7">
        <v>3321</v>
      </c>
      <c r="E24" s="7">
        <v>337</v>
      </c>
      <c r="F24" s="7">
        <v>4</v>
      </c>
      <c r="G24" s="9">
        <v>5</v>
      </c>
      <c r="H24" s="9">
        <v>81005</v>
      </c>
      <c r="I24" s="7" t="s">
        <v>16</v>
      </c>
      <c r="J24" s="10">
        <v>69563542</v>
      </c>
      <c r="K24" s="10" t="s">
        <v>40</v>
      </c>
      <c r="L24" s="11" t="s">
        <v>43</v>
      </c>
      <c r="M24" s="12">
        <v>249900</v>
      </c>
      <c r="N24" s="7" t="str">
        <f t="shared" si="1"/>
        <v>BXGY</v>
      </c>
      <c r="O24" s="13" t="str">
        <f t="shared" si="4"/>
        <v>B1G1</v>
      </c>
      <c r="P24" s="7" t="str">
        <f t="shared" si="3"/>
        <v>BXGY</v>
      </c>
    </row>
    <row r="25" spans="1:16" x14ac:dyDescent="0.35">
      <c r="A25" s="7" t="str">
        <f t="shared" si="0"/>
        <v>2026 BAMUS B1G1</v>
      </c>
      <c r="B25" s="8">
        <f t="shared" si="0"/>
        <v>46097</v>
      </c>
      <c r="C25" s="8">
        <f t="shared" si="0"/>
        <v>46098</v>
      </c>
      <c r="D25" s="7">
        <v>3321</v>
      </c>
      <c r="E25" s="7">
        <v>337</v>
      </c>
      <c r="F25" s="7">
        <v>4</v>
      </c>
      <c r="G25" s="9">
        <v>5</v>
      </c>
      <c r="H25" s="9">
        <v>81005</v>
      </c>
      <c r="I25" s="7" t="s">
        <v>16</v>
      </c>
      <c r="J25" s="10">
        <v>69563551</v>
      </c>
      <c r="K25" s="10" t="s">
        <v>40</v>
      </c>
      <c r="L25" s="11" t="s">
        <v>44</v>
      </c>
      <c r="M25" s="12">
        <v>249900</v>
      </c>
      <c r="N25" s="7" t="str">
        <f t="shared" si="1"/>
        <v>BXGY</v>
      </c>
      <c r="O25" s="13" t="str">
        <f t="shared" si="4"/>
        <v>B1G1</v>
      </c>
      <c r="P25" s="7" t="str">
        <f t="shared" si="3"/>
        <v>BXGY</v>
      </c>
    </row>
    <row r="26" spans="1:16" x14ac:dyDescent="0.35">
      <c r="A26" s="14" t="str">
        <f t="shared" si="0"/>
        <v>2026 BAMUS B1G1</v>
      </c>
      <c r="B26" s="15">
        <f t="shared" si="0"/>
        <v>46097</v>
      </c>
      <c r="C26" s="15">
        <f t="shared" si="0"/>
        <v>46098</v>
      </c>
      <c r="D26" s="14">
        <v>3321</v>
      </c>
      <c r="E26" s="14">
        <v>337</v>
      </c>
      <c r="F26" s="14">
        <v>4</v>
      </c>
      <c r="G26" s="9">
        <v>5</v>
      </c>
      <c r="H26" s="9">
        <v>81005</v>
      </c>
      <c r="I26" s="14" t="s">
        <v>16</v>
      </c>
      <c r="J26" s="10">
        <v>69563560</v>
      </c>
      <c r="K26" s="10" t="s">
        <v>40</v>
      </c>
      <c r="L26" s="11" t="s">
        <v>45</v>
      </c>
      <c r="M26" s="12">
        <v>249900</v>
      </c>
      <c r="N26" s="7" t="str">
        <f t="shared" si="1"/>
        <v>BXGY</v>
      </c>
      <c r="O26" s="13" t="str">
        <f t="shared" si="4"/>
        <v>B1G1</v>
      </c>
      <c r="P26" s="7" t="str">
        <f t="shared" si="3"/>
        <v>BXGY</v>
      </c>
    </row>
    <row r="27" spans="1:16" x14ac:dyDescent="0.35">
      <c r="A27" s="7" t="str">
        <f t="shared" si="0"/>
        <v>2026 BAMUS B1G1</v>
      </c>
      <c r="B27" s="8">
        <f t="shared" si="0"/>
        <v>46097</v>
      </c>
      <c r="C27" s="8">
        <f t="shared" si="0"/>
        <v>46098</v>
      </c>
      <c r="D27" s="7">
        <v>3321</v>
      </c>
      <c r="E27" s="7">
        <v>337</v>
      </c>
      <c r="F27" s="7">
        <v>4</v>
      </c>
      <c r="G27" s="10">
        <v>5</v>
      </c>
      <c r="H27" s="10">
        <v>81005</v>
      </c>
      <c r="I27" s="7" t="s">
        <v>16</v>
      </c>
      <c r="J27" s="10">
        <v>69563579</v>
      </c>
      <c r="K27" s="10" t="s">
        <v>40</v>
      </c>
      <c r="L27" s="16" t="s">
        <v>46</v>
      </c>
      <c r="M27" s="17">
        <v>249900</v>
      </c>
      <c r="N27" s="7" t="str">
        <f t="shared" si="1"/>
        <v>BXGY</v>
      </c>
      <c r="O27" s="13" t="str">
        <f t="shared" si="4"/>
        <v>B1G1</v>
      </c>
      <c r="P27" s="7" t="str">
        <f t="shared" si="3"/>
        <v>BXGY</v>
      </c>
    </row>
    <row r="28" spans="1:16" x14ac:dyDescent="0.35">
      <c r="A28" s="7" t="str">
        <f t="shared" si="0"/>
        <v>2026 BAMUS B1G1</v>
      </c>
      <c r="B28" s="8">
        <f t="shared" si="0"/>
        <v>46097</v>
      </c>
      <c r="C28" s="8">
        <f t="shared" si="0"/>
        <v>46098</v>
      </c>
      <c r="D28" s="7">
        <v>3321</v>
      </c>
      <c r="E28" s="7">
        <v>337</v>
      </c>
      <c r="F28" s="7">
        <v>4</v>
      </c>
      <c r="G28" s="10">
        <v>5</v>
      </c>
      <c r="H28" s="10">
        <v>81005</v>
      </c>
      <c r="I28" s="7" t="s">
        <v>16</v>
      </c>
      <c r="J28" s="10">
        <v>69563588</v>
      </c>
      <c r="K28" s="10" t="s">
        <v>40</v>
      </c>
      <c r="L28" s="16" t="s">
        <v>47</v>
      </c>
      <c r="M28" s="17">
        <v>249900</v>
      </c>
      <c r="N28" s="7" t="str">
        <f t="shared" si="1"/>
        <v>BXGY</v>
      </c>
      <c r="O28" s="13" t="str">
        <f t="shared" si="4"/>
        <v>B1G1</v>
      </c>
      <c r="P28" s="7" t="str">
        <f t="shared" si="3"/>
        <v>BXGY</v>
      </c>
    </row>
    <row r="29" spans="1:16" x14ac:dyDescent="0.35">
      <c r="A29" s="7" t="str">
        <f t="shared" ref="A29:C35" si="5">A28</f>
        <v>2026 BAMUS B1G1</v>
      </c>
      <c r="B29" s="8">
        <f t="shared" si="5"/>
        <v>46097</v>
      </c>
      <c r="C29" s="8">
        <f t="shared" si="5"/>
        <v>46098</v>
      </c>
      <c r="D29" s="7">
        <v>3321</v>
      </c>
      <c r="E29" s="7">
        <v>337</v>
      </c>
      <c r="F29" s="7">
        <v>4</v>
      </c>
      <c r="G29" s="10">
        <v>2</v>
      </c>
      <c r="H29" s="10">
        <v>81005</v>
      </c>
      <c r="I29" s="7" t="s">
        <v>16</v>
      </c>
      <c r="J29" s="10">
        <v>68416471</v>
      </c>
      <c r="K29" s="10" t="s">
        <v>48</v>
      </c>
      <c r="L29" s="16" t="s">
        <v>49</v>
      </c>
      <c r="M29" s="17">
        <v>199900</v>
      </c>
      <c r="N29" s="7" t="str">
        <f t="shared" si="1"/>
        <v>BXGY</v>
      </c>
      <c r="O29" s="13" t="str">
        <f t="shared" si="4"/>
        <v>B1G1</v>
      </c>
      <c r="P29" s="7" t="str">
        <f t="shared" si="3"/>
        <v>BXGY</v>
      </c>
    </row>
    <row r="30" spans="1:16" x14ac:dyDescent="0.35">
      <c r="A30" s="7" t="str">
        <f t="shared" si="5"/>
        <v>2026 BAMUS B1G1</v>
      </c>
      <c r="B30" s="8">
        <f t="shared" si="5"/>
        <v>46097</v>
      </c>
      <c r="C30" s="8">
        <f t="shared" si="5"/>
        <v>46098</v>
      </c>
      <c r="D30" s="7">
        <v>3321</v>
      </c>
      <c r="E30" s="7">
        <v>337</v>
      </c>
      <c r="F30" s="7">
        <v>4</v>
      </c>
      <c r="G30" s="10">
        <v>2</v>
      </c>
      <c r="H30" s="10">
        <v>81005</v>
      </c>
      <c r="I30" s="7" t="s">
        <v>16</v>
      </c>
      <c r="J30" s="10">
        <v>68416480</v>
      </c>
      <c r="K30" s="10" t="s">
        <v>48</v>
      </c>
      <c r="L30" s="16" t="s">
        <v>50</v>
      </c>
      <c r="M30" s="17">
        <v>199900</v>
      </c>
      <c r="N30" s="7" t="str">
        <f t="shared" si="1"/>
        <v>BXGY</v>
      </c>
      <c r="O30" s="13" t="str">
        <f t="shared" si="4"/>
        <v>B1G1</v>
      </c>
      <c r="P30" s="7" t="str">
        <f t="shared" si="3"/>
        <v>BXGY</v>
      </c>
    </row>
    <row r="31" spans="1:16" x14ac:dyDescent="0.35">
      <c r="A31" s="7" t="str">
        <f t="shared" si="5"/>
        <v>2026 BAMUS B1G1</v>
      </c>
      <c r="B31" s="8">
        <f t="shared" si="5"/>
        <v>46097</v>
      </c>
      <c r="C31" s="8">
        <f t="shared" si="5"/>
        <v>46098</v>
      </c>
      <c r="D31" s="7">
        <v>3321</v>
      </c>
      <c r="E31" s="7">
        <v>337</v>
      </c>
      <c r="F31" s="7">
        <v>4</v>
      </c>
      <c r="G31" s="10">
        <v>2</v>
      </c>
      <c r="H31" s="10">
        <v>81005</v>
      </c>
      <c r="I31" s="7" t="s">
        <v>16</v>
      </c>
      <c r="J31" s="10">
        <v>68416499</v>
      </c>
      <c r="K31" s="10" t="s">
        <v>48</v>
      </c>
      <c r="L31" s="16" t="s">
        <v>51</v>
      </c>
      <c r="M31" s="17">
        <v>199900</v>
      </c>
      <c r="N31" s="7" t="str">
        <f t="shared" si="1"/>
        <v>BXGY</v>
      </c>
      <c r="O31" s="13" t="str">
        <f t="shared" si="4"/>
        <v>B1G1</v>
      </c>
      <c r="P31" s="7" t="str">
        <f t="shared" si="3"/>
        <v>BXGY</v>
      </c>
    </row>
    <row r="32" spans="1:16" x14ac:dyDescent="0.35">
      <c r="A32" s="7" t="str">
        <f t="shared" si="5"/>
        <v>2026 BAMUS B1G1</v>
      </c>
      <c r="B32" s="8">
        <f t="shared" si="5"/>
        <v>46097</v>
      </c>
      <c r="C32" s="8">
        <f t="shared" si="5"/>
        <v>46098</v>
      </c>
      <c r="D32" s="7">
        <v>3321</v>
      </c>
      <c r="E32" s="7">
        <v>337</v>
      </c>
      <c r="F32" s="7">
        <v>4</v>
      </c>
      <c r="G32" s="10">
        <v>2</v>
      </c>
      <c r="H32" s="10">
        <v>81005</v>
      </c>
      <c r="I32" s="7" t="s">
        <v>16</v>
      </c>
      <c r="J32" s="18">
        <v>68416506</v>
      </c>
      <c r="K32" s="10" t="s">
        <v>48</v>
      </c>
      <c r="L32" s="16" t="s">
        <v>52</v>
      </c>
      <c r="M32" s="17">
        <v>199900</v>
      </c>
      <c r="N32" s="7" t="str">
        <f t="shared" si="1"/>
        <v>BXGY</v>
      </c>
      <c r="O32" s="13" t="str">
        <f t="shared" si="4"/>
        <v>B1G1</v>
      </c>
      <c r="P32" s="7" t="str">
        <f t="shared" si="3"/>
        <v>BXGY</v>
      </c>
    </row>
    <row r="33" spans="1:16" x14ac:dyDescent="0.35">
      <c r="A33" s="7" t="str">
        <f t="shared" si="5"/>
        <v>2026 BAMUS B1G1</v>
      </c>
      <c r="B33" s="8">
        <f t="shared" si="5"/>
        <v>46097</v>
      </c>
      <c r="C33" s="8">
        <f t="shared" si="5"/>
        <v>46098</v>
      </c>
      <c r="D33" s="7">
        <v>3321</v>
      </c>
      <c r="E33" s="7">
        <v>337</v>
      </c>
      <c r="F33" s="7">
        <v>4</v>
      </c>
      <c r="G33" s="10">
        <v>2</v>
      </c>
      <c r="H33" s="10">
        <v>81005</v>
      </c>
      <c r="I33" s="7" t="s">
        <v>16</v>
      </c>
      <c r="J33" s="18">
        <v>68416515</v>
      </c>
      <c r="K33" s="10" t="s">
        <v>48</v>
      </c>
      <c r="L33" s="16" t="s">
        <v>53</v>
      </c>
      <c r="M33" s="17">
        <v>199900</v>
      </c>
      <c r="N33" s="7" t="str">
        <f t="shared" si="1"/>
        <v>BXGY</v>
      </c>
      <c r="O33" s="13" t="str">
        <f t="shared" si="4"/>
        <v>B1G1</v>
      </c>
      <c r="P33" s="7" t="str">
        <f t="shared" si="3"/>
        <v>BXGY</v>
      </c>
    </row>
    <row r="34" spans="1:16" x14ac:dyDescent="0.35">
      <c r="A34" s="7" t="str">
        <f t="shared" si="5"/>
        <v>2026 BAMUS B1G1</v>
      </c>
      <c r="B34" s="8">
        <f t="shared" si="5"/>
        <v>46097</v>
      </c>
      <c r="C34" s="8">
        <f t="shared" si="5"/>
        <v>46098</v>
      </c>
      <c r="D34" s="7">
        <v>3321</v>
      </c>
      <c r="E34" s="7">
        <v>337</v>
      </c>
      <c r="F34" s="7">
        <v>4</v>
      </c>
      <c r="G34" s="10">
        <v>2</v>
      </c>
      <c r="H34" s="10">
        <v>81005</v>
      </c>
      <c r="I34" s="7" t="s">
        <v>16</v>
      </c>
      <c r="J34" s="18">
        <v>68416524</v>
      </c>
      <c r="K34" s="10" t="s">
        <v>48</v>
      </c>
      <c r="L34" s="16" t="s">
        <v>54</v>
      </c>
      <c r="M34" s="17">
        <v>199900</v>
      </c>
      <c r="N34" s="7" t="str">
        <f t="shared" si="1"/>
        <v>BXGY</v>
      </c>
      <c r="O34" s="13" t="str">
        <f t="shared" si="4"/>
        <v>B1G1</v>
      </c>
      <c r="P34" s="7" t="str">
        <f t="shared" si="3"/>
        <v>BXGY</v>
      </c>
    </row>
    <row r="35" spans="1:16" x14ac:dyDescent="0.35">
      <c r="A35" s="7" t="str">
        <f t="shared" si="5"/>
        <v>2026 BAMUS B1G1</v>
      </c>
      <c r="B35" s="8">
        <f t="shared" si="5"/>
        <v>46097</v>
      </c>
      <c r="C35" s="8">
        <f t="shared" si="5"/>
        <v>46098</v>
      </c>
      <c r="D35" s="7">
        <v>3321</v>
      </c>
      <c r="E35" s="7">
        <v>337</v>
      </c>
      <c r="F35" s="7">
        <v>4</v>
      </c>
      <c r="G35" s="10">
        <v>2</v>
      </c>
      <c r="H35" s="10">
        <v>81005</v>
      </c>
      <c r="I35" s="7" t="s">
        <v>16</v>
      </c>
      <c r="J35" s="18">
        <v>68416533</v>
      </c>
      <c r="K35" s="10" t="s">
        <v>48</v>
      </c>
      <c r="L35" s="16" t="s">
        <v>55</v>
      </c>
      <c r="M35" s="17">
        <v>199900</v>
      </c>
      <c r="N35" s="7" t="str">
        <f t="shared" si="1"/>
        <v>BXGY</v>
      </c>
      <c r="O35" s="13" t="str">
        <f t="shared" si="4"/>
        <v>B1G1</v>
      </c>
      <c r="P35" s="7" t="str">
        <f t="shared" si="3"/>
        <v>BXGY</v>
      </c>
    </row>
  </sheetData>
  <autoFilter ref="A1:P1" xr:uid="{A98DA6A5-931F-4C4C-A73C-7E8B7CE9A86D}"/>
  <phoneticPr fontId="5" type="noConversion"/>
  <conditionalFormatting sqref="J1">
    <cfRule type="duplicateValues" dxfId="4" priority="2"/>
    <cfRule type="duplicateValues" dxfId="3" priority="3"/>
    <cfRule type="duplicateValues" dxfId="2" priority="4"/>
  </conditionalFormatting>
  <conditionalFormatting sqref="J1:J1048576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F1CE-E229-47DF-A484-5A6F15AA2C19}">
  <sheetPr>
    <tabColor rgb="FFFFFF00"/>
  </sheetPr>
  <dimension ref="A1:P41"/>
  <sheetViews>
    <sheetView tabSelected="1" zoomScale="69" zoomScaleNormal="59" workbookViewId="0">
      <pane ySplit="1" topLeftCell="A2" activePane="bottomLeft" state="frozen"/>
      <selection activeCell="L23" sqref="L23"/>
      <selection pane="bottomLeft" activeCell="O6" sqref="O6"/>
    </sheetView>
  </sheetViews>
  <sheetFormatPr defaultColWidth="8.81640625" defaultRowHeight="14.5" x14ac:dyDescent="0.35"/>
  <cols>
    <col min="1" max="1" width="16.90625" style="6" customWidth="1"/>
    <col min="2" max="2" width="12.08984375" style="19" customWidth="1"/>
    <col min="3" max="3" width="11.1796875" style="19" customWidth="1"/>
    <col min="4" max="4" width="10" style="6" bestFit="1" customWidth="1"/>
    <col min="5" max="5" width="6.453125" style="6" customWidth="1"/>
    <col min="6" max="6" width="8.81640625" style="6" customWidth="1"/>
    <col min="7" max="7" width="6.81640625" style="6" customWidth="1"/>
    <col min="8" max="8" width="9.54296875" style="6" customWidth="1"/>
    <col min="9" max="9" width="9.81640625" style="6" customWidth="1"/>
    <col min="10" max="10" width="11.1796875" style="6" customWidth="1"/>
    <col min="11" max="11" width="12.453125" style="6" bestFit="1" customWidth="1"/>
    <col min="12" max="12" width="76.1796875" style="6" customWidth="1"/>
    <col min="13" max="13" width="14.36328125" style="21" customWidth="1"/>
    <col min="14" max="14" width="8.81640625" style="22" customWidth="1"/>
    <col min="15" max="15" width="18" style="21" customWidth="1"/>
    <col min="16" max="16" width="14.5429687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104</v>
      </c>
      <c r="B2" s="8">
        <v>46097</v>
      </c>
      <c r="C2" s="8">
        <v>46098</v>
      </c>
      <c r="D2" s="7">
        <v>3281</v>
      </c>
      <c r="E2" s="7">
        <v>337</v>
      </c>
      <c r="F2" s="7">
        <v>4</v>
      </c>
      <c r="G2" s="10">
        <v>2</v>
      </c>
      <c r="H2" s="10">
        <v>81506</v>
      </c>
      <c r="I2" s="7" t="s">
        <v>56</v>
      </c>
      <c r="J2" s="10">
        <v>67948907</v>
      </c>
      <c r="K2" s="10" t="s">
        <v>57</v>
      </c>
      <c r="L2" s="23" t="s">
        <v>58</v>
      </c>
      <c r="M2" s="17">
        <v>179900</v>
      </c>
      <c r="N2" s="7" t="s">
        <v>105</v>
      </c>
      <c r="O2" s="13" t="s">
        <v>106</v>
      </c>
      <c r="P2" s="7" t="s">
        <v>105</v>
      </c>
    </row>
    <row r="3" spans="1:16" x14ac:dyDescent="0.35">
      <c r="A3" s="7" t="str">
        <f>A2</f>
        <v>2026 BAMUS B1G1</v>
      </c>
      <c r="B3" s="8">
        <f t="shared" ref="A3:C18" si="0">B2</f>
        <v>46097</v>
      </c>
      <c r="C3" s="8">
        <f t="shared" si="0"/>
        <v>46098</v>
      </c>
      <c r="D3" s="7">
        <v>3281</v>
      </c>
      <c r="E3" s="7">
        <v>337</v>
      </c>
      <c r="F3" s="7">
        <v>4</v>
      </c>
      <c r="G3" s="10">
        <v>2</v>
      </c>
      <c r="H3" s="10">
        <v>81506</v>
      </c>
      <c r="I3" s="7" t="s">
        <v>56</v>
      </c>
      <c r="J3" s="10">
        <v>67948916</v>
      </c>
      <c r="K3" s="10" t="s">
        <v>57</v>
      </c>
      <c r="L3" s="23" t="s">
        <v>59</v>
      </c>
      <c r="M3" s="17">
        <v>179900</v>
      </c>
      <c r="N3" s="7" t="str">
        <f>N2</f>
        <v>BXGY</v>
      </c>
      <c r="O3" s="13" t="str">
        <f>O2</f>
        <v>B1G1</v>
      </c>
      <c r="P3" s="7" t="str">
        <f>P2</f>
        <v>BXGY</v>
      </c>
    </row>
    <row r="4" spans="1:16" x14ac:dyDescent="0.35">
      <c r="A4" s="7" t="str">
        <f t="shared" si="0"/>
        <v>2026 BAMUS B1G1</v>
      </c>
      <c r="B4" s="8">
        <f t="shared" si="0"/>
        <v>46097</v>
      </c>
      <c r="C4" s="8">
        <f t="shared" si="0"/>
        <v>46098</v>
      </c>
      <c r="D4" s="7">
        <v>3281</v>
      </c>
      <c r="E4" s="7">
        <v>337</v>
      </c>
      <c r="F4" s="7">
        <v>4</v>
      </c>
      <c r="G4" s="10">
        <v>2</v>
      </c>
      <c r="H4" s="10">
        <v>81506</v>
      </c>
      <c r="I4" s="7" t="s">
        <v>56</v>
      </c>
      <c r="J4" s="10">
        <v>67948925</v>
      </c>
      <c r="K4" s="10" t="s">
        <v>57</v>
      </c>
      <c r="L4" s="23" t="s">
        <v>60</v>
      </c>
      <c r="M4" s="17">
        <v>179900</v>
      </c>
      <c r="N4" s="7" t="str">
        <f t="shared" ref="N4:N41" si="1">N3</f>
        <v>BXGY</v>
      </c>
      <c r="O4" s="13" t="str">
        <f>O3</f>
        <v>B1G1</v>
      </c>
      <c r="P4" s="7" t="str">
        <f t="shared" ref="P4:P41" si="2">P3</f>
        <v>BXGY</v>
      </c>
    </row>
    <row r="5" spans="1:16" x14ac:dyDescent="0.35">
      <c r="A5" s="7" t="str">
        <f t="shared" si="0"/>
        <v>2026 BAMUS B1G1</v>
      </c>
      <c r="B5" s="8">
        <f t="shared" si="0"/>
        <v>46097</v>
      </c>
      <c r="C5" s="8">
        <f t="shared" si="0"/>
        <v>46098</v>
      </c>
      <c r="D5" s="7">
        <v>3281</v>
      </c>
      <c r="E5" s="7">
        <v>337</v>
      </c>
      <c r="F5" s="7">
        <v>4</v>
      </c>
      <c r="G5" s="10">
        <v>2</v>
      </c>
      <c r="H5" s="10">
        <v>81506</v>
      </c>
      <c r="I5" s="7" t="s">
        <v>56</v>
      </c>
      <c r="J5" s="10">
        <v>67948934</v>
      </c>
      <c r="K5" s="10" t="s">
        <v>57</v>
      </c>
      <c r="L5" s="23" t="s">
        <v>61</v>
      </c>
      <c r="M5" s="17">
        <v>179900</v>
      </c>
      <c r="N5" s="7" t="str">
        <f t="shared" si="1"/>
        <v>BXGY</v>
      </c>
      <c r="O5" s="13" t="str">
        <f>O4</f>
        <v>B1G1</v>
      </c>
      <c r="P5" s="7" t="str">
        <f t="shared" si="2"/>
        <v>BXGY</v>
      </c>
    </row>
    <row r="6" spans="1:16" x14ac:dyDescent="0.35">
      <c r="A6" s="7" t="str">
        <f t="shared" si="0"/>
        <v>2026 BAMUS B1G1</v>
      </c>
      <c r="B6" s="8">
        <f t="shared" si="0"/>
        <v>46097</v>
      </c>
      <c r="C6" s="8">
        <f t="shared" si="0"/>
        <v>46098</v>
      </c>
      <c r="D6" s="7">
        <v>3281</v>
      </c>
      <c r="E6" s="7">
        <v>337</v>
      </c>
      <c r="F6" s="7">
        <v>4</v>
      </c>
      <c r="G6" s="10">
        <v>2</v>
      </c>
      <c r="H6" s="10">
        <v>81506</v>
      </c>
      <c r="I6" s="7" t="s">
        <v>56</v>
      </c>
      <c r="J6" s="10">
        <v>67948943</v>
      </c>
      <c r="K6" s="10" t="s">
        <v>57</v>
      </c>
      <c r="L6" s="23" t="s">
        <v>62</v>
      </c>
      <c r="M6" s="17">
        <v>179900</v>
      </c>
      <c r="N6" s="7" t="str">
        <f t="shared" si="1"/>
        <v>BXGY</v>
      </c>
      <c r="O6" s="13" t="str">
        <f t="shared" ref="O6:O41" si="3">O5</f>
        <v>B1G1</v>
      </c>
      <c r="P6" s="7" t="str">
        <f t="shared" si="2"/>
        <v>BXGY</v>
      </c>
    </row>
    <row r="7" spans="1:16" x14ac:dyDescent="0.35">
      <c r="A7" s="7" t="str">
        <f t="shared" si="0"/>
        <v>2026 BAMUS B1G1</v>
      </c>
      <c r="B7" s="8">
        <f t="shared" si="0"/>
        <v>46097</v>
      </c>
      <c r="C7" s="8">
        <f t="shared" si="0"/>
        <v>46098</v>
      </c>
      <c r="D7" s="7">
        <v>3281</v>
      </c>
      <c r="E7" s="7">
        <v>337</v>
      </c>
      <c r="F7" s="7">
        <v>4</v>
      </c>
      <c r="G7" s="10">
        <v>2</v>
      </c>
      <c r="H7" s="10">
        <v>81506</v>
      </c>
      <c r="I7" s="7" t="s">
        <v>56</v>
      </c>
      <c r="J7" s="10">
        <v>67948952</v>
      </c>
      <c r="K7" s="10" t="s">
        <v>57</v>
      </c>
      <c r="L7" s="23" t="s">
        <v>63</v>
      </c>
      <c r="M7" s="17">
        <v>179900</v>
      </c>
      <c r="N7" s="7" t="str">
        <f t="shared" si="1"/>
        <v>BXGY</v>
      </c>
      <c r="O7" s="13" t="str">
        <f t="shared" si="3"/>
        <v>B1G1</v>
      </c>
      <c r="P7" s="7" t="str">
        <f t="shared" si="2"/>
        <v>BXGY</v>
      </c>
    </row>
    <row r="8" spans="1:16" x14ac:dyDescent="0.35">
      <c r="A8" s="7" t="str">
        <f t="shared" si="0"/>
        <v>2026 BAMUS B1G1</v>
      </c>
      <c r="B8" s="8">
        <f t="shared" si="0"/>
        <v>46097</v>
      </c>
      <c r="C8" s="8">
        <f t="shared" si="0"/>
        <v>46098</v>
      </c>
      <c r="D8" s="7">
        <v>3281</v>
      </c>
      <c r="E8" s="7">
        <v>337</v>
      </c>
      <c r="F8" s="7">
        <v>4</v>
      </c>
      <c r="G8" s="10">
        <v>2</v>
      </c>
      <c r="H8" s="10">
        <v>81506</v>
      </c>
      <c r="I8" s="7" t="s">
        <v>56</v>
      </c>
      <c r="J8" s="10">
        <v>67948961</v>
      </c>
      <c r="K8" s="10" t="s">
        <v>57</v>
      </c>
      <c r="L8" s="23" t="s">
        <v>64</v>
      </c>
      <c r="M8" s="17">
        <v>179900</v>
      </c>
      <c r="N8" s="7" t="str">
        <f t="shared" si="1"/>
        <v>BXGY</v>
      </c>
      <c r="O8" s="13" t="str">
        <f t="shared" si="3"/>
        <v>B1G1</v>
      </c>
      <c r="P8" s="7" t="str">
        <f t="shared" si="2"/>
        <v>BXGY</v>
      </c>
    </row>
    <row r="9" spans="1:16" x14ac:dyDescent="0.35">
      <c r="A9" s="7" t="str">
        <f t="shared" si="0"/>
        <v>2026 BAMUS B1G1</v>
      </c>
      <c r="B9" s="8">
        <f t="shared" si="0"/>
        <v>46097</v>
      </c>
      <c r="C9" s="8">
        <f t="shared" si="0"/>
        <v>46098</v>
      </c>
      <c r="D9" s="7">
        <v>3281</v>
      </c>
      <c r="E9" s="7">
        <v>337</v>
      </c>
      <c r="F9" s="7">
        <v>4</v>
      </c>
      <c r="G9" s="10">
        <v>2</v>
      </c>
      <c r="H9" s="10">
        <v>81506</v>
      </c>
      <c r="I9" s="7" t="s">
        <v>56</v>
      </c>
      <c r="J9" s="10">
        <v>68843161</v>
      </c>
      <c r="K9" s="10" t="s">
        <v>65</v>
      </c>
      <c r="L9" s="23" t="s">
        <v>66</v>
      </c>
      <c r="M9" s="17">
        <v>199900</v>
      </c>
      <c r="N9" s="7" t="str">
        <f t="shared" si="1"/>
        <v>BXGY</v>
      </c>
      <c r="O9" s="13" t="str">
        <f t="shared" si="3"/>
        <v>B1G1</v>
      </c>
      <c r="P9" s="7" t="str">
        <f t="shared" si="2"/>
        <v>BXGY</v>
      </c>
    </row>
    <row r="10" spans="1:16" x14ac:dyDescent="0.35">
      <c r="A10" s="7" t="str">
        <f t="shared" si="0"/>
        <v>2026 BAMUS B1G1</v>
      </c>
      <c r="B10" s="8">
        <f t="shared" si="0"/>
        <v>46097</v>
      </c>
      <c r="C10" s="8">
        <f t="shared" si="0"/>
        <v>46098</v>
      </c>
      <c r="D10" s="7">
        <v>3281</v>
      </c>
      <c r="E10" s="7">
        <v>337</v>
      </c>
      <c r="F10" s="7">
        <v>4</v>
      </c>
      <c r="G10" s="10">
        <v>2</v>
      </c>
      <c r="H10" s="10">
        <v>81506</v>
      </c>
      <c r="I10" s="7" t="s">
        <v>56</v>
      </c>
      <c r="J10" s="10">
        <v>68843170</v>
      </c>
      <c r="K10" s="10" t="s">
        <v>65</v>
      </c>
      <c r="L10" s="23" t="s">
        <v>67</v>
      </c>
      <c r="M10" s="17">
        <v>199900</v>
      </c>
      <c r="N10" s="7" t="str">
        <f t="shared" si="1"/>
        <v>BXGY</v>
      </c>
      <c r="O10" s="13" t="str">
        <f t="shared" si="3"/>
        <v>B1G1</v>
      </c>
      <c r="P10" s="7" t="str">
        <f t="shared" si="2"/>
        <v>BXGY</v>
      </c>
    </row>
    <row r="11" spans="1:16" x14ac:dyDescent="0.35">
      <c r="A11" s="7" t="str">
        <f t="shared" si="0"/>
        <v>2026 BAMUS B1G1</v>
      </c>
      <c r="B11" s="8">
        <f t="shared" si="0"/>
        <v>46097</v>
      </c>
      <c r="C11" s="8">
        <f t="shared" si="0"/>
        <v>46098</v>
      </c>
      <c r="D11" s="7">
        <v>3281</v>
      </c>
      <c r="E11" s="7">
        <v>337</v>
      </c>
      <c r="F11" s="7">
        <v>4</v>
      </c>
      <c r="G11" s="10">
        <v>2</v>
      </c>
      <c r="H11" s="10">
        <v>81506</v>
      </c>
      <c r="I11" s="7" t="s">
        <v>56</v>
      </c>
      <c r="J11" s="10">
        <v>68843189</v>
      </c>
      <c r="K11" s="10" t="s">
        <v>65</v>
      </c>
      <c r="L11" s="23" t="s">
        <v>68</v>
      </c>
      <c r="M11" s="17">
        <v>199900</v>
      </c>
      <c r="N11" s="7" t="str">
        <f t="shared" si="1"/>
        <v>BXGY</v>
      </c>
      <c r="O11" s="13" t="str">
        <f t="shared" si="3"/>
        <v>B1G1</v>
      </c>
      <c r="P11" s="7" t="str">
        <f t="shared" si="2"/>
        <v>BXGY</v>
      </c>
    </row>
    <row r="12" spans="1:16" x14ac:dyDescent="0.35">
      <c r="A12" s="7" t="str">
        <f t="shared" si="0"/>
        <v>2026 BAMUS B1G1</v>
      </c>
      <c r="B12" s="8">
        <f t="shared" si="0"/>
        <v>46097</v>
      </c>
      <c r="C12" s="8">
        <f t="shared" si="0"/>
        <v>46098</v>
      </c>
      <c r="D12" s="7">
        <v>3281</v>
      </c>
      <c r="E12" s="7">
        <v>337</v>
      </c>
      <c r="F12" s="7">
        <v>4</v>
      </c>
      <c r="G12" s="10">
        <v>2</v>
      </c>
      <c r="H12" s="10">
        <v>81506</v>
      </c>
      <c r="I12" s="7" t="s">
        <v>56</v>
      </c>
      <c r="J12" s="10">
        <v>68843198</v>
      </c>
      <c r="K12" s="10" t="s">
        <v>65</v>
      </c>
      <c r="L12" s="23" t="s">
        <v>69</v>
      </c>
      <c r="M12" s="17">
        <v>199900</v>
      </c>
      <c r="N12" s="7" t="str">
        <f t="shared" si="1"/>
        <v>BXGY</v>
      </c>
      <c r="O12" s="13" t="str">
        <f t="shared" si="3"/>
        <v>B1G1</v>
      </c>
      <c r="P12" s="7" t="str">
        <f t="shared" si="2"/>
        <v>BXGY</v>
      </c>
    </row>
    <row r="13" spans="1:16" x14ac:dyDescent="0.35">
      <c r="A13" s="7" t="str">
        <f t="shared" si="0"/>
        <v>2026 BAMUS B1G1</v>
      </c>
      <c r="B13" s="8">
        <f t="shared" si="0"/>
        <v>46097</v>
      </c>
      <c r="C13" s="8">
        <f t="shared" si="0"/>
        <v>46098</v>
      </c>
      <c r="D13" s="7">
        <v>3281</v>
      </c>
      <c r="E13" s="7">
        <v>337</v>
      </c>
      <c r="F13" s="7">
        <v>4</v>
      </c>
      <c r="G13" s="10">
        <v>2</v>
      </c>
      <c r="H13" s="10">
        <v>81506</v>
      </c>
      <c r="I13" s="7" t="s">
        <v>56</v>
      </c>
      <c r="J13" s="10">
        <v>68843205</v>
      </c>
      <c r="K13" s="10" t="s">
        <v>65</v>
      </c>
      <c r="L13" s="23" t="s">
        <v>70</v>
      </c>
      <c r="M13" s="17">
        <v>199900</v>
      </c>
      <c r="N13" s="7" t="str">
        <f t="shared" si="1"/>
        <v>BXGY</v>
      </c>
      <c r="O13" s="13" t="str">
        <f t="shared" si="3"/>
        <v>B1G1</v>
      </c>
      <c r="P13" s="7" t="str">
        <f t="shared" si="2"/>
        <v>BXGY</v>
      </c>
    </row>
    <row r="14" spans="1:16" x14ac:dyDescent="0.35">
      <c r="A14" s="7" t="str">
        <f t="shared" si="0"/>
        <v>2026 BAMUS B1G1</v>
      </c>
      <c r="B14" s="8">
        <f t="shared" si="0"/>
        <v>46097</v>
      </c>
      <c r="C14" s="8">
        <f t="shared" si="0"/>
        <v>46098</v>
      </c>
      <c r="D14" s="7">
        <v>3281</v>
      </c>
      <c r="E14" s="7">
        <v>337</v>
      </c>
      <c r="F14" s="7">
        <v>4</v>
      </c>
      <c r="G14" s="10">
        <v>2</v>
      </c>
      <c r="H14" s="10">
        <v>81506</v>
      </c>
      <c r="I14" s="7" t="s">
        <v>56</v>
      </c>
      <c r="J14" s="10">
        <v>68843214</v>
      </c>
      <c r="K14" s="10" t="s">
        <v>65</v>
      </c>
      <c r="L14" s="23" t="s">
        <v>71</v>
      </c>
      <c r="M14" s="17">
        <v>199900</v>
      </c>
      <c r="N14" s="7" t="str">
        <f t="shared" si="1"/>
        <v>BXGY</v>
      </c>
      <c r="O14" s="13" t="str">
        <f t="shared" si="3"/>
        <v>B1G1</v>
      </c>
      <c r="P14" s="7" t="str">
        <f t="shared" si="2"/>
        <v>BXGY</v>
      </c>
    </row>
    <row r="15" spans="1:16" x14ac:dyDescent="0.35">
      <c r="A15" s="7" t="str">
        <f t="shared" si="0"/>
        <v>2026 BAMUS B1G1</v>
      </c>
      <c r="B15" s="8">
        <f t="shared" si="0"/>
        <v>46097</v>
      </c>
      <c r="C15" s="8">
        <f t="shared" si="0"/>
        <v>46098</v>
      </c>
      <c r="D15" s="7">
        <v>3281</v>
      </c>
      <c r="E15" s="7">
        <v>337</v>
      </c>
      <c r="F15" s="7">
        <v>4</v>
      </c>
      <c r="G15" s="10">
        <v>2</v>
      </c>
      <c r="H15" s="10">
        <v>81506</v>
      </c>
      <c r="I15" s="7" t="s">
        <v>56</v>
      </c>
      <c r="J15" s="10">
        <v>68843223</v>
      </c>
      <c r="K15" s="10" t="s">
        <v>65</v>
      </c>
      <c r="L15" s="23" t="s">
        <v>72</v>
      </c>
      <c r="M15" s="17">
        <v>199900</v>
      </c>
      <c r="N15" s="7" t="str">
        <f t="shared" si="1"/>
        <v>BXGY</v>
      </c>
      <c r="O15" s="13" t="str">
        <f t="shared" si="3"/>
        <v>B1G1</v>
      </c>
      <c r="P15" s="7" t="str">
        <f t="shared" si="2"/>
        <v>BXGY</v>
      </c>
    </row>
    <row r="16" spans="1:16" x14ac:dyDescent="0.35">
      <c r="A16" s="7" t="str">
        <f t="shared" si="0"/>
        <v>2026 BAMUS B1G1</v>
      </c>
      <c r="B16" s="8">
        <f t="shared" si="0"/>
        <v>46097</v>
      </c>
      <c r="C16" s="8">
        <f t="shared" si="0"/>
        <v>46098</v>
      </c>
      <c r="D16" s="7">
        <v>3281</v>
      </c>
      <c r="E16" s="7">
        <v>337</v>
      </c>
      <c r="F16" s="7">
        <v>4</v>
      </c>
      <c r="G16" s="10">
        <v>4</v>
      </c>
      <c r="H16" s="10">
        <v>81847</v>
      </c>
      <c r="I16" s="7" t="s">
        <v>56</v>
      </c>
      <c r="J16" s="10">
        <v>67949040</v>
      </c>
      <c r="K16" s="10" t="s">
        <v>73</v>
      </c>
      <c r="L16" s="23" t="s">
        <v>74</v>
      </c>
      <c r="M16" s="17">
        <v>179900</v>
      </c>
      <c r="N16" s="7" t="str">
        <f t="shared" si="1"/>
        <v>BXGY</v>
      </c>
      <c r="O16" s="13" t="str">
        <f t="shared" si="3"/>
        <v>B1G1</v>
      </c>
      <c r="P16" s="7" t="str">
        <f t="shared" si="2"/>
        <v>BXGY</v>
      </c>
    </row>
    <row r="17" spans="1:16" x14ac:dyDescent="0.35">
      <c r="A17" s="7" t="str">
        <f t="shared" si="0"/>
        <v>2026 BAMUS B1G1</v>
      </c>
      <c r="B17" s="8">
        <f t="shared" si="0"/>
        <v>46097</v>
      </c>
      <c r="C17" s="8">
        <f t="shared" si="0"/>
        <v>46098</v>
      </c>
      <c r="D17" s="7">
        <v>3281</v>
      </c>
      <c r="E17" s="7">
        <v>337</v>
      </c>
      <c r="F17" s="7">
        <v>4</v>
      </c>
      <c r="G17" s="10">
        <v>4</v>
      </c>
      <c r="H17" s="10">
        <v>81847</v>
      </c>
      <c r="I17" s="7" t="s">
        <v>56</v>
      </c>
      <c r="J17" s="10">
        <v>67949059</v>
      </c>
      <c r="K17" s="10" t="s">
        <v>73</v>
      </c>
      <c r="L17" s="23" t="s">
        <v>75</v>
      </c>
      <c r="M17" s="17">
        <v>179900</v>
      </c>
      <c r="N17" s="7" t="str">
        <f t="shared" si="1"/>
        <v>BXGY</v>
      </c>
      <c r="O17" s="13" t="str">
        <f t="shared" si="3"/>
        <v>B1G1</v>
      </c>
      <c r="P17" s="7" t="str">
        <f t="shared" si="2"/>
        <v>BXGY</v>
      </c>
    </row>
    <row r="18" spans="1:16" x14ac:dyDescent="0.35">
      <c r="A18" s="7" t="str">
        <f t="shared" si="0"/>
        <v>2026 BAMUS B1G1</v>
      </c>
      <c r="B18" s="8">
        <f t="shared" si="0"/>
        <v>46097</v>
      </c>
      <c r="C18" s="8">
        <f t="shared" si="0"/>
        <v>46098</v>
      </c>
      <c r="D18" s="7">
        <v>3281</v>
      </c>
      <c r="E18" s="7">
        <v>337</v>
      </c>
      <c r="F18" s="7">
        <v>4</v>
      </c>
      <c r="G18" s="10">
        <v>4</v>
      </c>
      <c r="H18" s="10">
        <v>81847</v>
      </c>
      <c r="I18" s="7" t="s">
        <v>56</v>
      </c>
      <c r="J18" s="10">
        <v>67949068</v>
      </c>
      <c r="K18" s="10" t="s">
        <v>73</v>
      </c>
      <c r="L18" s="23" t="s">
        <v>76</v>
      </c>
      <c r="M18" s="17">
        <v>179900</v>
      </c>
      <c r="N18" s="7" t="str">
        <f t="shared" si="1"/>
        <v>BXGY</v>
      </c>
      <c r="O18" s="13" t="str">
        <f t="shared" si="3"/>
        <v>B1G1</v>
      </c>
      <c r="P18" s="7" t="str">
        <f t="shared" si="2"/>
        <v>BXGY</v>
      </c>
    </row>
    <row r="19" spans="1:16" x14ac:dyDescent="0.35">
      <c r="A19" s="7" t="str">
        <f t="shared" ref="A19:C29" si="4">A18</f>
        <v>2026 BAMUS B1G1</v>
      </c>
      <c r="B19" s="8">
        <f t="shared" si="4"/>
        <v>46097</v>
      </c>
      <c r="C19" s="8">
        <f t="shared" si="4"/>
        <v>46098</v>
      </c>
      <c r="D19" s="7">
        <v>3281</v>
      </c>
      <c r="E19" s="7">
        <v>337</v>
      </c>
      <c r="F19" s="7">
        <v>4</v>
      </c>
      <c r="G19" s="10">
        <v>4</v>
      </c>
      <c r="H19" s="10">
        <v>81847</v>
      </c>
      <c r="I19" s="7" t="s">
        <v>56</v>
      </c>
      <c r="J19" s="10">
        <v>67949077</v>
      </c>
      <c r="K19" s="10" t="s">
        <v>73</v>
      </c>
      <c r="L19" s="23" t="s">
        <v>77</v>
      </c>
      <c r="M19" s="17">
        <v>179900</v>
      </c>
      <c r="N19" s="7" t="str">
        <f t="shared" si="1"/>
        <v>BXGY</v>
      </c>
      <c r="O19" s="13" t="str">
        <f t="shared" si="3"/>
        <v>B1G1</v>
      </c>
      <c r="P19" s="7" t="str">
        <f t="shared" si="2"/>
        <v>BXGY</v>
      </c>
    </row>
    <row r="20" spans="1:16" x14ac:dyDescent="0.35">
      <c r="A20" s="7" t="str">
        <f t="shared" si="4"/>
        <v>2026 BAMUS B1G1</v>
      </c>
      <c r="B20" s="8">
        <f t="shared" si="4"/>
        <v>46097</v>
      </c>
      <c r="C20" s="8">
        <f t="shared" si="4"/>
        <v>46098</v>
      </c>
      <c r="D20" s="7">
        <v>3281</v>
      </c>
      <c r="E20" s="7">
        <v>337</v>
      </c>
      <c r="F20" s="7">
        <v>4</v>
      </c>
      <c r="G20" s="10">
        <v>4</v>
      </c>
      <c r="H20" s="10">
        <v>81847</v>
      </c>
      <c r="I20" s="7" t="s">
        <v>56</v>
      </c>
      <c r="J20" s="10">
        <v>67949086</v>
      </c>
      <c r="K20" s="10" t="s">
        <v>73</v>
      </c>
      <c r="L20" s="23" t="s">
        <v>78</v>
      </c>
      <c r="M20" s="17">
        <v>179900</v>
      </c>
      <c r="N20" s="7" t="str">
        <f t="shared" si="1"/>
        <v>BXGY</v>
      </c>
      <c r="O20" s="13" t="str">
        <f t="shared" si="3"/>
        <v>B1G1</v>
      </c>
      <c r="P20" s="7" t="str">
        <f t="shared" si="2"/>
        <v>BXGY</v>
      </c>
    </row>
    <row r="21" spans="1:16" x14ac:dyDescent="0.35">
      <c r="A21" s="7" t="str">
        <f t="shared" si="4"/>
        <v>2026 BAMUS B1G1</v>
      </c>
      <c r="B21" s="8">
        <f t="shared" si="4"/>
        <v>46097</v>
      </c>
      <c r="C21" s="8">
        <f t="shared" si="4"/>
        <v>46098</v>
      </c>
      <c r="D21" s="7">
        <v>3281</v>
      </c>
      <c r="E21" s="7">
        <v>337</v>
      </c>
      <c r="F21" s="7">
        <v>4</v>
      </c>
      <c r="G21" s="10">
        <v>4</v>
      </c>
      <c r="H21" s="10">
        <v>81847</v>
      </c>
      <c r="I21" s="7" t="s">
        <v>56</v>
      </c>
      <c r="J21" s="10">
        <v>67949095</v>
      </c>
      <c r="K21" s="10" t="s">
        <v>73</v>
      </c>
      <c r="L21" s="23" t="s">
        <v>79</v>
      </c>
      <c r="M21" s="17">
        <v>179900</v>
      </c>
      <c r="N21" s="7" t="str">
        <f t="shared" si="1"/>
        <v>BXGY</v>
      </c>
      <c r="O21" s="13" t="str">
        <f t="shared" si="3"/>
        <v>B1G1</v>
      </c>
      <c r="P21" s="7" t="str">
        <f t="shared" si="2"/>
        <v>BXGY</v>
      </c>
    </row>
    <row r="22" spans="1:16" x14ac:dyDescent="0.35">
      <c r="A22" s="7" t="str">
        <f t="shared" si="4"/>
        <v>2026 BAMUS B1G1</v>
      </c>
      <c r="B22" s="8">
        <f t="shared" si="4"/>
        <v>46097</v>
      </c>
      <c r="C22" s="8">
        <f t="shared" si="4"/>
        <v>46098</v>
      </c>
      <c r="D22" s="7">
        <v>3281</v>
      </c>
      <c r="E22" s="7">
        <v>337</v>
      </c>
      <c r="F22" s="7">
        <v>4</v>
      </c>
      <c r="G22" s="10">
        <v>4</v>
      </c>
      <c r="H22" s="10">
        <v>81847</v>
      </c>
      <c r="I22" s="7" t="s">
        <v>56</v>
      </c>
      <c r="J22" s="10">
        <v>67949102</v>
      </c>
      <c r="K22" s="10" t="s">
        <v>73</v>
      </c>
      <c r="L22" s="23" t="s">
        <v>80</v>
      </c>
      <c r="M22" s="17">
        <v>179900</v>
      </c>
      <c r="N22" s="7" t="str">
        <f t="shared" si="1"/>
        <v>BXGY</v>
      </c>
      <c r="O22" s="13" t="str">
        <f t="shared" si="3"/>
        <v>B1G1</v>
      </c>
      <c r="P22" s="7" t="str">
        <f t="shared" si="2"/>
        <v>BXGY</v>
      </c>
    </row>
    <row r="23" spans="1:16" x14ac:dyDescent="0.35">
      <c r="A23" s="7" t="str">
        <f t="shared" si="4"/>
        <v>2026 BAMUS B1G1</v>
      </c>
      <c r="B23" s="8">
        <f t="shared" si="4"/>
        <v>46097</v>
      </c>
      <c r="C23" s="8">
        <f t="shared" si="4"/>
        <v>46098</v>
      </c>
      <c r="D23" s="7">
        <v>3281</v>
      </c>
      <c r="E23" s="7">
        <v>337</v>
      </c>
      <c r="F23" s="7">
        <v>4</v>
      </c>
      <c r="G23" s="10">
        <v>5</v>
      </c>
      <c r="H23" s="10">
        <v>81847</v>
      </c>
      <c r="I23" s="7" t="s">
        <v>56</v>
      </c>
      <c r="J23" s="10">
        <v>68801232</v>
      </c>
      <c r="K23" s="10" t="s">
        <v>81</v>
      </c>
      <c r="L23" s="23" t="s">
        <v>82</v>
      </c>
      <c r="M23" s="17">
        <v>249900</v>
      </c>
      <c r="N23" s="7" t="str">
        <f t="shared" si="1"/>
        <v>BXGY</v>
      </c>
      <c r="O23" s="13" t="str">
        <f t="shared" si="3"/>
        <v>B1G1</v>
      </c>
      <c r="P23" s="7" t="str">
        <f t="shared" si="2"/>
        <v>BXGY</v>
      </c>
    </row>
    <row r="24" spans="1:16" x14ac:dyDescent="0.35">
      <c r="A24" s="7" t="str">
        <f t="shared" si="4"/>
        <v>2026 BAMUS B1G1</v>
      </c>
      <c r="B24" s="8">
        <f t="shared" si="4"/>
        <v>46097</v>
      </c>
      <c r="C24" s="8">
        <f t="shared" si="4"/>
        <v>46098</v>
      </c>
      <c r="D24" s="7">
        <v>3281</v>
      </c>
      <c r="E24" s="7">
        <v>337</v>
      </c>
      <c r="F24" s="7">
        <v>4</v>
      </c>
      <c r="G24" s="10">
        <v>5</v>
      </c>
      <c r="H24" s="10">
        <v>81847</v>
      </c>
      <c r="I24" s="7" t="s">
        <v>56</v>
      </c>
      <c r="J24" s="10">
        <v>68801241</v>
      </c>
      <c r="K24" s="10" t="s">
        <v>81</v>
      </c>
      <c r="L24" s="23" t="s">
        <v>83</v>
      </c>
      <c r="M24" s="17">
        <v>249900</v>
      </c>
      <c r="N24" s="7" t="str">
        <f t="shared" si="1"/>
        <v>BXGY</v>
      </c>
      <c r="O24" s="13" t="str">
        <f t="shared" si="3"/>
        <v>B1G1</v>
      </c>
      <c r="P24" s="7" t="str">
        <f t="shared" si="2"/>
        <v>BXGY</v>
      </c>
    </row>
    <row r="25" spans="1:16" x14ac:dyDescent="0.35">
      <c r="A25" s="7" t="str">
        <f t="shared" si="4"/>
        <v>2026 BAMUS B1G1</v>
      </c>
      <c r="B25" s="8">
        <f t="shared" si="4"/>
        <v>46097</v>
      </c>
      <c r="C25" s="8">
        <f t="shared" si="4"/>
        <v>46098</v>
      </c>
      <c r="D25" s="7">
        <v>3281</v>
      </c>
      <c r="E25" s="7">
        <v>337</v>
      </c>
      <c r="F25" s="7">
        <v>4</v>
      </c>
      <c r="G25" s="10">
        <v>5</v>
      </c>
      <c r="H25" s="10">
        <v>81847</v>
      </c>
      <c r="I25" s="7" t="s">
        <v>56</v>
      </c>
      <c r="J25" s="10">
        <v>68801250</v>
      </c>
      <c r="K25" s="10" t="s">
        <v>81</v>
      </c>
      <c r="L25" s="23" t="s">
        <v>84</v>
      </c>
      <c r="M25" s="17">
        <v>249900</v>
      </c>
      <c r="N25" s="7" t="str">
        <f t="shared" si="1"/>
        <v>BXGY</v>
      </c>
      <c r="O25" s="13" t="str">
        <f t="shared" si="3"/>
        <v>B1G1</v>
      </c>
      <c r="P25" s="7" t="str">
        <f t="shared" si="2"/>
        <v>BXGY</v>
      </c>
    </row>
    <row r="26" spans="1:16" x14ac:dyDescent="0.35">
      <c r="A26" s="7" t="str">
        <f t="shared" si="4"/>
        <v>2026 BAMUS B1G1</v>
      </c>
      <c r="B26" s="8">
        <f t="shared" si="4"/>
        <v>46097</v>
      </c>
      <c r="C26" s="8">
        <f t="shared" si="4"/>
        <v>46098</v>
      </c>
      <c r="D26" s="7">
        <v>3281</v>
      </c>
      <c r="E26" s="7">
        <v>337</v>
      </c>
      <c r="F26" s="7">
        <v>4</v>
      </c>
      <c r="G26" s="10">
        <v>5</v>
      </c>
      <c r="H26" s="10">
        <v>81847</v>
      </c>
      <c r="I26" s="7" t="s">
        <v>56</v>
      </c>
      <c r="J26" s="10">
        <v>68801269</v>
      </c>
      <c r="K26" s="10" t="s">
        <v>81</v>
      </c>
      <c r="L26" s="23" t="s">
        <v>85</v>
      </c>
      <c r="M26" s="17">
        <v>249900</v>
      </c>
      <c r="N26" s="7" t="str">
        <f t="shared" si="1"/>
        <v>BXGY</v>
      </c>
      <c r="O26" s="13" t="str">
        <f t="shared" si="3"/>
        <v>B1G1</v>
      </c>
      <c r="P26" s="7" t="str">
        <f t="shared" si="2"/>
        <v>BXGY</v>
      </c>
    </row>
    <row r="27" spans="1:16" x14ac:dyDescent="0.35">
      <c r="A27" s="7" t="str">
        <f t="shared" si="4"/>
        <v>2026 BAMUS B1G1</v>
      </c>
      <c r="B27" s="8">
        <f t="shared" si="4"/>
        <v>46097</v>
      </c>
      <c r="C27" s="8">
        <f t="shared" si="4"/>
        <v>46098</v>
      </c>
      <c r="D27" s="7">
        <v>3281</v>
      </c>
      <c r="E27" s="7">
        <v>337</v>
      </c>
      <c r="F27" s="7">
        <v>4</v>
      </c>
      <c r="G27" s="10">
        <v>5</v>
      </c>
      <c r="H27" s="10">
        <v>81847</v>
      </c>
      <c r="I27" s="7" t="s">
        <v>56</v>
      </c>
      <c r="J27" s="10">
        <v>68801278</v>
      </c>
      <c r="K27" s="10" t="s">
        <v>81</v>
      </c>
      <c r="L27" s="23" t="s">
        <v>86</v>
      </c>
      <c r="M27" s="17">
        <v>249900</v>
      </c>
      <c r="N27" s="7" t="str">
        <f t="shared" si="1"/>
        <v>BXGY</v>
      </c>
      <c r="O27" s="13" t="str">
        <f t="shared" si="3"/>
        <v>B1G1</v>
      </c>
      <c r="P27" s="7" t="str">
        <f t="shared" si="2"/>
        <v>BXGY</v>
      </c>
    </row>
    <row r="28" spans="1:16" x14ac:dyDescent="0.35">
      <c r="A28" s="7" t="str">
        <f t="shared" si="4"/>
        <v>2026 BAMUS B1G1</v>
      </c>
      <c r="B28" s="8">
        <f t="shared" si="4"/>
        <v>46097</v>
      </c>
      <c r="C28" s="8">
        <f t="shared" si="4"/>
        <v>46098</v>
      </c>
      <c r="D28" s="7">
        <v>3281</v>
      </c>
      <c r="E28" s="7">
        <v>337</v>
      </c>
      <c r="F28" s="7">
        <v>4</v>
      </c>
      <c r="G28" s="10">
        <v>5</v>
      </c>
      <c r="H28" s="10">
        <v>81847</v>
      </c>
      <c r="I28" s="7" t="s">
        <v>56</v>
      </c>
      <c r="J28" s="10">
        <v>68801287</v>
      </c>
      <c r="K28" s="10" t="s">
        <v>81</v>
      </c>
      <c r="L28" s="23" t="s">
        <v>87</v>
      </c>
      <c r="M28" s="17">
        <v>249900</v>
      </c>
      <c r="N28" s="7" t="str">
        <f t="shared" si="1"/>
        <v>BXGY</v>
      </c>
      <c r="O28" s="13" t="str">
        <f t="shared" si="3"/>
        <v>B1G1</v>
      </c>
      <c r="P28" s="7" t="str">
        <f t="shared" si="2"/>
        <v>BXGY</v>
      </c>
    </row>
    <row r="29" spans="1:16" x14ac:dyDescent="0.35">
      <c r="A29" s="7" t="str">
        <f t="shared" si="4"/>
        <v>2026 BAMUS B1G1</v>
      </c>
      <c r="B29" s="8">
        <f t="shared" si="4"/>
        <v>46097</v>
      </c>
      <c r="C29" s="8">
        <f t="shared" si="4"/>
        <v>46098</v>
      </c>
      <c r="D29" s="7">
        <v>3281</v>
      </c>
      <c r="E29" s="7">
        <v>337</v>
      </c>
      <c r="F29" s="7">
        <v>4</v>
      </c>
      <c r="G29" s="10">
        <v>5</v>
      </c>
      <c r="H29" s="10">
        <v>81847</v>
      </c>
      <c r="I29" s="7" t="s">
        <v>56</v>
      </c>
      <c r="J29" s="10">
        <v>68801296</v>
      </c>
      <c r="K29" s="10" t="s">
        <v>81</v>
      </c>
      <c r="L29" s="23" t="s">
        <v>88</v>
      </c>
      <c r="M29" s="17">
        <v>249900</v>
      </c>
      <c r="N29" s="7" t="str">
        <f t="shared" si="1"/>
        <v>BXGY</v>
      </c>
      <c r="O29" s="13" t="str">
        <f t="shared" si="3"/>
        <v>B1G1</v>
      </c>
      <c r="P29" s="7" t="str">
        <f t="shared" si="2"/>
        <v>BXGY</v>
      </c>
    </row>
    <row r="30" spans="1:16" x14ac:dyDescent="0.35">
      <c r="A30" s="7" t="str">
        <f t="shared" ref="A30" si="5">A29</f>
        <v>2026 BAMUS B1G1</v>
      </c>
      <c r="B30" s="8">
        <f t="shared" ref="B30:C30" si="6">B29</f>
        <v>46097</v>
      </c>
      <c r="C30" s="8">
        <f t="shared" si="6"/>
        <v>46098</v>
      </c>
      <c r="D30" s="7">
        <v>3281</v>
      </c>
      <c r="E30" s="7">
        <v>337</v>
      </c>
      <c r="F30" s="7">
        <v>4</v>
      </c>
      <c r="G30" s="10">
        <v>5</v>
      </c>
      <c r="H30" s="10">
        <v>81588</v>
      </c>
      <c r="I30" s="7" t="s">
        <v>56</v>
      </c>
      <c r="J30" s="10">
        <v>68791575</v>
      </c>
      <c r="K30" s="10" t="s">
        <v>89</v>
      </c>
      <c r="L30" s="23" t="s">
        <v>92</v>
      </c>
      <c r="M30" s="17">
        <v>149900</v>
      </c>
      <c r="N30" s="7" t="str">
        <f t="shared" si="1"/>
        <v>BXGY</v>
      </c>
      <c r="O30" s="13" t="str">
        <f t="shared" si="3"/>
        <v>B1G1</v>
      </c>
      <c r="P30" s="7" t="str">
        <f t="shared" si="2"/>
        <v>BXGY</v>
      </c>
    </row>
    <row r="31" spans="1:16" x14ac:dyDescent="0.35">
      <c r="A31" s="7" t="str">
        <f t="shared" ref="A31" si="7">A30</f>
        <v>2026 BAMUS B1G1</v>
      </c>
      <c r="B31" s="8">
        <f t="shared" ref="B31:C31" si="8">B30</f>
        <v>46097</v>
      </c>
      <c r="C31" s="8">
        <f t="shared" si="8"/>
        <v>46098</v>
      </c>
      <c r="D31" s="7">
        <v>3281</v>
      </c>
      <c r="E31" s="7">
        <v>337</v>
      </c>
      <c r="F31" s="7">
        <v>4</v>
      </c>
      <c r="G31" s="10">
        <v>5</v>
      </c>
      <c r="H31" s="10">
        <v>81588</v>
      </c>
      <c r="I31" s="7" t="s">
        <v>56</v>
      </c>
      <c r="J31" s="10">
        <v>68791584</v>
      </c>
      <c r="K31" s="10" t="s">
        <v>89</v>
      </c>
      <c r="L31" s="23" t="s">
        <v>93</v>
      </c>
      <c r="M31" s="17">
        <v>149900</v>
      </c>
      <c r="N31" s="7" t="str">
        <f t="shared" si="1"/>
        <v>BXGY</v>
      </c>
      <c r="O31" s="13" t="str">
        <f t="shared" si="3"/>
        <v>B1G1</v>
      </c>
      <c r="P31" s="7" t="str">
        <f t="shared" si="2"/>
        <v>BXGY</v>
      </c>
    </row>
    <row r="32" spans="1:16" x14ac:dyDescent="0.35">
      <c r="A32" s="7" t="str">
        <f t="shared" ref="A32" si="9">A31</f>
        <v>2026 BAMUS B1G1</v>
      </c>
      <c r="B32" s="8">
        <f t="shared" ref="B32:C32" si="10">B31</f>
        <v>46097</v>
      </c>
      <c r="C32" s="8">
        <f t="shared" si="10"/>
        <v>46098</v>
      </c>
      <c r="D32" s="7">
        <v>3281</v>
      </c>
      <c r="E32" s="7">
        <v>337</v>
      </c>
      <c r="F32" s="7">
        <v>4</v>
      </c>
      <c r="G32" s="10">
        <v>5</v>
      </c>
      <c r="H32" s="10">
        <v>81588</v>
      </c>
      <c r="I32" s="7" t="s">
        <v>56</v>
      </c>
      <c r="J32" s="10">
        <v>68791593</v>
      </c>
      <c r="K32" s="10" t="s">
        <v>89</v>
      </c>
      <c r="L32" s="23" t="s">
        <v>94</v>
      </c>
      <c r="M32" s="17">
        <v>149900</v>
      </c>
      <c r="N32" s="7" t="str">
        <f t="shared" si="1"/>
        <v>BXGY</v>
      </c>
      <c r="O32" s="13" t="str">
        <f t="shared" si="3"/>
        <v>B1G1</v>
      </c>
      <c r="P32" s="7" t="str">
        <f t="shared" si="2"/>
        <v>BXGY</v>
      </c>
    </row>
    <row r="33" spans="1:16" x14ac:dyDescent="0.35">
      <c r="A33" s="7" t="str">
        <f t="shared" ref="A33" si="11">A32</f>
        <v>2026 BAMUS B1G1</v>
      </c>
      <c r="B33" s="8">
        <f t="shared" ref="B33:C33" si="12">B32</f>
        <v>46097</v>
      </c>
      <c r="C33" s="8">
        <f t="shared" si="12"/>
        <v>46098</v>
      </c>
      <c r="D33" s="7">
        <v>3281</v>
      </c>
      <c r="E33" s="7">
        <v>337</v>
      </c>
      <c r="F33" s="7">
        <v>4</v>
      </c>
      <c r="G33" s="10">
        <v>5</v>
      </c>
      <c r="H33" s="10">
        <v>81588</v>
      </c>
      <c r="I33" s="7" t="s">
        <v>56</v>
      </c>
      <c r="J33" s="10">
        <v>68791600</v>
      </c>
      <c r="K33" s="10" t="s">
        <v>89</v>
      </c>
      <c r="L33" s="23" t="s">
        <v>95</v>
      </c>
      <c r="M33" s="17">
        <v>149900</v>
      </c>
      <c r="N33" s="7" t="str">
        <f t="shared" si="1"/>
        <v>BXGY</v>
      </c>
      <c r="O33" s="13" t="str">
        <f t="shared" si="3"/>
        <v>B1G1</v>
      </c>
      <c r="P33" s="7" t="str">
        <f t="shared" si="2"/>
        <v>BXGY</v>
      </c>
    </row>
    <row r="34" spans="1:16" x14ac:dyDescent="0.35">
      <c r="A34" s="7" t="str">
        <f t="shared" ref="A34" si="13">A33</f>
        <v>2026 BAMUS B1G1</v>
      </c>
      <c r="B34" s="8">
        <f t="shared" ref="B34:C34" si="14">B33</f>
        <v>46097</v>
      </c>
      <c r="C34" s="8">
        <f t="shared" si="14"/>
        <v>46098</v>
      </c>
      <c r="D34" s="7">
        <v>3281</v>
      </c>
      <c r="E34" s="7">
        <v>337</v>
      </c>
      <c r="F34" s="7">
        <v>4</v>
      </c>
      <c r="G34" s="10">
        <v>5</v>
      </c>
      <c r="H34" s="10">
        <v>81588</v>
      </c>
      <c r="I34" s="7" t="s">
        <v>56</v>
      </c>
      <c r="J34" s="10">
        <v>68791539</v>
      </c>
      <c r="K34" s="10" t="s">
        <v>90</v>
      </c>
      <c r="L34" s="23" t="s">
        <v>96</v>
      </c>
      <c r="M34" s="17">
        <v>179900</v>
      </c>
      <c r="N34" s="7" t="str">
        <f t="shared" si="1"/>
        <v>BXGY</v>
      </c>
      <c r="O34" s="13" t="str">
        <f t="shared" si="3"/>
        <v>B1G1</v>
      </c>
      <c r="P34" s="7" t="str">
        <f t="shared" si="2"/>
        <v>BXGY</v>
      </c>
    </row>
    <row r="35" spans="1:16" x14ac:dyDescent="0.35">
      <c r="A35" s="7" t="str">
        <f t="shared" ref="A35" si="15">A34</f>
        <v>2026 BAMUS B1G1</v>
      </c>
      <c r="B35" s="8">
        <f t="shared" ref="B35:C35" si="16">B34</f>
        <v>46097</v>
      </c>
      <c r="C35" s="8">
        <f t="shared" si="16"/>
        <v>46098</v>
      </c>
      <c r="D35" s="7">
        <v>3281</v>
      </c>
      <c r="E35" s="7">
        <v>337</v>
      </c>
      <c r="F35" s="7">
        <v>4</v>
      </c>
      <c r="G35" s="10">
        <v>5</v>
      </c>
      <c r="H35" s="10">
        <v>81588</v>
      </c>
      <c r="I35" s="7" t="s">
        <v>56</v>
      </c>
      <c r="J35" s="10">
        <v>68791548</v>
      </c>
      <c r="K35" s="10" t="s">
        <v>90</v>
      </c>
      <c r="L35" s="23" t="s">
        <v>97</v>
      </c>
      <c r="M35" s="17">
        <v>179900</v>
      </c>
      <c r="N35" s="7" t="str">
        <f t="shared" si="1"/>
        <v>BXGY</v>
      </c>
      <c r="O35" s="13" t="str">
        <f t="shared" si="3"/>
        <v>B1G1</v>
      </c>
      <c r="P35" s="7" t="str">
        <f t="shared" si="2"/>
        <v>BXGY</v>
      </c>
    </row>
    <row r="36" spans="1:16" x14ac:dyDescent="0.35">
      <c r="A36" s="7" t="str">
        <f t="shared" ref="A36" si="17">A35</f>
        <v>2026 BAMUS B1G1</v>
      </c>
      <c r="B36" s="8">
        <f t="shared" ref="B36:C36" si="18">B35</f>
        <v>46097</v>
      </c>
      <c r="C36" s="8">
        <f t="shared" si="18"/>
        <v>46098</v>
      </c>
      <c r="D36" s="7">
        <v>3281</v>
      </c>
      <c r="E36" s="7">
        <v>337</v>
      </c>
      <c r="F36" s="7">
        <v>4</v>
      </c>
      <c r="G36" s="10">
        <v>5</v>
      </c>
      <c r="H36" s="10">
        <v>81588</v>
      </c>
      <c r="I36" s="7" t="s">
        <v>56</v>
      </c>
      <c r="J36" s="10">
        <v>68791557</v>
      </c>
      <c r="K36" s="10" t="s">
        <v>90</v>
      </c>
      <c r="L36" s="23" t="s">
        <v>98</v>
      </c>
      <c r="M36" s="17">
        <v>179900</v>
      </c>
      <c r="N36" s="7" t="str">
        <f t="shared" si="1"/>
        <v>BXGY</v>
      </c>
      <c r="O36" s="13" t="str">
        <f t="shared" si="3"/>
        <v>B1G1</v>
      </c>
      <c r="P36" s="7" t="str">
        <f t="shared" si="2"/>
        <v>BXGY</v>
      </c>
    </row>
    <row r="37" spans="1:16" x14ac:dyDescent="0.35">
      <c r="A37" s="7" t="str">
        <f t="shared" ref="A37" si="19">A36</f>
        <v>2026 BAMUS B1G1</v>
      </c>
      <c r="B37" s="8">
        <f t="shared" ref="B37:C37" si="20">B36</f>
        <v>46097</v>
      </c>
      <c r="C37" s="8">
        <f t="shared" si="20"/>
        <v>46098</v>
      </c>
      <c r="D37" s="7">
        <v>3281</v>
      </c>
      <c r="E37" s="7">
        <v>337</v>
      </c>
      <c r="F37" s="7">
        <v>4</v>
      </c>
      <c r="G37" s="10">
        <v>5</v>
      </c>
      <c r="H37" s="10">
        <v>81588</v>
      </c>
      <c r="I37" s="7" t="s">
        <v>56</v>
      </c>
      <c r="J37" s="10">
        <v>68791566</v>
      </c>
      <c r="K37" s="10" t="s">
        <v>90</v>
      </c>
      <c r="L37" s="23" t="s">
        <v>99</v>
      </c>
      <c r="M37" s="17">
        <v>179900</v>
      </c>
      <c r="N37" s="7" t="str">
        <f t="shared" si="1"/>
        <v>BXGY</v>
      </c>
      <c r="O37" s="13" t="str">
        <f t="shared" si="3"/>
        <v>B1G1</v>
      </c>
      <c r="P37" s="7" t="str">
        <f t="shared" si="2"/>
        <v>BXGY</v>
      </c>
    </row>
    <row r="38" spans="1:16" x14ac:dyDescent="0.35">
      <c r="A38" s="7" t="str">
        <f t="shared" ref="A38" si="21">A37</f>
        <v>2026 BAMUS B1G1</v>
      </c>
      <c r="B38" s="8">
        <f t="shared" ref="B38:C38" si="22">B37</f>
        <v>46097</v>
      </c>
      <c r="C38" s="8">
        <f t="shared" si="22"/>
        <v>46098</v>
      </c>
      <c r="D38" s="7">
        <v>3281</v>
      </c>
      <c r="E38" s="7">
        <v>337</v>
      </c>
      <c r="F38" s="7">
        <v>4</v>
      </c>
      <c r="G38" s="10">
        <v>1</v>
      </c>
      <c r="H38" s="10">
        <v>81588</v>
      </c>
      <c r="I38" s="7" t="s">
        <v>56</v>
      </c>
      <c r="J38" s="10">
        <v>68791495</v>
      </c>
      <c r="K38" s="10" t="s">
        <v>91</v>
      </c>
      <c r="L38" s="23" t="s">
        <v>100</v>
      </c>
      <c r="M38" s="17">
        <v>99900</v>
      </c>
      <c r="N38" s="7" t="str">
        <f t="shared" si="1"/>
        <v>BXGY</v>
      </c>
      <c r="O38" s="13" t="str">
        <f t="shared" si="3"/>
        <v>B1G1</v>
      </c>
      <c r="P38" s="7" t="str">
        <f t="shared" si="2"/>
        <v>BXGY</v>
      </c>
    </row>
    <row r="39" spans="1:16" x14ac:dyDescent="0.35">
      <c r="A39" s="7" t="str">
        <f t="shared" ref="A39" si="23">A38</f>
        <v>2026 BAMUS B1G1</v>
      </c>
      <c r="B39" s="8">
        <f t="shared" ref="B39:C39" si="24">B38</f>
        <v>46097</v>
      </c>
      <c r="C39" s="8">
        <f t="shared" si="24"/>
        <v>46098</v>
      </c>
      <c r="D39" s="7">
        <v>3281</v>
      </c>
      <c r="E39" s="7">
        <v>337</v>
      </c>
      <c r="F39" s="7">
        <v>4</v>
      </c>
      <c r="G39" s="10">
        <v>1</v>
      </c>
      <c r="H39" s="10">
        <v>81588</v>
      </c>
      <c r="I39" s="7" t="s">
        <v>56</v>
      </c>
      <c r="J39" s="10">
        <v>68791502</v>
      </c>
      <c r="K39" s="10" t="s">
        <v>91</v>
      </c>
      <c r="L39" s="23" t="s">
        <v>101</v>
      </c>
      <c r="M39" s="17">
        <v>99900</v>
      </c>
      <c r="N39" s="7" t="str">
        <f t="shared" si="1"/>
        <v>BXGY</v>
      </c>
      <c r="O39" s="13" t="str">
        <f t="shared" si="3"/>
        <v>B1G1</v>
      </c>
      <c r="P39" s="7" t="str">
        <f t="shared" si="2"/>
        <v>BXGY</v>
      </c>
    </row>
    <row r="40" spans="1:16" x14ac:dyDescent="0.35">
      <c r="A40" s="7" t="str">
        <f t="shared" ref="A40" si="25">A39</f>
        <v>2026 BAMUS B1G1</v>
      </c>
      <c r="B40" s="8">
        <f t="shared" ref="B40:C40" si="26">B39</f>
        <v>46097</v>
      </c>
      <c r="C40" s="8">
        <f t="shared" si="26"/>
        <v>46098</v>
      </c>
      <c r="D40" s="7">
        <v>3281</v>
      </c>
      <c r="E40" s="7">
        <v>337</v>
      </c>
      <c r="F40" s="7">
        <v>4</v>
      </c>
      <c r="G40" s="10">
        <v>1</v>
      </c>
      <c r="H40" s="10">
        <v>81588</v>
      </c>
      <c r="I40" s="7" t="s">
        <v>56</v>
      </c>
      <c r="J40" s="10">
        <v>68791511</v>
      </c>
      <c r="K40" s="10" t="s">
        <v>91</v>
      </c>
      <c r="L40" s="23" t="s">
        <v>102</v>
      </c>
      <c r="M40" s="17">
        <v>99900</v>
      </c>
      <c r="N40" s="7" t="str">
        <f t="shared" si="1"/>
        <v>BXGY</v>
      </c>
      <c r="O40" s="13" t="str">
        <f t="shared" si="3"/>
        <v>B1G1</v>
      </c>
      <c r="P40" s="7" t="str">
        <f t="shared" si="2"/>
        <v>BXGY</v>
      </c>
    </row>
    <row r="41" spans="1:16" x14ac:dyDescent="0.35">
      <c r="A41" s="7" t="str">
        <f t="shared" ref="A41" si="27">A40</f>
        <v>2026 BAMUS B1G1</v>
      </c>
      <c r="B41" s="8">
        <f t="shared" ref="B41:C41" si="28">B40</f>
        <v>46097</v>
      </c>
      <c r="C41" s="8">
        <f t="shared" si="28"/>
        <v>46098</v>
      </c>
      <c r="D41" s="7">
        <v>3281</v>
      </c>
      <c r="E41" s="7">
        <v>337</v>
      </c>
      <c r="F41" s="7">
        <v>4</v>
      </c>
      <c r="G41" s="10">
        <v>1</v>
      </c>
      <c r="H41" s="10">
        <v>81588</v>
      </c>
      <c r="I41" s="7" t="s">
        <v>56</v>
      </c>
      <c r="J41" s="10">
        <v>68791520</v>
      </c>
      <c r="K41" s="10" t="s">
        <v>91</v>
      </c>
      <c r="L41" s="23" t="s">
        <v>103</v>
      </c>
      <c r="M41" s="17">
        <v>99900</v>
      </c>
      <c r="N41" s="7" t="str">
        <f t="shared" si="1"/>
        <v>BXGY</v>
      </c>
      <c r="O41" s="13" t="str">
        <f t="shared" si="3"/>
        <v>B1G1</v>
      </c>
      <c r="P41" s="7" t="str">
        <f t="shared" si="2"/>
        <v>BXGY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BAMUS B1G1 - 3321</vt:lpstr>
      <vt:lpstr>2026 BAMUS B1G1 - 3281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Vienneta Nathasyaviana</dc:creator>
  <cp:lastModifiedBy>Vienneta Nathasyaviana</cp:lastModifiedBy>
  <dcterms:created xsi:type="dcterms:W3CDTF">2026-03-03T03:21:01Z</dcterms:created>
  <dcterms:modified xsi:type="dcterms:W3CDTF">2026-03-10T04:50:38Z</dcterms:modified>
</cp:coreProperties>
</file>